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state="hidden" r:id="rId3"/>
    <sheet name="FINALIZADOS 2" sheetId="4" state="hidden" r:id="rId4"/>
    <sheet name="FINALIZADOS" sheetId="5" state="hidden" r:id="rId5"/>
    <sheet name="fESTIVOS" sheetId="6" state="hidden" r:id="rId6"/>
    <sheet name="ASISTENCIA" sheetId="7" state="hidden" r:id="rId7"/>
    <sheet name="Caidas del sistema" sheetId="8" state="hidden" r:id="rId8"/>
    <sheet name="pruebas i" sheetId="9" state="hidden" r:id="rId9"/>
  </sheets>
  <definedNames>
    <definedName name="_xlnm._FilterDatabase" localSheetId="1" hidden="1">'EN PROCESO (Alfa)'!$A$1:$S$1038</definedName>
    <definedName name="_xlnm._FilterDatabase" localSheetId="0" hidden="1">'EN PROCESO (Bolivar)'!$A$1:$BO$1133</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qeHKbmALZotVn9lxSP7zmHwX123de1fEkZ0i6QsuUVg="/>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 r="H574" i="1"/>
  <c r="H573" i="1"/>
  <c r="H572" i="1"/>
  <c r="H571" i="1"/>
  <c r="H570" i="1"/>
  <c r="H569" i="1"/>
  <c r="H568" i="1"/>
  <c r="H567" i="1"/>
  <c r="H566" i="1"/>
  <c r="H565" i="1"/>
  <c r="H564" i="1"/>
  <c r="H563" i="1"/>
  <c r="H562" i="1"/>
  <c r="H561" i="1"/>
  <c r="H560" i="1"/>
  <c r="H559" i="1"/>
  <c r="H558" i="1"/>
  <c r="H557" i="1"/>
  <c r="H556" i="1"/>
  <c r="H555" i="1"/>
  <c r="H554" i="1"/>
  <c r="H553" i="1"/>
  <c r="H552" i="1"/>
  <c r="H551" i="1"/>
  <c r="H550" i="1"/>
  <c r="H549" i="1"/>
  <c r="H548" i="1"/>
  <c r="H547" i="1"/>
  <c r="H546" i="1"/>
  <c r="H545" i="1"/>
  <c r="H544" i="1"/>
  <c r="H543" i="1"/>
  <c r="H542" i="1"/>
  <c r="H541" i="1"/>
  <c r="H540" i="1"/>
  <c r="H539" i="1"/>
  <c r="H538" i="1"/>
  <c r="H537" i="1"/>
  <c r="H536" i="1"/>
  <c r="H535" i="1"/>
  <c r="H534" i="1"/>
  <c r="H533" i="1"/>
  <c r="H532" i="1"/>
  <c r="H531" i="1"/>
  <c r="H530" i="1"/>
  <c r="H529" i="1"/>
  <c r="H528" i="1"/>
  <c r="H527" i="1"/>
  <c r="H526" i="1"/>
  <c r="H525" i="1"/>
  <c r="H524" i="1"/>
  <c r="H523" i="1"/>
  <c r="H522" i="1"/>
  <c r="H521" i="1"/>
  <c r="H520" i="1"/>
  <c r="H519" i="1"/>
  <c r="H518" i="1"/>
  <c r="H517" i="1"/>
  <c r="H516" i="1"/>
  <c r="H515" i="1"/>
  <c r="H514" i="1"/>
  <c r="H513" i="1"/>
  <c r="H512" i="1"/>
  <c r="H511" i="1"/>
  <c r="H510" i="1"/>
  <c r="H509" i="1"/>
  <c r="H508" i="1"/>
  <c r="H507" i="1"/>
  <c r="H506" i="1"/>
  <c r="H505" i="1"/>
  <c r="H504" i="1"/>
  <c r="H503" i="1"/>
  <c r="H502" i="1"/>
  <c r="H501" i="1"/>
  <c r="H500" i="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<sst xmlns="http://schemas.openxmlformats.org/spreadsheetml/2006/main" count="6207" uniqueCount="2952">
  <si>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</si>
  <si>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</si>
  <si>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</si>
  <si>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</si>
  <si>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</si>
  <si>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</si>
  <si>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</si>
  <si>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</si>
  <si>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</si>
  <si>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</si>
  <si>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</si>
  <si>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</si>
  <si>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</si>
  <si>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</si>
  <si>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</si>
  <si>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</si>
  <si>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</si>
  <si>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</si>
  <si>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</si>
  <si>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</si>
  <si>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</si>
  <si>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</si>
  <si>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</si>
  <si>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</si>
  <si>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</si>
  <si>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</si>
  <si>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</si>
  <si>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</si>
  <si>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</si>
  <si>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</si>
  <si>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</si>
  <si>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</si>
  <si>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</si>
  <si>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</si>
  <si>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</si>
  <si>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</si>
  <si>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</si>
  <si>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</si>
  <si>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</si>
  <si>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</si>
  <si>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</si>
  <si>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</si>
  <si>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</si>
  <si>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</si>
  <si>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</si>
  <si>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</si>
  <si>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</si>
  <si>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</si>
  <si>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</si>
  <si>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</si>
  <si>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</si>
  <si>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</si>
  <si>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</si>
  <si>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</si>
  <si>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</si>
  <si>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</si>
  <si>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</si>
  <si>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</si>
  <si>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</si>
  <si>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</si>
  <si>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</si>
  <si>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</si>
  <si>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</si>
  <si>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</si>
  <si>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</si>
  <si>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</si>
  <si>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</si>
  <si>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</si>
  <si>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</si>
  <si>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</si>
  <si>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</si>
  <si>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</si>
  <si>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</si>
  <si>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</si>
  <si>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</si>
  <si>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</si>
  <si>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</si>
  <si>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</si>
  <si>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</si>
  <si>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</si>
  <si>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</si>
  <si>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</si>
  <si>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</si>
  <si>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</si>
  <si>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</si>
  <si>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</si>
  <si>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</si>
  <si>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</si>
  <si>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</si>
  <si>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</si>
  <si>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</si>
  <si>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</si>
  <si>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</si>
  <si>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</si>
  <si>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</si>
  <si>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</si>
  <si>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</si>
  <si>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</si>
  <si>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</si>
  <si>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</si>
  <si>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</si>
  <si>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</si>
  <si>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</si>
  <si>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</si>
  <si>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</si>
  <si>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</si>
  <si>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</si>
  <si>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</si>
  <si>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</si>
  <si>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</si>
  <si>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</si>
  <si>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</si>
  <si>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</si>
  <si>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</si>
  <si>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</si>
  <si>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</si>
  <si>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</si>
  <si>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</si>
  <si>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</si>
  <si>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</si>
  <si>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</si>
  <si>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</si>
  <si>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</si>
  <si>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</si>
  <si>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</si>
  <si>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</si>
  <si>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</si>
  <si>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</si>
  <si>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</si>
  <si>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</si>
  <si>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</si>
  <si>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</si>
  <si>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</si>
  <si>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</si>
  <si>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</si>
  <si>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</si>
  <si>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</si>
  <si>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</si>
  <si>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</si>
  <si>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</si>
  <si>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</si>
  <si>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</si>
  <si>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</si>
  <si>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</si>
  <si>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</si>
  <si>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</si>
  <si>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</si>
  <si>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</si>
  <si>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</si>
  <si>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</si>
  <si>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</si>
  <si>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</si>
  <si>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</si>
  <si>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</si>
  <si>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</si>
  <si>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</si>
  <si>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</si>
  <si>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</si>
  <si>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</si>
  <si>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</si>
  <si>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</si>
  <si>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</si>
  <si>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</si>
  <si>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</si>
  <si>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</si>
  <si>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</si>
  <si>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</si>
  <si>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</si>
  <si>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</si>
  <si>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</si>
  <si>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</si>
  <si>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</si>
  <si>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</si>
  <si>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</si>
  <si>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</si>
  <si>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</si>
  <si>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</si>
  <si>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</si>
  <si>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</si>
  <si>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</si>
  <si>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</si>
  <si>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</si>
  <si>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</si>
  <si>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</si>
  <si>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</si>
  <si>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</si>
  <si>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</si>
  <si>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</si>
  <si>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</si>
  <si>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</si>
  <si>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</si>
  <si>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</si>
  <si>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</si>
  <si>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</si>
  <si>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</si>
  <si>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</si>
  <si>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</si>
  <si>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</si>
  <si>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</si>
  <si>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</si>
  <si>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</si>
  <si>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</si>
  <si>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</si>
  <si>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</si>
  <si>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</si>
  <si>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</si>
  <si>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</si>
  <si>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</si>
  <si>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</si>
  <si>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</si>
  <si>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</si>
  <si>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</si>
  <si>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</si>
  <si>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</si>
  <si>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</si>
  <si>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</si>
  <si>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</si>
  <si>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</si>
  <si>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</si>
  <si>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</si>
  <si>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</si>
  <si>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</si>
  <si>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</si>
  <si>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</si>
  <si>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</si>
  <si>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</si>
  <si>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</si>
  <si>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</si>
  <si>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</si>
  <si>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</si>
  <si>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GD772-177_3</t>
  </si>
  <si>
    <r>
      <rPr>
        <b/>
        <sz val="12"/>
        <color theme="1"/>
        <rFont val="Quattrocento Sans"/>
      </rPr>
      <t xml:space="preserve">Documentación  tecnica - </t>
    </r>
    <r>
      <rPr>
        <sz val="12"/>
        <color theme="1"/>
        <rFont val="Quattrocento Sans"/>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</si>
  <si>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</si>
  <si>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</si>
  <si>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</si>
  <si>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</si>
  <si>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</si>
  <si>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</si>
  <si>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</si>
  <si>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</si>
  <si>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</si>
  <si>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</si>
  <si>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</si>
  <si>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</si>
  <si>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</si>
  <si>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</si>
  <si>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</si>
  <si>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</si>
  <si>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</si>
  <si>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</si>
  <si>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</si>
  <si>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</si>
  <si>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</si>
  <si>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</si>
  <si>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</si>
  <si>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</si>
  <si>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</si>
  <si>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</si>
  <si>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</si>
  <si>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</si>
  <si>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</si>
  <si>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</si>
  <si>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</si>
  <si>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</si>
  <si>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</si>
  <si>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</si>
  <si>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</si>
  <si>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</si>
  <si>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</si>
  <si>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</si>
  <si>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</si>
  <si>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</si>
  <si>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</si>
  <si>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</si>
  <si>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</si>
  <si>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</si>
  <si>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</si>
  <si>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</si>
  <si>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</si>
  <si>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</si>
  <si>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</si>
  <si>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</si>
  <si>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</si>
  <si>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</si>
  <si>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</si>
  <si>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</si>
  <si>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</si>
  <si>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</si>
  <si>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</si>
  <si>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</si>
  <si>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</si>
  <si>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</si>
  <si>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</si>
  <si>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</si>
  <si>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</si>
  <si>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</si>
  <si>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</si>
  <si>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</si>
  <si>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</si>
  <si>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</si>
  <si>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</si>
  <si>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</si>
  <si>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</si>
  <si>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</si>
  <si>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</si>
  <si>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</si>
  <si>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</si>
  <si>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</si>
  <si>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</si>
  <si>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</si>
  <si>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</si>
  <si>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</si>
  <si>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</si>
  <si>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</si>
  <si>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</si>
  <si>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</si>
  <si>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</si>
  <si>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</si>
  <si>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</si>
  <si>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</si>
  <si>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</si>
  <si>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</si>
  <si>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</si>
  <si>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</si>
  <si>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</si>
  <si>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</si>
  <si>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</si>
  <si>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</si>
  <si>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</si>
  <si>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</si>
  <si>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</si>
  <si>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</si>
  <si>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</si>
  <si>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</si>
  <si>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</si>
  <si>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</si>
  <si>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</si>
  <si>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</si>
  <si>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</si>
  <si>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</si>
  <si>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</si>
  <si>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</si>
  <si>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</si>
  <si>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</si>
  <si>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</si>
  <si>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</si>
  <si>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</si>
  <si>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</si>
  <si>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</si>
  <si>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</si>
  <si>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</si>
  <si>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</si>
  <si>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</si>
  <si>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</si>
  <si>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</si>
  <si>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</si>
  <si>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</si>
  <si>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</si>
  <si>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</si>
  <si>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</si>
  <si>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</si>
  <si>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</si>
  <si>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</si>
  <si>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</si>
  <si>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</si>
  <si>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</si>
  <si>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</si>
  <si>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</si>
  <si>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</si>
  <si>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</si>
  <si>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</si>
  <si>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</si>
  <si>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</si>
  <si>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</si>
  <si>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</si>
  <si>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</si>
  <si>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</si>
  <si>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</si>
  <si>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</si>
  <si>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</si>
  <si>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</si>
  <si>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</si>
  <si>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</si>
  <si>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</si>
  <si>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</si>
  <si>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</si>
  <si>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</si>
  <si>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</si>
  <si>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</si>
  <si>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</si>
  <si>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</si>
  <si>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</si>
  <si>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</si>
  <si>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</si>
  <si>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</si>
  <si>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</si>
  <si>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</si>
  <si>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</si>
  <si>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</si>
  <si>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</si>
  <si>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</si>
  <si>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</si>
  <si>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</si>
  <si>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</si>
  <si>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</si>
  <si>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</si>
  <si>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</si>
  <si>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</si>
  <si>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</si>
  <si>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</si>
  <si>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</si>
  <si>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</si>
  <si>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</si>
  <si>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</si>
  <si>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</si>
  <si>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</si>
  <si>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</si>
  <si>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</si>
  <si>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</si>
  <si>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</si>
  <si>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</si>
  <si>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</si>
  <si>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</si>
  <si>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</si>
  <si>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</si>
  <si>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</si>
  <si>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</si>
  <si>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</si>
  <si>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</si>
  <si>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</si>
  <si>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</si>
  <si>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</si>
  <si>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</si>
  <si>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</si>
  <si>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</si>
  <si>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</si>
  <si>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</si>
  <si>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</si>
  <si>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</si>
  <si>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</si>
  <si>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</si>
  <si>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</si>
  <si>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</si>
  <si>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</si>
  <si>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</si>
  <si>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</si>
  <si>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</si>
  <si>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</si>
  <si>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</si>
  <si>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</si>
  <si>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</si>
  <si>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</si>
  <si>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</si>
  <si>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</si>
  <si>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</si>
  <si>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</si>
  <si>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</si>
  <si>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</si>
  <si>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</si>
  <si>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</si>
  <si>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</si>
  <si>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</si>
  <si>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</si>
  <si>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</si>
  <si>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</si>
  <si>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</si>
  <si>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</si>
  <si>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</si>
  <si>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</si>
  <si>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</si>
  <si>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</si>
  <si>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</si>
  <si>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</si>
  <si>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</si>
  <si>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</si>
  <si>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</si>
  <si>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</si>
  <si>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</si>
  <si>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</si>
  <si>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</si>
  <si>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</si>
  <si>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</si>
  <si>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</si>
  <si>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</si>
  <si>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</si>
  <si>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</si>
  <si>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</si>
  <si>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</si>
  <si>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</si>
  <si>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</si>
  <si>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</si>
  <si>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</si>
  <si>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</si>
  <si>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</si>
  <si>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</si>
  <si>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</si>
  <si>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</si>
  <si>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</si>
  <si>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</si>
  <si>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</si>
  <si>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</si>
  <si>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EN PROCESO</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</si>
  <si>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</si>
  <si>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</si>
  <si>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</si>
  <si>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</si>
  <si>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</si>
  <si>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</si>
  <si>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</si>
  <si>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</si>
  <si>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</si>
  <si>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</si>
  <si>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</si>
  <si>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</si>
  <si>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</si>
  <si>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</si>
  <si>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</si>
  <si>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</si>
  <si>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</si>
  <si>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</si>
  <si>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</si>
  <si>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</si>
  <si>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</si>
  <si>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</si>
  <si>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</si>
  <si>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</si>
  <si>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</si>
  <si>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</si>
  <si>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</si>
  <si>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</si>
  <si>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</si>
  <si>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</si>
  <si>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</si>
  <si>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</si>
  <si>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</si>
  <si>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</si>
  <si>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</si>
  <si>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</si>
  <si>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</si>
  <si>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</si>
  <si>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</si>
  <si>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</si>
  <si>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</si>
  <si>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</si>
  <si>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</si>
  <si>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</si>
  <si>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</si>
  <si>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</si>
  <si>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</si>
  <si>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</si>
  <si>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</si>
  <si>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</si>
  <si>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</si>
  <si>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</si>
  <si>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</si>
  <si>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</si>
  <si>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</si>
  <si>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</si>
  <si>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</si>
  <si>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</si>
  <si>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</si>
  <si>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</si>
  <si>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</si>
  <si>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</si>
  <si>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</si>
  <si>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</si>
  <si>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</si>
  <si>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</si>
  <si>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</si>
  <si>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</si>
  <si>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</si>
  <si>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</si>
  <si>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</si>
  <si>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</si>
  <si>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</si>
  <si>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</si>
  <si>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</si>
  <si>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</si>
  <si>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</si>
  <si>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</si>
  <si>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</si>
  <si>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</si>
  <si>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</si>
  <si>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</si>
  <si>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</si>
  <si>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</si>
  <si>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</si>
  <si>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</si>
  <si>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</si>
  <si>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</si>
  <si>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</si>
  <si>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</si>
  <si>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</si>
  <si>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</si>
  <si>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</si>
  <si>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</si>
  <si>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</si>
  <si>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</si>
  <si>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</si>
  <si>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</si>
  <si>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</si>
  <si>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</si>
  <si>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</si>
  <si>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</si>
  <si>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</si>
  <si>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</si>
  <si>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</si>
  <si>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</si>
  <si>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</si>
  <si>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</si>
  <si>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</si>
  <si>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</si>
  <si>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</si>
  <si>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</si>
  <si>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</si>
  <si>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</si>
  <si>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</si>
  <si>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</si>
  <si>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</si>
  <si>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</si>
  <si>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</si>
  <si>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</si>
  <si>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</si>
  <si>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</si>
  <si>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</si>
  <si>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</si>
  <si>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</si>
  <si>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</si>
  <si>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</si>
  <si>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</si>
  <si>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</si>
  <si>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</si>
  <si>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</si>
  <si>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</si>
  <si>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</si>
  <si>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</si>
  <si>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</si>
  <si>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</si>
  <si>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</si>
  <si>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</si>
  <si>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</si>
  <si>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</si>
  <si>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</si>
  <si>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</si>
  <si>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t>
    </r>
  </si>
  <si>
    <t>MDSB-969303</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</si>
  <si>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</si>
  <si>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</si>
  <si>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</si>
  <si>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</si>
  <si>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</si>
  <si>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</si>
  <si>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</si>
  <si>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</si>
  <si>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</si>
  <si>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</si>
  <si>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</si>
  <si>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</si>
  <si>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</si>
  <si>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</si>
  <si>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</si>
  <si>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</si>
  <si>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</si>
  <si>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</si>
  <si>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</si>
  <si>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</si>
  <si>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</si>
  <si>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</si>
  <si>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</si>
  <si>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</si>
  <si>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</si>
  <si>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</si>
  <si>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</si>
  <si>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</si>
  <si>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</si>
  <si>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</si>
  <si>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</si>
  <si>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</si>
  <si>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</si>
  <si>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</si>
  <si>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</si>
  <si>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</si>
  <si>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</si>
  <si>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</si>
  <si>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</si>
  <si>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</si>
  <si>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</si>
  <si>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</si>
  <si>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</si>
  <si>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</si>
  <si>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</si>
  <si>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</si>
  <si>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</si>
  <si>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</si>
  <si>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</si>
  <si>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</si>
  <si>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</si>
  <si>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</si>
  <si>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</si>
  <si>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</si>
  <si>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</si>
  <si>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</si>
  <si>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</si>
  <si>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</si>
  <si>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</si>
  <si>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</si>
  <si>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</si>
  <si>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</si>
  <si>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</si>
  <si>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</si>
  <si>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</si>
  <si>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</si>
  <si>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</si>
  <si>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</si>
  <si>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</si>
  <si>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</si>
  <si>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</si>
  <si>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</si>
  <si>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</si>
  <si>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</si>
  <si>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</si>
  <si>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</si>
  <si>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</si>
  <si>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</si>
  <si>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</si>
  <si>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</si>
  <si>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</si>
  <si>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</si>
  <si>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</si>
  <si>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</si>
  <si>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</si>
  <si>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</si>
  <si>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</si>
  <si>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</si>
  <si>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</si>
  <si>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</si>
  <si>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</si>
  <si>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</si>
  <si>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</si>
  <si>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</si>
  <si>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</si>
  <si>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</si>
  <si>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</si>
  <si>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</si>
  <si>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</si>
  <si>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</si>
  <si>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</si>
  <si>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</si>
  <si>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</si>
  <si>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</si>
  <si>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</si>
  <si>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</si>
  <si>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</si>
  <si>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</si>
  <si>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</si>
  <si>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</si>
  <si>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</si>
  <si>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</si>
  <si>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</si>
  <si>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</si>
  <si>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</si>
  <si>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</si>
  <si>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</si>
  <si>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</si>
  <si>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</si>
  <si>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</si>
  <si>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</si>
  <si>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</si>
  <si>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</si>
  <si>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</si>
  <si>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</si>
  <si>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</si>
  <si>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</si>
  <si>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</si>
  <si>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</si>
  <si>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</si>
  <si>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t>
  </si>
  <si>
    <t>MDSB-968897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</si>
  <si>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</si>
  <si>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</si>
  <si>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</si>
  <si>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</si>
  <si>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</si>
  <si>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</si>
  <si>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</si>
  <si>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</si>
  <si>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</si>
  <si>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</si>
  <si>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</si>
  <si>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</si>
  <si>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</si>
  <si>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</si>
  <si>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</si>
  <si>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</si>
  <si>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</si>
  <si>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</si>
  <si>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</si>
  <si>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</si>
  <si>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</si>
  <si>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</si>
  <si>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</si>
  <si>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</si>
  <si>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</si>
  <si>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</si>
  <si>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</si>
  <si>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</si>
  <si>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</si>
  <si>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</si>
  <si>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</si>
  <si>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</si>
  <si>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</si>
  <si>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</si>
  <si>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</si>
  <si>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</si>
  <si>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</si>
  <si>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</si>
  <si>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</si>
  <si>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</si>
  <si>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</si>
  <si>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</si>
  <si>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</si>
  <si>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</si>
  <si>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</si>
  <si>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</si>
  <si>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</si>
  <si>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</si>
  <si>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</si>
  <si>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</si>
  <si>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</si>
  <si>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</si>
  <si>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</si>
  <si>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</si>
  <si>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</si>
  <si>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</si>
  <si>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</si>
  <si>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</si>
  <si>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</si>
  <si>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</si>
  <si>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</si>
  <si>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</si>
  <si>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</si>
  <si>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</si>
  <si>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</si>
  <si>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</si>
  <si>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</si>
  <si>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</si>
  <si>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</si>
  <si>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</si>
  <si>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</si>
  <si>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</si>
  <si>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</si>
  <si>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</si>
  <si>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</si>
  <si>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</si>
  <si>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</si>
  <si>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</si>
  <si>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</si>
  <si>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</si>
  <si>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</si>
  <si>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</si>
  <si>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</si>
  <si>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</si>
  <si>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</si>
  <si>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</si>
  <si>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</si>
  <si>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</si>
  <si>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</si>
  <si>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</si>
  <si>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</si>
  <si>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</si>
  <si>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</si>
  <si>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</si>
  <si>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</si>
  <si>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</si>
  <si>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</si>
  <si>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</si>
  <si>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</si>
  <si>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</si>
  <si>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</si>
  <si>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</si>
  <si>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</si>
  <si>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</si>
  <si>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</si>
  <si>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</si>
  <si>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</si>
  <si>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</si>
  <si>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</si>
  <si>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</si>
  <si>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</si>
  <si>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</si>
  <si>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</si>
  <si>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</si>
  <si>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</si>
  <si>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</si>
  <si>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</si>
  <si>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</si>
  <si>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</si>
  <si>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</si>
  <si>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</si>
  <si>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</si>
  <si>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</si>
  <si>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</si>
  <si>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</si>
  <si>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</si>
  <si>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</si>
  <si>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</si>
  <si>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</si>
  <si>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</si>
  <si>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</si>
  <si>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</si>
  <si>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</si>
  <si>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</si>
  <si>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</si>
  <si>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</si>
  <si>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</si>
  <si>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</si>
  <si>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</si>
  <si>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</si>
  <si>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</si>
  <si>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</si>
  <si>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</si>
  <si>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</si>
  <si>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</si>
  <si>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</si>
  <si>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</si>
  <si>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</si>
  <si>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</si>
  <si>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</si>
  <si>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</si>
  <si>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</si>
  <si>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</si>
  <si>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</si>
  <si>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</si>
  <si>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</si>
  <si>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</si>
  <si>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</si>
  <si>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</si>
  <si>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</si>
  <si>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</si>
  <si>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</si>
  <si>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</si>
  <si>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</si>
  <si>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</si>
  <si>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</si>
  <si>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</si>
  <si>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</si>
  <si>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</si>
  <si>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</si>
  <si>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</si>
  <si>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</si>
  <si>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</si>
  <si>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</si>
  <si>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</si>
  <si>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</si>
  <si>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</si>
  <si>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</si>
  <si>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</si>
  <si>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</si>
  <si>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</si>
  <si>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</si>
  <si>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</si>
  <si>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</si>
  <si>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</si>
  <si>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</si>
  <si>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</si>
  <si>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</si>
  <si>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</si>
  <si>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</si>
  <si>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</si>
  <si>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</si>
  <si>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</si>
  <si>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</si>
  <si>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</si>
  <si>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</si>
  <si>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</si>
  <si>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</si>
  <si>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</si>
  <si>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</si>
  <si>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</si>
  <si>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</si>
  <si>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</si>
  <si>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</si>
  <si>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</si>
  <si>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</si>
  <si>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</si>
  <si>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</si>
  <si>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</si>
  <si>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</si>
  <si>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</si>
  <si>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</si>
  <si>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</si>
  <si>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</si>
  <si>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</si>
  <si>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</si>
  <si>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</si>
  <si>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</si>
  <si>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</si>
  <si>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</si>
  <si>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</si>
  <si>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</si>
  <si>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</si>
  <si>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</si>
  <si>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</si>
  <si>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</si>
  <si>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</si>
  <si>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</si>
  <si>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</si>
  <si>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</si>
  <si>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</si>
  <si>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</si>
  <si>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</si>
  <si>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</si>
  <si>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</si>
  <si>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</si>
  <si>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</si>
  <si>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información para la generación de la documentación.</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</si>
  <si>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</si>
  <si>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</si>
  <si>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</si>
  <si>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</si>
  <si>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</si>
  <si>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</si>
  <si>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</si>
  <si>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</si>
  <si>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</si>
  <si>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</si>
  <si>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</si>
  <si>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</si>
  <si>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</si>
  <si>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</si>
  <si>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</si>
  <si>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</si>
  <si>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</si>
  <si>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</si>
  <si>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</si>
  <si>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</si>
  <si>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</si>
  <si>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</si>
  <si>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</si>
  <si>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</si>
  <si>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</si>
  <si>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</si>
  <si>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</si>
  <si>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</si>
  <si>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</si>
  <si>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</si>
  <si>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</si>
  <si>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</si>
  <si>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</si>
  <si>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</si>
  <si>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</si>
  <si>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</si>
  <si>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</si>
  <si>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</si>
  <si>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</si>
  <si>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</si>
  <si>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</si>
  <si>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</si>
  <si>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</si>
  <si>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</si>
  <si>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</si>
  <si>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</si>
  <si>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</si>
  <si>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</si>
  <si>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</si>
  <si>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</si>
  <si>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</si>
  <si>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</si>
  <si>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</si>
  <si>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</si>
  <si>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</si>
  <si>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</si>
  <si>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</si>
  <si>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</si>
  <si>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</si>
  <si>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</si>
  <si>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</si>
  <si>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</si>
  <si>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</si>
  <si>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</si>
  <si>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</si>
  <si>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</si>
  <si>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</si>
  <si>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</si>
  <si>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</si>
  <si>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</si>
  <si>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</si>
  <si>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</si>
  <si>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</si>
  <si>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</si>
  <si>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</si>
  <si>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</si>
  <si>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</si>
  <si>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</si>
  <si>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</si>
  <si>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</si>
  <si>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</si>
  <si>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</si>
  <si>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</si>
  <si>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</si>
  <si>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</si>
  <si>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</si>
  <si>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</si>
  <si>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</si>
  <si>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</si>
  <si>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</si>
  <si>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</si>
  <si>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</si>
  <si>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</si>
  <si>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</si>
  <si>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</si>
  <si>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</si>
  <si>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</si>
  <si>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</si>
  <si>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</si>
  <si>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</si>
  <si>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</si>
  <si>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</si>
  <si>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</si>
  <si>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</si>
  <si>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</si>
  <si>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</si>
  <si>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</si>
  <si>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</si>
  <si>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</si>
  <si>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</si>
  <si>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</si>
  <si>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</si>
  <si>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</si>
  <si>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</si>
  <si>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</si>
  <si>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</si>
  <si>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</si>
  <si>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</si>
  <si>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</si>
  <si>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</si>
  <si>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</si>
  <si>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</si>
  <si>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</si>
  <si>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</si>
  <si>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</si>
  <si>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</si>
  <si>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</si>
  <si>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</si>
  <si>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</si>
  <si>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</si>
  <si>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</si>
  <si>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</si>
  <si>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</si>
  <si>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</si>
  <si>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</si>
  <si>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</si>
  <si>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</si>
  <si>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</si>
  <si>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</si>
  <si>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</si>
  <si>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</si>
  <si>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</si>
  <si>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</si>
  <si>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</si>
  <si>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</si>
  <si>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</si>
  <si>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</si>
  <si>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</si>
  <si>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</si>
  <si>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</si>
  <si>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</si>
  <si>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</si>
  <si>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</si>
  <si>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</si>
  <si>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</si>
  <si>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</si>
  <si>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</si>
  <si>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</si>
  <si>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</si>
  <si>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</si>
  <si>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</si>
  <si>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</si>
  <si>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</si>
  <si>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</si>
  <si>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</si>
  <si>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</si>
  <si>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</si>
  <si>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</si>
  <si>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</si>
  <si>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</si>
  <si>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</si>
  <si>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</si>
  <si>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</si>
  <si>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</si>
  <si>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</si>
  <si>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</si>
  <si>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</si>
  <si>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</si>
  <si>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</si>
  <si>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</si>
  <si>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</si>
  <si>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</si>
  <si>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</si>
  <si>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</si>
  <si>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</si>
  <si>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</si>
  <si>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</si>
  <si>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</si>
  <si>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</si>
  <si>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</si>
  <si>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</si>
  <si>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</si>
  <si>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</si>
  <si>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</si>
  <si>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</si>
  <si>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</si>
  <si>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</si>
  <si>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</si>
  <si>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</si>
  <si>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</si>
  <si>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</si>
  <si>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</si>
  <si>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</si>
  <si>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</si>
  <si>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</si>
  <si>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</si>
  <si>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</si>
  <si>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</si>
  <si>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</si>
  <si>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</si>
  <si>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</si>
  <si>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</si>
  <si>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</si>
  <si>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</si>
  <si>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</si>
  <si>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</si>
  <si>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</si>
  <si>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</si>
  <si>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</si>
  <si>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</si>
  <si>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</si>
  <si>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</si>
  <si>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</si>
  <si>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</si>
  <si>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</si>
  <si>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</si>
  <si>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</si>
  <si>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</si>
  <si>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</si>
  <si>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</si>
  <si>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</si>
  <si>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</si>
  <si>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</si>
  <si>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</si>
  <si>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</si>
  <si>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</si>
  <si>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</si>
  <si>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</si>
  <si>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</si>
  <si>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</si>
  <si>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</si>
  <si>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</si>
  <si>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</si>
  <si>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</si>
  <si>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</si>
  <si>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</si>
  <si>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</si>
  <si>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</si>
  <si>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</si>
  <si>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</si>
  <si>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</si>
  <si>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</si>
  <si>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</si>
  <si>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</si>
  <si>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</si>
  <si>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</si>
  <si>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</si>
  <si>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</si>
  <si>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</si>
  <si>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</si>
  <si>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</si>
  <si>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</si>
  <si>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</si>
  <si>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</si>
  <si>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</si>
  <si>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</si>
  <si>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</si>
  <si>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</si>
  <si>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</si>
  <si>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</si>
  <si>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</si>
  <si>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</si>
  <si>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</si>
  <si>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</si>
  <si>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</si>
  <si>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</si>
  <si>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</si>
  <si>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</si>
  <si>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</si>
  <si>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</si>
  <si>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</si>
  <si>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</si>
  <si>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</si>
  <si>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</si>
  <si>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</si>
  <si>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</si>
  <si>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</si>
  <si>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</si>
  <si>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</si>
  <si>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</si>
  <si>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</si>
  <si>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</si>
  <si>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</si>
  <si>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</si>
  <si>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</si>
  <si>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</si>
  <si>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</si>
  <si>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</si>
  <si>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</si>
  <si>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</si>
  <si>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</si>
  <si>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</si>
  <si>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</si>
  <si>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</si>
  <si>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</si>
  <si>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</si>
  <si>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</si>
  <si>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</si>
  <si>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</si>
  <si>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</si>
  <si>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</si>
  <si>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</si>
  <si>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</si>
  <si>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</si>
  <si>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</si>
  <si>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</si>
  <si>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</si>
  <si>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</si>
  <si>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</si>
  <si>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</si>
  <si>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</si>
  <si>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</si>
  <si>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</si>
  <si>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</si>
  <si>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</si>
  <si>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</si>
  <si>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</si>
  <si>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</si>
  <si>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</si>
  <si>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</si>
  <si>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</si>
  <si>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</si>
  <si>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</si>
  <si>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</si>
  <si>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</si>
  <si>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</si>
  <si>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</si>
  <si>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</si>
  <si>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</si>
  <si>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</si>
  <si>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</si>
  <si>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</si>
  <si>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</si>
  <si>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</si>
  <si>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</si>
  <si>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</si>
  <si>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</si>
  <si>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</si>
  <si>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</si>
  <si>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</si>
  <si>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</si>
  <si>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</si>
  <si>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</si>
  <si>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</si>
  <si>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</si>
  <si>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</si>
  <si>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</si>
  <si>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</si>
  <si>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</si>
  <si>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</si>
  <si>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</si>
  <si>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</si>
  <si>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</si>
  <si>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</si>
  <si>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</si>
  <si>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</si>
  <si>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</si>
  <si>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</si>
  <si>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</si>
  <si>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</si>
  <si>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</si>
  <si>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</si>
  <si>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</si>
  <si>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</si>
  <si>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</si>
  <si>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</si>
  <si>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</si>
  <si>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</si>
  <si>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</si>
  <si>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</si>
  <si>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</si>
  <si>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</si>
  <si>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</si>
  <si>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</si>
  <si>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</si>
  <si>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</si>
  <si>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</si>
  <si>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</si>
  <si>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</si>
  <si>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</si>
  <si>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</si>
  <si>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</si>
  <si>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</si>
  <si>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</si>
  <si>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</si>
  <si>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</si>
  <si>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</si>
  <si>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</si>
  <si>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</si>
  <si>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</si>
  <si>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</si>
  <si>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</si>
  <si>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</si>
  <si>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</si>
  <si>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</si>
  <si>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</si>
  <si>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</si>
  <si>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</si>
  <si>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</si>
  <si>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</si>
  <si>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</si>
  <si>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</si>
  <si>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</si>
  <si>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</si>
  <si>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</si>
  <si>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</si>
  <si>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</si>
  <si>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</si>
  <si>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</si>
  <si>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</si>
  <si>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</si>
  <si>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</si>
  <si>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</si>
  <si>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</si>
  <si>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</si>
  <si>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</si>
  <si>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</si>
  <si>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</si>
  <si>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</si>
  <si>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</si>
  <si>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</si>
  <si>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</si>
  <si>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</si>
  <si>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</si>
  <si>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</si>
  <si>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</si>
  <si>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</si>
  <si>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</si>
  <si>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</si>
  <si>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</si>
  <si>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</si>
  <si>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</si>
  <si>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</si>
  <si>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</si>
  <si>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</si>
  <si>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</si>
  <si>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</si>
  <si>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</si>
  <si>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</si>
  <si>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</si>
  <si>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</si>
  <si>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</si>
  <si>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</si>
  <si>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</si>
  <si>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</si>
  <si>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</si>
  <si>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</si>
  <si>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</si>
  <si>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</si>
  <si>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</si>
  <si>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</si>
  <si>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</si>
  <si>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</si>
  <si>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</si>
  <si>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</si>
  <si>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</si>
  <si>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</si>
  <si>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</si>
  <si>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</si>
  <si>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</si>
  <si>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</si>
  <si>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</si>
  <si>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</si>
  <si>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</si>
  <si>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</si>
  <si>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</si>
  <si>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</si>
  <si>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</si>
  <si>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</si>
  <si>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</si>
  <si>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</si>
  <si>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</si>
  <si>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</si>
  <si>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</si>
  <si>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</si>
  <si>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</si>
  <si>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</si>
  <si>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</si>
  <si>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</si>
  <si>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</si>
  <si>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</si>
  <si>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</si>
  <si>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</si>
  <si>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</si>
  <si>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</si>
  <si>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</si>
  <si>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</si>
  <si>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</si>
  <si>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</si>
  <si>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</si>
  <si>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</si>
  <si>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</si>
  <si>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</si>
  <si>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</si>
  <si>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</si>
  <si>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</si>
  <si>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</si>
  <si>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</si>
  <si>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</si>
  <si>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</si>
  <si>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</si>
  <si>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</si>
  <si>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</si>
  <si>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</si>
  <si>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</si>
  <si>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</si>
  <si>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</si>
  <si>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</si>
  <si>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</si>
  <si>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</si>
  <si>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</si>
  <si>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</si>
  <si>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</si>
  <si>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</si>
  <si>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</si>
  <si>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</si>
  <si>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</si>
  <si>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</si>
  <si>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</si>
  <si>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</si>
  <si>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</si>
  <si>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</si>
  <si>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</si>
  <si>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</si>
  <si>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Dias estimados de desarrollo</t>
  </si>
  <si>
    <t>Dias</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</si>
  <si>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</si>
  <si>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</si>
  <si>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</si>
  <si>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</si>
  <si>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</si>
  <si>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</si>
  <si>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</si>
  <si>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</si>
  <si>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</si>
  <si>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</si>
  <si>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</si>
  <si>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</si>
  <si>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</si>
  <si>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</si>
  <si>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</si>
  <si>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</si>
  <si>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</si>
  <si>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</si>
  <si>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</si>
  <si>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</si>
  <si>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</si>
  <si>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</si>
  <si>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</si>
  <si>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</si>
  <si>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</si>
  <si>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</si>
  <si>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</si>
  <si>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</si>
  <si>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</si>
  <si>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</si>
  <si>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</si>
  <si>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</si>
  <si>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</si>
  <si>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</si>
  <si>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</si>
  <si>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</si>
  <si>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</si>
  <si>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</si>
  <si>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</si>
  <si>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</si>
  <si>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</si>
  <si>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</si>
  <si>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</si>
  <si>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</si>
  <si>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</si>
  <si>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</si>
  <si>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</si>
  <si>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</si>
  <si>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</si>
  <si>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</si>
  <si>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</si>
  <si>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</si>
  <si>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</si>
  <si>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</si>
  <si>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</si>
  <si>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</si>
  <si>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</si>
  <si>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</si>
  <si>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</si>
  <si>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</si>
  <si>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</si>
  <si>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</si>
  <si>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</si>
  <si>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</si>
  <si>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</si>
  <si>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</si>
  <si>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</si>
  <si>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</si>
  <si>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</si>
  <si>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</si>
  <si>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</si>
  <si>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</si>
  <si>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</si>
  <si>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</si>
  <si>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</si>
  <si>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</si>
  <si>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</si>
  <si>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</si>
  <si>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</si>
  <si>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</si>
  <si>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</si>
  <si>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</si>
  <si>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</si>
  <si>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</si>
  <si>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</si>
  <si>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</si>
  <si>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</si>
  <si>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</si>
  <si>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</si>
  <si>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</si>
  <si>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</si>
  <si>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</si>
  <si>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</si>
  <si>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</si>
  <si>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</si>
  <si>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</si>
  <si>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</si>
  <si>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</si>
  <si>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</si>
  <si>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</si>
  <si>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</si>
  <si>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</si>
  <si>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</si>
  <si>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</si>
  <si>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</si>
  <si>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</si>
  <si>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</si>
  <si>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</si>
  <si>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</si>
  <si>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</si>
  <si>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</si>
  <si>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</si>
  <si>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</si>
  <si>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</si>
  <si>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</si>
  <si>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</si>
  <si>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</si>
  <si>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</si>
  <si>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</si>
  <si>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</si>
  <si>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</si>
  <si>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</si>
  <si>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</si>
  <si>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</si>
  <si>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</si>
  <si>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</si>
  <si>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</si>
  <si>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</si>
  <si>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</si>
  <si>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</si>
  <si>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</si>
  <si>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</si>
  <si>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</si>
  <si>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</si>
  <si>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</si>
  <si>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</si>
  <si>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</si>
  <si>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</si>
  <si>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</si>
  <si>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</si>
  <si>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</si>
  <si>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</si>
  <si>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</si>
  <si>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</si>
  <si>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</si>
  <si>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</si>
  <si>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</si>
  <si>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</si>
  <si>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</si>
  <si>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</si>
  <si>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</si>
  <si>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</si>
  <si>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</si>
  <si>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</si>
  <si>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</si>
  <si>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</si>
  <si>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</si>
  <si>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</si>
  <si>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</si>
  <si>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</si>
  <si>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</si>
  <si>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</si>
  <si>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</si>
  <si>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</si>
  <si>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</si>
  <si>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</si>
  <si>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</si>
  <si>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</si>
  <si>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</si>
  <si>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</si>
  <si>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</si>
  <si>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</si>
  <si>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</si>
  <si>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</si>
  <si>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</si>
  <si>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</si>
  <si>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</si>
  <si>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</si>
  <si>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</si>
  <si>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</si>
  <si>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</si>
  <si>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</si>
  <si>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</si>
  <si>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</si>
  <si>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</si>
  <si>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</si>
  <si>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</si>
  <si>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</si>
  <si>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</si>
  <si>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</si>
  <si>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</si>
  <si>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</si>
  <si>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</si>
  <si>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</si>
  <si>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</si>
  <si>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</si>
  <si>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</si>
  <si>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</si>
  <si>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</si>
  <si>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</si>
  <si>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</si>
  <si>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</si>
  <si>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</si>
  <si>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</si>
  <si>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</si>
  <si>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</si>
  <si>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</si>
  <si>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</si>
  <si>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</si>
  <si>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</si>
  <si>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</si>
  <si>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</si>
  <si>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</si>
  <si>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</si>
  <si>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</si>
  <si>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</si>
  <si>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</si>
  <si>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</si>
  <si>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</si>
  <si>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</si>
  <si>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</si>
  <si>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</si>
  <si>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</si>
  <si>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</si>
  <si>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</si>
  <si>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</si>
  <si>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</si>
  <si>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</si>
  <si>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</si>
  <si>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</si>
  <si>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</si>
  <si>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</si>
  <si>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</si>
  <si>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</si>
  <si>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</si>
  <si>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</si>
  <si>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</si>
  <si>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</si>
  <si>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</si>
  <si>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</si>
  <si>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</si>
  <si>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</si>
  <si>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</si>
  <si>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</si>
  <si>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</si>
  <si>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</si>
  <si>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</si>
  <si>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</si>
  <si>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</si>
  <si>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</si>
  <si>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</si>
  <si>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</si>
  <si>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</si>
  <si>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</si>
  <si>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</si>
  <si>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</si>
  <si>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</si>
  <si>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</si>
  <si>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</si>
  <si>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</si>
  <si>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</si>
  <si>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</si>
  <si>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</si>
  <si>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</si>
  <si>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</si>
  <si>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</si>
  <si>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</si>
  <si>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</si>
  <si>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</si>
  <si>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</si>
  <si>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</si>
  <si>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</si>
  <si>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</si>
  <si>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</si>
  <si>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</si>
  <si>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</si>
  <si>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</si>
  <si>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</si>
  <si>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</si>
  <si>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</si>
  <si>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</si>
  <si>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</si>
  <si>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</si>
  <si>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</si>
  <si>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</si>
  <si>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</si>
  <si>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</si>
  <si>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</si>
  <si>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</si>
  <si>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</si>
  <si>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</si>
  <si>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</si>
  <si>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</si>
  <si>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</si>
  <si>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</si>
  <si>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</si>
  <si>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</si>
  <si>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</si>
  <si>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</si>
  <si>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</si>
  <si>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</si>
  <si>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</si>
  <si>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</si>
  <si>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</si>
  <si>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</si>
  <si>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</si>
  <si>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</si>
  <si>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</si>
  <si>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</si>
  <si>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</si>
  <si>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</si>
  <si>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</si>
  <si>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</si>
  <si>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</si>
  <si>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</si>
  <si>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</si>
  <si>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</si>
  <si>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</si>
  <si>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</si>
  <si>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</si>
  <si>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</si>
  <si>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</si>
  <si>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</si>
  <si>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</si>
  <si>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</si>
  <si>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</si>
  <si>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</si>
  <si>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</si>
  <si>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</si>
  <si>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</si>
  <si>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</si>
  <si>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</si>
  <si>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</si>
  <si>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</si>
  <si>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</si>
  <si>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</si>
  <si>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</si>
  <si>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</si>
  <si>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</si>
  <si>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</si>
  <si>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</si>
  <si>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</si>
  <si>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</si>
  <si>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</si>
  <si>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</si>
  <si>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</si>
  <si>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</si>
  <si>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</si>
  <si>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</si>
  <si>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</si>
  <si>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</si>
  <si>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</si>
  <si>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</si>
  <si>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</si>
  <si>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</si>
  <si>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</si>
  <si>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</si>
  <si>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</si>
  <si>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</si>
  <si>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</si>
  <si>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</si>
  <si>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</si>
  <si>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</si>
  <si>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</si>
  <si>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</si>
  <si>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</si>
  <si>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</si>
  <si>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</si>
  <si>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</si>
  <si>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</si>
  <si>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</si>
  <si>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</si>
  <si>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</si>
  <si>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</si>
  <si>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</si>
  <si>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</si>
  <si>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</si>
  <si>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</si>
  <si>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</si>
  <si>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</si>
  <si>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</si>
  <si>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</si>
  <si>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</si>
  <si>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</si>
  <si>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</si>
  <si>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</si>
  <si>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</si>
  <si>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</si>
  <si>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</si>
  <si>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</si>
  <si>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</si>
  <si>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</si>
  <si>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</si>
  <si>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</si>
  <si>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</si>
  <si>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</si>
  <si>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</si>
  <si>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</si>
  <si>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</si>
  <si>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</si>
  <si>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</si>
  <si>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</si>
  <si>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</si>
  <si>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</si>
  <si>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</si>
  <si>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</si>
  <si>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</si>
  <si>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</si>
  <si>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</si>
  <si>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</si>
  <si>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</si>
  <si>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</si>
  <si>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F. estimada de entrega</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</si>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</sst>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9">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ont>
    <font>
      <u/>
      <sz val="10"/>
      <color theme="1"/>
      <name val="Quattrocento Sans"/>
    </font>
    <font>
      <b/>
      <u/>
      <sz val="12"/>
      <color rgb="FFFFFFFF"/>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1">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895">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wrapText="1"/>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7" fillId="4" borderId="1" xfId="0" applyFont="1" applyFill="1" applyBorder="1" applyAlignment="1">
      <alignment horizontal="left" vertical="center" wrapText="1"/>
    </xf>
    <xf numFmtId="0" fontId="18" fillId="5" borderId="1" xfId="0" applyFont="1" applyFill="1" applyBorder="1" applyAlignment="1">
      <alignment horizontal="left" vertical="center" wrapText="1"/>
    </xf>
    <xf numFmtId="165" fontId="19" fillId="4" borderId="1" xfId="0" applyNumberFormat="1" applyFont="1" applyFill="1" applyBorder="1" applyAlignment="1">
      <alignment horizontal="right" vertical="center"/>
    </xf>
    <xf numFmtId="14" fontId="16" fillId="4" borderId="1" xfId="0" applyNumberFormat="1" applyFont="1" applyFill="1" applyBorder="1" applyAlignment="1">
      <alignment vertical="center" wrapText="1"/>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0" fillId="4" borderId="1" xfId="0" applyFont="1" applyFill="1" applyBorder="1" applyAlignment="1">
      <alignment horizontal="center" vertical="center"/>
    </xf>
    <xf numFmtId="0" fontId="21" fillId="6" borderId="1" xfId="0" applyFont="1" applyFill="1" applyBorder="1" applyAlignment="1">
      <alignment horizontal="left" vertical="center"/>
    </xf>
    <xf numFmtId="0" fontId="22"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3" fillId="4" borderId="1" xfId="0" applyFont="1" applyFill="1" applyBorder="1" applyAlignment="1">
      <alignment vertical="center" wrapText="1"/>
    </xf>
    <xf numFmtId="165"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4"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5" fillId="4" borderId="1" xfId="0" applyFont="1" applyFill="1" applyBorder="1" applyAlignment="1">
      <alignment horizontal="left" vertical="center" wrapText="1"/>
    </xf>
    <xf numFmtId="0" fontId="26"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7" fillId="4" borderId="1" xfId="0" applyFont="1" applyFill="1" applyBorder="1" applyAlignment="1">
      <alignment horizontal="center" vertical="center"/>
    </xf>
    <xf numFmtId="0" fontId="12" fillId="5" borderId="1" xfId="0" applyFont="1" applyFill="1" applyBorder="1" applyAlignment="1">
      <alignment vertical="center"/>
    </xf>
    <xf numFmtId="0" fontId="28" fillId="0" borderId="1" xfId="0" applyFont="1" applyBorder="1" applyAlignment="1">
      <alignment vertical="center" wrapText="1"/>
    </xf>
    <xf numFmtId="0" fontId="29"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2" fillId="0" borderId="1" xfId="0" applyFont="1" applyBorder="1" applyAlignment="1">
      <alignment vertical="center"/>
    </xf>
    <xf numFmtId="0" fontId="30"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28" fillId="0" borderId="1" xfId="0" applyFont="1" applyBorder="1" applyAlignment="1">
      <alignment vertical="center" wrapText="1"/>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29"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30" fillId="5" borderId="1" xfId="0" applyFont="1" applyFill="1" applyBorder="1" applyAlignment="1">
      <alignment vertical="center" wrapText="1"/>
    </xf>
    <xf numFmtId="0" fontId="29" fillId="0" borderId="1" xfId="0" applyFont="1" applyBorder="1" applyAlignment="1">
      <alignment horizontal="left" vertical="center"/>
    </xf>
    <xf numFmtId="0" fontId="16" fillId="4" borderId="1" xfId="0" applyFont="1" applyFill="1" applyBorder="1" applyAlignment="1">
      <alignment vertical="center"/>
    </xf>
    <xf numFmtId="0" fontId="27"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30" fillId="0" borderId="1" xfId="0" applyFont="1" applyBorder="1" applyAlignment="1">
      <alignment vertical="center"/>
    </xf>
    <xf numFmtId="0" fontId="30" fillId="0" borderId="1" xfId="0" applyFont="1" applyBorder="1" applyAlignment="1">
      <alignment vertical="center"/>
    </xf>
    <xf numFmtId="0" fontId="30" fillId="0" borderId="1" xfId="0" applyFont="1" applyBorder="1" applyAlignment="1">
      <alignment vertical="center"/>
    </xf>
    <xf numFmtId="0" fontId="30" fillId="0" borderId="0" xfId="0" applyFont="1" applyAlignment="1">
      <alignment vertical="center"/>
    </xf>
    <xf numFmtId="0" fontId="30"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19"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30" fillId="0" borderId="1" xfId="0" applyFont="1" applyBorder="1" applyAlignment="1">
      <alignment vertical="center" wrapText="1"/>
    </xf>
    <xf numFmtId="0" fontId="30" fillId="0" borderId="1" xfId="0" applyFont="1" applyBorder="1" applyAlignment="1">
      <alignment vertical="center" wrapText="1"/>
    </xf>
    <xf numFmtId="0" fontId="29"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30" fillId="0" borderId="0" xfId="0" applyFont="1" applyAlignment="1">
      <alignment vertical="center"/>
    </xf>
    <xf numFmtId="0" fontId="41" fillId="4" borderId="1" xfId="0" applyFont="1" applyFill="1" applyBorder="1" applyAlignment="1">
      <alignment horizontal="left" vertical="center" wrapText="1"/>
    </xf>
    <xf numFmtId="0" fontId="19" fillId="4" borderId="1" xfId="0" applyFont="1" applyFill="1" applyBorder="1" applyAlignment="1">
      <alignment vertical="center"/>
    </xf>
    <xf numFmtId="0" fontId="41" fillId="4" borderId="1" xfId="0" applyFont="1" applyFill="1" applyBorder="1" applyAlignment="1">
      <alignment horizontal="left" vertical="center"/>
    </xf>
    <xf numFmtId="0" fontId="29" fillId="4" borderId="1" xfId="0" applyFont="1" applyFill="1" applyBorder="1" applyAlignment="1">
      <alignment horizontal="left" vertical="center" wrapText="1"/>
    </xf>
    <xf numFmtId="0" fontId="30" fillId="0" borderId="1" xfId="0" applyFont="1" applyBorder="1" applyAlignment="1">
      <alignment vertical="center"/>
    </xf>
    <xf numFmtId="0" fontId="41" fillId="4" borderId="1" xfId="0" applyFont="1" applyFill="1" applyBorder="1" applyAlignment="1">
      <alignment horizontal="left" vertical="center"/>
    </xf>
    <xf numFmtId="0" fontId="29" fillId="4" borderId="1" xfId="0" applyFont="1" applyFill="1" applyBorder="1" applyAlignment="1">
      <alignment vertical="center" wrapText="1"/>
    </xf>
    <xf numFmtId="0" fontId="42" fillId="4" borderId="1" xfId="0" applyFont="1" applyFill="1" applyBorder="1" applyAlignment="1">
      <alignment vertical="center" wrapText="1"/>
    </xf>
    <xf numFmtId="0" fontId="43" fillId="4" borderId="1" xfId="0" applyFont="1" applyFill="1" applyBorder="1" applyAlignment="1">
      <alignment horizontal="center" vertical="center"/>
    </xf>
    <xf numFmtId="0" fontId="44" fillId="4" borderId="1" xfId="0" applyFont="1" applyFill="1" applyBorder="1" applyAlignment="1">
      <alignment horizontal="left" vertical="center"/>
    </xf>
    <xf numFmtId="0" fontId="43"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5" fillId="4" borderId="0" xfId="0" applyFont="1" applyFill="1" applyAlignment="1">
      <alignment vertical="center" wrapText="1"/>
    </xf>
    <xf numFmtId="0" fontId="43"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29"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6"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0" fontId="47" fillId="4" borderId="0" xfId="0" applyFont="1" applyFill="1" applyAlignment="1">
      <alignment vertical="center"/>
    </xf>
    <xf numFmtId="0" fontId="29" fillId="4" borderId="1" xfId="0" applyFont="1" applyFill="1" applyBorder="1" applyAlignment="1">
      <alignment horizontal="left" vertical="center" wrapText="1"/>
    </xf>
    <xf numFmtId="166" fontId="16" fillId="4" borderId="1" xfId="0" applyNumberFormat="1" applyFont="1" applyFill="1" applyBorder="1" applyAlignment="1">
      <alignment horizontal="center" vertical="center"/>
    </xf>
    <xf numFmtId="0" fontId="16" fillId="4" borderId="1" xfId="0" applyFont="1" applyFill="1" applyBorder="1" applyAlignment="1">
      <alignment vertical="center" wrapText="1"/>
    </xf>
    <xf numFmtId="0" fontId="29"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30" fillId="0" borderId="1" xfId="0" applyNumberFormat="1" applyFont="1" applyBorder="1" applyAlignment="1">
      <alignment vertical="center"/>
    </xf>
    <xf numFmtId="0" fontId="30" fillId="5" borderId="1" xfId="0" applyFont="1" applyFill="1" applyBorder="1" applyAlignment="1">
      <alignment vertical="center"/>
    </xf>
    <xf numFmtId="164" fontId="27" fillId="4" borderId="1" xfId="0" applyNumberFormat="1" applyFont="1" applyFill="1" applyBorder="1" applyAlignment="1">
      <alignment horizontal="center" vertical="center"/>
    </xf>
    <xf numFmtId="165" fontId="30" fillId="0" borderId="0" xfId="0" applyNumberFormat="1" applyFont="1" applyAlignment="1">
      <alignment vertical="center"/>
    </xf>
    <xf numFmtId="0" fontId="48" fillId="4" borderId="1" xfId="0" applyFont="1" applyFill="1" applyBorder="1" applyAlignment="1">
      <alignment vertical="center"/>
    </xf>
    <xf numFmtId="14" fontId="30" fillId="0" borderId="0" xfId="0" applyNumberFormat="1" applyFont="1" applyAlignment="1">
      <alignment vertical="center"/>
    </xf>
    <xf numFmtId="164" fontId="30" fillId="0" borderId="0" xfId="0" applyNumberFormat="1" applyFont="1" applyAlignment="1">
      <alignment vertical="center"/>
    </xf>
    <xf numFmtId="166" fontId="16" fillId="4" borderId="1" xfId="0" applyNumberFormat="1" applyFont="1" applyFill="1" applyBorder="1" applyAlignment="1">
      <alignment vertical="center"/>
    </xf>
    <xf numFmtId="0" fontId="30" fillId="0" borderId="1" xfId="0" applyFont="1" applyBorder="1" applyAlignment="1">
      <alignment vertical="center" wrapText="1"/>
    </xf>
    <xf numFmtId="0" fontId="49" fillId="4" borderId="1" xfId="0" applyFont="1" applyFill="1" applyBorder="1" applyAlignment="1">
      <alignment horizontal="left" vertical="top"/>
    </xf>
    <xf numFmtId="0" fontId="50" fillId="0" borderId="1" xfId="0" applyFont="1" applyBorder="1" applyAlignment="1">
      <alignment horizontal="left" vertical="center" wrapText="1"/>
    </xf>
    <xf numFmtId="0" fontId="51" fillId="4" borderId="1" xfId="0" applyFont="1" applyFill="1" applyBorder="1" applyAlignment="1">
      <alignment horizontal="left" vertical="center"/>
    </xf>
    <xf numFmtId="14" fontId="43" fillId="4" borderId="1" xfId="0" applyNumberFormat="1" applyFont="1" applyFill="1" applyBorder="1" applyAlignment="1">
      <alignment horizontal="center" vertical="center"/>
    </xf>
    <xf numFmtId="0" fontId="28" fillId="0" borderId="1" xfId="0" applyFont="1" applyBorder="1" applyAlignment="1">
      <alignment vertical="center"/>
    </xf>
    <xf numFmtId="0" fontId="7" fillId="4" borderId="1" xfId="0" applyFont="1" applyFill="1" applyBorder="1" applyAlignment="1">
      <alignment horizontal="center" vertical="center"/>
    </xf>
    <xf numFmtId="0" fontId="30"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2" fillId="4" borderId="1" xfId="0" applyFont="1" applyFill="1" applyBorder="1" applyAlignment="1">
      <alignment vertical="center" wrapText="1"/>
    </xf>
    <xf numFmtId="0" fontId="29" fillId="4" borderId="0" xfId="0" applyFont="1" applyFill="1" applyAlignment="1">
      <alignment horizontal="left" vertical="center" wrapText="1"/>
    </xf>
    <xf numFmtId="0" fontId="53" fillId="4" borderId="1" xfId="0" applyFont="1" applyFill="1" applyBorder="1" applyAlignment="1">
      <alignment vertical="center" wrapText="1"/>
    </xf>
    <xf numFmtId="0" fontId="54" fillId="4" borderId="0" xfId="0" applyFont="1" applyFill="1" applyAlignment="1">
      <alignment horizontal="left" vertical="top"/>
    </xf>
    <xf numFmtId="0" fontId="16" fillId="4" borderId="0" xfId="0" applyFont="1" applyFill="1" applyAlignment="1">
      <alignment horizontal="left" vertical="top"/>
    </xf>
    <xf numFmtId="164" fontId="30" fillId="0" borderId="1" xfId="0" applyNumberFormat="1" applyFont="1" applyBorder="1" applyAlignment="1">
      <alignment vertical="center"/>
    </xf>
    <xf numFmtId="14" fontId="30" fillId="0" borderId="1" xfId="0" applyNumberFormat="1" applyFont="1" applyBorder="1" applyAlignment="1">
      <alignment vertical="center"/>
    </xf>
    <xf numFmtId="0" fontId="55" fillId="0" borderId="1" xfId="0" applyFont="1" applyBorder="1" applyAlignment="1">
      <alignment vertical="center"/>
    </xf>
    <xf numFmtId="0" fontId="12" fillId="0" borderId="1" xfId="0" applyFont="1" applyBorder="1" applyAlignment="1">
      <alignment vertical="center"/>
    </xf>
    <xf numFmtId="165" fontId="56" fillId="0" borderId="1" xfId="0" applyNumberFormat="1" applyFont="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29" fillId="0" borderId="1" xfId="0" applyNumberFormat="1" applyFont="1" applyBorder="1" applyAlignment="1">
      <alignment horizontal="center" vertical="center"/>
    </xf>
    <xf numFmtId="165" fontId="29"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29" fillId="0" borderId="1" xfId="0" applyNumberFormat="1" applyFont="1" applyBorder="1" applyAlignment="1">
      <alignment horizontal="center" vertical="center"/>
    </xf>
    <xf numFmtId="14" fontId="29" fillId="0" borderId="1" xfId="0" applyNumberFormat="1" applyFont="1" applyBorder="1" applyAlignment="1">
      <alignment horizontal="center" vertical="center"/>
    </xf>
    <xf numFmtId="0" fontId="30" fillId="0" borderId="0" xfId="0" applyFont="1" applyAlignment="1">
      <alignment vertical="center" wrapText="1"/>
    </xf>
    <xf numFmtId="0" fontId="27" fillId="4" borderId="0" xfId="0" applyFont="1" applyFill="1" applyAlignment="1">
      <alignment horizontal="center" vertical="center"/>
    </xf>
    <xf numFmtId="0" fontId="12" fillId="0" borderId="0" xfId="0" applyFont="1" applyAlignment="1">
      <alignment vertical="center"/>
    </xf>
    <xf numFmtId="166" fontId="16" fillId="4" borderId="0" xfId="0" applyNumberFormat="1" applyFont="1" applyFill="1" applyAlignment="1">
      <alignment horizontal="center" vertical="center"/>
    </xf>
    <xf numFmtId="49" fontId="16" fillId="4" borderId="0" xfId="0" applyNumberFormat="1" applyFont="1" applyFill="1" applyAlignment="1">
      <alignment vertical="top"/>
    </xf>
    <xf numFmtId="3" fontId="16" fillId="4" borderId="0" xfId="0" applyNumberFormat="1" applyFont="1" applyFill="1" applyAlignment="1">
      <alignment horizontal="center" vertical="center"/>
    </xf>
    <xf numFmtId="0" fontId="16" fillId="4" borderId="0" xfId="0" applyFont="1" applyFill="1" applyAlignment="1">
      <alignment horizontal="left" vertical="top"/>
    </xf>
    <xf numFmtId="0" fontId="32" fillId="7" borderId="0" xfId="0" applyFont="1" applyFill="1" applyAlignment="1">
      <alignment vertical="center"/>
    </xf>
    <xf numFmtId="0" fontId="32" fillId="7" borderId="0" xfId="0" applyFont="1" applyFill="1" applyAlignment="1">
      <alignment vertical="center"/>
    </xf>
    <xf numFmtId="49" fontId="57" fillId="8" borderId="0" xfId="0" applyNumberFormat="1" applyFont="1" applyFill="1" applyAlignment="1">
      <alignment horizontal="center" vertical="center" wrapText="1"/>
    </xf>
    <xf numFmtId="49" fontId="58" fillId="9" borderId="3" xfId="0" applyNumberFormat="1" applyFont="1" applyFill="1" applyBorder="1" applyAlignment="1">
      <alignment horizontal="center" vertical="center"/>
    </xf>
    <xf numFmtId="49" fontId="59" fillId="2" borderId="0" xfId="0" applyNumberFormat="1" applyFont="1" applyFill="1" applyAlignment="1">
      <alignment horizontal="center" vertical="center" wrapText="1"/>
    </xf>
    <xf numFmtId="0" fontId="7" fillId="8" borderId="0" xfId="0" applyFont="1" applyFill="1" applyAlignment="1">
      <alignment horizontal="center" vertical="top" wrapText="1"/>
    </xf>
    <xf numFmtId="0" fontId="60" fillId="4" borderId="1" xfId="0" applyFont="1" applyFill="1" applyBorder="1" applyAlignment="1">
      <alignment horizontal="center" vertical="center" wrapText="1"/>
    </xf>
    <xf numFmtId="0" fontId="61" fillId="4" borderId="1" xfId="0" applyFont="1" applyFill="1" applyBorder="1" applyAlignment="1">
      <alignment vertical="center" wrapText="1"/>
    </xf>
    <xf numFmtId="0" fontId="62"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xf>
    <xf numFmtId="49" fontId="63" fillId="4" borderId="1" xfId="0" applyNumberFormat="1" applyFont="1" applyFill="1" applyBorder="1" applyAlignment="1">
      <alignment vertical="center" wrapText="1"/>
    </xf>
    <xf numFmtId="164" fontId="30" fillId="0" borderId="1" xfId="0" applyNumberFormat="1" applyFont="1" applyBorder="1" applyAlignment="1">
      <alignment vertical="center"/>
    </xf>
    <xf numFmtId="0" fontId="64" fillId="4" borderId="1" xfId="0" applyFont="1" applyFill="1" applyBorder="1" applyAlignment="1">
      <alignment vertical="center" wrapText="1"/>
    </xf>
    <xf numFmtId="0" fontId="65" fillId="4" borderId="1" xfId="0" applyFont="1" applyFill="1" applyBorder="1" applyAlignment="1">
      <alignment vertical="center" wrapText="1"/>
    </xf>
    <xf numFmtId="0" fontId="66" fillId="4" borderId="1" xfId="0" applyFont="1" applyFill="1" applyBorder="1" applyAlignment="1">
      <alignment horizontal="center" vertical="center"/>
    </xf>
    <xf numFmtId="0" fontId="67" fillId="0" borderId="1" xfId="0" applyFont="1" applyBorder="1" applyAlignment="1">
      <alignment horizontal="left" vertical="center" wrapText="1"/>
    </xf>
    <xf numFmtId="165" fontId="7" fillId="4" borderId="1" xfId="0" applyNumberFormat="1" applyFont="1" applyFill="1" applyBorder="1" applyAlignment="1">
      <alignment vertical="center" wrapText="1"/>
    </xf>
    <xf numFmtId="0" fontId="68" fillId="4" borderId="1" xfId="0" applyFont="1" applyFill="1" applyBorder="1" applyAlignment="1">
      <alignment horizontal="center" vertical="center"/>
    </xf>
    <xf numFmtId="0" fontId="69" fillId="0" borderId="1" xfId="0" applyFont="1" applyBorder="1" applyAlignment="1">
      <alignment horizontal="left" vertical="center"/>
    </xf>
    <xf numFmtId="0" fontId="70" fillId="4" borderId="1" xfId="0" applyFont="1" applyFill="1" applyBorder="1" applyAlignment="1">
      <alignment horizontal="center" vertical="center"/>
    </xf>
    <xf numFmtId="0" fontId="16" fillId="4" borderId="1" xfId="0" applyFont="1" applyFill="1" applyBorder="1" applyAlignment="1">
      <alignment vertical="center"/>
    </xf>
    <xf numFmtId="164" fontId="7" fillId="4" borderId="1" xfId="0" applyNumberFormat="1" applyFont="1" applyFill="1" applyBorder="1" applyAlignment="1">
      <alignment vertical="center"/>
    </xf>
    <xf numFmtId="0" fontId="7" fillId="4" borderId="1" xfId="0" applyFont="1" applyFill="1" applyBorder="1" applyAlignment="1">
      <alignment horizontal="left" vertical="top" wrapText="1"/>
    </xf>
    <xf numFmtId="0" fontId="29" fillId="0" borderId="1" xfId="0" applyFont="1" applyBorder="1" applyAlignment="1">
      <alignment horizontal="left" vertical="center"/>
    </xf>
    <xf numFmtId="0" fontId="16" fillId="4" borderId="1" xfId="0" applyFont="1" applyFill="1" applyBorder="1" applyAlignment="1">
      <alignment vertical="center" wrapText="1"/>
    </xf>
    <xf numFmtId="0" fontId="71" fillId="4" borderId="1" xfId="0" applyFont="1" applyFill="1" applyBorder="1" applyAlignment="1">
      <alignment horizontal="center" vertical="center"/>
    </xf>
    <xf numFmtId="0" fontId="7" fillId="4" borderId="1" xfId="0" applyFont="1" applyFill="1" applyBorder="1" applyAlignment="1">
      <alignment horizontal="left" vertical="top" wrapText="1"/>
    </xf>
    <xf numFmtId="0" fontId="72" fillId="0" borderId="1" xfId="0" applyFont="1" applyBorder="1" applyAlignment="1">
      <alignment horizontal="left" vertical="center"/>
    </xf>
    <xf numFmtId="0" fontId="16" fillId="4" borderId="1" xfId="0" applyFont="1" applyFill="1" applyBorder="1" applyAlignment="1">
      <alignment vertical="top"/>
    </xf>
    <xf numFmtId="0" fontId="16" fillId="4" borderId="1" xfId="0" applyFont="1" applyFill="1" applyBorder="1" applyAlignment="1">
      <alignment vertical="top"/>
    </xf>
    <xf numFmtId="0" fontId="73" fillId="4" borderId="1" xfId="0" applyFont="1" applyFill="1" applyBorder="1" applyAlignment="1">
      <alignment horizontal="center" vertical="center" wrapText="1"/>
    </xf>
    <xf numFmtId="0" fontId="16" fillId="4" borderId="1" xfId="0" applyFont="1" applyFill="1" applyBorder="1" applyAlignment="1">
      <alignment vertical="center"/>
    </xf>
    <xf numFmtId="0" fontId="74" fillId="5" borderId="1" xfId="0" applyFont="1" applyFill="1" applyBorder="1" applyAlignment="1">
      <alignment horizontal="center" vertical="center" wrapText="1"/>
    </xf>
    <xf numFmtId="0" fontId="75" fillId="4" borderId="1" xfId="0" applyFont="1" applyFill="1" applyBorder="1" applyAlignment="1">
      <alignment horizontal="center" vertical="center" wrapText="1"/>
    </xf>
    <xf numFmtId="0" fontId="76" fillId="4" borderId="1" xfId="0" applyFont="1" applyFill="1" applyBorder="1" applyAlignment="1">
      <alignment vertical="center"/>
    </xf>
    <xf numFmtId="0" fontId="77" fillId="0" borderId="2" xfId="0" applyFont="1" applyBorder="1" applyAlignment="1">
      <alignment horizontal="left" vertical="top" wrapText="1"/>
    </xf>
    <xf numFmtId="0" fontId="78" fillId="4" borderId="2" xfId="0" applyFont="1" applyFill="1" applyBorder="1" applyAlignment="1">
      <alignment vertical="center"/>
    </xf>
    <xf numFmtId="0" fontId="79" fillId="4" borderId="2" xfId="0" applyFont="1" applyFill="1" applyBorder="1" applyAlignment="1">
      <alignment vertical="center"/>
    </xf>
    <xf numFmtId="0" fontId="80" fillId="4" borderId="1" xfId="0" applyFont="1" applyFill="1" applyBorder="1" applyAlignment="1">
      <alignment vertical="center"/>
    </xf>
    <xf numFmtId="0" fontId="81" fillId="4" borderId="1" xfId="0" applyFont="1" applyFill="1" applyBorder="1" applyAlignment="1">
      <alignment vertical="center"/>
    </xf>
    <xf numFmtId="0" fontId="82" fillId="4" borderId="1" xfId="0" applyFont="1" applyFill="1" applyBorder="1" applyAlignment="1">
      <alignment vertical="center"/>
    </xf>
    <xf numFmtId="164" fontId="7" fillId="4" borderId="1" xfId="0" applyNumberFormat="1" applyFont="1" applyFill="1" applyBorder="1" applyAlignment="1">
      <alignment vertical="center"/>
    </xf>
    <xf numFmtId="0" fontId="83" fillId="4" borderId="1" xfId="0" applyFont="1" applyFill="1" applyBorder="1" applyAlignment="1">
      <alignment horizontal="center" vertical="center" wrapText="1"/>
    </xf>
    <xf numFmtId="0" fontId="84" fillId="4" borderId="1" xfId="0" applyFont="1" applyFill="1" applyBorder="1" applyAlignment="1">
      <alignment horizontal="center" vertical="center" wrapText="1"/>
    </xf>
    <xf numFmtId="0" fontId="85" fillId="10" borderId="1" xfId="0" applyFont="1" applyFill="1" applyBorder="1" applyAlignment="1">
      <alignment vertical="center"/>
    </xf>
    <xf numFmtId="0" fontId="86" fillId="4" borderId="1" xfId="0" applyFont="1" applyFill="1" applyBorder="1" applyAlignment="1">
      <alignment vertical="center"/>
    </xf>
    <xf numFmtId="0" fontId="87" fillId="10" borderId="1" xfId="0" applyFont="1" applyFill="1" applyBorder="1" applyAlignment="1">
      <alignment horizontal="center" vertical="center" wrapText="1"/>
    </xf>
    <xf numFmtId="0" fontId="88" fillId="4" borderId="1" xfId="0" applyFont="1" applyFill="1" applyBorder="1" applyAlignment="1">
      <alignment vertical="center"/>
    </xf>
    <xf numFmtId="0" fontId="89" fillId="4" borderId="1" xfId="0" applyFont="1" applyFill="1" applyBorder="1" applyAlignment="1">
      <alignment horizontal="center" vertical="center"/>
    </xf>
    <xf numFmtId="164" fontId="89" fillId="4" borderId="1" xfId="0" applyNumberFormat="1" applyFont="1" applyFill="1" applyBorder="1" applyAlignment="1">
      <alignment horizontal="right" vertical="center"/>
    </xf>
    <xf numFmtId="165" fontId="89" fillId="4" borderId="1" xfId="0" applyNumberFormat="1" applyFont="1" applyFill="1" applyBorder="1" applyAlignment="1">
      <alignment horizontal="right" vertical="center"/>
    </xf>
    <xf numFmtId="164" fontId="86" fillId="4" borderId="1" xfId="0" applyNumberFormat="1" applyFont="1" applyFill="1" applyBorder="1" applyAlignment="1">
      <alignment vertical="center"/>
    </xf>
    <xf numFmtId="14" fontId="86" fillId="4" borderId="1" xfId="0" applyNumberFormat="1" applyFont="1" applyFill="1" applyBorder="1" applyAlignment="1">
      <alignment vertical="center"/>
    </xf>
    <xf numFmtId="0" fontId="89" fillId="10" borderId="1" xfId="0" applyFont="1" applyFill="1" applyBorder="1" applyAlignment="1">
      <alignment vertical="top"/>
    </xf>
    <xf numFmtId="49" fontId="90" fillId="10" borderId="1" xfId="0" applyNumberFormat="1" applyFont="1" applyFill="1" applyBorder="1" applyAlignment="1">
      <alignment vertical="center" wrapText="1"/>
    </xf>
    <xf numFmtId="0" fontId="86" fillId="10" borderId="1" xfId="0" applyFont="1" applyFill="1" applyBorder="1" applyAlignment="1">
      <alignment vertical="top"/>
    </xf>
    <xf numFmtId="0" fontId="91" fillId="4" borderId="1" xfId="0" applyFont="1" applyFill="1" applyBorder="1" applyAlignment="1">
      <alignment vertical="center"/>
    </xf>
    <xf numFmtId="165" fontId="92" fillId="10" borderId="1" xfId="0" applyNumberFormat="1" applyFont="1" applyFill="1" applyBorder="1" applyAlignment="1">
      <alignment horizontal="right" vertical="center"/>
    </xf>
    <xf numFmtId="0" fontId="92" fillId="10" borderId="1" xfId="0" applyFont="1" applyFill="1" applyBorder="1" applyAlignment="1">
      <alignment vertical="top"/>
    </xf>
    <xf numFmtId="0" fontId="93" fillId="4" borderId="1" xfId="0" applyFont="1" applyFill="1" applyBorder="1" applyAlignment="1">
      <alignment vertical="center"/>
    </xf>
    <xf numFmtId="0" fontId="94" fillId="10" borderId="1" xfId="0" applyFont="1" applyFill="1" applyBorder="1" applyAlignment="1">
      <alignment horizontal="center" vertical="center" wrapText="1"/>
    </xf>
    <xf numFmtId="0" fontId="95" fillId="4" borderId="1" xfId="0" applyFont="1" applyFill="1" applyBorder="1" applyAlignment="1">
      <alignment vertical="center"/>
    </xf>
    <xf numFmtId="0" fontId="86" fillId="4" borderId="1" xfId="0" applyFont="1" applyFill="1" applyBorder="1" applyAlignment="1">
      <alignment vertical="center"/>
    </xf>
    <xf numFmtId="0" fontId="96" fillId="10" borderId="1" xfId="0" applyFont="1" applyFill="1" applyBorder="1" applyAlignment="1">
      <alignment horizontal="center" vertical="center" wrapText="1"/>
    </xf>
    <xf numFmtId="0" fontId="97" fillId="4" borderId="1" xfId="0" applyFont="1" applyFill="1" applyBorder="1" applyAlignment="1">
      <alignment vertical="center"/>
    </xf>
    <xf numFmtId="0" fontId="89" fillId="4" borderId="1" xfId="0" applyFont="1" applyFill="1" applyBorder="1" applyAlignment="1">
      <alignment horizontal="center" vertical="center"/>
    </xf>
    <xf numFmtId="164" fontId="89" fillId="4" borderId="1" xfId="0" applyNumberFormat="1" applyFont="1" applyFill="1" applyBorder="1" applyAlignment="1">
      <alignment horizontal="right" vertical="center"/>
    </xf>
    <xf numFmtId="165" fontId="89" fillId="4" borderId="1" xfId="0" applyNumberFormat="1" applyFont="1" applyFill="1" applyBorder="1" applyAlignment="1">
      <alignment horizontal="right" vertical="center"/>
    </xf>
    <xf numFmtId="0" fontId="86" fillId="4" borderId="1" xfId="0" applyFont="1" applyFill="1" applyBorder="1" applyAlignment="1">
      <alignment vertical="top"/>
    </xf>
    <xf numFmtId="0" fontId="98" fillId="4" borderId="1" xfId="0" applyFont="1" applyFill="1" applyBorder="1" applyAlignment="1">
      <alignment horizontal="center" vertical="center" wrapText="1"/>
    </xf>
    <xf numFmtId="0" fontId="99" fillId="4" borderId="1" xfId="0" applyFont="1" applyFill="1" applyBorder="1" applyAlignment="1">
      <alignment vertical="center"/>
    </xf>
    <xf numFmtId="0" fontId="92" fillId="4" borderId="1" xfId="0" applyFont="1" applyFill="1" applyBorder="1" applyAlignment="1">
      <alignment horizontal="center" vertical="center"/>
    </xf>
    <xf numFmtId="49" fontId="100" fillId="4" borderId="1" xfId="0" applyNumberFormat="1" applyFont="1" applyFill="1" applyBorder="1" applyAlignment="1">
      <alignment vertical="center" wrapText="1"/>
    </xf>
    <xf numFmtId="0" fontId="101" fillId="4" borderId="1" xfId="0" applyFont="1" applyFill="1" applyBorder="1" applyAlignment="1">
      <alignment vertical="center"/>
    </xf>
    <xf numFmtId="0" fontId="92" fillId="4" borderId="1" xfId="0" applyFont="1" applyFill="1" applyBorder="1" applyAlignment="1">
      <alignment horizontal="center" vertical="center"/>
    </xf>
    <xf numFmtId="0" fontId="102" fillId="10" borderId="1" xfId="0" applyFont="1" applyFill="1" applyBorder="1" applyAlignment="1">
      <alignment horizontal="center" vertical="center" wrapText="1"/>
    </xf>
    <xf numFmtId="0" fontId="103" fillId="10" borderId="1" xfId="0" applyFont="1" applyFill="1" applyBorder="1" applyAlignment="1">
      <alignment vertical="center"/>
    </xf>
    <xf numFmtId="0" fontId="104" fillId="10" borderId="1" xfId="0" applyFont="1" applyFill="1" applyBorder="1" applyAlignment="1">
      <alignment vertical="center"/>
    </xf>
    <xf numFmtId="0" fontId="92" fillId="10" borderId="1" xfId="0" applyFont="1" applyFill="1" applyBorder="1" applyAlignment="1">
      <alignment horizontal="center" vertical="center"/>
    </xf>
    <xf numFmtId="164" fontId="86" fillId="10" borderId="1" xfId="0" applyNumberFormat="1" applyFont="1" applyFill="1" applyBorder="1" applyAlignment="1">
      <alignment vertical="center"/>
    </xf>
    <xf numFmtId="14" fontId="86" fillId="10" borderId="1" xfId="0" applyNumberFormat="1" applyFont="1" applyFill="1" applyBorder="1" applyAlignment="1">
      <alignment vertical="center"/>
    </xf>
    <xf numFmtId="0" fontId="105" fillId="10" borderId="1" xfId="0" applyFont="1" applyFill="1" applyBorder="1" applyAlignment="1">
      <alignment vertical="center"/>
    </xf>
    <xf numFmtId="164" fontId="92" fillId="10" borderId="1" xfId="0" applyNumberFormat="1" applyFont="1" applyFill="1" applyBorder="1" applyAlignment="1">
      <alignment horizontal="right" vertical="center"/>
    </xf>
    <xf numFmtId="0" fontId="106" fillId="4" borderId="1" xfId="0" applyFont="1" applyFill="1" applyBorder="1" applyAlignment="1">
      <alignment vertical="center" wrapText="1"/>
    </xf>
    <xf numFmtId="0" fontId="107" fillId="4" borderId="1" xfId="0" applyFont="1" applyFill="1" applyBorder="1" applyAlignment="1">
      <alignment horizontal="center" vertical="center" wrapText="1"/>
    </xf>
    <xf numFmtId="0" fontId="108" fillId="4" borderId="1" xfId="0" applyFont="1" applyFill="1" applyBorder="1" applyAlignment="1">
      <alignment horizontal="center" vertical="center" wrapText="1"/>
    </xf>
    <xf numFmtId="0" fontId="109" fillId="4" borderId="1" xfId="0" applyFont="1" applyFill="1" applyBorder="1" applyAlignment="1">
      <alignment vertical="center"/>
    </xf>
    <xf numFmtId="0" fontId="110" fillId="4" borderId="1" xfId="0" applyFont="1" applyFill="1" applyBorder="1" applyAlignment="1">
      <alignment horizontal="center" vertical="center" wrapText="1"/>
    </xf>
    <xf numFmtId="0" fontId="111" fillId="4" borderId="1" xfId="0" applyFont="1" applyFill="1" applyBorder="1" applyAlignment="1">
      <alignment vertical="center"/>
    </xf>
    <xf numFmtId="0" fontId="86" fillId="4" borderId="1" xfId="0" applyFont="1" applyFill="1" applyBorder="1" applyAlignment="1">
      <alignment vertical="top"/>
    </xf>
    <xf numFmtId="0" fontId="112" fillId="10" borderId="1" xfId="0" applyFont="1" applyFill="1" applyBorder="1" applyAlignment="1">
      <alignment vertical="center"/>
    </xf>
    <xf numFmtId="0" fontId="92" fillId="10" borderId="1" xfId="0" applyFont="1" applyFill="1" applyBorder="1" applyAlignment="1">
      <alignment horizontal="center" vertical="center"/>
    </xf>
    <xf numFmtId="0" fontId="92" fillId="10" borderId="1" xfId="0" applyFont="1" applyFill="1" applyBorder="1" applyAlignment="1">
      <alignment vertical="center"/>
    </xf>
    <xf numFmtId="0" fontId="113" fillId="4" borderId="1" xfId="0" applyFont="1" applyFill="1" applyBorder="1" applyAlignment="1">
      <alignment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92" fillId="4" borderId="1" xfId="0" applyFont="1" applyFill="1" applyBorder="1" applyAlignment="1">
      <alignment vertical="top"/>
    </xf>
    <xf numFmtId="0" fontId="114" fillId="10" borderId="1" xfId="0" applyFont="1" applyFill="1" applyBorder="1" applyAlignment="1">
      <alignment vertical="center"/>
    </xf>
    <xf numFmtId="0" fontId="86" fillId="10" borderId="1" xfId="0" applyFont="1" applyFill="1" applyBorder="1" applyAlignment="1">
      <alignment vertical="top"/>
    </xf>
    <xf numFmtId="0" fontId="115" fillId="10" borderId="1" xfId="0" applyFont="1" applyFill="1" applyBorder="1" applyAlignment="1">
      <alignment vertical="center"/>
    </xf>
    <xf numFmtId="0" fontId="116" fillId="4" borderId="1" xfId="0" applyFont="1" applyFill="1" applyBorder="1" applyAlignment="1">
      <alignment vertical="center"/>
    </xf>
    <xf numFmtId="0" fontId="117" fillId="4" borderId="1" xfId="0" applyFont="1" applyFill="1" applyBorder="1" applyAlignment="1">
      <alignment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92" fillId="4" borderId="1" xfId="0" applyFont="1" applyFill="1" applyBorder="1" applyAlignment="1">
      <alignment vertical="top"/>
    </xf>
    <xf numFmtId="0" fontId="27" fillId="4" borderId="0" xfId="0" applyFont="1" applyFill="1" applyAlignment="1">
      <alignment horizontal="center" vertical="center"/>
    </xf>
    <xf numFmtId="0" fontId="118" fillId="4" borderId="0" xfId="0" applyFont="1" applyFill="1" applyAlignment="1">
      <alignment horizontal="center" vertical="center"/>
    </xf>
    <xf numFmtId="0" fontId="29" fillId="0" borderId="0" xfId="0" applyFont="1" applyAlignment="1">
      <alignment horizontal="left" vertical="center"/>
    </xf>
    <xf numFmtId="0" fontId="16" fillId="4" borderId="0" xfId="0" applyFont="1" applyFill="1" applyAlignment="1">
      <alignment vertical="center"/>
    </xf>
    <xf numFmtId="0" fontId="86" fillId="4" borderId="4" xfId="0" applyFont="1" applyFill="1" applyBorder="1" applyAlignment="1">
      <alignment vertical="center"/>
    </xf>
    <xf numFmtId="0" fontId="16" fillId="4" borderId="0" xfId="0" applyFont="1" applyFill="1" applyAlignment="1">
      <alignment vertical="center"/>
    </xf>
    <xf numFmtId="166" fontId="16" fillId="4" borderId="0" xfId="0" applyNumberFormat="1" applyFont="1" applyFill="1" applyAlignment="1">
      <alignment horizontal="center"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0" fontId="119" fillId="0" borderId="0" xfId="0" applyFont="1" applyAlignment="1"/>
    <xf numFmtId="49" fontId="86" fillId="4" borderId="4" xfId="0" applyNumberFormat="1" applyFont="1" applyFill="1" applyBorder="1" applyAlignment="1">
      <alignment vertical="center"/>
    </xf>
    <xf numFmtId="0" fontId="118" fillId="4" borderId="0" xfId="0" applyFont="1" applyFill="1" applyAlignment="1">
      <alignment horizontal="center" vertical="center"/>
    </xf>
    <xf numFmtId="0" fontId="29" fillId="0" borderId="0" xfId="0" applyFont="1" applyAlignment="1">
      <alignment horizontal="left" vertical="center"/>
    </xf>
    <xf numFmtId="0" fontId="16" fillId="4" borderId="0" xfId="0" applyFont="1" applyFill="1" applyAlignment="1">
      <alignment vertical="center"/>
    </xf>
    <xf numFmtId="0" fontId="86" fillId="10" borderId="5" xfId="0" applyFont="1" applyFill="1" applyBorder="1" applyAlignment="1">
      <alignment vertical="center"/>
    </xf>
    <xf numFmtId="49" fontId="86" fillId="10" borderId="5" xfId="0" applyNumberFormat="1" applyFont="1" applyFill="1" applyBorder="1" applyAlignment="1">
      <alignment vertical="center"/>
    </xf>
    <xf numFmtId="0" fontId="86" fillId="4" borderId="6" xfId="0" applyFont="1" applyFill="1" applyBorder="1" applyAlignment="1">
      <alignment vertical="center"/>
    </xf>
    <xf numFmtId="49" fontId="86" fillId="4" borderId="6" xfId="0" applyNumberFormat="1" applyFont="1" applyFill="1" applyBorder="1" applyAlignment="1">
      <alignment vertical="center"/>
    </xf>
    <xf numFmtId="0" fontId="86" fillId="4" borderId="0" xfId="0" applyFont="1" applyFill="1" applyAlignment="1">
      <alignment vertical="center"/>
    </xf>
    <xf numFmtId="49" fontId="86" fillId="4" borderId="0" xfId="0" applyNumberFormat="1" applyFont="1" applyFill="1" applyAlignment="1">
      <alignment vertical="center"/>
    </xf>
    <xf numFmtId="0" fontId="44" fillId="11" borderId="1" xfId="0" applyFont="1" applyFill="1" applyBorder="1" applyAlignment="1">
      <alignment horizontal="center" vertical="center"/>
    </xf>
    <xf numFmtId="0" fontId="44" fillId="12" borderId="1" xfId="0" applyFont="1" applyFill="1" applyBorder="1" applyAlignment="1">
      <alignment horizontal="center" vertical="center"/>
    </xf>
    <xf numFmtId="0" fontId="44" fillId="12" borderId="1" xfId="0" applyFont="1" applyFill="1" applyBorder="1" applyAlignment="1">
      <alignment horizontal="center" vertical="center" wrapText="1"/>
    </xf>
    <xf numFmtId="0" fontId="44" fillId="13" borderId="1" xfId="0" applyFont="1" applyFill="1" applyBorder="1" applyAlignment="1">
      <alignment horizontal="center" vertical="center"/>
    </xf>
    <xf numFmtId="0" fontId="44" fillId="0" borderId="1" xfId="0" applyFont="1" applyBorder="1" applyAlignment="1">
      <alignment horizontal="center" vertical="center"/>
    </xf>
    <xf numFmtId="0" fontId="29" fillId="0" borderId="0" xfId="0" applyFont="1" applyAlignment="1">
      <alignment horizontal="center" vertical="center"/>
    </xf>
    <xf numFmtId="0" fontId="29" fillId="0" borderId="7" xfId="0" applyFont="1" applyBorder="1" applyAlignment="1">
      <alignment vertical="center"/>
    </xf>
    <xf numFmtId="0" fontId="44" fillId="5" borderId="8" xfId="0" applyFont="1" applyFill="1" applyBorder="1" applyAlignment="1">
      <alignment wrapText="1"/>
    </xf>
    <xf numFmtId="0" fontId="29" fillId="0" borderId="7" xfId="0" applyFont="1" applyBorder="1"/>
    <xf numFmtId="0" fontId="29" fillId="0" borderId="7" xfId="0" applyFont="1" applyBorder="1" applyAlignment="1">
      <alignment horizontal="center" vertical="center" wrapText="1"/>
    </xf>
    <xf numFmtId="14" fontId="29" fillId="0" borderId="7" xfId="0" applyNumberFormat="1" applyFont="1" applyBorder="1"/>
    <xf numFmtId="0" fontId="29" fillId="0" borderId="0" xfId="0" applyFont="1"/>
    <xf numFmtId="0" fontId="29" fillId="0" borderId="1" xfId="0" applyFont="1" applyBorder="1" applyAlignment="1">
      <alignment vertical="center"/>
    </xf>
    <xf numFmtId="0" fontId="44" fillId="0" borderId="1" xfId="0" applyFont="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1" fontId="29" fillId="0" borderId="1" xfId="0" applyNumberFormat="1" applyFont="1" applyBorder="1" applyAlignment="1">
      <alignment horizontal="center" vertical="center" wrapText="1"/>
    </xf>
    <xf numFmtId="0" fontId="29" fillId="0" borderId="1" xfId="0" applyFont="1" applyBorder="1" applyAlignment="1">
      <alignment horizontal="left" vertical="top" wrapText="1"/>
    </xf>
    <xf numFmtId="0" fontId="29" fillId="14" borderId="1" xfId="0" applyFont="1" applyFill="1" applyBorder="1" applyAlignment="1">
      <alignment vertical="center" wrapText="1"/>
    </xf>
    <xf numFmtId="0" fontId="44" fillId="5" borderId="1" xfId="0" applyFont="1" applyFill="1" applyBorder="1" applyAlignment="1">
      <alignment vertical="center" wrapText="1"/>
    </xf>
    <xf numFmtId="0" fontId="44" fillId="14" borderId="1" xfId="0" applyFont="1" applyFill="1" applyBorder="1" applyAlignment="1">
      <alignment vertical="center" wrapText="1"/>
    </xf>
    <xf numFmtId="0" fontId="29" fillId="14" borderId="1" xfId="0" applyFont="1" applyFill="1" applyBorder="1" applyAlignment="1">
      <alignment horizontal="center" vertical="center" wrapText="1"/>
    </xf>
    <xf numFmtId="14" fontId="29" fillId="14" borderId="1" xfId="0" applyNumberFormat="1" applyFont="1" applyFill="1" applyBorder="1" applyAlignment="1">
      <alignment vertical="center"/>
    </xf>
    <xf numFmtId="14" fontId="29" fillId="14" borderId="9" xfId="0" applyNumberFormat="1" applyFont="1" applyFill="1" applyBorder="1" applyAlignment="1">
      <alignment vertical="center"/>
    </xf>
    <xf numFmtId="1" fontId="29" fillId="14" borderId="1" xfId="0" applyNumberFormat="1" applyFont="1" applyFill="1" applyBorder="1" applyAlignment="1">
      <alignment horizontal="center" vertical="center" wrapText="1"/>
    </xf>
    <xf numFmtId="0" fontId="29" fillId="0" borderId="0" xfId="0" applyFont="1" applyAlignment="1">
      <alignment vertical="center"/>
    </xf>
    <xf numFmtId="0" fontId="86" fillId="0" borderId="1" xfId="0" applyFont="1" applyBorder="1" applyAlignment="1">
      <alignment vertical="center"/>
    </xf>
    <xf numFmtId="0" fontId="44" fillId="14" borderId="1" xfId="0" applyFont="1" applyFill="1" applyBorder="1" applyAlignment="1">
      <alignment horizontal="center" vertical="center" wrapText="1"/>
    </xf>
    <xf numFmtId="14" fontId="44" fillId="14" borderId="1" xfId="0" applyNumberFormat="1" applyFont="1" applyFill="1" applyBorder="1" applyAlignment="1">
      <alignment horizontal="center" vertical="center"/>
    </xf>
    <xf numFmtId="0" fontId="44" fillId="14" borderId="1" xfId="0" applyFont="1" applyFill="1" applyBorder="1" applyAlignment="1">
      <alignment horizontal="center" vertical="top" wrapText="1"/>
    </xf>
    <xf numFmtId="0" fontId="29" fillId="14" borderId="10" xfId="0" applyFont="1" applyFill="1" applyBorder="1" applyAlignment="1">
      <alignment horizontal="left" vertical="center"/>
    </xf>
    <xf numFmtId="0" fontId="29" fillId="14" borderId="10" xfId="0" applyFont="1" applyFill="1" applyBorder="1" applyAlignment="1">
      <alignment horizontal="center" vertical="center"/>
    </xf>
    <xf numFmtId="0" fontId="86" fillId="0" borderId="1" xfId="0" applyFont="1" applyBorder="1" applyAlignment="1">
      <alignment horizontal="center" vertical="center" wrapText="1"/>
    </xf>
    <xf numFmtId="14" fontId="86" fillId="0" borderId="1" xfId="0" applyNumberFormat="1" applyFont="1" applyBorder="1" applyAlignment="1">
      <alignment vertical="center"/>
    </xf>
    <xf numFmtId="0" fontId="29" fillId="0" borderId="1" xfId="0" applyFont="1" applyBorder="1" applyAlignment="1">
      <alignment vertical="center" wrapText="1"/>
    </xf>
    <xf numFmtId="0" fontId="86" fillId="0" borderId="0" xfId="0" applyFont="1" applyAlignment="1">
      <alignment vertical="center"/>
    </xf>
    <xf numFmtId="0" fontId="44" fillId="15" borderId="1" xfId="0" applyFont="1" applyFill="1" applyBorder="1" applyAlignment="1">
      <alignment horizontal="center" vertical="center"/>
    </xf>
    <xf numFmtId="0" fontId="44" fillId="5" borderId="1" xfId="0" applyFont="1" applyFill="1" applyBorder="1" applyAlignment="1">
      <alignment horizontal="left" vertical="center" wrapText="1"/>
    </xf>
    <xf numFmtId="0" fontId="29" fillId="15" borderId="1" xfId="0" applyFont="1" applyFill="1" applyBorder="1" applyAlignment="1">
      <alignment horizontal="left" vertical="center"/>
    </xf>
    <xf numFmtId="14" fontId="29" fillId="15" borderId="1" xfId="0" applyNumberFormat="1" applyFont="1" applyFill="1" applyBorder="1" applyAlignment="1">
      <alignment horizontal="center" vertical="center"/>
    </xf>
    <xf numFmtId="1" fontId="29" fillId="15" borderId="1" xfId="0" applyNumberFormat="1" applyFont="1" applyFill="1" applyBorder="1" applyAlignment="1">
      <alignment horizontal="center" vertical="center" wrapText="1"/>
    </xf>
    <xf numFmtId="0" fontId="29" fillId="15" borderId="1" xfId="0" applyFont="1" applyFill="1" applyBorder="1" applyAlignment="1">
      <alignment horizontal="left" vertical="top" wrapText="1"/>
    </xf>
    <xf numFmtId="0" fontId="44" fillId="14" borderId="1" xfId="0" applyFont="1" applyFill="1" applyBorder="1" applyAlignment="1">
      <alignment horizontal="center" vertical="center"/>
    </xf>
    <xf numFmtId="0" fontId="44" fillId="14" borderId="8" xfId="0" applyFont="1" applyFill="1" applyBorder="1" applyAlignment="1">
      <alignment horizontal="center" vertical="center" wrapText="1"/>
    </xf>
    <xf numFmtId="0" fontId="29" fillId="14" borderId="1" xfId="0" applyFont="1" applyFill="1" applyBorder="1"/>
    <xf numFmtId="0" fontId="29" fillId="14" borderId="1" xfId="0" applyFont="1" applyFill="1" applyBorder="1" applyAlignment="1">
      <alignment horizontal="left" vertical="center" wrapText="1"/>
    </xf>
    <xf numFmtId="14" fontId="29" fillId="14" borderId="1" xfId="0" applyNumberFormat="1" applyFont="1" applyFill="1" applyBorder="1" applyAlignment="1">
      <alignment horizontal="center" vertical="center"/>
    </xf>
    <xf numFmtId="14" fontId="29" fillId="14" borderId="1" xfId="0" applyNumberFormat="1" applyFont="1" applyFill="1" applyBorder="1" applyAlignment="1">
      <alignment horizontal="center"/>
    </xf>
    <xf numFmtId="0" fontId="29" fillId="14" borderId="1" xfId="0" applyFont="1" applyFill="1" applyBorder="1" applyAlignment="1">
      <alignment wrapText="1"/>
    </xf>
    <xf numFmtId="0" fontId="86" fillId="0" borderId="0" xfId="0" applyFont="1"/>
    <xf numFmtId="0" fontId="44" fillId="14" borderId="11" xfId="0" applyFont="1" applyFill="1" applyBorder="1" applyAlignment="1">
      <alignment horizontal="center" vertical="center" wrapText="1"/>
    </xf>
    <xf numFmtId="0" fontId="44" fillId="14" borderId="12" xfId="0" applyFont="1" applyFill="1" applyBorder="1" applyAlignment="1">
      <alignment horizontal="center" vertical="center" wrapText="1"/>
    </xf>
    <xf numFmtId="0" fontId="29" fillId="5" borderId="1" xfId="0" applyFont="1" applyFill="1" applyBorder="1" applyAlignment="1">
      <alignment wrapText="1"/>
    </xf>
    <xf numFmtId="0" fontId="27" fillId="0" borderId="0" xfId="0" applyFont="1" applyAlignment="1">
      <alignment horizontal="center" vertical="center"/>
    </xf>
    <xf numFmtId="0" fontId="7" fillId="0" borderId="0" xfId="0" applyFont="1" applyAlignment="1">
      <alignment horizontal="center" vertical="center"/>
    </xf>
    <xf numFmtId="0" fontId="29"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7"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4" fillId="4" borderId="1" xfId="0" applyFont="1" applyFill="1" applyBorder="1" applyAlignment="1">
      <alignment horizontal="left" vertical="center" wrapText="1"/>
    </xf>
    <xf numFmtId="0" fontId="29" fillId="16" borderId="1" xfId="0" applyFont="1" applyFill="1" applyBorder="1" applyAlignment="1">
      <alignment horizontal="left" vertical="center"/>
    </xf>
    <xf numFmtId="0" fontId="120" fillId="4" borderId="1" xfId="0" applyFont="1" applyFill="1" applyBorder="1" applyAlignment="1">
      <alignment vertical="center"/>
    </xf>
    <xf numFmtId="0" fontId="120" fillId="4" borderId="1" xfId="0" applyFont="1" applyFill="1" applyBorder="1" applyAlignment="1">
      <alignment horizontal="center" vertical="center"/>
    </xf>
    <xf numFmtId="0" fontId="120" fillId="4" borderId="1" xfId="0" applyFont="1" applyFill="1" applyBorder="1" applyAlignment="1">
      <alignment vertical="center"/>
    </xf>
    <xf numFmtId="164" fontId="120" fillId="4" borderId="1" xfId="0" applyNumberFormat="1" applyFont="1" applyFill="1" applyBorder="1" applyAlignment="1">
      <alignment vertical="center"/>
    </xf>
    <xf numFmtId="165" fontId="120" fillId="4" borderId="1" xfId="0" applyNumberFormat="1" applyFont="1" applyFill="1" applyBorder="1" applyAlignment="1">
      <alignment vertical="center"/>
    </xf>
    <xf numFmtId="0" fontId="120" fillId="4" borderId="1" xfId="0" applyFont="1" applyFill="1" applyBorder="1" applyAlignment="1">
      <alignment horizontal="center" vertical="center"/>
    </xf>
    <xf numFmtId="14" fontId="120" fillId="4" borderId="1" xfId="0" applyNumberFormat="1" applyFont="1" applyFill="1" applyBorder="1" applyAlignment="1">
      <alignment vertical="center"/>
    </xf>
    <xf numFmtId="0" fontId="120" fillId="4" borderId="0" xfId="0" applyFont="1" applyFill="1" applyAlignment="1">
      <alignment vertical="center"/>
    </xf>
    <xf numFmtId="0" fontId="120" fillId="4" borderId="0" xfId="0" applyFont="1" applyFill="1" applyAlignment="1">
      <alignment vertical="center"/>
    </xf>
    <xf numFmtId="0" fontId="29" fillId="4" borderId="1" xfId="0" applyFont="1" applyFill="1" applyBorder="1" applyAlignment="1">
      <alignment horizontal="left" vertical="center"/>
    </xf>
    <xf numFmtId="0" fontId="27"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29"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29"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120"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120" fillId="4" borderId="1" xfId="0" applyFont="1" applyFill="1" applyBorder="1" applyAlignment="1">
      <alignment horizontal="center" wrapText="1"/>
    </xf>
    <xf numFmtId="165" fontId="120" fillId="4" borderId="1" xfId="0" applyNumberFormat="1" applyFont="1" applyFill="1" applyBorder="1"/>
    <xf numFmtId="165" fontId="120" fillId="4" borderId="1" xfId="0" applyNumberFormat="1" applyFont="1" applyFill="1" applyBorder="1" applyAlignment="1">
      <alignment wrapText="1"/>
    </xf>
    <xf numFmtId="0" fontId="120" fillId="4" borderId="1" xfId="0" applyFont="1" applyFill="1" applyBorder="1" applyAlignment="1">
      <alignment horizontal="center"/>
    </xf>
    <xf numFmtId="164" fontId="120" fillId="4" borderId="1" xfId="0" applyNumberFormat="1" applyFont="1" applyFill="1" applyBorder="1"/>
    <xf numFmtId="0" fontId="120" fillId="4" borderId="1" xfId="0" applyFont="1" applyFill="1" applyBorder="1"/>
    <xf numFmtId="14" fontId="120"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29"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7"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118"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118" fillId="4" borderId="1" xfId="0" applyFont="1" applyFill="1" applyBorder="1" applyAlignment="1">
      <alignment horizontal="center"/>
    </xf>
    <xf numFmtId="0" fontId="27" fillId="4" borderId="1" xfId="0" applyFont="1" applyFill="1" applyBorder="1" applyAlignment="1">
      <alignment horizontal="center" vertical="center" wrapText="1"/>
    </xf>
    <xf numFmtId="0" fontId="27"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29"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121"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7" fillId="4" borderId="1" xfId="0" applyFont="1" applyFill="1" applyBorder="1" applyAlignment="1">
      <alignment horizontal="center" vertical="center" wrapText="1"/>
    </xf>
    <xf numFmtId="0" fontId="122" fillId="4" borderId="1" xfId="0" applyFont="1" applyFill="1" applyBorder="1" applyAlignment="1">
      <alignment horizontal="center"/>
    </xf>
    <xf numFmtId="0" fontId="118" fillId="4" borderId="1" xfId="0" applyFont="1" applyFill="1" applyBorder="1" applyAlignment="1">
      <alignment horizontal="center"/>
    </xf>
    <xf numFmtId="0" fontId="123" fillId="4" borderId="1" xfId="0" applyFont="1" applyFill="1" applyBorder="1" applyAlignment="1">
      <alignment horizontal="center" vertical="center"/>
    </xf>
    <xf numFmtId="0" fontId="124" fillId="4" borderId="1" xfId="0" applyFont="1" applyFill="1" applyBorder="1" applyAlignment="1">
      <alignment horizontal="center"/>
    </xf>
    <xf numFmtId="0" fontId="125" fillId="4" borderId="2" xfId="0" applyFont="1" applyFill="1" applyBorder="1" applyAlignment="1">
      <alignment horizontal="center"/>
    </xf>
    <xf numFmtId="0" fontId="126" fillId="4" borderId="1" xfId="0" applyFont="1" applyFill="1" applyBorder="1" applyAlignment="1">
      <alignment horizontal="left" vertical="center"/>
    </xf>
    <xf numFmtId="0" fontId="127"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28" fillId="4" borderId="1" xfId="0" applyFont="1" applyFill="1" applyBorder="1" applyAlignment="1">
      <alignment horizontal="center" vertical="center"/>
    </xf>
    <xf numFmtId="0" fontId="129" fillId="4" borderId="1" xfId="0" applyFont="1" applyFill="1" applyBorder="1" applyAlignment="1">
      <alignment horizontal="center"/>
    </xf>
    <xf numFmtId="0" fontId="130" fillId="4" borderId="1" xfId="0" applyFont="1" applyFill="1" applyBorder="1" applyAlignment="1">
      <alignment horizontal="left" vertical="center" wrapText="1"/>
    </xf>
    <xf numFmtId="0" fontId="131" fillId="4" borderId="1" xfId="0" applyFont="1" applyFill="1" applyBorder="1" applyAlignment="1">
      <alignment horizontal="center"/>
    </xf>
    <xf numFmtId="0" fontId="132"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33" fillId="0" borderId="1" xfId="0" applyFont="1" applyBorder="1" applyAlignment="1">
      <alignment horizontal="left" vertical="center"/>
    </xf>
    <xf numFmtId="0" fontId="16" fillId="0" borderId="1" xfId="0" applyFont="1" applyBorder="1" applyAlignment="1">
      <alignment horizontal="center" vertical="center"/>
    </xf>
    <xf numFmtId="0" fontId="29" fillId="0" borderId="1" xfId="0" applyFont="1" applyBorder="1" applyAlignment="1">
      <alignment horizontal="left" vertical="center"/>
    </xf>
    <xf numFmtId="0" fontId="134"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7" borderId="1" xfId="0" applyFont="1" applyFill="1" applyBorder="1" applyAlignment="1">
      <alignment horizontal="center" vertical="center"/>
    </xf>
    <xf numFmtId="0" fontId="7" fillId="12"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7"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86" fillId="0" borderId="13" xfId="0" applyFont="1" applyBorder="1"/>
    <xf numFmtId="0" fontId="7" fillId="0" borderId="14" xfId="0" applyFont="1" applyBorder="1" applyAlignment="1">
      <alignment horizontal="center" vertical="center" wrapText="1"/>
    </xf>
    <xf numFmtId="0" fontId="86" fillId="0" borderId="15"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135" fillId="0" borderId="0" xfId="0" applyFont="1" applyAlignment="1">
      <alignment vertical="top" wrapText="1"/>
    </xf>
    <xf numFmtId="0" fontId="7" fillId="5"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6" fillId="0" borderId="7" xfId="0" applyFont="1" applyBorder="1" applyAlignment="1">
      <alignment horizontal="center" vertical="center" wrapText="1"/>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center" vertical="center"/>
    </xf>
    <xf numFmtId="0" fontId="16"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6" fillId="0" borderId="17" xfId="0" applyFont="1" applyBorder="1"/>
    <xf numFmtId="0" fontId="7" fillId="5" borderId="1" xfId="0" applyFont="1" applyFill="1" applyBorder="1" applyAlignment="1">
      <alignment horizontal="center" vertical="center"/>
    </xf>
    <xf numFmtId="0" fontId="7" fillId="5" borderId="12" xfId="0" applyFont="1" applyFill="1" applyBorder="1" applyAlignment="1">
      <alignment horizontal="center" vertical="center" wrapText="1"/>
    </xf>
    <xf numFmtId="0" fontId="7" fillId="0" borderId="18" xfId="0" applyFont="1" applyBorder="1" applyAlignment="1">
      <alignment vertical="center"/>
    </xf>
    <xf numFmtId="0" fontId="7" fillId="5" borderId="8" xfId="0" applyFont="1" applyFill="1" applyBorder="1" applyAlignment="1">
      <alignment horizontal="center" vertical="center"/>
    </xf>
    <xf numFmtId="0" fontId="16" fillId="0" borderId="7" xfId="0" applyFont="1" applyBorder="1" applyAlignment="1">
      <alignment horizontal="left" vertical="center" wrapText="1"/>
    </xf>
    <xf numFmtId="0" fontId="44" fillId="5" borderId="1" xfId="0" applyFont="1" applyFill="1" applyBorder="1" applyAlignment="1">
      <alignment horizontal="center" vertical="center"/>
    </xf>
    <xf numFmtId="0" fontId="44" fillId="0" borderId="7" xfId="0" applyFont="1" applyBorder="1" applyAlignment="1">
      <alignment vertical="center" wrapText="1"/>
    </xf>
    <xf numFmtId="0" fontId="29" fillId="0" borderId="1" xfId="0" applyFont="1" applyBorder="1" applyAlignment="1">
      <alignment horizontal="left" vertical="center"/>
    </xf>
    <xf numFmtId="0" fontId="44" fillId="5" borderId="12" xfId="0" applyFont="1" applyFill="1" applyBorder="1" applyAlignment="1">
      <alignment horizontal="center" vertical="center" wrapText="1"/>
    </xf>
    <xf numFmtId="0" fontId="44" fillId="0" borderId="19" xfId="0" applyFont="1" applyBorder="1" applyAlignment="1">
      <alignment vertical="center" wrapText="1"/>
    </xf>
    <xf numFmtId="0" fontId="44" fillId="0" borderId="20" xfId="0" applyFont="1" applyBorder="1" applyAlignment="1">
      <alignment horizontal="left" vertical="center" wrapText="1"/>
    </xf>
    <xf numFmtId="0" fontId="29" fillId="0" borderId="20" xfId="0" applyFont="1" applyBorder="1" applyAlignment="1">
      <alignment horizontal="center" vertical="center"/>
    </xf>
    <xf numFmtId="14" fontId="29" fillId="0" borderId="20" xfId="0" applyNumberFormat="1" applyFont="1" applyBorder="1" applyAlignment="1">
      <alignment horizontal="center" vertical="center"/>
    </xf>
    <xf numFmtId="14" fontId="29" fillId="0" borderId="13" xfId="0" applyNumberFormat="1" applyFont="1" applyBorder="1"/>
    <xf numFmtId="1" fontId="29" fillId="0" borderId="13" xfId="0" applyNumberFormat="1" applyFont="1" applyBorder="1" applyAlignment="1">
      <alignment horizontal="center" vertical="center" wrapText="1"/>
    </xf>
    <xf numFmtId="0" fontId="29" fillId="0" borderId="20" xfId="0" applyFont="1" applyBorder="1" applyAlignment="1">
      <alignment horizontal="left" vertical="top" wrapText="1"/>
    </xf>
    <xf numFmtId="0" fontId="44" fillId="0" borderId="18" xfId="0" applyFont="1" applyBorder="1" applyAlignment="1">
      <alignment vertical="center" wrapText="1"/>
    </xf>
    <xf numFmtId="0" fontId="44" fillId="0" borderId="1" xfId="0" applyFont="1" applyBorder="1" applyAlignment="1">
      <alignment horizontal="left" vertical="center" wrapText="1"/>
    </xf>
    <xf numFmtId="14" fontId="29" fillId="0" borderId="1" xfId="0" applyNumberFormat="1" applyFont="1" applyBorder="1"/>
    <xf numFmtId="0" fontId="29" fillId="0" borderId="1" xfId="0" applyFont="1" applyBorder="1" applyAlignment="1">
      <alignment vertical="top" wrapText="1"/>
    </xf>
    <xf numFmtId="0" fontId="44" fillId="5" borderId="8" xfId="0" applyFont="1" applyFill="1" applyBorder="1" applyAlignment="1">
      <alignment horizontal="center" vertical="center" wrapText="1"/>
    </xf>
    <xf numFmtId="0" fontId="29" fillId="0" borderId="1" xfId="0" applyFont="1" applyBorder="1" applyAlignment="1">
      <alignment horizontal="center" vertical="center" wrapText="1"/>
    </xf>
    <xf numFmtId="0" fontId="44" fillId="0" borderId="1" xfId="0" applyFont="1" applyBorder="1" applyAlignment="1">
      <alignment horizontal="left" vertical="top" wrapText="1"/>
    </xf>
    <xf numFmtId="0" fontId="44" fillId="0" borderId="1" xfId="0" applyFont="1" applyBorder="1" applyAlignment="1">
      <alignment horizontal="center" vertical="center" wrapText="1"/>
    </xf>
    <xf numFmtId="0" fontId="29" fillId="0" borderId="0" xfId="0" applyFont="1" applyAlignment="1">
      <alignment horizontal="left" vertical="center"/>
    </xf>
    <xf numFmtId="0" fontId="136" fillId="0" borderId="0" xfId="0" applyFont="1" applyAlignment="1">
      <alignment horizontal="left" vertical="center"/>
    </xf>
    <xf numFmtId="0" fontId="44" fillId="0" borderId="7" xfId="0" applyFont="1" applyBorder="1" applyAlignment="1">
      <alignment horizontal="center" vertical="center" wrapText="1"/>
    </xf>
    <xf numFmtId="0" fontId="44" fillId="0" borderId="7" xfId="0" applyFont="1" applyBorder="1" applyAlignment="1">
      <alignment horizontal="center" vertical="center"/>
    </xf>
    <xf numFmtId="0" fontId="44" fillId="5" borderId="8" xfId="0" applyFont="1" applyFill="1" applyBorder="1" applyAlignment="1">
      <alignment horizontal="center" vertical="center"/>
    </xf>
    <xf numFmtId="0" fontId="86" fillId="0" borderId="20" xfId="0" applyFont="1" applyBorder="1"/>
    <xf numFmtId="0" fontId="29" fillId="0" borderId="7" xfId="0" applyFont="1" applyBorder="1" applyAlignment="1">
      <alignment horizontal="left" vertical="center"/>
    </xf>
    <xf numFmtId="0" fontId="29" fillId="0" borderId="7" xfId="0" applyFont="1" applyBorder="1" applyAlignment="1">
      <alignment horizontal="center" vertical="center"/>
    </xf>
    <xf numFmtId="14" fontId="29" fillId="0" borderId="7" xfId="0" applyNumberFormat="1" applyFont="1" applyBorder="1" applyAlignment="1">
      <alignment horizontal="center" vertical="center"/>
    </xf>
    <xf numFmtId="1" fontId="29" fillId="0" borderId="7" xfId="0" applyNumberFormat="1" applyFont="1" applyBorder="1" applyAlignment="1">
      <alignment horizontal="center" vertical="center" wrapText="1"/>
    </xf>
    <xf numFmtId="0" fontId="29" fillId="0" borderId="7" xfId="0" applyFont="1" applyBorder="1" applyAlignment="1">
      <alignment horizontal="left" vertical="top" wrapText="1"/>
    </xf>
    <xf numFmtId="0" fontId="44" fillId="0" borderId="20" xfId="0" applyFont="1" applyBorder="1" applyAlignment="1">
      <alignment horizontal="center" vertical="center" wrapText="1"/>
    </xf>
    <xf numFmtId="0" fontId="44" fillId="0" borderId="13" xfId="0" applyFont="1" applyBorder="1" applyAlignment="1">
      <alignment horizontal="left" vertical="center" wrapText="1"/>
    </xf>
    <xf numFmtId="0" fontId="29" fillId="0" borderId="13" xfId="0" applyFont="1" applyBorder="1" applyAlignment="1">
      <alignment horizontal="center" vertical="center"/>
    </xf>
    <xf numFmtId="14" fontId="29" fillId="0" borderId="13" xfId="0" applyNumberFormat="1" applyFont="1" applyBorder="1" applyAlignment="1">
      <alignment vertical="center"/>
    </xf>
    <xf numFmtId="0" fontId="29" fillId="0" borderId="13" xfId="0" applyFont="1" applyBorder="1" applyAlignment="1">
      <alignment vertical="top" wrapText="1"/>
    </xf>
    <xf numFmtId="0" fontId="44" fillId="5" borderId="11" xfId="0" applyFont="1" applyFill="1" applyBorder="1" applyAlignment="1">
      <alignment horizontal="center" vertical="center" wrapText="1"/>
    </xf>
    <xf numFmtId="14" fontId="29" fillId="0" borderId="20" xfId="0" applyNumberFormat="1" applyFont="1" applyBorder="1"/>
    <xf numFmtId="0" fontId="29" fillId="0" borderId="20" xfId="0" applyFont="1" applyBorder="1" applyAlignment="1">
      <alignment vertical="top" wrapText="1"/>
    </xf>
    <xf numFmtId="0" fontId="44" fillId="5" borderId="1" xfId="0" applyFont="1" applyFill="1" applyBorder="1" applyAlignment="1">
      <alignment horizontal="center" vertical="center" wrapText="1"/>
    </xf>
    <xf numFmtId="0" fontId="44" fillId="0" borderId="20" xfId="0" applyFont="1" applyBorder="1" applyAlignment="1">
      <alignment vertical="center" wrapText="1"/>
    </xf>
    <xf numFmtId="0" fontId="29" fillId="0" borderId="13" xfId="0" applyFont="1" applyBorder="1" applyAlignment="1">
      <alignment horizontal="center" vertical="center" wrapText="1"/>
    </xf>
    <xf numFmtId="0" fontId="44" fillId="0" borderId="13" xfId="0" applyFont="1" applyBorder="1" applyAlignment="1">
      <alignment wrapText="1"/>
    </xf>
    <xf numFmtId="0" fontId="29" fillId="0" borderId="13" xfId="0" applyFont="1" applyBorder="1"/>
    <xf numFmtId="0" fontId="29" fillId="0" borderId="13" xfId="0" applyFont="1" applyBorder="1" applyAlignment="1">
      <alignment horizontal="center" wrapText="1"/>
    </xf>
    <xf numFmtId="0" fontId="29" fillId="0" borderId="13" xfId="0" applyFont="1" applyBorder="1" applyAlignment="1">
      <alignment wrapText="1"/>
    </xf>
    <xf numFmtId="0" fontId="44" fillId="14" borderId="21" xfId="0" applyFont="1" applyFill="1" applyBorder="1" applyAlignment="1">
      <alignment horizontal="center" vertical="center" wrapText="1"/>
    </xf>
    <xf numFmtId="0" fontId="44" fillId="14" borderId="8" xfId="0" applyFont="1" applyFill="1" applyBorder="1" applyAlignment="1">
      <alignment vertical="center" wrapText="1"/>
    </xf>
    <xf numFmtId="0" fontId="29" fillId="14" borderId="1" xfId="0" applyFont="1" applyFill="1" applyBorder="1" applyAlignment="1">
      <alignment horizontal="left" vertical="center"/>
    </xf>
    <xf numFmtId="0" fontId="29" fillId="14" borderId="1" xfId="0" applyFont="1" applyFill="1" applyBorder="1" applyAlignment="1">
      <alignment horizontal="center" vertical="center"/>
    </xf>
    <xf numFmtId="0" fontId="29" fillId="14" borderId="1" xfId="0" applyFont="1" applyFill="1" applyBorder="1" applyAlignment="1">
      <alignment horizontal="left" vertical="top" wrapText="1"/>
    </xf>
    <xf numFmtId="0" fontId="44" fillId="14" borderId="1" xfId="0" applyFont="1" applyFill="1" applyBorder="1" applyAlignment="1">
      <alignment horizontal="left" vertical="center" wrapText="1"/>
    </xf>
    <xf numFmtId="0" fontId="44" fillId="0" borderId="16" xfId="0" applyFont="1" applyBorder="1" applyAlignment="1">
      <alignment vertical="center" wrapText="1"/>
    </xf>
    <xf numFmtId="0" fontId="29" fillId="0" borderId="1" xfId="0" applyFont="1" applyBorder="1" applyAlignment="1">
      <alignment wrapText="1"/>
    </xf>
    <xf numFmtId="0" fontId="29" fillId="0" borderId="1" xfId="0" applyFont="1" applyBorder="1"/>
    <xf numFmtId="0" fontId="29" fillId="0" borderId="0" xfId="0" applyFont="1" applyAlignment="1">
      <alignment horizontal="left"/>
    </xf>
    <xf numFmtId="0" fontId="29" fillId="0" borderId="7" xfId="0" applyFont="1" applyBorder="1" applyAlignment="1">
      <alignment wrapText="1"/>
    </xf>
    <xf numFmtId="0" fontId="29" fillId="0" borderId="20" xfId="0" applyFont="1" applyBorder="1" applyAlignment="1">
      <alignment wrapText="1"/>
    </xf>
    <xf numFmtId="0" fontId="29" fillId="0" borderId="22" xfId="0" applyFont="1" applyBorder="1" applyAlignment="1">
      <alignment horizontal="center" vertical="center"/>
    </xf>
    <xf numFmtId="0" fontId="29" fillId="0" borderId="13" xfId="0" applyFont="1" applyBorder="1" applyAlignment="1">
      <alignment horizontal="left" vertical="center"/>
    </xf>
    <xf numFmtId="0" fontId="29" fillId="14" borderId="12" xfId="0" applyFont="1" applyFill="1" applyBorder="1" applyAlignment="1">
      <alignment horizontal="center" vertical="center"/>
    </xf>
    <xf numFmtId="14" fontId="29" fillId="14" borderId="23" xfId="0" applyNumberFormat="1" applyFont="1" applyFill="1" applyBorder="1" applyAlignment="1">
      <alignment horizontal="center" vertical="center"/>
    </xf>
    <xf numFmtId="14" fontId="29" fillId="14" borderId="12" xfId="0" applyNumberFormat="1" applyFont="1" applyFill="1" applyBorder="1" applyAlignment="1">
      <alignment horizontal="center" vertical="center"/>
    </xf>
    <xf numFmtId="0" fontId="29" fillId="14" borderId="12" xfId="0" applyFont="1" applyFill="1" applyBorder="1" applyAlignment="1">
      <alignment horizontal="left" vertical="top" wrapText="1"/>
    </xf>
    <xf numFmtId="14" fontId="29" fillId="0" borderId="24" xfId="0" applyNumberFormat="1" applyFont="1" applyBorder="1" applyAlignment="1">
      <alignment horizontal="center" vertical="center"/>
    </xf>
    <xf numFmtId="14" fontId="29" fillId="0" borderId="13" xfId="0" applyNumberFormat="1" applyFont="1" applyBorder="1" applyAlignment="1">
      <alignment horizontal="center" vertical="center"/>
    </xf>
    <xf numFmtId="0" fontId="29" fillId="0" borderId="13" xfId="0" applyFont="1" applyBorder="1" applyAlignment="1">
      <alignment horizontal="left" vertical="top" wrapText="1"/>
    </xf>
    <xf numFmtId="14" fontId="29" fillId="0" borderId="1" xfId="0" applyNumberFormat="1" applyFont="1" applyBorder="1" applyAlignment="1">
      <alignment vertical="center"/>
    </xf>
    <xf numFmtId="0" fontId="29" fillId="0" borderId="18" xfId="0" applyFont="1" applyBorder="1" applyAlignment="1">
      <alignment wrapText="1"/>
    </xf>
    <xf numFmtId="0" fontId="29" fillId="0" borderId="22" xfId="0" applyFont="1" applyBorder="1" applyAlignment="1">
      <alignment vertical="center" wrapText="1"/>
    </xf>
    <xf numFmtId="0" fontId="137" fillId="0" borderId="20" xfId="0" applyFont="1" applyBorder="1" applyAlignment="1">
      <alignment horizontal="left" vertical="center"/>
    </xf>
    <xf numFmtId="1" fontId="29" fillId="0" borderId="20" xfId="0" applyNumberFormat="1" applyFont="1" applyBorder="1" applyAlignment="1">
      <alignment horizontal="center" vertical="center" wrapText="1"/>
    </xf>
    <xf numFmtId="0" fontId="44" fillId="0" borderId="20" xfId="0" applyFont="1" applyBorder="1" applyAlignment="1">
      <alignment horizontal="left" vertical="top" wrapText="1"/>
    </xf>
    <xf numFmtId="14" fontId="44" fillId="14" borderId="21" xfId="0" applyNumberFormat="1" applyFont="1" applyFill="1" applyBorder="1" applyAlignment="1">
      <alignment horizontal="center" vertical="center" wrapText="1"/>
    </xf>
    <xf numFmtId="0" fontId="44" fillId="14" borderId="21" xfId="0" applyFont="1" applyFill="1" applyBorder="1" applyAlignment="1">
      <alignment horizontal="left" vertical="center" wrapText="1"/>
    </xf>
    <xf numFmtId="0" fontId="44" fillId="0" borderId="18" xfId="0" applyFont="1" applyBorder="1" applyAlignment="1">
      <alignment horizontal="center" vertical="center" wrapText="1"/>
    </xf>
    <xf numFmtId="0" fontId="29" fillId="14" borderId="8" xfId="0" applyFont="1" applyFill="1" applyBorder="1" applyAlignment="1">
      <alignment vertical="center" wrapText="1"/>
    </xf>
    <xf numFmtId="0" fontId="44" fillId="14" borderId="11" xfId="0" applyFont="1" applyFill="1" applyBorder="1" applyAlignment="1">
      <alignment wrapText="1"/>
    </xf>
    <xf numFmtId="0" fontId="29" fillId="14" borderId="8" xfId="0" applyFont="1" applyFill="1" applyBorder="1" applyAlignment="1">
      <alignment wrapText="1"/>
    </xf>
    <xf numFmtId="0" fontId="29" fillId="14" borderId="8" xfId="0" applyFont="1" applyFill="1" applyBorder="1" applyAlignment="1">
      <alignment horizontal="center" vertical="center" wrapText="1"/>
    </xf>
    <xf numFmtId="14" fontId="29" fillId="14" borderId="8" xfId="0" applyNumberFormat="1" applyFont="1" applyFill="1" applyBorder="1" applyAlignment="1">
      <alignment vertical="center"/>
    </xf>
    <xf numFmtId="0" fontId="29" fillId="14" borderId="11" xfId="0" applyFont="1" applyFill="1" applyBorder="1" applyAlignment="1">
      <alignment vertical="center"/>
    </xf>
    <xf numFmtId="14" fontId="29" fillId="14" borderId="11" xfId="0" applyNumberFormat="1" applyFont="1" applyFill="1" applyBorder="1" applyAlignment="1">
      <alignment horizontal="center" vertical="center"/>
    </xf>
    <xf numFmtId="1" fontId="29" fillId="14" borderId="11" xfId="0" applyNumberFormat="1" applyFont="1" applyFill="1" applyBorder="1" applyAlignment="1">
      <alignment horizontal="center" vertical="center" wrapText="1"/>
    </xf>
    <xf numFmtId="14" fontId="29" fillId="14" borderId="11" xfId="0" applyNumberFormat="1" applyFont="1" applyFill="1" applyBorder="1" applyAlignment="1">
      <alignment vertical="center"/>
    </xf>
    <xf numFmtId="0" fontId="29" fillId="14" borderId="11" xfId="0" applyFont="1" applyFill="1" applyBorder="1" applyAlignment="1">
      <alignment vertical="center" wrapText="1"/>
    </xf>
    <xf numFmtId="0" fontId="29" fillId="0" borderId="20" xfId="0" applyFont="1" applyBorder="1" applyAlignment="1">
      <alignment horizontal="left" vertical="center" wrapText="1"/>
    </xf>
    <xf numFmtId="14" fontId="29" fillId="0" borderId="15" xfId="0" applyNumberFormat="1" applyFont="1" applyBorder="1" applyAlignment="1">
      <alignment horizontal="center" vertical="center"/>
    </xf>
    <xf numFmtId="0" fontId="29" fillId="0" borderId="1" xfId="0" applyFont="1" applyBorder="1" applyAlignment="1">
      <alignment horizontal="center" vertical="top" wrapText="1"/>
    </xf>
    <xf numFmtId="0" fontId="44" fillId="0" borderId="7" xfId="0" applyFont="1" applyBorder="1" applyAlignment="1">
      <alignment horizontal="left" vertical="center"/>
    </xf>
    <xf numFmtId="0" fontId="29" fillId="14" borderId="1" xfId="0" applyFont="1" applyFill="1" applyBorder="1" applyAlignment="1">
      <alignment vertical="center"/>
    </xf>
    <xf numFmtId="0" fontId="29" fillId="0" borderId="13" xfId="0" applyFont="1" applyBorder="1" applyAlignment="1">
      <alignment horizontal="left" vertical="center" wrapText="1"/>
    </xf>
    <xf numFmtId="0" fontId="29" fillId="0" borderId="22" xfId="0" applyFont="1" applyBorder="1" applyAlignment="1">
      <alignment horizontal="left" vertical="center" wrapText="1"/>
    </xf>
    <xf numFmtId="14" fontId="29" fillId="0" borderId="2" xfId="0" applyNumberFormat="1" applyFont="1" applyBorder="1" applyAlignment="1">
      <alignment horizontal="center" vertical="center"/>
    </xf>
    <xf numFmtId="0" fontId="29" fillId="5" borderId="8" xfId="0" applyFont="1" applyFill="1" applyBorder="1" applyAlignment="1">
      <alignment wrapText="1"/>
    </xf>
    <xf numFmtId="0" fontId="29" fillId="0" borderId="14" xfId="0" applyFont="1" applyBorder="1" applyAlignment="1">
      <alignment horizontal="center" vertical="center"/>
    </xf>
    <xf numFmtId="14" fontId="29" fillId="0" borderId="14" xfId="0" applyNumberFormat="1" applyFont="1" applyBorder="1" applyAlignment="1">
      <alignment horizontal="center" vertical="center"/>
    </xf>
    <xf numFmtId="0" fontId="29" fillId="5" borderId="1" xfId="0" applyFont="1" applyFill="1" applyBorder="1" applyAlignment="1">
      <alignment horizontal="left" vertical="center" wrapText="1"/>
    </xf>
    <xf numFmtId="0" fontId="44" fillId="0" borderId="1" xfId="0" applyFont="1" applyBorder="1" applyAlignment="1">
      <alignment vertical="center"/>
    </xf>
    <xf numFmtId="14" fontId="44" fillId="0" borderId="7" xfId="0" applyNumberFormat="1" applyFont="1" applyBorder="1" applyAlignment="1">
      <alignment horizontal="center" vertical="center"/>
    </xf>
    <xf numFmtId="14" fontId="44" fillId="0" borderId="7" xfId="0" applyNumberFormat="1" applyFont="1" applyBorder="1" applyAlignment="1">
      <alignment horizontal="center" vertical="center" wrapText="1"/>
    </xf>
    <xf numFmtId="0" fontId="44" fillId="0" borderId="7" xfId="0" applyFont="1" applyBorder="1" applyAlignment="1">
      <alignment horizontal="center" vertical="top" wrapText="1"/>
    </xf>
    <xf numFmtId="0" fontId="44" fillId="14" borderId="8" xfId="0" applyFont="1" applyFill="1" applyBorder="1" applyAlignment="1">
      <alignment horizontal="center" vertical="center"/>
    </xf>
    <xf numFmtId="0" fontId="44" fillId="14" borderId="8" xfId="0" applyFont="1" applyFill="1" applyBorder="1" applyAlignment="1">
      <alignment horizontal="left" vertical="center" wrapText="1"/>
    </xf>
    <xf numFmtId="0" fontId="29" fillId="14" borderId="11" xfId="0" applyFont="1" applyFill="1" applyBorder="1" applyAlignment="1">
      <alignment horizontal="left" vertical="center"/>
    </xf>
    <xf numFmtId="14" fontId="29" fillId="14" borderId="8" xfId="0" applyNumberFormat="1" applyFont="1" applyFill="1" applyBorder="1" applyAlignment="1">
      <alignment horizontal="center" vertical="center"/>
    </xf>
    <xf numFmtId="1" fontId="29" fillId="14" borderId="8" xfId="0" applyNumberFormat="1" applyFont="1" applyFill="1" applyBorder="1" applyAlignment="1">
      <alignment horizontal="center" vertical="center" wrapText="1"/>
    </xf>
    <xf numFmtId="0" fontId="29" fillId="14" borderId="8" xfId="0" applyFont="1" applyFill="1" applyBorder="1" applyAlignment="1">
      <alignment horizontal="left" vertical="top" wrapText="1"/>
    </xf>
    <xf numFmtId="0" fontId="44" fillId="14" borderId="1" xfId="0" applyFont="1" applyFill="1" applyBorder="1" applyAlignment="1">
      <alignment horizontal="left" vertical="top" wrapText="1"/>
    </xf>
    <xf numFmtId="0" fontId="29" fillId="14" borderId="8" xfId="0" applyFont="1" applyFill="1" applyBorder="1" applyAlignment="1">
      <alignment horizontal="center" vertical="center"/>
    </xf>
    <xf numFmtId="14" fontId="44" fillId="14" borderId="8" xfId="0" applyNumberFormat="1" applyFont="1" applyFill="1" applyBorder="1" applyAlignment="1">
      <alignment horizontal="center" vertical="center"/>
    </xf>
    <xf numFmtId="0" fontId="44" fillId="14" borderId="8" xfId="0" applyFont="1" applyFill="1" applyBorder="1" applyAlignment="1">
      <alignment horizontal="left" vertical="top" wrapText="1"/>
    </xf>
    <xf numFmtId="14" fontId="29" fillId="0" borderId="1" xfId="0" applyNumberFormat="1" applyFont="1" applyBorder="1" applyAlignment="1">
      <alignment horizontal="center"/>
    </xf>
    <xf numFmtId="0" fontId="86" fillId="0" borderId="1" xfId="0" applyFont="1" applyBorder="1"/>
    <xf numFmtId="14" fontId="86" fillId="0" borderId="1" xfId="0" applyNumberFormat="1" applyFont="1" applyBorder="1"/>
    <xf numFmtId="0" fontId="44" fillId="15" borderId="1" xfId="0" applyFont="1" applyFill="1" applyBorder="1" applyAlignment="1">
      <alignment horizontal="left" vertical="center" wrapText="1"/>
    </xf>
    <xf numFmtId="0" fontId="44" fillId="15" borderId="1" xfId="0" applyFont="1" applyFill="1" applyBorder="1" applyAlignment="1">
      <alignment horizontal="center" vertical="center" wrapText="1"/>
    </xf>
    <xf numFmtId="14" fontId="44" fillId="15" borderId="1" xfId="0" applyNumberFormat="1" applyFont="1" applyFill="1" applyBorder="1" applyAlignment="1">
      <alignment horizontal="center" vertical="center"/>
    </xf>
    <xf numFmtId="0" fontId="44" fillId="15" borderId="1" xfId="0" applyFont="1" applyFill="1" applyBorder="1" applyAlignment="1">
      <alignment horizontal="left" vertical="top" wrapText="1"/>
    </xf>
    <xf numFmtId="0" fontId="29" fillId="15" borderId="10" xfId="0" applyFont="1" applyFill="1" applyBorder="1" applyAlignment="1">
      <alignment horizontal="left" vertical="center"/>
    </xf>
    <xf numFmtId="0" fontId="29" fillId="15" borderId="10" xfId="0" applyFont="1" applyFill="1" applyBorder="1" applyAlignment="1">
      <alignment horizontal="center" vertical="center"/>
    </xf>
    <xf numFmtId="0" fontId="86" fillId="15" borderId="10" xfId="0" applyFont="1" applyFill="1" applyBorder="1"/>
    <xf numFmtId="0" fontId="44" fillId="4"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1" fontId="29" fillId="4" borderId="1" xfId="0" applyNumberFormat="1" applyFont="1" applyFill="1" applyBorder="1" applyAlignment="1">
      <alignment horizontal="center" vertical="center" wrapText="1"/>
    </xf>
    <xf numFmtId="14" fontId="44" fillId="0" borderId="1" xfId="0" applyNumberFormat="1" applyFont="1" applyBorder="1" applyAlignment="1">
      <alignment horizontal="center" vertical="center"/>
    </xf>
    <xf numFmtId="0" fontId="44" fillId="4" borderId="8" xfId="0" applyFont="1" applyFill="1" applyBorder="1" applyAlignment="1">
      <alignment vertical="center" wrapText="1"/>
    </xf>
    <xf numFmtId="0" fontId="44" fillId="4" borderId="1" xfId="0" applyFont="1" applyFill="1" applyBorder="1" applyAlignment="1">
      <alignment horizontal="center" vertical="center" wrapText="1"/>
    </xf>
    <xf numFmtId="0" fontId="29" fillId="4" borderId="1" xfId="0" applyFont="1" applyFill="1" applyBorder="1" applyAlignment="1">
      <alignment horizontal="center" vertical="center"/>
    </xf>
    <xf numFmtId="14" fontId="29" fillId="4" borderId="1" xfId="0" applyNumberFormat="1" applyFont="1" applyFill="1" applyBorder="1" applyAlignment="1">
      <alignment horizontal="center" vertical="center"/>
    </xf>
    <xf numFmtId="14" fontId="29" fillId="4" borderId="1" xfId="0" applyNumberFormat="1" applyFont="1" applyFill="1" applyBorder="1" applyAlignment="1">
      <alignment horizontal="center" vertical="center" wrapText="1"/>
    </xf>
    <xf numFmtId="14" fontId="44" fillId="4" borderId="1" xfId="0" applyNumberFormat="1" applyFont="1" applyFill="1" applyBorder="1" applyAlignment="1">
      <alignment horizontal="center" vertical="center"/>
    </xf>
    <xf numFmtId="0" fontId="44" fillId="4" borderId="1" xfId="0" applyFont="1" applyFill="1" applyBorder="1" applyAlignment="1">
      <alignment horizontal="left" vertical="top" wrapText="1"/>
    </xf>
    <xf numFmtId="0" fontId="29" fillId="14" borderId="8" xfId="0" applyFont="1" applyFill="1" applyBorder="1" applyAlignment="1">
      <alignment horizontal="left" vertical="center"/>
    </xf>
    <xf numFmtId="0" fontId="44" fillId="4" borderId="1" xfId="0" applyFont="1" applyFill="1" applyBorder="1" applyAlignment="1">
      <alignment vertical="center" wrapText="1"/>
    </xf>
    <xf numFmtId="0" fontId="29" fillId="4" borderId="1" xfId="0" applyFont="1" applyFill="1" applyBorder="1" applyAlignment="1">
      <alignment horizontal="center" vertical="center" wrapText="1"/>
    </xf>
    <xf numFmtId="14" fontId="44" fillId="4" borderId="9" xfId="0" applyNumberFormat="1" applyFont="1" applyFill="1" applyBorder="1" applyAlignment="1">
      <alignment horizontal="center" vertical="center"/>
    </xf>
    <xf numFmtId="0" fontId="44" fillId="0" borderId="18" xfId="0" applyFont="1" applyBorder="1" applyAlignment="1">
      <alignment vertical="center"/>
    </xf>
    <xf numFmtId="0" fontId="29" fillId="14" borderId="25"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8" xfId="0" applyFont="1" applyFill="1" applyBorder="1" applyAlignment="1">
      <alignment horizontal="center" vertical="center" wrapText="1"/>
    </xf>
    <xf numFmtId="0" fontId="29" fillId="4" borderId="8" xfId="0" applyFont="1" applyFill="1" applyBorder="1" applyAlignment="1">
      <alignment horizontal="center" vertical="center" wrapText="1"/>
    </xf>
    <xf numFmtId="14" fontId="29" fillId="4" borderId="8" xfId="0" applyNumberFormat="1" applyFont="1" applyFill="1" applyBorder="1" applyAlignment="1">
      <alignment horizontal="center" vertical="center"/>
    </xf>
    <xf numFmtId="0" fontId="44" fillId="14" borderId="1" xfId="0" applyFont="1" applyFill="1" applyBorder="1" applyAlignment="1">
      <alignment horizontal="left" vertical="center"/>
    </xf>
    <xf numFmtId="14" fontId="29" fillId="14" borderId="9" xfId="0" applyNumberFormat="1" applyFont="1" applyFill="1" applyBorder="1" applyAlignment="1">
      <alignment horizontal="center" vertical="center"/>
    </xf>
    <xf numFmtId="14" fontId="29" fillId="14" borderId="1" xfId="0" applyNumberFormat="1" applyFont="1" applyFill="1" applyBorder="1" applyAlignment="1">
      <alignment horizontal="left" vertical="top" wrapText="1"/>
    </xf>
    <xf numFmtId="0" fontId="44" fillId="0" borderId="13" xfId="0" applyFont="1" applyBorder="1" applyAlignment="1">
      <alignment horizontal="center" vertical="center" wrapText="1"/>
    </xf>
    <xf numFmtId="0" fontId="86" fillId="5" borderId="1" xfId="0" applyFont="1" applyFill="1" applyBorder="1" applyAlignment="1">
      <alignment wrapText="1"/>
    </xf>
    <xf numFmtId="14" fontId="86" fillId="0" borderId="1" xfId="0" applyNumberFormat="1" applyFont="1" applyBorder="1" applyAlignment="1">
      <alignment horizontal="center"/>
    </xf>
    <xf numFmtId="0" fontId="86" fillId="0" borderId="1" xfId="0" applyFont="1" applyBorder="1" applyAlignment="1">
      <alignment vertical="top" wrapText="1"/>
    </xf>
    <xf numFmtId="0" fontId="44" fillId="14" borderId="25" xfId="0" applyFont="1" applyFill="1" applyBorder="1" applyAlignment="1">
      <alignment horizontal="center" vertical="center" wrapText="1"/>
    </xf>
    <xf numFmtId="14" fontId="44" fillId="14" borderId="8" xfId="0" applyNumberFormat="1" applyFont="1" applyFill="1" applyBorder="1" applyAlignment="1">
      <alignment horizontal="left" vertical="top" wrapText="1"/>
    </xf>
    <xf numFmtId="0" fontId="44" fillId="14" borderId="25" xfId="0" applyFont="1" applyFill="1" applyBorder="1" applyAlignment="1">
      <alignment horizontal="center" vertical="center"/>
    </xf>
    <xf numFmtId="0" fontId="44" fillId="14" borderId="26" xfId="0" applyFont="1" applyFill="1" applyBorder="1" applyAlignment="1">
      <alignment horizontal="left" vertical="center" wrapText="1"/>
    </xf>
    <xf numFmtId="1" fontId="29" fillId="14" borderId="12" xfId="0" applyNumberFormat="1" applyFont="1" applyFill="1" applyBorder="1" applyAlignment="1">
      <alignment horizontal="center" vertical="center" wrapText="1"/>
    </xf>
    <xf numFmtId="14" fontId="29" fillId="14" borderId="12" xfId="0" applyNumberFormat="1" applyFont="1" applyFill="1" applyBorder="1" applyAlignment="1">
      <alignment horizontal="left" vertical="top" wrapText="1"/>
    </xf>
    <xf numFmtId="0" fontId="44" fillId="5" borderId="1" xfId="0" applyFont="1" applyFill="1" applyBorder="1" applyAlignment="1">
      <alignment vertical="center"/>
    </xf>
    <xf numFmtId="0" fontId="29" fillId="4" borderId="10" xfId="0" applyFont="1" applyFill="1" applyBorder="1" applyAlignment="1">
      <alignment horizontal="center" vertical="center"/>
    </xf>
    <xf numFmtId="0" fontId="86" fillId="4" borderId="10" xfId="0" applyFont="1" applyFill="1" applyBorder="1"/>
    <xf numFmtId="0" fontId="44" fillId="5" borderId="8" xfId="0" applyFont="1" applyFill="1" applyBorder="1" applyAlignment="1">
      <alignment horizontal="left" vertical="center"/>
    </xf>
    <xf numFmtId="0" fontId="29" fillId="14" borderId="8" xfId="0" applyFont="1" applyFill="1" applyBorder="1" applyAlignment="1">
      <alignment horizontal="left" vertical="center" wrapText="1"/>
    </xf>
    <xf numFmtId="14" fontId="29" fillId="14" borderId="25" xfId="0" applyNumberFormat="1" applyFont="1" applyFill="1" applyBorder="1" applyAlignment="1">
      <alignment horizontal="center" vertical="center"/>
    </xf>
    <xf numFmtId="0" fontId="29" fillId="5" borderId="8" xfId="0" applyFont="1" applyFill="1" applyBorder="1" applyAlignment="1">
      <alignment vertical="center" wrapText="1"/>
    </xf>
    <xf numFmtId="0" fontId="29" fillId="5" borderId="8" xfId="0" applyFont="1" applyFill="1" applyBorder="1" applyAlignment="1">
      <alignment vertical="top" wrapText="1"/>
    </xf>
    <xf numFmtId="0" fontId="29" fillId="0" borderId="7" xfId="0" applyFont="1" applyBorder="1" applyAlignment="1">
      <alignment vertical="center" wrapText="1"/>
    </xf>
    <xf numFmtId="0" fontId="44" fillId="14" borderId="27" xfId="0" applyFont="1" applyFill="1" applyBorder="1" applyAlignment="1">
      <alignment horizontal="center" vertical="center" wrapText="1"/>
    </xf>
    <xf numFmtId="0" fontId="29" fillId="14" borderId="12" xfId="0" applyFont="1" applyFill="1" applyBorder="1" applyAlignment="1">
      <alignment horizontal="left" vertical="center" wrapText="1"/>
    </xf>
    <xf numFmtId="0" fontId="44" fillId="14" borderId="12" xfId="0" applyFont="1" applyFill="1" applyBorder="1" applyAlignment="1">
      <alignment horizontal="center" vertical="center"/>
    </xf>
    <xf numFmtId="0" fontId="29" fillId="14" borderId="21" xfId="0" applyFont="1" applyFill="1" applyBorder="1" applyAlignment="1">
      <alignment horizontal="center" vertical="center" wrapText="1"/>
    </xf>
    <xf numFmtId="0" fontId="29" fillId="0" borderId="7" xfId="0" applyFont="1" applyBorder="1" applyAlignment="1">
      <alignment vertical="top" wrapText="1"/>
    </xf>
    <xf numFmtId="14" fontId="44" fillId="0" borderId="1" xfId="0" applyNumberFormat="1" applyFont="1" applyBorder="1" applyAlignment="1">
      <alignment horizontal="left" vertical="top" wrapText="1"/>
    </xf>
    <xf numFmtId="0" fontId="138" fillId="14" borderId="1" xfId="0" applyFont="1" applyFill="1" applyBorder="1" applyAlignment="1">
      <alignment vertical="center"/>
    </xf>
    <xf numFmtId="0" fontId="86" fillId="14" borderId="1" xfId="0" applyFont="1" applyFill="1" applyBorder="1" applyAlignment="1">
      <alignment vertical="center"/>
    </xf>
    <xf numFmtId="0" fontId="86" fillId="14" borderId="1" xfId="0" applyFont="1" applyFill="1" applyBorder="1" applyAlignment="1">
      <alignment horizontal="center" vertical="center"/>
    </xf>
    <xf numFmtId="14" fontId="86" fillId="14" borderId="1" xfId="0" applyNumberFormat="1" applyFont="1" applyFill="1" applyBorder="1" applyAlignment="1">
      <alignment vertical="center"/>
    </xf>
    <xf numFmtId="0" fontId="86" fillId="14" borderId="1" xfId="0" applyFont="1" applyFill="1" applyBorder="1" applyAlignment="1">
      <alignment vertical="center" wrapText="1"/>
    </xf>
    <xf numFmtId="0" fontId="44" fillId="14" borderId="1" xfId="0" applyFont="1" applyFill="1" applyBorder="1" applyAlignment="1">
      <alignment vertical="top" wrapText="1"/>
    </xf>
    <xf numFmtId="0" fontId="16" fillId="0" borderId="2" xfId="0" applyFont="1" applyBorder="1" applyAlignment="1">
      <alignment vertical="top" wrapText="1"/>
    </xf>
    <xf numFmtId="0" fontId="44" fillId="14" borderId="1" xfId="0" applyFont="1" applyFill="1" applyBorder="1" applyAlignment="1">
      <alignment vertical="center"/>
    </xf>
    <xf numFmtId="0" fontId="29" fillId="14" borderId="8" xfId="0" applyFont="1" applyFill="1" applyBorder="1" applyAlignment="1">
      <alignment vertical="center"/>
    </xf>
    <xf numFmtId="0" fontId="29" fillId="14" borderId="8" xfId="0" applyFont="1" applyFill="1" applyBorder="1" applyAlignment="1">
      <alignment vertical="top" wrapText="1"/>
    </xf>
    <xf numFmtId="14" fontId="29" fillId="14" borderId="10" xfId="0" applyNumberFormat="1" applyFont="1" applyFill="1" applyBorder="1" applyAlignment="1">
      <alignment horizontal="center" vertical="center"/>
    </xf>
    <xf numFmtId="0" fontId="29" fillId="14" borderId="1" xfId="0" applyFont="1" applyFill="1" applyBorder="1" applyAlignment="1">
      <alignment vertical="top" wrapText="1"/>
    </xf>
    <xf numFmtId="14" fontId="29" fillId="14" borderId="1" xfId="0" applyNumberFormat="1" applyFont="1" applyFill="1" applyBorder="1" applyAlignment="1">
      <alignment vertical="top" wrapText="1"/>
    </xf>
    <xf numFmtId="0" fontId="29" fillId="14" borderId="28" xfId="0" applyFont="1" applyFill="1" applyBorder="1" applyAlignment="1">
      <alignment horizontal="center" vertical="center" wrapText="1"/>
    </xf>
    <xf numFmtId="0" fontId="29" fillId="5" borderId="12" xfId="0" applyFont="1" applyFill="1" applyBorder="1" applyAlignment="1">
      <alignment horizontal="left" vertical="center"/>
    </xf>
    <xf numFmtId="0" fontId="29" fillId="5" borderId="8" xfId="0" applyFont="1" applyFill="1" applyBorder="1" applyAlignment="1">
      <alignment horizontal="left" vertical="center"/>
    </xf>
    <xf numFmtId="14" fontId="29" fillId="0" borderId="1" xfId="0" applyNumberFormat="1" applyFont="1" applyBorder="1" applyAlignment="1">
      <alignment vertical="center" wrapText="1"/>
    </xf>
    <xf numFmtId="0" fontId="29" fillId="5" borderId="1" xfId="0" applyFont="1" applyFill="1" applyBorder="1" applyAlignment="1">
      <alignment vertical="center"/>
    </xf>
    <xf numFmtId="0" fontId="86" fillId="0" borderId="0" xfId="0" applyFont="1" applyAlignment="1">
      <alignment wrapText="1"/>
    </xf>
    <xf numFmtId="0" fontId="86" fillId="0" borderId="1" xfId="0" applyFont="1" applyBorder="1" applyAlignment="1">
      <alignment horizontal="left" vertical="center" wrapText="1"/>
    </xf>
    <xf numFmtId="0" fontId="139" fillId="0" borderId="1" xfId="0" applyFont="1" applyBorder="1" applyAlignment="1">
      <alignment horizontal="left" vertical="center" wrapText="1"/>
    </xf>
    <xf numFmtId="0" fontId="44" fillId="5" borderId="10" xfId="0" applyFont="1" applyFill="1" applyBorder="1" applyAlignment="1">
      <alignment horizontal="left" vertical="center" wrapText="1"/>
    </xf>
    <xf numFmtId="14" fontId="29" fillId="14" borderId="1" xfId="0" applyNumberFormat="1" applyFont="1" applyFill="1" applyBorder="1" applyAlignment="1">
      <alignment horizontal="left" vertical="center" wrapText="1"/>
    </xf>
    <xf numFmtId="14" fontId="29" fillId="14" borderId="1" xfId="0" applyNumberFormat="1" applyFont="1" applyFill="1" applyBorder="1"/>
    <xf numFmtId="0" fontId="44" fillId="15" borderId="12" xfId="0" applyFont="1" applyFill="1" applyBorder="1" applyAlignment="1">
      <alignment horizontal="center" vertical="center"/>
    </xf>
    <xf numFmtId="0" fontId="44" fillId="5" borderId="12" xfId="0" applyFont="1" applyFill="1" applyBorder="1" applyAlignment="1">
      <alignment horizontal="left" vertical="center" wrapText="1"/>
    </xf>
    <xf numFmtId="0" fontId="29" fillId="15" borderId="12" xfId="0" applyFont="1" applyFill="1" applyBorder="1" applyAlignment="1">
      <alignment horizontal="left" vertical="center"/>
    </xf>
    <xf numFmtId="0" fontId="29" fillId="15" borderId="12" xfId="0" applyFont="1" applyFill="1" applyBorder="1" applyAlignment="1">
      <alignment horizontal="center" vertical="center"/>
    </xf>
    <xf numFmtId="14" fontId="29" fillId="15" borderId="12" xfId="0" applyNumberFormat="1" applyFont="1" applyFill="1" applyBorder="1" applyAlignment="1">
      <alignment horizontal="center" vertical="center"/>
    </xf>
    <xf numFmtId="1" fontId="29" fillId="15" borderId="12" xfId="0" applyNumberFormat="1" applyFont="1" applyFill="1" applyBorder="1" applyAlignment="1">
      <alignment horizontal="center" vertical="center" wrapText="1"/>
    </xf>
    <xf numFmtId="0" fontId="29" fillId="15" borderId="12" xfId="0" applyFont="1" applyFill="1" applyBorder="1" applyAlignment="1">
      <alignment horizontal="left" vertical="top" wrapText="1"/>
    </xf>
    <xf numFmtId="0" fontId="44" fillId="0" borderId="13" xfId="0" applyFont="1" applyBorder="1" applyAlignment="1">
      <alignment horizontal="center" vertical="center"/>
    </xf>
    <xf numFmtId="14" fontId="29" fillId="0" borderId="13" xfId="0" applyNumberFormat="1" applyFont="1" applyBorder="1" applyAlignment="1">
      <alignment horizontal="left" vertical="top" wrapText="1"/>
    </xf>
    <xf numFmtId="0" fontId="44" fillId="0" borderId="13" xfId="0" applyFont="1" applyBorder="1" applyAlignment="1">
      <alignment horizontal="left" vertical="center"/>
    </xf>
    <xf numFmtId="0" fontId="44" fillId="0" borderId="1" xfId="0" applyFont="1" applyBorder="1" applyAlignment="1">
      <alignment horizontal="left" vertical="center"/>
    </xf>
    <xf numFmtId="0" fontId="29" fillId="5" borderId="28" xfId="0" applyFont="1" applyFill="1" applyBorder="1" applyAlignment="1">
      <alignment wrapText="1"/>
    </xf>
    <xf numFmtId="0" fontId="29" fillId="0" borderId="22" xfId="0" applyFont="1" applyBorder="1" applyAlignment="1">
      <alignment wrapText="1"/>
    </xf>
    <xf numFmtId="0" fontId="44" fillId="14" borderId="8" xfId="0" applyFont="1" applyFill="1" applyBorder="1" applyAlignment="1">
      <alignment vertical="center"/>
    </xf>
    <xf numFmtId="0" fontId="29" fillId="14" borderId="12" xfId="0" applyFont="1" applyFill="1" applyBorder="1" applyAlignment="1">
      <alignment horizontal="left" vertical="center"/>
    </xf>
    <xf numFmtId="0" fontId="44" fillId="14" borderId="10" xfId="0" applyFont="1" applyFill="1" applyBorder="1" applyAlignment="1">
      <alignment horizontal="center" vertical="center"/>
    </xf>
    <xf numFmtId="0" fontId="29" fillId="5" borderId="12" xfId="0" applyFont="1" applyFill="1" applyBorder="1" applyAlignment="1">
      <alignment horizontal="left" vertical="center" wrapText="1"/>
    </xf>
    <xf numFmtId="0" fontId="29" fillId="14" borderId="11" xfId="0" applyFont="1" applyFill="1" applyBorder="1" applyAlignment="1">
      <alignment horizontal="center" vertical="center"/>
    </xf>
    <xf numFmtId="0" fontId="29" fillId="5" borderId="26" xfId="0" applyFont="1" applyFill="1" applyBorder="1" applyAlignment="1">
      <alignment horizontal="left" vertical="center" wrapText="1"/>
    </xf>
    <xf numFmtId="0" fontId="29" fillId="14" borderId="12" xfId="0" applyFont="1" applyFill="1" applyBorder="1" applyAlignment="1">
      <alignment horizontal="center" vertical="center" wrapText="1"/>
    </xf>
    <xf numFmtId="0" fontId="44" fillId="5" borderId="26" xfId="0" applyFont="1" applyFill="1" applyBorder="1" applyAlignment="1">
      <alignment horizontal="left" vertical="center" wrapText="1"/>
    </xf>
    <xf numFmtId="0" fontId="44" fillId="5" borderId="27" xfId="0" applyFont="1" applyFill="1" applyBorder="1" applyAlignment="1">
      <alignment horizontal="left" vertical="center" wrapText="1"/>
    </xf>
    <xf numFmtId="14" fontId="29" fillId="14" borderId="29" xfId="0" applyNumberFormat="1" applyFont="1" applyFill="1" applyBorder="1" applyAlignment="1">
      <alignment horizontal="center" vertical="center"/>
    </xf>
    <xf numFmtId="14" fontId="29" fillId="14" borderId="11" xfId="0" applyNumberFormat="1" applyFont="1" applyFill="1" applyBorder="1" applyAlignment="1">
      <alignment horizontal="left" vertical="top" wrapText="1"/>
    </xf>
    <xf numFmtId="0" fontId="44" fillId="14" borderId="30" xfId="0" applyFont="1" applyFill="1" applyBorder="1" applyAlignment="1">
      <alignment horizontal="center" vertical="center"/>
    </xf>
    <xf numFmtId="1" fontId="29" fillId="18" borderId="1" xfId="0" applyNumberFormat="1" applyFont="1" applyFill="1" applyBorder="1" applyAlignment="1">
      <alignment horizontal="center" vertical="center" wrapText="1"/>
    </xf>
    <xf numFmtId="14" fontId="29" fillId="14" borderId="1" xfId="0" applyNumberFormat="1" applyFont="1" applyFill="1" applyBorder="1" applyAlignment="1">
      <alignment wrapText="1"/>
    </xf>
    <xf numFmtId="0" fontId="29" fillId="14" borderId="1" xfId="0" applyFont="1" applyFill="1" applyBorder="1" applyAlignment="1">
      <alignment vertical="top"/>
    </xf>
    <xf numFmtId="0" fontId="86" fillId="0" borderId="20" xfId="0" applyFont="1" applyBorder="1" applyAlignment="1">
      <alignment horizontal="left" vertical="center" wrapText="1"/>
    </xf>
    <xf numFmtId="0" fontId="29" fillId="0" borderId="20" xfId="0" applyFont="1" applyBorder="1" applyAlignment="1">
      <alignment horizontal="left" vertical="center"/>
    </xf>
    <xf numFmtId="14" fontId="44" fillId="14" borderId="1" xfId="0" applyNumberFormat="1" applyFont="1" applyFill="1" applyBorder="1" applyAlignment="1">
      <alignment horizontal="left" vertical="top" wrapText="1"/>
    </xf>
    <xf numFmtId="0" fontId="86" fillId="0" borderId="0" xfId="0" applyFont="1" applyAlignment="1">
      <alignment horizontal="center"/>
    </xf>
    <xf numFmtId="0" fontId="44" fillId="0" borderId="20" xfId="0" applyFont="1" applyBorder="1" applyAlignment="1">
      <alignment horizontal="center" vertical="center"/>
    </xf>
    <xf numFmtId="0" fontId="86" fillId="0" borderId="13" xfId="0" applyFont="1" applyBorder="1" applyAlignment="1">
      <alignment horizontal="left" vertical="center" wrapText="1"/>
    </xf>
    <xf numFmtId="0" fontId="29" fillId="5" borderId="1" xfId="0" applyFont="1" applyFill="1" applyBorder="1" applyAlignment="1">
      <alignment vertical="top" wrapText="1"/>
    </xf>
    <xf numFmtId="14" fontId="29" fillId="14" borderId="1" xfId="0" applyNumberFormat="1" applyFont="1" applyFill="1" applyBorder="1" applyAlignment="1">
      <alignment horizontal="center" vertical="center" wrapText="1"/>
    </xf>
    <xf numFmtId="0" fontId="29" fillId="5" borderId="1" xfId="0" applyFont="1" applyFill="1" applyBorder="1"/>
    <xf numFmtId="0" fontId="86" fillId="0" borderId="1" xfId="0" applyFont="1" applyBorder="1" applyAlignment="1">
      <alignment vertical="center" wrapText="1"/>
    </xf>
    <xf numFmtId="0" fontId="86" fillId="5" borderId="1" xfId="0" applyFont="1" applyFill="1" applyBorder="1" applyAlignment="1">
      <alignment vertical="center"/>
    </xf>
    <xf numFmtId="0" fontId="138" fillId="14" borderId="1" xfId="0" applyFont="1" applyFill="1" applyBorder="1" applyAlignment="1">
      <alignment vertical="center" wrapText="1"/>
    </xf>
    <xf numFmtId="14" fontId="86" fillId="14" borderId="1" xfId="0" applyNumberFormat="1" applyFont="1" applyFill="1" applyBorder="1" applyAlignment="1">
      <alignment vertical="center" wrapText="1"/>
    </xf>
    <xf numFmtId="0" fontId="86" fillId="5" borderId="1" xfId="0" applyFont="1" applyFill="1" applyBorder="1" applyAlignment="1">
      <alignment horizontal="center" vertical="center"/>
    </xf>
    <xf numFmtId="14" fontId="86" fillId="0" borderId="1" xfId="0" applyNumberFormat="1" applyFont="1" applyBorder="1" applyAlignment="1">
      <alignment horizontal="center" vertical="center"/>
    </xf>
    <xf numFmtId="0" fontId="86" fillId="0" borderId="1" xfId="0" applyFont="1" applyBorder="1" applyAlignment="1">
      <alignment horizontal="center" vertical="center"/>
    </xf>
    <xf numFmtId="0" fontId="86" fillId="0" borderId="0" xfId="0" applyFont="1" applyAlignment="1">
      <alignment horizontal="center" vertical="center"/>
    </xf>
    <xf numFmtId="0" fontId="29" fillId="5" borderId="1" xfId="0" applyFont="1" applyFill="1" applyBorder="1" applyAlignment="1">
      <alignment horizontal="left" vertical="center"/>
    </xf>
    <xf numFmtId="0" fontId="86" fillId="0" borderId="1" xfId="0" applyFont="1" applyBorder="1" applyAlignment="1">
      <alignment horizontal="center" wrapText="1"/>
    </xf>
    <xf numFmtId="0" fontId="86" fillId="0" borderId="1" xfId="0" applyFont="1" applyBorder="1" applyAlignment="1">
      <alignment wrapText="1"/>
    </xf>
    <xf numFmtId="0" fontId="29" fillId="14" borderId="1" xfId="0" applyFont="1" applyFill="1" applyBorder="1" applyAlignment="1">
      <alignment horizontal="left" vertical="top"/>
    </xf>
    <xf numFmtId="0" fontId="44" fillId="0" borderId="1" xfId="0" applyFont="1" applyBorder="1" applyAlignment="1">
      <alignment vertical="top" wrapText="1"/>
    </xf>
    <xf numFmtId="0" fontId="141" fillId="0" borderId="0" xfId="0" applyFont="1"/>
    <xf numFmtId="0" fontId="29" fillId="0" borderId="1" xfId="0" applyFont="1" applyBorder="1" applyAlignment="1">
      <alignment horizontal="center"/>
    </xf>
    <xf numFmtId="0" fontId="44" fillId="0" borderId="1" xfId="0" applyFont="1" applyBorder="1" applyAlignment="1">
      <alignment horizontal="center" vertical="top" wrapText="1"/>
    </xf>
    <xf numFmtId="0" fontId="44" fillId="5" borderId="1" xfId="0" applyFont="1" applyFill="1" applyBorder="1" applyAlignment="1">
      <alignment vertical="top" wrapText="1"/>
    </xf>
    <xf numFmtId="0" fontId="86" fillId="5" borderId="10" xfId="0" applyFont="1" applyFill="1" applyBorder="1"/>
    <xf numFmtId="14" fontId="86" fillId="0" borderId="0" xfId="0" applyNumberFormat="1" applyFont="1"/>
    <xf numFmtId="14" fontId="29" fillId="14" borderId="1" xfId="0" applyNumberFormat="1" applyFont="1" applyFill="1" applyBorder="1" applyAlignment="1">
      <alignment horizontal="left" vertical="center"/>
    </xf>
    <xf numFmtId="14" fontId="142" fillId="14" borderId="1" xfId="0" applyNumberFormat="1" applyFont="1" applyFill="1" applyBorder="1" applyAlignment="1">
      <alignment horizontal="left" vertical="top"/>
    </xf>
    <xf numFmtId="0" fontId="138" fillId="0" borderId="1" xfId="0" applyFont="1" applyBorder="1" applyAlignment="1">
      <alignment vertical="center" wrapText="1"/>
    </xf>
    <xf numFmtId="0" fontId="86" fillId="14" borderId="1" xfId="0" applyFont="1" applyFill="1" applyBorder="1" applyAlignment="1">
      <alignment horizontal="center" vertical="center" wrapText="1"/>
    </xf>
    <xf numFmtId="14" fontId="86" fillId="14" borderId="1" xfId="0" applyNumberFormat="1" applyFont="1" applyFill="1" applyBorder="1" applyAlignment="1">
      <alignment vertical="center"/>
    </xf>
    <xf numFmtId="0" fontId="86" fillId="14" borderId="1" xfId="0" applyFont="1" applyFill="1" applyBorder="1" applyAlignment="1">
      <alignment vertical="top"/>
    </xf>
    <xf numFmtId="0" fontId="138" fillId="5" borderId="10" xfId="0" applyFont="1" applyFill="1" applyBorder="1"/>
    <xf numFmtId="0" fontId="29" fillId="14" borderId="1" xfId="0" applyFont="1" applyFill="1" applyBorder="1" applyAlignment="1">
      <alignment horizontal="center" vertical="center" wrapText="1"/>
    </xf>
    <xf numFmtId="0" fontId="44" fillId="14" borderId="10" xfId="0" applyFont="1" applyFill="1" applyBorder="1" applyAlignment="1">
      <alignment horizontal="left" vertical="center" wrapText="1"/>
    </xf>
    <xf numFmtId="0" fontId="29" fillId="5" borderId="10" xfId="0" applyFont="1" applyFill="1" applyBorder="1" applyAlignment="1">
      <alignment horizontal="left" vertical="center"/>
    </xf>
    <xf numFmtId="0" fontId="29" fillId="14" borderId="10" xfId="0" applyFont="1" applyFill="1" applyBorder="1" applyAlignment="1">
      <alignment horizontal="left" vertical="top"/>
    </xf>
    <xf numFmtId="0" fontId="86" fillId="5" borderId="1" xfId="0" applyFont="1" applyFill="1" applyBorder="1"/>
    <xf numFmtId="0" fontId="44" fillId="0" borderId="7" xfId="0" applyFont="1" applyBorder="1" applyAlignment="1">
      <alignment vertical="top"/>
    </xf>
    <xf numFmtId="0" fontId="29" fillId="5" borderId="8" xfId="0" applyFont="1" applyFill="1" applyBorder="1"/>
    <xf numFmtId="14" fontId="29" fillId="0" borderId="7" xfId="0" applyNumberFormat="1" applyFont="1" applyBorder="1" applyAlignment="1">
      <alignment horizontal="center"/>
    </xf>
    <xf numFmtId="1" fontId="29" fillId="14" borderId="8" xfId="0" applyNumberFormat="1" applyFont="1" applyFill="1" applyBorder="1" applyAlignment="1">
      <alignment horizontal="center" vertical="center"/>
    </xf>
    <xf numFmtId="0" fontId="44" fillId="14" borderId="10" xfId="0" applyFont="1" applyFill="1" applyBorder="1" applyAlignment="1">
      <alignment horizontal="center" vertical="center" wrapText="1"/>
    </xf>
    <xf numFmtId="0" fontId="44" fillId="0" borderId="7" xfId="0" applyFont="1" applyBorder="1" applyAlignment="1">
      <alignment vertical="top" wrapText="1"/>
    </xf>
    <xf numFmtId="14" fontId="29" fillId="14" borderId="1" xfId="0" applyNumberFormat="1" applyFont="1" applyFill="1" applyBorder="1" applyAlignment="1">
      <alignment horizontal="left" vertical="top"/>
    </xf>
    <xf numFmtId="0" fontId="44" fillId="14" borderId="10" xfId="0" applyFont="1" applyFill="1" applyBorder="1" applyAlignment="1">
      <alignment horizontal="left" vertical="top" wrapText="1"/>
    </xf>
    <xf numFmtId="0" fontId="29" fillId="0" borderId="7" xfId="0" applyFont="1" applyBorder="1" applyAlignment="1">
      <alignment vertical="top"/>
    </xf>
    <xf numFmtId="0" fontId="138" fillId="0" borderId="0" xfId="0" applyFont="1"/>
    <xf numFmtId="0" fontId="29" fillId="14" borderId="9" xfId="0" applyFont="1" applyFill="1" applyBorder="1" applyAlignment="1">
      <alignment horizontal="center" vertical="center" wrapText="1"/>
    </xf>
    <xf numFmtId="0" fontId="143" fillId="14" borderId="21" xfId="0" applyFont="1" applyFill="1" applyBorder="1" applyAlignment="1">
      <alignment horizontal="left" vertical="center" wrapText="1"/>
    </xf>
    <xf numFmtId="0" fontId="44" fillId="0" borderId="18" xfId="0" applyFont="1" applyBorder="1" applyAlignment="1">
      <alignment vertical="top" wrapText="1"/>
    </xf>
    <xf numFmtId="0" fontId="138" fillId="5" borderId="1" xfId="0" applyFont="1" applyFill="1" applyBorder="1" applyAlignment="1">
      <alignment vertical="center"/>
    </xf>
    <xf numFmtId="1" fontId="29" fillId="14" borderId="1" xfId="0" applyNumberFormat="1" applyFont="1" applyFill="1" applyBorder="1" applyAlignment="1">
      <alignment horizontal="center" vertical="center"/>
    </xf>
    <xf numFmtId="0" fontId="138" fillId="5" borderId="1" xfId="0" applyFont="1" applyFill="1" applyBorder="1" applyAlignment="1">
      <alignment vertical="center" wrapText="1"/>
    </xf>
    <xf numFmtId="0" fontId="86" fillId="5" borderId="1" xfId="0" applyFont="1" applyFill="1" applyBorder="1" applyAlignment="1">
      <alignment vertical="center" wrapText="1"/>
    </xf>
    <xf numFmtId="14" fontId="86" fillId="0" borderId="1" xfId="0" applyNumberFormat="1" applyFont="1" applyBorder="1" applyAlignment="1">
      <alignment vertical="center" wrapText="1"/>
    </xf>
    <xf numFmtId="0" fontId="86" fillId="0" borderId="0" xfId="0" applyFont="1" applyAlignment="1">
      <alignment vertical="center" wrapText="1"/>
    </xf>
    <xf numFmtId="0" fontId="29" fillId="0" borderId="1" xfId="0" applyFont="1" applyBorder="1" applyAlignment="1">
      <alignment vertical="top"/>
    </xf>
    <xf numFmtId="0" fontId="44" fillId="4" borderId="1" xfId="0" applyFont="1" applyFill="1" applyBorder="1" applyAlignment="1">
      <alignment vertical="center"/>
    </xf>
    <xf numFmtId="0" fontId="29" fillId="4" borderId="1" xfId="0" applyFont="1" applyFill="1" applyBorder="1" applyAlignment="1">
      <alignment horizontal="left" vertical="top" wrapText="1"/>
    </xf>
    <xf numFmtId="0" fontId="16" fillId="0" borderId="0" xfId="0" applyFont="1" applyAlignment="1">
      <alignment horizontal="center"/>
    </xf>
    <xf numFmtId="0" fontId="30" fillId="0" borderId="0" xfId="0" applyFont="1" applyAlignment="1">
      <alignment horizontal="center"/>
    </xf>
    <xf numFmtId="14" fontId="86" fillId="0" borderId="0" xfId="0" applyNumberFormat="1" applyFont="1"/>
    <xf numFmtId="0" fontId="30" fillId="0" borderId="0" xfId="0" applyFont="1" applyAlignment="1"/>
    <xf numFmtId="14" fontId="30" fillId="0" borderId="0" xfId="0" applyNumberFormat="1" applyFont="1" applyAlignment="1"/>
    <xf numFmtId="0" fontId="138" fillId="19" borderId="1" xfId="0" applyFont="1" applyFill="1" applyBorder="1" applyAlignment="1">
      <alignment vertical="center"/>
    </xf>
    <xf numFmtId="14" fontId="138" fillId="19" borderId="1" xfId="0" applyNumberFormat="1" applyFont="1" applyFill="1" applyBorder="1" applyAlignment="1">
      <alignment horizontal="center" vertical="center" wrapText="1"/>
    </xf>
    <xf numFmtId="14" fontId="138" fillId="19" borderId="8" xfId="0" applyNumberFormat="1" applyFont="1" applyFill="1" applyBorder="1" applyAlignment="1">
      <alignment horizontal="center" vertical="center" wrapText="1"/>
    </xf>
    <xf numFmtId="14" fontId="138" fillId="19" borderId="21" xfId="0" applyNumberFormat="1" applyFont="1" applyFill="1" applyBorder="1" applyAlignment="1">
      <alignment horizontal="center" vertical="center" wrapText="1"/>
    </xf>
    <xf numFmtId="0" fontId="138" fillId="14" borderId="1" xfId="0" applyFont="1" applyFill="1" applyBorder="1"/>
    <xf numFmtId="0" fontId="86" fillId="0" borderId="1" xfId="0" applyFont="1" applyBorder="1" applyAlignment="1">
      <alignment horizontal="center"/>
    </xf>
    <xf numFmtId="0" fontId="144" fillId="0" borderId="1" xfId="0" applyFont="1" applyBorder="1"/>
    <xf numFmtId="0" fontId="86" fillId="0" borderId="22" xfId="0" applyFont="1" applyBorder="1"/>
    <xf numFmtId="0" fontId="145" fillId="0" borderId="1" xfId="0" applyFont="1" applyBorder="1"/>
    <xf numFmtId="0" fontId="28" fillId="0" borderId="1" xfId="0" applyFont="1" applyBorder="1" applyAlignment="1"/>
    <xf numFmtId="0" fontId="28" fillId="0" borderId="1" xfId="0" applyFont="1" applyBorder="1" applyAlignment="1">
      <alignment horizontal="center"/>
    </xf>
    <xf numFmtId="0" fontId="28" fillId="0" borderId="1" xfId="0" applyFont="1" applyBorder="1" applyAlignment="1">
      <alignment wrapText="1"/>
    </xf>
    <xf numFmtId="167" fontId="30" fillId="0" borderId="1" xfId="0" applyNumberFormat="1" applyFont="1" applyBorder="1" applyAlignment="1">
      <alignment horizontal="center" vertical="center"/>
    </xf>
    <xf numFmtId="20"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0" fontId="30" fillId="0" borderId="1" xfId="0" applyFont="1" applyBorder="1" applyAlignment="1">
      <alignment horizontal="left" vertical="center" wrapText="1"/>
    </xf>
    <xf numFmtId="0" fontId="30" fillId="0" borderId="0" xfId="0" applyFont="1" applyAlignment="1">
      <alignment horizontal="center" vertical="center"/>
    </xf>
    <xf numFmtId="20" fontId="30" fillId="0" borderId="1" xfId="0" applyNumberFormat="1" applyFont="1" applyBorder="1" applyAlignment="1">
      <alignment horizontal="center"/>
    </xf>
    <xf numFmtId="0" fontId="30" fillId="0" borderId="1" xfId="0" applyFont="1" applyBorder="1" applyAlignment="1">
      <alignment horizontal="center"/>
    </xf>
    <xf numFmtId="0" fontId="30" fillId="0" borderId="1" xfId="0" applyFont="1" applyBorder="1" applyAlignment="1">
      <alignment wrapText="1"/>
    </xf>
    <xf numFmtId="167" fontId="30" fillId="0" borderId="1" xfId="0" applyNumberFormat="1" applyFont="1" applyBorder="1" applyAlignment="1">
      <alignment horizontal="left"/>
    </xf>
    <xf numFmtId="20" fontId="30" fillId="0" borderId="1" xfId="0" applyNumberFormat="1" applyFont="1" applyBorder="1" applyAlignment="1">
      <alignment horizontal="left"/>
    </xf>
    <xf numFmtId="20" fontId="30" fillId="0" borderId="1" xfId="0" applyNumberFormat="1" applyFont="1" applyBorder="1" applyAlignment="1">
      <alignment horizontal="left" vertical="center"/>
    </xf>
    <xf numFmtId="0" fontId="30" fillId="0" borderId="1" xfId="0" applyFont="1" applyBorder="1" applyAlignment="1">
      <alignment horizontal="left"/>
    </xf>
    <xf numFmtId="0" fontId="30" fillId="0" borderId="1" xfId="0" applyFont="1" applyBorder="1" applyAlignment="1">
      <alignment horizontal="left" wrapText="1"/>
    </xf>
    <xf numFmtId="0" fontId="30" fillId="0" borderId="1" xfId="0" applyFont="1" applyBorder="1"/>
    <xf numFmtId="0" fontId="30" fillId="0" borderId="1" xfId="0" applyFont="1" applyBorder="1" applyAlignment="1">
      <alignment horizontal="center"/>
    </xf>
    <xf numFmtId="0" fontId="30" fillId="0" borderId="1" xfId="0" applyFont="1" applyBorder="1" applyAlignment="1">
      <alignment wrapText="1"/>
    </xf>
    <xf numFmtId="0" fontId="30" fillId="0" borderId="0" xfId="0" applyFont="1" applyAlignment="1">
      <alignment wrapText="1"/>
    </xf>
    <xf numFmtId="0" fontId="7" fillId="20" borderId="1" xfId="0" applyFont="1" applyFill="1" applyBorder="1" applyAlignment="1">
      <alignment horizontal="center" vertical="center"/>
    </xf>
    <xf numFmtId="0" fontId="16" fillId="0" borderId="0" xfId="0" applyFont="1" applyAlignment="1">
      <alignment horizontal="left" vertical="center"/>
    </xf>
    <xf numFmtId="0" fontId="44" fillId="14" borderId="7" xfId="0" applyFont="1" applyFill="1" applyBorder="1" applyAlignment="1">
      <alignment horizontal="center" vertical="center"/>
    </xf>
    <xf numFmtId="0" fontId="140" fillId="0" borderId="13" xfId="0" applyFont="1" applyBorder="1"/>
    <xf numFmtId="0" fontId="86" fillId="0" borderId="7" xfId="0" applyFont="1" applyBorder="1" applyAlignment="1">
      <alignment horizontal="center" vertical="center" wrapText="1"/>
    </xf>
    <xf numFmtId="0" fontId="140"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33">
  <autoFilter ref="A1:BO1133">
    <filterColumn colId="0">
      <filters>
        <filter val="DANILO"/>
        <filter val="faBIO"/>
        <filter val="jESUS"/>
        <filter val="WILSON"/>
      </filters>
    </filterColumn>
    <filterColumn colId="5">
      <filters blank="1">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38">
  <autoFilter ref="A1:S1038"/>
  <tableColumns count="19">
    <tableColumn id="1" name="Asignado a"/>
    <tableColumn id="2" name="# REQ"/>
    <tableColumn id="3" name="Requerimiento "/>
    <tableColumn id="4" name="Detalle del requerimiento"/>
    <tableColumn id="5" name="Proceso "/>
    <tableColumn id="6" name="ESTADO"/>
    <tableColumn id="7" name="%"/>
    <tableColumn id="8" name="Dias estimados de desarrollo"/>
    <tableColumn id="9" name="F.Asignado"/>
    <tableColumn id="10" name="Fecha inicio"/>
    <tableColumn id="11" name="Fecha estimada de entrega"/>
    <tableColumn id="12" name="Finalizado"/>
    <tableColumn id="13" name="Dias"/>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maginex-arlbolivar.segurosbolivar.com/oficina/express/1" TargetMode="External"/><Relationship Id="rId13" Type="http://schemas.openxmlformats.org/officeDocument/2006/relationships/table" Target="../tables/table1.xm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github.com/Imaginesas/portales/compare/master...feature/ocultarBotonInc?expand=1" TargetMode="External"/><Relationship Id="rId12" Type="http://schemas.openxmlformats.org/officeDocument/2006/relationships/hyperlink" Target="http://septiembre.se/" TargetMode="External"/><Relationship Id="rId2" Type="http://schemas.openxmlformats.org/officeDocument/2006/relationships/hyperlink" Target="https://jirasegurosbolivar.atlassian.net/browse/GD772-81"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copiaIncapacidadApiOcr?expand=1" TargetMode="External"/><Relationship Id="rId11" Type="http://schemas.openxmlformats.org/officeDocument/2006/relationships/hyperlink" Target="https://github.com/Imaginesas/bolivar/compare/master...feature/flujo_modalidades_2?expand=1" TargetMode="External"/><Relationship Id="rId5" Type="http://schemas.openxmlformats.org/officeDocument/2006/relationships/hyperlink" Target="https://github.com/Imaginesas/bolivar/compare/master...feature/despliegue-login" TargetMode="External"/><Relationship Id="rId10" Type="http://schemas.openxmlformats.org/officeDocument/2006/relationships/hyperlink" Target="https://github.com/Imaginesas/bolivar_migration/compare/master...hotfix/yiras2810?expand=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BO1133"/>
  <sheetViews>
    <sheetView tabSelected="1" topLeftCell="B1" workbookViewId="0">
      <selection activeCell="K1138" sqref="K1138"/>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3.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hidden="1"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hidden="1"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46"/>
      <c r="O4" s="47">
        <v>45939</v>
      </c>
      <c r="P4" s="29"/>
      <c r="Q4" s="38" t="s">
        <v>92</v>
      </c>
      <c r="R4" s="31" t="s">
        <v>93</v>
      </c>
      <c r="S4" s="48">
        <v>0</v>
      </c>
      <c r="T4" s="48" t="s">
        <v>94</v>
      </c>
      <c r="U4" s="49" t="s">
        <v>95</v>
      </c>
      <c r="V4" s="40"/>
      <c r="W4" s="40"/>
      <c r="X4" s="40"/>
      <c r="Y4" s="40"/>
      <c r="Z4" s="40"/>
      <c r="AA4" s="40"/>
      <c r="AB4" s="50" t="s">
        <v>96</v>
      </c>
      <c r="AC4" s="51"/>
      <c r="AD4" s="50" t="s">
        <v>97</v>
      </c>
      <c r="AE4" s="50" t="s">
        <v>98</v>
      </c>
      <c r="AF4" s="50" t="s">
        <v>99</v>
      </c>
      <c r="AG4" s="50" t="s">
        <v>100</v>
      </c>
      <c r="AH4" s="50" t="s">
        <v>101</v>
      </c>
      <c r="AI4" s="52" t="s">
        <v>102</v>
      </c>
      <c r="AJ4" s="52" t="s">
        <v>103</v>
      </c>
      <c r="AK4" s="52"/>
      <c r="AL4" s="52"/>
      <c r="AM4" s="52"/>
      <c r="AN4" s="52"/>
      <c r="AO4" s="52" t="s">
        <v>104</v>
      </c>
      <c r="AP4" s="52"/>
      <c r="AQ4" s="52"/>
      <c r="AR4" s="52"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hidden="1" customHeight="1">
      <c r="A5" s="16" t="s">
        <v>67</v>
      </c>
      <c r="B5" s="17" t="s">
        <v>121</v>
      </c>
      <c r="C5" s="43" t="s">
        <v>122</v>
      </c>
      <c r="D5" s="43"/>
      <c r="E5" s="19"/>
      <c r="F5" s="20" t="s">
        <v>123</v>
      </c>
      <c r="G5" s="32"/>
      <c r="H5" s="22">
        <f>IF(OR(J5="",K5="",K5&lt;J5),0,NETWORKDAYS(J5,K5,fESTIVOS!$A$2:$A$53))</f>
        <v>0</v>
      </c>
      <c r="I5" s="23">
        <v>45712</v>
      </c>
      <c r="J5" s="24">
        <v>45715</v>
      </c>
      <c r="K5" s="53"/>
      <c r="L5" s="24">
        <v>45723</v>
      </c>
      <c r="M5" s="27">
        <f ca="1">IF(OR(J5="",AND(L5="",TODAY()&lt;J5),AND(L5&lt;&gt;"",L5&lt;J5)),0,
   IF(L5="",
      NETWORKDAYS(J5,TODAY(),fESTIVOS!$A$2:$A$53),
      NETWORKDAYS(J5,L5,fESTIVOS!$A$2:$A$53)
   )
)</f>
        <v>7</v>
      </c>
      <c r="N5" s="28"/>
      <c r="O5" s="23"/>
      <c r="P5" s="29"/>
      <c r="Q5" s="54"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hidden="1" customHeight="1">
      <c r="A6" s="16" t="s">
        <v>67</v>
      </c>
      <c r="B6" s="17" t="s">
        <v>125</v>
      </c>
      <c r="C6" s="43" t="s">
        <v>126</v>
      </c>
      <c r="D6" s="43"/>
      <c r="E6" s="19"/>
      <c r="F6" s="20" t="s">
        <v>123</v>
      </c>
      <c r="G6" s="32"/>
      <c r="H6" s="22">
        <f>IF(OR(J6="",K6="",K6&lt;J6),0,NETWORKDAYS(J6,K6,fESTIVOS!$A$2:$A$53))</f>
        <v>0</v>
      </c>
      <c r="I6" s="23">
        <v>45747</v>
      </c>
      <c r="J6" s="24">
        <v>45747</v>
      </c>
      <c r="K6" s="53"/>
      <c r="L6" s="24"/>
      <c r="M6" s="27">
        <f ca="1">IF(OR(J6="",AND(L6="",TODAY()&lt;J6),AND(L6&lt;&gt;"",L6&lt;J6)),0,
   IF(L6="",
      NETWORKDAYS(J6,TODAY(),fESTIVOS!$A$2:$A$53),
      NETWORKDAYS(J6,L6,fESTIVOS!$A$2:$A$53)
   )
)</f>
        <v>203</v>
      </c>
      <c r="N6" s="28"/>
      <c r="O6" s="23"/>
      <c r="P6" s="29"/>
      <c r="Q6" s="54" t="s">
        <v>127</v>
      </c>
      <c r="R6" s="31" t="s">
        <v>93</v>
      </c>
      <c r="S6" s="41"/>
      <c r="T6" s="41"/>
      <c r="U6" s="33"/>
      <c r="V6" s="40"/>
      <c r="W6" s="40"/>
      <c r="X6" s="40"/>
      <c r="Y6" s="40"/>
      <c r="Z6" s="40"/>
      <c r="AA6" s="40"/>
      <c r="AB6" s="40"/>
      <c r="AC6" s="40"/>
      <c r="AD6" s="40"/>
      <c r="AE6" s="40"/>
      <c r="AF6" s="40"/>
      <c r="AG6" s="40"/>
      <c r="AH6" s="40"/>
      <c r="AI6" s="55"/>
      <c r="AJ6" s="55"/>
      <c r="AK6" s="55"/>
      <c r="AL6" s="55"/>
      <c r="AM6" s="55"/>
      <c r="AN6" s="55"/>
      <c r="AO6" s="55"/>
      <c r="AP6" s="55"/>
      <c r="AQ6" s="55"/>
      <c r="AR6" s="55"/>
      <c r="AS6" s="55"/>
      <c r="AT6" s="55"/>
      <c r="AU6" s="55"/>
      <c r="AV6" s="55"/>
      <c r="AW6" s="55"/>
      <c r="AX6" s="55"/>
      <c r="AY6" s="55"/>
      <c r="AZ6" s="55"/>
      <c r="BA6" s="55"/>
      <c r="BB6" s="55"/>
      <c r="BC6" s="55"/>
      <c r="BD6" s="55"/>
      <c r="BE6" s="55"/>
      <c r="BF6" s="55"/>
      <c r="BG6" s="55"/>
      <c r="BH6" s="55"/>
      <c r="BI6" s="55"/>
      <c r="BJ6" s="55"/>
      <c r="BK6" s="55"/>
      <c r="BL6" s="55"/>
      <c r="BM6" s="55"/>
      <c r="BN6" s="55"/>
      <c r="BO6" s="55"/>
    </row>
    <row r="7" spans="1:67" ht="39" hidden="1" customHeight="1">
      <c r="A7" s="56" t="s">
        <v>128</v>
      </c>
      <c r="B7" s="17" t="s">
        <v>129</v>
      </c>
      <c r="C7" s="57" t="s">
        <v>130</v>
      </c>
      <c r="D7" s="57"/>
      <c r="E7" s="58"/>
      <c r="F7" s="20" t="s">
        <v>76</v>
      </c>
      <c r="G7" s="59">
        <v>100</v>
      </c>
      <c r="H7" s="22">
        <f>IF(OR(J7="",K7="",K7&lt;J7),0,NETWORKDAYS(J7,K7,fESTIVOS!$A$2:$A$53))</f>
        <v>11</v>
      </c>
      <c r="I7" s="60">
        <v>45719</v>
      </c>
      <c r="J7" s="61">
        <v>45779</v>
      </c>
      <c r="K7" s="61">
        <v>45793</v>
      </c>
      <c r="L7" s="61">
        <v>45791</v>
      </c>
      <c r="M7" s="27">
        <f ca="1">IF(OR(J7="",AND(L7="",TODAY()&lt;J7),AND(L7&lt;&gt;"",L7&lt;J7)),0,
   IF(L7="",
      NETWORKDAYS(J7,TODAY(),fESTIVOS!$A$2:$A$53),
      NETWORKDAYS(J7,L7,fESTIVOS!$A$2:$A$53)
   )
)</f>
        <v>9</v>
      </c>
      <c r="N7" s="62"/>
      <c r="O7" s="60"/>
      <c r="P7" s="63">
        <v>45883</v>
      </c>
      <c r="Q7" s="64" t="s">
        <v>131</v>
      </c>
      <c r="R7" s="31" t="s">
        <v>78</v>
      </c>
      <c r="S7" s="59"/>
      <c r="T7" s="59" t="s">
        <v>132</v>
      </c>
      <c r="U7" s="65" t="s">
        <v>133</v>
      </c>
      <c r="V7" s="66" t="s">
        <v>134</v>
      </c>
      <c r="W7" s="66" t="s">
        <v>135</v>
      </c>
      <c r="X7" s="66" t="s">
        <v>136</v>
      </c>
      <c r="Y7" s="67"/>
      <c r="Z7" s="66" t="s">
        <v>137</v>
      </c>
      <c r="AA7" s="66" t="s">
        <v>138</v>
      </c>
      <c r="AB7" s="66" t="s">
        <v>139</v>
      </c>
      <c r="AC7" s="67"/>
      <c r="AD7" s="66" t="s">
        <v>140</v>
      </c>
      <c r="AE7" s="66" t="s">
        <v>141</v>
      </c>
      <c r="AF7" s="66" t="s">
        <v>142</v>
      </c>
      <c r="AG7" s="66" t="s">
        <v>143</v>
      </c>
      <c r="AH7" s="67"/>
      <c r="AI7" s="68" t="s">
        <v>144</v>
      </c>
      <c r="AJ7" s="68" t="s">
        <v>145</v>
      </c>
      <c r="AK7" s="68" t="s">
        <v>146</v>
      </c>
      <c r="AL7" s="68" t="s">
        <v>147</v>
      </c>
      <c r="AM7" s="68" t="s">
        <v>148</v>
      </c>
      <c r="AN7" s="68" t="s">
        <v>149</v>
      </c>
      <c r="AO7" s="68" t="s">
        <v>150</v>
      </c>
      <c r="AP7" s="68"/>
      <c r="AQ7" s="68" t="s">
        <v>151</v>
      </c>
      <c r="AR7" s="68"/>
      <c r="AS7" s="68"/>
      <c r="AT7" s="68"/>
      <c r="AU7" s="68" t="s">
        <v>152</v>
      </c>
      <c r="AV7" s="68"/>
      <c r="AW7" s="68"/>
      <c r="AX7" s="68"/>
      <c r="BF7" s="68" t="s">
        <v>153</v>
      </c>
      <c r="BG7" s="68"/>
      <c r="BH7" s="68"/>
      <c r="BI7" s="68"/>
      <c r="BJ7" s="68" t="s">
        <v>154</v>
      </c>
      <c r="BK7" s="68" t="s">
        <v>155</v>
      </c>
      <c r="BL7" s="68"/>
      <c r="BM7" s="68" t="s">
        <v>156</v>
      </c>
      <c r="BN7" s="68"/>
      <c r="BO7" s="68"/>
    </row>
    <row r="8" spans="1:67" ht="29.25" hidden="1" customHeight="1">
      <c r="A8" s="56" t="s">
        <v>157</v>
      </c>
      <c r="B8" s="17" t="s">
        <v>158</v>
      </c>
      <c r="C8" s="18" t="s">
        <v>159</v>
      </c>
      <c r="D8" s="18"/>
      <c r="E8" s="69" t="s">
        <v>160</v>
      </c>
      <c r="F8" s="20" t="s">
        <v>76</v>
      </c>
      <c r="G8" s="59">
        <v>100</v>
      </c>
      <c r="H8" s="22">
        <f>IF(OR(J8="",K8="",K8&lt;J8),0,NETWORKDAYS(J8,K8,fESTIVOS!$A$2:$A$53))</f>
        <v>0</v>
      </c>
      <c r="I8" s="60">
        <v>45730</v>
      </c>
      <c r="J8" s="70">
        <v>45733</v>
      </c>
      <c r="K8" s="24"/>
      <c r="L8" s="26">
        <v>45824</v>
      </c>
      <c r="M8" s="27">
        <f ca="1">IF(OR(J8="",AND(L8="",TODAY()&lt;J8),AND(L8&lt;&gt;"",L8&lt;J8)),0,
   IF(L8="",
      NETWORKDAYS(J8,TODAY(),fESTIVOS!$A$2:$A$53),
      NETWORKDAYS(J8,L8,fESTIVOS!$A$2:$A$53)
   )
)</f>
        <v>61</v>
      </c>
      <c r="N8" s="62"/>
      <c r="O8" s="60"/>
      <c r="P8" s="62"/>
      <c r="Q8" s="71" t="s">
        <v>161</v>
      </c>
      <c r="R8" s="31" t="s">
        <v>78</v>
      </c>
      <c r="S8" s="72"/>
      <c r="T8" s="72"/>
      <c r="U8" s="73"/>
      <c r="V8" s="74"/>
      <c r="W8" s="74"/>
      <c r="X8" s="74"/>
      <c r="Y8" s="74"/>
      <c r="Z8" s="74"/>
      <c r="AA8" s="74"/>
      <c r="AB8" s="74"/>
      <c r="AC8" s="74"/>
      <c r="AD8" s="74"/>
      <c r="AE8" s="74"/>
      <c r="AF8" s="74"/>
      <c r="AG8" s="74"/>
      <c r="AH8" s="74"/>
      <c r="AI8" s="75"/>
      <c r="AJ8" s="75"/>
      <c r="AK8" s="75"/>
      <c r="AL8" s="75"/>
      <c r="AM8" s="75"/>
      <c r="AN8" s="75"/>
      <c r="AO8" s="75"/>
      <c r="AP8" s="76" t="s">
        <v>162</v>
      </c>
      <c r="AQ8" s="75"/>
      <c r="AR8" s="75"/>
      <c r="AS8" s="75"/>
      <c r="AT8" s="75"/>
      <c r="AU8" s="76" t="s">
        <v>163</v>
      </c>
      <c r="AV8" s="76"/>
      <c r="AW8" s="76"/>
      <c r="AX8" s="76"/>
      <c r="AY8" s="76"/>
      <c r="AZ8" s="76"/>
      <c r="BA8" s="76"/>
      <c r="BB8" s="76"/>
      <c r="BC8" s="76"/>
      <c r="BD8" s="76"/>
      <c r="BE8" s="76"/>
      <c r="BF8" s="76"/>
      <c r="BG8" s="76"/>
      <c r="BH8" s="76"/>
      <c r="BI8" s="76"/>
      <c r="BJ8" s="76"/>
      <c r="BK8" s="76"/>
      <c r="BL8" s="76"/>
      <c r="BM8" s="76"/>
      <c r="BN8" s="76"/>
      <c r="BO8" s="76"/>
    </row>
    <row r="9" spans="1:67" ht="29.25" hidden="1" customHeight="1">
      <c r="A9" s="56" t="s">
        <v>157</v>
      </c>
      <c r="B9" s="17" t="s">
        <v>164</v>
      </c>
      <c r="C9" s="77" t="s">
        <v>165</v>
      </c>
      <c r="D9" s="77"/>
      <c r="E9" s="58"/>
      <c r="F9" s="20" t="s">
        <v>123</v>
      </c>
      <c r="G9" s="59">
        <v>97</v>
      </c>
      <c r="H9" s="22">
        <f>IF(OR(J9="",K9="",K9&lt;J9),0,NETWORKDAYS(J9,K9,fESTIVOS!$A$2:$A$53))</f>
        <v>2</v>
      </c>
      <c r="I9" s="60">
        <v>45691</v>
      </c>
      <c r="J9" s="70">
        <v>45688</v>
      </c>
      <c r="K9" s="24">
        <v>45691</v>
      </c>
      <c r="L9" s="24">
        <v>45700</v>
      </c>
      <c r="M9" s="27">
        <f ca="1">IF(OR(J9="",AND(L9="",TODAY()&lt;J9),AND(L9&lt;&gt;"",L9&lt;J9)),0,
   IF(L9="",
      NETWORKDAYS(J9,TODAY(),fESTIVOS!$A$2:$A$53),
      NETWORKDAYS(J9,L9,fESTIVOS!$A$2:$A$53)
   )
)</f>
        <v>9</v>
      </c>
      <c r="N9" s="62"/>
      <c r="O9" s="60">
        <v>45723</v>
      </c>
      <c r="P9" s="62"/>
      <c r="Q9" s="78" t="s">
        <v>166</v>
      </c>
      <c r="R9" s="31" t="s">
        <v>93</v>
      </c>
      <c r="S9" s="59"/>
      <c r="T9" s="59" t="s">
        <v>167</v>
      </c>
      <c r="U9" s="65" t="s">
        <v>168</v>
      </c>
      <c r="V9" s="79"/>
      <c r="W9" s="79"/>
      <c r="X9" s="79"/>
      <c r="Y9" s="79"/>
      <c r="Z9" s="79"/>
      <c r="AA9" s="79"/>
      <c r="AB9" s="79"/>
      <c r="AC9" s="79"/>
      <c r="AD9" s="79"/>
      <c r="AE9" s="79"/>
      <c r="AF9" s="79"/>
      <c r="AG9" s="79"/>
      <c r="AH9" s="79"/>
      <c r="AI9" s="80"/>
      <c r="AJ9" s="80"/>
      <c r="AK9" s="80"/>
      <c r="AL9" s="80"/>
      <c r="AM9" s="80"/>
      <c r="AN9" s="80"/>
      <c r="AO9" s="81" t="s">
        <v>169</v>
      </c>
      <c r="AP9" s="81"/>
      <c r="AQ9" s="80"/>
      <c r="AR9" s="81" t="s">
        <v>170</v>
      </c>
      <c r="AS9" s="81" t="s">
        <v>171</v>
      </c>
      <c r="AT9" s="81"/>
      <c r="AU9" s="81"/>
      <c r="AV9" s="81"/>
      <c r="AW9" s="81"/>
      <c r="AX9" s="81"/>
      <c r="AY9" s="81"/>
      <c r="AZ9" s="81"/>
      <c r="BA9" s="81"/>
      <c r="BB9" s="81"/>
      <c r="BC9" s="81"/>
      <c r="BD9" s="81"/>
      <c r="BE9" s="81" t="s">
        <v>172</v>
      </c>
      <c r="BF9" s="81" t="s">
        <v>173</v>
      </c>
      <c r="BG9" s="81"/>
      <c r="BH9" s="81"/>
      <c r="BI9" s="81"/>
      <c r="BJ9" s="81"/>
      <c r="BK9" s="81"/>
      <c r="BL9" s="81"/>
      <c r="BM9" s="81"/>
      <c r="BN9" s="81"/>
      <c r="BO9" s="81"/>
    </row>
    <row r="10" spans="1:67" ht="29.25" hidden="1" customHeight="1">
      <c r="A10" s="56" t="s">
        <v>157</v>
      </c>
      <c r="B10" s="17" t="s">
        <v>174</v>
      </c>
      <c r="C10" s="77" t="s">
        <v>175</v>
      </c>
      <c r="D10" s="77"/>
      <c r="E10" s="58"/>
      <c r="F10" s="20" t="s">
        <v>123</v>
      </c>
      <c r="G10" s="59">
        <v>97</v>
      </c>
      <c r="H10" s="22">
        <f>IF(OR(J10="",K10="",K10&lt;J10),0,NETWORKDAYS(J10,K10,fESTIVOS!$A$2:$A$53))</f>
        <v>0</v>
      </c>
      <c r="I10" s="60">
        <v>45761</v>
      </c>
      <c r="J10" s="70">
        <v>45761</v>
      </c>
      <c r="K10" s="24"/>
      <c r="L10" s="61">
        <v>45771</v>
      </c>
      <c r="M10" s="27">
        <f ca="1">IF(OR(J10="",AND(L10="",TODAY()&lt;J10),AND(L10&lt;&gt;"",L10&lt;J10)),0,
   IF(L10="",
      NETWORKDAYS(J10,TODAY(),fESTIVOS!$A$2:$A$53),
      NETWORKDAYS(J10,L10,fESTIVOS!$A$2:$A$53)
   )
)</f>
        <v>7</v>
      </c>
      <c r="N10" s="63"/>
      <c r="O10" s="82">
        <v>45771</v>
      </c>
      <c r="P10" s="62"/>
      <c r="Q10" s="78" t="s">
        <v>176</v>
      </c>
      <c r="R10" s="31" t="s">
        <v>93</v>
      </c>
      <c r="S10" s="59"/>
      <c r="T10" s="59" t="s">
        <v>167</v>
      </c>
      <c r="U10" s="65" t="s">
        <v>168</v>
      </c>
      <c r="V10" s="79"/>
      <c r="W10" s="79"/>
      <c r="X10" s="79"/>
      <c r="Y10" s="79"/>
      <c r="Z10" s="79"/>
      <c r="AA10" s="79"/>
      <c r="AB10" s="83" t="s">
        <v>177</v>
      </c>
      <c r="AC10" s="84"/>
      <c r="AD10" s="84"/>
      <c r="AE10" s="84"/>
      <c r="AF10" s="83" t="s">
        <v>178</v>
      </c>
      <c r="AG10" s="83" t="s">
        <v>179</v>
      </c>
      <c r="AH10" s="83" t="s">
        <v>180</v>
      </c>
      <c r="AI10" s="81" t="s">
        <v>181</v>
      </c>
      <c r="AJ10" s="81"/>
      <c r="AK10" s="81"/>
      <c r="AL10" s="81"/>
      <c r="AM10" s="81"/>
      <c r="AN10" s="81"/>
      <c r="AO10" s="81" t="s">
        <v>169</v>
      </c>
      <c r="AP10" s="81"/>
      <c r="AQ10" s="81"/>
      <c r="AR10" s="81" t="s">
        <v>170</v>
      </c>
      <c r="AS10" s="81" t="s">
        <v>171</v>
      </c>
      <c r="AT10" s="81"/>
      <c r="AU10" s="81"/>
      <c r="AV10" s="81"/>
      <c r="AW10" s="81"/>
      <c r="AX10" s="81"/>
      <c r="AY10" s="81"/>
      <c r="AZ10" s="81"/>
      <c r="BA10" s="81"/>
      <c r="BB10" s="81"/>
      <c r="BC10" s="81"/>
      <c r="BD10" s="81"/>
      <c r="BE10" s="81" t="s">
        <v>172</v>
      </c>
      <c r="BF10" s="81"/>
      <c r="BG10" s="81"/>
      <c r="BH10" s="81"/>
      <c r="BI10" s="81"/>
      <c r="BJ10" s="81"/>
      <c r="BK10" s="81"/>
      <c r="BL10" s="81"/>
      <c r="BM10" s="81"/>
      <c r="BN10" s="81"/>
      <c r="BO10" s="81"/>
    </row>
    <row r="11" spans="1:67" ht="29.25" hidden="1" customHeight="1">
      <c r="A11" s="56" t="s">
        <v>157</v>
      </c>
      <c r="B11" s="17" t="s">
        <v>182</v>
      </c>
      <c r="C11" s="77" t="s">
        <v>183</v>
      </c>
      <c r="D11" s="77"/>
      <c r="E11" s="85"/>
      <c r="F11" s="86" t="s">
        <v>76</v>
      </c>
      <c r="G11" s="59">
        <v>100</v>
      </c>
      <c r="H11" s="22">
        <f>IF(OR(J11="",K11="",K11&lt;J11),0,NETWORKDAYS(J11,K11,fESTIVOS!$A$2:$A$53))</f>
        <v>11</v>
      </c>
      <c r="I11" s="82">
        <v>45814</v>
      </c>
      <c r="J11" s="61">
        <v>45826</v>
      </c>
      <c r="K11" s="61">
        <v>45842</v>
      </c>
      <c r="L11" s="61">
        <v>45849</v>
      </c>
      <c r="M11" s="27">
        <f ca="1">IF(OR(J11="",AND(L11="",TODAY()&lt;J11),AND(L11&lt;&gt;"",L11&lt;J11)),0,
   IF(L11="",
      NETWORKDAYS(J11,TODAY(),fESTIVOS!$A$2:$A$53),
      NETWORKDAYS(J11,L11,fESTIVOS!$A$2:$A$53)
   )
)</f>
        <v>16</v>
      </c>
      <c r="N11" s="63"/>
      <c r="O11" s="82">
        <v>45849</v>
      </c>
      <c r="P11" s="63">
        <v>45924</v>
      </c>
      <c r="Q11" s="87" t="s">
        <v>184</v>
      </c>
      <c r="R11" s="31" t="s">
        <v>78</v>
      </c>
      <c r="S11" s="59"/>
      <c r="T11" s="59" t="s">
        <v>185</v>
      </c>
      <c r="U11" s="65" t="s">
        <v>186</v>
      </c>
      <c r="V11" s="88"/>
      <c r="W11" s="88"/>
      <c r="X11" s="89"/>
      <c r="Y11" s="90"/>
      <c r="Z11" s="89"/>
      <c r="AA11" s="89"/>
      <c r="AB11" s="89"/>
      <c r="AC11" s="90"/>
      <c r="AD11" s="90"/>
      <c r="AE11" s="90"/>
      <c r="AF11" s="90"/>
      <c r="AG11" s="90"/>
      <c r="AH11" s="90"/>
      <c r="AI11" s="91"/>
      <c r="AJ11" s="91"/>
      <c r="AK11" s="92"/>
      <c r="AL11" s="92"/>
      <c r="AM11" s="92" t="s">
        <v>187</v>
      </c>
      <c r="AN11" s="92"/>
      <c r="AO11" s="92"/>
      <c r="AP11" s="92" t="s">
        <v>188</v>
      </c>
      <c r="AQ11" s="92" t="s">
        <v>189</v>
      </c>
      <c r="AR11" s="92" t="s">
        <v>190</v>
      </c>
      <c r="AS11" s="92" t="s">
        <v>191</v>
      </c>
      <c r="AT11" s="92"/>
      <c r="AU11" s="92" t="s">
        <v>192</v>
      </c>
      <c r="AV11" s="92"/>
      <c r="AW11" s="92" t="s">
        <v>193</v>
      </c>
      <c r="AX11" s="92" t="s">
        <v>194</v>
      </c>
      <c r="AY11" s="92" t="s">
        <v>195</v>
      </c>
      <c r="AZ11" s="92"/>
      <c r="BA11" s="92" t="s">
        <v>196</v>
      </c>
      <c r="BB11" s="92" t="s">
        <v>197</v>
      </c>
      <c r="BC11" s="92" t="s">
        <v>198</v>
      </c>
      <c r="BD11" s="92" t="s">
        <v>199</v>
      </c>
      <c r="BE11" s="92"/>
      <c r="BF11" s="92" t="s">
        <v>200</v>
      </c>
      <c r="BG11" s="92"/>
      <c r="BH11" s="92" t="s">
        <v>201</v>
      </c>
      <c r="BI11" s="92"/>
      <c r="BJ11" s="92" t="s">
        <v>202</v>
      </c>
      <c r="BK11" s="92"/>
      <c r="BL11" s="92"/>
      <c r="BM11" s="92" t="s">
        <v>203</v>
      </c>
      <c r="BN11" s="92"/>
      <c r="BO11" s="92"/>
    </row>
    <row r="12" spans="1:67" ht="29.25" hidden="1" customHeight="1">
      <c r="A12" s="93" t="s">
        <v>157</v>
      </c>
      <c r="B12" s="94" t="s">
        <v>204</v>
      </c>
      <c r="C12" s="95" t="s">
        <v>205</v>
      </c>
      <c r="D12" s="96" t="s">
        <v>206</v>
      </c>
      <c r="E12" s="97"/>
      <c r="F12" s="20" t="s">
        <v>207</v>
      </c>
      <c r="G12" s="98">
        <v>90</v>
      </c>
      <c r="H12" s="22">
        <f>IF(OR(J12="",K12="",K12&lt;J12),0,NETWORKDAYS(J12,K12,fESTIVOS!$A$2:$A$53))</f>
        <v>0</v>
      </c>
      <c r="I12" s="99">
        <v>45958</v>
      </c>
      <c r="J12" s="100">
        <v>45988</v>
      </c>
      <c r="K12" s="100"/>
      <c r="L12" s="100">
        <v>46000</v>
      </c>
      <c r="M12" s="27">
        <f ca="1">IF(OR(J12="",AND(L12="",TODAY()&lt;J12),AND(L12&lt;&gt;"",L12&lt;J12)),0,
   IF(L12="",
      NETWORKDAYS(J12,TODAY(),fESTIVOS!$A$2:$A$53),
      NETWORKDAYS(J12,L12,fESTIVOS!$A$2:$A$53)
   )
)</f>
        <v>8</v>
      </c>
      <c r="N12" s="101"/>
      <c r="O12" s="99">
        <v>45995</v>
      </c>
      <c r="P12" s="101"/>
      <c r="Q12" s="34" t="s">
        <v>208</v>
      </c>
      <c r="R12" s="31" t="s">
        <v>209</v>
      </c>
      <c r="S12" s="102"/>
      <c r="T12" s="102"/>
      <c r="U12" s="103"/>
      <c r="V12" s="104"/>
      <c r="W12" s="104"/>
      <c r="X12" s="104"/>
      <c r="Y12" s="104"/>
      <c r="Z12" s="104"/>
      <c r="AA12" s="104"/>
      <c r="AB12" s="104"/>
      <c r="AC12" s="104"/>
      <c r="AD12" s="104"/>
      <c r="AE12" s="104"/>
      <c r="AF12" s="104"/>
      <c r="AG12" s="104"/>
      <c r="AH12" s="104"/>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row>
    <row r="13" spans="1:67" ht="29.25" hidden="1" customHeight="1">
      <c r="A13" s="56" t="s">
        <v>210</v>
      </c>
      <c r="B13" s="106" t="s">
        <v>211</v>
      </c>
      <c r="C13" s="107" t="s">
        <v>212</v>
      </c>
      <c r="D13" s="108"/>
      <c r="E13" s="85"/>
      <c r="F13" s="86" t="s">
        <v>76</v>
      </c>
      <c r="G13" s="59">
        <v>100</v>
      </c>
      <c r="H13" s="22">
        <f>IF(OR(J13="",K13="",K13&lt;J13),0,NETWORKDAYS(J13,K13,fESTIVOS!$A$2:$A$53))</f>
        <v>0</v>
      </c>
      <c r="I13" s="82">
        <v>45938</v>
      </c>
      <c r="J13" s="61">
        <v>45938</v>
      </c>
      <c r="K13" s="61"/>
      <c r="L13" s="61">
        <v>45946</v>
      </c>
      <c r="M13" s="27">
        <f ca="1">IF(OR(J13="",AND(L13="",TODAY()&lt;J13),AND(L13&lt;&gt;"",L13&lt;J13)),0,
   IF(L13="",
      NETWORKDAYS(J13,TODAY(),fESTIVOS!$A$2:$A$53),
      NETWORKDAYS(J13,L13,fESTIVOS!$A$2:$A$53)
   )
)</f>
        <v>6</v>
      </c>
      <c r="N13" s="63"/>
      <c r="O13" s="82"/>
      <c r="P13" s="63"/>
      <c r="Q13" s="87" t="s">
        <v>213</v>
      </c>
      <c r="R13" s="31" t="s">
        <v>78</v>
      </c>
      <c r="S13" s="59"/>
      <c r="T13" s="59"/>
      <c r="U13" s="109"/>
      <c r="V13" s="88"/>
      <c r="W13" s="88"/>
      <c r="X13" s="89"/>
      <c r="Y13" s="90"/>
      <c r="Z13" s="89"/>
      <c r="AA13" s="89"/>
      <c r="AB13" s="89"/>
      <c r="AC13" s="90"/>
      <c r="AD13" s="90"/>
      <c r="AE13" s="90"/>
      <c r="AF13" s="90"/>
      <c r="AG13" s="90"/>
      <c r="AH13" s="90"/>
      <c r="AI13" s="91"/>
      <c r="AJ13" s="91"/>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c r="BO13" s="92"/>
    </row>
    <row r="14" spans="1:67" ht="29.25" hidden="1" customHeight="1">
      <c r="A14" s="93" t="s">
        <v>214</v>
      </c>
      <c r="B14" s="94" t="s">
        <v>215</v>
      </c>
      <c r="C14" s="110" t="s">
        <v>216</v>
      </c>
      <c r="D14" s="111"/>
      <c r="E14" s="97"/>
      <c r="F14" s="112" t="s">
        <v>76</v>
      </c>
      <c r="G14" s="98">
        <v>100</v>
      </c>
      <c r="H14" s="22">
        <f>IF(OR(J14="",K14="",K14&lt;J14),0,NETWORKDAYS(J14,K14,fESTIVOS!$A$2:$A$53))</f>
        <v>0</v>
      </c>
      <c r="I14" s="99">
        <v>46001</v>
      </c>
      <c r="J14" s="100">
        <v>46002</v>
      </c>
      <c r="K14" s="100">
        <v>45970</v>
      </c>
      <c r="L14" s="100">
        <v>46009</v>
      </c>
      <c r="M14" s="27">
        <f ca="1">IF(OR(J14="",AND(L14="",TODAY()&lt;J14),AND(L14&lt;&gt;"",L14&lt;J14)),0,
   IF(L14="",
      NETWORKDAYS(J14,TODAY(),fESTIVOS!$A$2:$A$53),
      NETWORKDAYS(J14,L14,fESTIVOS!$A$2:$A$53)
   )
)</f>
        <v>6</v>
      </c>
      <c r="N14" s="101"/>
      <c r="O14" s="99">
        <v>46009</v>
      </c>
      <c r="P14" s="101">
        <v>46021</v>
      </c>
      <c r="Q14" s="34" t="s">
        <v>217</v>
      </c>
      <c r="R14" s="113" t="s">
        <v>78</v>
      </c>
      <c r="S14" s="98"/>
      <c r="T14" s="98"/>
      <c r="U14" s="103"/>
      <c r="V14" s="114" t="s">
        <v>218</v>
      </c>
      <c r="W14" s="104"/>
      <c r="X14" s="104"/>
      <c r="Y14" s="104"/>
      <c r="Z14" s="104"/>
      <c r="AA14" s="104"/>
      <c r="AB14" s="104"/>
      <c r="AC14" s="104"/>
      <c r="AD14" s="104"/>
      <c r="AE14" s="104"/>
      <c r="AF14" s="104"/>
      <c r="AG14" s="104"/>
      <c r="AH14" s="104"/>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row>
    <row r="15" spans="1:67" ht="29.25" hidden="1" customHeight="1">
      <c r="A15" s="56" t="s">
        <v>157</v>
      </c>
      <c r="B15" s="106" t="s">
        <v>219</v>
      </c>
      <c r="C15" s="107" t="s">
        <v>220</v>
      </c>
      <c r="D15" s="115" t="s">
        <v>221</v>
      </c>
      <c r="E15" s="116"/>
      <c r="F15" s="117" t="s">
        <v>76</v>
      </c>
      <c r="G15" s="59">
        <v>100</v>
      </c>
      <c r="H15" s="22">
        <f>IF(OR(J15="",K15="",K15&lt;J15),0,NETWORKDAYS(J15,K15,fESTIVOS!$A$2:$A$53))</f>
        <v>0</v>
      </c>
      <c r="I15" s="82">
        <v>45894</v>
      </c>
      <c r="J15" s="61">
        <v>45894</v>
      </c>
      <c r="K15" s="70"/>
      <c r="L15" s="61">
        <v>45895</v>
      </c>
      <c r="M15" s="27">
        <f ca="1">IF(OR(J15="",AND(L15="",TODAY()&lt;J15),AND(L15&lt;&gt;"",L15&lt;J15)),0,
   IF(L15="",
      NETWORKDAYS(J15,TODAY(),fESTIVOS!$A$2:$A$53),
      NETWORKDAYS(J15,L15,fESTIVOS!$A$2:$A$53)
   )
)</f>
        <v>2</v>
      </c>
      <c r="N15" s="63"/>
      <c r="O15" s="82">
        <v>45898</v>
      </c>
      <c r="P15" s="62"/>
      <c r="Q15" s="64" t="s">
        <v>222</v>
      </c>
      <c r="R15" s="113" t="s">
        <v>78</v>
      </c>
      <c r="S15" s="72"/>
      <c r="T15" s="72"/>
      <c r="U15" s="73"/>
      <c r="V15" s="118"/>
      <c r="W15" s="118"/>
      <c r="X15" s="118"/>
      <c r="Y15" s="118"/>
      <c r="Z15" s="118"/>
      <c r="AA15" s="118"/>
      <c r="AB15" s="118"/>
      <c r="AC15" s="118"/>
      <c r="AD15" s="118"/>
      <c r="AE15" s="118"/>
      <c r="AF15" s="118"/>
      <c r="AG15" s="118"/>
      <c r="AH15" s="118"/>
      <c r="AI15" s="119"/>
      <c r="AJ15" s="119"/>
      <c r="AK15" s="119"/>
      <c r="AL15" s="119"/>
      <c r="AM15" s="119"/>
      <c r="AN15" s="119"/>
      <c r="AO15" s="119"/>
      <c r="AP15" s="68"/>
      <c r="AQ15" s="119"/>
      <c r="AR15" s="119"/>
      <c r="AS15" s="119"/>
      <c r="AT15" s="119"/>
      <c r="AU15" s="119"/>
      <c r="AV15" s="119"/>
      <c r="AW15" s="119"/>
      <c r="AX15" s="119"/>
      <c r="AY15" s="119"/>
      <c r="AZ15" s="119"/>
      <c r="BA15" s="119"/>
      <c r="BB15" s="119"/>
      <c r="BC15" s="119"/>
      <c r="BD15" s="119"/>
      <c r="BE15" s="119"/>
      <c r="BF15" s="119"/>
      <c r="BG15" s="119"/>
      <c r="BH15" s="119"/>
      <c r="BI15" s="119"/>
      <c r="BJ15" s="119"/>
      <c r="BK15" s="119"/>
      <c r="BL15" s="119"/>
      <c r="BM15" s="119"/>
      <c r="BN15" s="119"/>
      <c r="BO15" s="119"/>
    </row>
    <row r="16" spans="1:67" ht="29.25" hidden="1" customHeight="1">
      <c r="A16" s="93" t="s">
        <v>157</v>
      </c>
      <c r="B16" s="106" t="s">
        <v>223</v>
      </c>
      <c r="C16" s="120" t="s">
        <v>224</v>
      </c>
      <c r="D16" s="121" t="s">
        <v>225</v>
      </c>
      <c r="E16" s="97"/>
      <c r="F16" s="122" t="s">
        <v>76</v>
      </c>
      <c r="G16" s="98">
        <v>100</v>
      </c>
      <c r="H16" s="22">
        <f>IF(OR(J16="",K16="",K16&lt;J16),0,NETWORKDAYS(J16,K16,fESTIVOS!$A$2:$A$53))</f>
        <v>0</v>
      </c>
      <c r="I16" s="99">
        <v>45994</v>
      </c>
      <c r="J16" s="100">
        <v>46003</v>
      </c>
      <c r="K16" s="100"/>
      <c r="L16" s="100">
        <v>46003</v>
      </c>
      <c r="M16" s="27">
        <f ca="1">IF(OR(J16="",AND(L16="",TODAY()&lt;J16),AND(L16&lt;&gt;"",L16&lt;J16)),0,
   IF(L16="",
      NETWORKDAYS(J16,TODAY(),fESTIVOS!$A$2:$A$53),
      NETWORKDAYS(J16,L16,fESTIVOS!$A$2:$A$53)
   )
)</f>
        <v>1</v>
      </c>
      <c r="N16" s="101"/>
      <c r="O16" s="99">
        <v>46003</v>
      </c>
      <c r="P16" s="101">
        <v>46003</v>
      </c>
      <c r="Q16" s="34" t="s">
        <v>226</v>
      </c>
      <c r="R16" s="113" t="s">
        <v>78</v>
      </c>
      <c r="S16" s="102"/>
      <c r="T16" s="98"/>
      <c r="U16" s="103"/>
      <c r="V16" s="104"/>
      <c r="W16" s="104"/>
      <c r="X16" s="104"/>
      <c r="Y16" s="104"/>
      <c r="Z16" s="104"/>
      <c r="AA16" s="104"/>
      <c r="AB16" s="104"/>
      <c r="AC16" s="104"/>
      <c r="AD16" s="104"/>
      <c r="AE16" s="104"/>
      <c r="AF16" s="104"/>
      <c r="AG16" s="104"/>
      <c r="AH16" s="104"/>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row>
    <row r="17" spans="1:67" ht="29.25" hidden="1" customHeight="1">
      <c r="A17" s="93" t="s">
        <v>214</v>
      </c>
      <c r="B17" s="94" t="s">
        <v>227</v>
      </c>
      <c r="C17" s="110" t="s">
        <v>228</v>
      </c>
      <c r="D17" s="121"/>
      <c r="E17" s="97"/>
      <c r="F17" s="122" t="s">
        <v>76</v>
      </c>
      <c r="G17" s="98">
        <v>100</v>
      </c>
      <c r="H17" s="22">
        <f>IF(OR(J17="",K17="",K17&lt;J17),0,NETWORKDAYS(J17,K17,fESTIVOS!$A$2:$A$53))</f>
        <v>0</v>
      </c>
      <c r="I17" s="99">
        <v>46014</v>
      </c>
      <c r="J17" s="100">
        <v>46014</v>
      </c>
      <c r="K17" s="100"/>
      <c r="L17" s="100">
        <v>46014</v>
      </c>
      <c r="M17" s="27">
        <f ca="1">IF(OR(J17="",AND(L17="",TODAY()&lt;J17),AND(L17&lt;&gt;"",L17&lt;J17)),0,
   IF(L17="",
      NETWORKDAYS(J17,TODAY(),fESTIVOS!$A$2:$A$53),
      NETWORKDAYS(J17,L17,fESTIVOS!$A$2:$A$53)
   )
)</f>
        <v>1</v>
      </c>
      <c r="N17" s="101"/>
      <c r="O17" s="99">
        <v>46014</v>
      </c>
      <c r="P17" s="101">
        <v>46021</v>
      </c>
      <c r="Q17" s="34" t="s">
        <v>229</v>
      </c>
      <c r="R17" s="31" t="s">
        <v>78</v>
      </c>
      <c r="S17" s="102"/>
      <c r="T17" s="98"/>
      <c r="U17" s="103"/>
      <c r="V17" s="104"/>
      <c r="W17" s="104"/>
      <c r="X17" s="104"/>
      <c r="Y17" s="104"/>
      <c r="Z17" s="104"/>
      <c r="AA17" s="104"/>
      <c r="AB17" s="104"/>
      <c r="AC17" s="104"/>
      <c r="AD17" s="104"/>
      <c r="AE17" s="104"/>
      <c r="AF17" s="104"/>
      <c r="AG17" s="104"/>
      <c r="AH17" s="104"/>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row>
    <row r="18" spans="1:67" ht="29.25" hidden="1" customHeight="1">
      <c r="A18" s="123" t="s">
        <v>210</v>
      </c>
      <c r="B18" s="94" t="s">
        <v>230</v>
      </c>
      <c r="C18" s="110" t="s">
        <v>231</v>
      </c>
      <c r="D18" s="121"/>
      <c r="E18" s="97"/>
      <c r="F18" s="122" t="s">
        <v>232</v>
      </c>
      <c r="G18" s="98"/>
      <c r="H18" s="22">
        <f>IF(OR(J18="",K18="",K18&lt;J18),0,NETWORKDAYS(J18,K18,fESTIVOS!$A$2:$A$53))</f>
        <v>0</v>
      </c>
      <c r="I18" s="99">
        <v>46022</v>
      </c>
      <c r="J18" s="100">
        <v>46028</v>
      </c>
      <c r="K18" s="100"/>
      <c r="L18" s="100"/>
      <c r="M18" s="27">
        <f ca="1">IF(OR(J18="",AND(L18="",TODAY()&lt;J18),AND(L18&lt;&gt;"",L18&lt;J18)),0,
   IF(L18="",
      NETWORKDAYS(J18,TODAY(),fESTIVOS!$A$2:$A$53),
      NETWORKDAYS(J18,L18,fESTIVOS!$A$2:$A$53)
   )
)</f>
        <v>16</v>
      </c>
      <c r="N18" s="101"/>
      <c r="O18" s="99"/>
      <c r="P18" s="101"/>
      <c r="Q18" s="34" t="s">
        <v>233</v>
      </c>
      <c r="R18" s="31" t="s">
        <v>209</v>
      </c>
      <c r="S18" s="102"/>
      <c r="T18" s="98"/>
      <c r="U18" s="103"/>
      <c r="V18" s="104"/>
      <c r="W18" s="104"/>
      <c r="X18" s="104"/>
      <c r="Y18" s="104"/>
      <c r="Z18" s="104"/>
      <c r="AA18" s="104"/>
      <c r="AB18" s="104"/>
      <c r="AC18" s="104"/>
      <c r="AD18" s="104"/>
      <c r="AE18" s="104"/>
      <c r="AF18" s="104"/>
      <c r="AG18" s="104"/>
      <c r="AH18" s="104"/>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row>
    <row r="19" spans="1:67" ht="29.25" hidden="1" customHeight="1">
      <c r="A19" s="93" t="s">
        <v>157</v>
      </c>
      <c r="B19" s="94" t="s">
        <v>234</v>
      </c>
      <c r="C19" s="110" t="s">
        <v>235</v>
      </c>
      <c r="D19" s="121" t="s">
        <v>236</v>
      </c>
      <c r="E19" s="97"/>
      <c r="F19" s="122" t="s">
        <v>76</v>
      </c>
      <c r="G19" s="98">
        <v>100</v>
      </c>
      <c r="H19" s="22">
        <f>IF(OR(J19="",K19="",K19&lt;J19),0,NETWORKDAYS(J19,K19,fESTIVOS!$A$2:$A$53))</f>
        <v>0</v>
      </c>
      <c r="I19" s="99">
        <v>46000</v>
      </c>
      <c r="J19" s="100">
        <v>46001</v>
      </c>
      <c r="K19" s="100"/>
      <c r="L19" s="100">
        <v>46009</v>
      </c>
      <c r="M19" s="27">
        <f ca="1">IF(OR(J19="",AND(L19="",TODAY()&lt;J19),AND(L19&lt;&gt;"",L19&lt;J19)),0,
   IF(L19="",
      NETWORKDAYS(J19,TODAY(),fESTIVOS!$A$2:$A$53),
      NETWORKDAYS(J19,L19,fESTIVOS!$A$2:$A$53)
   )
)</f>
        <v>7</v>
      </c>
      <c r="N19" s="101"/>
      <c r="O19" s="99">
        <v>46009</v>
      </c>
      <c r="P19" s="101">
        <v>46020</v>
      </c>
      <c r="Q19" s="34" t="s">
        <v>237</v>
      </c>
      <c r="R19" s="31" t="s">
        <v>78</v>
      </c>
      <c r="S19" s="102"/>
      <c r="T19" s="98"/>
      <c r="U19" s="103"/>
      <c r="V19" s="104"/>
      <c r="W19" s="104"/>
      <c r="X19" s="104"/>
      <c r="Y19" s="104"/>
      <c r="Z19" s="104"/>
      <c r="AA19" s="104"/>
      <c r="AB19" s="104"/>
      <c r="AC19" s="104"/>
      <c r="AD19" s="104"/>
      <c r="AE19" s="104"/>
      <c r="AF19" s="104"/>
      <c r="AG19" s="104"/>
      <c r="AH19" s="104"/>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row>
    <row r="20" spans="1:67" ht="29.25" hidden="1" customHeight="1">
      <c r="A20" s="56" t="s">
        <v>128</v>
      </c>
      <c r="B20" s="17" t="s">
        <v>238</v>
      </c>
      <c r="C20" s="107" t="s">
        <v>239</v>
      </c>
      <c r="D20" s="77"/>
      <c r="E20" s="124" t="s">
        <v>240</v>
      </c>
      <c r="F20" s="20" t="s">
        <v>123</v>
      </c>
      <c r="G20" s="59"/>
      <c r="H20" s="22">
        <f>IF(OR(J20="",K20="",K20&lt;J20),0,NETWORKDAYS(J20,K20,fESTIVOS!$A$2:$A$53))</f>
        <v>0</v>
      </c>
      <c r="I20" s="60">
        <v>45757</v>
      </c>
      <c r="J20" s="70"/>
      <c r="K20" s="70"/>
      <c r="L20" s="70"/>
      <c r="M20" s="27">
        <f ca="1">IF(OR(J20="",AND(L20="",TODAY()&lt;J20),AND(L20&lt;&gt;"",L20&lt;J20)),0,
   IF(L20="",
      NETWORKDAYS(J20,TODAY(),fESTIVOS!$A$2:$A$53),
      NETWORKDAYS(J20,L20,fESTIVOS!$A$2:$A$53)
   )
)</f>
        <v>0</v>
      </c>
      <c r="N20" s="62"/>
      <c r="O20" s="60"/>
      <c r="P20" s="62"/>
      <c r="Q20" s="125"/>
      <c r="R20" s="31" t="s">
        <v>93</v>
      </c>
      <c r="S20" s="34"/>
      <c r="T20" s="34"/>
      <c r="U20" s="73"/>
      <c r="V20" s="34" t="s">
        <v>241</v>
      </c>
      <c r="W20" s="35"/>
      <c r="X20" s="35"/>
      <c r="Y20" s="35"/>
      <c r="Z20" s="35"/>
      <c r="AA20" s="126"/>
      <c r="AB20" s="127"/>
      <c r="AC20" s="127"/>
      <c r="AD20" s="127"/>
      <c r="AE20" s="127"/>
      <c r="AF20" s="127"/>
      <c r="AG20" s="128" t="s">
        <v>242</v>
      </c>
      <c r="AH20" s="127"/>
      <c r="AI20" s="129"/>
      <c r="AJ20" s="129"/>
      <c r="AK20" s="129"/>
      <c r="AL20" s="129"/>
      <c r="AM20" s="129"/>
      <c r="AN20" s="129"/>
      <c r="AO20" s="129"/>
      <c r="AP20" s="130" t="s">
        <v>243</v>
      </c>
      <c r="AQ20" s="129"/>
      <c r="AR20" s="129"/>
      <c r="AS20" s="129"/>
      <c r="AT20" s="129"/>
      <c r="AU20" s="129"/>
      <c r="AV20" s="129"/>
      <c r="AW20" s="129"/>
      <c r="AX20" s="129"/>
      <c r="AY20" s="129"/>
      <c r="AZ20" s="129"/>
      <c r="BA20" s="129"/>
      <c r="BB20" s="129"/>
      <c r="BC20" s="129"/>
      <c r="BD20" s="129"/>
      <c r="BE20" s="129"/>
      <c r="BF20" s="129"/>
      <c r="BG20" s="129"/>
      <c r="BH20" s="129"/>
      <c r="BI20" s="129"/>
      <c r="BJ20" s="129"/>
      <c r="BK20" s="129"/>
      <c r="BL20" s="129"/>
      <c r="BM20" s="129"/>
      <c r="BN20" s="129"/>
      <c r="BO20" s="129"/>
    </row>
    <row r="21" spans="1:67" ht="29.25" hidden="1" customHeight="1">
      <c r="A21" s="56" t="s">
        <v>128</v>
      </c>
      <c r="B21" s="17" t="s">
        <v>244</v>
      </c>
      <c r="C21" s="107" t="s">
        <v>245</v>
      </c>
      <c r="D21" s="131"/>
      <c r="E21" s="132" t="s">
        <v>232</v>
      </c>
      <c r="F21" s="133" t="s">
        <v>76</v>
      </c>
      <c r="G21" s="134">
        <v>100</v>
      </c>
      <c r="H21" s="22">
        <f>IF(OR(J21="",K21="",K21&lt;J21),0,NETWORKDAYS(J21,K21,fESTIVOS!$A$2:$A$53))</f>
        <v>0</v>
      </c>
      <c r="I21" s="135">
        <v>45800</v>
      </c>
      <c r="J21" s="61">
        <v>45800</v>
      </c>
      <c r="K21" s="61"/>
      <c r="L21" s="61">
        <v>45825</v>
      </c>
      <c r="M21" s="27">
        <f ca="1">IF(OR(J21="",AND(L21="",TODAY()&lt;J21),AND(L21&lt;&gt;"",L21&lt;J21)),0,
   IF(L21="",
      NETWORKDAYS(J21,TODAY(),fESTIVOS!$A$2:$A$53),
      NETWORKDAYS(J21,L21,fESTIVOS!$A$2:$A$53)
   )
)</f>
        <v>17</v>
      </c>
      <c r="N21" s="63"/>
      <c r="O21" s="82">
        <v>45825</v>
      </c>
      <c r="P21" s="63">
        <v>45835</v>
      </c>
      <c r="Q21" s="125"/>
      <c r="R21" s="31" t="s">
        <v>78</v>
      </c>
      <c r="S21" s="136"/>
      <c r="T21" s="136"/>
      <c r="U21" s="109"/>
      <c r="V21" s="34"/>
      <c r="W21" s="34"/>
      <c r="X21" s="35"/>
      <c r="Y21" s="35"/>
      <c r="Z21" s="35"/>
      <c r="AA21" s="34"/>
      <c r="AB21" s="34"/>
      <c r="AC21" s="35"/>
      <c r="AD21" s="34"/>
      <c r="AE21" s="34"/>
      <c r="AF21" s="34"/>
      <c r="AG21" s="34" t="s">
        <v>246</v>
      </c>
      <c r="AH21" s="34" t="s">
        <v>247</v>
      </c>
      <c r="AI21" s="37" t="s">
        <v>248</v>
      </c>
      <c r="AJ21" s="37" t="s">
        <v>249</v>
      </c>
      <c r="AK21" s="37"/>
      <c r="AL21" s="37"/>
      <c r="AM21" s="37" t="s">
        <v>250</v>
      </c>
      <c r="AN21" s="37" t="s">
        <v>251</v>
      </c>
      <c r="AO21" s="37" t="s">
        <v>252</v>
      </c>
      <c r="AP21" s="37" t="s">
        <v>253</v>
      </c>
      <c r="AQ21" s="37" t="s">
        <v>254</v>
      </c>
      <c r="AR21" s="37" t="s">
        <v>255</v>
      </c>
      <c r="AS21" s="37" t="s">
        <v>256</v>
      </c>
      <c r="AT21" s="37"/>
      <c r="AU21" s="37" t="s">
        <v>257</v>
      </c>
      <c r="AV21" s="37"/>
      <c r="AW21" s="37" t="s">
        <v>258</v>
      </c>
      <c r="AX21" s="37"/>
      <c r="AY21" s="37"/>
      <c r="AZ21" s="37"/>
      <c r="BA21" s="37"/>
      <c r="BB21" s="37"/>
      <c r="BC21" s="37"/>
      <c r="BD21" s="37"/>
      <c r="BE21" s="37"/>
      <c r="BF21" s="37"/>
      <c r="BG21" s="37"/>
      <c r="BH21" s="37"/>
      <c r="BI21" s="37"/>
      <c r="BJ21" s="37"/>
      <c r="BK21" s="37"/>
      <c r="BL21" s="37"/>
      <c r="BM21" s="37"/>
      <c r="BN21" s="37"/>
      <c r="BO21" s="37"/>
    </row>
    <row r="22" spans="1:67" ht="29.25" hidden="1" customHeight="1">
      <c r="A22" s="56" t="s">
        <v>128</v>
      </c>
      <c r="B22" s="17" t="s">
        <v>259</v>
      </c>
      <c r="C22" s="107" t="s">
        <v>260</v>
      </c>
      <c r="D22" s="137"/>
      <c r="E22" s="132" t="s">
        <v>232</v>
      </c>
      <c r="F22" s="133" t="s">
        <v>76</v>
      </c>
      <c r="G22" s="134">
        <v>100</v>
      </c>
      <c r="H22" s="22">
        <f>IF(OR(J22="",K22="",K22&lt;J22),0,NETWORKDAYS(J22,K22,fESTIVOS!$A$2:$A$53))</f>
        <v>0</v>
      </c>
      <c r="I22" s="135">
        <v>45800</v>
      </c>
      <c r="J22" s="61">
        <v>45813</v>
      </c>
      <c r="K22" s="61"/>
      <c r="L22" s="61">
        <v>45835</v>
      </c>
      <c r="M22" s="27">
        <f ca="1">IF(OR(J22="",AND(L22="",TODAY()&lt;J22),AND(L22&lt;&gt;"",L22&lt;J22)),0,
   IF(L22="",
      NETWORKDAYS(J22,TODAY(),fESTIVOS!$A$2:$A$53),
      NETWORKDAYS(J22,L22,fESTIVOS!$A$2:$A$53)
   )
)</f>
        <v>16</v>
      </c>
      <c r="N22" s="63"/>
      <c r="O22" s="82">
        <v>45813</v>
      </c>
      <c r="P22" s="63">
        <v>45835</v>
      </c>
      <c r="Q22" s="125"/>
      <c r="R22" s="31" t="s">
        <v>78</v>
      </c>
      <c r="S22" s="136"/>
      <c r="T22" s="136"/>
      <c r="U22" s="109"/>
      <c r="V22" s="34"/>
      <c r="W22" s="34"/>
      <c r="X22" s="35"/>
      <c r="Y22" s="35"/>
      <c r="Z22" s="35"/>
      <c r="AA22" s="34"/>
      <c r="AB22" s="34"/>
      <c r="AC22" s="35"/>
      <c r="AD22" s="34"/>
      <c r="AE22" s="34"/>
      <c r="AF22" s="34"/>
      <c r="AG22" s="34" t="s">
        <v>261</v>
      </c>
      <c r="AH22" s="35"/>
      <c r="AI22" s="37" t="s">
        <v>248</v>
      </c>
      <c r="AJ22" s="37"/>
      <c r="AK22" s="37" t="s">
        <v>262</v>
      </c>
      <c r="AL22" s="37" t="s">
        <v>263</v>
      </c>
      <c r="AM22" s="37" t="s">
        <v>264</v>
      </c>
      <c r="AN22" s="37" t="s">
        <v>265</v>
      </c>
      <c r="AO22" s="37"/>
      <c r="AP22" s="37"/>
      <c r="AQ22" s="37"/>
      <c r="AR22" s="37"/>
      <c r="AS22" s="37" t="s">
        <v>266</v>
      </c>
      <c r="AT22" s="37"/>
      <c r="AU22" s="37" t="s">
        <v>267</v>
      </c>
      <c r="AV22" s="37"/>
      <c r="AW22" s="37" t="s">
        <v>268</v>
      </c>
      <c r="AX22" s="37"/>
      <c r="AY22" s="37"/>
      <c r="AZ22" s="37"/>
      <c r="BA22" s="37"/>
      <c r="BB22" s="37"/>
      <c r="BC22" s="37"/>
      <c r="BD22" s="37"/>
      <c r="BE22" s="37"/>
      <c r="BF22" s="37"/>
      <c r="BG22" s="37"/>
      <c r="BH22" s="37"/>
      <c r="BI22" s="37"/>
      <c r="BJ22" s="37"/>
      <c r="BK22" s="37"/>
      <c r="BL22" s="37"/>
      <c r="BM22" s="37"/>
      <c r="BN22" s="37"/>
      <c r="BO22" s="37"/>
    </row>
    <row r="23" spans="1:67" ht="29.25" hidden="1" customHeight="1">
      <c r="A23" s="56" t="s">
        <v>157</v>
      </c>
      <c r="B23" s="138" t="s">
        <v>269</v>
      </c>
      <c r="C23" s="107" t="s">
        <v>270</v>
      </c>
      <c r="D23" s="77"/>
      <c r="E23" s="124"/>
      <c r="F23" s="86" t="s">
        <v>123</v>
      </c>
      <c r="G23" s="59">
        <v>90</v>
      </c>
      <c r="H23" s="22">
        <f>IF(OR(J23="",K23="",K23&lt;J23),0,NETWORKDAYS(J23,K23,fESTIVOS!$A$2:$A$53))</f>
        <v>3</v>
      </c>
      <c r="I23" s="82">
        <v>45772</v>
      </c>
      <c r="J23" s="61">
        <v>45775</v>
      </c>
      <c r="K23" s="61">
        <v>45777</v>
      </c>
      <c r="L23" s="61"/>
      <c r="M23" s="27">
        <f ca="1">IF(OR(J23="",AND(L23="",TODAY()&lt;J23),AND(L23&lt;&gt;"",L23&lt;J23)),0,
   IF(L23="",
      NETWORKDAYS(J23,TODAY(),fESTIVOS!$A$2:$A$53),
      NETWORKDAYS(J23,L23,fESTIVOS!$A$2:$A$53)
   )
)</f>
        <v>185</v>
      </c>
      <c r="N23" s="63"/>
      <c r="O23" s="82"/>
      <c r="P23" s="63"/>
      <c r="Q23" s="34" t="s">
        <v>271</v>
      </c>
      <c r="R23" s="31" t="s">
        <v>93</v>
      </c>
      <c r="S23" s="139"/>
      <c r="T23" s="139"/>
      <c r="U23" s="103"/>
      <c r="V23" s="34" t="s">
        <v>272</v>
      </c>
      <c r="W23" s="89" t="s">
        <v>273</v>
      </c>
      <c r="X23" s="89" t="s">
        <v>274</v>
      </c>
      <c r="Y23" s="90"/>
      <c r="Z23" s="90"/>
      <c r="AA23" s="90"/>
      <c r="AB23" s="90"/>
      <c r="AC23" s="90"/>
      <c r="AD23" s="90"/>
      <c r="AE23" s="89" t="s">
        <v>275</v>
      </c>
      <c r="AF23" s="90"/>
      <c r="AG23" s="90"/>
      <c r="AH23" s="90"/>
      <c r="AI23" s="91"/>
      <c r="AJ23" s="91"/>
      <c r="AK23" s="91"/>
      <c r="AL23" s="91"/>
      <c r="AM23" s="91"/>
      <c r="AN23" s="91"/>
      <c r="AO23" s="91"/>
      <c r="AP23" s="91"/>
      <c r="AQ23" s="91"/>
      <c r="AR23" s="91"/>
      <c r="AS23" s="91"/>
      <c r="AT23" s="91"/>
      <c r="AU23" s="91"/>
      <c r="AV23" s="91"/>
      <c r="AW23" s="91"/>
      <c r="AX23" s="91"/>
      <c r="AY23" s="91"/>
      <c r="AZ23" s="92" t="s">
        <v>276</v>
      </c>
      <c r="BA23" s="92" t="s">
        <v>277</v>
      </c>
      <c r="BB23" s="92"/>
      <c r="BC23" s="92"/>
      <c r="BD23" s="92" t="s">
        <v>278</v>
      </c>
      <c r="BE23" s="92"/>
      <c r="BF23" s="92" t="s">
        <v>279</v>
      </c>
      <c r="BG23" s="92"/>
      <c r="BH23" s="92" t="s">
        <v>280</v>
      </c>
      <c r="BI23" s="92" t="s">
        <v>281</v>
      </c>
      <c r="BJ23" s="92" t="s">
        <v>282</v>
      </c>
      <c r="BK23" s="92" t="s">
        <v>283</v>
      </c>
      <c r="BL23" s="92"/>
      <c r="BM23" s="92"/>
      <c r="BN23" s="92"/>
      <c r="BO23" s="92"/>
    </row>
    <row r="24" spans="1:67" ht="29.25" hidden="1" customHeight="1">
      <c r="A24" s="16" t="s">
        <v>67</v>
      </c>
      <c r="B24" s="17" t="s">
        <v>284</v>
      </c>
      <c r="C24" s="107" t="s">
        <v>285</v>
      </c>
      <c r="D24" s="77"/>
      <c r="E24" s="124"/>
      <c r="F24" s="86" t="s">
        <v>76</v>
      </c>
      <c r="G24" s="59">
        <v>100</v>
      </c>
      <c r="H24" s="22">
        <f>IF(OR(J24="",K24="",K24&lt;J24),0,NETWORKDAYS(J24,K24,fESTIVOS!$A$2:$A$53))</f>
        <v>2</v>
      </c>
      <c r="I24" s="82">
        <v>45827</v>
      </c>
      <c r="J24" s="61">
        <v>45827</v>
      </c>
      <c r="K24" s="61">
        <v>45828</v>
      </c>
      <c r="L24" s="61">
        <v>45867</v>
      </c>
      <c r="M24" s="27">
        <f ca="1">IF(OR(J24="",AND(L24="",TODAY()&lt;J24),AND(L24&lt;&gt;"",L24&lt;J24)),0,
   IF(L24="",
      NETWORKDAYS(J24,TODAY(),fESTIVOS!$A$2:$A$53),
      NETWORKDAYS(J24,L24,fESTIVOS!$A$2:$A$53)
   )
)</f>
        <v>27</v>
      </c>
      <c r="N24" s="63"/>
      <c r="O24" s="82"/>
      <c r="P24" s="101"/>
      <c r="Q24" s="104"/>
      <c r="R24" s="31" t="s">
        <v>78</v>
      </c>
      <c r="S24" s="139"/>
      <c r="T24" s="139"/>
      <c r="U24" s="103"/>
      <c r="V24" s="104"/>
      <c r="W24" s="104"/>
      <c r="X24" s="34"/>
      <c r="Y24" s="35"/>
      <c r="Z24" s="35"/>
      <c r="AA24" s="34"/>
      <c r="AB24" s="35"/>
      <c r="AC24" s="35"/>
      <c r="AD24" s="35"/>
      <c r="AE24" s="35"/>
      <c r="AF24" s="35"/>
      <c r="AG24" s="35"/>
      <c r="AH24" s="35"/>
      <c r="AI24" s="37"/>
      <c r="AJ24" s="37"/>
      <c r="AK24" s="37"/>
      <c r="AL24" s="37"/>
      <c r="AM24" s="37"/>
      <c r="AN24" s="37"/>
      <c r="AO24" s="37"/>
      <c r="AP24" s="37"/>
      <c r="AQ24" s="37"/>
      <c r="AR24" s="37" t="s">
        <v>286</v>
      </c>
      <c r="AS24" s="37" t="s">
        <v>287</v>
      </c>
      <c r="AT24" s="37"/>
      <c r="AU24" s="37" t="s">
        <v>288</v>
      </c>
      <c r="AV24" s="37"/>
      <c r="AW24" s="37"/>
      <c r="AX24" s="37"/>
      <c r="AY24" s="37"/>
      <c r="AZ24" s="37"/>
      <c r="BA24" s="37"/>
      <c r="BB24" s="37"/>
      <c r="BC24" s="37"/>
      <c r="BD24" s="37"/>
      <c r="BE24" s="37"/>
      <c r="BF24" s="37"/>
      <c r="BG24" s="37"/>
      <c r="BH24" s="37"/>
      <c r="BI24" s="37"/>
      <c r="BJ24" s="37" t="s">
        <v>289</v>
      </c>
      <c r="BK24" s="37" t="s">
        <v>290</v>
      </c>
      <c r="BL24" s="37"/>
      <c r="BM24" s="37" t="s">
        <v>291</v>
      </c>
      <c r="BN24" s="37"/>
      <c r="BO24" s="37"/>
    </row>
    <row r="25" spans="1:67" ht="29.25" customHeight="1">
      <c r="A25" s="16" t="s">
        <v>67</v>
      </c>
      <c r="B25" s="17" t="s">
        <v>292</v>
      </c>
      <c r="C25" s="107" t="s">
        <v>293</v>
      </c>
      <c r="D25" s="77"/>
      <c r="E25" s="124"/>
      <c r="F25" s="20" t="s">
        <v>207</v>
      </c>
      <c r="G25" s="59">
        <v>5</v>
      </c>
      <c r="H25" s="22">
        <f>IF(OR(J25="",K25="",K25&lt;J25),0,NETWORKDAYS(J25,K25,fESTIVOS!$A$2:$A$53))</f>
        <v>0</v>
      </c>
      <c r="I25" s="82">
        <v>45782</v>
      </c>
      <c r="J25" s="61">
        <v>45782</v>
      </c>
      <c r="K25" s="61"/>
      <c r="L25" s="61"/>
      <c r="M25" s="27">
        <f ca="1">IF(OR(J25="",AND(L25="",TODAY()&lt;J25),AND(L25&lt;&gt;"",L25&lt;J25)),0,
   IF(L25="",
      NETWORKDAYS(J25,TODAY(),fESTIVOS!$A$2:$A$53),
      NETWORKDAYS(J25,L25,fESTIVOS!$A$2:$A$53)
   )
)</f>
        <v>181</v>
      </c>
      <c r="N25" s="63"/>
      <c r="O25" s="82"/>
      <c r="P25" s="101"/>
      <c r="Q25" s="104"/>
      <c r="R25" s="31" t="s">
        <v>93</v>
      </c>
      <c r="S25" s="139"/>
      <c r="T25" s="139"/>
      <c r="U25" s="103"/>
      <c r="V25" s="104"/>
      <c r="W25" s="104"/>
      <c r="X25" s="34" t="s">
        <v>294</v>
      </c>
      <c r="Y25" s="35"/>
      <c r="Z25" s="35"/>
      <c r="AA25" s="34" t="s">
        <v>295</v>
      </c>
      <c r="AB25" s="35"/>
      <c r="AC25" s="35"/>
      <c r="AD25" s="35"/>
      <c r="AE25" s="35"/>
      <c r="AF25" s="35"/>
      <c r="AG25" s="35"/>
      <c r="AH25" s="35"/>
      <c r="AI25" s="37" t="s">
        <v>296</v>
      </c>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row>
    <row r="26" spans="1:67" ht="29.25" hidden="1" customHeight="1">
      <c r="A26" s="16" t="s">
        <v>67</v>
      </c>
      <c r="B26" s="17" t="s">
        <v>297</v>
      </c>
      <c r="C26" s="107" t="s">
        <v>298</v>
      </c>
      <c r="D26" s="77"/>
      <c r="E26" s="124"/>
      <c r="F26" s="86" t="s">
        <v>76</v>
      </c>
      <c r="G26" s="59">
        <v>100</v>
      </c>
      <c r="H26" s="22">
        <f>IF(OR(J26="",K26="",K26&lt;J26),0,NETWORKDAYS(J26,K26,fESTIVOS!$A$2:$A$53))</f>
        <v>0</v>
      </c>
      <c r="I26" s="82">
        <v>45785</v>
      </c>
      <c r="J26" s="61">
        <v>45791</v>
      </c>
      <c r="K26" s="61"/>
      <c r="L26" s="61">
        <v>45972</v>
      </c>
      <c r="M26" s="27">
        <f ca="1">IF(OR(J26="",AND(L26="",TODAY()&lt;J26),AND(L26&lt;&gt;"",L26&lt;J26)),0,
   IF(L26="",
      NETWORKDAYS(J26,TODAY(),fESTIVOS!$A$2:$A$53),
      NETWORKDAYS(J26,L26,fESTIVOS!$A$2:$A$53)
   )
)</f>
        <v>123</v>
      </c>
      <c r="N26" s="63"/>
      <c r="O26" s="82"/>
      <c r="P26" s="101"/>
      <c r="Q26" s="34" t="s">
        <v>299</v>
      </c>
      <c r="R26" s="31" t="s">
        <v>78</v>
      </c>
      <c r="S26" s="139"/>
      <c r="T26" s="139"/>
      <c r="U26" s="103"/>
      <c r="V26" s="104"/>
      <c r="W26" s="104"/>
      <c r="X26" s="104"/>
      <c r="Y26" s="104"/>
      <c r="Z26" s="104"/>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40" t="s">
        <v>319</v>
      </c>
      <c r="BM26" s="140"/>
      <c r="BN26" s="140" t="s">
        <v>320</v>
      </c>
      <c r="BO26" s="140"/>
    </row>
    <row r="27" spans="1:67" ht="29.25" hidden="1" customHeight="1">
      <c r="A27" s="93" t="s">
        <v>157</v>
      </c>
      <c r="B27" s="106" t="s">
        <v>321</v>
      </c>
      <c r="C27" s="141" t="s">
        <v>322</v>
      </c>
      <c r="D27" s="121" t="s">
        <v>323</v>
      </c>
      <c r="E27" s="97"/>
      <c r="F27" s="122" t="s">
        <v>76</v>
      </c>
      <c r="G27" s="98">
        <v>100</v>
      </c>
      <c r="H27" s="22">
        <f>IF(OR(J27="",K27="",K27&lt;J27),0,NETWORKDAYS(J27,K27,fESTIVOS!$A$2:$A$53))</f>
        <v>0</v>
      </c>
      <c r="I27" s="99">
        <v>46002</v>
      </c>
      <c r="J27" s="100">
        <v>46003</v>
      </c>
      <c r="K27" s="100"/>
      <c r="L27" s="100">
        <v>46003</v>
      </c>
      <c r="M27" s="27">
        <f ca="1">IF(OR(J27="",AND(L27="",TODAY()&lt;J27),AND(L27&lt;&gt;"",L27&lt;J27)),0,
   IF(L27="",
      NETWORKDAYS(J27,TODAY(),fESTIVOS!$A$2:$A$53),
      NETWORKDAYS(J27,L27,fESTIVOS!$A$2:$A$53)
   )
)</f>
        <v>1</v>
      </c>
      <c r="N27" s="101"/>
      <c r="O27" s="99"/>
      <c r="P27" s="101"/>
      <c r="Q27" s="34" t="s">
        <v>324</v>
      </c>
      <c r="R27" s="31" t="s">
        <v>78</v>
      </c>
      <c r="S27" s="102"/>
      <c r="T27" s="98"/>
      <c r="U27" s="103"/>
      <c r="V27" s="104"/>
      <c r="W27" s="104"/>
      <c r="X27" s="104"/>
      <c r="Y27" s="104"/>
      <c r="Z27" s="104"/>
      <c r="AA27" s="104"/>
      <c r="AB27" s="104"/>
      <c r="AC27" s="104"/>
      <c r="AD27" s="104"/>
      <c r="AE27" s="104"/>
      <c r="AF27" s="104"/>
      <c r="AG27" s="104"/>
      <c r="AH27" s="104"/>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row>
    <row r="28" spans="1:67" ht="29.25" hidden="1" customHeight="1">
      <c r="A28" s="93" t="s">
        <v>157</v>
      </c>
      <c r="B28" s="94" t="s">
        <v>325</v>
      </c>
      <c r="C28" s="120" t="s">
        <v>326</v>
      </c>
      <c r="D28" s="121" t="s">
        <v>327</v>
      </c>
      <c r="E28" s="97"/>
      <c r="F28" s="122" t="s">
        <v>76</v>
      </c>
      <c r="G28" s="98">
        <v>100</v>
      </c>
      <c r="H28" s="22">
        <f>IF(OR(J28="",K28="",K28&lt;J28),0,NETWORKDAYS(J28,K28,fESTIVOS!$A$2:$A$53))</f>
        <v>0</v>
      </c>
      <c r="I28" s="99">
        <v>46003</v>
      </c>
      <c r="J28" s="100">
        <v>46006</v>
      </c>
      <c r="K28" s="100"/>
      <c r="L28" s="100">
        <v>46007</v>
      </c>
      <c r="M28" s="27">
        <f ca="1">IF(OR(J28="",AND(L28="",TODAY()&lt;J28),AND(L28&lt;&gt;"",L28&lt;J28)),0,
   IF(L28="",
      NETWORKDAYS(J28,TODAY(),fESTIVOS!$A$2:$A$53),
      NETWORKDAYS(J28,L28,fESTIVOS!$A$2:$A$53)
   )
)</f>
        <v>2</v>
      </c>
      <c r="N28" s="101"/>
      <c r="O28" s="99"/>
      <c r="P28" s="101"/>
      <c r="Q28" s="34" t="s">
        <v>328</v>
      </c>
      <c r="R28" s="31" t="s">
        <v>78</v>
      </c>
      <c r="S28" s="102"/>
      <c r="T28" s="98"/>
      <c r="U28" s="103"/>
      <c r="V28" s="104"/>
      <c r="W28" s="104"/>
      <c r="X28" s="104"/>
      <c r="Y28" s="104"/>
      <c r="Z28" s="104"/>
      <c r="AA28" s="104"/>
      <c r="AB28" s="104"/>
      <c r="AC28" s="104"/>
      <c r="AD28" s="104"/>
      <c r="AE28" s="104"/>
      <c r="AF28" s="104"/>
      <c r="AG28" s="104"/>
      <c r="AH28" s="104"/>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row>
    <row r="29" spans="1:67" ht="29.25" hidden="1" customHeight="1">
      <c r="A29" s="56" t="s">
        <v>157</v>
      </c>
      <c r="B29" s="106" t="s">
        <v>329</v>
      </c>
      <c r="C29" s="142" t="s">
        <v>330</v>
      </c>
      <c r="D29" s="77" t="s">
        <v>331</v>
      </c>
      <c r="E29" s="85"/>
      <c r="F29" s="86" t="s">
        <v>76</v>
      </c>
      <c r="G29" s="59">
        <v>100</v>
      </c>
      <c r="H29" s="22">
        <f>IF(OR(J29="",K29="",K29&lt;J29),0,NETWORKDAYS(J29,K29,fESTIVOS!$A$2:$A$53))</f>
        <v>0</v>
      </c>
      <c r="I29" s="82">
        <v>45918</v>
      </c>
      <c r="J29" s="61">
        <v>45929</v>
      </c>
      <c r="K29" s="61"/>
      <c r="L29" s="61">
        <v>45930</v>
      </c>
      <c r="M29" s="27">
        <f ca="1">IF(OR(J29="",AND(L29="",TODAY()&lt;J29),AND(L29&lt;&gt;"",L29&lt;J29)),0,
   IF(L29="",
      NETWORKDAYS(J29,TODAY(),fESTIVOS!$A$2:$A$53),
      NETWORKDAYS(J29,L29,fESTIVOS!$A$2:$A$53)
   )
)</f>
        <v>2</v>
      </c>
      <c r="N29" s="63"/>
      <c r="O29" s="82">
        <v>45930</v>
      </c>
      <c r="P29" s="63">
        <v>46009</v>
      </c>
      <c r="Q29" s="87" t="s">
        <v>332</v>
      </c>
      <c r="R29" s="31" t="s">
        <v>78</v>
      </c>
      <c r="S29" s="59"/>
      <c r="T29" s="59"/>
      <c r="U29" s="109"/>
      <c r="V29" s="89" t="s">
        <v>333</v>
      </c>
      <c r="W29" s="88"/>
      <c r="X29" s="89"/>
      <c r="Y29" s="90"/>
      <c r="Z29" s="89"/>
      <c r="AA29" s="89"/>
      <c r="AB29" s="89"/>
      <c r="AC29" s="90"/>
      <c r="AD29" s="90"/>
      <c r="AE29" s="90"/>
      <c r="AF29" s="90"/>
      <c r="AG29" s="90"/>
      <c r="AH29" s="90"/>
      <c r="AI29" s="91"/>
      <c r="AJ29" s="91"/>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row>
    <row r="30" spans="1:67" ht="29.25" hidden="1" customHeight="1">
      <c r="A30" s="56" t="s">
        <v>128</v>
      </c>
      <c r="B30" s="17" t="s">
        <v>334</v>
      </c>
      <c r="C30" s="107" t="s">
        <v>335</v>
      </c>
      <c r="D30" s="143"/>
      <c r="E30" s="144"/>
      <c r="F30" s="65" t="s">
        <v>76</v>
      </c>
      <c r="G30" s="59">
        <v>100</v>
      </c>
      <c r="H30" s="22">
        <f>IF(OR(J30="",K30="",K30&lt;J30),0,NETWORKDAYS(J30,K30,fESTIVOS!$A$2:$A$53))</f>
        <v>0</v>
      </c>
      <c r="I30" s="82">
        <v>45806</v>
      </c>
      <c r="J30" s="61">
        <v>45806</v>
      </c>
      <c r="K30" s="61"/>
      <c r="L30" s="61">
        <v>45835</v>
      </c>
      <c r="M30" s="27">
        <f ca="1">IF(OR(J30="",AND(L30="",TODAY()&lt;J30),AND(L30&lt;&gt;"",L30&lt;J30)),0,
   IF(L30="",
      NETWORKDAYS(J30,TODAY(),fESTIVOS!$A$2:$A$53),
      NETWORKDAYS(J30,L30,fESTIVOS!$A$2:$A$53)
   )
)</f>
        <v>20</v>
      </c>
      <c r="N30" s="63"/>
      <c r="O30" s="82"/>
      <c r="P30" s="101"/>
      <c r="Q30" s="104"/>
      <c r="R30" s="31" t="s">
        <v>78</v>
      </c>
      <c r="S30" s="139"/>
      <c r="T30" s="139"/>
      <c r="U30" s="103"/>
      <c r="V30" s="104"/>
      <c r="W30" s="104"/>
      <c r="X30" s="104"/>
      <c r="Y30" s="104"/>
      <c r="Z30" s="104"/>
      <c r="AA30" s="104"/>
      <c r="AB30" s="104"/>
      <c r="AC30" s="104"/>
      <c r="AD30" s="104"/>
      <c r="AE30" s="104"/>
      <c r="AF30" s="104"/>
      <c r="AG30" s="104"/>
      <c r="AH30" s="104"/>
      <c r="AI30" s="104"/>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spans="1:67" ht="29.25" hidden="1" customHeight="1">
      <c r="A31" s="56" t="s">
        <v>157</v>
      </c>
      <c r="B31" s="106" t="s">
        <v>344</v>
      </c>
      <c r="C31" s="107" t="s">
        <v>345</v>
      </c>
      <c r="D31" s="143"/>
      <c r="E31" s="144"/>
      <c r="F31" s="65" t="s">
        <v>76</v>
      </c>
      <c r="G31" s="59">
        <v>100</v>
      </c>
      <c r="H31" s="22">
        <f>IF(OR(J31="",K31="",K31&lt;J31),0,NETWORKDAYS(J31,K31,fESTIVOS!$A$2:$A$53))</f>
        <v>0</v>
      </c>
      <c r="I31" s="82">
        <v>45834</v>
      </c>
      <c r="J31" s="61">
        <v>45834</v>
      </c>
      <c r="K31" s="61"/>
      <c r="L31" s="61">
        <v>45834</v>
      </c>
      <c r="M31" s="27">
        <f ca="1">IF(OR(J31="",AND(L31="",TODAY()&lt;J31),AND(L31&lt;&gt;"",L31&lt;J31)),0,
   IF(L31="",
      NETWORKDAYS(J31,TODAY(),fESTIVOS!$A$2:$A$53),
      NETWORKDAYS(J31,L31,fESTIVOS!$A$2:$A$53)
   )
)</f>
        <v>1</v>
      </c>
      <c r="N31" s="63"/>
      <c r="O31" s="82"/>
      <c r="P31" s="101"/>
      <c r="Q31" s="104"/>
      <c r="R31" s="31" t="s">
        <v>78</v>
      </c>
      <c r="S31" s="139"/>
      <c r="T31" s="139"/>
      <c r="U31" s="103"/>
      <c r="V31" s="104"/>
      <c r="W31" s="104"/>
      <c r="X31" s="104"/>
      <c r="Y31" s="104"/>
      <c r="Z31" s="104"/>
      <c r="AA31" s="104"/>
      <c r="AB31" s="104"/>
      <c r="AC31" s="104"/>
      <c r="AD31" s="104"/>
      <c r="AE31" s="104"/>
      <c r="AF31" s="104"/>
      <c r="AG31" s="104"/>
      <c r="AH31" s="104"/>
      <c r="AI31" s="104"/>
      <c r="AJ31" s="104"/>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spans="1:67" ht="29.25" hidden="1" customHeight="1">
      <c r="A32" s="56" t="s">
        <v>157</v>
      </c>
      <c r="B32" s="17" t="s">
        <v>346</v>
      </c>
      <c r="C32" s="107" t="s">
        <v>347</v>
      </c>
      <c r="D32" s="115"/>
      <c r="E32" s="144"/>
      <c r="F32" s="65" t="s">
        <v>76</v>
      </c>
      <c r="G32" s="59">
        <v>100</v>
      </c>
      <c r="H32" s="22">
        <f>IF(OR(J32="",K32="",K32&lt;J32),0,NETWORKDAYS(J32,K32,fESTIVOS!$A$2:$A$53))</f>
        <v>0</v>
      </c>
      <c r="I32" s="82">
        <v>45846</v>
      </c>
      <c r="J32" s="61">
        <v>45848</v>
      </c>
      <c r="K32" s="61"/>
      <c r="L32" s="61">
        <v>45848</v>
      </c>
      <c r="M32" s="27">
        <f ca="1">IF(OR(J32="",AND(L32="",TODAY()&lt;J32),AND(L32&lt;&gt;"",L32&lt;J32)),0,
   IF(L32="",
      NETWORKDAYS(J32,TODAY(),fESTIVOS!$A$2:$A$53),
      NETWORKDAYS(J32,L32,fESTIVOS!$A$2:$A$53)
   )
)</f>
        <v>1</v>
      </c>
      <c r="N32" s="63"/>
      <c r="O32" s="82"/>
      <c r="P32" s="101"/>
      <c r="Q32" s="104"/>
      <c r="R32" s="31" t="s">
        <v>78</v>
      </c>
      <c r="S32" s="139"/>
      <c r="T32" s="139"/>
      <c r="U32" s="103"/>
      <c r="V32" s="104"/>
      <c r="W32" s="104"/>
      <c r="X32" s="104"/>
      <c r="Y32" s="104"/>
      <c r="Z32" s="104"/>
      <c r="AA32" s="104"/>
      <c r="AB32" s="104"/>
      <c r="AC32" s="104"/>
      <c r="AD32" s="104"/>
      <c r="AE32" s="104"/>
      <c r="AF32" s="104"/>
      <c r="AG32" s="104"/>
      <c r="AH32" s="104"/>
      <c r="AI32" s="104"/>
      <c r="AJ32" s="104"/>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spans="1:67" ht="29.25" hidden="1" customHeight="1">
      <c r="A33" s="56" t="s">
        <v>67</v>
      </c>
      <c r="B33" s="106" t="s">
        <v>349</v>
      </c>
      <c r="C33" s="107" t="s">
        <v>350</v>
      </c>
      <c r="D33" s="143"/>
      <c r="E33" s="144"/>
      <c r="F33" s="65" t="s">
        <v>76</v>
      </c>
      <c r="G33" s="59">
        <v>100</v>
      </c>
      <c r="H33" s="22">
        <f>IF(OR(J33="",K33="",K33&lt;J33),0,NETWORKDAYS(J33,K33,fESTIVOS!$A$2:$A$53))</f>
        <v>0</v>
      </c>
      <c r="I33" s="82">
        <v>45835</v>
      </c>
      <c r="J33" s="61">
        <v>45840</v>
      </c>
      <c r="K33" s="61"/>
      <c r="L33" s="61">
        <v>45915</v>
      </c>
      <c r="M33" s="27">
        <f ca="1">IF(OR(J33="",AND(L33="",TODAY()&lt;J33),AND(L33&lt;&gt;"",L33&lt;J33)),0,
   IF(L33="",
      NETWORKDAYS(J33,TODAY(),fESTIVOS!$A$2:$A$53),
      NETWORKDAYS(J33,L33,fESTIVOS!$A$2:$A$53)
   )
)</f>
        <v>52</v>
      </c>
      <c r="N33" s="63"/>
      <c r="O33" s="82">
        <v>45916</v>
      </c>
      <c r="P33" s="101">
        <v>45929</v>
      </c>
      <c r="Q33" s="34" t="s">
        <v>351</v>
      </c>
      <c r="R33" s="31" t="s">
        <v>78</v>
      </c>
      <c r="S33" s="139"/>
      <c r="T33" s="139"/>
      <c r="U33" s="103"/>
      <c r="V33" s="104"/>
      <c r="W33" s="104"/>
      <c r="X33" s="104"/>
      <c r="Y33" s="104"/>
      <c r="Z33" s="104"/>
      <c r="AA33" s="104"/>
      <c r="AB33" s="104"/>
      <c r="AC33" s="104"/>
      <c r="AD33" s="104"/>
      <c r="AE33" s="104"/>
      <c r="AF33" s="104"/>
      <c r="AG33" s="104"/>
      <c r="AH33" s="104"/>
      <c r="AI33" s="104"/>
      <c r="AJ33" s="104"/>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spans="1:67" ht="29.25" hidden="1" customHeight="1">
      <c r="A34" s="56" t="s">
        <v>157</v>
      </c>
      <c r="B34" s="106" t="s">
        <v>361</v>
      </c>
      <c r="C34" s="107" t="s">
        <v>362</v>
      </c>
      <c r="D34" s="143"/>
      <c r="E34" s="144"/>
      <c r="F34" s="65" t="s">
        <v>76</v>
      </c>
      <c r="G34" s="59">
        <v>100</v>
      </c>
      <c r="H34" s="22">
        <f>IF(OR(J34="",K34="",K34&lt;J34),0,NETWORKDAYS(J34,K34,fESTIVOS!$A$2:$A$53))</f>
        <v>1</v>
      </c>
      <c r="I34" s="82">
        <v>45811</v>
      </c>
      <c r="J34" s="61">
        <v>45817</v>
      </c>
      <c r="K34" s="61">
        <v>45817</v>
      </c>
      <c r="L34" s="61">
        <v>45834</v>
      </c>
      <c r="M34" s="27">
        <f ca="1">IF(OR(J34="",AND(L34="",TODAY()&lt;J34),AND(L34&lt;&gt;"",L34&lt;J34)),0,
   IF(L34="",
      NETWORKDAYS(J34,TODAY(),fESTIVOS!$A$2:$A$53),
      NETWORKDAYS(J34,L34,fESTIVOS!$A$2:$A$53)
   )
)</f>
        <v>13</v>
      </c>
      <c r="N34" s="63"/>
      <c r="O34" s="82"/>
      <c r="P34" s="101"/>
      <c r="Q34" s="104"/>
      <c r="R34" s="31" t="s">
        <v>78</v>
      </c>
      <c r="S34" s="139"/>
      <c r="T34" s="139"/>
      <c r="U34" s="103"/>
      <c r="V34" s="104"/>
      <c r="W34" s="104"/>
      <c r="X34" s="104"/>
      <c r="Y34" s="104"/>
      <c r="Z34" s="104"/>
      <c r="AA34" s="104"/>
      <c r="AB34" s="104"/>
      <c r="AC34" s="104"/>
      <c r="AD34" s="104"/>
      <c r="AE34" s="104"/>
      <c r="AF34" s="104"/>
      <c r="AG34" s="104"/>
      <c r="AH34" s="104"/>
      <c r="AI34" s="104"/>
      <c r="AJ34" s="104"/>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spans="1:67" ht="41.25" hidden="1" customHeight="1">
      <c r="A35" s="56" t="s">
        <v>128</v>
      </c>
      <c r="B35" s="106" t="s">
        <v>374</v>
      </c>
      <c r="C35" s="107" t="s">
        <v>375</v>
      </c>
      <c r="D35" s="115"/>
      <c r="E35" s="145"/>
      <c r="F35" s="65" t="s">
        <v>76</v>
      </c>
      <c r="G35" s="59">
        <v>100</v>
      </c>
      <c r="H35" s="22">
        <f>IF(OR(J35="",K35="",K35&lt;J35),0,NETWORKDAYS(J35,K35,fESTIVOS!$A$2:$A$53))</f>
        <v>0</v>
      </c>
      <c r="I35" s="82">
        <v>45845</v>
      </c>
      <c r="J35" s="61">
        <v>45845</v>
      </c>
      <c r="K35" s="61"/>
      <c r="L35" s="61">
        <v>45849</v>
      </c>
      <c r="M35" s="27">
        <f ca="1">IF(OR(J35="",AND(L35="",TODAY()&lt;J35),AND(L35&lt;&gt;"",L35&lt;J35)),0,
   IF(L35="",
      NETWORKDAYS(J35,TODAY(),fESTIVOS!$A$2:$A$53),
      NETWORKDAYS(J35,L35,fESTIVOS!$A$2:$A$53)
   )
)</f>
        <v>5</v>
      </c>
      <c r="N35" s="63"/>
      <c r="O35" s="82">
        <v>45849</v>
      </c>
      <c r="P35" s="101"/>
      <c r="Q35" s="104"/>
      <c r="R35" s="31" t="s">
        <v>78</v>
      </c>
      <c r="S35" s="139"/>
      <c r="T35" s="139"/>
      <c r="U35" s="103"/>
      <c r="V35" s="104"/>
      <c r="W35" s="104"/>
      <c r="X35" s="104"/>
      <c r="Y35" s="104"/>
      <c r="Z35" s="104"/>
      <c r="AA35" s="104"/>
      <c r="AB35" s="104"/>
      <c r="AC35" s="104"/>
      <c r="AD35" s="104"/>
      <c r="AE35" s="104"/>
      <c r="AF35" s="104"/>
      <c r="AG35" s="104"/>
      <c r="AH35" s="104"/>
      <c r="AI35" s="104"/>
      <c r="AJ35" s="104"/>
      <c r="AK35" s="37"/>
      <c r="AL35" s="37"/>
      <c r="AM35" s="37"/>
      <c r="AN35" s="37"/>
      <c r="AO35" s="37"/>
      <c r="AP35" s="37"/>
      <c r="AQ35" s="37"/>
      <c r="AR35" s="37"/>
      <c r="AS35" s="37"/>
      <c r="AT35" s="37"/>
      <c r="AU35" s="37"/>
      <c r="AV35" s="37"/>
      <c r="AW35" s="37"/>
      <c r="AX35" s="37"/>
      <c r="AY35" s="68" t="s">
        <v>376</v>
      </c>
      <c r="AZ35" s="68"/>
      <c r="BA35" s="68" t="s">
        <v>377</v>
      </c>
      <c r="BB35" s="68"/>
      <c r="BC35" s="68" t="s">
        <v>378</v>
      </c>
      <c r="BD35" s="68" t="s">
        <v>379</v>
      </c>
      <c r="BE35" s="68"/>
      <c r="BF35" s="146" t="s">
        <v>153</v>
      </c>
      <c r="BG35" s="146"/>
      <c r="BH35" s="146"/>
      <c r="BI35" s="146"/>
      <c r="BJ35" s="146"/>
      <c r="BK35" s="146"/>
      <c r="BL35" s="146"/>
      <c r="BM35" s="146"/>
      <c r="BN35" s="146"/>
      <c r="BO35" s="146"/>
    </row>
    <row r="36" spans="1:67" ht="29.25" hidden="1" customHeight="1">
      <c r="A36" s="93" t="s">
        <v>128</v>
      </c>
      <c r="B36" s="94" t="s">
        <v>380</v>
      </c>
      <c r="C36" s="107" t="s">
        <v>381</v>
      </c>
      <c r="D36" s="96" t="s">
        <v>382</v>
      </c>
      <c r="E36" s="97"/>
      <c r="F36" s="112" t="s">
        <v>76</v>
      </c>
      <c r="G36" s="98">
        <v>100</v>
      </c>
      <c r="H36" s="22">
        <f>IF(OR(J36="",K36="",K36&lt;J36),0,NETWORKDAYS(J36,K36,fESTIVOS!$A$2:$A$53))</f>
        <v>0</v>
      </c>
      <c r="I36" s="99">
        <v>45902</v>
      </c>
      <c r="J36" s="100">
        <v>45946</v>
      </c>
      <c r="K36" s="100"/>
      <c r="L36" s="100">
        <v>45967</v>
      </c>
      <c r="M36" s="27">
        <f ca="1">IF(OR(J36="",AND(L36="",TODAY()&lt;J36),AND(L36&lt;&gt;"",L36&lt;J36)),0,
   IF(L36="",
      NETWORKDAYS(J36,TODAY(),fESTIVOS!$A$2:$A$53),
      NETWORKDAYS(J36,L36,fESTIVOS!$A$2:$A$53)
   )
)</f>
        <v>15</v>
      </c>
      <c r="N36" s="101"/>
      <c r="O36" s="99">
        <v>45967</v>
      </c>
      <c r="P36" s="101">
        <v>46003</v>
      </c>
      <c r="Q36" s="34" t="s">
        <v>383</v>
      </c>
      <c r="R36" s="31" t="s">
        <v>78</v>
      </c>
      <c r="S36" s="102"/>
      <c r="T36" s="98" t="s">
        <v>384</v>
      </c>
      <c r="U36" s="122" t="s">
        <v>385</v>
      </c>
      <c r="V36" s="104"/>
      <c r="W36" s="104"/>
      <c r="X36" s="104"/>
      <c r="Y36" s="104"/>
      <c r="Z36" s="104"/>
      <c r="AA36" s="104"/>
      <c r="AB36" s="104"/>
      <c r="AC36" s="104"/>
      <c r="AD36" s="104"/>
      <c r="AE36" s="104"/>
      <c r="AF36" s="104"/>
      <c r="AG36" s="104"/>
      <c r="AH36" s="104"/>
      <c r="AI36" s="104"/>
      <c r="AJ36" s="104"/>
      <c r="AK36" s="104"/>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row>
    <row r="37" spans="1:67" ht="29.25" hidden="1" customHeight="1">
      <c r="A37" s="93" t="s">
        <v>210</v>
      </c>
      <c r="B37" s="106" t="s">
        <v>386</v>
      </c>
      <c r="C37" s="120" t="s">
        <v>387</v>
      </c>
      <c r="D37" s="96"/>
      <c r="E37" s="97"/>
      <c r="F37" s="122" t="s">
        <v>76</v>
      </c>
      <c r="G37" s="98">
        <v>100</v>
      </c>
      <c r="H37" s="22">
        <f>IF(OR(J37="",K37="",K37&lt;J37),0,NETWORKDAYS(J37,K37,fESTIVOS!$A$2:$A$53))</f>
        <v>0</v>
      </c>
      <c r="I37" s="99">
        <v>46006</v>
      </c>
      <c r="J37" s="100">
        <v>46009</v>
      </c>
      <c r="K37" s="100"/>
      <c r="L37" s="100">
        <v>46021</v>
      </c>
      <c r="M37" s="27">
        <f ca="1">IF(OR(J37="",AND(L37="",TODAY()&lt;J37),AND(L37&lt;&gt;"",L37&lt;J37)),0,
   IF(L37="",
      NETWORKDAYS(J37,TODAY(),fESTIVOS!$A$2:$A$53),
      NETWORKDAYS(J37,L37,fESTIVOS!$A$2:$A$53)
   )
)</f>
        <v>8</v>
      </c>
      <c r="N37" s="101"/>
      <c r="O37" s="99"/>
      <c r="P37" s="101"/>
      <c r="Q37" s="34" t="s">
        <v>388</v>
      </c>
      <c r="R37" s="113" t="s">
        <v>78</v>
      </c>
      <c r="S37" s="102"/>
      <c r="T37" s="98"/>
      <c r="U37" s="103"/>
      <c r="V37" s="104"/>
      <c r="W37" s="104"/>
      <c r="X37" s="104"/>
      <c r="Y37" s="104"/>
      <c r="Z37" s="104"/>
      <c r="AA37" s="104"/>
      <c r="AB37" s="104"/>
      <c r="AC37" s="104"/>
      <c r="AD37" s="104"/>
      <c r="AE37" s="104"/>
      <c r="AF37" s="104"/>
      <c r="AG37" s="104"/>
      <c r="AH37" s="104"/>
      <c r="AI37" s="104"/>
      <c r="AJ37" s="104"/>
      <c r="AK37" s="104"/>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row>
    <row r="38" spans="1:67" ht="29.25" hidden="1" customHeight="1">
      <c r="A38" s="56" t="s">
        <v>128</v>
      </c>
      <c r="B38" s="17" t="s">
        <v>389</v>
      </c>
      <c r="C38" s="107" t="s">
        <v>390</v>
      </c>
      <c r="D38" s="147"/>
      <c r="E38" s="148"/>
      <c r="F38" s="65" t="s">
        <v>76</v>
      </c>
      <c r="G38" s="59">
        <v>100</v>
      </c>
      <c r="H38" s="22">
        <f>IF(OR(J38="",K38="",K38&lt;J38),0,NETWORKDAYS(J38,K38,fESTIVOS!$A$2:$A$53))</f>
        <v>0</v>
      </c>
      <c r="I38" s="82">
        <v>45841</v>
      </c>
      <c r="J38" s="61">
        <v>45853</v>
      </c>
      <c r="K38" s="61"/>
      <c r="L38" s="61">
        <v>45859</v>
      </c>
      <c r="M38" s="27">
        <f ca="1">IF(OR(J38="",AND(L38="",TODAY()&lt;J38),AND(L38&lt;&gt;"",L38&lt;J38)),0,
   IF(L38="",
      NETWORKDAYS(J38,TODAY(),fESTIVOS!$A$2:$A$53),
      NETWORKDAYS(J38,L38,fESTIVOS!$A$2:$A$53)
   )
)</f>
        <v>5</v>
      </c>
      <c r="N38" s="63"/>
      <c r="O38" s="82"/>
      <c r="P38" s="101"/>
      <c r="Q38" s="104"/>
      <c r="R38" s="31" t="s">
        <v>78</v>
      </c>
      <c r="S38" s="59"/>
      <c r="T38" s="59"/>
      <c r="U38" s="103"/>
      <c r="V38" s="104"/>
      <c r="W38" s="104"/>
      <c r="X38" s="104"/>
      <c r="Y38" s="104"/>
      <c r="Z38" s="104"/>
      <c r="AA38" s="104"/>
      <c r="AB38" s="104"/>
      <c r="AC38" s="104"/>
      <c r="AD38" s="104"/>
      <c r="AE38" s="104"/>
      <c r="AF38" s="104"/>
      <c r="AG38" s="104"/>
      <c r="AH38" s="104"/>
      <c r="AI38" s="104"/>
      <c r="AJ38" s="104"/>
      <c r="AK38" s="104"/>
      <c r="AL38" s="37"/>
      <c r="AM38" s="37"/>
      <c r="AN38" s="146"/>
      <c r="AO38" s="146"/>
      <c r="AP38" s="146"/>
      <c r="AQ38" s="146"/>
      <c r="AR38" s="37"/>
      <c r="AS38" s="37"/>
      <c r="AT38" s="37"/>
      <c r="AU38" s="37"/>
      <c r="AV38" s="37"/>
      <c r="AW38" s="37"/>
      <c r="AX38" s="37"/>
      <c r="AY38" s="68" t="s">
        <v>391</v>
      </c>
      <c r="AZ38" s="68"/>
      <c r="BA38" s="68" t="s">
        <v>392</v>
      </c>
      <c r="BB38" s="68"/>
      <c r="BC38" s="68"/>
      <c r="BD38" s="68"/>
      <c r="BE38" s="68"/>
      <c r="BF38" s="68" t="s">
        <v>393</v>
      </c>
      <c r="BG38" s="68"/>
      <c r="BH38" s="68" t="s">
        <v>394</v>
      </c>
      <c r="BI38" s="68" t="s">
        <v>395</v>
      </c>
      <c r="BJ38" s="68" t="s">
        <v>396</v>
      </c>
      <c r="BK38" s="68"/>
      <c r="BL38" s="68"/>
      <c r="BM38" s="68"/>
      <c r="BN38" s="68"/>
      <c r="BO38" s="68"/>
    </row>
    <row r="39" spans="1:67" ht="29.25" hidden="1" customHeight="1">
      <c r="A39" s="56" t="s">
        <v>128</v>
      </c>
      <c r="B39" s="17" t="s">
        <v>397</v>
      </c>
      <c r="C39" s="107" t="s">
        <v>398</v>
      </c>
      <c r="D39" s="147"/>
      <c r="E39" s="148"/>
      <c r="F39" s="65" t="s">
        <v>76</v>
      </c>
      <c r="G39" s="59">
        <v>100</v>
      </c>
      <c r="H39" s="22">
        <f>IF(OR(J39="",K39="",K39&lt;J39),0,NETWORKDAYS(J39,K39,fESTIVOS!$A$2:$A$53))</f>
        <v>0</v>
      </c>
      <c r="I39" s="82">
        <v>45836</v>
      </c>
      <c r="J39" s="61">
        <v>45836</v>
      </c>
      <c r="K39" s="61"/>
      <c r="L39" s="61">
        <v>45841</v>
      </c>
      <c r="M39" s="27">
        <f ca="1">IF(OR(J39="",AND(L39="",TODAY()&lt;J39),AND(L39&lt;&gt;"",L39&lt;J39)),0,
   IF(L39="",
      NETWORKDAYS(J39,TODAY(),fESTIVOS!$A$2:$A$53),
      NETWORKDAYS(J39,L39,fESTIVOS!$A$2:$A$53)
   )
)</f>
        <v>3</v>
      </c>
      <c r="N39" s="63"/>
      <c r="O39" s="82"/>
      <c r="P39" s="101"/>
      <c r="Q39" s="104"/>
      <c r="R39" s="31" t="s">
        <v>78</v>
      </c>
      <c r="S39" s="59"/>
      <c r="T39" s="59"/>
      <c r="U39" s="103"/>
      <c r="V39" s="104"/>
      <c r="W39" s="104"/>
      <c r="X39" s="104"/>
      <c r="Y39" s="104"/>
      <c r="Z39" s="104"/>
      <c r="AA39" s="104"/>
      <c r="AB39" s="104"/>
      <c r="AC39" s="104"/>
      <c r="AD39" s="104"/>
      <c r="AE39" s="104"/>
      <c r="AF39" s="104"/>
      <c r="AG39" s="104"/>
      <c r="AH39" s="104"/>
      <c r="AI39" s="104"/>
      <c r="AJ39" s="104"/>
      <c r="AK39" s="104"/>
      <c r="AL39" s="37"/>
      <c r="AM39" s="37"/>
      <c r="AN39" s="146"/>
      <c r="AO39" s="146"/>
      <c r="AP39" s="146"/>
      <c r="AQ39" s="146"/>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spans="1:67" ht="29.25" hidden="1" customHeight="1">
      <c r="A40" s="56" t="s">
        <v>128</v>
      </c>
      <c r="B40" s="17" t="s">
        <v>402</v>
      </c>
      <c r="C40" s="107" t="s">
        <v>403</v>
      </c>
      <c r="D40" s="149"/>
      <c r="E40" s="148" t="s">
        <v>232</v>
      </c>
      <c r="F40" s="65" t="s">
        <v>76</v>
      </c>
      <c r="G40" s="59">
        <v>100</v>
      </c>
      <c r="H40" s="22">
        <f>IF(OR(J40="",K40="",K40&lt;J40),0,NETWORKDAYS(J40,K40,fESTIVOS!$A$2:$A$53))</f>
        <v>0</v>
      </c>
      <c r="I40" s="82">
        <v>45814</v>
      </c>
      <c r="J40" s="61">
        <v>45819</v>
      </c>
      <c r="K40" s="61"/>
      <c r="L40" s="61">
        <v>45833</v>
      </c>
      <c r="M40" s="27">
        <f ca="1">IF(OR(J40="",AND(L40="",TODAY()&lt;J40),AND(L40&lt;&gt;"",L40&lt;J40)),0,
   IF(L40="",
      NETWORKDAYS(J40,TODAY(),fESTIVOS!$A$2:$A$53),
      NETWORKDAYS(J40,L40,fESTIVOS!$A$2:$A$53)
   )
)</f>
        <v>10</v>
      </c>
      <c r="N40" s="63"/>
      <c r="O40" s="82">
        <v>45827</v>
      </c>
      <c r="P40" s="101">
        <v>45841</v>
      </c>
      <c r="Q40" s="104"/>
      <c r="R40" s="31" t="s">
        <v>78</v>
      </c>
      <c r="S40" s="59"/>
      <c r="T40" s="59" t="s">
        <v>404</v>
      </c>
      <c r="U40" s="122" t="s">
        <v>405</v>
      </c>
      <c r="V40" s="104"/>
      <c r="W40" s="104"/>
      <c r="X40" s="104"/>
      <c r="Y40" s="104"/>
      <c r="Z40" s="104"/>
      <c r="AA40" s="104"/>
      <c r="AB40" s="104"/>
      <c r="AC40" s="104"/>
      <c r="AD40" s="104"/>
      <c r="AE40" s="104"/>
      <c r="AF40" s="104"/>
      <c r="AG40" s="104"/>
      <c r="AH40" s="104"/>
      <c r="AI40" s="104"/>
      <c r="AJ40" s="104"/>
      <c r="AK40" s="104"/>
      <c r="AL40" s="34" t="s">
        <v>406</v>
      </c>
      <c r="AM40" s="37" t="s">
        <v>407</v>
      </c>
      <c r="AN40" s="146" t="s">
        <v>408</v>
      </c>
      <c r="AO40" s="146" t="s">
        <v>409</v>
      </c>
      <c r="AP40" s="146" t="s">
        <v>410</v>
      </c>
      <c r="AQ40" s="146"/>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spans="1:67" ht="29.25" hidden="1" customHeight="1">
      <c r="A41" s="16" t="s">
        <v>67</v>
      </c>
      <c r="B41" s="17" t="s">
        <v>417</v>
      </c>
      <c r="C41" s="107" t="s">
        <v>418</v>
      </c>
      <c r="D41" s="143"/>
      <c r="E41" s="144"/>
      <c r="F41" s="20" t="s">
        <v>76</v>
      </c>
      <c r="G41" s="59">
        <v>100</v>
      </c>
      <c r="H41" s="22">
        <f>IF(OR(J41="",K41="",K41&lt;J41),0,NETWORKDAYS(J41,K41,fESTIVOS!$A$2:$A$53))</f>
        <v>0</v>
      </c>
      <c r="I41" s="82">
        <v>45818</v>
      </c>
      <c r="J41" s="61">
        <v>45818</v>
      </c>
      <c r="K41" s="61"/>
      <c r="L41" s="61">
        <v>45820</v>
      </c>
      <c r="M41" s="27">
        <f ca="1">IF(OR(J41="",AND(L41="",TODAY()&lt;J41),AND(L41&lt;&gt;"",L41&lt;J41)),0,
   IF(L41="",
      NETWORKDAYS(J41,TODAY(),fESTIVOS!$A$2:$A$53),
      NETWORKDAYS(J41,L41,fESTIVOS!$A$2:$A$53)
   )
)</f>
        <v>3</v>
      </c>
      <c r="N41" s="63"/>
      <c r="O41" s="82"/>
      <c r="P41" s="101"/>
      <c r="Q41" s="34" t="s">
        <v>419</v>
      </c>
      <c r="R41" s="31" t="s">
        <v>78</v>
      </c>
      <c r="S41" s="139"/>
      <c r="T41" s="139"/>
      <c r="U41" s="103"/>
      <c r="V41" s="104"/>
      <c r="W41" s="104"/>
      <c r="X41" s="104"/>
      <c r="Y41" s="104"/>
      <c r="Z41" s="104"/>
      <c r="AA41" s="104"/>
      <c r="AB41" s="104"/>
      <c r="AC41" s="104"/>
      <c r="AD41" s="104"/>
      <c r="AE41" s="104"/>
      <c r="AF41" s="104"/>
      <c r="AG41" s="104"/>
      <c r="AH41" s="104"/>
      <c r="AI41" s="104"/>
      <c r="AJ41" s="104"/>
      <c r="AK41" s="104"/>
      <c r="AL41" s="104"/>
      <c r="AM41" s="104"/>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spans="1:67" ht="29.25" hidden="1" customHeight="1">
      <c r="A42" s="16" t="s">
        <v>67</v>
      </c>
      <c r="B42" s="17" t="s">
        <v>423</v>
      </c>
      <c r="C42" s="107" t="s">
        <v>424</v>
      </c>
      <c r="D42" s="115"/>
      <c r="E42" s="144"/>
      <c r="F42" s="65" t="s">
        <v>76</v>
      </c>
      <c r="G42" s="59">
        <v>100</v>
      </c>
      <c r="H42" s="22">
        <f>IF(OR(J42="",K42="",K42&lt;J42),0,NETWORKDAYS(J42,K42,fESTIVOS!$A$2:$A$53))</f>
        <v>10</v>
      </c>
      <c r="I42" s="82">
        <v>45818</v>
      </c>
      <c r="J42" s="61">
        <v>45821</v>
      </c>
      <c r="K42" s="61">
        <v>45835</v>
      </c>
      <c r="L42" s="61">
        <v>45832</v>
      </c>
      <c r="M42" s="27">
        <f ca="1">IF(OR(J42="",AND(L42="",TODAY()&lt;J42),AND(L42&lt;&gt;"",L42&lt;J42)),0,
   IF(L42="",
      NETWORKDAYS(J42,TODAY(),fESTIVOS!$A$2:$A$53),
      NETWORKDAYS(J42,L42,fESTIVOS!$A$2:$A$53)
   )
)</f>
        <v>7</v>
      </c>
      <c r="N42" s="63"/>
      <c r="O42" s="82"/>
      <c r="P42" s="101"/>
      <c r="Q42" s="104"/>
      <c r="R42" s="31" t="s">
        <v>78</v>
      </c>
      <c r="S42" s="139"/>
      <c r="T42" s="139"/>
      <c r="U42" s="103"/>
      <c r="V42" s="104"/>
      <c r="W42" s="104"/>
      <c r="X42" s="104"/>
      <c r="Y42" s="104"/>
      <c r="Z42" s="104"/>
      <c r="AA42" s="104"/>
      <c r="AB42" s="104"/>
      <c r="AC42" s="104"/>
      <c r="AD42" s="104"/>
      <c r="AE42" s="104"/>
      <c r="AF42" s="104"/>
      <c r="AG42" s="104"/>
      <c r="AH42" s="104"/>
      <c r="AI42" s="104"/>
      <c r="AJ42" s="104"/>
      <c r="AK42" s="104"/>
      <c r="AL42" s="104"/>
      <c r="AM42" s="104"/>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spans="1:67" ht="29.25" hidden="1" customHeight="1">
      <c r="A43" s="16" t="s">
        <v>67</v>
      </c>
      <c r="B43" s="106" t="s">
        <v>430</v>
      </c>
      <c r="C43" s="107" t="s">
        <v>431</v>
      </c>
      <c r="D43" s="115"/>
      <c r="E43" s="144"/>
      <c r="F43" s="65" t="s">
        <v>76</v>
      </c>
      <c r="G43" s="59">
        <v>100</v>
      </c>
      <c r="H43" s="22">
        <f>IF(OR(J43="",K43="",K43&lt;J43),0,NETWORKDAYS(J43,K43,fESTIVOS!$A$2:$A$53))</f>
        <v>0</v>
      </c>
      <c r="I43" s="82">
        <v>45839</v>
      </c>
      <c r="J43" s="61">
        <v>45839</v>
      </c>
      <c r="K43" s="61"/>
      <c r="L43" s="61">
        <v>45840</v>
      </c>
      <c r="M43" s="27">
        <f ca="1">IF(OR(J43="",AND(L43="",TODAY()&lt;J43),AND(L43&lt;&gt;"",L43&lt;J43)),0,
   IF(L43="",
      NETWORKDAYS(J43,TODAY(),fESTIVOS!$A$2:$A$53),
      NETWORKDAYS(J43,L43,fESTIVOS!$A$2:$A$53)
   )
)</f>
        <v>2</v>
      </c>
      <c r="N43" s="63"/>
      <c r="O43" s="82"/>
      <c r="P43" s="101"/>
      <c r="Q43" s="104"/>
      <c r="R43" s="31" t="s">
        <v>78</v>
      </c>
      <c r="S43" s="139"/>
      <c r="T43" s="139"/>
      <c r="U43" s="103"/>
      <c r="V43" s="104"/>
      <c r="W43" s="104"/>
      <c r="X43" s="104"/>
      <c r="Y43" s="104"/>
      <c r="Z43" s="104"/>
      <c r="AA43" s="104"/>
      <c r="AB43" s="104"/>
      <c r="AC43" s="104"/>
      <c r="AD43" s="104"/>
      <c r="AE43" s="104"/>
      <c r="AF43" s="104"/>
      <c r="AG43" s="104"/>
      <c r="AH43" s="104"/>
      <c r="AI43" s="104"/>
      <c r="AJ43" s="104"/>
      <c r="AK43" s="104"/>
      <c r="AL43" s="104"/>
      <c r="AM43" s="104"/>
      <c r="AN43" s="34"/>
      <c r="AO43" s="105"/>
      <c r="AP43" s="105"/>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spans="1:67" ht="29.25" hidden="1" customHeight="1">
      <c r="A44" s="16" t="s">
        <v>67</v>
      </c>
      <c r="B44" s="17" t="s">
        <v>434</v>
      </c>
      <c r="C44" s="107" t="s">
        <v>435</v>
      </c>
      <c r="D44" s="115"/>
      <c r="E44" s="144"/>
      <c r="F44" s="65" t="s">
        <v>76</v>
      </c>
      <c r="G44" s="59">
        <v>100</v>
      </c>
      <c r="H44" s="22">
        <f>IF(OR(J44="",K44="",K44&lt;J44),0,NETWORKDAYS(J44,K44,fESTIVOS!$A$2:$A$53))</f>
        <v>24</v>
      </c>
      <c r="I44" s="82">
        <v>45818</v>
      </c>
      <c r="J44" s="61">
        <v>45825</v>
      </c>
      <c r="K44" s="61">
        <v>45860</v>
      </c>
      <c r="L44" s="61">
        <v>45847</v>
      </c>
      <c r="M44" s="27">
        <f ca="1">IF(OR(J44="",AND(L44="",TODAY()&lt;J44),AND(L44&lt;&gt;"",L44&lt;J44)),0,
   IF(L44="",
      NETWORKDAYS(J44,TODAY(),fESTIVOS!$A$2:$A$53),
      NETWORKDAYS(J44,L44,fESTIVOS!$A$2:$A$53)
   )
)</f>
        <v>15</v>
      </c>
      <c r="N44" s="63"/>
      <c r="O44" s="82">
        <v>45847</v>
      </c>
      <c r="P44" s="101"/>
      <c r="Q44" s="104"/>
      <c r="R44" s="31" t="s">
        <v>78</v>
      </c>
      <c r="S44" s="139"/>
      <c r="T44" s="139"/>
      <c r="U44" s="103"/>
      <c r="V44" s="104"/>
      <c r="W44" s="104"/>
      <c r="X44" s="104"/>
      <c r="Y44" s="104"/>
      <c r="Z44" s="104"/>
      <c r="AA44" s="104"/>
      <c r="AB44" s="104"/>
      <c r="AC44" s="104"/>
      <c r="AD44" s="104"/>
      <c r="AE44" s="104"/>
      <c r="AF44" s="104"/>
      <c r="AG44" s="104"/>
      <c r="AH44" s="104"/>
      <c r="AI44" s="104"/>
      <c r="AJ44" s="104"/>
      <c r="AK44" s="104"/>
      <c r="AL44" s="104"/>
      <c r="AM44" s="104"/>
      <c r="AN44" s="34" t="s">
        <v>436</v>
      </c>
      <c r="AO44" s="105"/>
      <c r="AP44" s="105"/>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spans="1:67" ht="29.25" hidden="1" customHeight="1">
      <c r="A45" s="16" t="s">
        <v>67</v>
      </c>
      <c r="B45" s="106" t="s">
        <v>450</v>
      </c>
      <c r="C45" s="107" t="s">
        <v>451</v>
      </c>
      <c r="D45" s="115"/>
      <c r="E45" s="144"/>
      <c r="F45" s="65" t="s">
        <v>76</v>
      </c>
      <c r="G45" s="59">
        <v>100</v>
      </c>
      <c r="H45" s="22">
        <f>IF(OR(J45="",K45="",K45&lt;J45),0,NETWORKDAYS(J45,K45,fESTIVOS!$A$2:$A$53))</f>
        <v>0</v>
      </c>
      <c r="I45" s="82">
        <v>45864</v>
      </c>
      <c r="J45" s="61">
        <v>45864</v>
      </c>
      <c r="K45" s="61">
        <v>45839</v>
      </c>
      <c r="L45" s="61">
        <v>45865</v>
      </c>
      <c r="M45" s="27">
        <f ca="1">IF(OR(J45="",AND(L45="",TODAY()&lt;J45),AND(L45&lt;&gt;"",L45&lt;J45)),0,
   IF(L45="",
      NETWORKDAYS(J45,TODAY(),fESTIVOS!$A$2:$A$53),
      NETWORKDAYS(J45,L45,fESTIVOS!$A$2:$A$53)
   )
)</f>
        <v>0</v>
      </c>
      <c r="N45" s="63"/>
      <c r="O45" s="82"/>
      <c r="P45" s="101"/>
      <c r="Q45" s="104"/>
      <c r="R45" s="31" t="s">
        <v>78</v>
      </c>
      <c r="S45" s="139"/>
      <c r="T45" s="139"/>
      <c r="U45" s="103"/>
      <c r="V45" s="104"/>
      <c r="W45" s="104"/>
      <c r="X45" s="104"/>
      <c r="Y45" s="104"/>
      <c r="Z45" s="104"/>
      <c r="AA45" s="104"/>
      <c r="AB45" s="104"/>
      <c r="AC45" s="104"/>
      <c r="AD45" s="104"/>
      <c r="AE45" s="104"/>
      <c r="AF45" s="104"/>
      <c r="AG45" s="104"/>
      <c r="AH45" s="104"/>
      <c r="AI45" s="104"/>
      <c r="AJ45" s="104"/>
      <c r="AK45" s="104"/>
      <c r="AL45" s="104"/>
      <c r="AM45" s="104"/>
      <c r="AN45" s="34"/>
      <c r="AO45" s="105"/>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spans="1:67" ht="29.25" hidden="1" customHeight="1">
      <c r="A46" s="16" t="s">
        <v>67</v>
      </c>
      <c r="B46" s="17" t="s">
        <v>453</v>
      </c>
      <c r="C46" s="107" t="s">
        <v>454</v>
      </c>
      <c r="D46" s="115"/>
      <c r="E46" s="144"/>
      <c r="F46" s="65" t="s">
        <v>76</v>
      </c>
      <c r="G46" s="59">
        <v>100</v>
      </c>
      <c r="H46" s="22">
        <f>IF(OR(J46="",K46="",K46&lt;J46),0,NETWORKDAYS(J46,K46,fESTIVOS!$A$2:$A$53))</f>
        <v>15</v>
      </c>
      <c r="I46" s="82">
        <v>45818</v>
      </c>
      <c r="J46" s="61">
        <v>45821</v>
      </c>
      <c r="K46" s="61">
        <v>45845</v>
      </c>
      <c r="L46" s="61">
        <v>45867</v>
      </c>
      <c r="M46" s="27">
        <f ca="1">IF(OR(J46="",AND(L46="",TODAY()&lt;J46),AND(L46&lt;&gt;"",L46&lt;J46)),0,
   IF(L46="",
      NETWORKDAYS(J46,TODAY(),fESTIVOS!$A$2:$A$53),
      NETWORKDAYS(J46,L46,fESTIVOS!$A$2:$A$53)
   )
)</f>
        <v>31</v>
      </c>
      <c r="N46" s="63"/>
      <c r="O46" s="82"/>
      <c r="P46" s="101">
        <v>45868</v>
      </c>
      <c r="Q46" s="104"/>
      <c r="R46" s="31" t="s">
        <v>78</v>
      </c>
      <c r="S46" s="139"/>
      <c r="T46" s="139"/>
      <c r="U46" s="103"/>
      <c r="V46" s="104"/>
      <c r="W46" s="104"/>
      <c r="X46" s="104"/>
      <c r="Y46" s="104"/>
      <c r="Z46" s="104"/>
      <c r="AA46" s="104"/>
      <c r="AB46" s="104"/>
      <c r="AC46" s="104"/>
      <c r="AD46" s="104"/>
      <c r="AE46" s="104"/>
      <c r="AF46" s="104"/>
      <c r="AG46" s="104"/>
      <c r="AH46" s="104"/>
      <c r="AI46" s="104"/>
      <c r="AJ46" s="104"/>
      <c r="AK46" s="104"/>
      <c r="AL46" s="104"/>
      <c r="AM46" s="104"/>
      <c r="AN46" s="34" t="s">
        <v>455</v>
      </c>
      <c r="AO46" s="105"/>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spans="1:67" ht="29.25" hidden="1" customHeight="1">
      <c r="A47" s="123" t="s">
        <v>465</v>
      </c>
      <c r="B47" s="106" t="s">
        <v>466</v>
      </c>
      <c r="C47" s="107" t="s">
        <v>467</v>
      </c>
      <c r="D47" s="143" t="s">
        <v>468</v>
      </c>
      <c r="E47" s="144"/>
      <c r="F47" s="20" t="s">
        <v>76</v>
      </c>
      <c r="G47" s="59">
        <v>100</v>
      </c>
      <c r="H47" s="22">
        <f>IF(OR(J47="",K47="",K47&lt;J47),0,NETWORKDAYS(J47,K47,fESTIVOS!$A$2:$A$53))</f>
        <v>10</v>
      </c>
      <c r="I47" s="82">
        <v>45813</v>
      </c>
      <c r="J47" s="61">
        <v>45813</v>
      </c>
      <c r="K47" s="61">
        <v>45826</v>
      </c>
      <c r="L47" s="61">
        <v>45895</v>
      </c>
      <c r="M47" s="27">
        <f ca="1">IF(OR(J47="",AND(L47="",TODAY()&lt;J47),AND(L47&lt;&gt;"",L47&lt;J47)),0,
   IF(L47="",
      NETWORKDAYS(J47,TODAY(),fESTIVOS!$A$2:$A$53),
      NETWORKDAYS(J47,L47,fESTIVOS!$A$2:$A$53)
   )
)</f>
        <v>55</v>
      </c>
      <c r="N47" s="63"/>
      <c r="O47" s="82"/>
      <c r="P47" s="101"/>
      <c r="Q47" s="34" t="s">
        <v>469</v>
      </c>
      <c r="R47" s="31" t="s">
        <v>78</v>
      </c>
      <c r="S47" s="139"/>
      <c r="T47" s="139"/>
      <c r="U47" s="103"/>
      <c r="V47" s="104"/>
      <c r="W47" s="104"/>
      <c r="X47" s="104"/>
      <c r="Y47" s="104"/>
      <c r="Z47" s="104"/>
      <c r="AA47" s="104"/>
      <c r="AB47" s="104"/>
      <c r="AC47" s="104"/>
      <c r="AD47" s="104"/>
      <c r="AE47" s="104"/>
      <c r="AF47" s="104"/>
      <c r="AG47" s="104"/>
      <c r="AH47" s="104"/>
      <c r="AI47" s="104"/>
      <c r="AJ47" s="104"/>
      <c r="AK47" s="104"/>
      <c r="AL47" s="104"/>
      <c r="AM47" s="104"/>
      <c r="AN47" s="104"/>
      <c r="AO47" s="104"/>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spans="1:67" ht="29.25" hidden="1" customHeight="1">
      <c r="A48" s="56" t="s">
        <v>128</v>
      </c>
      <c r="B48" s="17" t="s">
        <v>475</v>
      </c>
      <c r="C48" s="107" t="s">
        <v>476</v>
      </c>
      <c r="D48" s="115" t="s">
        <v>476</v>
      </c>
      <c r="E48" s="144"/>
      <c r="F48" s="65" t="s">
        <v>76</v>
      </c>
      <c r="G48" s="59">
        <v>100</v>
      </c>
      <c r="H48" s="22">
        <f>IF(OR(J48="",K48="",K48&lt;J48),0,NETWORKDAYS(J48,K48,fESTIVOS!$A$2:$A$53))</f>
        <v>0</v>
      </c>
      <c r="I48" s="82">
        <v>45825</v>
      </c>
      <c r="J48" s="61">
        <v>45832</v>
      </c>
      <c r="K48" s="61"/>
      <c r="L48" s="61">
        <v>45833</v>
      </c>
      <c r="M48" s="27">
        <f ca="1">IF(OR(J48="",AND(L48="",TODAY()&lt;J48),AND(L48&lt;&gt;"",L48&lt;J48)),0,
   IF(L48="",
      NETWORKDAYS(J48,TODAY(),fESTIVOS!$A$2:$A$53),
      NETWORKDAYS(J48,L48,fESTIVOS!$A$2:$A$53)
   )
)</f>
        <v>2</v>
      </c>
      <c r="N48" s="63"/>
      <c r="O48" s="82"/>
      <c r="P48" s="101"/>
      <c r="Q48" s="34" t="s">
        <v>477</v>
      </c>
      <c r="R48" s="31" t="s">
        <v>78</v>
      </c>
      <c r="S48" s="139"/>
      <c r="T48" s="139"/>
      <c r="U48" s="103"/>
      <c r="V48" s="104"/>
      <c r="W48" s="104"/>
      <c r="X48" s="104"/>
      <c r="Y48" s="104"/>
      <c r="Z48" s="104"/>
      <c r="AA48" s="104"/>
      <c r="AB48" s="104"/>
      <c r="AC48" s="104"/>
      <c r="AD48" s="104"/>
      <c r="AE48" s="104"/>
      <c r="AF48" s="104"/>
      <c r="AG48" s="104"/>
      <c r="AH48" s="104"/>
      <c r="AI48" s="104"/>
      <c r="AJ48" s="104"/>
      <c r="AK48" s="104"/>
      <c r="AL48" s="104"/>
      <c r="AM48" s="104"/>
      <c r="AN48" s="104"/>
      <c r="AO48" s="104"/>
      <c r="AP48" s="104"/>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spans="1:67" ht="29.25" hidden="1" customHeight="1">
      <c r="A49" s="123" t="s">
        <v>210</v>
      </c>
      <c r="B49" s="17" t="s">
        <v>481</v>
      </c>
      <c r="C49" s="107" t="s">
        <v>482</v>
      </c>
      <c r="D49" s="143"/>
      <c r="E49" s="144"/>
      <c r="F49" s="65" t="s">
        <v>76</v>
      </c>
      <c r="G49" s="59">
        <v>100</v>
      </c>
      <c r="H49" s="22">
        <f>IF(OR(J49="",K49="",K49&lt;J49),0,NETWORKDAYS(J49,K49,fESTIVOS!$A$2:$A$53))</f>
        <v>0</v>
      </c>
      <c r="I49" s="82">
        <v>45826</v>
      </c>
      <c r="J49" s="61">
        <v>45888</v>
      </c>
      <c r="K49" s="61"/>
      <c r="L49" s="61">
        <v>45888</v>
      </c>
      <c r="M49" s="27">
        <f ca="1">IF(OR(J49="",AND(L49="",TODAY()&lt;J49),AND(L49&lt;&gt;"",L49&lt;J49)),0,
   IF(L49="",
      NETWORKDAYS(J49,TODAY(),fESTIVOS!$A$2:$A$53),
      NETWORKDAYS(J49,L49,fESTIVOS!$A$2:$A$53)
   )
)</f>
        <v>1</v>
      </c>
      <c r="N49" s="63"/>
      <c r="O49" s="82"/>
      <c r="P49" s="101"/>
      <c r="Q49" s="34" t="s">
        <v>483</v>
      </c>
      <c r="R49" s="31" t="s">
        <v>78</v>
      </c>
      <c r="S49" s="139"/>
      <c r="T49" s="139"/>
      <c r="U49" s="103"/>
      <c r="V49" s="104"/>
      <c r="W49" s="104"/>
      <c r="X49" s="104"/>
      <c r="Y49" s="104"/>
      <c r="Z49" s="104"/>
      <c r="AA49" s="104"/>
      <c r="AB49" s="104"/>
      <c r="AC49" s="104"/>
      <c r="AD49" s="104"/>
      <c r="AE49" s="104"/>
      <c r="AF49" s="104"/>
      <c r="AG49" s="104"/>
      <c r="AH49" s="104"/>
      <c r="AI49" s="104"/>
      <c r="AJ49" s="104"/>
      <c r="AK49" s="104"/>
      <c r="AL49" s="104"/>
      <c r="AM49" s="104"/>
      <c r="AN49" s="104"/>
      <c r="AO49" s="104"/>
      <c r="AP49" s="104"/>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spans="1:67" ht="29.25" hidden="1" customHeight="1">
      <c r="A50" s="123" t="s">
        <v>210</v>
      </c>
      <c r="B50" s="17" t="s">
        <v>404</v>
      </c>
      <c r="C50" s="107" t="s">
        <v>485</v>
      </c>
      <c r="D50" s="96"/>
      <c r="E50" s="97"/>
      <c r="F50" s="122" t="s">
        <v>76</v>
      </c>
      <c r="G50" s="98">
        <v>100</v>
      </c>
      <c r="H50" s="22">
        <f>IF(OR(J50="",K50="",K50&lt;J50),0,NETWORKDAYS(J50,K50,fESTIVOS!$A$2:$A$53))</f>
        <v>0</v>
      </c>
      <c r="I50" s="99">
        <v>45827</v>
      </c>
      <c r="J50" s="100">
        <v>45827</v>
      </c>
      <c r="K50" s="100"/>
      <c r="L50" s="100">
        <v>45827</v>
      </c>
      <c r="M50" s="27">
        <f ca="1">IF(OR(J50="",AND(L50="",TODAY()&lt;J50),AND(L50&lt;&gt;"",L50&lt;J50)),0,
   IF(L50="",
      NETWORKDAYS(J50,TODAY(),fESTIVOS!$A$2:$A$53),
      NETWORKDAYS(J50,L50,fESTIVOS!$A$2:$A$53)
   )
)</f>
        <v>1</v>
      </c>
      <c r="N50" s="101"/>
      <c r="O50" s="99"/>
      <c r="P50" s="101"/>
      <c r="Q50" s="104"/>
      <c r="R50" s="31" t="s">
        <v>78</v>
      </c>
      <c r="S50" s="102"/>
      <c r="T50" s="102"/>
      <c r="U50" s="103"/>
      <c r="V50" s="104"/>
      <c r="W50" s="104"/>
      <c r="X50" s="104"/>
      <c r="Y50" s="104"/>
      <c r="Z50" s="104"/>
      <c r="AA50" s="104"/>
      <c r="AB50" s="104"/>
      <c r="AC50" s="104"/>
      <c r="AD50" s="104"/>
      <c r="AE50" s="104"/>
      <c r="AF50" s="104"/>
      <c r="AG50" s="104"/>
      <c r="AH50" s="104"/>
      <c r="AI50" s="104"/>
      <c r="AJ50" s="104"/>
      <c r="AK50" s="104"/>
      <c r="AL50" s="104"/>
      <c r="AM50" s="104"/>
      <c r="AN50" s="104"/>
      <c r="AO50" s="104"/>
      <c r="AP50" s="104"/>
      <c r="AQ50" s="104"/>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spans="1:67" ht="29.25" hidden="1" customHeight="1">
      <c r="A51" s="123" t="s">
        <v>210</v>
      </c>
      <c r="B51" s="106" t="s">
        <v>487</v>
      </c>
      <c r="C51" s="107" t="s">
        <v>488</v>
      </c>
      <c r="D51" s="96"/>
      <c r="E51" s="97"/>
      <c r="F51" s="122" t="s">
        <v>76</v>
      </c>
      <c r="G51" s="98">
        <v>100</v>
      </c>
      <c r="H51" s="22">
        <f>IF(OR(J51="",K51="",K51&lt;J51),0,NETWORKDAYS(J51,K51,fESTIVOS!$A$2:$A$53))</f>
        <v>0</v>
      </c>
      <c r="I51" s="99">
        <v>45821</v>
      </c>
      <c r="J51" s="100">
        <v>45827</v>
      </c>
      <c r="K51" s="100"/>
      <c r="L51" s="100">
        <v>45827</v>
      </c>
      <c r="M51" s="27">
        <f ca="1">IF(OR(J51="",AND(L51="",TODAY()&lt;J51),AND(L51&lt;&gt;"",L51&lt;J51)),0,
   IF(L51="",
      NETWORKDAYS(J51,TODAY(),fESTIVOS!$A$2:$A$53),
      NETWORKDAYS(J51,L51,fESTIVOS!$A$2:$A$53)
   )
)</f>
        <v>1</v>
      </c>
      <c r="N51" s="101"/>
      <c r="O51" s="99"/>
      <c r="P51" s="101"/>
      <c r="Q51" s="104"/>
      <c r="R51" s="31" t="s">
        <v>78</v>
      </c>
      <c r="S51" s="102"/>
      <c r="T51" s="102"/>
      <c r="U51" s="103"/>
      <c r="V51" s="104"/>
      <c r="W51" s="104"/>
      <c r="X51" s="104"/>
      <c r="Y51" s="104"/>
      <c r="Z51" s="104"/>
      <c r="AA51" s="104"/>
      <c r="AB51" s="104"/>
      <c r="AC51" s="104"/>
      <c r="AD51" s="104"/>
      <c r="AE51" s="104"/>
      <c r="AF51" s="104"/>
      <c r="AG51" s="104"/>
      <c r="AH51" s="104"/>
      <c r="AI51" s="104"/>
      <c r="AJ51" s="104"/>
      <c r="AK51" s="104"/>
      <c r="AL51" s="104"/>
      <c r="AM51" s="104"/>
      <c r="AN51" s="104"/>
      <c r="AO51" s="104"/>
      <c r="AP51" s="104"/>
      <c r="AQ51" s="104"/>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hidden="1" customHeight="1">
      <c r="A52" s="123" t="s">
        <v>210</v>
      </c>
      <c r="B52" s="106" t="s">
        <v>490</v>
      </c>
      <c r="C52" s="107" t="s">
        <v>491</v>
      </c>
      <c r="D52" s="150" t="s">
        <v>492</v>
      </c>
      <c r="E52" s="97"/>
      <c r="F52" s="20" t="s">
        <v>76</v>
      </c>
      <c r="G52" s="98">
        <v>100</v>
      </c>
      <c r="H52" s="22">
        <f>IF(OR(J52="",K52="",K52&lt;J52),0,NETWORKDAYS(J52,K52,fESTIVOS!$A$2:$A$53))</f>
        <v>0</v>
      </c>
      <c r="I52" s="99">
        <v>45820</v>
      </c>
      <c r="J52" s="100">
        <v>45820</v>
      </c>
      <c r="K52" s="100"/>
      <c r="L52" s="100">
        <v>45933</v>
      </c>
      <c r="M52" s="27">
        <f ca="1">IF(OR(J52="",AND(L52="",TODAY()&lt;J52),AND(L52&lt;&gt;"",L52&lt;J52)),0,
   IF(L52="",
      NETWORKDAYS(J52,TODAY(),fESTIVOS!$A$2:$A$53),
      NETWORKDAYS(J52,L52,fESTIVOS!$A$2:$A$53)
   )
)</f>
        <v>78</v>
      </c>
      <c r="N52" s="101"/>
      <c r="O52" s="99"/>
      <c r="P52" s="101"/>
      <c r="Q52" s="34" t="s">
        <v>493</v>
      </c>
      <c r="R52" s="31" t="s">
        <v>78</v>
      </c>
      <c r="S52" s="102"/>
      <c r="T52" s="102"/>
      <c r="U52" s="103"/>
      <c r="V52" s="104"/>
      <c r="W52" s="104"/>
      <c r="X52" s="104"/>
      <c r="Y52" s="104"/>
      <c r="Z52" s="104"/>
      <c r="AA52" s="104"/>
      <c r="AB52" s="104"/>
      <c r="AC52" s="104"/>
      <c r="AD52" s="104"/>
      <c r="AE52" s="104"/>
      <c r="AF52" s="104"/>
      <c r="AG52" s="104"/>
      <c r="AH52" s="104"/>
      <c r="AI52" s="104"/>
      <c r="AJ52" s="104"/>
      <c r="AK52" s="104"/>
      <c r="AL52" s="104"/>
      <c r="AM52" s="104"/>
      <c r="AN52" s="104"/>
      <c r="AO52" s="104"/>
      <c r="AP52" s="104"/>
      <c r="AQ52" s="104"/>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spans="1:67" ht="29.25" hidden="1" customHeight="1">
      <c r="A53" s="123" t="s">
        <v>210</v>
      </c>
      <c r="B53" s="106" t="s">
        <v>498</v>
      </c>
      <c r="C53" s="151" t="s">
        <v>499</v>
      </c>
      <c r="D53" s="150" t="s">
        <v>500</v>
      </c>
      <c r="E53" s="97"/>
      <c r="F53" s="20" t="s">
        <v>501</v>
      </c>
      <c r="G53" s="98">
        <v>90</v>
      </c>
      <c r="H53" s="22">
        <f>IF(OR(J53="",K53="",K53&lt;J53),0,NETWORKDAYS(J53,K53,fESTIVOS!$A$2:$A$53))</f>
        <v>0</v>
      </c>
      <c r="I53" s="99">
        <v>45953</v>
      </c>
      <c r="J53" s="100">
        <v>46048</v>
      </c>
      <c r="K53" s="100"/>
      <c r="L53" s="100"/>
      <c r="M53" s="27">
        <f ca="1">IF(OR(J53="",AND(L53="",TODAY()&lt;J53),AND(L53&lt;&gt;"",L53&lt;J53)),0,
   IF(L53="",
      NETWORKDAYS(J53,TODAY(),fESTIVOS!$A$2:$A$53),
      NETWORKDAYS(J53,L53,fESTIVOS!$A$2:$A$53)
   )
)</f>
        <v>3</v>
      </c>
      <c r="N53" s="101"/>
      <c r="O53" s="99"/>
      <c r="P53" s="101"/>
      <c r="Q53" s="34" t="s">
        <v>502</v>
      </c>
      <c r="R53" s="31" t="s">
        <v>78</v>
      </c>
      <c r="S53" s="102"/>
      <c r="T53" s="102"/>
      <c r="U53" s="103"/>
      <c r="V53" s="104"/>
      <c r="W53" s="104"/>
      <c r="X53" s="104"/>
      <c r="Y53" s="104"/>
      <c r="Z53" s="104"/>
      <c r="AA53" s="104"/>
      <c r="AB53" s="104"/>
      <c r="AC53" s="104"/>
      <c r="AD53" s="104"/>
      <c r="AE53" s="104"/>
      <c r="AF53" s="104"/>
      <c r="AG53" s="104"/>
      <c r="AH53" s="104"/>
      <c r="AI53" s="104"/>
      <c r="AJ53" s="104"/>
      <c r="AK53" s="104"/>
      <c r="AL53" s="104"/>
      <c r="AM53" s="104"/>
      <c r="AN53" s="104"/>
      <c r="AO53" s="104"/>
      <c r="AP53" s="104"/>
      <c r="AQ53" s="104"/>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spans="1:67" ht="29.25" hidden="1" customHeight="1">
      <c r="A54" s="123" t="s">
        <v>210</v>
      </c>
      <c r="B54" s="106" t="s">
        <v>503</v>
      </c>
      <c r="C54" s="107" t="s">
        <v>504</v>
      </c>
      <c r="D54" s="152"/>
      <c r="E54" s="148" t="s">
        <v>501</v>
      </c>
      <c r="F54" s="122" t="s">
        <v>76</v>
      </c>
      <c r="G54" s="98">
        <v>100</v>
      </c>
      <c r="H54" s="22">
        <f>IF(OR(J54="",K54="",K54&lt;J54),0,NETWORKDAYS(J54,K54,fESTIVOS!$A$2:$A$53))</f>
        <v>0</v>
      </c>
      <c r="I54" s="99">
        <v>45828</v>
      </c>
      <c r="J54" s="100">
        <v>45832</v>
      </c>
      <c r="K54" s="100"/>
      <c r="L54" s="100">
        <v>45832</v>
      </c>
      <c r="M54" s="27">
        <f ca="1">IF(OR(J54="",AND(L54="",TODAY()&lt;J54),AND(L54&lt;&gt;"",L54&lt;J54)),0,
   IF(L54="",
      NETWORKDAYS(J54,TODAY(),fESTIVOS!$A$2:$A$53),
      NETWORKDAYS(J54,L54,fESTIVOS!$A$2:$A$53)
   )
)</f>
        <v>1</v>
      </c>
      <c r="N54" s="101"/>
      <c r="O54" s="99"/>
      <c r="P54" s="101"/>
      <c r="Q54" s="104"/>
      <c r="R54" s="31" t="s">
        <v>78</v>
      </c>
      <c r="S54" s="102"/>
      <c r="T54" s="102"/>
      <c r="U54" s="103"/>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spans="1:67" ht="29.25" hidden="1" customHeight="1">
      <c r="A55" s="123" t="s">
        <v>210</v>
      </c>
      <c r="B55" s="106" t="s">
        <v>506</v>
      </c>
      <c r="C55" s="107" t="s">
        <v>507</v>
      </c>
      <c r="D55" s="96"/>
      <c r="E55" s="97"/>
      <c r="F55" s="122" t="s">
        <v>76</v>
      </c>
      <c r="G55" s="98">
        <v>100</v>
      </c>
      <c r="H55" s="22">
        <f>IF(OR(J55="",K55="",K55&lt;J55),0,NETWORKDAYS(J55,K55,fESTIVOS!$A$2:$A$53))</f>
        <v>0</v>
      </c>
      <c r="I55" s="99">
        <v>45832</v>
      </c>
      <c r="J55" s="100">
        <v>45832</v>
      </c>
      <c r="K55" s="100"/>
      <c r="L55" s="100">
        <v>45833</v>
      </c>
      <c r="M55" s="27">
        <f ca="1">IF(OR(J55="",AND(L55="",TODAY()&lt;J55),AND(L55&lt;&gt;"",L55&lt;J55)),0,
   IF(L55="",
      NETWORKDAYS(J55,TODAY(),fESTIVOS!$A$2:$A$53),
      NETWORKDAYS(J55,L55,fESTIVOS!$A$2:$A$53)
   )
)</f>
        <v>2</v>
      </c>
      <c r="N55" s="101"/>
      <c r="O55" s="99"/>
      <c r="P55" s="101"/>
      <c r="Q55" s="104"/>
      <c r="R55" s="31" t="s">
        <v>78</v>
      </c>
      <c r="S55" s="102"/>
      <c r="T55" s="102"/>
      <c r="U55" s="103"/>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spans="1:67" ht="29.25" hidden="1" customHeight="1">
      <c r="A56" s="56" t="s">
        <v>157</v>
      </c>
      <c r="B56" s="17" t="s">
        <v>509</v>
      </c>
      <c r="C56" s="107" t="s">
        <v>510</v>
      </c>
      <c r="D56" s="96"/>
      <c r="E56" s="97"/>
      <c r="F56" s="122" t="s">
        <v>76</v>
      </c>
      <c r="G56" s="98">
        <v>100</v>
      </c>
      <c r="H56" s="22">
        <f>IF(OR(J56="",K56="",K56&lt;J56),0,NETWORKDAYS(J56,K56,fESTIVOS!$A$2:$A$53))</f>
        <v>0</v>
      </c>
      <c r="I56" s="99">
        <v>45833</v>
      </c>
      <c r="J56" s="100">
        <v>45833</v>
      </c>
      <c r="K56" s="100"/>
      <c r="L56" s="100">
        <v>45833</v>
      </c>
      <c r="M56" s="27">
        <f ca="1">IF(OR(J56="",AND(L56="",TODAY()&lt;J56),AND(L56&lt;&gt;"",L56&lt;J56)),0,
   IF(L56="",
      NETWORKDAYS(J56,TODAY(),fESTIVOS!$A$2:$A$53),
      NETWORKDAYS(J56,L56,fESTIVOS!$A$2:$A$53)
   )
)</f>
        <v>1</v>
      </c>
      <c r="N56" s="101"/>
      <c r="O56" s="99"/>
      <c r="P56" s="101"/>
      <c r="Q56" s="104"/>
      <c r="R56" s="31" t="s">
        <v>78</v>
      </c>
      <c r="S56" s="102"/>
      <c r="T56" s="102"/>
      <c r="U56" s="103"/>
      <c r="V56" s="104"/>
      <c r="W56" s="104"/>
      <c r="X56" s="104"/>
      <c r="Y56" s="104"/>
      <c r="Z56" s="104"/>
      <c r="AA56" s="104"/>
      <c r="AB56" s="104"/>
      <c r="AC56" s="104"/>
      <c r="AD56" s="104"/>
      <c r="AE56" s="104"/>
      <c r="AF56" s="104"/>
      <c r="AG56" s="104"/>
      <c r="AH56" s="104"/>
      <c r="AI56" s="104"/>
      <c r="AJ56" s="104"/>
      <c r="AK56" s="104"/>
      <c r="AL56" s="104"/>
      <c r="AM56" s="104"/>
      <c r="AN56" s="104"/>
      <c r="AO56" s="104"/>
      <c r="AP56" s="104"/>
      <c r="AQ56" s="104"/>
      <c r="AR56" s="104"/>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spans="1:67" ht="29.25" hidden="1" customHeight="1">
      <c r="A57" s="56" t="s">
        <v>157</v>
      </c>
      <c r="B57" s="17" t="s">
        <v>512</v>
      </c>
      <c r="C57" s="107" t="s">
        <v>513</v>
      </c>
      <c r="D57" s="150"/>
      <c r="E57" s="97"/>
      <c r="F57" s="122" t="s">
        <v>76</v>
      </c>
      <c r="G57" s="98">
        <v>100</v>
      </c>
      <c r="H57" s="22">
        <f>IF(OR(J57="",K57="",K57&lt;J57),0,NETWORKDAYS(J57,K57,fESTIVOS!$A$2:$A$53))</f>
        <v>0</v>
      </c>
      <c r="I57" s="99">
        <v>45833</v>
      </c>
      <c r="J57" s="100">
        <v>45833</v>
      </c>
      <c r="K57" s="100"/>
      <c r="L57" s="100">
        <v>45833</v>
      </c>
      <c r="M57" s="27">
        <f ca="1">IF(OR(J57="",AND(L57="",TODAY()&lt;J57),AND(L57&lt;&gt;"",L57&lt;J57)),0,
   IF(L57="",
      NETWORKDAYS(J57,TODAY(),fESTIVOS!$A$2:$A$53),
      NETWORKDAYS(J57,L57,fESTIVOS!$A$2:$A$53)
   )
)</f>
        <v>1</v>
      </c>
      <c r="N57" s="101"/>
      <c r="O57" s="99"/>
      <c r="P57" s="101"/>
      <c r="Q57" s="104"/>
      <c r="R57" s="31" t="s">
        <v>78</v>
      </c>
      <c r="S57" s="102"/>
      <c r="T57" s="102"/>
      <c r="U57" s="103"/>
      <c r="V57" s="104"/>
      <c r="W57" s="104"/>
      <c r="X57" s="104"/>
      <c r="Y57" s="104"/>
      <c r="Z57" s="104"/>
      <c r="AA57" s="104"/>
      <c r="AB57" s="104"/>
      <c r="AC57" s="104"/>
      <c r="AD57" s="104"/>
      <c r="AE57" s="104"/>
      <c r="AF57" s="104"/>
      <c r="AG57" s="104"/>
      <c r="AH57" s="104"/>
      <c r="AI57" s="104"/>
      <c r="AJ57" s="104"/>
      <c r="AK57" s="104"/>
      <c r="AL57" s="104"/>
      <c r="AM57" s="104"/>
      <c r="AN57" s="104"/>
      <c r="AO57" s="104"/>
      <c r="AP57" s="104"/>
      <c r="AQ57" s="104"/>
      <c r="AR57" s="104"/>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hidden="1" customHeight="1">
      <c r="A58" s="123" t="s">
        <v>210</v>
      </c>
      <c r="B58" s="106" t="s">
        <v>515</v>
      </c>
      <c r="C58" s="151" t="s">
        <v>516</v>
      </c>
      <c r="D58" s="153"/>
      <c r="E58" s="97"/>
      <c r="F58" s="122" t="s">
        <v>76</v>
      </c>
      <c r="G58" s="98">
        <v>100</v>
      </c>
      <c r="H58" s="22">
        <f>IF(OR(J58="",K58="",K58&lt;J58),0,NETWORKDAYS(J58,K58,fESTIVOS!$A$2:$A$53))</f>
        <v>2</v>
      </c>
      <c r="I58" s="99">
        <v>46036</v>
      </c>
      <c r="J58" s="100">
        <v>46037</v>
      </c>
      <c r="K58" s="100">
        <v>46038</v>
      </c>
      <c r="L58" s="100">
        <v>46038</v>
      </c>
      <c r="M58" s="27">
        <f ca="1">IF(OR(J58="",AND(L58="",TODAY()&lt;J58),AND(L58&lt;&gt;"",L58&lt;J58)),0,
   IF(L58="",
      NETWORKDAYS(J58,TODAY(),fESTIVOS!$A$2:$A$53),
      NETWORKDAYS(J58,L58,fESTIVOS!$A$2:$A$53)
   )
)</f>
        <v>2</v>
      </c>
      <c r="N58" s="101"/>
      <c r="O58" s="99"/>
      <c r="P58" s="101"/>
      <c r="Q58" s="34" t="s">
        <v>517</v>
      </c>
      <c r="R58" s="31" t="s">
        <v>78</v>
      </c>
      <c r="S58" s="102"/>
      <c r="T58" s="102"/>
      <c r="U58" s="103"/>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hidden="1" customHeight="1">
      <c r="A59" s="123" t="s">
        <v>210</v>
      </c>
      <c r="B59" s="106" t="s">
        <v>518</v>
      </c>
      <c r="C59" s="107" t="s">
        <v>519</v>
      </c>
      <c r="D59" s="154" t="s">
        <v>520</v>
      </c>
      <c r="E59" s="97"/>
      <c r="F59" s="122" t="s">
        <v>232</v>
      </c>
      <c r="G59" s="98"/>
      <c r="H59" s="22">
        <f>IF(OR(J59="",K59="",K59&lt;J59),0,NETWORKDAYS(J59,K59,fESTIVOS!$A$2:$A$53))</f>
        <v>0</v>
      </c>
      <c r="I59" s="99">
        <v>45840</v>
      </c>
      <c r="J59" s="100"/>
      <c r="K59" s="100"/>
      <c r="L59" s="100"/>
      <c r="M59" s="27">
        <f ca="1">IF(OR(J59="",AND(L59="",TODAY()&lt;J59),AND(L59&lt;&gt;"",L59&lt;J59)),0,
   IF(L59="",
      NETWORKDAYS(J59,TODAY(),fESTIVOS!$A$2:$A$53),
      NETWORKDAYS(J59,L59,fESTIVOS!$A$2:$A$53)
   )
)</f>
        <v>0</v>
      </c>
      <c r="N59" s="101"/>
      <c r="O59" s="99"/>
      <c r="P59" s="101"/>
      <c r="Q59" s="104"/>
      <c r="R59" s="113" t="s">
        <v>93</v>
      </c>
      <c r="S59" s="102"/>
      <c r="T59" s="102"/>
      <c r="U59" s="103"/>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hidden="1" customHeight="1">
      <c r="A60" s="123" t="s">
        <v>210</v>
      </c>
      <c r="B60" s="17" t="s">
        <v>405</v>
      </c>
      <c r="C60" s="107" t="s">
        <v>521</v>
      </c>
      <c r="D60" s="96"/>
      <c r="E60" s="97"/>
      <c r="F60" s="122" t="s">
        <v>76</v>
      </c>
      <c r="G60" s="98">
        <v>100</v>
      </c>
      <c r="H60" s="22">
        <f>IF(OR(J60="",K60="",K60&lt;J60),0,NETWORKDAYS(J60,K60,fESTIVOS!$A$2:$A$53))</f>
        <v>0</v>
      </c>
      <c r="I60" s="99">
        <v>45834</v>
      </c>
      <c r="J60" s="100">
        <v>45834</v>
      </c>
      <c r="K60" s="100"/>
      <c r="L60" s="100">
        <v>45841</v>
      </c>
      <c r="M60" s="27">
        <f ca="1">IF(OR(J60="",AND(L60="",TODAY()&lt;J60),AND(L60&lt;&gt;"",L60&lt;J60)),0,
   IF(L60="",
      NETWORKDAYS(J60,TODAY(),fESTIVOS!$A$2:$A$53),
      NETWORKDAYS(J60,L60,fESTIVOS!$A$2:$A$53)
   )
)</f>
        <v>5</v>
      </c>
      <c r="N60" s="101"/>
      <c r="O60" s="99"/>
      <c r="P60" s="101"/>
      <c r="Q60" s="104"/>
      <c r="R60" s="31" t="s">
        <v>78</v>
      </c>
      <c r="S60" s="102"/>
      <c r="T60" s="102"/>
      <c r="U60" s="103"/>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34" t="s">
        <v>522</v>
      </c>
      <c r="AU60" s="37"/>
      <c r="AV60" s="37" t="s">
        <v>523</v>
      </c>
      <c r="AW60" s="37" t="s">
        <v>415</v>
      </c>
      <c r="AX60" s="37" t="s">
        <v>524</v>
      </c>
      <c r="AY60" s="37"/>
      <c r="AZ60" s="37"/>
      <c r="BA60" s="37"/>
      <c r="BB60" s="37"/>
      <c r="BC60" s="37"/>
      <c r="BD60" s="37"/>
      <c r="BE60" s="37"/>
      <c r="BF60" s="37"/>
      <c r="BG60" s="37"/>
      <c r="BH60" s="37"/>
      <c r="BI60" s="37"/>
      <c r="BJ60" s="37"/>
      <c r="BK60" s="37"/>
      <c r="BL60" s="37"/>
      <c r="BM60" s="37"/>
      <c r="BN60" s="37"/>
      <c r="BO60" s="37"/>
    </row>
    <row r="61" spans="1:67" ht="29.25" hidden="1" customHeight="1">
      <c r="A61" s="56" t="s">
        <v>157</v>
      </c>
      <c r="B61" s="17" t="s">
        <v>525</v>
      </c>
      <c r="C61" s="107" t="s">
        <v>526</v>
      </c>
      <c r="D61" s="150"/>
      <c r="E61" s="97"/>
      <c r="F61" s="122" t="s">
        <v>76</v>
      </c>
      <c r="G61" s="98">
        <v>100</v>
      </c>
      <c r="H61" s="22">
        <f>IF(OR(J61="",K61="",K61&lt;J61),0,NETWORKDAYS(J61,K61,fESTIVOS!$A$2:$A$53))</f>
        <v>0</v>
      </c>
      <c r="I61" s="99">
        <v>45841</v>
      </c>
      <c r="J61" s="100">
        <v>45841</v>
      </c>
      <c r="K61" s="100"/>
      <c r="L61" s="100">
        <v>45841</v>
      </c>
      <c r="M61" s="27">
        <f ca="1">IF(OR(J61="",AND(L61="",TODAY()&lt;J61),AND(L61&lt;&gt;"",L61&lt;J61)),0,
   IF(L61="",
      NETWORKDAYS(J61,TODAY(),fESTIVOS!$A$2:$A$53),
      NETWORKDAYS(J61,L61,fESTIVOS!$A$2:$A$53)
   )
)</f>
        <v>1</v>
      </c>
      <c r="N61" s="101"/>
      <c r="O61" s="99"/>
      <c r="P61" s="101"/>
      <c r="Q61" s="104"/>
      <c r="R61" s="31" t="s">
        <v>78</v>
      </c>
      <c r="S61" s="102"/>
      <c r="T61" s="102"/>
      <c r="U61" s="103"/>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37" t="s">
        <v>527</v>
      </c>
      <c r="AY61" s="37"/>
      <c r="AZ61" s="37"/>
      <c r="BA61" s="37"/>
      <c r="BB61" s="37"/>
      <c r="BC61" s="37"/>
      <c r="BD61" s="37"/>
      <c r="BE61" s="37"/>
      <c r="BF61" s="37"/>
      <c r="BG61" s="37"/>
      <c r="BH61" s="37"/>
      <c r="BI61" s="37"/>
      <c r="BJ61" s="37"/>
      <c r="BK61" s="37"/>
      <c r="BL61" s="37"/>
      <c r="BM61" s="37"/>
      <c r="BN61" s="37"/>
      <c r="BO61" s="37"/>
    </row>
    <row r="62" spans="1:67" ht="29.25" hidden="1" customHeight="1">
      <c r="A62" s="56" t="s">
        <v>157</v>
      </c>
      <c r="B62" s="17" t="s">
        <v>528</v>
      </c>
      <c r="C62" s="107" t="s">
        <v>529</v>
      </c>
      <c r="D62" s="96"/>
      <c r="E62" s="97"/>
      <c r="F62" s="122" t="s">
        <v>76</v>
      </c>
      <c r="G62" s="98">
        <v>100</v>
      </c>
      <c r="H62" s="22">
        <f>IF(OR(J62="",K62="",K62&lt;J62),0,NETWORKDAYS(J62,K62,fESTIVOS!$A$2:$A$53))</f>
        <v>0</v>
      </c>
      <c r="I62" s="99">
        <v>45845</v>
      </c>
      <c r="J62" s="100">
        <v>45845</v>
      </c>
      <c r="K62" s="100"/>
      <c r="L62" s="100">
        <v>45845</v>
      </c>
      <c r="M62" s="27">
        <f ca="1">IF(OR(J62="",AND(L62="",TODAY()&lt;J62),AND(L62&lt;&gt;"",L62&lt;J62)),0,
   IF(L62="",
      NETWORKDAYS(J62,TODAY(),fESTIVOS!$A$2:$A$53),
      NETWORKDAYS(J62,L62,fESTIVOS!$A$2:$A$53)
   )
)</f>
        <v>1</v>
      </c>
      <c r="N62" s="101"/>
      <c r="O62" s="99"/>
      <c r="P62" s="101"/>
      <c r="Q62" s="104"/>
      <c r="R62" s="31" t="s">
        <v>78</v>
      </c>
      <c r="S62" s="102"/>
      <c r="T62" s="102"/>
      <c r="U62" s="103"/>
      <c r="V62" s="104"/>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5"/>
      <c r="AY62" s="37" t="s">
        <v>530</v>
      </c>
      <c r="AZ62" s="37"/>
      <c r="BA62" s="37"/>
      <c r="BB62" s="37"/>
      <c r="BC62" s="37"/>
      <c r="BD62" s="37"/>
      <c r="BE62" s="37"/>
      <c r="BF62" s="37"/>
      <c r="BG62" s="37"/>
      <c r="BH62" s="37"/>
      <c r="BI62" s="37"/>
      <c r="BJ62" s="37"/>
      <c r="BK62" s="37"/>
      <c r="BL62" s="37"/>
      <c r="BM62" s="37"/>
      <c r="BN62" s="37"/>
      <c r="BO62" s="37"/>
    </row>
    <row r="63" spans="1:67" ht="29.25" hidden="1" customHeight="1">
      <c r="A63" s="56" t="s">
        <v>157</v>
      </c>
      <c r="B63" s="17" t="s">
        <v>531</v>
      </c>
      <c r="C63" s="107" t="s">
        <v>532</v>
      </c>
      <c r="D63" s="96"/>
      <c r="E63" s="97"/>
      <c r="F63" s="122" t="s">
        <v>76</v>
      </c>
      <c r="G63" s="98">
        <v>100</v>
      </c>
      <c r="H63" s="22">
        <f>IF(OR(J63="",K63="",K63&lt;J63),0,NETWORKDAYS(J63,K63,fESTIVOS!$A$2:$A$53))</f>
        <v>0</v>
      </c>
      <c r="I63" s="99">
        <v>45842</v>
      </c>
      <c r="J63" s="100">
        <v>45842</v>
      </c>
      <c r="K63" s="100"/>
      <c r="L63" s="100">
        <v>45845</v>
      </c>
      <c r="M63" s="27">
        <f ca="1">IF(OR(J63="",AND(L63="",TODAY()&lt;J63),AND(L63&lt;&gt;"",L63&lt;J63)),0,
   IF(L63="",
      NETWORKDAYS(J63,TODAY(),fESTIVOS!$A$2:$A$53),
      NETWORKDAYS(J63,L63,fESTIVOS!$A$2:$A$53)
   )
)</f>
        <v>2</v>
      </c>
      <c r="N63" s="101"/>
      <c r="O63" s="99"/>
      <c r="P63" s="101"/>
      <c r="Q63" s="104"/>
      <c r="R63" s="31" t="s">
        <v>78</v>
      </c>
      <c r="S63" s="102"/>
      <c r="T63" s="102"/>
      <c r="U63" s="103"/>
      <c r="V63" s="104"/>
      <c r="W63" s="104"/>
      <c r="X63" s="104"/>
      <c r="Y63" s="104"/>
      <c r="Z63" s="104"/>
      <c r="AA63" s="104"/>
      <c r="AB63" s="104"/>
      <c r="AC63" s="104"/>
      <c r="AD63" s="104"/>
      <c r="AE63" s="104"/>
      <c r="AF63" s="104"/>
      <c r="AG63" s="104"/>
      <c r="AH63" s="104"/>
      <c r="AI63" s="104"/>
      <c r="AJ63" s="104"/>
      <c r="AK63" s="104"/>
      <c r="AL63" s="104"/>
      <c r="AM63" s="104"/>
      <c r="AN63" s="104"/>
      <c r="AO63" s="104"/>
      <c r="AP63" s="104"/>
      <c r="AQ63" s="104"/>
      <c r="AR63" s="104"/>
      <c r="AS63" s="104"/>
      <c r="AT63" s="104"/>
      <c r="AU63" s="104"/>
      <c r="AV63" s="104"/>
      <c r="AW63" s="104"/>
      <c r="AX63" s="104"/>
      <c r="AY63" s="37" t="s">
        <v>533</v>
      </c>
      <c r="AZ63" s="37"/>
      <c r="BA63" s="37"/>
      <c r="BB63" s="37"/>
      <c r="BC63" s="37"/>
      <c r="BD63" s="37"/>
      <c r="BE63" s="37"/>
      <c r="BF63" s="37"/>
      <c r="BG63" s="37"/>
      <c r="BH63" s="37"/>
      <c r="BI63" s="37"/>
      <c r="BJ63" s="37"/>
      <c r="BK63" s="37"/>
      <c r="BL63" s="37"/>
      <c r="BM63" s="37"/>
      <c r="BN63" s="37"/>
      <c r="BO63" s="37"/>
    </row>
    <row r="64" spans="1:67" ht="29.25" hidden="1" customHeight="1">
      <c r="A64" s="56" t="s">
        <v>128</v>
      </c>
      <c r="B64" s="17" t="s">
        <v>534</v>
      </c>
      <c r="C64" s="107" t="s">
        <v>535</v>
      </c>
      <c r="D64" s="150"/>
      <c r="E64" s="97"/>
      <c r="F64" s="122" t="s">
        <v>76</v>
      </c>
      <c r="G64" s="98">
        <v>100</v>
      </c>
      <c r="H64" s="22">
        <f>IF(OR(J64="",K64="",K64&lt;J64),0,NETWORKDAYS(J64,K64,fESTIVOS!$A$2:$A$53))</f>
        <v>0</v>
      </c>
      <c r="I64" s="99">
        <v>45846</v>
      </c>
      <c r="J64" s="100">
        <v>45846</v>
      </c>
      <c r="K64" s="100"/>
      <c r="L64" s="100">
        <v>45847</v>
      </c>
      <c r="M64" s="27">
        <f ca="1">IF(OR(J64="",AND(L64="",TODAY()&lt;J64),AND(L64&lt;&gt;"",L64&lt;J64)),0,
   IF(L64="",
      NETWORKDAYS(J64,TODAY(),fESTIVOS!$A$2:$A$53),
      NETWORKDAYS(J64,L64,fESTIVOS!$A$2:$A$53)
   )
)</f>
        <v>2</v>
      </c>
      <c r="N64" s="101"/>
      <c r="O64" s="99"/>
      <c r="P64" s="101"/>
      <c r="Q64" s="104"/>
      <c r="R64" s="31" t="s">
        <v>78</v>
      </c>
      <c r="S64" s="102"/>
      <c r="T64" s="102"/>
      <c r="U64" s="103"/>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5"/>
      <c r="AZ64" s="105"/>
      <c r="BA64" s="37" t="s">
        <v>536</v>
      </c>
      <c r="BB64" s="37"/>
      <c r="BC64" s="37" t="s">
        <v>537</v>
      </c>
      <c r="BD64" s="37"/>
      <c r="BE64" s="37"/>
      <c r="BF64" s="37"/>
      <c r="BG64" s="37"/>
      <c r="BH64" s="37"/>
      <c r="BI64" s="37"/>
      <c r="BJ64" s="37"/>
      <c r="BK64" s="37"/>
      <c r="BL64" s="37"/>
      <c r="BM64" s="37"/>
      <c r="BN64" s="37"/>
      <c r="BO64" s="37"/>
    </row>
    <row r="65" spans="1:67" ht="29.25" hidden="1" customHeight="1">
      <c r="A65" s="56" t="s">
        <v>128</v>
      </c>
      <c r="B65" s="17" t="s">
        <v>538</v>
      </c>
      <c r="C65" s="107" t="s">
        <v>539</v>
      </c>
      <c r="D65" s="150"/>
      <c r="E65" s="97"/>
      <c r="F65" s="122" t="s">
        <v>76</v>
      </c>
      <c r="G65" s="98">
        <v>100</v>
      </c>
      <c r="H65" s="22">
        <f>IF(OR(J65="",K65="",K65&lt;J65),0,NETWORKDAYS(J65,K65,fESTIVOS!$A$2:$A$53))</f>
        <v>0</v>
      </c>
      <c r="I65" s="99">
        <v>45845</v>
      </c>
      <c r="J65" s="100">
        <v>45846</v>
      </c>
      <c r="K65" s="100"/>
      <c r="L65" s="100">
        <v>45846</v>
      </c>
      <c r="M65" s="27">
        <f ca="1">IF(OR(J65="",AND(L65="",TODAY()&lt;J65),AND(L65&lt;&gt;"",L65&lt;J65)),0,
   IF(L65="",
      NETWORKDAYS(J65,TODAY(),fESTIVOS!$A$2:$A$53),
      NETWORKDAYS(J65,L65,fESTIVOS!$A$2:$A$53)
   )
)</f>
        <v>1</v>
      </c>
      <c r="N65" s="101"/>
      <c r="O65" s="99"/>
      <c r="P65" s="101"/>
      <c r="Q65" s="104"/>
      <c r="R65" s="31" t="s">
        <v>78</v>
      </c>
      <c r="S65" s="102"/>
      <c r="T65" s="102"/>
      <c r="U65" s="103"/>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37" t="s">
        <v>540</v>
      </c>
      <c r="BB65" s="37"/>
      <c r="BC65" s="37"/>
      <c r="BD65" s="37"/>
      <c r="BE65" s="37"/>
      <c r="BF65" s="37"/>
      <c r="BG65" s="37"/>
      <c r="BH65" s="37"/>
      <c r="BI65" s="37"/>
      <c r="BJ65" s="37"/>
      <c r="BK65" s="37"/>
      <c r="BL65" s="37"/>
      <c r="BM65" s="37"/>
      <c r="BN65" s="37"/>
      <c r="BO65" s="37"/>
    </row>
    <row r="66" spans="1:67" ht="29.25" hidden="1" customHeight="1">
      <c r="A66" s="56" t="s">
        <v>128</v>
      </c>
      <c r="B66" s="17" t="s">
        <v>541</v>
      </c>
      <c r="C66" s="107" t="s">
        <v>542</v>
      </c>
      <c r="D66" s="150"/>
      <c r="E66" s="97"/>
      <c r="F66" s="122" t="s">
        <v>76</v>
      </c>
      <c r="G66" s="98">
        <v>100</v>
      </c>
      <c r="H66" s="22">
        <f>IF(OR(J66="",K66="",K66&lt;J66),0,NETWORKDAYS(J66,K66,fESTIVOS!$A$2:$A$53))</f>
        <v>0</v>
      </c>
      <c r="I66" s="99">
        <v>45845</v>
      </c>
      <c r="J66" s="100">
        <v>45846</v>
      </c>
      <c r="K66" s="100"/>
      <c r="L66" s="100">
        <v>45846</v>
      </c>
      <c r="M66" s="27">
        <f ca="1">IF(OR(J66="",AND(L66="",TODAY()&lt;J66),AND(L66&lt;&gt;"",L66&lt;J66)),0,
   IF(L66="",
      NETWORKDAYS(J66,TODAY(),fESTIVOS!$A$2:$A$53),
      NETWORKDAYS(J66,L66,fESTIVOS!$A$2:$A$53)
   )
)</f>
        <v>1</v>
      </c>
      <c r="N66" s="101"/>
      <c r="O66" s="99"/>
      <c r="P66" s="101"/>
      <c r="Q66" s="104"/>
      <c r="R66" s="31" t="s">
        <v>78</v>
      </c>
      <c r="S66" s="102"/>
      <c r="T66" s="102"/>
      <c r="U66" s="103"/>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37" t="s">
        <v>543</v>
      </c>
      <c r="BB66" s="37"/>
      <c r="BC66" s="37"/>
      <c r="BD66" s="37"/>
      <c r="BE66" s="37"/>
      <c r="BF66" s="37"/>
      <c r="BG66" s="37"/>
      <c r="BH66" s="37"/>
      <c r="BI66" s="37"/>
      <c r="BJ66" s="37"/>
      <c r="BK66" s="37"/>
      <c r="BL66" s="37"/>
      <c r="BM66" s="37"/>
      <c r="BN66" s="37"/>
      <c r="BO66" s="37"/>
    </row>
    <row r="67" spans="1:67" ht="29.25" hidden="1" customHeight="1">
      <c r="A67" s="93" t="s">
        <v>128</v>
      </c>
      <c r="B67" s="106" t="s">
        <v>544</v>
      </c>
      <c r="C67" s="141" t="s">
        <v>545</v>
      </c>
      <c r="D67" s="96"/>
      <c r="E67" s="97"/>
      <c r="F67" s="122" t="s">
        <v>76</v>
      </c>
      <c r="G67" s="98">
        <v>100</v>
      </c>
      <c r="H67" s="22">
        <f>IF(OR(J67="",K67="",K67&lt;J67),0,NETWORKDAYS(J67,K67,fESTIVOS!$A$2:$A$53))</f>
        <v>0</v>
      </c>
      <c r="I67" s="99">
        <v>45975</v>
      </c>
      <c r="J67" s="100">
        <v>45975</v>
      </c>
      <c r="K67" s="100"/>
      <c r="L67" s="100">
        <v>45975</v>
      </c>
      <c r="M67" s="27">
        <f ca="1">IF(OR(J67="",AND(L67="",TODAY()&lt;J67),AND(L67&lt;&gt;"",L67&lt;J67)),0,
   IF(L67="",
      NETWORKDAYS(J67,TODAY(),fESTIVOS!$A$2:$A$53),
      NETWORKDAYS(J67,L67,fESTIVOS!$A$2:$A$53)
   )
)</f>
        <v>1</v>
      </c>
      <c r="N67" s="101"/>
      <c r="O67" s="99"/>
      <c r="P67" s="101"/>
      <c r="Q67" s="34" t="s">
        <v>546</v>
      </c>
      <c r="R67" s="113" t="s">
        <v>78</v>
      </c>
      <c r="S67" s="155"/>
      <c r="T67" s="98"/>
      <c r="U67" s="103"/>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row>
    <row r="68" spans="1:67" ht="29.25" hidden="1" customHeight="1">
      <c r="A68" s="93" t="s">
        <v>128</v>
      </c>
      <c r="B68" s="106" t="s">
        <v>547</v>
      </c>
      <c r="C68" s="141" t="s">
        <v>548</v>
      </c>
      <c r="D68" s="96" t="s">
        <v>549</v>
      </c>
      <c r="E68" s="97"/>
      <c r="F68" s="122" t="s">
        <v>76</v>
      </c>
      <c r="G68" s="98">
        <v>100</v>
      </c>
      <c r="H68" s="22">
        <f>IF(OR(J68="",K68="",K68&lt;J68),0,NETWORKDAYS(J68,K68,fESTIVOS!$A$2:$A$53))</f>
        <v>0</v>
      </c>
      <c r="I68" s="99">
        <v>45975</v>
      </c>
      <c r="J68" s="100">
        <v>45975</v>
      </c>
      <c r="K68" s="100"/>
      <c r="L68" s="100">
        <v>45985</v>
      </c>
      <c r="M68" s="27">
        <f ca="1">IF(OR(J68="",AND(L68="",TODAY()&lt;J68),AND(L68&lt;&gt;"",L68&lt;J68)),0,
   IF(L68="",
      NETWORKDAYS(J68,TODAY(),fESTIVOS!$A$2:$A$53),
      NETWORKDAYS(J68,L68,fESTIVOS!$A$2:$A$53)
   )
)</f>
        <v>6</v>
      </c>
      <c r="N68" s="101"/>
      <c r="O68" s="99"/>
      <c r="P68" s="101"/>
      <c r="Q68" s="34" t="s">
        <v>550</v>
      </c>
      <c r="R68" s="113" t="s">
        <v>78</v>
      </c>
      <c r="S68" s="155"/>
      <c r="T68" s="98"/>
      <c r="U68" s="103"/>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row>
    <row r="69" spans="1:67" ht="29.25" hidden="1" customHeight="1">
      <c r="A69" s="93" t="s">
        <v>128</v>
      </c>
      <c r="B69" s="106" t="s">
        <v>551</v>
      </c>
      <c r="C69" s="141" t="s">
        <v>552</v>
      </c>
      <c r="D69" s="96" t="s">
        <v>553</v>
      </c>
      <c r="E69" s="97"/>
      <c r="F69" s="122" t="s">
        <v>76</v>
      </c>
      <c r="G69" s="98">
        <v>100</v>
      </c>
      <c r="H69" s="22">
        <f>IF(OR(J69="",K69="",K69&lt;J69),0,NETWORKDAYS(J69,K69,fESTIVOS!$A$2:$A$53))</f>
        <v>0</v>
      </c>
      <c r="I69" s="99">
        <v>46000</v>
      </c>
      <c r="J69" s="100">
        <v>46000</v>
      </c>
      <c r="K69" s="100"/>
      <c r="L69" s="100">
        <v>45972</v>
      </c>
      <c r="M69" s="27">
        <f ca="1">IF(OR(J69="",AND(L69="",TODAY()&lt;J69),AND(L69&lt;&gt;"",L69&lt;J69)),0,
   IF(L69="",
      NETWORKDAYS(J69,TODAY(),fESTIVOS!$A$2:$A$53),
      NETWORKDAYS(J69,L69,fESTIVOS!$A$2:$A$53)
   )
)</f>
        <v>0</v>
      </c>
      <c r="N69" s="101"/>
      <c r="O69" s="99"/>
      <c r="P69" s="101">
        <v>45972</v>
      </c>
      <c r="Q69" s="34" t="s">
        <v>554</v>
      </c>
      <c r="R69" s="113"/>
      <c r="S69" s="155"/>
      <c r="T69" s="98"/>
      <c r="U69" s="103"/>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5"/>
      <c r="BD69" s="105"/>
      <c r="BE69" s="105"/>
      <c r="BF69" s="105"/>
      <c r="BG69" s="105"/>
      <c r="BH69" s="105"/>
      <c r="BI69" s="105"/>
      <c r="BJ69" s="105"/>
      <c r="BK69" s="105"/>
      <c r="BL69" s="105"/>
      <c r="BM69" s="105"/>
      <c r="BN69" s="105"/>
      <c r="BO69" s="105"/>
    </row>
    <row r="70" spans="1:67" ht="29.25" hidden="1" customHeight="1">
      <c r="A70" s="123" t="s">
        <v>210</v>
      </c>
      <c r="B70" s="106" t="s">
        <v>555</v>
      </c>
      <c r="C70" s="107" t="s">
        <v>556</v>
      </c>
      <c r="D70" s="77"/>
      <c r="E70" s="97"/>
      <c r="F70" s="122" t="s">
        <v>76</v>
      </c>
      <c r="G70" s="98">
        <v>100</v>
      </c>
      <c r="H70" s="22">
        <f>IF(OR(J70="",K70="",K70&lt;J70),0,NETWORKDAYS(J70,K70,fESTIVOS!$A$2:$A$53))</f>
        <v>0</v>
      </c>
      <c r="I70" s="99">
        <v>45849</v>
      </c>
      <c r="J70" s="100">
        <v>45849</v>
      </c>
      <c r="K70" s="100"/>
      <c r="L70" s="100">
        <v>45855</v>
      </c>
      <c r="M70" s="27">
        <f ca="1">IF(OR(J70="",AND(L70="",TODAY()&lt;J70),AND(L70&lt;&gt;"",L70&lt;J70)),0,
   IF(L70="",
      NETWORKDAYS(J70,TODAY(),fESTIVOS!$A$2:$A$53),
      NETWORKDAYS(J70,L70,fESTIVOS!$A$2:$A$53)
   )
)</f>
        <v>5</v>
      </c>
      <c r="N70" s="101"/>
      <c r="O70" s="99"/>
      <c r="P70" s="101"/>
      <c r="Q70" s="104"/>
      <c r="R70" s="31" t="s">
        <v>78</v>
      </c>
      <c r="S70" s="102"/>
      <c r="T70" s="102"/>
      <c r="U70" s="103"/>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7" t="s">
        <v>557</v>
      </c>
      <c r="BD70" s="37"/>
      <c r="BE70" s="37"/>
      <c r="BF70" s="37" t="s">
        <v>558</v>
      </c>
      <c r="BG70" s="37"/>
      <c r="BH70" s="37" t="s">
        <v>559</v>
      </c>
      <c r="BI70" s="37"/>
      <c r="BJ70" s="37"/>
      <c r="BK70" s="37"/>
      <c r="BL70" s="37"/>
      <c r="BM70" s="37"/>
      <c r="BN70" s="37"/>
      <c r="BO70" s="37"/>
    </row>
    <row r="71" spans="1:67" ht="29.25" hidden="1" customHeight="1">
      <c r="A71" s="16" t="s">
        <v>67</v>
      </c>
      <c r="B71" s="17" t="s">
        <v>560</v>
      </c>
      <c r="C71" s="107" t="s">
        <v>561</v>
      </c>
      <c r="D71" s="96"/>
      <c r="E71" s="97"/>
      <c r="F71" s="122" t="s">
        <v>76</v>
      </c>
      <c r="G71" s="98">
        <v>100</v>
      </c>
      <c r="H71" s="22">
        <f>IF(OR(J71="",K71="",K71&lt;J71),0,NETWORKDAYS(J71,K71,fESTIVOS!$A$2:$A$53))</f>
        <v>0</v>
      </c>
      <c r="I71" s="99">
        <v>45852</v>
      </c>
      <c r="J71" s="100">
        <v>45852</v>
      </c>
      <c r="K71" s="100"/>
      <c r="L71" s="100">
        <v>45852</v>
      </c>
      <c r="M71" s="27">
        <f ca="1">IF(OR(J71="",AND(L71="",TODAY()&lt;J71),AND(L71&lt;&gt;"",L71&lt;J71)),0,
   IF(L71="",
      NETWORKDAYS(J71,TODAY(),fESTIVOS!$A$2:$A$53),
      NETWORKDAYS(J71,L71,fESTIVOS!$A$2:$A$53)
   )
)</f>
        <v>1</v>
      </c>
      <c r="N71" s="101"/>
      <c r="O71" s="99"/>
      <c r="P71" s="101"/>
      <c r="Q71" s="104"/>
      <c r="R71" s="31" t="s">
        <v>78</v>
      </c>
      <c r="S71" s="102"/>
      <c r="T71" s="102"/>
      <c r="U71" s="103"/>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34" t="s">
        <v>562</v>
      </c>
      <c r="BE71" s="37"/>
      <c r="BF71" s="37" t="s">
        <v>563</v>
      </c>
      <c r="BG71" s="37"/>
      <c r="BH71" s="37"/>
      <c r="BI71" s="37"/>
      <c r="BJ71" s="37"/>
      <c r="BK71" s="37"/>
      <c r="BL71" s="37"/>
      <c r="BM71" s="37"/>
      <c r="BN71" s="37"/>
      <c r="BO71" s="37"/>
    </row>
    <row r="72" spans="1:67" ht="29.25" hidden="1" customHeight="1">
      <c r="A72" s="16" t="s">
        <v>67</v>
      </c>
      <c r="B72" s="17" t="s">
        <v>564</v>
      </c>
      <c r="C72" s="107" t="s">
        <v>565</v>
      </c>
      <c r="D72" s="156"/>
      <c r="E72" s="97"/>
      <c r="F72" s="122" t="s">
        <v>91</v>
      </c>
      <c r="G72" s="98">
        <v>15</v>
      </c>
      <c r="H72" s="22">
        <f>IF(OR(J72="",K72="",K72&lt;J72),0,NETWORKDAYS(J72,K72,fESTIVOS!$A$2:$A$53))</f>
        <v>0</v>
      </c>
      <c r="I72" s="99">
        <v>45852</v>
      </c>
      <c r="J72" s="100">
        <v>45856</v>
      </c>
      <c r="K72" s="100"/>
      <c r="L72" s="100"/>
      <c r="M72" s="27">
        <f ca="1">IF(OR(J72="",AND(L72="",TODAY()&lt;J72),AND(L72&lt;&gt;"",L72&lt;J72)),0,
   IF(L72="",
      NETWORKDAYS(J72,TODAY(),fESTIVOS!$A$2:$A$53),
      NETWORKDAYS(J72,L72,fESTIVOS!$A$2:$A$53)
   )
)</f>
        <v>130</v>
      </c>
      <c r="N72" s="101"/>
      <c r="O72" s="99"/>
      <c r="P72" s="101"/>
      <c r="Q72" s="34" t="s">
        <v>566</v>
      </c>
      <c r="R72" s="113" t="s">
        <v>93</v>
      </c>
      <c r="S72" s="102"/>
      <c r="T72" s="102"/>
      <c r="U72" s="103"/>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34" t="s">
        <v>567</v>
      </c>
      <c r="BE72" s="37"/>
      <c r="BF72" s="37"/>
      <c r="BG72" s="37"/>
      <c r="BH72" s="37"/>
      <c r="BI72" s="37" t="s">
        <v>568</v>
      </c>
      <c r="BJ72" s="37" t="s">
        <v>569</v>
      </c>
      <c r="BK72" s="37"/>
      <c r="BL72" s="37"/>
      <c r="BM72" s="37"/>
      <c r="BN72" s="37"/>
      <c r="BO72" s="37"/>
    </row>
    <row r="73" spans="1:67" ht="29.25" hidden="1" customHeight="1">
      <c r="A73" s="56" t="s">
        <v>128</v>
      </c>
      <c r="B73" s="17" t="s">
        <v>570</v>
      </c>
      <c r="C73" s="107" t="s">
        <v>571</v>
      </c>
      <c r="D73" s="96"/>
      <c r="E73" s="97"/>
      <c r="F73" s="122" t="s">
        <v>76</v>
      </c>
      <c r="G73" s="98">
        <v>100</v>
      </c>
      <c r="H73" s="22">
        <f>IF(OR(J73="",K73="",K73&lt;J73),0,NETWORKDAYS(J73,K73,fESTIVOS!$A$2:$A$53))</f>
        <v>0</v>
      </c>
      <c r="I73" s="99">
        <v>45853</v>
      </c>
      <c r="J73" s="100">
        <v>45859</v>
      </c>
      <c r="K73" s="100"/>
      <c r="L73" s="100">
        <v>45859</v>
      </c>
      <c r="M73" s="27">
        <f ca="1">IF(OR(J73="",AND(L73="",TODAY()&lt;J73),AND(L73&lt;&gt;"",L73&lt;J73)),0,
   IF(L73="",
      NETWORKDAYS(J73,TODAY(),fESTIVOS!$A$2:$A$53),
      NETWORKDAYS(J73,L73,fESTIVOS!$A$2:$A$53)
   )
)</f>
        <v>1</v>
      </c>
      <c r="N73" s="101"/>
      <c r="O73" s="99">
        <v>45859</v>
      </c>
      <c r="P73" s="101">
        <v>45860</v>
      </c>
      <c r="Q73" s="104"/>
      <c r="R73" s="31" t="s">
        <v>78</v>
      </c>
      <c r="S73" s="102"/>
      <c r="T73" s="102"/>
      <c r="U73" s="103"/>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37" t="s">
        <v>572</v>
      </c>
      <c r="BG73" s="37"/>
      <c r="BH73" s="37"/>
      <c r="BI73" s="37" t="s">
        <v>573</v>
      </c>
      <c r="BJ73" s="37" t="s">
        <v>574</v>
      </c>
      <c r="BK73" s="37"/>
      <c r="BL73" s="37"/>
      <c r="BM73" s="37"/>
      <c r="BN73" s="37"/>
      <c r="BO73" s="37"/>
    </row>
    <row r="74" spans="1:67" ht="29.25" hidden="1" customHeight="1">
      <c r="A74" s="56" t="s">
        <v>128</v>
      </c>
      <c r="B74" s="17" t="s">
        <v>575</v>
      </c>
      <c r="C74" s="107" t="s">
        <v>576</v>
      </c>
      <c r="D74" s="150"/>
      <c r="E74" s="97"/>
      <c r="F74" s="20" t="s">
        <v>76</v>
      </c>
      <c r="G74" s="98">
        <v>100</v>
      </c>
      <c r="H74" s="22">
        <f>IF(OR(J74="",K74="",K74&lt;J74),0,NETWORKDAYS(J74,K74,fESTIVOS!$A$2:$A$53))</f>
        <v>3</v>
      </c>
      <c r="I74" s="99">
        <v>45855</v>
      </c>
      <c r="J74" s="100">
        <v>45868</v>
      </c>
      <c r="K74" s="100">
        <v>45870</v>
      </c>
      <c r="L74" s="100">
        <v>45877</v>
      </c>
      <c r="M74" s="27">
        <f ca="1">IF(OR(J74="",AND(L74="",TODAY()&lt;J74),AND(L74&lt;&gt;"",L74&lt;J74)),0,
   IF(L74="",
      NETWORKDAYS(J74,TODAY(),fESTIVOS!$A$2:$A$53),
      NETWORKDAYS(J74,L74,fESTIVOS!$A$2:$A$53)
   )
)</f>
        <v>7</v>
      </c>
      <c r="N74" s="101"/>
      <c r="O74" s="99">
        <v>45877</v>
      </c>
      <c r="P74" s="101">
        <v>45953</v>
      </c>
      <c r="Q74" s="89" t="s">
        <v>577</v>
      </c>
      <c r="R74" s="31" t="s">
        <v>78</v>
      </c>
      <c r="S74" s="157"/>
      <c r="T74" s="158" t="s">
        <v>578</v>
      </c>
      <c r="U74" s="122" t="s">
        <v>579</v>
      </c>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37" t="s">
        <v>580</v>
      </c>
      <c r="BN74" s="37"/>
      <c r="BO74" s="37"/>
    </row>
    <row r="75" spans="1:67" ht="29.25" hidden="1" customHeight="1">
      <c r="A75" s="56" t="s">
        <v>210</v>
      </c>
      <c r="B75" s="106" t="s">
        <v>581</v>
      </c>
      <c r="C75" s="151" t="s">
        <v>582</v>
      </c>
      <c r="D75" s="150"/>
      <c r="E75" s="97"/>
      <c r="F75" s="20" t="s">
        <v>76</v>
      </c>
      <c r="G75" s="98">
        <v>100</v>
      </c>
      <c r="H75" s="22">
        <f>IF(OR(J75="",K75="",K75&lt;J75),0,NETWORKDAYS(J75,K75,fESTIVOS!$A$2:$A$53))</f>
        <v>0</v>
      </c>
      <c r="I75" s="99">
        <v>45952</v>
      </c>
      <c r="J75" s="100">
        <v>45917</v>
      </c>
      <c r="K75" s="100"/>
      <c r="L75" s="100">
        <v>45917</v>
      </c>
      <c r="M75" s="27">
        <f ca="1">IF(OR(J75="",AND(L75="",TODAY()&lt;J75),AND(L75&lt;&gt;"",L75&lt;J75)),0,
   IF(L75="",
      NETWORKDAYS(J75,TODAY(),fESTIVOS!$A$2:$A$53),
      NETWORKDAYS(J75,L75,fESTIVOS!$A$2:$A$53)
   )
)</f>
        <v>1</v>
      </c>
      <c r="N75" s="101"/>
      <c r="O75" s="99"/>
      <c r="P75" s="101"/>
      <c r="Q75" s="89" t="s">
        <v>583</v>
      </c>
      <c r="R75" s="31" t="s">
        <v>78</v>
      </c>
      <c r="S75" s="157"/>
      <c r="T75" s="158"/>
      <c r="U75" s="103"/>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37"/>
      <c r="BN75" s="37"/>
      <c r="BO75" s="37"/>
    </row>
    <row r="76" spans="1:67" ht="29.25" hidden="1" customHeight="1">
      <c r="A76" s="56" t="s">
        <v>128</v>
      </c>
      <c r="B76" s="106" t="s">
        <v>584</v>
      </c>
      <c r="C76" s="107" t="s">
        <v>585</v>
      </c>
      <c r="D76" s="150"/>
      <c r="E76" s="97"/>
      <c r="F76" s="122" t="s">
        <v>76</v>
      </c>
      <c r="G76" s="98">
        <v>100</v>
      </c>
      <c r="H76" s="22">
        <f>IF(OR(J76="",K76="",K76&lt;J76),0,NETWORKDAYS(J76,K76,fESTIVOS!$A$2:$A$53))</f>
        <v>0</v>
      </c>
      <c r="I76" s="99">
        <v>45877</v>
      </c>
      <c r="J76" s="100">
        <v>45917</v>
      </c>
      <c r="K76" s="100"/>
      <c r="L76" s="100">
        <v>45917</v>
      </c>
      <c r="M76" s="27">
        <f ca="1">IF(OR(J76="",AND(L76="",TODAY()&lt;J76),AND(L76&lt;&gt;"",L76&lt;J76)),0,
   IF(L76="",
      NETWORKDAYS(J76,TODAY(),fESTIVOS!$A$2:$A$53),
      NETWORKDAYS(J76,L76,fESTIVOS!$A$2:$A$53)
   )
)</f>
        <v>1</v>
      </c>
      <c r="N76" s="101"/>
      <c r="O76" s="99"/>
      <c r="P76" s="101"/>
      <c r="Q76" s="89" t="s">
        <v>586</v>
      </c>
      <c r="R76" s="113" t="s">
        <v>78</v>
      </c>
      <c r="S76" s="102"/>
      <c r="T76" s="102"/>
      <c r="U76" s="103"/>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row>
    <row r="77" spans="1:67" ht="29.25" hidden="1" customHeight="1">
      <c r="A77" s="93" t="s">
        <v>128</v>
      </c>
      <c r="B77" s="106" t="s">
        <v>587</v>
      </c>
      <c r="C77" s="107" t="s">
        <v>588</v>
      </c>
      <c r="D77" s="96" t="s">
        <v>589</v>
      </c>
      <c r="E77" s="97"/>
      <c r="F77" s="122" t="s">
        <v>76</v>
      </c>
      <c r="G77" s="98">
        <v>100</v>
      </c>
      <c r="H77" s="22">
        <f>IF(OR(J77="",K77="",K77&lt;J77),0,NETWORKDAYS(J77,K77,fESTIVOS!$A$2:$A$53))</f>
        <v>0</v>
      </c>
      <c r="I77" s="99">
        <v>45953</v>
      </c>
      <c r="J77" s="100">
        <v>45958</v>
      </c>
      <c r="K77" s="100"/>
      <c r="L77" s="100">
        <v>45965</v>
      </c>
      <c r="M77" s="27">
        <f ca="1">IF(OR(J77="",AND(L77="",TODAY()&lt;J77),AND(L77&lt;&gt;"",L77&lt;J77)),0,
   IF(L77="",
      NETWORKDAYS(J77,TODAY(),fESTIVOS!$A$2:$A$53),
      NETWORKDAYS(J77,L77,fESTIVOS!$A$2:$A$53)
   )
)</f>
        <v>5</v>
      </c>
      <c r="N77" s="101"/>
      <c r="O77" s="99">
        <v>45965</v>
      </c>
      <c r="P77" s="101"/>
      <c r="Q77" s="34" t="s">
        <v>590</v>
      </c>
      <c r="R77" s="113" t="s">
        <v>78</v>
      </c>
      <c r="S77" s="155"/>
      <c r="T77" s="98" t="s">
        <v>591</v>
      </c>
      <c r="U77" s="122" t="s">
        <v>592</v>
      </c>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row>
    <row r="78" spans="1:67" ht="29.25" hidden="1" customHeight="1">
      <c r="A78" s="93" t="s">
        <v>128</v>
      </c>
      <c r="B78" s="106" t="s">
        <v>593</v>
      </c>
      <c r="C78" s="120" t="s">
        <v>594</v>
      </c>
      <c r="D78" s="96"/>
      <c r="E78" s="97"/>
      <c r="F78" s="122" t="s">
        <v>76</v>
      </c>
      <c r="G78" s="98">
        <v>100</v>
      </c>
      <c r="H78" s="22">
        <f>IF(OR(J78="",K78="",K78&lt;J78),0,NETWORKDAYS(J78,K78,fESTIVOS!$A$2:$A$53))</f>
        <v>0</v>
      </c>
      <c r="I78" s="99">
        <v>45973</v>
      </c>
      <c r="J78" s="100">
        <v>46003</v>
      </c>
      <c r="K78" s="100"/>
      <c r="L78" s="100">
        <v>46009</v>
      </c>
      <c r="M78" s="27">
        <f ca="1">IF(OR(J78="",AND(L78="",TODAY()&lt;J78),AND(L78&lt;&gt;"",L78&lt;J78)),0,
   IF(L78="",
      NETWORKDAYS(J78,TODAY(),fESTIVOS!$A$2:$A$53),
      NETWORKDAYS(J78,L78,fESTIVOS!$A$2:$A$53)
   )
)</f>
        <v>5</v>
      </c>
      <c r="N78" s="101"/>
      <c r="O78" s="99"/>
      <c r="P78" s="101"/>
      <c r="Q78" s="34" t="s">
        <v>595</v>
      </c>
      <c r="R78" s="113" t="s">
        <v>596</v>
      </c>
      <c r="S78" s="155"/>
      <c r="T78" s="98"/>
      <c r="U78" s="103"/>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row>
    <row r="79" spans="1:67" ht="29.25" hidden="1" customHeight="1">
      <c r="A79" s="16" t="s">
        <v>67</v>
      </c>
      <c r="B79" s="17" t="s">
        <v>597</v>
      </c>
      <c r="C79" s="107" t="s">
        <v>598</v>
      </c>
      <c r="D79" s="96"/>
      <c r="E79" s="97"/>
      <c r="F79" s="122" t="s">
        <v>76</v>
      </c>
      <c r="G79" s="98">
        <v>100</v>
      </c>
      <c r="H79" s="22">
        <f>IF(OR(J79="",K79="",K79&lt;J79),0,NETWORKDAYS(J79,K79,fESTIVOS!$A$2:$A$53))</f>
        <v>0</v>
      </c>
      <c r="I79" s="99">
        <v>45856</v>
      </c>
      <c r="J79" s="100">
        <v>45862</v>
      </c>
      <c r="K79" s="100"/>
      <c r="L79" s="100">
        <v>45862</v>
      </c>
      <c r="M79" s="27">
        <f ca="1">IF(OR(J79="",AND(L79="",TODAY()&lt;J79),AND(L79&lt;&gt;"",L79&lt;J79)),0,
   IF(L79="",
      NETWORKDAYS(J79,TODAY(),fESTIVOS!$A$2:$A$53),
      NETWORKDAYS(J79,L79,fESTIVOS!$A$2:$A$53)
   )
)</f>
        <v>1</v>
      </c>
      <c r="N79" s="101"/>
      <c r="O79" s="99"/>
      <c r="P79" s="101"/>
      <c r="Q79" s="34" t="s">
        <v>599</v>
      </c>
      <c r="R79" s="31" t="s">
        <v>78</v>
      </c>
      <c r="S79" s="102"/>
      <c r="T79" s="102"/>
      <c r="U79" s="103"/>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37" t="s">
        <v>600</v>
      </c>
      <c r="BJ79" s="37"/>
      <c r="BK79" s="37"/>
      <c r="BL79" s="37"/>
      <c r="BM79" s="37" t="s">
        <v>601</v>
      </c>
      <c r="BN79" s="37"/>
      <c r="BO79" s="37"/>
    </row>
    <row r="80" spans="1:67" ht="29.25" hidden="1" customHeight="1">
      <c r="A80" s="16" t="s">
        <v>67</v>
      </c>
      <c r="B80" s="17" t="s">
        <v>602</v>
      </c>
      <c r="C80" s="107" t="s">
        <v>603</v>
      </c>
      <c r="D80" s="96"/>
      <c r="E80" s="97"/>
      <c r="F80" s="122" t="s">
        <v>76</v>
      </c>
      <c r="G80" s="98">
        <v>100</v>
      </c>
      <c r="H80" s="22">
        <f>IF(OR(J80="",K80="",K80&lt;J80),0,NETWORKDAYS(J80,K80,fESTIVOS!$A$2:$A$53))</f>
        <v>0</v>
      </c>
      <c r="I80" s="99">
        <v>45860</v>
      </c>
      <c r="J80" s="100">
        <v>45860</v>
      </c>
      <c r="K80" s="100"/>
      <c r="L80" s="100">
        <v>45861</v>
      </c>
      <c r="M80" s="27">
        <f ca="1">IF(OR(J80="",AND(L80="",TODAY()&lt;J80),AND(L80&lt;&gt;"",L80&lt;J80)),0,
   IF(L80="",
      NETWORKDAYS(J80,TODAY(),fESTIVOS!$A$2:$A$53),
      NETWORKDAYS(J80,L80,fESTIVOS!$A$2:$A$53)
   )
)</f>
        <v>2</v>
      </c>
      <c r="N80" s="101"/>
      <c r="O80" s="99"/>
      <c r="P80" s="101"/>
      <c r="Q80" s="34" t="s">
        <v>604</v>
      </c>
      <c r="R80" s="31" t="s">
        <v>78</v>
      </c>
      <c r="S80" s="102"/>
      <c r="T80" s="102"/>
      <c r="U80" s="103"/>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37"/>
      <c r="BL80" s="37" t="s">
        <v>605</v>
      </c>
      <c r="BM80" s="37"/>
      <c r="BN80" s="37"/>
      <c r="BO80" s="37"/>
    </row>
    <row r="81" spans="1:67" ht="29.25" hidden="1" customHeight="1">
      <c r="A81" s="56" t="s">
        <v>128</v>
      </c>
      <c r="B81" s="17" t="s">
        <v>606</v>
      </c>
      <c r="C81" s="107" t="s">
        <v>607</v>
      </c>
      <c r="D81" s="96"/>
      <c r="E81" s="97"/>
      <c r="F81" s="122" t="s">
        <v>76</v>
      </c>
      <c r="G81" s="98">
        <v>100</v>
      </c>
      <c r="H81" s="22">
        <f>IF(OR(J81="",K81="",K81&lt;J81),0,NETWORKDAYS(J81,K81,fESTIVOS!$A$2:$A$53))</f>
        <v>0</v>
      </c>
      <c r="I81" s="99">
        <v>45860</v>
      </c>
      <c r="J81" s="100">
        <v>45860</v>
      </c>
      <c r="K81" s="100"/>
      <c r="L81" s="100">
        <v>45863</v>
      </c>
      <c r="M81" s="27">
        <f ca="1">IF(OR(J81="",AND(L81="",TODAY()&lt;J81),AND(L81&lt;&gt;"",L81&lt;J81)),0,
   IF(L81="",
      NETWORKDAYS(J81,TODAY(),fESTIVOS!$A$2:$A$53),
      NETWORKDAYS(J81,L81,fESTIVOS!$A$2:$A$53)
   )
)</f>
        <v>4</v>
      </c>
      <c r="N81" s="101"/>
      <c r="O81" s="99"/>
      <c r="P81" s="101">
        <v>45867</v>
      </c>
      <c r="Q81" s="34" t="s">
        <v>608</v>
      </c>
      <c r="R81" s="31" t="s">
        <v>78</v>
      </c>
      <c r="S81" s="102"/>
      <c r="T81" s="102"/>
      <c r="U81" s="103"/>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37"/>
      <c r="BL81" s="37"/>
      <c r="BM81" s="37" t="s">
        <v>609</v>
      </c>
      <c r="BN81" s="37"/>
      <c r="BO81" s="37"/>
    </row>
    <row r="82" spans="1:67" ht="29.25" hidden="1" customHeight="1">
      <c r="A82" s="56" t="s">
        <v>157</v>
      </c>
      <c r="B82" s="17" t="s">
        <v>610</v>
      </c>
      <c r="C82" s="107" t="s">
        <v>611</v>
      </c>
      <c r="D82" s="96"/>
      <c r="E82" s="97"/>
      <c r="F82" s="122" t="s">
        <v>76</v>
      </c>
      <c r="G82" s="98">
        <v>100</v>
      </c>
      <c r="H82" s="22">
        <f>IF(OR(J82="",K82="",K82&lt;J82),0,NETWORKDAYS(J82,K82,fESTIVOS!$A$2:$A$53))</f>
        <v>0</v>
      </c>
      <c r="I82" s="99">
        <v>45861</v>
      </c>
      <c r="J82" s="100">
        <v>45861</v>
      </c>
      <c r="K82" s="100"/>
      <c r="L82" s="100">
        <v>45862</v>
      </c>
      <c r="M82" s="27">
        <f ca="1">IF(OR(J82="",AND(L82="",TODAY()&lt;J82),AND(L82&lt;&gt;"",L82&lt;J82)),0,
   IF(L82="",
      NETWORKDAYS(J82,TODAY(),fESTIVOS!$A$2:$A$53),
      NETWORKDAYS(J82,L82,fESTIVOS!$A$2:$A$53)
   )
)</f>
        <v>2</v>
      </c>
      <c r="N82" s="101"/>
      <c r="O82" s="99"/>
      <c r="P82" s="101"/>
      <c r="Q82" s="34" t="s">
        <v>612</v>
      </c>
      <c r="R82" s="31" t="s">
        <v>78</v>
      </c>
      <c r="S82" s="102"/>
      <c r="T82" s="102"/>
      <c r="U82" s="103"/>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row>
    <row r="83" spans="1:67" ht="29.25" hidden="1" customHeight="1">
      <c r="A83" s="56" t="s">
        <v>157</v>
      </c>
      <c r="B83" s="17" t="s">
        <v>613</v>
      </c>
      <c r="C83" s="107" t="s">
        <v>614</v>
      </c>
      <c r="D83" s="150"/>
      <c r="E83" s="97"/>
      <c r="F83" s="122" t="s">
        <v>76</v>
      </c>
      <c r="G83" s="98">
        <v>100</v>
      </c>
      <c r="H83" s="22">
        <f>IF(OR(J83="",K83="",K83&lt;J83),0,NETWORKDAYS(J83,K83,fESTIVOS!$A$2:$A$53))</f>
        <v>0</v>
      </c>
      <c r="I83" s="99">
        <v>45861</v>
      </c>
      <c r="J83" s="100">
        <v>45861</v>
      </c>
      <c r="K83" s="100"/>
      <c r="L83" s="100">
        <v>45861</v>
      </c>
      <c r="M83" s="27">
        <f ca="1">IF(OR(J83="",AND(L83="",TODAY()&lt;J83),AND(L83&lt;&gt;"",L83&lt;J83)),0,
   IF(L83="",
      NETWORKDAYS(J83,TODAY(),fESTIVOS!$A$2:$A$53),
      NETWORKDAYS(J83,L83,fESTIVOS!$A$2:$A$53)
   )
)</f>
        <v>1</v>
      </c>
      <c r="N83" s="101"/>
      <c r="O83" s="99"/>
      <c r="P83" s="101"/>
      <c r="Q83" s="34" t="s">
        <v>615</v>
      </c>
      <c r="R83" s="31" t="s">
        <v>78</v>
      </c>
      <c r="S83" s="102"/>
      <c r="T83" s="102"/>
      <c r="U83" s="103"/>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row>
    <row r="84" spans="1:67" ht="29.25" hidden="1" customHeight="1">
      <c r="A84" s="93" t="s">
        <v>157</v>
      </c>
      <c r="B84" s="94" t="s">
        <v>616</v>
      </c>
      <c r="C84" s="110" t="s">
        <v>617</v>
      </c>
      <c r="D84" s="115" t="s">
        <v>618</v>
      </c>
      <c r="E84" s="116"/>
      <c r="F84" s="117" t="s">
        <v>76</v>
      </c>
      <c r="G84" s="59">
        <v>100</v>
      </c>
      <c r="H84" s="22">
        <f>IF(OR(J84="",K84="",K84&lt;J84),0,NETWORKDAYS(J84,K84,fESTIVOS!$A$2:$A$53))</f>
        <v>0</v>
      </c>
      <c r="I84" s="82">
        <v>46009</v>
      </c>
      <c r="J84" s="61">
        <v>46010</v>
      </c>
      <c r="K84" s="70"/>
      <c r="L84" s="61">
        <v>46010</v>
      </c>
      <c r="M84" s="27">
        <f ca="1">IF(OR(J84="",AND(L84="",TODAY()&lt;J84),AND(L84&lt;&gt;"",L84&lt;J84)),0,
   IF(L84="",
      NETWORKDAYS(J84,TODAY(),fESTIVOS!$A$2:$A$53),
      NETWORKDAYS(J84,L84,fESTIVOS!$A$2:$A$53)
   )
)</f>
        <v>1</v>
      </c>
      <c r="N84" s="63"/>
      <c r="O84" s="82">
        <v>46010</v>
      </c>
      <c r="P84" s="63">
        <v>46020</v>
      </c>
      <c r="Q84" s="64" t="s">
        <v>619</v>
      </c>
      <c r="R84" s="31" t="s">
        <v>78</v>
      </c>
      <c r="S84" s="72"/>
      <c r="T84" s="72"/>
      <c r="U84" s="73"/>
      <c r="V84" s="159" t="s">
        <v>620</v>
      </c>
      <c r="W84" s="119"/>
      <c r="X84" s="119"/>
      <c r="Y84" s="119"/>
      <c r="Z84" s="119"/>
      <c r="AA84" s="119"/>
      <c r="AB84" s="119"/>
      <c r="AC84" s="119"/>
      <c r="AD84" s="119"/>
      <c r="AE84" s="119"/>
      <c r="AF84" s="119"/>
      <c r="AG84" s="119"/>
      <c r="AH84" s="119"/>
      <c r="AI84" s="119"/>
      <c r="AJ84" s="119"/>
      <c r="AK84" s="119"/>
      <c r="AL84" s="119"/>
      <c r="AM84" s="119"/>
      <c r="AN84" s="119"/>
      <c r="AO84" s="119"/>
      <c r="AP84" s="68"/>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row>
    <row r="85" spans="1:67" ht="29.25" hidden="1" customHeight="1">
      <c r="A85" s="93" t="s">
        <v>128</v>
      </c>
      <c r="B85" s="94" t="s">
        <v>621</v>
      </c>
      <c r="C85" s="141" t="s">
        <v>622</v>
      </c>
      <c r="D85" s="96" t="s">
        <v>623</v>
      </c>
      <c r="E85" s="97"/>
      <c r="F85" s="112" t="s">
        <v>76</v>
      </c>
      <c r="G85" s="98">
        <v>100</v>
      </c>
      <c r="H85" s="22">
        <f>IF(OR(J85="",K85="",K85&lt;J85),0,NETWORKDAYS(J85,K85,fESTIVOS!$A$2:$A$53))</f>
        <v>0</v>
      </c>
      <c r="I85" s="99">
        <v>46010</v>
      </c>
      <c r="J85" s="100">
        <v>46010</v>
      </c>
      <c r="K85" s="100"/>
      <c r="L85" s="100">
        <v>46013</v>
      </c>
      <c r="M85" s="27">
        <f ca="1">IF(OR(J85="",AND(L85="",TODAY()&lt;J85),AND(L85&lt;&gt;"",L85&lt;J85)),0,
   IF(L85="",
      NETWORKDAYS(J85,TODAY(),fESTIVOS!$A$2:$A$53),
      NETWORKDAYS(J85,L85,fESTIVOS!$A$2:$A$53)
   )
)</f>
        <v>2</v>
      </c>
      <c r="N85" s="101"/>
      <c r="O85" s="99">
        <v>46013</v>
      </c>
      <c r="P85" s="101">
        <v>46044</v>
      </c>
      <c r="Q85" s="34" t="s">
        <v>624</v>
      </c>
      <c r="R85" s="113" t="s">
        <v>78</v>
      </c>
      <c r="S85" s="155">
        <v>2</v>
      </c>
      <c r="T85" s="59" t="s">
        <v>625</v>
      </c>
      <c r="U85" s="122" t="s">
        <v>626</v>
      </c>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row>
    <row r="86" spans="1:67" ht="29.25" hidden="1" customHeight="1">
      <c r="A86" s="123" t="s">
        <v>210</v>
      </c>
      <c r="B86" s="94" t="s">
        <v>627</v>
      </c>
      <c r="C86" s="141" t="s">
        <v>628</v>
      </c>
      <c r="D86" s="96"/>
      <c r="E86" s="97"/>
      <c r="F86" s="112" t="s">
        <v>232</v>
      </c>
      <c r="G86" s="98"/>
      <c r="H86" s="22">
        <f>IF(OR(J86="",K86="",K86&lt;J86),0,NETWORKDAYS(J86,K86,fESTIVOS!$A$2:$A$53))</f>
        <v>0</v>
      </c>
      <c r="I86" s="99">
        <v>46042</v>
      </c>
      <c r="J86" s="100"/>
      <c r="K86" s="100"/>
      <c r="L86" s="100"/>
      <c r="M86" s="27">
        <f ca="1">IF(OR(J86="",AND(L86="",TODAY()&lt;J86),AND(L86&lt;&gt;"",L86&lt;J86)),0,
   IF(L86="",
      NETWORKDAYS(J86,TODAY(),fESTIVOS!$A$2:$A$53),
      NETWORKDAYS(J86,L86,fESTIVOS!$A$2:$A$53)
   )
)</f>
        <v>0</v>
      </c>
      <c r="N86" s="101"/>
      <c r="O86" s="99"/>
      <c r="P86" s="101"/>
      <c r="Q86" s="34" t="s">
        <v>629</v>
      </c>
      <c r="R86" s="113" t="s">
        <v>78</v>
      </c>
      <c r="S86" s="160"/>
      <c r="T86" s="161"/>
      <c r="U86" s="162"/>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row>
    <row r="87" spans="1:67" ht="29.25" hidden="1" customHeight="1">
      <c r="A87" s="93" t="s">
        <v>157</v>
      </c>
      <c r="B87" s="106" t="s">
        <v>630</v>
      </c>
      <c r="C87" s="142" t="s">
        <v>631</v>
      </c>
      <c r="D87" s="163" t="s">
        <v>632</v>
      </c>
      <c r="E87" s="97"/>
      <c r="F87" s="122" t="s">
        <v>70</v>
      </c>
      <c r="G87" s="98">
        <v>95</v>
      </c>
      <c r="H87" s="22">
        <f>IF(OR(J87="",K87="",K87&lt;J87),0,NETWORKDAYS(J87,K87,fESTIVOS!$A$2:$A$53))</f>
        <v>0</v>
      </c>
      <c r="I87" s="99">
        <v>45954</v>
      </c>
      <c r="J87" s="100">
        <v>45957</v>
      </c>
      <c r="K87" s="100"/>
      <c r="L87" s="100">
        <v>45982</v>
      </c>
      <c r="M87" s="27">
        <f ca="1">IF(OR(J87="",AND(L87="",TODAY()&lt;J87),AND(L87&lt;&gt;"",L87&lt;J87)),0,
   IF(L87="",
      NETWORKDAYS(J87,TODAY(),fESTIVOS!$A$2:$A$53),
      NETWORKDAYS(J87,L87,fESTIVOS!$A$2:$A$53)
   )
)</f>
        <v>18</v>
      </c>
      <c r="N87" s="101"/>
      <c r="O87" s="99">
        <v>45982</v>
      </c>
      <c r="P87" s="101"/>
      <c r="Q87" s="34" t="s">
        <v>633</v>
      </c>
      <c r="R87" s="31" t="s">
        <v>78</v>
      </c>
      <c r="S87" s="164"/>
      <c r="T87" s="165" t="s">
        <v>634</v>
      </c>
      <c r="U87" s="166" t="s">
        <v>635</v>
      </c>
      <c r="V87" s="167" t="s">
        <v>636</v>
      </c>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row>
    <row r="88" spans="1:67" ht="29.25" hidden="1" customHeight="1">
      <c r="A88" s="93" t="s">
        <v>157</v>
      </c>
      <c r="B88" s="106" t="s">
        <v>637</v>
      </c>
      <c r="C88" s="141" t="s">
        <v>638</v>
      </c>
      <c r="D88" s="96" t="s">
        <v>639</v>
      </c>
      <c r="E88" s="116"/>
      <c r="F88" s="117" t="s">
        <v>76</v>
      </c>
      <c r="G88" s="59">
        <v>100</v>
      </c>
      <c r="H88" s="22">
        <f>IF(OR(J88="",K88="",K88&lt;J88),0,NETWORKDAYS(J88,K88,fESTIVOS!$A$2:$A$53))</f>
        <v>0</v>
      </c>
      <c r="I88" s="82">
        <v>46038</v>
      </c>
      <c r="J88" s="61">
        <v>46038</v>
      </c>
      <c r="K88" s="61"/>
      <c r="L88" s="61">
        <v>46038</v>
      </c>
      <c r="M88" s="27">
        <f ca="1">IF(OR(J88="",AND(L88="",TODAY()&lt;J88),AND(L88&lt;&gt;"",L88&lt;J88)),0,
   IF(L88="",
      NETWORKDAYS(J88,TODAY(),fESTIVOS!$A$2:$A$53),
      NETWORKDAYS(J88,L88,fESTIVOS!$A$2:$A$53)
   )
)</f>
        <v>1</v>
      </c>
      <c r="N88" s="62"/>
      <c r="O88" s="60"/>
      <c r="P88" s="63">
        <v>46038</v>
      </c>
      <c r="Q88" s="64" t="s">
        <v>640</v>
      </c>
      <c r="R88" s="31" t="s">
        <v>209</v>
      </c>
      <c r="S88" s="168"/>
      <c r="U88" s="169"/>
      <c r="V88" s="119"/>
      <c r="W88" s="119"/>
      <c r="X88" s="119"/>
      <c r="Y88" s="119"/>
      <c r="Z88" s="119"/>
      <c r="AA88" s="119"/>
      <c r="AB88" s="119"/>
      <c r="AC88" s="119"/>
      <c r="AD88" s="119"/>
      <c r="AE88" s="119"/>
      <c r="AF88" s="119"/>
      <c r="AG88" s="119"/>
      <c r="AH88" s="119"/>
      <c r="AI88" s="119"/>
      <c r="AJ88" s="119"/>
      <c r="AK88" s="119"/>
      <c r="AL88" s="119"/>
      <c r="AM88" s="119"/>
      <c r="AN88" s="119"/>
      <c r="AO88" s="119"/>
      <c r="AP88" s="68"/>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row>
    <row r="89" spans="1:67" ht="29.25" hidden="1" customHeight="1">
      <c r="A89" s="93" t="s">
        <v>157</v>
      </c>
      <c r="B89" s="94" t="s">
        <v>641</v>
      </c>
      <c r="C89" s="141" t="s">
        <v>642</v>
      </c>
      <c r="D89" s="96" t="s">
        <v>643</v>
      </c>
      <c r="E89" s="116"/>
      <c r="F89" s="117" t="s">
        <v>501</v>
      </c>
      <c r="G89" s="59">
        <v>70</v>
      </c>
      <c r="H89" s="22">
        <f>IF(OR(J89="",K89="",K89&lt;J89),0,NETWORKDAYS(J89,K89,fESTIVOS!$A$2:$A$53))</f>
        <v>9</v>
      </c>
      <c r="I89" s="82">
        <v>46010</v>
      </c>
      <c r="J89" s="61">
        <v>46020</v>
      </c>
      <c r="K89" s="61">
        <v>46031</v>
      </c>
      <c r="L89" s="70"/>
      <c r="M89" s="27">
        <f ca="1">IF(OR(J89="",AND(L89="",TODAY()&lt;J89),AND(L89&lt;&gt;"",L89&lt;J89)),0,
   IF(L89="",
      NETWORKDAYS(J89,TODAY(),fESTIVOS!$A$2:$A$53),
      NETWORKDAYS(J89,L89,fESTIVOS!$A$2:$A$53)
   )
)</f>
        <v>21</v>
      </c>
      <c r="N89" s="63">
        <v>46049</v>
      </c>
      <c r="O89" s="60"/>
      <c r="P89" s="62"/>
      <c r="Q89" s="64" t="s">
        <v>644</v>
      </c>
      <c r="R89" s="31" t="s">
        <v>78</v>
      </c>
      <c r="S89" s="72"/>
      <c r="T89" s="146" t="s">
        <v>645</v>
      </c>
      <c r="U89" s="73"/>
      <c r="V89" s="170" t="s">
        <v>646</v>
      </c>
      <c r="W89" s="119"/>
      <c r="X89" s="119"/>
      <c r="Y89" s="119"/>
      <c r="Z89" s="119"/>
      <c r="AA89" s="119"/>
      <c r="AB89" s="119"/>
      <c r="AC89" s="119"/>
      <c r="AD89" s="119"/>
      <c r="AE89" s="119"/>
      <c r="AF89" s="119"/>
      <c r="AG89" s="119"/>
      <c r="AH89" s="119"/>
      <c r="AI89" s="119"/>
      <c r="AJ89" s="119"/>
      <c r="AK89" s="119"/>
      <c r="AL89" s="119"/>
      <c r="AM89" s="119"/>
      <c r="AN89" s="119"/>
      <c r="AO89" s="119"/>
      <c r="AP89" s="68"/>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row>
    <row r="90" spans="1:67" ht="29.25" hidden="1" customHeight="1">
      <c r="A90" s="93" t="s">
        <v>157</v>
      </c>
      <c r="B90" s="94" t="s">
        <v>647</v>
      </c>
      <c r="C90" s="141" t="s">
        <v>648</v>
      </c>
      <c r="D90" s="171"/>
      <c r="E90" s="116"/>
      <c r="F90" s="117" t="s">
        <v>76</v>
      </c>
      <c r="G90" s="59">
        <v>100</v>
      </c>
      <c r="H90" s="22">
        <f>IF(OR(J90="",K90="",K90&lt;J90),0,NETWORKDAYS(J90,K90,fESTIVOS!$A$2:$A$53))</f>
        <v>0</v>
      </c>
      <c r="I90" s="82">
        <v>46013</v>
      </c>
      <c r="J90" s="61">
        <v>46014</v>
      </c>
      <c r="K90" s="70"/>
      <c r="L90" s="61">
        <v>46020</v>
      </c>
      <c r="M90" s="27">
        <f ca="1">IF(OR(J90="",AND(L90="",TODAY()&lt;J90),AND(L90&lt;&gt;"",L90&lt;J90)),0,
   IF(L90="",
      NETWORKDAYS(J90,TODAY(),fESTIVOS!$A$2:$A$53),
      NETWORKDAYS(J90,L90,fESTIVOS!$A$2:$A$53)
   )
)</f>
        <v>4</v>
      </c>
      <c r="N90" s="63"/>
      <c r="O90" s="82">
        <v>46020</v>
      </c>
      <c r="P90" s="63">
        <v>46020</v>
      </c>
      <c r="Q90" s="64" t="s">
        <v>649</v>
      </c>
      <c r="R90" s="31" t="s">
        <v>78</v>
      </c>
      <c r="S90" s="72"/>
      <c r="T90" s="168"/>
      <c r="U90" s="73"/>
      <c r="V90" s="119"/>
      <c r="W90" s="119"/>
      <c r="X90" s="119"/>
      <c r="Y90" s="119"/>
      <c r="Z90" s="119"/>
      <c r="AA90" s="119"/>
      <c r="AB90" s="119"/>
      <c r="AC90" s="119"/>
      <c r="AD90" s="119"/>
      <c r="AE90" s="119"/>
      <c r="AF90" s="119"/>
      <c r="AG90" s="119"/>
      <c r="AH90" s="119"/>
      <c r="AI90" s="119"/>
      <c r="AJ90" s="119"/>
      <c r="AK90" s="119"/>
      <c r="AL90" s="119"/>
      <c r="AM90" s="119"/>
      <c r="AN90" s="119"/>
      <c r="AO90" s="119"/>
      <c r="AP90" s="68"/>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row>
    <row r="91" spans="1:67" ht="29.25" hidden="1" customHeight="1">
      <c r="A91" s="93" t="s">
        <v>157</v>
      </c>
      <c r="B91" s="94" t="s">
        <v>650</v>
      </c>
      <c r="C91" s="141" t="s">
        <v>651</v>
      </c>
      <c r="D91" s="121" t="s">
        <v>652</v>
      </c>
      <c r="E91" s="97"/>
      <c r="F91" s="122" t="s">
        <v>76</v>
      </c>
      <c r="G91" s="98">
        <v>100</v>
      </c>
      <c r="H91" s="22">
        <f>IF(OR(J91="",K91="",K91&lt;J91),0,NETWORKDAYS(J91,K91,fESTIVOS!$A$2:$A$53))</f>
        <v>0</v>
      </c>
      <c r="I91" s="99">
        <v>46020</v>
      </c>
      <c r="J91" s="100">
        <v>46022</v>
      </c>
      <c r="K91" s="100"/>
      <c r="L91" s="100">
        <v>46022</v>
      </c>
      <c r="M91" s="27">
        <f ca="1">IF(OR(J91="",AND(L91="",TODAY()&lt;J91),AND(L91&lt;&gt;"",L91&lt;J91)),0,
   IF(L91="",
      NETWORKDAYS(J91,TODAY(),fESTIVOS!$A$2:$A$53),
      NETWORKDAYS(J91,L91,fESTIVOS!$A$2:$A$53)
   )
)</f>
        <v>1</v>
      </c>
      <c r="N91" s="101"/>
      <c r="O91" s="99">
        <v>46022</v>
      </c>
      <c r="P91" s="101"/>
      <c r="Q91" s="34" t="s">
        <v>653</v>
      </c>
      <c r="R91" s="31" t="s">
        <v>78</v>
      </c>
      <c r="S91" s="164"/>
      <c r="T91" s="165"/>
      <c r="U91" s="162"/>
      <c r="V91" s="167" t="s">
        <v>654</v>
      </c>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row>
    <row r="92" spans="1:67" ht="29.25" hidden="1" customHeight="1">
      <c r="A92" s="93" t="s">
        <v>157</v>
      </c>
      <c r="B92" s="106" t="s">
        <v>655</v>
      </c>
      <c r="C92" s="141" t="s">
        <v>656</v>
      </c>
      <c r="D92" s="115" t="s">
        <v>657</v>
      </c>
      <c r="E92" s="116"/>
      <c r="F92" s="117" t="s">
        <v>76</v>
      </c>
      <c r="G92" s="59">
        <v>100</v>
      </c>
      <c r="H92" s="22">
        <f>IF(OR(J92="",K92="",K92&lt;J92),0,NETWORKDAYS(J92,K92,fESTIVOS!$A$2:$A$53))</f>
        <v>0</v>
      </c>
      <c r="I92" s="82">
        <v>46028</v>
      </c>
      <c r="J92" s="61">
        <v>46028</v>
      </c>
      <c r="K92" s="70"/>
      <c r="L92" s="61">
        <v>46035</v>
      </c>
      <c r="M92" s="27">
        <f ca="1">IF(OR(J92="",AND(L92="",TODAY()&lt;J92),AND(L92&lt;&gt;"",L92&lt;J92)),0,
   IF(L92="",
      NETWORKDAYS(J92,TODAY(),fESTIVOS!$A$2:$A$53),
      NETWORKDAYS(J92,L92,fESTIVOS!$A$2:$A$53)
   )
)</f>
        <v>5</v>
      </c>
      <c r="N92" s="63"/>
      <c r="O92" s="82">
        <v>46036</v>
      </c>
      <c r="P92" s="63">
        <v>46036</v>
      </c>
      <c r="Q92" s="64" t="s">
        <v>658</v>
      </c>
      <c r="R92" s="31" t="s">
        <v>209</v>
      </c>
      <c r="S92" s="168"/>
      <c r="T92" s="168"/>
      <c r="U92" s="169"/>
      <c r="V92" s="119"/>
      <c r="W92" s="119"/>
      <c r="X92" s="119"/>
      <c r="Y92" s="119"/>
      <c r="Z92" s="119"/>
      <c r="AA92" s="119"/>
      <c r="AB92" s="119"/>
      <c r="AC92" s="119"/>
      <c r="AD92" s="119"/>
      <c r="AE92" s="119"/>
      <c r="AF92" s="119"/>
      <c r="AG92" s="119"/>
      <c r="AH92" s="119"/>
      <c r="AI92" s="119"/>
      <c r="AJ92" s="119"/>
      <c r="AK92" s="119"/>
      <c r="AL92" s="119"/>
      <c r="AM92" s="119"/>
      <c r="AN92" s="119"/>
      <c r="AO92" s="119"/>
      <c r="AP92" s="68"/>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row>
    <row r="93" spans="1:67" ht="29.25" hidden="1" customHeight="1">
      <c r="A93" s="93" t="s">
        <v>157</v>
      </c>
      <c r="B93" s="94" t="s">
        <v>659</v>
      </c>
      <c r="C93" s="120" t="s">
        <v>660</v>
      </c>
      <c r="D93" s="115" t="s">
        <v>661</v>
      </c>
      <c r="E93" s="116"/>
      <c r="F93" s="117" t="s">
        <v>76</v>
      </c>
      <c r="G93" s="59">
        <v>100</v>
      </c>
      <c r="H93" s="22">
        <f>IF(OR(J93="",K93="",K93&lt;J93),0,NETWORKDAYS(J93,K93,fESTIVOS!$A$2:$A$53))</f>
        <v>0</v>
      </c>
      <c r="I93" s="82">
        <v>46030</v>
      </c>
      <c r="J93" s="61">
        <v>46035</v>
      </c>
      <c r="K93" s="70"/>
      <c r="L93" s="61">
        <v>46035</v>
      </c>
      <c r="M93" s="27">
        <f ca="1">IF(OR(J93="",AND(L93="",TODAY()&lt;J93),AND(L93&lt;&gt;"",L93&lt;J93)),0,
   IF(L93="",
      NETWORKDAYS(J93,TODAY(),fESTIVOS!$A$2:$A$53),
      NETWORKDAYS(J93,L93,fESTIVOS!$A$2:$A$53)
   )
)</f>
        <v>1</v>
      </c>
      <c r="N93" s="63"/>
      <c r="O93" s="82">
        <v>46035</v>
      </c>
      <c r="P93" s="63">
        <v>46035</v>
      </c>
      <c r="Q93" s="64" t="s">
        <v>662</v>
      </c>
      <c r="R93" s="113" t="s">
        <v>209</v>
      </c>
      <c r="S93" s="168"/>
      <c r="T93" s="168"/>
      <c r="U93" s="169"/>
      <c r="V93" s="119"/>
      <c r="W93" s="119"/>
      <c r="X93" s="119"/>
      <c r="Y93" s="119"/>
      <c r="Z93" s="119"/>
      <c r="AA93" s="119"/>
      <c r="AB93" s="119"/>
      <c r="AC93" s="119"/>
      <c r="AD93" s="119"/>
      <c r="AE93" s="119"/>
      <c r="AF93" s="119"/>
      <c r="AG93" s="119"/>
      <c r="AH93" s="119"/>
      <c r="AI93" s="119"/>
      <c r="AJ93" s="119"/>
      <c r="AK93" s="119"/>
      <c r="AL93" s="119"/>
      <c r="AM93" s="119"/>
      <c r="AN93" s="119"/>
      <c r="AO93" s="119"/>
      <c r="AP93" s="68"/>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row>
    <row r="94" spans="1:67" ht="29.25" hidden="1" customHeight="1">
      <c r="A94" s="93" t="s">
        <v>210</v>
      </c>
      <c r="B94" s="106" t="s">
        <v>663</v>
      </c>
      <c r="C94" s="141" t="s">
        <v>664</v>
      </c>
      <c r="D94" s="115" t="s">
        <v>661</v>
      </c>
      <c r="E94" s="116"/>
      <c r="F94" s="117" t="s">
        <v>76</v>
      </c>
      <c r="G94" s="59">
        <v>100</v>
      </c>
      <c r="H94" s="22">
        <f>IF(OR(J94="",K94="",K94&lt;J94),0,NETWORKDAYS(J94,K94,fESTIVOS!$A$2:$A$53))</f>
        <v>0</v>
      </c>
      <c r="I94" s="82">
        <v>46029</v>
      </c>
      <c r="J94" s="61">
        <v>46030</v>
      </c>
      <c r="K94" s="70"/>
      <c r="L94" s="61">
        <v>46030</v>
      </c>
      <c r="M94" s="27">
        <f ca="1">IF(OR(J94="",AND(L94="",TODAY()&lt;J94),AND(L94&lt;&gt;"",L94&lt;J94)),0,
   IF(L94="",
      NETWORKDAYS(J94,TODAY(),fESTIVOS!$A$2:$A$53),
      NETWORKDAYS(J94,L94,fESTIVOS!$A$2:$A$53)
   )
)</f>
        <v>1</v>
      </c>
      <c r="N94" s="62"/>
      <c r="O94" s="60"/>
      <c r="P94" s="62"/>
      <c r="Q94" s="64" t="s">
        <v>665</v>
      </c>
      <c r="R94" s="113" t="s">
        <v>209</v>
      </c>
      <c r="S94" s="168"/>
      <c r="T94" s="168"/>
      <c r="U94" s="169"/>
      <c r="V94" s="119"/>
      <c r="W94" s="119"/>
      <c r="X94" s="119"/>
      <c r="Y94" s="119"/>
      <c r="Z94" s="119"/>
      <c r="AA94" s="119"/>
      <c r="AB94" s="119"/>
      <c r="AC94" s="119"/>
      <c r="AD94" s="119"/>
      <c r="AE94" s="119"/>
      <c r="AF94" s="119"/>
      <c r="AG94" s="119"/>
      <c r="AH94" s="119"/>
      <c r="AI94" s="119"/>
      <c r="AJ94" s="119"/>
      <c r="AK94" s="119"/>
      <c r="AL94" s="119"/>
      <c r="AM94" s="119"/>
      <c r="AN94" s="119"/>
      <c r="AO94" s="119"/>
      <c r="AP94" s="68"/>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row>
    <row r="95" spans="1:67" ht="29.25" hidden="1" customHeight="1">
      <c r="A95" s="93" t="s">
        <v>157</v>
      </c>
      <c r="B95" s="106" t="s">
        <v>666</v>
      </c>
      <c r="C95" s="141" t="s">
        <v>667</v>
      </c>
      <c r="D95" s="115" t="s">
        <v>668</v>
      </c>
      <c r="E95" s="116"/>
      <c r="F95" s="117" t="s">
        <v>76</v>
      </c>
      <c r="G95" s="59">
        <v>100</v>
      </c>
      <c r="H95" s="22">
        <f>IF(OR(J95="",K95="",K95&lt;J95),0,NETWORKDAYS(J95,K95,fESTIVOS!$A$2:$A$53))</f>
        <v>0</v>
      </c>
      <c r="I95" s="82">
        <v>46045</v>
      </c>
      <c r="J95" s="61">
        <v>46045</v>
      </c>
      <c r="K95" s="70"/>
      <c r="L95" s="61">
        <v>46045</v>
      </c>
      <c r="M95" s="27">
        <f ca="1">IF(OR(J95="",AND(L95="",TODAY()&lt;J95),AND(L95&lt;&gt;"",L95&lt;J95)),0,
   IF(L95="",
      NETWORKDAYS(J95,TODAY(),fESTIVOS!$A$2:$A$53),
      NETWORKDAYS(J95,L95,fESTIVOS!$A$2:$A$53)
   )
)</f>
        <v>1</v>
      </c>
      <c r="N95" s="62"/>
      <c r="O95" s="60"/>
      <c r="P95" s="62"/>
      <c r="Q95" s="64" t="s">
        <v>669</v>
      </c>
      <c r="R95" s="31" t="s">
        <v>209</v>
      </c>
      <c r="S95" s="168"/>
      <c r="T95" s="168"/>
      <c r="U95" s="169"/>
      <c r="V95" s="119"/>
      <c r="W95" s="119"/>
      <c r="X95" s="119"/>
      <c r="Y95" s="119"/>
      <c r="Z95" s="119"/>
      <c r="AA95" s="119"/>
      <c r="AB95" s="119"/>
      <c r="AC95" s="119"/>
      <c r="AD95" s="119"/>
      <c r="AE95" s="119"/>
      <c r="AF95" s="119"/>
      <c r="AG95" s="119"/>
      <c r="AH95" s="119"/>
      <c r="AI95" s="119"/>
      <c r="AJ95" s="119"/>
      <c r="AK95" s="119"/>
      <c r="AL95" s="119"/>
      <c r="AM95" s="119"/>
      <c r="AN95" s="119"/>
      <c r="AO95" s="119"/>
      <c r="AP95" s="68"/>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row>
    <row r="96" spans="1:67" ht="29.25" hidden="1" customHeight="1">
      <c r="A96" s="93" t="s">
        <v>157</v>
      </c>
      <c r="B96" s="106" t="s">
        <v>670</v>
      </c>
      <c r="C96" s="110" t="s">
        <v>671</v>
      </c>
      <c r="D96" s="96" t="s">
        <v>672</v>
      </c>
      <c r="E96" s="97"/>
      <c r="F96" s="122" t="s">
        <v>232</v>
      </c>
      <c r="G96" s="172"/>
      <c r="H96" s="22">
        <f>IF(OR(J96="",K96="",K96&lt;J96),0,NETWORKDAYS(J96,K96,fESTIVOS!$A$2:$A$53))</f>
        <v>0</v>
      </c>
      <c r="I96" s="99">
        <v>46045</v>
      </c>
      <c r="J96" s="100"/>
      <c r="K96" s="100"/>
      <c r="L96" s="100"/>
      <c r="M96" s="27">
        <f ca="1">IF(OR(J96="",AND(L96="",TODAY()&lt;J96),AND(L96&lt;&gt;"",L96&lt;J96)),0,
   IF(L96="",
      NETWORKDAYS(J96,TODAY(),fESTIVOS!$A$2:$A$53),
      NETWORKDAYS(J96,L96,fESTIVOS!$A$2:$A$53)
   )
)</f>
        <v>0</v>
      </c>
      <c r="N96" s="101"/>
      <c r="O96" s="99"/>
      <c r="P96" s="101"/>
      <c r="Q96" s="34" t="s">
        <v>673</v>
      </c>
      <c r="R96" s="31" t="s">
        <v>209</v>
      </c>
      <c r="S96" s="102"/>
      <c r="T96" s="102"/>
      <c r="U96" s="103"/>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row>
    <row r="97" spans="1:67" ht="29.25" hidden="1" customHeight="1">
      <c r="A97" s="93" t="s">
        <v>157</v>
      </c>
      <c r="B97" s="106" t="s">
        <v>674</v>
      </c>
      <c r="C97" s="141" t="s">
        <v>675</v>
      </c>
      <c r="D97" s="115" t="s">
        <v>676</v>
      </c>
      <c r="E97" s="116"/>
      <c r="F97" s="117" t="s">
        <v>76</v>
      </c>
      <c r="G97" s="59">
        <v>100</v>
      </c>
      <c r="H97" s="22">
        <f>IF(OR(J97="",K97="",K97&lt;J97),0,NETWORKDAYS(J97,K97,fESTIVOS!$A$2:$A$53))</f>
        <v>0</v>
      </c>
      <c r="I97" s="82">
        <v>46050</v>
      </c>
      <c r="J97" s="61">
        <v>46050</v>
      </c>
      <c r="K97" s="70"/>
      <c r="L97" s="61">
        <v>46050</v>
      </c>
      <c r="M97" s="27">
        <f ca="1">IF(OR(J97="",AND(L97="",TODAY()&lt;J97),AND(L97&lt;&gt;"",L97&lt;J97)),0,
   IF(L97="",
      NETWORKDAYS(J97,TODAY(),fESTIVOS!$A$2:$A$53),
      NETWORKDAYS(J97,L97,fESTIVOS!$A$2:$A$53)
   )
)</f>
        <v>1</v>
      </c>
      <c r="N97" s="62"/>
      <c r="O97" s="60"/>
      <c r="P97" s="62"/>
      <c r="Q97" s="64" t="s">
        <v>677</v>
      </c>
      <c r="R97" s="31" t="s">
        <v>209</v>
      </c>
      <c r="S97" s="72"/>
      <c r="T97" s="72"/>
      <c r="U97" s="73"/>
      <c r="V97" s="119"/>
      <c r="W97" s="119"/>
      <c r="X97" s="119"/>
      <c r="Y97" s="119"/>
      <c r="Z97" s="119"/>
      <c r="AA97" s="119"/>
      <c r="AB97" s="119"/>
      <c r="AC97" s="119"/>
      <c r="AD97" s="119"/>
      <c r="AE97" s="119"/>
      <c r="AF97" s="119"/>
      <c r="AG97" s="119"/>
      <c r="AH97" s="119"/>
      <c r="AI97" s="119"/>
      <c r="AJ97" s="119"/>
      <c r="AK97" s="119"/>
      <c r="AL97" s="119"/>
      <c r="AM97" s="119"/>
      <c r="AN97" s="119"/>
      <c r="AO97" s="119"/>
      <c r="AP97" s="68"/>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row>
    <row r="98" spans="1:67" ht="29.25" hidden="1" customHeight="1">
      <c r="A98" s="56" t="s">
        <v>157</v>
      </c>
      <c r="B98" s="106" t="s">
        <v>678</v>
      </c>
      <c r="C98" s="142" t="s">
        <v>679</v>
      </c>
      <c r="D98" s="171"/>
      <c r="E98" s="116"/>
      <c r="F98" s="117" t="s">
        <v>232</v>
      </c>
      <c r="G98" s="139"/>
      <c r="H98" s="22">
        <f>IF(OR(J98="",K98="",K98&lt;J98),0,NETWORKDAYS(J98,K98,fESTIVOS!$A$2:$A$53))</f>
        <v>0</v>
      </c>
      <c r="I98" s="82">
        <v>45902</v>
      </c>
      <c r="J98" s="70"/>
      <c r="K98" s="70"/>
      <c r="L98" s="70"/>
      <c r="M98" s="27">
        <f ca="1">IF(OR(J98="",AND(L98="",TODAY()&lt;J98),AND(L98&lt;&gt;"",L98&lt;J98)),0,
   IF(L98="",
      NETWORKDAYS(J98,TODAY(),fESTIVOS!$A$2:$A$53),
      NETWORKDAYS(J98,L98,fESTIVOS!$A$2:$A$53)
   )
)</f>
        <v>0</v>
      </c>
      <c r="N98" s="62"/>
      <c r="O98" s="60"/>
      <c r="P98" s="62"/>
      <c r="Q98" s="173"/>
      <c r="R98" s="113" t="s">
        <v>93</v>
      </c>
      <c r="S98" s="72"/>
      <c r="T98" s="72"/>
      <c r="U98" s="73"/>
      <c r="V98" s="119"/>
      <c r="W98" s="119"/>
      <c r="X98" s="119"/>
      <c r="Y98" s="119"/>
      <c r="Z98" s="119"/>
      <c r="AA98" s="119"/>
      <c r="AB98" s="119"/>
      <c r="AC98" s="119"/>
      <c r="AD98" s="119"/>
      <c r="AE98" s="119"/>
      <c r="AF98" s="119"/>
      <c r="AG98" s="119"/>
      <c r="AH98" s="119"/>
      <c r="AI98" s="119"/>
      <c r="AJ98" s="119"/>
      <c r="AK98" s="119"/>
      <c r="AL98" s="119"/>
      <c r="AM98" s="119"/>
      <c r="AN98" s="119"/>
      <c r="AO98" s="119"/>
      <c r="AP98" s="68"/>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row>
    <row r="99" spans="1:67" ht="29.25" hidden="1" customHeight="1">
      <c r="A99" s="56" t="s">
        <v>157</v>
      </c>
      <c r="B99" s="17" t="s">
        <v>680</v>
      </c>
      <c r="C99" s="107" t="s">
        <v>681</v>
      </c>
      <c r="D99" s="96"/>
      <c r="E99" s="97"/>
      <c r="F99" s="122" t="s">
        <v>76</v>
      </c>
      <c r="G99" s="98">
        <v>100</v>
      </c>
      <c r="H99" s="22">
        <f>IF(OR(J99="",K99="",K99&lt;J99),0,NETWORKDAYS(J99,K99,fESTIVOS!$A$2:$A$53))</f>
        <v>0</v>
      </c>
      <c r="I99" s="99">
        <v>45862</v>
      </c>
      <c r="J99" s="100">
        <v>45863</v>
      </c>
      <c r="K99" s="100"/>
      <c r="L99" s="100">
        <v>45863</v>
      </c>
      <c r="M99" s="27">
        <f ca="1">IF(OR(J99="",AND(L99="",TODAY()&lt;J99),AND(L99&lt;&gt;"",L99&lt;J99)),0,
   IF(L99="",
      NETWORKDAYS(J99,TODAY(),fESTIVOS!$A$2:$A$53),
      NETWORKDAYS(J99,L99,fESTIVOS!$A$2:$A$53)
   )
)</f>
        <v>1</v>
      </c>
      <c r="N99" s="101"/>
      <c r="O99" s="99"/>
      <c r="P99" s="101"/>
      <c r="Q99" s="34" t="s">
        <v>682</v>
      </c>
      <c r="R99" s="31" t="s">
        <v>78</v>
      </c>
      <c r="S99" s="102"/>
      <c r="T99" s="102"/>
      <c r="U99" s="103"/>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row>
    <row r="100" spans="1:67" ht="29.25" hidden="1" customHeight="1">
      <c r="A100" s="56" t="s">
        <v>157</v>
      </c>
      <c r="B100" s="17" t="s">
        <v>683</v>
      </c>
      <c r="C100" s="107" t="s">
        <v>684</v>
      </c>
      <c r="D100" s="96"/>
      <c r="E100" s="97"/>
      <c r="F100" s="122" t="s">
        <v>76</v>
      </c>
      <c r="G100" s="98">
        <v>100</v>
      </c>
      <c r="H100" s="22">
        <f>IF(OR(J100="",K100="",K100&lt;J100),0,NETWORKDAYS(J100,K100,fESTIVOS!$A$2:$A$53))</f>
        <v>0</v>
      </c>
      <c r="I100" s="99">
        <v>45862</v>
      </c>
      <c r="J100" s="100">
        <v>45862</v>
      </c>
      <c r="K100" s="100"/>
      <c r="L100" s="100"/>
      <c r="M100" s="27">
        <f ca="1">IF(OR(J100="",AND(L100="",TODAY()&lt;J100),AND(L100&lt;&gt;"",L100&lt;J100)),0,
   IF(L100="",
      NETWORKDAYS(J100,TODAY(),fESTIVOS!$A$2:$A$53),
      NETWORKDAYS(J100,L100,fESTIVOS!$A$2:$A$53)
   )
)</f>
        <v>126</v>
      </c>
      <c r="N100" s="101"/>
      <c r="O100" s="99"/>
      <c r="P100" s="101"/>
      <c r="Q100" s="34" t="s">
        <v>685</v>
      </c>
      <c r="R100" s="31" t="s">
        <v>78</v>
      </c>
      <c r="S100" s="102"/>
      <c r="T100" s="102"/>
      <c r="U100" s="103"/>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37" t="s">
        <v>686</v>
      </c>
      <c r="BM100" s="37"/>
      <c r="BN100" s="37"/>
      <c r="BO100" s="37"/>
    </row>
    <row r="101" spans="1:67" ht="29.25" hidden="1" customHeight="1">
      <c r="A101" s="123" t="s">
        <v>210</v>
      </c>
      <c r="B101" s="106" t="s">
        <v>687</v>
      </c>
      <c r="C101" s="107" t="s">
        <v>688</v>
      </c>
      <c r="D101" s="174"/>
      <c r="E101" s="175"/>
      <c r="F101" s="166" t="s">
        <v>76</v>
      </c>
      <c r="G101" s="165">
        <v>100</v>
      </c>
      <c r="H101" s="22">
        <f>IF(OR(J101="",K101="",K101&lt;J101),0,NETWORKDAYS(J101,K101,fESTIVOS!$A$2:$A$53))</f>
        <v>0</v>
      </c>
      <c r="I101" s="176">
        <v>45862</v>
      </c>
      <c r="J101" s="177">
        <v>45862</v>
      </c>
      <c r="K101" s="177"/>
      <c r="L101" s="177">
        <v>45863</v>
      </c>
      <c r="M101" s="27">
        <f ca="1">IF(OR(J101="",AND(L101="",TODAY()&lt;J101),AND(L101&lt;&gt;"",L101&lt;J101)),0,
   IF(L101="",
      NETWORKDAYS(J101,TODAY(),fESTIVOS!$A$2:$A$53),
      NETWORKDAYS(J101,L101,fESTIVOS!$A$2:$A$53)
   )
)</f>
        <v>2</v>
      </c>
      <c r="N101" s="178"/>
      <c r="O101" s="176"/>
      <c r="P101" s="178"/>
      <c r="Q101" s="37" t="s">
        <v>689</v>
      </c>
      <c r="R101" s="31" t="s">
        <v>78</v>
      </c>
      <c r="S101" s="164"/>
      <c r="T101" s="164"/>
      <c r="U101" s="162"/>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row>
    <row r="102" spans="1:67" ht="29.25" hidden="1" customHeight="1">
      <c r="A102" s="16" t="s">
        <v>67</v>
      </c>
      <c r="B102" s="17" t="s">
        <v>690</v>
      </c>
      <c r="C102" s="107" t="s">
        <v>691</v>
      </c>
      <c r="D102" s="96"/>
      <c r="E102" s="97"/>
      <c r="F102" s="122" t="s">
        <v>76</v>
      </c>
      <c r="G102" s="98">
        <v>100</v>
      </c>
      <c r="H102" s="22">
        <f>IF(OR(J102="",K102="",K102&lt;J102),0,NETWORKDAYS(J102,K102,fESTIVOS!$A$2:$A$53))</f>
        <v>0</v>
      </c>
      <c r="I102" s="99">
        <v>45863</v>
      </c>
      <c r="J102" s="100">
        <v>45863</v>
      </c>
      <c r="K102" s="100"/>
      <c r="L102" s="100">
        <v>45863</v>
      </c>
      <c r="M102" s="27">
        <f ca="1">IF(OR(J102="",AND(L102="",TODAY()&lt;J102),AND(L102&lt;&gt;"",L102&lt;J102)),0,
   IF(L102="",
      NETWORKDAYS(J102,TODAY(),fESTIVOS!$A$2:$A$53),
      NETWORKDAYS(J102,L102,fESTIVOS!$A$2:$A$53)
   )
)</f>
        <v>1</v>
      </c>
      <c r="N102" s="101"/>
      <c r="O102" s="99"/>
      <c r="P102" s="101"/>
      <c r="Q102" s="34" t="s">
        <v>692</v>
      </c>
      <c r="R102" s="31" t="s">
        <v>78</v>
      </c>
      <c r="S102" s="102"/>
      <c r="T102" s="102"/>
      <c r="U102" s="103"/>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row>
    <row r="103" spans="1:67" ht="29.25" hidden="1" customHeight="1">
      <c r="A103" s="56" t="s">
        <v>128</v>
      </c>
      <c r="B103" s="17" t="s">
        <v>693</v>
      </c>
      <c r="C103" s="107" t="s">
        <v>694</v>
      </c>
      <c r="D103" s="96"/>
      <c r="E103" s="97"/>
      <c r="F103" s="122" t="s">
        <v>76</v>
      </c>
      <c r="G103" s="98">
        <v>100</v>
      </c>
      <c r="H103" s="22">
        <f>IF(OR(J103="",K103="",K103&lt;J103),0,NETWORKDAYS(J103,K103,fESTIVOS!$A$2:$A$53))</f>
        <v>0</v>
      </c>
      <c r="I103" s="99">
        <v>45863</v>
      </c>
      <c r="J103" s="100">
        <v>45863</v>
      </c>
      <c r="K103" s="100"/>
      <c r="L103" s="100">
        <v>45863</v>
      </c>
      <c r="M103" s="27">
        <f ca="1">IF(OR(J103="",AND(L103="",TODAY()&lt;J103),AND(L103&lt;&gt;"",L103&lt;J103)),0,
   IF(L103="",
      NETWORKDAYS(J103,TODAY(),fESTIVOS!$A$2:$A$53),
      NETWORKDAYS(J103,L103,fESTIVOS!$A$2:$A$53)
   )
)</f>
        <v>1</v>
      </c>
      <c r="N103" s="101"/>
      <c r="O103" s="99"/>
      <c r="P103" s="101"/>
      <c r="Q103" s="34" t="s">
        <v>695</v>
      </c>
      <c r="R103" s="31" t="s">
        <v>78</v>
      </c>
      <c r="S103" s="102"/>
      <c r="T103" s="102"/>
      <c r="U103" s="103"/>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row>
    <row r="104" spans="1:67" ht="29.25" hidden="1" customHeight="1">
      <c r="A104" s="56" t="s">
        <v>128</v>
      </c>
      <c r="B104" s="17" t="s">
        <v>696</v>
      </c>
      <c r="C104" s="107" t="s">
        <v>697</v>
      </c>
      <c r="D104" s="96"/>
      <c r="E104" s="97"/>
      <c r="F104" s="122" t="s">
        <v>76</v>
      </c>
      <c r="G104" s="98">
        <v>100</v>
      </c>
      <c r="H104" s="22">
        <f>IF(OR(J104="",K104="",K104&lt;J104),0,NETWORKDAYS(J104,K104,fESTIVOS!$A$2:$A$53))</f>
        <v>0</v>
      </c>
      <c r="I104" s="99">
        <v>45866</v>
      </c>
      <c r="J104" s="100">
        <v>45866</v>
      </c>
      <c r="K104" s="100"/>
      <c r="L104" s="100">
        <v>45867</v>
      </c>
      <c r="M104" s="27">
        <f ca="1">IF(OR(J104="",AND(L104="",TODAY()&lt;J104),AND(L104&lt;&gt;"",L104&lt;J104)),0,
   IF(L104="",
      NETWORKDAYS(J104,TODAY(),fESTIVOS!$A$2:$A$53),
      NETWORKDAYS(J104,L104,fESTIVOS!$A$2:$A$53)
   )
)</f>
        <v>2</v>
      </c>
      <c r="N104" s="101"/>
      <c r="O104" s="99"/>
      <c r="P104" s="101"/>
      <c r="Q104" s="34" t="s">
        <v>698</v>
      </c>
      <c r="R104" s="31" t="s">
        <v>78</v>
      </c>
      <c r="S104" s="102"/>
      <c r="T104" s="102"/>
      <c r="U104" s="103"/>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37"/>
      <c r="BN104" s="37"/>
      <c r="BO104" s="37"/>
    </row>
    <row r="105" spans="1:67" ht="29.25" hidden="1" customHeight="1">
      <c r="A105" s="16" t="s">
        <v>67</v>
      </c>
      <c r="B105" s="17" t="s">
        <v>699</v>
      </c>
      <c r="C105" s="107" t="s">
        <v>700</v>
      </c>
      <c r="D105" s="96"/>
      <c r="E105" s="97"/>
      <c r="F105" s="122" t="s">
        <v>76</v>
      </c>
      <c r="G105" s="98">
        <v>100</v>
      </c>
      <c r="H105" s="22">
        <f>IF(OR(J105="",K105="",K105&lt;J105),0,NETWORKDAYS(J105,K105,fESTIVOS!$A$2:$A$53))</f>
        <v>0</v>
      </c>
      <c r="I105" s="99">
        <v>45866</v>
      </c>
      <c r="J105" s="100">
        <v>45866</v>
      </c>
      <c r="K105" s="100"/>
      <c r="L105" s="100">
        <v>45866</v>
      </c>
      <c r="M105" s="27">
        <f ca="1">IF(OR(J105="",AND(L105="",TODAY()&lt;J105),AND(L105&lt;&gt;"",L105&lt;J105)),0,
   IF(L105="",
      NETWORKDAYS(J105,TODAY(),fESTIVOS!$A$2:$A$53),
      NETWORKDAYS(J105,L105,fESTIVOS!$A$2:$A$53)
   )
)</f>
        <v>1</v>
      </c>
      <c r="N105" s="101"/>
      <c r="O105" s="99"/>
      <c r="P105" s="101"/>
      <c r="Q105" s="34" t="s">
        <v>701</v>
      </c>
      <c r="R105" s="31" t="s">
        <v>78</v>
      </c>
      <c r="S105" s="102"/>
      <c r="T105" s="102"/>
      <c r="U105" s="103"/>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37" t="s">
        <v>702</v>
      </c>
      <c r="BN105" s="37"/>
      <c r="BO105" s="37"/>
    </row>
    <row r="106" spans="1:67" ht="29.25" hidden="1" customHeight="1">
      <c r="A106" s="56" t="s">
        <v>157</v>
      </c>
      <c r="B106" s="17" t="s">
        <v>703</v>
      </c>
      <c r="C106" s="107" t="s">
        <v>704</v>
      </c>
      <c r="D106" s="96"/>
      <c r="E106" s="97"/>
      <c r="F106" s="122" t="s">
        <v>76</v>
      </c>
      <c r="G106" s="98">
        <v>100</v>
      </c>
      <c r="H106" s="22">
        <f>IF(OR(J106="",K106="",K106&lt;J106),0,NETWORKDAYS(J106,K106,fESTIVOS!$A$2:$A$53))</f>
        <v>0</v>
      </c>
      <c r="I106" s="99">
        <v>45863</v>
      </c>
      <c r="J106" s="100">
        <v>45866</v>
      </c>
      <c r="K106" s="100"/>
      <c r="L106" s="100">
        <v>45867</v>
      </c>
      <c r="M106" s="27">
        <f ca="1">IF(OR(J106="",AND(L106="",TODAY()&lt;J106),AND(L106&lt;&gt;"",L106&lt;J106)),0,
   IF(L106="",
      NETWORKDAYS(J106,TODAY(),fESTIVOS!$A$2:$A$53),
      NETWORKDAYS(J106,L106,fESTIVOS!$A$2:$A$53)
   )
)</f>
        <v>2</v>
      </c>
      <c r="N106" s="101"/>
      <c r="O106" s="99"/>
      <c r="P106" s="101"/>
      <c r="Q106" s="34" t="s">
        <v>705</v>
      </c>
      <c r="R106" s="31" t="s">
        <v>78</v>
      </c>
      <c r="S106" s="102"/>
      <c r="T106" s="102"/>
      <c r="U106" s="103"/>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row>
    <row r="107" spans="1:67" ht="29.25" hidden="1" customHeight="1">
      <c r="A107" s="56" t="s">
        <v>157</v>
      </c>
      <c r="B107" s="17" t="s">
        <v>706</v>
      </c>
      <c r="C107" s="107" t="s">
        <v>707</v>
      </c>
      <c r="D107" s="96"/>
      <c r="E107" s="97"/>
      <c r="F107" s="122" t="s">
        <v>76</v>
      </c>
      <c r="G107" s="98">
        <v>100</v>
      </c>
      <c r="H107" s="22">
        <f>IF(OR(J107="",K107="",K107&lt;J107),0,NETWORKDAYS(J107,K107,fESTIVOS!$A$2:$A$53))</f>
        <v>0</v>
      </c>
      <c r="I107" s="99">
        <v>45867</v>
      </c>
      <c r="J107" s="100">
        <v>45867</v>
      </c>
      <c r="K107" s="100"/>
      <c r="L107" s="100">
        <v>45867</v>
      </c>
      <c r="M107" s="27">
        <f ca="1">IF(OR(J107="",AND(L107="",TODAY()&lt;J107),AND(L107&lt;&gt;"",L107&lt;J107)),0,
   IF(L107="",
      NETWORKDAYS(J107,TODAY(),fESTIVOS!$A$2:$A$53),
      NETWORKDAYS(J107,L107,fESTIVOS!$A$2:$A$53)
   )
)</f>
        <v>1</v>
      </c>
      <c r="N107" s="101"/>
      <c r="O107" s="99"/>
      <c r="P107" s="101"/>
      <c r="Q107" s="34" t="s">
        <v>708</v>
      </c>
      <c r="R107" s="31" t="s">
        <v>78</v>
      </c>
      <c r="S107" s="102"/>
      <c r="T107" s="102"/>
      <c r="U107" s="103"/>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row>
    <row r="108" spans="1:67" ht="29.25" hidden="1" customHeight="1">
      <c r="A108" s="56" t="s">
        <v>157</v>
      </c>
      <c r="B108" s="17" t="s">
        <v>709</v>
      </c>
      <c r="C108" s="107" t="s">
        <v>710</v>
      </c>
      <c r="D108" s="150"/>
      <c r="E108" s="97"/>
      <c r="F108" s="122" t="s">
        <v>76</v>
      </c>
      <c r="G108" s="98">
        <v>100</v>
      </c>
      <c r="H108" s="22">
        <f>IF(OR(J108="",K108="",K108&lt;J108),0,NETWORKDAYS(J108,K108,fESTIVOS!$A$2:$A$53))</f>
        <v>0</v>
      </c>
      <c r="I108" s="99">
        <v>45867</v>
      </c>
      <c r="J108" s="100">
        <v>45867</v>
      </c>
      <c r="K108" s="100"/>
      <c r="L108" s="100">
        <v>45867</v>
      </c>
      <c r="M108" s="27">
        <f ca="1">IF(OR(J108="",AND(L108="",TODAY()&lt;J108),AND(L108&lt;&gt;"",L108&lt;J108)),0,
   IF(L108="",
      NETWORKDAYS(J108,TODAY(),fESTIVOS!$A$2:$A$53),
      NETWORKDAYS(J108,L108,fESTIVOS!$A$2:$A$53)
   )
)</f>
        <v>1</v>
      </c>
      <c r="N108" s="101"/>
      <c r="O108" s="99"/>
      <c r="P108" s="101"/>
      <c r="Q108" s="34" t="s">
        <v>711</v>
      </c>
      <c r="R108" s="31" t="s">
        <v>78</v>
      </c>
      <c r="S108" s="102"/>
      <c r="T108" s="102"/>
      <c r="U108" s="103"/>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row>
    <row r="109" spans="1:67" ht="29.25" hidden="1" customHeight="1">
      <c r="A109" s="56" t="s">
        <v>157</v>
      </c>
      <c r="B109" s="17" t="s">
        <v>712</v>
      </c>
      <c r="C109" s="107" t="s">
        <v>713</v>
      </c>
      <c r="D109" s="150"/>
      <c r="E109" s="97"/>
      <c r="F109" s="122" t="s">
        <v>76</v>
      </c>
      <c r="G109" s="98">
        <v>100</v>
      </c>
      <c r="H109" s="22">
        <f>IF(OR(J109="",K109="",K109&lt;J109),0,NETWORKDAYS(J109,K109,fESTIVOS!$A$2:$A$53))</f>
        <v>0</v>
      </c>
      <c r="I109" s="99">
        <v>45867</v>
      </c>
      <c r="J109" s="100">
        <v>45867</v>
      </c>
      <c r="K109" s="100"/>
      <c r="L109" s="100">
        <v>45867</v>
      </c>
      <c r="M109" s="27">
        <f ca="1">IF(OR(J109="",AND(L109="",TODAY()&lt;J109),AND(L109&lt;&gt;"",L109&lt;J109)),0,
   IF(L109="",
      NETWORKDAYS(J109,TODAY(),fESTIVOS!$A$2:$A$53),
      NETWORKDAYS(J109,L109,fESTIVOS!$A$2:$A$53)
   )
)</f>
        <v>1</v>
      </c>
      <c r="N109" s="101"/>
      <c r="O109" s="99"/>
      <c r="P109" s="101"/>
      <c r="Q109" s="34" t="s">
        <v>714</v>
      </c>
      <c r="R109" s="31" t="s">
        <v>78</v>
      </c>
      <c r="S109" s="102"/>
      <c r="T109" s="102"/>
      <c r="U109" s="103"/>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row>
    <row r="110" spans="1:67" ht="29.25" hidden="1" customHeight="1">
      <c r="A110" s="56" t="s">
        <v>157</v>
      </c>
      <c r="B110" s="17" t="s">
        <v>715</v>
      </c>
      <c r="C110" s="107" t="s">
        <v>716</v>
      </c>
      <c r="D110" s="150"/>
      <c r="E110" s="97"/>
      <c r="F110" s="122" t="s">
        <v>76</v>
      </c>
      <c r="G110" s="98">
        <v>100</v>
      </c>
      <c r="H110" s="22">
        <f>IF(OR(J110="",K110="",K110&lt;J110),0,NETWORKDAYS(J110,K110,fESTIVOS!$A$2:$A$53))</f>
        <v>0</v>
      </c>
      <c r="I110" s="99">
        <v>45867</v>
      </c>
      <c r="J110" s="100">
        <v>45868</v>
      </c>
      <c r="K110" s="100"/>
      <c r="L110" s="100">
        <v>45870</v>
      </c>
      <c r="M110" s="27">
        <f ca="1">IF(OR(J110="",AND(L110="",TODAY()&lt;J110),AND(L110&lt;&gt;"",L110&lt;J110)),0,
   IF(L110="",
      NETWORKDAYS(J110,TODAY(),fESTIVOS!$A$2:$A$53),
      NETWORKDAYS(J110,L110,fESTIVOS!$A$2:$A$53)
   )
)</f>
        <v>3</v>
      </c>
      <c r="N110" s="101"/>
      <c r="O110" s="99">
        <v>45870</v>
      </c>
      <c r="P110" s="101">
        <v>45881</v>
      </c>
      <c r="Q110" s="34" t="s">
        <v>717</v>
      </c>
      <c r="R110" s="31" t="s">
        <v>78</v>
      </c>
      <c r="S110" s="102"/>
      <c r="T110" s="102"/>
      <c r="U110" s="103"/>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37" t="s">
        <v>718</v>
      </c>
    </row>
    <row r="111" spans="1:67" ht="29.25" hidden="1" customHeight="1">
      <c r="A111" s="16" t="s">
        <v>67</v>
      </c>
      <c r="B111" s="17" t="s">
        <v>719</v>
      </c>
      <c r="C111" s="107" t="s">
        <v>720</v>
      </c>
      <c r="D111" s="150"/>
      <c r="E111" s="97"/>
      <c r="F111" s="122" t="s">
        <v>76</v>
      </c>
      <c r="G111" s="98">
        <v>100</v>
      </c>
      <c r="H111" s="22">
        <f>IF(OR(J111="",K111="",K111&lt;J111),0,NETWORKDAYS(J111,K111,fESTIVOS!$A$2:$A$53))</f>
        <v>0</v>
      </c>
      <c r="I111" s="99">
        <v>45867</v>
      </c>
      <c r="J111" s="100">
        <v>45867</v>
      </c>
      <c r="K111" s="100"/>
      <c r="L111" s="100"/>
      <c r="M111" s="27">
        <f ca="1">IF(OR(J111="",AND(L111="",TODAY()&lt;J111),AND(L111&lt;&gt;"",L111&lt;J111)),0,
   IF(L111="",
      NETWORKDAYS(J111,TODAY(),fESTIVOS!$A$2:$A$53),
      NETWORKDAYS(J111,L111,fESTIVOS!$A$2:$A$53)
   )
)</f>
        <v>123</v>
      </c>
      <c r="N111" s="101"/>
      <c r="O111" s="99"/>
      <c r="P111" s="101"/>
      <c r="Q111" s="34" t="s">
        <v>721</v>
      </c>
      <c r="R111" s="31" t="s">
        <v>78</v>
      </c>
      <c r="S111" s="102"/>
      <c r="T111" s="102"/>
      <c r="U111" s="103"/>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row>
    <row r="112" spans="1:67" ht="29.25" hidden="1" customHeight="1">
      <c r="A112" s="56" t="s">
        <v>157</v>
      </c>
      <c r="B112" s="17" t="s">
        <v>722</v>
      </c>
      <c r="C112" s="107" t="s">
        <v>723</v>
      </c>
      <c r="D112" s="150"/>
      <c r="E112" s="97"/>
      <c r="F112" s="122" t="s">
        <v>76</v>
      </c>
      <c r="G112" s="98">
        <v>100</v>
      </c>
      <c r="H112" s="22">
        <f>IF(OR(J112="",K112="",K112&lt;J112),0,NETWORKDAYS(J112,K112,fESTIVOS!$A$2:$A$53))</f>
        <v>0</v>
      </c>
      <c r="I112" s="99">
        <v>45866</v>
      </c>
      <c r="J112" s="100">
        <v>45867</v>
      </c>
      <c r="K112" s="100"/>
      <c r="L112" s="100">
        <v>45868</v>
      </c>
      <c r="M112" s="27">
        <f ca="1">IF(OR(J112="",AND(L112="",TODAY()&lt;J112),AND(L112&lt;&gt;"",L112&lt;J112)),0,
   IF(L112="",
      NETWORKDAYS(J112,TODAY(),fESTIVOS!$A$2:$A$53),
      NETWORKDAYS(J112,L112,fESTIVOS!$A$2:$A$53)
   )
)</f>
        <v>2</v>
      </c>
      <c r="N112" s="101"/>
      <c r="O112" s="99"/>
      <c r="P112" s="101"/>
      <c r="Q112" s="34" t="s">
        <v>724</v>
      </c>
      <c r="R112" s="31" t="s">
        <v>78</v>
      </c>
      <c r="S112" s="102"/>
      <c r="T112" s="102"/>
      <c r="U112" s="103"/>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row>
    <row r="113" spans="1:67" ht="29.25" hidden="1" customHeight="1">
      <c r="A113" s="16" t="s">
        <v>67</v>
      </c>
      <c r="B113" s="17" t="s">
        <v>725</v>
      </c>
      <c r="C113" s="107" t="s">
        <v>726</v>
      </c>
      <c r="D113" s="150"/>
      <c r="E113" s="97"/>
      <c r="F113" s="122" t="s">
        <v>76</v>
      </c>
      <c r="G113" s="98">
        <v>100</v>
      </c>
      <c r="H113" s="22">
        <f>IF(OR(J113="",K113="",K113&lt;J113),0,NETWORKDAYS(J113,K113,fESTIVOS!$A$2:$A$53))</f>
        <v>0</v>
      </c>
      <c r="I113" s="99">
        <v>45867</v>
      </c>
      <c r="J113" s="100">
        <v>45867</v>
      </c>
      <c r="K113" s="100"/>
      <c r="L113" s="100">
        <v>45875</v>
      </c>
      <c r="M113" s="27">
        <f ca="1">IF(OR(J113="",AND(L113="",TODAY()&lt;J113),AND(L113&lt;&gt;"",L113&lt;J113)),0,
   IF(L113="",
      NETWORKDAYS(J113,TODAY(),fESTIVOS!$A$2:$A$53),
      NETWORKDAYS(J113,L113,fESTIVOS!$A$2:$A$53)
   )
)</f>
        <v>7</v>
      </c>
      <c r="N113" s="101"/>
      <c r="O113" s="99"/>
      <c r="P113" s="101"/>
      <c r="Q113" s="34" t="s">
        <v>727</v>
      </c>
      <c r="R113" s="31" t="s">
        <v>78</v>
      </c>
      <c r="S113" s="102"/>
      <c r="T113" s="102"/>
      <c r="U113" s="103"/>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row>
    <row r="114" spans="1:67" ht="29.25" hidden="1" customHeight="1">
      <c r="A114" s="16" t="s">
        <v>67</v>
      </c>
      <c r="B114" s="17" t="s">
        <v>728</v>
      </c>
      <c r="C114" s="107" t="s">
        <v>729</v>
      </c>
      <c r="D114" s="150"/>
      <c r="E114" s="97"/>
      <c r="F114" s="20" t="s">
        <v>91</v>
      </c>
      <c r="G114" s="98">
        <v>20</v>
      </c>
      <c r="H114" s="22">
        <f>IF(OR(J114="",K114="",K114&lt;J114),0,NETWORKDAYS(J114,K114,fESTIVOS!$A$2:$A$53))</f>
        <v>0</v>
      </c>
      <c r="I114" s="99">
        <v>45867</v>
      </c>
      <c r="J114" s="100">
        <v>45867</v>
      </c>
      <c r="K114" s="100"/>
      <c r="L114" s="100"/>
      <c r="M114" s="27">
        <f ca="1">IF(OR(J114="",AND(L114="",TODAY()&lt;J114),AND(L114&lt;&gt;"",L114&lt;J114)),0,
   IF(L114="",
      NETWORKDAYS(J114,TODAY(),fESTIVOS!$A$2:$A$53),
      NETWORKDAYS(J114,L114,fESTIVOS!$A$2:$A$53)
   )
)</f>
        <v>123</v>
      </c>
      <c r="N114" s="101"/>
      <c r="O114" s="99"/>
      <c r="P114" s="101"/>
      <c r="Q114" s="34" t="s">
        <v>730</v>
      </c>
      <c r="R114" s="31" t="s">
        <v>93</v>
      </c>
      <c r="S114" s="102"/>
      <c r="T114" s="102"/>
      <c r="U114" s="103"/>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row>
    <row r="115" spans="1:67" ht="29.25" hidden="1" customHeight="1">
      <c r="A115" s="93" t="s">
        <v>128</v>
      </c>
      <c r="B115" s="106" t="s">
        <v>731</v>
      </c>
      <c r="C115" s="151" t="s">
        <v>732</v>
      </c>
      <c r="D115" s="143" t="s">
        <v>733</v>
      </c>
      <c r="E115" s="145"/>
      <c r="F115" s="20" t="s">
        <v>76</v>
      </c>
      <c r="G115" s="59">
        <v>100</v>
      </c>
      <c r="H115" s="22">
        <f>IF(OR(J115="",K115="",K115&lt;J115),0,NETWORKDAYS(J115,K115,fESTIVOS!$A$2:$A$53))</f>
        <v>0</v>
      </c>
      <c r="I115" s="82">
        <v>46020</v>
      </c>
      <c r="J115" s="61">
        <v>46020</v>
      </c>
      <c r="K115" s="61"/>
      <c r="L115" s="61">
        <v>46027</v>
      </c>
      <c r="M115" s="27">
        <f ca="1">IF(OR(J115="",AND(L115="",TODAY()&lt;J115),AND(L115&lt;&gt;"",L115&lt;J115)),0,
   IF(L115="",
      NETWORKDAYS(J115,TODAY(),fESTIVOS!$A$2:$A$53),
      NETWORKDAYS(J115,L115,fESTIVOS!$A$2:$A$53)
   )
)</f>
        <v>5</v>
      </c>
      <c r="N115" s="63"/>
      <c r="O115" s="82"/>
      <c r="P115" s="63"/>
      <c r="Q115" s="34" t="s">
        <v>734</v>
      </c>
      <c r="R115" s="113" t="s">
        <v>78</v>
      </c>
      <c r="S115" s="139"/>
      <c r="T115" s="139"/>
      <c r="U115" s="103"/>
      <c r="V115" s="105"/>
      <c r="W115" s="105"/>
      <c r="X115" s="105"/>
      <c r="Y115" s="105"/>
      <c r="Z115" s="105"/>
      <c r="AA115" s="105"/>
      <c r="AB115" s="105"/>
      <c r="AC115" s="105"/>
      <c r="AD115" s="105"/>
      <c r="AE115" s="105"/>
      <c r="AF115" s="105"/>
      <c r="AG115" s="105"/>
      <c r="AH115" s="105"/>
      <c r="AI115" s="105"/>
      <c r="AJ115" s="105"/>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row>
    <row r="116" spans="1:67" ht="29.25" hidden="1" customHeight="1">
      <c r="A116" s="56" t="s">
        <v>128</v>
      </c>
      <c r="B116" s="17" t="s">
        <v>735</v>
      </c>
      <c r="C116" s="107" t="s">
        <v>736</v>
      </c>
      <c r="D116" s="143" t="s">
        <v>737</v>
      </c>
      <c r="E116" s="145" t="s">
        <v>501</v>
      </c>
      <c r="F116" s="20" t="s">
        <v>76</v>
      </c>
      <c r="G116" s="59">
        <v>100</v>
      </c>
      <c r="H116" s="22">
        <f>IF(OR(J116="",K116="",K116&lt;J116),0,NETWORKDAYS(J116,K116,fESTIVOS!$A$2:$A$53))</f>
        <v>0</v>
      </c>
      <c r="I116" s="82">
        <v>45807</v>
      </c>
      <c r="J116" s="61">
        <v>45926</v>
      </c>
      <c r="K116" s="61"/>
      <c r="L116" s="61">
        <v>45966</v>
      </c>
      <c r="M116" s="27">
        <f ca="1">IF(OR(J116="",AND(L116="",TODAY()&lt;J116),AND(L116&lt;&gt;"",L116&lt;J116)),0,
   IF(L116="",
      NETWORKDAYS(J116,TODAY(),fESTIVOS!$A$2:$A$53),
      NETWORKDAYS(J116,L116,fESTIVOS!$A$2:$A$53)
   )
)</f>
        <v>27</v>
      </c>
      <c r="N116" s="63"/>
      <c r="O116" s="82">
        <v>45966</v>
      </c>
      <c r="P116" s="63">
        <v>45966</v>
      </c>
      <c r="Q116" s="34" t="s">
        <v>738</v>
      </c>
      <c r="R116" s="31" t="s">
        <v>78</v>
      </c>
      <c r="S116" s="139"/>
      <c r="T116" s="139"/>
      <c r="U116" s="103"/>
      <c r="V116" s="105"/>
      <c r="W116" s="105"/>
      <c r="X116" s="105"/>
      <c r="Y116" s="105"/>
      <c r="Z116" s="105"/>
      <c r="AA116" s="105"/>
      <c r="AB116" s="105"/>
      <c r="AC116" s="105"/>
      <c r="AD116" s="105"/>
      <c r="AE116" s="105"/>
      <c r="AF116" s="105"/>
      <c r="AG116" s="105"/>
      <c r="AH116" s="105"/>
      <c r="AI116" s="105"/>
      <c r="AJ116" s="105"/>
      <c r="AK116" s="37" t="s">
        <v>739</v>
      </c>
      <c r="AL116" s="37" t="s">
        <v>740</v>
      </c>
      <c r="AM116" s="37" t="s">
        <v>741</v>
      </c>
      <c r="AN116" s="37" t="s">
        <v>742</v>
      </c>
      <c r="AO116" s="37"/>
      <c r="AP116" s="37"/>
      <c r="AQ116" s="37"/>
      <c r="AR116" s="37" t="s">
        <v>743</v>
      </c>
      <c r="AS116" s="37" t="s">
        <v>744</v>
      </c>
      <c r="AT116" s="37"/>
      <c r="AU116" s="37"/>
      <c r="AV116" s="37"/>
      <c r="AW116" s="37"/>
      <c r="AX116" s="37" t="s">
        <v>745</v>
      </c>
      <c r="AY116" s="37"/>
      <c r="AZ116" s="37"/>
      <c r="BA116" s="37"/>
      <c r="BB116" s="37"/>
      <c r="BC116" s="37"/>
      <c r="BD116" s="37"/>
      <c r="BE116" s="37"/>
      <c r="BF116" s="37"/>
      <c r="BG116" s="37"/>
      <c r="BH116" s="37" t="s">
        <v>746</v>
      </c>
      <c r="BI116" s="37"/>
      <c r="BJ116" s="37"/>
      <c r="BK116" s="37" t="s">
        <v>747</v>
      </c>
      <c r="BL116" s="37"/>
      <c r="BM116" s="37"/>
      <c r="BN116" s="37"/>
      <c r="BO116" s="37"/>
    </row>
    <row r="117" spans="1:67" ht="29.25" hidden="1" customHeight="1">
      <c r="A117" s="56" t="s">
        <v>157</v>
      </c>
      <c r="B117" s="17" t="s">
        <v>748</v>
      </c>
      <c r="C117" s="107" t="s">
        <v>749</v>
      </c>
      <c r="D117" s="150"/>
      <c r="E117" s="97"/>
      <c r="F117" s="122" t="s">
        <v>76</v>
      </c>
      <c r="G117" s="98">
        <v>100</v>
      </c>
      <c r="H117" s="22">
        <f>IF(OR(J117="",K117="",K117&lt;J117),0,NETWORKDAYS(J117,K117,fESTIVOS!$A$2:$A$53))</f>
        <v>0</v>
      </c>
      <c r="I117" s="99">
        <v>45868</v>
      </c>
      <c r="J117" s="100">
        <v>45868</v>
      </c>
      <c r="K117" s="100"/>
      <c r="L117" s="100">
        <v>45869</v>
      </c>
      <c r="M117" s="27">
        <f ca="1">IF(OR(J117="",AND(L117="",TODAY()&lt;J117),AND(L117&lt;&gt;"",L117&lt;J117)),0,
   IF(L117="",
      NETWORKDAYS(J117,TODAY(),fESTIVOS!$A$2:$A$53),
      NETWORKDAYS(J117,L117,fESTIVOS!$A$2:$A$53)
   )
)</f>
        <v>2</v>
      </c>
      <c r="N117" s="101"/>
      <c r="O117" s="99"/>
      <c r="P117" s="101"/>
      <c r="Q117" s="34" t="s">
        <v>750</v>
      </c>
      <c r="R117" s="31" t="s">
        <v>78</v>
      </c>
      <c r="S117" s="102"/>
      <c r="T117" s="102"/>
      <c r="U117" s="103"/>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row>
    <row r="118" spans="1:67" ht="29.25" hidden="1" customHeight="1">
      <c r="A118" s="56" t="s">
        <v>128</v>
      </c>
      <c r="B118" s="17" t="s">
        <v>751</v>
      </c>
      <c r="C118" s="107" t="s">
        <v>752</v>
      </c>
      <c r="D118" s="150"/>
      <c r="E118" s="97"/>
      <c r="F118" s="122" t="s">
        <v>76</v>
      </c>
      <c r="G118" s="98">
        <v>100</v>
      </c>
      <c r="H118" s="22">
        <f>IF(OR(J118="",K118="",K118&lt;J118),0,NETWORKDAYS(J118,K118,fESTIVOS!$A$2:$A$53))</f>
        <v>0</v>
      </c>
      <c r="I118" s="99">
        <v>45870</v>
      </c>
      <c r="J118" s="100">
        <v>45874</v>
      </c>
      <c r="K118" s="100"/>
      <c r="L118" s="100">
        <v>45874</v>
      </c>
      <c r="M118" s="27">
        <f ca="1">IF(OR(J118="",AND(L118="",TODAY()&lt;J118),AND(L118&lt;&gt;"",L118&lt;J118)),0,
   IF(L118="",
      NETWORKDAYS(J118,TODAY(),fESTIVOS!$A$2:$A$53),
      NETWORKDAYS(J118,L118,fESTIVOS!$A$2:$A$53)
   )
)</f>
        <v>1</v>
      </c>
      <c r="N118" s="101"/>
      <c r="O118" s="99">
        <v>45874</v>
      </c>
      <c r="P118" s="101">
        <v>45874</v>
      </c>
      <c r="Q118" s="34" t="s">
        <v>753</v>
      </c>
      <c r="R118" s="31" t="s">
        <v>78</v>
      </c>
      <c r="S118" s="102"/>
      <c r="T118" s="102"/>
      <c r="U118" s="103"/>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row>
    <row r="119" spans="1:67" ht="29.25" hidden="1" customHeight="1">
      <c r="A119" s="56" t="s">
        <v>128</v>
      </c>
      <c r="B119" s="106" t="s">
        <v>754</v>
      </c>
      <c r="C119" s="107" t="s">
        <v>755</v>
      </c>
      <c r="D119" s="96"/>
      <c r="E119" s="97"/>
      <c r="F119" s="122" t="s">
        <v>76</v>
      </c>
      <c r="G119" s="98">
        <v>100</v>
      </c>
      <c r="H119" s="22">
        <f>IF(OR(J119="",K119="",K119&lt;J119),0,NETWORKDAYS(J119,K119,fESTIVOS!$A$2:$A$53))</f>
        <v>0</v>
      </c>
      <c r="I119" s="99">
        <v>45917</v>
      </c>
      <c r="J119" s="179">
        <v>45917</v>
      </c>
      <c r="K119" s="100"/>
      <c r="L119" s="100">
        <v>45917</v>
      </c>
      <c r="M119" s="27">
        <f ca="1">IF(OR(J119="",AND(L119="",TODAY()&lt;J119),AND(L119&lt;&gt;"",L119&lt;J119)),0,
   IF(L119="",
      NETWORKDAYS(J119,TODAY(),fESTIVOS!$A$2:$A$53),
      NETWORKDAYS(J119,L119,fESTIVOS!$A$2:$A$53)
   )
)</f>
        <v>1</v>
      </c>
      <c r="N119" s="101"/>
      <c r="O119" s="99"/>
      <c r="P119" s="101"/>
      <c r="Q119" s="89" t="s">
        <v>586</v>
      </c>
      <c r="R119" s="113" t="s">
        <v>78</v>
      </c>
      <c r="S119" s="98"/>
      <c r="T119" s="102"/>
      <c r="U119" s="103"/>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row>
    <row r="120" spans="1:67" ht="33" hidden="1" customHeight="1">
      <c r="A120" s="56" t="s">
        <v>128</v>
      </c>
      <c r="B120" s="106" t="s">
        <v>756</v>
      </c>
      <c r="C120" s="107" t="s">
        <v>757</v>
      </c>
      <c r="D120" s="96"/>
      <c r="E120" s="97"/>
      <c r="F120" s="122" t="s">
        <v>76</v>
      </c>
      <c r="G120" s="98">
        <v>100</v>
      </c>
      <c r="H120" s="22">
        <f>IF(OR(J120="",K120="",K120&lt;J120),0,NETWORKDAYS(J120,K120,fESTIVOS!$A$2:$A$53))</f>
        <v>0</v>
      </c>
      <c r="I120" s="99">
        <v>45868</v>
      </c>
      <c r="J120" s="179">
        <v>45911</v>
      </c>
      <c r="K120" s="100"/>
      <c r="L120" s="100">
        <v>45912</v>
      </c>
      <c r="M120" s="27">
        <f ca="1">IF(OR(J120="",AND(L120="",TODAY()&lt;J120),AND(L120&lt;&gt;"",L120&lt;J120)),0,
   IF(L120="",
      NETWORKDAYS(J120,TODAY(),fESTIVOS!$A$2:$A$53),
      NETWORKDAYS(J120,L120,fESTIVOS!$A$2:$A$53)
   )
)</f>
        <v>2</v>
      </c>
      <c r="N120" s="101"/>
      <c r="O120" s="99"/>
      <c r="P120" s="101">
        <v>45930</v>
      </c>
      <c r="Q120" s="34" t="s">
        <v>758</v>
      </c>
      <c r="R120" s="113" t="s">
        <v>78</v>
      </c>
      <c r="S120" s="98"/>
      <c r="T120" s="102"/>
      <c r="U120" s="122" t="s">
        <v>759</v>
      </c>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row>
    <row r="121" spans="1:67" ht="29.25" hidden="1" customHeight="1">
      <c r="A121" s="93" t="s">
        <v>128</v>
      </c>
      <c r="B121" s="106" t="s">
        <v>760</v>
      </c>
      <c r="C121" s="110" t="s">
        <v>761</v>
      </c>
      <c r="D121" s="96"/>
      <c r="E121" s="97"/>
      <c r="F121" s="112" t="s">
        <v>501</v>
      </c>
      <c r="G121" s="98">
        <v>40</v>
      </c>
      <c r="H121" s="22">
        <f>IF(OR(J121="",K121="",K121&lt;J121),0,NETWORKDAYS(J121,K121,fESTIVOS!$A$2:$A$53))</f>
        <v>20</v>
      </c>
      <c r="I121" s="99">
        <v>46007</v>
      </c>
      <c r="J121" s="100">
        <v>46024</v>
      </c>
      <c r="K121" s="100">
        <v>46052</v>
      </c>
      <c r="L121" s="100"/>
      <c r="M121" s="27">
        <f ca="1">IF(OR(J121="",AND(L121="",TODAY()&lt;J121),AND(L121&lt;&gt;"",L121&lt;J121)),0,
   IF(L121="",
      NETWORKDAYS(J121,TODAY(),fESTIVOS!$A$2:$A$53),
      NETWORKDAYS(J121,L121,fESTIVOS!$A$2:$A$53)
   )
)</f>
        <v>18</v>
      </c>
      <c r="N121" s="100">
        <v>46051</v>
      </c>
      <c r="O121" s="99"/>
      <c r="P121" s="101"/>
      <c r="Q121" s="34" t="s">
        <v>762</v>
      </c>
      <c r="R121" s="113" t="s">
        <v>209</v>
      </c>
      <c r="S121" s="155"/>
      <c r="T121" s="98"/>
      <c r="U121" s="103"/>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row>
    <row r="122" spans="1:67" ht="29.25" hidden="1" customHeight="1">
      <c r="A122" s="93" t="s">
        <v>128</v>
      </c>
      <c r="B122" s="106" t="s">
        <v>763</v>
      </c>
      <c r="C122" s="180" t="s">
        <v>764</v>
      </c>
      <c r="D122" s="156" t="s">
        <v>765</v>
      </c>
      <c r="E122" s="97"/>
      <c r="F122" s="20" t="s">
        <v>76</v>
      </c>
      <c r="G122" s="98">
        <v>100</v>
      </c>
      <c r="H122" s="22">
        <f>IF(OR(J122="",K122="",K122&lt;J122),0,NETWORKDAYS(J122,K122,fESTIVOS!$A$2:$A$53))</f>
        <v>0</v>
      </c>
      <c r="I122" s="99">
        <v>46036</v>
      </c>
      <c r="J122" s="100">
        <v>46048</v>
      </c>
      <c r="K122" s="100"/>
      <c r="L122" s="100">
        <v>46048</v>
      </c>
      <c r="M122" s="27">
        <f ca="1">IF(OR(J122="",AND(L122="",TODAY()&lt;J122),AND(L122&lt;&gt;"",L122&lt;J122)),0,
   IF(L122="",
      NETWORKDAYS(J122,TODAY(),fESTIVOS!$A$2:$A$53),
      NETWORKDAYS(J122,L122,fESTIVOS!$A$2:$A$53)
   )
)</f>
        <v>1</v>
      </c>
      <c r="N122" s="101"/>
      <c r="O122" s="99"/>
      <c r="P122" s="101"/>
      <c r="Q122" s="34" t="s">
        <v>766</v>
      </c>
      <c r="R122" s="113" t="s">
        <v>209</v>
      </c>
      <c r="S122" s="102"/>
      <c r="T122" s="102"/>
      <c r="U122" s="103"/>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37"/>
      <c r="BG122" s="37"/>
      <c r="BH122" s="37"/>
      <c r="BI122" s="37"/>
      <c r="BJ122" s="37"/>
      <c r="BK122" s="37"/>
      <c r="BL122" s="37"/>
      <c r="BM122" s="37"/>
      <c r="BN122" s="37"/>
      <c r="BO122" s="37"/>
    </row>
    <row r="123" spans="1:67" ht="29.25" hidden="1" customHeight="1">
      <c r="A123" s="93" t="s">
        <v>128</v>
      </c>
      <c r="B123" s="106" t="s">
        <v>767</v>
      </c>
      <c r="C123" s="151" t="s">
        <v>768</v>
      </c>
      <c r="D123" s="96" t="s">
        <v>769</v>
      </c>
      <c r="E123" s="97"/>
      <c r="F123" s="112" t="s">
        <v>76</v>
      </c>
      <c r="G123" s="98">
        <v>100</v>
      </c>
      <c r="H123" s="22">
        <f>IF(OR(J123="",K123="",K123&lt;J123),0,NETWORKDAYS(J123,K123,fESTIVOS!$A$2:$A$53))</f>
        <v>0</v>
      </c>
      <c r="I123" s="99">
        <v>46000</v>
      </c>
      <c r="J123" s="100">
        <v>45971</v>
      </c>
      <c r="K123" s="100"/>
      <c r="L123" s="100">
        <v>46024</v>
      </c>
      <c r="M123" s="27">
        <f ca="1">IF(OR(J123="",AND(L123="",TODAY()&lt;J123),AND(L123&lt;&gt;"",L123&lt;J123)),0,
   IF(L123="",
      NETWORKDAYS(J123,TODAY(),fESTIVOS!$A$2:$A$53),
      NETWORKDAYS(J123,L123,fESTIVOS!$A$2:$A$53)
   )
)</f>
        <v>36</v>
      </c>
      <c r="N123" s="101"/>
      <c r="O123" s="99">
        <v>46024</v>
      </c>
      <c r="P123" s="101">
        <v>46044</v>
      </c>
      <c r="Q123" s="34" t="s">
        <v>770</v>
      </c>
      <c r="R123" s="113" t="s">
        <v>78</v>
      </c>
      <c r="S123" s="102"/>
      <c r="T123" s="98" t="s">
        <v>771</v>
      </c>
      <c r="U123" s="122" t="s">
        <v>772</v>
      </c>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row>
    <row r="124" spans="1:67" ht="29.25" hidden="1" customHeight="1">
      <c r="A124" s="93" t="s">
        <v>128</v>
      </c>
      <c r="B124" s="106" t="s">
        <v>773</v>
      </c>
      <c r="C124" s="151" t="s">
        <v>774</v>
      </c>
      <c r="D124" s="96" t="s">
        <v>775</v>
      </c>
      <c r="E124" s="97"/>
      <c r="F124" s="112" t="s">
        <v>501</v>
      </c>
      <c r="G124" s="98">
        <v>50</v>
      </c>
      <c r="H124" s="22">
        <f>IF(OR(J124="",K124="",K124&lt;J124),0,NETWORKDAYS(J124,K124,fESTIVOS!$A$2:$A$53))</f>
        <v>0</v>
      </c>
      <c r="I124" s="99">
        <v>46048</v>
      </c>
      <c r="J124" s="179">
        <v>46048</v>
      </c>
      <c r="K124" s="100"/>
      <c r="L124" s="100"/>
      <c r="M124" s="27">
        <f ca="1">IF(OR(J124="",AND(L124="",TODAY()&lt;J124),AND(L124&lt;&gt;"",L124&lt;J124)),0,
   IF(L124="",
      NETWORKDAYS(J124,TODAY(),fESTIVOS!$A$2:$A$53),
      NETWORKDAYS(J124,L124,fESTIVOS!$A$2:$A$53)
   )
)</f>
        <v>3</v>
      </c>
      <c r="N124" s="101"/>
      <c r="O124" s="99"/>
      <c r="P124" s="101"/>
      <c r="Q124" s="34" t="s">
        <v>776</v>
      </c>
      <c r="R124" s="113" t="s">
        <v>209</v>
      </c>
      <c r="S124" s="155"/>
      <c r="T124" s="98" t="s">
        <v>777</v>
      </c>
      <c r="U124" s="103"/>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row>
    <row r="125" spans="1:67" ht="29.25" hidden="1" customHeight="1">
      <c r="A125" s="93" t="s">
        <v>128</v>
      </c>
      <c r="B125" s="106" t="s">
        <v>778</v>
      </c>
      <c r="C125" s="107" t="s">
        <v>779</v>
      </c>
      <c r="D125" s="96" t="s">
        <v>780</v>
      </c>
      <c r="E125" s="97"/>
      <c r="F125" s="112" t="s">
        <v>70</v>
      </c>
      <c r="G125" s="98">
        <v>50</v>
      </c>
      <c r="H125" s="22">
        <f>IF(OR(J125="",K125="",K125&lt;J125),0,NETWORKDAYS(J125,K125,fESTIVOS!$A$2:$A$53))</f>
        <v>0</v>
      </c>
      <c r="I125" s="99">
        <v>45957</v>
      </c>
      <c r="J125" s="179">
        <v>46041</v>
      </c>
      <c r="K125" s="100"/>
      <c r="L125" s="100">
        <v>46043</v>
      </c>
      <c r="M125" s="27">
        <f ca="1">IF(OR(J125="",AND(L125="",TODAY()&lt;J125),AND(L125&lt;&gt;"",L125&lt;J125)),0,
   IF(L125="",
      NETWORKDAYS(J125,TODAY(),fESTIVOS!$A$2:$A$53),
      NETWORKDAYS(J125,L125,fESTIVOS!$A$2:$A$53)
   )
)</f>
        <v>3</v>
      </c>
      <c r="N125" s="101"/>
      <c r="O125" s="99"/>
      <c r="P125" s="101"/>
      <c r="Q125" s="34" t="s">
        <v>781</v>
      </c>
      <c r="R125" s="113" t="s">
        <v>209</v>
      </c>
      <c r="S125" s="155"/>
      <c r="T125" s="98" t="s">
        <v>782</v>
      </c>
      <c r="U125" s="103"/>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row>
    <row r="126" spans="1:67" ht="29.25" hidden="1" customHeight="1">
      <c r="A126" s="56" t="s">
        <v>128</v>
      </c>
      <c r="B126" s="17" t="s">
        <v>783</v>
      </c>
      <c r="C126" s="107" t="s">
        <v>784</v>
      </c>
      <c r="D126" s="156"/>
      <c r="E126" s="97"/>
      <c r="F126" s="20" t="s">
        <v>207</v>
      </c>
      <c r="G126" s="98">
        <v>20</v>
      </c>
      <c r="H126" s="22">
        <f>IF(OR(J126="",K126="",K126&lt;J126),0,NETWORKDAYS(J126,K126,fESTIVOS!$A$2:$A$53))</f>
        <v>0</v>
      </c>
      <c r="I126" s="99">
        <v>45847</v>
      </c>
      <c r="J126" s="100">
        <v>45890</v>
      </c>
      <c r="K126" s="100"/>
      <c r="L126" s="100"/>
      <c r="M126" s="27">
        <f ca="1">IF(OR(J126="",AND(L126="",TODAY()&lt;J126),AND(L126&lt;&gt;"",L126&lt;J126)),0,
   IF(L126="",
      NETWORKDAYS(J126,TODAY(),fESTIVOS!$A$2:$A$53),
      NETWORKDAYS(J126,L126,fESTIVOS!$A$2:$A$53)
   )
)</f>
        <v>108</v>
      </c>
      <c r="N126" s="101"/>
      <c r="O126" s="99"/>
      <c r="P126" s="101"/>
      <c r="Q126" s="34" t="s">
        <v>785</v>
      </c>
      <c r="R126" s="113" t="s">
        <v>93</v>
      </c>
      <c r="S126" s="102"/>
      <c r="T126" s="102"/>
      <c r="U126" s="103"/>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37" t="s">
        <v>786</v>
      </c>
      <c r="BG126" s="37"/>
      <c r="BH126" s="37"/>
      <c r="BI126" s="37"/>
      <c r="BJ126" s="37"/>
      <c r="BK126" s="37"/>
      <c r="BL126" s="37"/>
      <c r="BM126" s="37"/>
      <c r="BN126" s="37"/>
      <c r="BO126" s="37"/>
    </row>
    <row r="127" spans="1:67" ht="29.25" hidden="1" customHeight="1">
      <c r="A127" s="56" t="s">
        <v>128</v>
      </c>
      <c r="B127" s="17" t="s">
        <v>787</v>
      </c>
      <c r="C127" s="107" t="s">
        <v>788</v>
      </c>
      <c r="D127" s="96" t="s">
        <v>789</v>
      </c>
      <c r="E127" s="97"/>
      <c r="F127" s="122" t="s">
        <v>76</v>
      </c>
      <c r="G127" s="98">
        <v>100</v>
      </c>
      <c r="H127" s="22">
        <f>IF(OR(J127="",K127="",K127&lt;J127),0,NETWORKDAYS(J127,K127,fESTIVOS!$A$2:$A$53))</f>
        <v>4</v>
      </c>
      <c r="I127" s="181">
        <v>45890</v>
      </c>
      <c r="J127" s="179">
        <v>45922</v>
      </c>
      <c r="K127" s="100">
        <v>45925</v>
      </c>
      <c r="L127" s="100">
        <v>45937</v>
      </c>
      <c r="M127" s="27">
        <f ca="1">IF(OR(J127="",AND(L127="",TODAY()&lt;J127),AND(L127&lt;&gt;"",L127&lt;J127)),0,
   IF(L127="",
      NETWORKDAYS(J127,TODAY(),fESTIVOS!$A$2:$A$53),
      NETWORKDAYS(J127,L127,fESTIVOS!$A$2:$A$53)
   )
)</f>
        <v>12</v>
      </c>
      <c r="N127" s="101"/>
      <c r="O127" s="99">
        <v>45937</v>
      </c>
      <c r="P127" s="101"/>
      <c r="Q127" s="34" t="s">
        <v>790</v>
      </c>
      <c r="R127" s="113" t="s">
        <v>78</v>
      </c>
      <c r="S127" s="98"/>
      <c r="T127" s="98" t="s">
        <v>791</v>
      </c>
      <c r="U127" s="122" t="s">
        <v>792</v>
      </c>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row>
    <row r="128" spans="1:67" ht="29.25" hidden="1" customHeight="1">
      <c r="A128" s="56" t="s">
        <v>128</v>
      </c>
      <c r="B128" s="106" t="s">
        <v>793</v>
      </c>
      <c r="C128" s="107" t="s">
        <v>794</v>
      </c>
      <c r="D128" s="96" t="s">
        <v>795</v>
      </c>
      <c r="E128" s="97"/>
      <c r="F128" s="122" t="s">
        <v>76</v>
      </c>
      <c r="G128" s="98">
        <v>100</v>
      </c>
      <c r="H128" s="22">
        <f>IF(OR(J128="",K128="",K128&lt;J128),0,NETWORKDAYS(J128,K128,fESTIVOS!$A$2:$A$53))</f>
        <v>0</v>
      </c>
      <c r="I128" s="181">
        <v>45958</v>
      </c>
      <c r="J128" s="182">
        <v>45973</v>
      </c>
      <c r="K128" s="100"/>
      <c r="L128" s="100">
        <v>45973</v>
      </c>
      <c r="M128" s="27">
        <f ca="1">IF(OR(J128="",AND(L128="",TODAY()&lt;J128),AND(L128&lt;&gt;"",L128&lt;J128)),0,
   IF(L128="",
      NETWORKDAYS(J128,TODAY(),fESTIVOS!$A$2:$A$53),
      NETWORKDAYS(J128,L128,fESTIVOS!$A$2:$A$53)
   )
)</f>
        <v>1</v>
      </c>
      <c r="N128" s="101"/>
      <c r="O128" s="99"/>
      <c r="P128" s="101"/>
      <c r="Q128" s="34" t="s">
        <v>796</v>
      </c>
      <c r="R128" s="113" t="s">
        <v>78</v>
      </c>
      <c r="S128" s="98"/>
      <c r="T128" s="98"/>
      <c r="U128" s="122" t="s">
        <v>797</v>
      </c>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row>
    <row r="129" spans="1:67" ht="29.25" hidden="1" customHeight="1">
      <c r="A129" s="16" t="s">
        <v>67</v>
      </c>
      <c r="B129" s="17" t="s">
        <v>798</v>
      </c>
      <c r="C129" s="107" t="s">
        <v>799</v>
      </c>
      <c r="D129" s="150"/>
      <c r="E129" s="97"/>
      <c r="F129" s="122" t="s">
        <v>76</v>
      </c>
      <c r="G129" s="98">
        <v>100</v>
      </c>
      <c r="H129" s="22">
        <f>IF(OR(J129="",K129="",K129&lt;J129),0,NETWORKDAYS(J129,K129,fESTIVOS!$A$2:$A$53))</f>
        <v>0</v>
      </c>
      <c r="I129" s="99">
        <v>45869</v>
      </c>
      <c r="J129" s="100">
        <v>45870</v>
      </c>
      <c r="K129" s="100"/>
      <c r="L129" s="100">
        <v>45880</v>
      </c>
      <c r="M129" s="27">
        <f ca="1">IF(OR(J129="",AND(L129="",TODAY()&lt;J129),AND(L129&lt;&gt;"",L129&lt;J129)),0,
   IF(L129="",
      NETWORKDAYS(J129,TODAY(),fESTIVOS!$A$2:$A$53),
      NETWORKDAYS(J129,L129,fESTIVOS!$A$2:$A$53)
   )
)</f>
        <v>6</v>
      </c>
      <c r="N129" s="101"/>
      <c r="O129" s="99"/>
      <c r="P129" s="101"/>
      <c r="Q129" s="34" t="s">
        <v>800</v>
      </c>
      <c r="R129" s="31" t="s">
        <v>78</v>
      </c>
      <c r="S129" s="102"/>
      <c r="T129" s="102"/>
      <c r="U129" s="103"/>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row>
    <row r="130" spans="1:67" ht="29.25" hidden="1" customHeight="1">
      <c r="A130" s="123" t="s">
        <v>210</v>
      </c>
      <c r="B130" s="17" t="s">
        <v>801</v>
      </c>
      <c r="C130" s="107" t="s">
        <v>802</v>
      </c>
      <c r="D130" s="150"/>
      <c r="E130" s="97"/>
      <c r="F130" s="122" t="s">
        <v>803</v>
      </c>
      <c r="G130" s="98">
        <v>85</v>
      </c>
      <c r="H130" s="22">
        <f>IF(OR(J130="",K130="",K130&lt;J130),0,NETWORKDAYS(J130,K130,fESTIVOS!$A$2:$A$53))</f>
        <v>0</v>
      </c>
      <c r="I130" s="99">
        <v>45870</v>
      </c>
      <c r="J130" s="100">
        <v>45870</v>
      </c>
      <c r="K130" s="100"/>
      <c r="L130" s="100">
        <v>45881</v>
      </c>
      <c r="M130" s="27">
        <f ca="1">IF(OR(J130="",AND(L130="",TODAY()&lt;J130),AND(L130&lt;&gt;"",L130&lt;J130)),0,
   IF(L130="",
      NETWORKDAYS(J130,TODAY(),fESTIVOS!$A$2:$A$53),
      NETWORKDAYS(J130,L130,fESTIVOS!$A$2:$A$53)
   )
)</f>
        <v>7</v>
      </c>
      <c r="N130" s="101"/>
      <c r="O130" s="99">
        <v>45881</v>
      </c>
      <c r="P130" s="101"/>
      <c r="Q130" s="34" t="s">
        <v>804</v>
      </c>
      <c r="R130" s="31" t="s">
        <v>78</v>
      </c>
      <c r="S130" s="102"/>
      <c r="T130" s="102"/>
      <c r="U130" s="103"/>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37" t="s">
        <v>805</v>
      </c>
    </row>
    <row r="131" spans="1:67" ht="29.25" hidden="1" customHeight="1">
      <c r="A131" s="16" t="s">
        <v>210</v>
      </c>
      <c r="B131" s="106" t="s">
        <v>806</v>
      </c>
      <c r="C131" s="107" t="s">
        <v>807</v>
      </c>
      <c r="D131" s="150"/>
      <c r="E131" s="97"/>
      <c r="F131" s="122" t="s">
        <v>76</v>
      </c>
      <c r="G131" s="98">
        <v>100</v>
      </c>
      <c r="H131" s="22">
        <f>IF(OR(J131="",K131="",K131&lt;J131),0,NETWORKDAYS(J131,K131,fESTIVOS!$A$2:$A$53))</f>
        <v>0</v>
      </c>
      <c r="I131" s="99">
        <v>45917</v>
      </c>
      <c r="J131" s="100">
        <v>45918</v>
      </c>
      <c r="K131" s="100"/>
      <c r="L131" s="100">
        <v>45919</v>
      </c>
      <c r="M131" s="27">
        <f ca="1">IF(OR(J131="",AND(L131="",TODAY()&lt;J131),AND(L131&lt;&gt;"",L131&lt;J131)),0,
   IF(L131="",
      NETWORKDAYS(J131,TODAY(),fESTIVOS!$A$2:$A$53),
      NETWORKDAYS(J131,L131,fESTIVOS!$A$2:$A$53)
   )
)</f>
        <v>2</v>
      </c>
      <c r="N131" s="101"/>
      <c r="O131" s="99"/>
      <c r="P131" s="101"/>
      <c r="Q131" s="34" t="s">
        <v>808</v>
      </c>
      <c r="R131" s="31" t="s">
        <v>78</v>
      </c>
      <c r="S131" s="102"/>
      <c r="T131" s="102"/>
      <c r="U131" s="103"/>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37"/>
    </row>
    <row r="132" spans="1:67" ht="29.25" hidden="1" customHeight="1">
      <c r="A132" s="16" t="s">
        <v>210</v>
      </c>
      <c r="B132" s="106" t="s">
        <v>809</v>
      </c>
      <c r="C132" s="107" t="s">
        <v>810</v>
      </c>
      <c r="D132" s="150"/>
      <c r="E132" s="97"/>
      <c r="F132" s="122" t="s">
        <v>76</v>
      </c>
      <c r="G132" s="98">
        <v>100</v>
      </c>
      <c r="H132" s="22">
        <f>IF(OR(J132="",K132="",K132&lt;J132),0,NETWORKDAYS(J132,K132,fESTIVOS!$A$2:$A$53))</f>
        <v>0</v>
      </c>
      <c r="I132" s="99">
        <v>45912</v>
      </c>
      <c r="J132" s="100">
        <v>45925</v>
      </c>
      <c r="K132" s="100"/>
      <c r="L132" s="100">
        <v>45992</v>
      </c>
      <c r="M132" s="27">
        <f ca="1">IF(OR(J132="",AND(L132="",TODAY()&lt;J132),AND(L132&lt;&gt;"",L132&lt;J132)),0,
   IF(L132="",
      NETWORKDAYS(J132,TODAY(),fESTIVOS!$A$2:$A$53),
      NETWORKDAYS(J132,L132,fESTIVOS!$A$2:$A$53)
   )
)</f>
        <v>45</v>
      </c>
      <c r="N132" s="101"/>
      <c r="O132" s="99"/>
      <c r="P132" s="101">
        <v>45992</v>
      </c>
      <c r="Q132" s="34" t="s">
        <v>811</v>
      </c>
      <c r="R132" s="31" t="s">
        <v>78</v>
      </c>
      <c r="S132" s="102"/>
      <c r="T132" s="102"/>
      <c r="U132" s="103"/>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37"/>
    </row>
    <row r="133" spans="1:67" ht="29.25" hidden="1" customHeight="1">
      <c r="A133" s="16" t="s">
        <v>210</v>
      </c>
      <c r="B133" s="106" t="s">
        <v>812</v>
      </c>
      <c r="C133" s="151" t="s">
        <v>813</v>
      </c>
      <c r="D133" s="150"/>
      <c r="E133" s="97"/>
      <c r="F133" s="122" t="s">
        <v>76</v>
      </c>
      <c r="G133" s="98">
        <v>100</v>
      </c>
      <c r="H133" s="22">
        <f>IF(OR(J133="",K133="",K133&lt;J133),0,NETWORKDAYS(J133,K133,fESTIVOS!$A$2:$A$53))</f>
        <v>0</v>
      </c>
      <c r="I133" s="99">
        <v>45953</v>
      </c>
      <c r="J133" s="100">
        <v>45960</v>
      </c>
      <c r="K133" s="100"/>
      <c r="L133" s="100">
        <v>45971</v>
      </c>
      <c r="M133" s="27">
        <f ca="1">IF(OR(J133="",AND(L133="",TODAY()&lt;J133),AND(L133&lt;&gt;"",L133&lt;J133)),0,
   IF(L133="",
      NETWORKDAYS(J133,TODAY(),fESTIVOS!$A$2:$A$53),
      NETWORKDAYS(J133,L133,fESTIVOS!$A$2:$A$53)
   )
)</f>
        <v>7</v>
      </c>
      <c r="N133" s="101"/>
      <c r="O133" s="99"/>
      <c r="P133" s="101"/>
      <c r="Q133" s="34" t="s">
        <v>814</v>
      </c>
      <c r="R133" s="113" t="s">
        <v>78</v>
      </c>
      <c r="S133" s="102"/>
      <c r="T133" s="102"/>
      <c r="U133" s="103"/>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37"/>
    </row>
    <row r="134" spans="1:67" ht="29.25" hidden="1" customHeight="1">
      <c r="A134" s="16" t="s">
        <v>210</v>
      </c>
      <c r="B134" s="106" t="s">
        <v>815</v>
      </c>
      <c r="C134" s="107" t="s">
        <v>816</v>
      </c>
      <c r="D134" s="150"/>
      <c r="E134" s="97"/>
      <c r="F134" s="122" t="s">
        <v>76</v>
      </c>
      <c r="G134" s="98">
        <v>100</v>
      </c>
      <c r="H134" s="22">
        <f>IF(OR(J134="",K134="",K134&lt;J134),0,NETWORKDAYS(J134,K134,fESTIVOS!$A$2:$A$53))</f>
        <v>0</v>
      </c>
      <c r="I134" s="99">
        <v>45958</v>
      </c>
      <c r="J134" s="100">
        <v>45959</v>
      </c>
      <c r="K134" s="100"/>
      <c r="L134" s="100">
        <v>45960</v>
      </c>
      <c r="M134" s="27">
        <f ca="1">IF(OR(J134="",AND(L134="",TODAY()&lt;J134),AND(L134&lt;&gt;"",L134&lt;J134)),0,
   IF(L134="",
      NETWORKDAYS(J134,TODAY(),fESTIVOS!$A$2:$A$53),
      NETWORKDAYS(J134,L134,fESTIVOS!$A$2:$A$53)
   )
)</f>
        <v>2</v>
      </c>
      <c r="N134" s="101"/>
      <c r="O134" s="99"/>
      <c r="P134" s="101"/>
      <c r="Q134" s="34" t="s">
        <v>817</v>
      </c>
      <c r="R134" s="113" t="s">
        <v>78</v>
      </c>
      <c r="S134" s="102"/>
      <c r="T134" s="102"/>
      <c r="U134" s="103"/>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37"/>
    </row>
    <row r="135" spans="1:67" ht="29.25" hidden="1" customHeight="1">
      <c r="A135" s="16" t="s">
        <v>210</v>
      </c>
      <c r="B135" s="106" t="s">
        <v>818</v>
      </c>
      <c r="C135" s="151" t="s">
        <v>819</v>
      </c>
      <c r="D135" s="150"/>
      <c r="E135" s="97"/>
      <c r="F135" s="122" t="s">
        <v>76</v>
      </c>
      <c r="G135" s="98">
        <v>100</v>
      </c>
      <c r="H135" s="22">
        <f>IF(OR(J135="",K135="",K135&lt;J135),0,NETWORKDAYS(J135,K135,fESTIVOS!$A$2:$A$53))</f>
        <v>0</v>
      </c>
      <c r="I135" s="99">
        <v>45954</v>
      </c>
      <c r="J135" s="100">
        <v>45992</v>
      </c>
      <c r="K135" s="100"/>
      <c r="L135" s="100">
        <v>45992</v>
      </c>
      <c r="M135" s="27">
        <f ca="1">IF(OR(J135="",AND(L135="",TODAY()&lt;J135),AND(L135&lt;&gt;"",L135&lt;J135)),0,
   IF(L135="",
      NETWORKDAYS(J135,TODAY(),fESTIVOS!$A$2:$A$53),
      NETWORKDAYS(J135,L135,fESTIVOS!$A$2:$A$53)
   )
)</f>
        <v>1</v>
      </c>
      <c r="N135" s="101"/>
      <c r="O135" s="99"/>
      <c r="P135" s="101"/>
      <c r="Q135" s="34" t="s">
        <v>820</v>
      </c>
      <c r="R135" s="113" t="s">
        <v>78</v>
      </c>
      <c r="S135" s="102"/>
      <c r="T135" s="102"/>
      <c r="U135" s="103"/>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37"/>
    </row>
    <row r="136" spans="1:67" ht="29.25" hidden="1" customHeight="1">
      <c r="A136" s="16" t="s">
        <v>210</v>
      </c>
      <c r="B136" s="106" t="s">
        <v>821</v>
      </c>
      <c r="C136" s="141" t="s">
        <v>822</v>
      </c>
      <c r="D136" s="150" t="s">
        <v>823</v>
      </c>
      <c r="E136" s="97"/>
      <c r="F136" s="122" t="s">
        <v>76</v>
      </c>
      <c r="G136" s="98">
        <v>100</v>
      </c>
      <c r="H136" s="22">
        <f>IF(OR(J136="",K136="",K136&lt;J136),0,NETWORKDAYS(J136,K136,fESTIVOS!$A$2:$A$53))</f>
        <v>0</v>
      </c>
      <c r="I136" s="99">
        <v>45972</v>
      </c>
      <c r="J136" s="100">
        <v>45974</v>
      </c>
      <c r="K136" s="100"/>
      <c r="L136" s="100">
        <v>45980</v>
      </c>
      <c r="M136" s="27">
        <f ca="1">IF(OR(J136="",AND(L136="",TODAY()&lt;J136),AND(L136&lt;&gt;"",L136&lt;J136)),0,
   IF(L136="",
      NETWORKDAYS(J136,TODAY(),fESTIVOS!$A$2:$A$53),
      NETWORKDAYS(J136,L136,fESTIVOS!$A$2:$A$53)
   )
)</f>
        <v>4</v>
      </c>
      <c r="N136" s="101"/>
      <c r="O136" s="99"/>
      <c r="P136" s="101"/>
      <c r="Q136" s="34" t="s">
        <v>824</v>
      </c>
      <c r="R136" s="113" t="s">
        <v>78</v>
      </c>
      <c r="S136" s="102"/>
      <c r="T136" s="102"/>
      <c r="U136" s="103"/>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37"/>
    </row>
    <row r="137" spans="1:67" ht="29.25" hidden="1" customHeight="1">
      <c r="A137" s="16" t="s">
        <v>210</v>
      </c>
      <c r="B137" s="183" t="s">
        <v>825</v>
      </c>
      <c r="C137" s="107" t="s">
        <v>826</v>
      </c>
      <c r="D137" s="150"/>
      <c r="E137" s="97"/>
      <c r="F137" s="122" t="s">
        <v>76</v>
      </c>
      <c r="G137" s="98">
        <v>100</v>
      </c>
      <c r="H137" s="22">
        <f>IF(OR(J137="",K137="",K137&lt;J137),0,NETWORKDAYS(J137,K137,fESTIVOS!$A$2:$A$53))</f>
        <v>0</v>
      </c>
      <c r="I137" s="99">
        <v>45937</v>
      </c>
      <c r="J137" s="100">
        <v>45937</v>
      </c>
      <c r="K137" s="100"/>
      <c r="L137" s="100"/>
      <c r="M137" s="27">
        <f ca="1">IF(OR(J137="",AND(L137="",TODAY()&lt;J137),AND(L137&lt;&gt;"",L137&lt;J137)),0,
   IF(L137="",
      NETWORKDAYS(J137,TODAY(),fESTIVOS!$A$2:$A$53),
      NETWORKDAYS(J137,L137,fESTIVOS!$A$2:$A$53)
   )
)</f>
        <v>75</v>
      </c>
      <c r="N137" s="101"/>
      <c r="O137" s="99"/>
      <c r="P137" s="101"/>
      <c r="Q137" s="34" t="s">
        <v>827</v>
      </c>
      <c r="R137" s="31" t="s">
        <v>78</v>
      </c>
      <c r="S137" s="102"/>
      <c r="T137" s="102"/>
      <c r="U137" s="103"/>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37"/>
    </row>
    <row r="138" spans="1:67" ht="29.25" hidden="1" customHeight="1">
      <c r="A138" s="16" t="s">
        <v>210</v>
      </c>
      <c r="B138" s="183" t="s">
        <v>828</v>
      </c>
      <c r="C138" s="107" t="s">
        <v>829</v>
      </c>
      <c r="D138" s="150"/>
      <c r="E138" s="97"/>
      <c r="F138" s="122" t="s">
        <v>76</v>
      </c>
      <c r="G138" s="98">
        <v>100</v>
      </c>
      <c r="H138" s="22">
        <f>IF(OR(J138="",K138="",K138&lt;J138),0,NETWORKDAYS(J138,K138,fESTIVOS!$A$2:$A$53))</f>
        <v>0</v>
      </c>
      <c r="I138" s="99">
        <v>45945</v>
      </c>
      <c r="J138" s="100">
        <v>45945</v>
      </c>
      <c r="K138" s="100"/>
      <c r="L138" s="100">
        <v>45945</v>
      </c>
      <c r="M138" s="27">
        <f ca="1">IF(OR(J138="",AND(L138="",TODAY()&lt;J138),AND(L138&lt;&gt;"",L138&lt;J138)),0,
   IF(L138="",
      NETWORKDAYS(J138,TODAY(),fESTIVOS!$A$2:$A$53),
      NETWORKDAYS(J138,L138,fESTIVOS!$A$2:$A$53)
   )
)</f>
        <v>1</v>
      </c>
      <c r="N138" s="101"/>
      <c r="O138" s="99"/>
      <c r="P138" s="101"/>
      <c r="Q138" s="34"/>
      <c r="R138" s="31" t="s">
        <v>78</v>
      </c>
      <c r="S138" s="102"/>
      <c r="T138" s="102"/>
      <c r="U138" s="103"/>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37"/>
    </row>
    <row r="139" spans="1:67" ht="29.25" hidden="1" customHeight="1">
      <c r="A139" s="56" t="s">
        <v>128</v>
      </c>
      <c r="B139" s="17" t="s">
        <v>830</v>
      </c>
      <c r="C139" s="107" t="s">
        <v>831</v>
      </c>
      <c r="D139" s="96"/>
      <c r="E139" s="97"/>
      <c r="F139" s="122" t="s">
        <v>76</v>
      </c>
      <c r="G139" s="98">
        <v>100</v>
      </c>
      <c r="H139" s="22">
        <f>IF(OR(J139="",K139="",K139&lt;J139),0,NETWORKDAYS(J139,K139,fESTIVOS!$A$2:$A$53))</f>
        <v>0</v>
      </c>
      <c r="I139" s="99">
        <v>45869</v>
      </c>
      <c r="J139" s="100">
        <v>45869</v>
      </c>
      <c r="K139" s="100"/>
      <c r="L139" s="100">
        <v>45870</v>
      </c>
      <c r="M139" s="27">
        <f ca="1">IF(OR(J139="",AND(L139="",TODAY()&lt;J139),AND(L139&lt;&gt;"",L139&lt;J139)),0,
   IF(L139="",
      NETWORKDAYS(J139,TODAY(),fESTIVOS!$A$2:$A$53),
      NETWORKDAYS(J139,L139,fESTIVOS!$A$2:$A$53)
   )
)</f>
        <v>2</v>
      </c>
      <c r="N139" s="101"/>
      <c r="O139" s="99"/>
      <c r="P139" s="101"/>
      <c r="Q139" s="34" t="s">
        <v>832</v>
      </c>
      <c r="R139" s="31" t="s">
        <v>78</v>
      </c>
      <c r="S139" s="102"/>
      <c r="T139" s="102"/>
      <c r="U139" s="103"/>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row>
    <row r="140" spans="1:67" ht="29.25" hidden="1" customHeight="1">
      <c r="A140" s="56" t="s">
        <v>128</v>
      </c>
      <c r="B140" s="17" t="s">
        <v>833</v>
      </c>
      <c r="C140" s="107" t="s">
        <v>834</v>
      </c>
      <c r="D140" s="150"/>
      <c r="E140" s="97"/>
      <c r="F140" s="122" t="s">
        <v>76</v>
      </c>
      <c r="G140" s="98">
        <v>100</v>
      </c>
      <c r="H140" s="22">
        <f>IF(OR(J140="",K140="",K140&lt;J140),0,NETWORKDAYS(J140,K140,fESTIVOS!$A$2:$A$53))</f>
        <v>0</v>
      </c>
      <c r="I140" s="99">
        <v>45870</v>
      </c>
      <c r="J140" s="100">
        <v>45873</v>
      </c>
      <c r="K140" s="100"/>
      <c r="L140" s="100">
        <v>45873</v>
      </c>
      <c r="M140" s="27">
        <f ca="1">IF(OR(J140="",AND(L140="",TODAY()&lt;J140),AND(L140&lt;&gt;"",L140&lt;J140)),0,
   IF(L140="",
      NETWORKDAYS(J140,TODAY(),fESTIVOS!$A$2:$A$53),
      NETWORKDAYS(J140,L140,fESTIVOS!$A$2:$A$53)
   )
)</f>
        <v>1</v>
      </c>
      <c r="N140" s="101"/>
      <c r="O140" s="99">
        <v>45873</v>
      </c>
      <c r="P140" s="101">
        <v>45873</v>
      </c>
      <c r="Q140" s="34" t="s">
        <v>835</v>
      </c>
      <c r="R140" s="31" t="s">
        <v>78</v>
      </c>
      <c r="S140" s="102"/>
      <c r="T140" s="102"/>
      <c r="U140" s="103"/>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37" t="s">
        <v>836</v>
      </c>
    </row>
    <row r="141" spans="1:67" ht="29.25" hidden="1" customHeight="1">
      <c r="A141" s="56" t="s">
        <v>128</v>
      </c>
      <c r="B141" s="17" t="s">
        <v>837</v>
      </c>
      <c r="C141" s="107" t="s">
        <v>838</v>
      </c>
      <c r="D141" s="96"/>
      <c r="E141" s="97"/>
      <c r="F141" s="122" t="s">
        <v>76</v>
      </c>
      <c r="G141" s="98">
        <v>100</v>
      </c>
      <c r="H141" s="22">
        <f>IF(OR(J141="",K141="",K141&lt;J141),0,NETWORKDAYS(J141,K141,fESTIVOS!$A$2:$A$53))</f>
        <v>0</v>
      </c>
      <c r="I141" s="99">
        <v>45870</v>
      </c>
      <c r="J141" s="100">
        <v>45874</v>
      </c>
      <c r="K141" s="100"/>
      <c r="L141" s="100">
        <v>45875</v>
      </c>
      <c r="M141" s="27">
        <f ca="1">IF(OR(J141="",AND(L141="",TODAY()&lt;J141),AND(L141&lt;&gt;"",L141&lt;J141)),0,
   IF(L141="",
      NETWORKDAYS(J141,TODAY(),fESTIVOS!$A$2:$A$53),
      NETWORKDAYS(J141,L141,fESTIVOS!$A$2:$A$53)
   )
)</f>
        <v>2</v>
      </c>
      <c r="N141" s="184"/>
      <c r="O141" s="185">
        <v>45875</v>
      </c>
      <c r="P141" s="101">
        <v>45883</v>
      </c>
      <c r="Q141" s="34" t="s">
        <v>839</v>
      </c>
      <c r="R141" s="31" t="s">
        <v>78</v>
      </c>
      <c r="S141" s="83"/>
      <c r="T141" s="83" t="s">
        <v>840</v>
      </c>
      <c r="U141" s="122" t="s">
        <v>841</v>
      </c>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37" t="s">
        <v>842</v>
      </c>
    </row>
    <row r="142" spans="1:67" ht="29.25" hidden="1" customHeight="1">
      <c r="A142" s="56" t="s">
        <v>128</v>
      </c>
      <c r="B142" s="17" t="s">
        <v>843</v>
      </c>
      <c r="C142" s="107" t="s">
        <v>844</v>
      </c>
      <c r="D142" s="96" t="s">
        <v>845</v>
      </c>
      <c r="E142" s="97"/>
      <c r="F142" s="20" t="s">
        <v>76</v>
      </c>
      <c r="G142" s="98">
        <v>100</v>
      </c>
      <c r="H142" s="22">
        <f>IF(OR(J142="",K142="",K142&lt;J142),0,NETWORKDAYS(J142,K142,fESTIVOS!$A$2:$A$53))</f>
        <v>0</v>
      </c>
      <c r="I142" s="99">
        <v>45870</v>
      </c>
      <c r="J142" s="100">
        <v>45890</v>
      </c>
      <c r="K142" s="100"/>
      <c r="L142" s="100">
        <v>45916</v>
      </c>
      <c r="M142" s="27">
        <f ca="1">IF(OR(J142="",AND(L142="",TODAY()&lt;J142),AND(L142&lt;&gt;"",L142&lt;J142)),0,
   IF(L142="",
      NETWORKDAYS(J142,TODAY(),fESTIVOS!$A$2:$A$53),
      NETWORKDAYS(J142,L142,fESTIVOS!$A$2:$A$53)
   )
)</f>
        <v>19</v>
      </c>
      <c r="N142" s="101"/>
      <c r="O142" s="99"/>
      <c r="P142" s="101"/>
      <c r="Q142" s="34" t="s">
        <v>846</v>
      </c>
      <c r="R142" s="31" t="s">
        <v>78</v>
      </c>
      <c r="S142" s="102"/>
      <c r="T142" s="102"/>
      <c r="U142" s="103"/>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row>
    <row r="143" spans="1:67" ht="29.25" hidden="1" customHeight="1">
      <c r="A143" s="56" t="s">
        <v>128</v>
      </c>
      <c r="B143" s="17" t="s">
        <v>847</v>
      </c>
      <c r="C143" s="107" t="s">
        <v>848</v>
      </c>
      <c r="D143" s="96"/>
      <c r="E143" s="97"/>
      <c r="F143" s="122" t="s">
        <v>76</v>
      </c>
      <c r="G143" s="98">
        <v>100</v>
      </c>
      <c r="H143" s="22">
        <f>IF(OR(J143="",K143="",K143&lt;J143),0,NETWORKDAYS(J143,K143,fESTIVOS!$A$2:$A$53))</f>
        <v>0</v>
      </c>
      <c r="I143" s="99">
        <v>45870</v>
      </c>
      <c r="J143" s="100">
        <v>45917</v>
      </c>
      <c r="K143" s="100"/>
      <c r="L143" s="100">
        <v>45918</v>
      </c>
      <c r="M143" s="27">
        <f ca="1">IF(OR(J143="",AND(L143="",TODAY()&lt;J143),AND(L143&lt;&gt;"",L143&lt;J143)),0,
   IF(L143="",
      NETWORKDAYS(J143,TODAY(),fESTIVOS!$A$2:$A$53),
      NETWORKDAYS(J143,L143,fESTIVOS!$A$2:$A$53)
   )
)</f>
        <v>2</v>
      </c>
      <c r="N143" s="101"/>
      <c r="O143" s="99">
        <v>45918</v>
      </c>
      <c r="P143" s="101"/>
      <c r="Q143" s="34" t="s">
        <v>849</v>
      </c>
      <c r="R143" s="113" t="s">
        <v>78</v>
      </c>
      <c r="S143" s="102"/>
      <c r="T143" s="102"/>
      <c r="U143" s="103"/>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row>
    <row r="144" spans="1:67" ht="29.25" hidden="1" customHeight="1">
      <c r="A144" s="56" t="s">
        <v>128</v>
      </c>
      <c r="B144" s="106" t="s">
        <v>850</v>
      </c>
      <c r="C144" s="107" t="s">
        <v>851</v>
      </c>
      <c r="D144" s="96"/>
      <c r="E144" s="97"/>
      <c r="F144" s="122" t="s">
        <v>76</v>
      </c>
      <c r="G144" s="98">
        <v>100</v>
      </c>
      <c r="H144" s="22">
        <f>IF(OR(J144="",K144="",K144&lt;J144),0,NETWORKDAYS(J144,K144,fESTIVOS!$A$2:$A$53))</f>
        <v>0</v>
      </c>
      <c r="I144" s="99">
        <v>45904</v>
      </c>
      <c r="J144" s="100">
        <v>45904</v>
      </c>
      <c r="K144" s="100"/>
      <c r="L144" s="100">
        <v>45904</v>
      </c>
      <c r="M144" s="27">
        <f ca="1">IF(OR(J144="",AND(L144="",TODAY()&lt;J144),AND(L144&lt;&gt;"",L144&lt;J144)),0,
   IF(L144="",
      NETWORKDAYS(J144,TODAY(),fESTIVOS!$A$2:$A$53),
      NETWORKDAYS(J144,L144,fESTIVOS!$A$2:$A$53)
   )
)</f>
        <v>1</v>
      </c>
      <c r="N144" s="101"/>
      <c r="O144" s="99"/>
      <c r="P144" s="101"/>
      <c r="Q144" s="34" t="s">
        <v>852</v>
      </c>
      <c r="R144" s="113" t="s">
        <v>78</v>
      </c>
      <c r="S144" s="102"/>
      <c r="T144" s="102"/>
      <c r="U144" s="103"/>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row>
    <row r="145" spans="1:67" ht="29.25" hidden="1" customHeight="1">
      <c r="A145" s="16" t="s">
        <v>67</v>
      </c>
      <c r="B145" s="17" t="s">
        <v>853</v>
      </c>
      <c r="C145" s="107" t="s">
        <v>854</v>
      </c>
      <c r="D145" s="96"/>
      <c r="E145" s="97"/>
      <c r="F145" s="122" t="s">
        <v>76</v>
      </c>
      <c r="G145" s="98">
        <v>100</v>
      </c>
      <c r="H145" s="22">
        <f>IF(OR(J145="",K145="",K145&lt;J145),0,NETWORKDAYS(J145,K145,fESTIVOS!$A$2:$A$53))</f>
        <v>0</v>
      </c>
      <c r="I145" s="99">
        <v>45870</v>
      </c>
      <c r="J145" s="100">
        <v>45870</v>
      </c>
      <c r="K145" s="100"/>
      <c r="L145" s="100">
        <v>45870</v>
      </c>
      <c r="M145" s="27">
        <f ca="1">IF(OR(J145="",AND(L145="",TODAY()&lt;J145),AND(L145&lt;&gt;"",L145&lt;J145)),0,
   IF(L145="",
      NETWORKDAYS(J145,TODAY(),fESTIVOS!$A$2:$A$53),
      NETWORKDAYS(J145,L145,fESTIVOS!$A$2:$A$53)
   )
)</f>
        <v>1</v>
      </c>
      <c r="N145" s="101"/>
      <c r="O145" s="99"/>
      <c r="P145" s="101"/>
      <c r="Q145" s="34" t="s">
        <v>855</v>
      </c>
      <c r="R145" s="31" t="s">
        <v>78</v>
      </c>
      <c r="S145" s="102"/>
      <c r="T145" s="102"/>
      <c r="U145" s="103"/>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row>
    <row r="146" spans="1:67" ht="29.25" hidden="1" customHeight="1">
      <c r="A146" s="16" t="s">
        <v>67</v>
      </c>
      <c r="B146" s="17" t="s">
        <v>856</v>
      </c>
      <c r="C146" s="107" t="s">
        <v>857</v>
      </c>
      <c r="D146" s="96"/>
      <c r="E146" s="97"/>
      <c r="F146" s="20" t="s">
        <v>76</v>
      </c>
      <c r="G146" s="98">
        <v>100</v>
      </c>
      <c r="H146" s="22">
        <f>IF(OR(J146="",K146="",K146&lt;J146),0,NETWORKDAYS(J146,K146,fESTIVOS!$A$2:$A$53))</f>
        <v>14</v>
      </c>
      <c r="I146" s="99">
        <v>45870</v>
      </c>
      <c r="J146" s="100">
        <v>45870</v>
      </c>
      <c r="K146" s="100">
        <v>45891</v>
      </c>
      <c r="L146" s="100">
        <v>45898</v>
      </c>
      <c r="M146" s="27">
        <f ca="1">IF(OR(J146="",AND(L146="",TODAY()&lt;J146),AND(L146&lt;&gt;"",L146&lt;J146)),0,
   IF(L146="",
      NETWORKDAYS(J146,TODAY(),fESTIVOS!$A$2:$A$53),
      NETWORKDAYS(J146,L146,fESTIVOS!$A$2:$A$53)
   )
)</f>
        <v>19</v>
      </c>
      <c r="N146" s="101"/>
      <c r="O146" s="99"/>
      <c r="P146" s="101">
        <v>45901</v>
      </c>
      <c r="Q146" s="34" t="s">
        <v>858</v>
      </c>
      <c r="R146" s="113" t="s">
        <v>78</v>
      </c>
      <c r="S146" s="102"/>
      <c r="T146" s="102"/>
      <c r="U146" s="103"/>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row>
    <row r="147" spans="1:67" ht="29.25" hidden="1" customHeight="1">
      <c r="A147" s="16" t="s">
        <v>67</v>
      </c>
      <c r="B147" s="17" t="s">
        <v>859</v>
      </c>
      <c r="C147" s="107" t="s">
        <v>860</v>
      </c>
      <c r="D147" s="96"/>
      <c r="E147" s="97"/>
      <c r="F147" s="122" t="s">
        <v>76</v>
      </c>
      <c r="G147" s="98">
        <v>100</v>
      </c>
      <c r="H147" s="22">
        <f>IF(OR(J147="",K147="",K147&lt;J147),0,NETWORKDAYS(J147,K147,fESTIVOS!$A$2:$A$53))</f>
        <v>0</v>
      </c>
      <c r="I147" s="99">
        <v>45873</v>
      </c>
      <c r="J147" s="100">
        <v>45873</v>
      </c>
      <c r="K147" s="100"/>
      <c r="L147" s="100">
        <v>45874</v>
      </c>
      <c r="M147" s="27">
        <f ca="1">IF(OR(J147="",AND(L147="",TODAY()&lt;J147),AND(L147&lt;&gt;"",L147&lt;J147)),0,
   IF(L147="",
      NETWORKDAYS(J147,TODAY(),fESTIVOS!$A$2:$A$53),
      NETWORKDAYS(J147,L147,fESTIVOS!$A$2:$A$53)
   )
)</f>
        <v>2</v>
      </c>
      <c r="N147" s="101"/>
      <c r="O147" s="99"/>
      <c r="P147" s="101">
        <v>45874</v>
      </c>
      <c r="Q147" s="34" t="s">
        <v>861</v>
      </c>
      <c r="R147" s="31" t="s">
        <v>78</v>
      </c>
      <c r="S147" s="102"/>
      <c r="T147" s="102"/>
      <c r="U147" s="103"/>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row>
    <row r="148" spans="1:67" ht="29.25" hidden="1" customHeight="1">
      <c r="A148" s="56" t="s">
        <v>128</v>
      </c>
      <c r="B148" s="17" t="s">
        <v>862</v>
      </c>
      <c r="C148" s="107" t="s">
        <v>863</v>
      </c>
      <c r="D148" s="96"/>
      <c r="E148" s="97"/>
      <c r="F148" s="122" t="s">
        <v>76</v>
      </c>
      <c r="G148" s="98">
        <v>100</v>
      </c>
      <c r="H148" s="22">
        <f>IF(OR(J148="",K148="",K148&lt;J148),0,NETWORKDAYS(J148,K148,fESTIVOS!$A$2:$A$53))</f>
        <v>0</v>
      </c>
      <c r="I148" s="99">
        <v>45874</v>
      </c>
      <c r="J148" s="100">
        <v>45877</v>
      </c>
      <c r="K148" s="100"/>
      <c r="L148" s="100">
        <v>45877</v>
      </c>
      <c r="M148" s="27">
        <f ca="1">IF(OR(J148="",AND(L148="",TODAY()&lt;J148),AND(L148&lt;&gt;"",L148&lt;J148)),0,
   IF(L148="",
      NETWORKDAYS(J148,TODAY(),fESTIVOS!$A$2:$A$53),
      NETWORKDAYS(J148,L148,fESTIVOS!$A$2:$A$53)
   )
)</f>
        <v>1</v>
      </c>
      <c r="N148" s="101"/>
      <c r="O148" s="99">
        <v>45877</v>
      </c>
      <c r="P148" s="101">
        <v>45891</v>
      </c>
      <c r="Q148" s="34" t="s">
        <v>864</v>
      </c>
      <c r="R148" s="31" t="s">
        <v>78</v>
      </c>
      <c r="S148" s="102"/>
      <c r="T148" s="102"/>
      <c r="U148" s="186"/>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row>
    <row r="149" spans="1:67" ht="29.25" hidden="1" customHeight="1">
      <c r="A149" s="56" t="s">
        <v>157</v>
      </c>
      <c r="B149" s="17" t="s">
        <v>865</v>
      </c>
      <c r="C149" s="107" t="s">
        <v>866</v>
      </c>
      <c r="D149" s="150"/>
      <c r="E149" s="97"/>
      <c r="F149" s="20" t="s">
        <v>76</v>
      </c>
      <c r="G149" s="98">
        <v>100</v>
      </c>
      <c r="H149" s="22">
        <f>IF(OR(J149="",K149="",K149&lt;J149),0,NETWORKDAYS(J149,K149,fESTIVOS!$A$2:$A$53))</f>
        <v>0</v>
      </c>
      <c r="I149" s="99">
        <v>45874</v>
      </c>
      <c r="J149" s="100">
        <v>45875</v>
      </c>
      <c r="K149" s="100"/>
      <c r="L149" s="100">
        <v>45880</v>
      </c>
      <c r="M149" s="27">
        <f ca="1">IF(OR(J149="",AND(L149="",TODAY()&lt;J149),AND(L149&lt;&gt;"",L149&lt;J149)),0,
   IF(L149="",
      NETWORKDAYS(J149,TODAY(),fESTIVOS!$A$2:$A$53),
      NETWORKDAYS(J149,L149,fESTIVOS!$A$2:$A$53)
   )
)</f>
        <v>3</v>
      </c>
      <c r="N149" s="101"/>
      <c r="O149" s="99"/>
      <c r="P149" s="101"/>
      <c r="Q149" s="34" t="s">
        <v>867</v>
      </c>
      <c r="R149" s="31" t="s">
        <v>78</v>
      </c>
      <c r="S149" s="102"/>
      <c r="T149" s="102"/>
      <c r="U149" s="103"/>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row>
    <row r="150" spans="1:67" ht="29.25" hidden="1" customHeight="1">
      <c r="A150" s="56" t="s">
        <v>157</v>
      </c>
      <c r="B150" s="17" t="s">
        <v>868</v>
      </c>
      <c r="C150" s="107" t="s">
        <v>869</v>
      </c>
      <c r="D150" s="96"/>
      <c r="E150" s="97"/>
      <c r="F150" s="122" t="s">
        <v>76</v>
      </c>
      <c r="G150" s="98">
        <v>100</v>
      </c>
      <c r="H150" s="22">
        <f>IF(OR(J150="",K150="",K150&lt;J150),0,NETWORKDAYS(J150,K150,fESTIVOS!$A$2:$A$53))</f>
        <v>0</v>
      </c>
      <c r="I150" s="99">
        <v>45873</v>
      </c>
      <c r="J150" s="100">
        <v>45874</v>
      </c>
      <c r="K150" s="100"/>
      <c r="L150" s="100">
        <v>45874</v>
      </c>
      <c r="M150" s="27">
        <f ca="1">IF(OR(J150="",AND(L150="",TODAY()&lt;J150),AND(L150&lt;&gt;"",L150&lt;J150)),0,
   IF(L150="",
      NETWORKDAYS(J150,TODAY(),fESTIVOS!$A$2:$A$53),
      NETWORKDAYS(J150,L150,fESTIVOS!$A$2:$A$53)
   )
)</f>
        <v>1</v>
      </c>
      <c r="N150" s="101"/>
      <c r="O150" s="99"/>
      <c r="P150" s="101"/>
      <c r="Q150" s="34" t="s">
        <v>870</v>
      </c>
      <c r="R150" s="31" t="s">
        <v>78</v>
      </c>
      <c r="S150" s="102"/>
      <c r="T150" s="102"/>
      <c r="U150" s="103"/>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row>
    <row r="151" spans="1:67" ht="29.25" hidden="1" customHeight="1">
      <c r="A151" s="56" t="s">
        <v>157</v>
      </c>
      <c r="B151" s="17" t="s">
        <v>871</v>
      </c>
      <c r="C151" s="187" t="s">
        <v>872</v>
      </c>
      <c r="D151" s="171"/>
      <c r="E151" s="116"/>
      <c r="F151" s="117" t="s">
        <v>232</v>
      </c>
      <c r="G151" s="139"/>
      <c r="H151" s="22">
        <f>IF(OR(J151="",K151="",K151&lt;J151),0,NETWORKDAYS(J151,K151,fESTIVOS!$A$2:$A$53))</f>
        <v>0</v>
      </c>
      <c r="I151" s="60">
        <v>45712</v>
      </c>
      <c r="J151" s="70"/>
      <c r="K151" s="70"/>
      <c r="L151" s="70"/>
      <c r="M151" s="27">
        <f ca="1">IF(OR(J151="",AND(L151="",TODAY()&lt;J151),AND(L151&lt;&gt;"",L151&lt;J151)),0,
   IF(L151="",
      NETWORKDAYS(J151,TODAY(),fESTIVOS!$A$2:$A$53),
      NETWORKDAYS(J151,L151,fESTIVOS!$A$2:$A$53)
   )
)</f>
        <v>0</v>
      </c>
      <c r="N151" s="62"/>
      <c r="O151" s="60"/>
      <c r="P151" s="62"/>
      <c r="Q151" s="173" t="s">
        <v>873</v>
      </c>
      <c r="R151" s="113" t="s">
        <v>93</v>
      </c>
      <c r="S151" s="72"/>
      <c r="T151" s="72"/>
      <c r="U151" s="73"/>
      <c r="V151" s="119"/>
      <c r="W151" s="119"/>
      <c r="X151" s="119"/>
      <c r="Y151" s="119"/>
      <c r="Z151" s="119"/>
      <c r="AA151" s="119"/>
      <c r="AB151" s="119"/>
      <c r="AC151" s="119"/>
      <c r="AD151" s="119"/>
      <c r="AE151" s="119"/>
      <c r="AF151" s="119"/>
      <c r="AG151" s="119"/>
      <c r="AH151" s="119"/>
      <c r="AI151" s="119"/>
      <c r="AJ151" s="119"/>
      <c r="AK151" s="119"/>
      <c r="AL151" s="119"/>
      <c r="AM151" s="119"/>
      <c r="AN151" s="119"/>
      <c r="AO151" s="119"/>
      <c r="AP151" s="68" t="s">
        <v>874</v>
      </c>
      <c r="AQ151" s="119"/>
      <c r="AR151" s="119"/>
      <c r="AS151" s="119"/>
      <c r="AT151" s="119"/>
      <c r="AU151" s="119"/>
      <c r="AV151" s="119"/>
      <c r="AW151" s="119"/>
      <c r="AX151" s="119"/>
      <c r="AY151" s="119"/>
      <c r="AZ151" s="119"/>
      <c r="BA151" s="119"/>
      <c r="BB151" s="119"/>
      <c r="BC151" s="119"/>
      <c r="BD151" s="119"/>
      <c r="BE151" s="119"/>
      <c r="BF151" s="119"/>
      <c r="BG151" s="119"/>
      <c r="BH151" s="119"/>
      <c r="BI151" s="119"/>
      <c r="BJ151" s="119"/>
      <c r="BK151" s="119"/>
      <c r="BL151" s="119"/>
      <c r="BM151" s="119"/>
      <c r="BN151" s="119"/>
      <c r="BO151" s="119"/>
    </row>
    <row r="152" spans="1:67" ht="29.25" hidden="1" customHeight="1">
      <c r="A152" s="56" t="s">
        <v>157</v>
      </c>
      <c r="B152" s="17" t="s">
        <v>875</v>
      </c>
      <c r="C152" s="107" t="s">
        <v>876</v>
      </c>
      <c r="D152" s="96"/>
      <c r="E152" s="97"/>
      <c r="F152" s="122" t="s">
        <v>76</v>
      </c>
      <c r="G152" s="98">
        <v>100</v>
      </c>
      <c r="H152" s="22">
        <f>IF(OR(J152="",K152="",K152&lt;J152),0,NETWORKDAYS(J152,K152,fESTIVOS!$A$2:$A$53))</f>
        <v>0</v>
      </c>
      <c r="I152" s="99">
        <v>45877</v>
      </c>
      <c r="J152" s="100">
        <v>45877</v>
      </c>
      <c r="K152" s="100"/>
      <c r="L152" s="100">
        <v>45877</v>
      </c>
      <c r="M152" s="27">
        <f ca="1">IF(OR(J152="",AND(L152="",TODAY()&lt;J152),AND(L152&lt;&gt;"",L152&lt;J152)),0,
   IF(L152="",
      NETWORKDAYS(J152,TODAY(),fESTIVOS!$A$2:$A$53),
      NETWORKDAYS(J152,L152,fESTIVOS!$A$2:$A$53)
   )
)</f>
        <v>1</v>
      </c>
      <c r="N152" s="101"/>
      <c r="O152" s="99"/>
      <c r="P152" s="101"/>
      <c r="Q152" s="34" t="s">
        <v>877</v>
      </c>
      <c r="R152" s="31" t="s">
        <v>78</v>
      </c>
      <c r="S152" s="102"/>
      <c r="T152" s="102"/>
      <c r="U152" s="103"/>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row>
    <row r="153" spans="1:67" ht="29.25" hidden="1" customHeight="1">
      <c r="A153" s="56" t="s">
        <v>157</v>
      </c>
      <c r="B153" s="17" t="s">
        <v>878</v>
      </c>
      <c r="C153" s="107" t="s">
        <v>879</v>
      </c>
      <c r="D153" s="96"/>
      <c r="E153" s="97"/>
      <c r="F153" s="122" t="s">
        <v>76</v>
      </c>
      <c r="G153" s="98">
        <v>100</v>
      </c>
      <c r="H153" s="22">
        <f>IF(OR(J153="",K153="",K153&lt;J153),0,NETWORKDAYS(J153,K153,fESTIVOS!$A$2:$A$53))</f>
        <v>0</v>
      </c>
      <c r="I153" s="99">
        <v>45867</v>
      </c>
      <c r="J153" s="100">
        <v>45877</v>
      </c>
      <c r="K153" s="100"/>
      <c r="L153" s="100">
        <v>45877</v>
      </c>
      <c r="M153" s="27">
        <f ca="1">IF(OR(J153="",AND(L153="",TODAY()&lt;J153),AND(L153&lt;&gt;"",L153&lt;J153)),0,
   IF(L153="",
      NETWORKDAYS(J153,TODAY(),fESTIVOS!$A$2:$A$53),
      NETWORKDAYS(J153,L153,fESTIVOS!$A$2:$A$53)
   )
)</f>
        <v>1</v>
      </c>
      <c r="N153" s="101"/>
      <c r="O153" s="99"/>
      <c r="P153" s="101"/>
      <c r="Q153" s="34" t="s">
        <v>880</v>
      </c>
      <c r="R153" s="31" t="s">
        <v>78</v>
      </c>
      <c r="S153" s="102"/>
      <c r="T153" s="102"/>
      <c r="U153" s="103"/>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row>
    <row r="154" spans="1:67" ht="29.25" hidden="1" customHeight="1">
      <c r="A154" s="56" t="s">
        <v>157</v>
      </c>
      <c r="B154" s="17" t="s">
        <v>881</v>
      </c>
      <c r="C154" s="107" t="s">
        <v>882</v>
      </c>
      <c r="D154" s="150"/>
      <c r="E154" s="97"/>
      <c r="F154" s="122" t="s">
        <v>76</v>
      </c>
      <c r="G154" s="98">
        <v>100</v>
      </c>
      <c r="H154" s="22">
        <f>IF(OR(J154="",K154="",K154&lt;J154),0,NETWORKDAYS(J154,K154,fESTIVOS!$A$2:$A$53))</f>
        <v>0</v>
      </c>
      <c r="I154" s="99">
        <v>45877</v>
      </c>
      <c r="J154" s="100">
        <v>45877</v>
      </c>
      <c r="K154" s="100"/>
      <c r="L154" s="100">
        <v>45880</v>
      </c>
      <c r="M154" s="27">
        <f ca="1">IF(OR(J154="",AND(L154="",TODAY()&lt;J154),AND(L154&lt;&gt;"",L154&lt;J154)),0,
   IF(L154="",
      NETWORKDAYS(J154,TODAY(),fESTIVOS!$A$2:$A$53),
      NETWORKDAYS(J154,L154,fESTIVOS!$A$2:$A$53)
   )
)</f>
        <v>2</v>
      </c>
      <c r="N154" s="101"/>
      <c r="O154" s="99"/>
      <c r="P154" s="101"/>
      <c r="Q154" s="34" t="s">
        <v>883</v>
      </c>
      <c r="R154" s="31" t="s">
        <v>78</v>
      </c>
      <c r="S154" s="102"/>
      <c r="T154" s="102"/>
      <c r="U154" s="103"/>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row>
    <row r="155" spans="1:67" ht="29.25" hidden="1" customHeight="1">
      <c r="A155" s="56" t="s">
        <v>157</v>
      </c>
      <c r="B155" s="17" t="s">
        <v>884</v>
      </c>
      <c r="C155" s="107" t="s">
        <v>885</v>
      </c>
      <c r="D155" s="150"/>
      <c r="E155" s="97"/>
      <c r="F155" s="20" t="s">
        <v>76</v>
      </c>
      <c r="G155" s="98">
        <v>100</v>
      </c>
      <c r="H155" s="22">
        <f>IF(OR(J155="",K155="",K155&lt;J155),0,NETWORKDAYS(J155,K155,fESTIVOS!$A$2:$A$53))</f>
        <v>0</v>
      </c>
      <c r="I155" s="99">
        <v>45881</v>
      </c>
      <c r="J155" s="100">
        <v>45882</v>
      </c>
      <c r="K155" s="100"/>
      <c r="L155" s="100">
        <v>45883</v>
      </c>
      <c r="M155" s="27">
        <f ca="1">IF(OR(J155="",AND(L155="",TODAY()&lt;J155),AND(L155&lt;&gt;"",L155&lt;J155)),0,
   IF(L155="",
      NETWORKDAYS(J155,TODAY(),fESTIVOS!$A$2:$A$53),
      NETWORKDAYS(J155,L155,fESTIVOS!$A$2:$A$53)
   )
)</f>
        <v>2</v>
      </c>
      <c r="N155" s="101"/>
      <c r="O155" s="99"/>
      <c r="P155" s="101">
        <v>45891</v>
      </c>
      <c r="Q155" s="34" t="s">
        <v>886</v>
      </c>
      <c r="R155" s="31" t="s">
        <v>78</v>
      </c>
      <c r="S155" s="102"/>
      <c r="T155" s="102"/>
      <c r="U155" s="103"/>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row>
    <row r="156" spans="1:67" ht="29.25" hidden="1" customHeight="1">
      <c r="A156" s="16" t="s">
        <v>67</v>
      </c>
      <c r="B156" s="17" t="s">
        <v>887</v>
      </c>
      <c r="C156" s="107" t="s">
        <v>888</v>
      </c>
      <c r="D156" s="96"/>
      <c r="E156" s="97"/>
      <c r="F156" s="122" t="s">
        <v>76</v>
      </c>
      <c r="G156" s="98">
        <v>100</v>
      </c>
      <c r="H156" s="22">
        <f>IF(OR(J156="",K156="",K156&lt;J156),0,NETWORKDAYS(J156,K156,fESTIVOS!$A$2:$A$53))</f>
        <v>0</v>
      </c>
      <c r="I156" s="99">
        <v>45881</v>
      </c>
      <c r="J156" s="100">
        <v>45881</v>
      </c>
      <c r="K156" s="100"/>
      <c r="L156" s="100">
        <v>45882</v>
      </c>
      <c r="M156" s="27">
        <f ca="1">IF(OR(J156="",AND(L156="",TODAY()&lt;J156),AND(L156&lt;&gt;"",L156&lt;J156)),0,
   IF(L156="",
      NETWORKDAYS(J156,TODAY(),fESTIVOS!$A$2:$A$53),
      NETWORKDAYS(J156,L156,fESTIVOS!$A$2:$A$53)
   )
)</f>
        <v>2</v>
      </c>
      <c r="N156" s="101"/>
      <c r="O156" s="99"/>
      <c r="P156" s="101"/>
      <c r="Q156" s="34" t="s">
        <v>889</v>
      </c>
      <c r="R156" s="31" t="s">
        <v>78</v>
      </c>
      <c r="S156" s="102"/>
      <c r="T156" s="102"/>
      <c r="U156" s="103"/>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row>
    <row r="157" spans="1:67" ht="29.25" hidden="1" customHeight="1">
      <c r="A157" s="56" t="s">
        <v>157</v>
      </c>
      <c r="B157" s="17" t="s">
        <v>890</v>
      </c>
      <c r="C157" s="107" t="s">
        <v>891</v>
      </c>
      <c r="D157" s="150"/>
      <c r="E157" s="97"/>
      <c r="F157" s="122" t="s">
        <v>76</v>
      </c>
      <c r="G157" s="98">
        <v>100</v>
      </c>
      <c r="H157" s="22">
        <f>IF(OR(J157="",K157="",K157&lt;J157),0,NETWORKDAYS(J157,K157,fESTIVOS!$A$2:$A$53))</f>
        <v>0</v>
      </c>
      <c r="I157" s="99">
        <v>45882</v>
      </c>
      <c r="J157" s="100">
        <v>45883</v>
      </c>
      <c r="K157" s="100"/>
      <c r="L157" s="100">
        <v>45883</v>
      </c>
      <c r="M157" s="27">
        <f ca="1">IF(OR(J157="",AND(L157="",TODAY()&lt;J157),AND(L157&lt;&gt;"",L157&lt;J157)),0,
   IF(L157="",
      NETWORKDAYS(J157,TODAY(),fESTIVOS!$A$2:$A$53),
      NETWORKDAYS(J157,L157,fESTIVOS!$A$2:$A$53)
   )
)</f>
        <v>1</v>
      </c>
      <c r="N157" s="101"/>
      <c r="O157" s="99"/>
      <c r="P157" s="101"/>
      <c r="Q157" s="34" t="s">
        <v>892</v>
      </c>
      <c r="R157" s="31" t="s">
        <v>78</v>
      </c>
      <c r="S157" s="102"/>
      <c r="T157" s="102"/>
      <c r="U157" s="103"/>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row>
    <row r="158" spans="1:67" ht="29.25" hidden="1" customHeight="1">
      <c r="A158" s="56" t="s">
        <v>157</v>
      </c>
      <c r="B158" s="17" t="s">
        <v>893</v>
      </c>
      <c r="C158" s="107" t="s">
        <v>894</v>
      </c>
      <c r="D158" s="150"/>
      <c r="E158" s="97"/>
      <c r="F158" s="122" t="s">
        <v>76</v>
      </c>
      <c r="G158" s="98">
        <v>100</v>
      </c>
      <c r="H158" s="22">
        <f>IF(OR(J158="",K158="",K158&lt;J158),0,NETWORKDAYS(J158,K158,fESTIVOS!$A$2:$A$53))</f>
        <v>0</v>
      </c>
      <c r="I158" s="99">
        <v>45883</v>
      </c>
      <c r="J158" s="100">
        <v>45883</v>
      </c>
      <c r="K158" s="100"/>
      <c r="L158" s="100">
        <v>45884</v>
      </c>
      <c r="M158" s="27">
        <f ca="1">IF(OR(J158="",AND(L158="",TODAY()&lt;J158),AND(L158&lt;&gt;"",L158&lt;J158)),0,
   IF(L158="",
      NETWORKDAYS(J158,TODAY(),fESTIVOS!$A$2:$A$53),
      NETWORKDAYS(J158,L158,fESTIVOS!$A$2:$A$53)
   )
)</f>
        <v>2</v>
      </c>
      <c r="N158" s="101"/>
      <c r="O158" s="99">
        <v>45884</v>
      </c>
      <c r="P158" s="101"/>
      <c r="Q158" s="34" t="s">
        <v>895</v>
      </c>
      <c r="R158" s="31" t="s">
        <v>78</v>
      </c>
      <c r="S158" s="102"/>
      <c r="T158" s="102"/>
      <c r="U158" s="103"/>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row>
    <row r="159" spans="1:67" ht="29.25" hidden="1" customHeight="1">
      <c r="A159" s="56" t="s">
        <v>157</v>
      </c>
      <c r="B159" s="17" t="s">
        <v>896</v>
      </c>
      <c r="C159" s="142" t="s">
        <v>897</v>
      </c>
      <c r="D159" s="77"/>
      <c r="E159" s="124"/>
      <c r="F159" s="20" t="s">
        <v>76</v>
      </c>
      <c r="G159" s="59">
        <v>100</v>
      </c>
      <c r="H159" s="22">
        <f>IF(OR(J159="",K159="",K159&lt;J159),0,NETWORKDAYS(J159,K159,fESTIVOS!$A$2:$A$53))</f>
        <v>2</v>
      </c>
      <c r="I159" s="82">
        <v>45786</v>
      </c>
      <c r="J159" s="61">
        <v>45792</v>
      </c>
      <c r="K159" s="61">
        <v>45793</v>
      </c>
      <c r="L159" s="61"/>
      <c r="M159" s="27">
        <f ca="1">IF(OR(J159="",AND(L159="",TODAY()&lt;J159),AND(L159&lt;&gt;"",L159&lt;J159)),0,
   IF(L159="",
      NETWORKDAYS(J159,TODAY(),fESTIVOS!$A$2:$A$53),
      NETWORKDAYS(J159,L159,fESTIVOS!$A$2:$A$53)
   )
)</f>
        <v>173</v>
      </c>
      <c r="N159" s="63"/>
      <c r="O159" s="82">
        <v>45793</v>
      </c>
      <c r="P159" s="101"/>
      <c r="Q159" s="34" t="s">
        <v>898</v>
      </c>
      <c r="R159" s="31" t="s">
        <v>93</v>
      </c>
      <c r="S159" s="139"/>
      <c r="T159" s="139"/>
      <c r="U159" s="103"/>
      <c r="V159" s="105"/>
      <c r="W159" s="105"/>
      <c r="X159" s="105"/>
      <c r="Y159" s="105"/>
      <c r="Z159" s="105"/>
      <c r="AA159" s="105"/>
      <c r="AB159" s="105"/>
      <c r="AC159" s="105"/>
      <c r="AD159" s="37" t="s">
        <v>899</v>
      </c>
      <c r="AE159" s="37" t="s">
        <v>900</v>
      </c>
      <c r="AF159" s="36"/>
      <c r="AG159" s="37" t="s">
        <v>901</v>
      </c>
      <c r="AH159" s="37" t="s">
        <v>902</v>
      </c>
      <c r="AI159" s="37" t="s">
        <v>903</v>
      </c>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row>
    <row r="160" spans="1:67" ht="29.25" hidden="1" customHeight="1">
      <c r="A160" s="56" t="s">
        <v>157</v>
      </c>
      <c r="B160" s="17" t="s">
        <v>904</v>
      </c>
      <c r="C160" s="107" t="s">
        <v>905</v>
      </c>
      <c r="D160" s="96"/>
      <c r="E160" s="97"/>
      <c r="F160" s="20" t="s">
        <v>76</v>
      </c>
      <c r="G160" s="98">
        <v>100</v>
      </c>
      <c r="H160" s="22">
        <f>IF(OR(J160="",K160="",K160&lt;J160),0,NETWORKDAYS(J160,K160,fESTIVOS!$A$2:$A$53))</f>
        <v>5</v>
      </c>
      <c r="I160" s="99">
        <v>45884</v>
      </c>
      <c r="J160" s="100">
        <v>45884</v>
      </c>
      <c r="K160" s="100">
        <v>45891</v>
      </c>
      <c r="L160" s="100">
        <v>45897</v>
      </c>
      <c r="M160" s="27">
        <f ca="1">IF(OR(J160="",AND(L160="",TODAY()&lt;J160),AND(L160&lt;&gt;"",L160&lt;J160)),0,
   IF(L160="",
      NETWORKDAYS(J160,TODAY(),fESTIVOS!$A$2:$A$53),
      NETWORKDAYS(J160,L160,fESTIVOS!$A$2:$A$53)
   )
)</f>
        <v>9</v>
      </c>
      <c r="N160" s="101"/>
      <c r="O160" s="99">
        <v>45928</v>
      </c>
      <c r="P160" s="101"/>
      <c r="Q160" s="34" t="s">
        <v>906</v>
      </c>
      <c r="R160" s="31" t="s">
        <v>78</v>
      </c>
      <c r="S160" s="98"/>
      <c r="T160" s="98" t="s">
        <v>907</v>
      </c>
      <c r="U160" s="122" t="s">
        <v>908</v>
      </c>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row>
    <row r="161" spans="1:67" ht="29.25" hidden="1" customHeight="1">
      <c r="A161" s="56" t="s">
        <v>128</v>
      </c>
      <c r="B161" s="106" t="s">
        <v>909</v>
      </c>
      <c r="C161" s="107" t="s">
        <v>910</v>
      </c>
      <c r="D161" s="96"/>
      <c r="E161" s="97"/>
      <c r="F161" s="122" t="s">
        <v>76</v>
      </c>
      <c r="G161" s="98">
        <v>100</v>
      </c>
      <c r="H161" s="22">
        <f>IF(OR(J161="",K161="",K161&lt;J161),0,NETWORKDAYS(J161,K161,fESTIVOS!$A$2:$A$53))</f>
        <v>0</v>
      </c>
      <c r="I161" s="99">
        <v>45870</v>
      </c>
      <c r="J161" s="100">
        <v>45915</v>
      </c>
      <c r="K161" s="100"/>
      <c r="L161" s="100">
        <v>45918</v>
      </c>
      <c r="M161" s="27">
        <f ca="1">IF(OR(J161="",AND(L161="",TODAY()&lt;J161),AND(L161&lt;&gt;"",L161&lt;J161)),0,
   IF(L161="",
      NETWORKDAYS(J161,TODAY(),fESTIVOS!$A$2:$A$53),
      NETWORKDAYS(J161,L161,fESTIVOS!$A$2:$A$53)
   )
)</f>
        <v>4</v>
      </c>
      <c r="N161" s="101"/>
      <c r="O161" s="99"/>
      <c r="P161" s="101"/>
      <c r="Q161" s="34" t="s">
        <v>911</v>
      </c>
      <c r="R161" s="113" t="s">
        <v>78</v>
      </c>
      <c r="S161" s="102"/>
      <c r="T161" s="102"/>
      <c r="U161" s="103"/>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row>
    <row r="162" spans="1:67" ht="29.25" hidden="1" customHeight="1">
      <c r="A162" s="56" t="s">
        <v>128</v>
      </c>
      <c r="B162" s="17" t="s">
        <v>912</v>
      </c>
      <c r="C162" s="107" t="s">
        <v>913</v>
      </c>
      <c r="D162" s="150"/>
      <c r="E162" s="97"/>
      <c r="F162" s="112" t="s">
        <v>914</v>
      </c>
      <c r="G162" s="172"/>
      <c r="H162" s="22">
        <f>IF(OR(J162="",K162="",K162&lt;J162),0,NETWORKDAYS(J162,K162,fESTIVOS!$A$2:$A$53))</f>
        <v>0</v>
      </c>
      <c r="I162" s="99">
        <v>45855</v>
      </c>
      <c r="J162" s="100"/>
      <c r="K162" s="100"/>
      <c r="L162" s="100"/>
      <c r="M162" s="27">
        <f ca="1">IF(OR(J162="",AND(L162="",TODAY()&lt;J162),AND(L162&lt;&gt;"",L162&lt;J162)),0,
   IF(L162="",
      NETWORKDAYS(J162,TODAY(),fESTIVOS!$A$2:$A$53),
      NETWORKDAYS(J162,L162,fESTIVOS!$A$2:$A$53)
   )
)</f>
        <v>0</v>
      </c>
      <c r="N162" s="101"/>
      <c r="O162" s="99"/>
      <c r="P162" s="101"/>
      <c r="Q162" s="89" t="s">
        <v>915</v>
      </c>
      <c r="R162" s="113" t="s">
        <v>93</v>
      </c>
      <c r="S162" s="102"/>
      <c r="T162" s="102"/>
      <c r="U162" s="103"/>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row>
    <row r="163" spans="1:67" ht="29.25" hidden="1" customHeight="1">
      <c r="A163" s="56" t="s">
        <v>128</v>
      </c>
      <c r="B163" s="106" t="s">
        <v>916</v>
      </c>
      <c r="C163" s="107" t="s">
        <v>917</v>
      </c>
      <c r="D163" s="96" t="s">
        <v>918</v>
      </c>
      <c r="E163" s="97"/>
      <c r="F163" s="122" t="s">
        <v>76</v>
      </c>
      <c r="G163" s="98">
        <v>100</v>
      </c>
      <c r="H163" s="22">
        <f>IF(OR(J163="",K163="",K163&lt;J163),0,NETWORKDAYS(J163,K163,fESTIVOS!$A$2:$A$53))</f>
        <v>0</v>
      </c>
      <c r="I163" s="181">
        <v>45890</v>
      </c>
      <c r="J163" s="100">
        <v>45894</v>
      </c>
      <c r="K163" s="100"/>
      <c r="L163" s="100">
        <v>45898</v>
      </c>
      <c r="M163" s="27">
        <f ca="1">IF(OR(J163="",AND(L163="",TODAY()&lt;J163),AND(L163&lt;&gt;"",L163&lt;J163)),0,
   IF(L163="",
      NETWORKDAYS(J163,TODAY(),fESTIVOS!$A$2:$A$53),
      NETWORKDAYS(J163,L163,fESTIVOS!$A$2:$A$53)
   )
)</f>
        <v>5</v>
      </c>
      <c r="N163" s="178"/>
      <c r="O163" s="99">
        <v>45898</v>
      </c>
      <c r="P163" s="184">
        <v>45902</v>
      </c>
      <c r="Q163" s="34" t="s">
        <v>919</v>
      </c>
      <c r="R163" s="113" t="s">
        <v>78</v>
      </c>
      <c r="S163" s="98"/>
      <c r="T163" s="98" t="s">
        <v>920</v>
      </c>
      <c r="U163" s="122" t="s">
        <v>921</v>
      </c>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row>
    <row r="164" spans="1:67" ht="29.25" hidden="1" customHeight="1">
      <c r="A164" s="123" t="s">
        <v>210</v>
      </c>
      <c r="B164" s="106" t="s">
        <v>922</v>
      </c>
      <c r="C164" s="107" t="s">
        <v>923</v>
      </c>
      <c r="D164" s="96"/>
      <c r="E164" s="97"/>
      <c r="F164" s="122" t="s">
        <v>232</v>
      </c>
      <c r="G164" s="172"/>
      <c r="H164" s="22">
        <f>IF(OR(J164="",K164="",K164&lt;J164),0,NETWORKDAYS(J164,K164,fESTIVOS!$A$2:$A$53))</f>
        <v>0</v>
      </c>
      <c r="I164" s="99">
        <v>45903</v>
      </c>
      <c r="J164" s="100"/>
      <c r="K164" s="100"/>
      <c r="L164" s="100"/>
      <c r="M164" s="27">
        <f ca="1">IF(OR(J164="",AND(L164="",TODAY()&lt;J164),AND(L164&lt;&gt;"",L164&lt;J164)),0,
   IF(L164="",
      NETWORKDAYS(J164,TODAY(),fESTIVOS!$A$2:$A$53),
      NETWORKDAYS(J164,L164,fESTIVOS!$A$2:$A$53)
   )
)</f>
        <v>0</v>
      </c>
      <c r="N164" s="101"/>
      <c r="O164" s="99"/>
      <c r="P164" s="101"/>
      <c r="Q164" s="34"/>
      <c r="R164" s="113" t="s">
        <v>78</v>
      </c>
      <c r="S164" s="102"/>
      <c r="T164" s="102"/>
      <c r="U164" s="103"/>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row>
    <row r="165" spans="1:67" ht="29.25" hidden="1" customHeight="1">
      <c r="A165" s="56" t="s">
        <v>210</v>
      </c>
      <c r="B165" s="106" t="s">
        <v>924</v>
      </c>
      <c r="C165" s="141" t="s">
        <v>925</v>
      </c>
      <c r="D165" s="96" t="s">
        <v>926</v>
      </c>
      <c r="E165" s="97"/>
      <c r="F165" s="122" t="s">
        <v>76</v>
      </c>
      <c r="G165" s="98">
        <v>100</v>
      </c>
      <c r="H165" s="22">
        <f>IF(OR(J165="",K165="",K165&lt;J165),0,NETWORKDAYS(J165,K165,fESTIVOS!$A$2:$A$53))</f>
        <v>0</v>
      </c>
      <c r="I165" s="99">
        <v>45973</v>
      </c>
      <c r="J165" s="100">
        <v>45973</v>
      </c>
      <c r="K165" s="100"/>
      <c r="L165" s="100">
        <v>45973</v>
      </c>
      <c r="M165" s="27">
        <f ca="1">IF(OR(J165="",AND(L165="",TODAY()&lt;J165),AND(L165&lt;&gt;"",L165&lt;J165)),0,
   IF(L165="",
      NETWORKDAYS(J165,TODAY(),fESTIVOS!$A$2:$A$53),
      NETWORKDAYS(J165,L165,fESTIVOS!$A$2:$A$53)
   )
)</f>
        <v>1</v>
      </c>
      <c r="N165" s="101"/>
      <c r="O165" s="99"/>
      <c r="P165" s="101"/>
      <c r="Q165" s="34" t="s">
        <v>927</v>
      </c>
      <c r="R165" s="113" t="s">
        <v>78</v>
      </c>
      <c r="S165" s="102"/>
      <c r="T165" s="102"/>
      <c r="U165" s="103"/>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row>
    <row r="166" spans="1:67" ht="29.25" hidden="1" customHeight="1">
      <c r="A166" s="56" t="s">
        <v>210</v>
      </c>
      <c r="B166" s="106" t="s">
        <v>928</v>
      </c>
      <c r="C166" s="141" t="s">
        <v>929</v>
      </c>
      <c r="D166" s="96" t="s">
        <v>930</v>
      </c>
      <c r="E166" s="97"/>
      <c r="F166" s="122" t="s">
        <v>76</v>
      </c>
      <c r="G166" s="98">
        <v>100</v>
      </c>
      <c r="H166" s="22">
        <f>IF(OR(J166="",K166="",K166&lt;J166),0,NETWORKDAYS(J166,K166,fESTIVOS!$A$2:$A$53))</f>
        <v>0</v>
      </c>
      <c r="I166" s="99">
        <v>45973</v>
      </c>
      <c r="J166" s="100">
        <v>45974</v>
      </c>
      <c r="K166" s="100"/>
      <c r="L166" s="100">
        <v>45974</v>
      </c>
      <c r="M166" s="27">
        <f ca="1">IF(OR(J166="",AND(L166="",TODAY()&lt;J166),AND(L166&lt;&gt;"",L166&lt;J166)),0,
   IF(L166="",
      NETWORKDAYS(J166,TODAY(),fESTIVOS!$A$2:$A$53),
      NETWORKDAYS(J166,L166,fESTIVOS!$A$2:$A$53)
   )
)</f>
        <v>1</v>
      </c>
      <c r="N166" s="101"/>
      <c r="O166" s="99"/>
      <c r="P166" s="101"/>
      <c r="Q166" s="34" t="s">
        <v>931</v>
      </c>
      <c r="R166" s="113" t="s">
        <v>78</v>
      </c>
      <c r="S166" s="102"/>
      <c r="T166" s="102"/>
      <c r="U166" s="103"/>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row>
    <row r="167" spans="1:67" ht="29.25" hidden="1" customHeight="1">
      <c r="A167" s="56" t="s">
        <v>128</v>
      </c>
      <c r="B167" s="17" t="s">
        <v>932</v>
      </c>
      <c r="C167" s="107" t="s">
        <v>933</v>
      </c>
      <c r="D167" s="150" t="s">
        <v>934</v>
      </c>
      <c r="E167" s="97"/>
      <c r="F167" s="20" t="s">
        <v>935</v>
      </c>
      <c r="G167" s="98">
        <v>50</v>
      </c>
      <c r="H167" s="22">
        <f>IF(OR(J167="",K167="",K167&lt;J167),0,NETWORKDAYS(J167,K167,fESTIVOS!$A$2:$A$53))</f>
        <v>0</v>
      </c>
      <c r="I167" s="99">
        <v>45868</v>
      </c>
      <c r="J167" s="100">
        <v>45881</v>
      </c>
      <c r="K167" s="100"/>
      <c r="L167" s="100">
        <v>45911</v>
      </c>
      <c r="M167" s="27">
        <f ca="1">IF(OR(J167="",AND(L167="",TODAY()&lt;J167),AND(L167&lt;&gt;"",L167&lt;J167)),0,
   IF(L167="",
      NETWORKDAYS(J167,TODAY(),fESTIVOS!$A$2:$A$53),
      NETWORKDAYS(J167,L167,fESTIVOS!$A$2:$A$53)
   )
)</f>
        <v>22</v>
      </c>
      <c r="N167" s="101"/>
      <c r="O167" s="99">
        <v>45911</v>
      </c>
      <c r="P167" s="101"/>
      <c r="Q167" s="34" t="s">
        <v>936</v>
      </c>
      <c r="R167" s="113" t="s">
        <v>93</v>
      </c>
      <c r="S167" s="155"/>
      <c r="T167" s="98" t="s">
        <v>937</v>
      </c>
      <c r="U167" s="122" t="s">
        <v>759</v>
      </c>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row>
    <row r="168" spans="1:67" ht="29.25" hidden="1" customHeight="1">
      <c r="A168" s="16" t="s">
        <v>67</v>
      </c>
      <c r="B168" s="106" t="s">
        <v>938</v>
      </c>
      <c r="C168" s="107" t="s">
        <v>939</v>
      </c>
      <c r="D168" s="96" t="s">
        <v>940</v>
      </c>
      <c r="E168" s="97"/>
      <c r="F168" s="20" t="s">
        <v>76</v>
      </c>
      <c r="G168" s="98">
        <v>100</v>
      </c>
      <c r="H168" s="22">
        <f>IF(OR(J168="",K168="",K168&lt;J168),0,NETWORKDAYS(J168,K168,fESTIVOS!$A$2:$A$53))</f>
        <v>0</v>
      </c>
      <c r="I168" s="99">
        <v>45889</v>
      </c>
      <c r="J168" s="100">
        <v>45889</v>
      </c>
      <c r="K168" s="100"/>
      <c r="L168" s="100">
        <v>45920</v>
      </c>
      <c r="M168" s="27">
        <f ca="1">IF(OR(J168="",AND(L168="",TODAY()&lt;J168),AND(L168&lt;&gt;"",L168&lt;J168)),0,
   IF(L168="",
      NETWORKDAYS(J168,TODAY(),fESTIVOS!$A$2:$A$53),
      NETWORKDAYS(J168,L168,fESTIVOS!$A$2:$A$53)
   )
)</f>
        <v>23</v>
      </c>
      <c r="N168" s="101"/>
      <c r="O168" s="99"/>
      <c r="P168" s="101"/>
      <c r="Q168" s="34" t="s">
        <v>941</v>
      </c>
      <c r="R168" s="31" t="s">
        <v>78</v>
      </c>
      <c r="S168" s="98">
        <v>1</v>
      </c>
      <c r="T168" s="102"/>
      <c r="U168" s="103"/>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row>
    <row r="169" spans="1:67" ht="29.25" hidden="1" customHeight="1">
      <c r="A169" s="16" t="s">
        <v>67</v>
      </c>
      <c r="B169" s="17" t="s">
        <v>942</v>
      </c>
      <c r="C169" s="107" t="s">
        <v>943</v>
      </c>
      <c r="D169" s="150"/>
      <c r="E169" s="97"/>
      <c r="F169" s="122" t="s">
        <v>76</v>
      </c>
      <c r="G169" s="98">
        <v>100</v>
      </c>
      <c r="H169" s="22">
        <f>IF(OR(J169="",K169="",K169&lt;J169),0,NETWORKDAYS(J169,K169,fESTIVOS!$A$2:$A$53))</f>
        <v>0</v>
      </c>
      <c r="I169" s="99">
        <v>45889</v>
      </c>
      <c r="J169" s="100">
        <v>45908</v>
      </c>
      <c r="K169" s="100"/>
      <c r="L169" s="100">
        <v>45920</v>
      </c>
      <c r="M169" s="27">
        <f ca="1">IF(OR(J169="",AND(L169="",TODAY()&lt;J169),AND(L169&lt;&gt;"",L169&lt;J169)),0,
   IF(L169="",
      NETWORKDAYS(J169,TODAY(),fESTIVOS!$A$2:$A$53),
      NETWORKDAYS(J169,L169,fESTIVOS!$A$2:$A$53)
   )
)</f>
        <v>10</v>
      </c>
      <c r="N169" s="101"/>
      <c r="O169" s="99"/>
      <c r="P169" s="101"/>
      <c r="Q169" s="34" t="s">
        <v>944</v>
      </c>
      <c r="R169" s="113" t="s">
        <v>78</v>
      </c>
      <c r="S169" s="102"/>
      <c r="T169" s="102"/>
      <c r="U169" s="103"/>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row>
    <row r="170" spans="1:67" ht="29.25" hidden="1" customHeight="1">
      <c r="A170" s="56" t="s">
        <v>157</v>
      </c>
      <c r="B170" s="17" t="s">
        <v>945</v>
      </c>
      <c r="C170" s="107" t="s">
        <v>946</v>
      </c>
      <c r="D170" s="96" t="s">
        <v>947</v>
      </c>
      <c r="E170" s="97"/>
      <c r="F170" s="122" t="s">
        <v>76</v>
      </c>
      <c r="G170" s="98">
        <v>100</v>
      </c>
      <c r="H170" s="22">
        <f>IF(OR(J170="",K170="",K170&lt;J170),0,NETWORKDAYS(J170,K170,fESTIVOS!$A$2:$A$53))</f>
        <v>2</v>
      </c>
      <c r="I170" s="99">
        <v>45889</v>
      </c>
      <c r="J170" s="100">
        <v>45890</v>
      </c>
      <c r="K170" s="100">
        <v>45891</v>
      </c>
      <c r="L170" s="100">
        <v>45901</v>
      </c>
      <c r="M170" s="27">
        <f ca="1">IF(OR(J170="",AND(L170="",TODAY()&lt;J170),AND(L170&lt;&gt;"",L170&lt;J170)),0,
   IF(L170="",
      NETWORKDAYS(J170,TODAY(),fESTIVOS!$A$2:$A$53),
      NETWORKDAYS(J170,L170,fESTIVOS!$A$2:$A$53)
   )
)</f>
        <v>8</v>
      </c>
      <c r="N170" s="101"/>
      <c r="O170" s="99">
        <v>45901</v>
      </c>
      <c r="P170" s="101">
        <v>45903</v>
      </c>
      <c r="Q170" s="34" t="s">
        <v>948</v>
      </c>
      <c r="R170" s="113" t="s">
        <v>78</v>
      </c>
      <c r="S170" s="102"/>
      <c r="T170" s="102"/>
      <c r="U170" s="103"/>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row>
    <row r="171" spans="1:67" ht="29.25" hidden="1" customHeight="1">
      <c r="A171" s="56" t="s">
        <v>157</v>
      </c>
      <c r="B171" s="17" t="s">
        <v>949</v>
      </c>
      <c r="C171" s="107" t="s">
        <v>950</v>
      </c>
      <c r="D171" s="96" t="s">
        <v>951</v>
      </c>
      <c r="E171" s="97"/>
      <c r="F171" s="122" t="s">
        <v>76</v>
      </c>
      <c r="G171" s="98">
        <v>100</v>
      </c>
      <c r="H171" s="22">
        <f>IF(OR(J171="",K171="",K171&lt;J171),0,NETWORKDAYS(J171,K171,fESTIVOS!$A$2:$A$53))</f>
        <v>0</v>
      </c>
      <c r="I171" s="99">
        <v>45890</v>
      </c>
      <c r="J171" s="100">
        <v>45890</v>
      </c>
      <c r="K171" s="100"/>
      <c r="L171" s="100">
        <v>45891</v>
      </c>
      <c r="M171" s="27">
        <f ca="1">IF(OR(J171="",AND(L171="",TODAY()&lt;J171),AND(L171&lt;&gt;"",L171&lt;J171)),0,
   IF(L171="",
      NETWORKDAYS(J171,TODAY(),fESTIVOS!$A$2:$A$53),
      NETWORKDAYS(J171,L171,fESTIVOS!$A$2:$A$53)
   )
)</f>
        <v>2</v>
      </c>
      <c r="N171" s="101"/>
      <c r="O171" s="99"/>
      <c r="P171" s="101"/>
      <c r="Q171" s="34" t="s">
        <v>952</v>
      </c>
      <c r="R171" s="31" t="s">
        <v>78</v>
      </c>
      <c r="S171" s="102"/>
      <c r="T171" s="102"/>
      <c r="U171" s="103"/>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row>
    <row r="172" spans="1:67" ht="29.25" hidden="1" customHeight="1">
      <c r="A172" s="93" t="s">
        <v>67</v>
      </c>
      <c r="B172" s="106" t="s">
        <v>953</v>
      </c>
      <c r="C172" s="107" t="s">
        <v>954</v>
      </c>
      <c r="D172" s="96" t="s">
        <v>955</v>
      </c>
      <c r="E172" s="97"/>
      <c r="F172" s="20" t="s">
        <v>76</v>
      </c>
      <c r="G172" s="98">
        <v>100</v>
      </c>
      <c r="H172" s="22">
        <f>IF(OR(J172="",K172="",K172&lt;J172),0,NETWORKDAYS(J172,K172,fESTIVOS!$A$2:$A$53))</f>
        <v>0</v>
      </c>
      <c r="I172" s="99">
        <v>45883</v>
      </c>
      <c r="J172" s="100">
        <v>45883</v>
      </c>
      <c r="K172" s="100"/>
      <c r="L172" s="100">
        <v>45901</v>
      </c>
      <c r="M172" s="27">
        <f ca="1">IF(OR(J172="",AND(L172="",TODAY()&lt;J172),AND(L172&lt;&gt;"",L172&lt;J172)),0,
   IF(L172="",
      NETWORKDAYS(J172,TODAY(),fESTIVOS!$A$2:$A$53),
      NETWORKDAYS(J172,L172,fESTIVOS!$A$2:$A$53)
   )
)</f>
        <v>12</v>
      </c>
      <c r="N172" s="101"/>
      <c r="O172" s="99"/>
      <c r="P172" s="101"/>
      <c r="Q172" s="34" t="s">
        <v>956</v>
      </c>
      <c r="R172" s="31" t="s">
        <v>78</v>
      </c>
      <c r="S172" s="102"/>
      <c r="T172" s="102"/>
      <c r="U172" s="103"/>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row>
    <row r="173" spans="1:67" ht="29.25" hidden="1" customHeight="1">
      <c r="A173" s="93" t="s">
        <v>67</v>
      </c>
      <c r="B173" s="106" t="s">
        <v>957</v>
      </c>
      <c r="C173" s="107" t="s">
        <v>958</v>
      </c>
      <c r="D173" s="96"/>
      <c r="E173" s="97"/>
      <c r="F173" s="20" t="s">
        <v>76</v>
      </c>
      <c r="G173" s="98">
        <v>100</v>
      </c>
      <c r="H173" s="22">
        <f>IF(OR(J173="",K173="",K173&lt;J173),0,NETWORKDAYS(J173,K173,fESTIVOS!$A$2:$A$53))</f>
        <v>0</v>
      </c>
      <c r="I173" s="99">
        <v>45903</v>
      </c>
      <c r="J173" s="100">
        <v>45904</v>
      </c>
      <c r="K173" s="100"/>
      <c r="L173" s="100">
        <v>45904</v>
      </c>
      <c r="M173" s="27">
        <f ca="1">IF(OR(J173="",AND(L173="",TODAY()&lt;J173),AND(L173&lt;&gt;"",L173&lt;J173)),0,
   IF(L173="",
      NETWORKDAYS(J173,TODAY(),fESTIVOS!$A$2:$A$53),
      NETWORKDAYS(J173,L173,fESTIVOS!$A$2:$A$53)
   )
)</f>
        <v>1</v>
      </c>
      <c r="N173" s="101"/>
      <c r="O173" s="99"/>
      <c r="P173" s="101"/>
      <c r="Q173" s="34" t="s">
        <v>959</v>
      </c>
      <c r="R173" s="31" t="s">
        <v>78</v>
      </c>
      <c r="S173" s="102"/>
      <c r="T173" s="102"/>
      <c r="U173" s="103"/>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row>
    <row r="174" spans="1:67" ht="29.25" customHeight="1">
      <c r="A174" s="93" t="s">
        <v>67</v>
      </c>
      <c r="B174" s="106" t="s">
        <v>960</v>
      </c>
      <c r="C174" s="107" t="s">
        <v>961</v>
      </c>
      <c r="D174" s="96" t="s">
        <v>962</v>
      </c>
      <c r="E174" s="97"/>
      <c r="F174" s="20" t="s">
        <v>935</v>
      </c>
      <c r="G174" s="98">
        <v>70</v>
      </c>
      <c r="H174" s="22">
        <f>IF(OR(J174="",K174="",K174&lt;J174),0,NETWORKDAYS(J174,K174,fESTIVOS!$A$2:$A$53))</f>
        <v>0</v>
      </c>
      <c r="I174" s="99">
        <v>45902</v>
      </c>
      <c r="J174" s="100">
        <v>45902</v>
      </c>
      <c r="K174" s="100"/>
      <c r="L174" s="100">
        <v>45915</v>
      </c>
      <c r="M174" s="27">
        <f ca="1">IF(OR(J174="",AND(L174="",TODAY()&lt;J174),AND(L174&lt;&gt;"",L174&lt;J174)),0,
   IF(L174="",
      NETWORKDAYS(J174,TODAY(),fESTIVOS!$A$2:$A$53),
      NETWORKDAYS(J174,L174,fESTIVOS!$A$2:$A$53)
   )
)</f>
        <v>10</v>
      </c>
      <c r="N174" s="101"/>
      <c r="O174" s="99">
        <v>45915</v>
      </c>
      <c r="P174" s="101"/>
      <c r="Q174" s="34" t="s">
        <v>963</v>
      </c>
      <c r="R174" s="31" t="s">
        <v>78</v>
      </c>
      <c r="S174" s="102"/>
      <c r="T174" s="102"/>
      <c r="U174" s="103"/>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row>
    <row r="175" spans="1:67" ht="29.25" hidden="1" customHeight="1">
      <c r="A175" s="93" t="s">
        <v>67</v>
      </c>
      <c r="B175" s="106" t="s">
        <v>964</v>
      </c>
      <c r="C175" s="107" t="s">
        <v>965</v>
      </c>
      <c r="D175" s="96" t="s">
        <v>966</v>
      </c>
      <c r="E175" s="97"/>
      <c r="F175" s="20" t="s">
        <v>76</v>
      </c>
      <c r="G175" s="98">
        <v>100</v>
      </c>
      <c r="H175" s="22">
        <f>IF(OR(J175="",K175="",K175&lt;J175),0,NETWORKDAYS(J175,K175,fESTIVOS!$A$2:$A$53))</f>
        <v>0</v>
      </c>
      <c r="I175" s="99">
        <v>45905</v>
      </c>
      <c r="J175" s="100">
        <v>45905</v>
      </c>
      <c r="K175" s="100"/>
      <c r="L175" s="100"/>
      <c r="M175" s="27">
        <f ca="1">IF(OR(J175="",AND(L175="",TODAY()&lt;J175),AND(L175&lt;&gt;"",L175&lt;J175)),0,
   IF(L175="",
      NETWORKDAYS(J175,TODAY(),fESTIVOS!$A$2:$A$53),
      NETWORKDAYS(J175,L175,fESTIVOS!$A$2:$A$53)
   )
)</f>
        <v>97</v>
      </c>
      <c r="N175" s="101"/>
      <c r="O175" s="99"/>
      <c r="P175" s="101"/>
      <c r="Q175" s="34" t="s">
        <v>967</v>
      </c>
      <c r="R175" s="31" t="s">
        <v>78</v>
      </c>
      <c r="S175" s="102"/>
      <c r="T175" s="102"/>
      <c r="U175" s="103"/>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row>
    <row r="176" spans="1:67" ht="29.25" hidden="1" customHeight="1">
      <c r="A176" s="93" t="s">
        <v>157</v>
      </c>
      <c r="B176" s="106" t="s">
        <v>968</v>
      </c>
      <c r="C176" s="107" t="s">
        <v>969</v>
      </c>
      <c r="D176" s="96" t="s">
        <v>970</v>
      </c>
      <c r="E176" s="97"/>
      <c r="F176" s="20" t="s">
        <v>76</v>
      </c>
      <c r="G176" s="98">
        <v>100</v>
      </c>
      <c r="H176" s="22">
        <f>IF(OR(J176="",K176="",K176&lt;J176),0,NETWORKDAYS(J176,K176,fESTIVOS!$A$2:$A$53))</f>
        <v>0</v>
      </c>
      <c r="I176" s="99">
        <v>45909</v>
      </c>
      <c r="J176" s="100">
        <v>45909</v>
      </c>
      <c r="K176" s="100"/>
      <c r="L176" s="100">
        <v>45930</v>
      </c>
      <c r="M176" s="27">
        <f ca="1">IF(OR(J176="",AND(L176="",TODAY()&lt;J176),AND(L176&lt;&gt;"",L176&lt;J176)),0,
   IF(L176="",
      NETWORKDAYS(J176,TODAY(),fESTIVOS!$A$2:$A$53),
      NETWORKDAYS(J176,L176,fESTIVOS!$A$2:$A$53)
   )
)</f>
        <v>16</v>
      </c>
      <c r="N176" s="101"/>
      <c r="O176" s="99"/>
      <c r="P176" s="101"/>
      <c r="Q176" s="34" t="s">
        <v>971</v>
      </c>
      <c r="R176" s="113" t="s">
        <v>78</v>
      </c>
      <c r="S176" s="102"/>
      <c r="T176" s="102"/>
      <c r="U176" s="103"/>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row>
    <row r="177" spans="1:67" ht="29.25" hidden="1" customHeight="1">
      <c r="A177" s="93" t="s">
        <v>67</v>
      </c>
      <c r="B177" s="106" t="s">
        <v>972</v>
      </c>
      <c r="C177" s="107" t="s">
        <v>973</v>
      </c>
      <c r="D177" s="96"/>
      <c r="E177" s="97"/>
      <c r="F177" s="20" t="s">
        <v>76</v>
      </c>
      <c r="G177" s="98">
        <v>100</v>
      </c>
      <c r="H177" s="22">
        <f>IF(OR(J177="",K177="",K177&lt;J177),0,NETWORKDAYS(J177,K177,fESTIVOS!$A$2:$A$53))</f>
        <v>0</v>
      </c>
      <c r="I177" s="99">
        <v>45905</v>
      </c>
      <c r="J177" s="100">
        <v>45916</v>
      </c>
      <c r="K177" s="100"/>
      <c r="L177" s="100"/>
      <c r="M177" s="27">
        <f ca="1">IF(OR(J177="",AND(L177="",TODAY()&lt;J177),AND(L177&lt;&gt;"",L177&lt;J177)),0,
   IF(L177="",
      NETWORKDAYS(J177,TODAY(),fESTIVOS!$A$2:$A$53),
      NETWORKDAYS(J177,L177,fESTIVOS!$A$2:$A$53)
   )
)</f>
        <v>90</v>
      </c>
      <c r="N177" s="101"/>
      <c r="O177" s="99">
        <v>45954</v>
      </c>
      <c r="P177" s="101">
        <v>46021</v>
      </c>
      <c r="Q177" s="188" t="s">
        <v>974</v>
      </c>
      <c r="R177" s="31" t="s">
        <v>78</v>
      </c>
      <c r="S177" s="102"/>
      <c r="T177" s="102"/>
      <c r="U177" s="103"/>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row>
    <row r="178" spans="1:67" ht="29.25" hidden="1" customHeight="1">
      <c r="A178" s="93" t="s">
        <v>157</v>
      </c>
      <c r="B178" s="106" t="s">
        <v>975</v>
      </c>
      <c r="C178" s="107" t="s">
        <v>976</v>
      </c>
      <c r="D178" s="96" t="s">
        <v>977</v>
      </c>
      <c r="E178" s="97"/>
      <c r="F178" s="20" t="s">
        <v>76</v>
      </c>
      <c r="G178" s="98">
        <v>100</v>
      </c>
      <c r="H178" s="22">
        <f>IF(OR(J178="",K178="",K178&lt;J178),0,NETWORKDAYS(J178,K178,fESTIVOS!$A$2:$A$53))</f>
        <v>0</v>
      </c>
      <c r="I178" s="99">
        <v>45929</v>
      </c>
      <c r="J178" s="100">
        <v>45929</v>
      </c>
      <c r="K178" s="100"/>
      <c r="L178" s="100">
        <v>45930</v>
      </c>
      <c r="M178" s="27">
        <f ca="1">IF(OR(J178="",AND(L178="",TODAY()&lt;J178),AND(L178&lt;&gt;"",L178&lt;J178)),0,
   IF(L178="",
      NETWORKDAYS(J178,TODAY(),fESTIVOS!$A$2:$A$53),
      NETWORKDAYS(J178,L178,fESTIVOS!$A$2:$A$53)
   )
)</f>
        <v>2</v>
      </c>
      <c r="N178" s="101"/>
      <c r="O178" s="99">
        <v>45930</v>
      </c>
      <c r="P178" s="101">
        <v>45936</v>
      </c>
      <c r="Q178" s="34" t="s">
        <v>978</v>
      </c>
      <c r="R178" s="31" t="s">
        <v>78</v>
      </c>
      <c r="S178" s="102"/>
      <c r="T178" s="102"/>
      <c r="U178" s="103"/>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row>
    <row r="179" spans="1:67" ht="29.25" hidden="1" customHeight="1">
      <c r="A179" s="93" t="s">
        <v>210</v>
      </c>
      <c r="B179" s="106" t="s">
        <v>979</v>
      </c>
      <c r="C179" s="107" t="s">
        <v>980</v>
      </c>
      <c r="D179" s="96" t="s">
        <v>981</v>
      </c>
      <c r="E179" s="97"/>
      <c r="F179" s="20" t="s">
        <v>76</v>
      </c>
      <c r="G179" s="98">
        <v>100</v>
      </c>
      <c r="H179" s="22">
        <f>IF(OR(J179="",K179="",K179&lt;J179),0,NETWORKDAYS(J179,K179,fESTIVOS!$A$2:$A$53))</f>
        <v>0</v>
      </c>
      <c r="I179" s="99">
        <v>45931</v>
      </c>
      <c r="J179" s="100">
        <v>45931</v>
      </c>
      <c r="K179" s="100"/>
      <c r="L179" s="100">
        <v>45932</v>
      </c>
      <c r="M179" s="27">
        <f ca="1">IF(OR(J179="",AND(L179="",TODAY()&lt;J179),AND(L179&lt;&gt;"",L179&lt;J179)),0,
   IF(L179="",
      NETWORKDAYS(J179,TODAY(),fESTIVOS!$A$2:$A$53),
      NETWORKDAYS(J179,L179,fESTIVOS!$A$2:$A$53)
   )
)</f>
        <v>2</v>
      </c>
      <c r="N179" s="101"/>
      <c r="O179" s="99"/>
      <c r="P179" s="101"/>
      <c r="Q179" s="34" t="s">
        <v>982</v>
      </c>
      <c r="R179" s="31" t="s">
        <v>78</v>
      </c>
      <c r="S179" s="102"/>
      <c r="T179" s="102"/>
      <c r="U179" s="103"/>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row>
    <row r="180" spans="1:67" ht="29.25" hidden="1" customHeight="1">
      <c r="A180" s="56" t="s">
        <v>157</v>
      </c>
      <c r="B180" s="17" t="s">
        <v>983</v>
      </c>
      <c r="C180" s="142" t="s">
        <v>984</v>
      </c>
      <c r="D180" s="189"/>
      <c r="E180" s="124"/>
      <c r="F180" s="86" t="s">
        <v>232</v>
      </c>
      <c r="G180" s="59"/>
      <c r="H180" s="22">
        <f>IF(OR(J180="",K180="",K180&lt;J180),0,NETWORKDAYS(J180,K180,fESTIVOS!$A$2:$A$53))</f>
        <v>0</v>
      </c>
      <c r="I180" s="82">
        <v>45797</v>
      </c>
      <c r="J180" s="61"/>
      <c r="K180" s="61"/>
      <c r="L180" s="61"/>
      <c r="M180" s="27">
        <f ca="1">IF(OR(J180="",AND(L180="",TODAY()&lt;J180),AND(L180&lt;&gt;"",L180&lt;J180)),0,
   IF(L180="",
      NETWORKDAYS(J180,TODAY(),fESTIVOS!$A$2:$A$53),
      NETWORKDAYS(J180,L180,fESTIVOS!$A$2:$A$53)
   )
)</f>
        <v>0</v>
      </c>
      <c r="N180" s="63"/>
      <c r="O180" s="82"/>
      <c r="P180" s="101"/>
      <c r="Q180" s="104"/>
      <c r="R180" s="113" t="s">
        <v>93</v>
      </c>
      <c r="S180" s="139"/>
      <c r="T180" s="139"/>
      <c r="U180" s="103"/>
      <c r="V180" s="105"/>
      <c r="W180" s="105"/>
      <c r="X180" s="105"/>
      <c r="Y180" s="105"/>
      <c r="Z180" s="105"/>
      <c r="AA180" s="105"/>
      <c r="AB180" s="105"/>
      <c r="AC180" s="105"/>
      <c r="AD180" s="37"/>
      <c r="AE180" s="37"/>
      <c r="AF180" s="36"/>
      <c r="AG180" s="36"/>
      <c r="AH180" s="36"/>
      <c r="AI180" s="36"/>
      <c r="AJ180" s="37" t="s">
        <v>985</v>
      </c>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row>
    <row r="181" spans="1:67" ht="29.25" hidden="1" customHeight="1">
      <c r="A181" s="123" t="s">
        <v>210</v>
      </c>
      <c r="B181" s="106" t="s">
        <v>986</v>
      </c>
      <c r="C181" s="141" t="s">
        <v>987</v>
      </c>
      <c r="D181" s="96"/>
      <c r="E181" s="97"/>
      <c r="F181" s="20" t="s">
        <v>207</v>
      </c>
      <c r="G181" s="98">
        <v>70</v>
      </c>
      <c r="H181" s="22">
        <f>IF(OR(J181="",K181="",K181&lt;J181),0,NETWORKDAYS(J181,K181,fESTIVOS!$A$2:$A$53))</f>
        <v>0</v>
      </c>
      <c r="I181" s="99">
        <v>45995</v>
      </c>
      <c r="J181" s="100">
        <v>45996</v>
      </c>
      <c r="K181" s="100"/>
      <c r="L181" s="100"/>
      <c r="M181" s="27">
        <f ca="1">IF(OR(J181="",AND(L181="",TODAY()&lt;J181),AND(L181&lt;&gt;"",L181&lt;J181)),0,
   IF(L181="",
      NETWORKDAYS(J181,TODAY(),fESTIVOS!$A$2:$A$53),
      NETWORKDAYS(J181,L181,fESTIVOS!$A$2:$A$53)
   )
)</f>
        <v>35</v>
      </c>
      <c r="N181" s="101"/>
      <c r="O181" s="99"/>
      <c r="P181" s="101"/>
      <c r="Q181" s="34" t="s">
        <v>988</v>
      </c>
      <c r="R181" s="113" t="s">
        <v>78</v>
      </c>
      <c r="S181" s="102"/>
      <c r="T181" s="102"/>
      <c r="U181" s="103"/>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row>
    <row r="182" spans="1:67" ht="29.25" hidden="1" customHeight="1">
      <c r="A182" s="93" t="s">
        <v>128</v>
      </c>
      <c r="B182" s="106" t="s">
        <v>989</v>
      </c>
      <c r="C182" s="107" t="s">
        <v>990</v>
      </c>
      <c r="D182" s="96" t="s">
        <v>991</v>
      </c>
      <c r="E182" s="97"/>
      <c r="F182" s="20" t="s">
        <v>76</v>
      </c>
      <c r="G182" s="98">
        <v>100</v>
      </c>
      <c r="H182" s="22">
        <f>IF(OR(J182="",K182="",K182&lt;J182),0,NETWORKDAYS(J182,K182,fESTIVOS!$A$2:$A$53))</f>
        <v>0</v>
      </c>
      <c r="I182" s="99">
        <v>45958</v>
      </c>
      <c r="J182" s="100">
        <v>45958</v>
      </c>
      <c r="K182" s="100"/>
      <c r="L182" s="100">
        <v>45958</v>
      </c>
      <c r="M182" s="27">
        <f ca="1">IF(OR(J182="",AND(L182="",TODAY()&lt;J182),AND(L182&lt;&gt;"",L182&lt;J182)),0,
   IF(L182="",
      NETWORKDAYS(J182,TODAY(),fESTIVOS!$A$2:$A$53),
      NETWORKDAYS(J182,L182,fESTIVOS!$A$2:$A$53)
   )
)</f>
        <v>1</v>
      </c>
      <c r="N182" s="101"/>
      <c r="O182" s="99"/>
      <c r="P182" s="101"/>
      <c r="Q182" s="34" t="s">
        <v>992</v>
      </c>
      <c r="R182" s="31" t="s">
        <v>78</v>
      </c>
      <c r="S182" s="102"/>
      <c r="T182" s="102"/>
      <c r="U182" s="103"/>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row>
    <row r="183" spans="1:67" ht="29.25" hidden="1" customHeight="1">
      <c r="A183" s="93" t="s">
        <v>157</v>
      </c>
      <c r="B183" s="106" t="s">
        <v>993</v>
      </c>
      <c r="C183" s="107" t="s">
        <v>994</v>
      </c>
      <c r="D183" s="96" t="s">
        <v>995</v>
      </c>
      <c r="E183" s="97"/>
      <c r="F183" s="20" t="s">
        <v>76</v>
      </c>
      <c r="G183" s="98">
        <v>100</v>
      </c>
      <c r="H183" s="22">
        <f>IF(OR(J183="",K183="",K183&lt;J183),0,NETWORKDAYS(J183,K183,fESTIVOS!$A$2:$A$53))</f>
        <v>0</v>
      </c>
      <c r="I183" s="99">
        <v>45960</v>
      </c>
      <c r="J183" s="100">
        <v>45961</v>
      </c>
      <c r="K183" s="100"/>
      <c r="L183" s="100">
        <v>45961</v>
      </c>
      <c r="M183" s="27">
        <f ca="1">IF(OR(J183="",AND(L183="",TODAY()&lt;J183),AND(L183&lt;&gt;"",L183&lt;J183)),0,
   IF(L183="",
      NETWORKDAYS(J183,TODAY(),fESTIVOS!$A$2:$A$53),
      NETWORKDAYS(J183,L183,fESTIVOS!$A$2:$A$53)
   )
)</f>
        <v>1</v>
      </c>
      <c r="N183" s="101"/>
      <c r="O183" s="99">
        <v>45961</v>
      </c>
      <c r="P183" s="101">
        <v>45961</v>
      </c>
      <c r="Q183" s="34" t="s">
        <v>996</v>
      </c>
      <c r="R183" s="31" t="s">
        <v>78</v>
      </c>
      <c r="S183" s="102"/>
      <c r="T183" s="102"/>
      <c r="U183" s="103"/>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row>
    <row r="184" spans="1:67" ht="29.25" hidden="1" customHeight="1">
      <c r="A184" s="93" t="s">
        <v>67</v>
      </c>
      <c r="B184" s="106" t="s">
        <v>997</v>
      </c>
      <c r="C184" s="141" t="s">
        <v>998</v>
      </c>
      <c r="D184" s="96" t="s">
        <v>999</v>
      </c>
      <c r="E184" s="97"/>
      <c r="F184" s="20" t="s">
        <v>76</v>
      </c>
      <c r="G184" s="98">
        <v>100</v>
      </c>
      <c r="H184" s="22">
        <f>IF(OR(J184="",K184="",K184&lt;J184),0,NETWORKDAYS(J184,K184,fESTIVOS!$A$2:$A$53))</f>
        <v>0</v>
      </c>
      <c r="I184" s="99">
        <v>45975</v>
      </c>
      <c r="J184" s="100">
        <v>45975</v>
      </c>
      <c r="K184" s="100"/>
      <c r="L184" s="100">
        <v>46021</v>
      </c>
      <c r="M184" s="27">
        <f ca="1">IF(OR(J184="",AND(L184="",TODAY()&lt;J184),AND(L184&lt;&gt;"",L184&lt;J184)),0,
   IF(L184="",
      NETWORKDAYS(J184,TODAY(),fESTIVOS!$A$2:$A$53),
      NETWORKDAYS(J184,L184,fESTIVOS!$A$2:$A$53)
   )
)</f>
        <v>30</v>
      </c>
      <c r="N184" s="101"/>
      <c r="O184" s="99"/>
      <c r="P184" s="101"/>
      <c r="Q184" s="34" t="s">
        <v>1000</v>
      </c>
      <c r="R184" s="31" t="s">
        <v>78</v>
      </c>
      <c r="S184" s="102"/>
      <c r="T184" s="102"/>
      <c r="U184" s="103"/>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row>
    <row r="185" spans="1:67" ht="29.25" hidden="1" customHeight="1">
      <c r="A185" s="93" t="s">
        <v>67</v>
      </c>
      <c r="B185" s="106" t="s">
        <v>1001</v>
      </c>
      <c r="C185" s="141" t="s">
        <v>1002</v>
      </c>
      <c r="D185" s="96" t="s">
        <v>1003</v>
      </c>
      <c r="E185" s="97"/>
      <c r="F185" s="20" t="s">
        <v>76</v>
      </c>
      <c r="G185" s="98">
        <v>100</v>
      </c>
      <c r="H185" s="22">
        <f>IF(OR(J185="",K185="",K185&lt;J185),0,NETWORKDAYS(J185,K185,fESTIVOS!$A$2:$A$53))</f>
        <v>0</v>
      </c>
      <c r="I185" s="99">
        <v>45967</v>
      </c>
      <c r="J185" s="100">
        <v>45967</v>
      </c>
      <c r="K185" s="100"/>
      <c r="L185" s="100">
        <v>45989</v>
      </c>
      <c r="M185" s="27">
        <f ca="1">IF(OR(J185="",AND(L185="",TODAY()&lt;J185),AND(L185&lt;&gt;"",L185&lt;J185)),0,
   IF(L185="",
      NETWORKDAYS(J185,TODAY(),fESTIVOS!$A$2:$A$53),
      NETWORKDAYS(J185,L185,fESTIVOS!$A$2:$A$53)
   )
)</f>
        <v>16</v>
      </c>
      <c r="N185" s="101"/>
      <c r="O185" s="99">
        <v>45989</v>
      </c>
      <c r="P185" s="101"/>
      <c r="Q185" s="34" t="s">
        <v>1004</v>
      </c>
      <c r="R185" s="31" t="s">
        <v>78</v>
      </c>
      <c r="S185" s="102"/>
      <c r="T185" s="102"/>
      <c r="U185" s="103"/>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row>
    <row r="186" spans="1:67" ht="29.25" hidden="1" customHeight="1">
      <c r="A186" s="93" t="s">
        <v>67</v>
      </c>
      <c r="B186" s="106" t="s">
        <v>1005</v>
      </c>
      <c r="C186" s="141" t="s">
        <v>1006</v>
      </c>
      <c r="D186" s="96" t="s">
        <v>1007</v>
      </c>
      <c r="E186" s="97"/>
      <c r="F186" s="20" t="s">
        <v>76</v>
      </c>
      <c r="G186" s="98">
        <v>100</v>
      </c>
      <c r="H186" s="22">
        <f>IF(OR(J186="",K186="",K186&lt;J186),0,NETWORKDAYS(J186,K186,fESTIVOS!$A$2:$A$53))</f>
        <v>0</v>
      </c>
      <c r="I186" s="99">
        <v>45975</v>
      </c>
      <c r="J186" s="100">
        <v>45975</v>
      </c>
      <c r="K186" s="100"/>
      <c r="L186" s="100">
        <v>45979</v>
      </c>
      <c r="M186" s="27">
        <f ca="1">IF(OR(J186="",AND(L186="",TODAY()&lt;J186),AND(L186&lt;&gt;"",L186&lt;J186)),0,
   IF(L186="",
      NETWORKDAYS(J186,TODAY(),fESTIVOS!$A$2:$A$53),
      NETWORKDAYS(J186,L186,fESTIVOS!$A$2:$A$53)
   )
)</f>
        <v>2</v>
      </c>
      <c r="N186" s="101"/>
      <c r="O186" s="99"/>
      <c r="P186" s="101"/>
      <c r="Q186" s="34" t="s">
        <v>1008</v>
      </c>
      <c r="R186" s="31" t="s">
        <v>78</v>
      </c>
      <c r="S186" s="102"/>
      <c r="T186" s="102"/>
      <c r="U186" s="103"/>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row>
    <row r="187" spans="1:67" ht="29.25" hidden="1" customHeight="1">
      <c r="A187" s="93" t="s">
        <v>67</v>
      </c>
      <c r="B187" s="106" t="s">
        <v>1009</v>
      </c>
      <c r="C187" s="141" t="s">
        <v>1010</v>
      </c>
      <c r="D187" s="96" t="s">
        <v>1011</v>
      </c>
      <c r="E187" s="97"/>
      <c r="F187" s="20" t="s">
        <v>76</v>
      </c>
      <c r="G187" s="98">
        <v>100</v>
      </c>
      <c r="H187" s="22">
        <f>IF(OR(J187="",K187="",K187&lt;J187),0,NETWORKDAYS(J187,K187,fESTIVOS!$A$2:$A$53))</f>
        <v>0</v>
      </c>
      <c r="I187" s="99">
        <v>46021</v>
      </c>
      <c r="J187" s="100">
        <v>46022</v>
      </c>
      <c r="K187" s="100"/>
      <c r="L187" s="100">
        <v>46022</v>
      </c>
      <c r="M187" s="27">
        <f ca="1">IF(OR(J187="",AND(L187="",TODAY()&lt;J187),AND(L187&lt;&gt;"",L187&lt;J187)),0,
   IF(L187="",
      NETWORKDAYS(J187,TODAY(),fESTIVOS!$A$2:$A$53),
      NETWORKDAYS(J187,L187,fESTIVOS!$A$2:$A$53)
   )
)</f>
        <v>1</v>
      </c>
      <c r="N187" s="101"/>
      <c r="O187" s="99"/>
      <c r="P187" s="101"/>
      <c r="Q187" s="34" t="s">
        <v>1012</v>
      </c>
      <c r="R187" s="31" t="s">
        <v>78</v>
      </c>
      <c r="S187" s="102"/>
      <c r="T187" s="102"/>
      <c r="U187" s="103"/>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row>
    <row r="188" spans="1:67" ht="29.25" hidden="1" customHeight="1">
      <c r="A188" s="123" t="s">
        <v>210</v>
      </c>
      <c r="B188" s="106" t="s">
        <v>1013</v>
      </c>
      <c r="C188" s="141" t="s">
        <v>1014</v>
      </c>
      <c r="D188" s="96"/>
      <c r="E188" s="97"/>
      <c r="F188" s="20" t="s">
        <v>232</v>
      </c>
      <c r="G188" s="98"/>
      <c r="H188" s="22">
        <f>IF(OR(J188="",K188="",K188&lt;J188),0,NETWORKDAYS(J188,K188,fESTIVOS!$A$2:$A$53))</f>
        <v>0</v>
      </c>
      <c r="I188" s="99">
        <v>46022</v>
      </c>
      <c r="J188" s="100"/>
      <c r="K188" s="100"/>
      <c r="L188" s="100"/>
      <c r="M188" s="27">
        <f ca="1">IF(OR(J188="",AND(L188="",TODAY()&lt;J188),AND(L188&lt;&gt;"",L188&lt;J188)),0,
   IF(L188="",
      NETWORKDAYS(J188,TODAY(),fESTIVOS!$A$2:$A$53),
      NETWORKDAYS(J188,L188,fESTIVOS!$A$2:$A$53)
   )
)</f>
        <v>0</v>
      </c>
      <c r="N188" s="101"/>
      <c r="O188" s="99"/>
      <c r="P188" s="101"/>
      <c r="Q188" s="34" t="s">
        <v>1015</v>
      </c>
      <c r="R188" s="31" t="s">
        <v>72</v>
      </c>
      <c r="S188" s="102"/>
      <c r="T188" s="102"/>
      <c r="U188" s="103"/>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row>
    <row r="189" spans="1:67" ht="29.25" hidden="1" customHeight="1">
      <c r="A189" s="93" t="s">
        <v>67</v>
      </c>
      <c r="B189" s="106" t="s">
        <v>1016</v>
      </c>
      <c r="C189" s="141" t="s">
        <v>1017</v>
      </c>
      <c r="D189" s="96" t="s">
        <v>1018</v>
      </c>
      <c r="E189" s="97"/>
      <c r="F189" s="20" t="s">
        <v>76</v>
      </c>
      <c r="G189" s="98">
        <v>100</v>
      </c>
      <c r="H189" s="22">
        <f>IF(OR(J189="",K189="",K189&lt;J189),0,NETWORKDAYS(J189,K189,fESTIVOS!$A$2:$A$53))</f>
        <v>0</v>
      </c>
      <c r="I189" s="99">
        <v>46001</v>
      </c>
      <c r="J189" s="100">
        <v>46001</v>
      </c>
      <c r="K189" s="100"/>
      <c r="L189" s="100">
        <v>46001</v>
      </c>
      <c r="M189" s="27">
        <f ca="1">IF(OR(J189="",AND(L189="",TODAY()&lt;J189),AND(L189&lt;&gt;"",L189&lt;J189)),0,
   IF(L189="",
      NETWORKDAYS(J189,TODAY(),fESTIVOS!$A$2:$A$53),
      NETWORKDAYS(J189,L189,fESTIVOS!$A$2:$A$53)
   )
)</f>
        <v>1</v>
      </c>
      <c r="N189" s="101"/>
      <c r="O189" s="99"/>
      <c r="P189" s="101"/>
      <c r="Q189" s="34" t="s">
        <v>1019</v>
      </c>
      <c r="R189" s="31" t="s">
        <v>78</v>
      </c>
      <c r="S189" s="102"/>
      <c r="T189" s="102"/>
      <c r="U189" s="103"/>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row>
    <row r="190" spans="1:67" ht="29.25" hidden="1" customHeight="1">
      <c r="A190" s="93" t="s">
        <v>67</v>
      </c>
      <c r="B190" s="106" t="s">
        <v>1020</v>
      </c>
      <c r="C190" s="141" t="s">
        <v>1021</v>
      </c>
      <c r="D190" s="96" t="s">
        <v>1022</v>
      </c>
      <c r="E190" s="97"/>
      <c r="F190" s="20" t="s">
        <v>76</v>
      </c>
      <c r="G190" s="98">
        <v>100</v>
      </c>
      <c r="H190" s="22">
        <f>IF(OR(J190="",K190="",K190&lt;J190),0,NETWORKDAYS(J190,K190,fESTIVOS!$A$2:$A$53))</f>
        <v>0</v>
      </c>
      <c r="I190" s="99">
        <v>46002</v>
      </c>
      <c r="J190" s="100">
        <v>46002</v>
      </c>
      <c r="K190" s="100"/>
      <c r="L190" s="100">
        <v>46008</v>
      </c>
      <c r="M190" s="27">
        <f ca="1">IF(OR(J190="",AND(L190="",TODAY()&lt;J190),AND(L190&lt;&gt;"",L190&lt;J190)),0,
   IF(L190="",
      NETWORKDAYS(J190,TODAY(),fESTIVOS!$A$2:$A$53),
      NETWORKDAYS(J190,L190,fESTIVOS!$A$2:$A$53)
   )
)</f>
        <v>5</v>
      </c>
      <c r="N190" s="101"/>
      <c r="O190" s="99"/>
      <c r="P190" s="101"/>
      <c r="Q190" s="89" t="s">
        <v>1023</v>
      </c>
      <c r="R190" s="31" t="s">
        <v>78</v>
      </c>
      <c r="S190" s="102"/>
      <c r="T190" s="102"/>
      <c r="U190" s="103"/>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row>
    <row r="191" spans="1:67" ht="29.25" hidden="1" customHeight="1">
      <c r="A191" s="93" t="s">
        <v>67</v>
      </c>
      <c r="B191" s="106" t="s">
        <v>1024</v>
      </c>
      <c r="C191" s="141" t="s">
        <v>1025</v>
      </c>
      <c r="D191" s="96" t="s">
        <v>1026</v>
      </c>
      <c r="E191" s="97"/>
      <c r="F191" s="20" t="s">
        <v>76</v>
      </c>
      <c r="G191" s="98">
        <v>100</v>
      </c>
      <c r="H191" s="22">
        <f>IF(OR(J191="",K191="",K191&lt;J191),0,NETWORKDAYS(J191,K191,fESTIVOS!$A$2:$A$53))</f>
        <v>0</v>
      </c>
      <c r="I191" s="99">
        <v>46002</v>
      </c>
      <c r="J191" s="100">
        <v>46002</v>
      </c>
      <c r="K191" s="100"/>
      <c r="L191" s="100">
        <v>46008</v>
      </c>
      <c r="M191" s="27">
        <f ca="1">IF(OR(J191="",AND(L191="",TODAY()&lt;J191),AND(L191&lt;&gt;"",L191&lt;J191)),0,
   IF(L191="",
      NETWORKDAYS(J191,TODAY(),fESTIVOS!$A$2:$A$53),
      NETWORKDAYS(J191,L191,fESTIVOS!$A$2:$A$53)
   )
)</f>
        <v>5</v>
      </c>
      <c r="N191" s="101"/>
      <c r="O191" s="99"/>
      <c r="P191" s="101"/>
      <c r="Q191" s="34" t="s">
        <v>1027</v>
      </c>
      <c r="R191" s="31" t="s">
        <v>78</v>
      </c>
      <c r="S191" s="102"/>
      <c r="T191" s="102"/>
      <c r="U191" s="103"/>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row>
    <row r="192" spans="1:67" ht="29.25" hidden="1" customHeight="1">
      <c r="A192" s="93" t="s">
        <v>67</v>
      </c>
      <c r="B192" s="106" t="s">
        <v>1028</v>
      </c>
      <c r="C192" s="141" t="s">
        <v>1029</v>
      </c>
      <c r="D192" s="96" t="s">
        <v>1030</v>
      </c>
      <c r="E192" s="97"/>
      <c r="F192" s="20" t="s">
        <v>76</v>
      </c>
      <c r="G192" s="98">
        <v>100</v>
      </c>
      <c r="H192" s="22">
        <f>IF(OR(J192="",K192="",K192&lt;J192),0,NETWORKDAYS(J192,K192,fESTIVOS!$A$2:$A$53))</f>
        <v>0</v>
      </c>
      <c r="I192" s="99">
        <v>46007</v>
      </c>
      <c r="J192" s="100">
        <v>46009</v>
      </c>
      <c r="K192" s="100"/>
      <c r="L192" s="100">
        <v>46021</v>
      </c>
      <c r="M192" s="27">
        <f ca="1">IF(OR(J192="",AND(L192="",TODAY()&lt;J192),AND(L192&lt;&gt;"",L192&lt;J192)),0,
   IF(L192="",
      NETWORKDAYS(J192,TODAY(),fESTIVOS!$A$2:$A$53),
      NETWORKDAYS(J192,L192,fESTIVOS!$A$2:$A$53)
   )
)</f>
        <v>8</v>
      </c>
      <c r="N192" s="101"/>
      <c r="O192" s="99"/>
      <c r="P192" s="101"/>
      <c r="Q192" s="34" t="s">
        <v>1031</v>
      </c>
      <c r="R192" s="31" t="s">
        <v>78</v>
      </c>
      <c r="S192" s="102"/>
      <c r="T192" s="102"/>
      <c r="U192" s="103"/>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row>
    <row r="193" spans="1:67" ht="29.25" hidden="1" customHeight="1">
      <c r="A193" s="93" t="s">
        <v>67</v>
      </c>
      <c r="B193" s="106" t="s">
        <v>1032</v>
      </c>
      <c r="C193" s="141" t="s">
        <v>1033</v>
      </c>
      <c r="D193" s="96" t="s">
        <v>1034</v>
      </c>
      <c r="E193" s="97"/>
      <c r="F193" s="20" t="s">
        <v>76</v>
      </c>
      <c r="G193" s="98">
        <v>100</v>
      </c>
      <c r="H193" s="22">
        <f>IF(OR(J193="",K193="",K193&lt;J193),0,NETWORKDAYS(J193,K193,fESTIVOS!$A$2:$A$53))</f>
        <v>0</v>
      </c>
      <c r="I193" s="99">
        <v>46022</v>
      </c>
      <c r="J193" s="100">
        <v>45993</v>
      </c>
      <c r="K193" s="100"/>
      <c r="L193" s="100">
        <v>46024</v>
      </c>
      <c r="M193" s="27">
        <f ca="1">IF(OR(J193="",AND(L193="",TODAY()&lt;J193),AND(L193&lt;&gt;"",L193&lt;J193)),0,
   IF(L193="",
      NETWORKDAYS(J193,TODAY(),fESTIVOS!$A$2:$A$53),
      NETWORKDAYS(J193,L193,fESTIVOS!$A$2:$A$53)
   )
)</f>
        <v>21</v>
      </c>
      <c r="N193" s="101"/>
      <c r="O193" s="99"/>
      <c r="P193" s="101"/>
      <c r="Q193" s="34" t="s">
        <v>1035</v>
      </c>
      <c r="R193" s="31" t="s">
        <v>78</v>
      </c>
      <c r="S193" s="102"/>
      <c r="T193" s="102"/>
      <c r="U193" s="103"/>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row>
    <row r="194" spans="1:67" ht="29.25" customHeight="1">
      <c r="A194" s="93" t="s">
        <v>67</v>
      </c>
      <c r="B194" s="106" t="s">
        <v>1036</v>
      </c>
      <c r="C194" s="107" t="s">
        <v>1037</v>
      </c>
      <c r="D194" s="96" t="s">
        <v>1038</v>
      </c>
      <c r="E194" s="97"/>
      <c r="F194" s="20" t="s">
        <v>232</v>
      </c>
      <c r="G194" s="98"/>
      <c r="H194" s="22">
        <f>IF(OR(J194="",K194="",K194&lt;J194),0,NETWORKDAYS(J194,K194,fESTIVOS!$A$2:$A$53))</f>
        <v>0</v>
      </c>
      <c r="I194" s="99">
        <v>45933</v>
      </c>
      <c r="J194" s="100"/>
      <c r="K194" s="100"/>
      <c r="L194" s="100"/>
      <c r="M194" s="27">
        <f ca="1">IF(OR(J194="",AND(L194="",TODAY()&lt;J194),AND(L194&lt;&gt;"",L194&lt;J194)),0,
   IF(L194="",
      NETWORKDAYS(J194,TODAY(),fESTIVOS!$A$2:$A$53),
      NETWORKDAYS(J194,L194,fESTIVOS!$A$2:$A$53)
   )
)</f>
        <v>0</v>
      </c>
      <c r="N194" s="101"/>
      <c r="O194" s="99"/>
      <c r="P194" s="101"/>
      <c r="Q194" s="34"/>
      <c r="R194" s="31" t="s">
        <v>93</v>
      </c>
      <c r="S194" s="102"/>
      <c r="T194" s="102"/>
      <c r="U194" s="103"/>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row>
    <row r="195" spans="1:67" ht="29.25" customHeight="1">
      <c r="A195" s="93" t="s">
        <v>67</v>
      </c>
      <c r="B195" s="106" t="s">
        <v>1039</v>
      </c>
      <c r="C195" s="142" t="s">
        <v>1040</v>
      </c>
      <c r="D195" s="96" t="s">
        <v>1041</v>
      </c>
      <c r="E195" s="97"/>
      <c r="F195" s="20" t="s">
        <v>207</v>
      </c>
      <c r="G195" s="98">
        <v>90</v>
      </c>
      <c r="H195" s="22">
        <f>IF(OR(J195="",K195="",K195&lt;J195),0,NETWORKDAYS(J195,K195,fESTIVOS!$A$2:$A$53))</f>
        <v>0</v>
      </c>
      <c r="I195" s="99">
        <v>45961</v>
      </c>
      <c r="J195" s="100">
        <v>45961</v>
      </c>
      <c r="K195" s="100"/>
      <c r="L195" s="100"/>
      <c r="M195" s="27">
        <f ca="1">IF(OR(J195="",AND(L195="",TODAY()&lt;J195),AND(L195&lt;&gt;"",L195&lt;J195)),0,
   IF(L195="",
      NETWORKDAYS(J195,TODAY(),fESTIVOS!$A$2:$A$53),
      NETWORKDAYS(J195,L195,fESTIVOS!$A$2:$A$53)
   )
)</f>
        <v>58</v>
      </c>
      <c r="N195" s="101"/>
      <c r="O195" s="99"/>
      <c r="P195" s="101"/>
      <c r="Q195" s="34" t="s">
        <v>1042</v>
      </c>
      <c r="R195" s="31" t="s">
        <v>78</v>
      </c>
      <c r="S195" s="102"/>
      <c r="T195" s="102"/>
      <c r="U195" s="103"/>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row>
    <row r="196" spans="1:67" ht="29.25" hidden="1" customHeight="1">
      <c r="A196" s="93" t="s">
        <v>67</v>
      </c>
      <c r="B196" s="106" t="s">
        <v>1043</v>
      </c>
      <c r="C196" s="107" t="s">
        <v>1044</v>
      </c>
      <c r="D196" s="96"/>
      <c r="E196" s="97"/>
      <c r="F196" s="20" t="s">
        <v>76</v>
      </c>
      <c r="G196" s="98">
        <v>100</v>
      </c>
      <c r="H196" s="22">
        <f>IF(OR(J196="",K196="",K196&lt;J196),0,NETWORKDAYS(J196,K196,fESTIVOS!$A$2:$A$53))</f>
        <v>0</v>
      </c>
      <c r="I196" s="99">
        <v>45965</v>
      </c>
      <c r="J196" s="100">
        <v>45965</v>
      </c>
      <c r="K196" s="100"/>
      <c r="L196" s="100">
        <v>45974</v>
      </c>
      <c r="M196" s="27">
        <f ca="1">IF(OR(J196="",AND(L196="",TODAY()&lt;J196),AND(L196&lt;&gt;"",L196&lt;J196)),0,
   IF(L196="",
      NETWORKDAYS(J196,TODAY(),fESTIVOS!$A$2:$A$53),
      NETWORKDAYS(J196,L196,fESTIVOS!$A$2:$A$53)
   )
)</f>
        <v>8</v>
      </c>
      <c r="N196" s="101"/>
      <c r="O196" s="99"/>
      <c r="P196" s="101">
        <v>45974</v>
      </c>
      <c r="Q196" s="34" t="s">
        <v>1045</v>
      </c>
      <c r="R196" s="31" t="s">
        <v>78</v>
      </c>
      <c r="S196" s="98">
        <v>1</v>
      </c>
      <c r="T196" s="102"/>
      <c r="U196" s="103"/>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row>
    <row r="197" spans="1:67" ht="29.25" hidden="1" customHeight="1">
      <c r="A197" s="93" t="s">
        <v>1046</v>
      </c>
      <c r="B197" s="106" t="s">
        <v>1047</v>
      </c>
      <c r="C197" s="107" t="s">
        <v>1048</v>
      </c>
      <c r="D197" s="96" t="s">
        <v>1049</v>
      </c>
      <c r="E197" s="97"/>
      <c r="F197" s="20" t="s">
        <v>501</v>
      </c>
      <c r="G197" s="98">
        <v>50</v>
      </c>
      <c r="H197" s="22">
        <f>IF(OR(J197="",K197="",K197&lt;J197),0,NETWORKDAYS(J197,K197,fESTIVOS!$A$2:$A$53))</f>
        <v>0</v>
      </c>
      <c r="I197" s="99">
        <v>45965</v>
      </c>
      <c r="J197" s="100">
        <v>45966</v>
      </c>
      <c r="K197" s="100"/>
      <c r="L197" s="100"/>
      <c r="M197" s="27">
        <f ca="1">IF(OR(J197="",AND(L197="",TODAY()&lt;J197),AND(L197&lt;&gt;"",L197&lt;J197)),0,
   IF(L197="",
      NETWORKDAYS(J197,TODAY(),fESTIVOS!$A$2:$A$53),
      NETWORKDAYS(J197,L197,fESTIVOS!$A$2:$A$53)
   )
)</f>
        <v>56</v>
      </c>
      <c r="N197" s="101"/>
      <c r="O197" s="99"/>
      <c r="P197" s="101"/>
      <c r="Q197" s="34" t="s">
        <v>1050</v>
      </c>
      <c r="R197" s="31" t="s">
        <v>78</v>
      </c>
      <c r="S197" s="102"/>
      <c r="T197" s="102"/>
      <c r="U197" s="103"/>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row>
    <row r="198" spans="1:67" ht="29.25" hidden="1" customHeight="1">
      <c r="A198" s="93" t="s">
        <v>67</v>
      </c>
      <c r="B198" s="106" t="s">
        <v>1051</v>
      </c>
      <c r="C198" s="107" t="s">
        <v>1052</v>
      </c>
      <c r="D198" s="96"/>
      <c r="E198" s="97"/>
      <c r="F198" s="20" t="s">
        <v>76</v>
      </c>
      <c r="G198" s="98">
        <v>100</v>
      </c>
      <c r="H198" s="22">
        <f>IF(OR(J198="",K198="",K198&lt;J198),0,NETWORKDAYS(J198,K198,fESTIVOS!$A$2:$A$53))</f>
        <v>0</v>
      </c>
      <c r="I198" s="99">
        <v>45967</v>
      </c>
      <c r="J198" s="100">
        <v>45979</v>
      </c>
      <c r="K198" s="100"/>
      <c r="L198" s="100">
        <v>45979</v>
      </c>
      <c r="M198" s="27">
        <f ca="1">IF(OR(J198="",AND(L198="",TODAY()&lt;J198),AND(L198&lt;&gt;"",L198&lt;J198)),0,
   IF(L198="",
      NETWORKDAYS(J198,TODAY(),fESTIVOS!$A$2:$A$53),
      NETWORKDAYS(J198,L198,fESTIVOS!$A$2:$A$53)
   )
)</f>
        <v>1</v>
      </c>
      <c r="N198" s="101"/>
      <c r="O198" s="99"/>
      <c r="P198" s="101"/>
      <c r="Q198" s="34" t="s">
        <v>1053</v>
      </c>
      <c r="R198" s="31" t="s">
        <v>78</v>
      </c>
      <c r="S198" s="102"/>
      <c r="T198" s="102"/>
      <c r="U198" s="103"/>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row>
    <row r="199" spans="1:67" ht="29.25" hidden="1" customHeight="1">
      <c r="A199" s="93" t="s">
        <v>67</v>
      </c>
      <c r="B199" s="106" t="s">
        <v>1054</v>
      </c>
      <c r="C199" s="151" t="s">
        <v>1055</v>
      </c>
      <c r="D199" s="96" t="s">
        <v>1056</v>
      </c>
      <c r="E199" s="97"/>
      <c r="F199" s="20" t="s">
        <v>76</v>
      </c>
      <c r="G199" s="98">
        <v>100</v>
      </c>
      <c r="H199" s="22">
        <f>IF(OR(J199="",K199="",K199&lt;J199),0,NETWORKDAYS(J199,K199,fESTIVOS!$A$2:$A$53))</f>
        <v>0</v>
      </c>
      <c r="I199" s="99">
        <v>45972</v>
      </c>
      <c r="J199" s="100">
        <v>45974</v>
      </c>
      <c r="K199" s="100"/>
      <c r="L199" s="100">
        <v>45974</v>
      </c>
      <c r="M199" s="27">
        <f ca="1">IF(OR(J199="",AND(L199="",TODAY()&lt;J199),AND(L199&lt;&gt;"",L199&lt;J199)),0,
   IF(L199="",
      NETWORKDAYS(J199,TODAY(),fESTIVOS!$A$2:$A$53),
      NETWORKDAYS(J199,L199,fESTIVOS!$A$2:$A$53)
   )
)</f>
        <v>1</v>
      </c>
      <c r="N199" s="101"/>
      <c r="O199" s="99"/>
      <c r="P199" s="101"/>
      <c r="Q199" s="34" t="s">
        <v>1057</v>
      </c>
      <c r="R199" s="31" t="s">
        <v>78</v>
      </c>
      <c r="S199" s="102"/>
      <c r="T199" s="102"/>
      <c r="U199" s="103"/>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row>
    <row r="200" spans="1:67" ht="29.25" hidden="1" customHeight="1">
      <c r="A200" s="93" t="s">
        <v>67</v>
      </c>
      <c r="B200" s="106" t="s">
        <v>1058</v>
      </c>
      <c r="C200" s="151" t="s">
        <v>1059</v>
      </c>
      <c r="D200" s="190" t="s">
        <v>1060</v>
      </c>
      <c r="E200" s="97"/>
      <c r="F200" s="20" t="s">
        <v>76</v>
      </c>
      <c r="G200" s="98">
        <v>100</v>
      </c>
      <c r="H200" s="22">
        <f>IF(OR(J200="",K200="",K200&lt;J200),0,NETWORKDAYS(J200,K200,fESTIVOS!$A$2:$A$53))</f>
        <v>0</v>
      </c>
      <c r="I200" s="99">
        <v>45972</v>
      </c>
      <c r="J200" s="100">
        <v>45979</v>
      </c>
      <c r="K200" s="100"/>
      <c r="L200" s="100">
        <v>45979</v>
      </c>
      <c r="M200" s="27">
        <f ca="1">IF(OR(J200="",AND(L200="",TODAY()&lt;J200),AND(L200&lt;&gt;"",L200&lt;J200)),0,
   IF(L200="",
      NETWORKDAYS(J200,TODAY(),fESTIVOS!$A$2:$A$53),
      NETWORKDAYS(J200,L200,fESTIVOS!$A$2:$A$53)
   )
)</f>
        <v>1</v>
      </c>
      <c r="N200" s="101"/>
      <c r="O200" s="99"/>
      <c r="P200" s="101"/>
      <c r="Q200" s="34" t="s">
        <v>1061</v>
      </c>
      <c r="R200" s="31" t="s">
        <v>78</v>
      </c>
      <c r="S200" s="102"/>
      <c r="T200" s="102"/>
      <c r="U200" s="103"/>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row>
    <row r="201" spans="1:67" ht="29.25" hidden="1" customHeight="1">
      <c r="A201" s="93" t="s">
        <v>1062</v>
      </c>
      <c r="B201" s="106" t="s">
        <v>1063</v>
      </c>
      <c r="C201" s="107" t="s">
        <v>1064</v>
      </c>
      <c r="D201" s="96"/>
      <c r="E201" s="97"/>
      <c r="F201" s="20" t="s">
        <v>232</v>
      </c>
      <c r="G201" s="98"/>
      <c r="H201" s="22">
        <f>IF(OR(J201="",K201="",K201&lt;J201),0,NETWORKDAYS(J201,K201,fESTIVOS!$A$2:$A$53))</f>
        <v>0</v>
      </c>
      <c r="I201" s="99"/>
      <c r="J201" s="100"/>
      <c r="K201" s="100"/>
      <c r="L201" s="100"/>
      <c r="M201" s="27">
        <f ca="1">IF(OR(J201="",AND(L201="",TODAY()&lt;J201),AND(L201&lt;&gt;"",L201&lt;J201)),0,
   IF(L201="",
      NETWORKDAYS(J201,TODAY(),fESTIVOS!$A$2:$A$53),
      NETWORKDAYS(J201,L201,fESTIVOS!$A$2:$A$53)
   )
)</f>
        <v>0</v>
      </c>
      <c r="N201" s="101"/>
      <c r="O201" s="99"/>
      <c r="P201" s="101"/>
      <c r="Q201" s="34" t="s">
        <v>1065</v>
      </c>
      <c r="R201" s="31" t="s">
        <v>93</v>
      </c>
      <c r="S201" s="102"/>
      <c r="T201" s="102"/>
      <c r="U201" s="103"/>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row>
    <row r="202" spans="1:67" ht="29.25" hidden="1" customHeight="1">
      <c r="A202" s="93" t="s">
        <v>67</v>
      </c>
      <c r="B202" s="106" t="s">
        <v>1066</v>
      </c>
      <c r="C202" s="107" t="s">
        <v>1067</v>
      </c>
      <c r="D202" s="96" t="s">
        <v>1068</v>
      </c>
      <c r="E202" s="97"/>
      <c r="F202" s="20" t="s">
        <v>76</v>
      </c>
      <c r="G202" s="98">
        <v>100</v>
      </c>
      <c r="H202" s="22">
        <f>IF(OR(J202="",K202="",K202&lt;J202),0,NETWORKDAYS(J202,K202,fESTIVOS!$A$2:$A$53))</f>
        <v>0</v>
      </c>
      <c r="I202" s="99">
        <v>45940</v>
      </c>
      <c r="J202" s="100">
        <v>45945</v>
      </c>
      <c r="K202" s="100"/>
      <c r="L202" s="100">
        <v>45947</v>
      </c>
      <c r="M202" s="27">
        <f ca="1">IF(OR(J202="",AND(L202="",TODAY()&lt;J202),AND(L202&lt;&gt;"",L202&lt;J202)),0,
   IF(L202="",
      NETWORKDAYS(J202,TODAY(),fESTIVOS!$A$2:$A$53),
      NETWORKDAYS(J202,L202,fESTIVOS!$A$2:$A$53)
   )
)</f>
        <v>3</v>
      </c>
      <c r="N202" s="101"/>
      <c r="O202" s="99"/>
      <c r="P202" s="101"/>
      <c r="Q202" s="34" t="s">
        <v>1069</v>
      </c>
      <c r="R202" s="31" t="s">
        <v>78</v>
      </c>
      <c r="S202" s="102"/>
      <c r="T202" s="102"/>
      <c r="U202" s="103"/>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row>
    <row r="203" spans="1:67" ht="29.25" hidden="1" customHeight="1">
      <c r="A203" s="93" t="s">
        <v>67</v>
      </c>
      <c r="B203" s="106" t="s">
        <v>1070</v>
      </c>
      <c r="C203" s="107" t="s">
        <v>1071</v>
      </c>
      <c r="D203" s="96" t="s">
        <v>1072</v>
      </c>
      <c r="E203" s="97"/>
      <c r="F203" s="20" t="s">
        <v>76</v>
      </c>
      <c r="G203" s="98">
        <v>100</v>
      </c>
      <c r="H203" s="22">
        <f>IF(OR(J203="",K203="",K203&lt;J203),0,NETWORKDAYS(J203,K203,fESTIVOS!$A$2:$A$53))</f>
        <v>0</v>
      </c>
      <c r="I203" s="99">
        <v>45947</v>
      </c>
      <c r="J203" s="100">
        <v>45947</v>
      </c>
      <c r="K203" s="100"/>
      <c r="L203" s="100">
        <v>45947</v>
      </c>
      <c r="M203" s="27">
        <f ca="1">IF(OR(J203="",AND(L203="",TODAY()&lt;J203),AND(L203&lt;&gt;"",L203&lt;J203)),0,
   IF(L203="",
      NETWORKDAYS(J203,TODAY(),fESTIVOS!$A$2:$A$53),
      NETWORKDAYS(J203,L203,fESTIVOS!$A$2:$A$53)
   )
)</f>
        <v>1</v>
      </c>
      <c r="N203" s="101"/>
      <c r="O203" s="99"/>
      <c r="P203" s="101"/>
      <c r="Q203" s="34" t="s">
        <v>1073</v>
      </c>
      <c r="R203" s="31" t="s">
        <v>78</v>
      </c>
      <c r="S203" s="102"/>
      <c r="T203" s="102"/>
      <c r="U203" s="103"/>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row>
    <row r="204" spans="1:67" ht="29.25" hidden="1" customHeight="1">
      <c r="A204" s="93" t="s">
        <v>67</v>
      </c>
      <c r="B204" s="106" t="s">
        <v>1074</v>
      </c>
      <c r="C204" s="107" t="s">
        <v>1075</v>
      </c>
      <c r="D204" s="96" t="s">
        <v>1076</v>
      </c>
      <c r="E204" s="97"/>
      <c r="F204" s="20" t="s">
        <v>76</v>
      </c>
      <c r="G204" s="98">
        <v>100</v>
      </c>
      <c r="H204" s="22">
        <f>IF(OR(J204="",K204="",K204&lt;J204),0,NETWORKDAYS(J204,K204,fESTIVOS!$A$2:$A$53))</f>
        <v>0</v>
      </c>
      <c r="I204" s="99">
        <v>45940</v>
      </c>
      <c r="J204" s="100">
        <v>45945</v>
      </c>
      <c r="K204" s="100"/>
      <c r="L204" s="100">
        <v>45945</v>
      </c>
      <c r="M204" s="27">
        <f ca="1">IF(OR(J204="",AND(L204="",TODAY()&lt;J204),AND(L204&lt;&gt;"",L204&lt;J204)),0,
   IF(L204="",
      NETWORKDAYS(J204,TODAY(),fESTIVOS!$A$2:$A$53),
      NETWORKDAYS(J204,L204,fESTIVOS!$A$2:$A$53)
   )
)</f>
        <v>1</v>
      </c>
      <c r="N204" s="101"/>
      <c r="O204" s="99"/>
      <c r="P204" s="101"/>
      <c r="Q204" s="34" t="s">
        <v>1077</v>
      </c>
      <c r="R204" s="31" t="s">
        <v>78</v>
      </c>
      <c r="S204" s="102"/>
      <c r="T204" s="102"/>
      <c r="U204" s="103"/>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row>
    <row r="205" spans="1:67" ht="29.25" hidden="1" customHeight="1">
      <c r="A205" s="93" t="s">
        <v>67</v>
      </c>
      <c r="B205" s="106" t="s">
        <v>1078</v>
      </c>
      <c r="C205" s="107" t="s">
        <v>1079</v>
      </c>
      <c r="D205" s="96" t="s">
        <v>1080</v>
      </c>
      <c r="E205" s="97"/>
      <c r="F205" s="20" t="s">
        <v>76</v>
      </c>
      <c r="G205" s="98">
        <v>100</v>
      </c>
      <c r="H205" s="22">
        <f>IF(OR(J205="",K205="",K205&lt;J205),0,NETWORKDAYS(J205,K205,fESTIVOS!$A$2:$A$53))</f>
        <v>0</v>
      </c>
      <c r="I205" s="99">
        <v>45940</v>
      </c>
      <c r="J205" s="100">
        <v>45945</v>
      </c>
      <c r="K205" s="100"/>
      <c r="L205" s="100">
        <v>45945</v>
      </c>
      <c r="M205" s="27">
        <f ca="1">IF(OR(J205="",AND(L205="",TODAY()&lt;J205),AND(L205&lt;&gt;"",L205&lt;J205)),0,
   IF(L205="",
      NETWORKDAYS(J205,TODAY(),fESTIVOS!$A$2:$A$53),
      NETWORKDAYS(J205,L205,fESTIVOS!$A$2:$A$53)
   )
)</f>
        <v>1</v>
      </c>
      <c r="N205" s="101"/>
      <c r="O205" s="99"/>
      <c r="P205" s="101"/>
      <c r="Q205" s="34" t="s">
        <v>1081</v>
      </c>
      <c r="R205" s="31" t="s">
        <v>78</v>
      </c>
      <c r="S205" s="102"/>
      <c r="T205" s="102"/>
      <c r="U205" s="103"/>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row>
    <row r="206" spans="1:67" ht="29.25" hidden="1" customHeight="1">
      <c r="A206" s="93" t="s">
        <v>67</v>
      </c>
      <c r="B206" s="106" t="s">
        <v>1082</v>
      </c>
      <c r="C206" s="107" t="s">
        <v>1083</v>
      </c>
      <c r="D206" s="96" t="s">
        <v>1084</v>
      </c>
      <c r="E206" s="97"/>
      <c r="F206" s="20" t="s">
        <v>76</v>
      </c>
      <c r="G206" s="98">
        <v>100</v>
      </c>
      <c r="H206" s="22">
        <f>IF(OR(J206="",K206="",K206&lt;J206),0,NETWORKDAYS(J206,K206,fESTIVOS!$A$2:$A$53))</f>
        <v>0</v>
      </c>
      <c r="I206" s="99">
        <v>45930</v>
      </c>
      <c r="J206" s="100">
        <v>45930</v>
      </c>
      <c r="K206" s="100"/>
      <c r="L206" s="100">
        <v>45930</v>
      </c>
      <c r="M206" s="27">
        <f ca="1">IF(OR(J206="",AND(L206="",TODAY()&lt;J206),AND(L206&lt;&gt;"",L206&lt;J206)),0,
   IF(L206="",
      NETWORKDAYS(J206,TODAY(),fESTIVOS!$A$2:$A$53),
      NETWORKDAYS(J206,L206,fESTIVOS!$A$2:$A$53)
   )
)</f>
        <v>1</v>
      </c>
      <c r="N206" s="101"/>
      <c r="O206" s="99"/>
      <c r="P206" s="101"/>
      <c r="Q206" s="34" t="s">
        <v>1085</v>
      </c>
      <c r="R206" s="31" t="s">
        <v>78</v>
      </c>
      <c r="S206" s="102"/>
      <c r="T206" s="102"/>
      <c r="U206" s="103"/>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row>
    <row r="207" spans="1:67" ht="29.25" hidden="1" customHeight="1">
      <c r="A207" s="93" t="s">
        <v>67</v>
      </c>
      <c r="B207" s="106" t="s">
        <v>1086</v>
      </c>
      <c r="C207" s="107" t="s">
        <v>1087</v>
      </c>
      <c r="D207" s="96" t="s">
        <v>1088</v>
      </c>
      <c r="E207" s="97"/>
      <c r="F207" s="20" t="s">
        <v>76</v>
      </c>
      <c r="G207" s="98">
        <v>100</v>
      </c>
      <c r="H207" s="22">
        <f>IF(OR(J207="",K207="",K207&lt;J207),0,NETWORKDAYS(J207,K207,fESTIVOS!$A$2:$A$53))</f>
        <v>0</v>
      </c>
      <c r="I207" s="99">
        <v>45916</v>
      </c>
      <c r="J207" s="100">
        <v>45916</v>
      </c>
      <c r="K207" s="100"/>
      <c r="L207" s="100">
        <v>45916</v>
      </c>
      <c r="M207" s="27">
        <f ca="1">IF(OR(J207="",AND(L207="",TODAY()&lt;J207),AND(L207&lt;&gt;"",L207&lt;J207)),0,
   IF(L207="",
      NETWORKDAYS(J207,TODAY(),fESTIVOS!$A$2:$A$53),
      NETWORKDAYS(J207,L207,fESTIVOS!$A$2:$A$53)
   )
)</f>
        <v>1</v>
      </c>
      <c r="N207" s="101"/>
      <c r="O207" s="99"/>
      <c r="P207" s="101">
        <v>45916</v>
      </c>
      <c r="Q207" s="34" t="s">
        <v>1089</v>
      </c>
      <c r="R207" s="31" t="s">
        <v>78</v>
      </c>
      <c r="S207" s="102"/>
      <c r="T207" s="102"/>
      <c r="U207" s="103"/>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row>
    <row r="208" spans="1:67" ht="29.25" hidden="1" customHeight="1">
      <c r="A208" s="93" t="s">
        <v>67</v>
      </c>
      <c r="B208" s="106" t="s">
        <v>1090</v>
      </c>
      <c r="C208" s="107" t="s">
        <v>1091</v>
      </c>
      <c r="D208" s="96" t="s">
        <v>1092</v>
      </c>
      <c r="E208" s="97"/>
      <c r="F208" s="20" t="s">
        <v>76</v>
      </c>
      <c r="G208" s="98">
        <v>100</v>
      </c>
      <c r="H208" s="22">
        <f>IF(OR(J208="",K208="",K208&lt;J208),0,NETWORKDAYS(J208,K208,fESTIVOS!$A$2:$A$53))</f>
        <v>0</v>
      </c>
      <c r="I208" s="99">
        <v>45910</v>
      </c>
      <c r="J208" s="100">
        <v>45910</v>
      </c>
      <c r="K208" s="100"/>
      <c r="L208" s="100">
        <v>45910</v>
      </c>
      <c r="M208" s="27">
        <f ca="1">IF(OR(J208="",AND(L208="",TODAY()&lt;J208),AND(L208&lt;&gt;"",L208&lt;J208)),0,
   IF(L208="",
      NETWORKDAYS(J208,TODAY(),fESTIVOS!$A$2:$A$53),
      NETWORKDAYS(J208,L208,fESTIVOS!$A$2:$A$53)
   )
)</f>
        <v>1</v>
      </c>
      <c r="N208" s="101"/>
      <c r="O208" s="99"/>
      <c r="P208" s="101"/>
      <c r="Q208" s="34" t="s">
        <v>1093</v>
      </c>
      <c r="R208" s="31" t="s">
        <v>78</v>
      </c>
      <c r="S208" s="102"/>
      <c r="T208" s="102"/>
      <c r="U208" s="103"/>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row>
    <row r="209" spans="1:67" ht="29.25" hidden="1" customHeight="1">
      <c r="A209" s="93" t="s">
        <v>157</v>
      </c>
      <c r="B209" s="106" t="s">
        <v>1094</v>
      </c>
      <c r="C209" s="107" t="s">
        <v>1095</v>
      </c>
      <c r="D209" s="96" t="s">
        <v>1096</v>
      </c>
      <c r="E209" s="97"/>
      <c r="F209" s="20" t="s">
        <v>76</v>
      </c>
      <c r="G209" s="98">
        <v>100</v>
      </c>
      <c r="H209" s="22">
        <f>IF(OR(J209="",K209="",K209&lt;J209),0,NETWORKDAYS(J209,K209,fESTIVOS!$A$2:$A$53))</f>
        <v>0</v>
      </c>
      <c r="I209" s="99">
        <v>45908</v>
      </c>
      <c r="J209" s="100">
        <v>45909</v>
      </c>
      <c r="K209" s="100"/>
      <c r="L209" s="100">
        <v>45909</v>
      </c>
      <c r="M209" s="27">
        <f ca="1">IF(OR(J209="",AND(L209="",TODAY()&lt;J209),AND(L209&lt;&gt;"",L209&lt;J209)),0,
   IF(L209="",
      NETWORKDAYS(J209,TODAY(),fESTIVOS!$A$2:$A$53),
      NETWORKDAYS(J209,L209,fESTIVOS!$A$2:$A$53)
   )
)</f>
        <v>1</v>
      </c>
      <c r="N209" s="101"/>
      <c r="O209" s="99">
        <v>45909</v>
      </c>
      <c r="P209" s="101">
        <v>45910</v>
      </c>
      <c r="Q209" s="34" t="s">
        <v>1097</v>
      </c>
      <c r="R209" s="31" t="s">
        <v>78</v>
      </c>
      <c r="S209" s="102"/>
      <c r="T209" s="102"/>
      <c r="U209" s="103"/>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row>
    <row r="210" spans="1:67" ht="29.25" hidden="1" customHeight="1">
      <c r="A210" s="93" t="s">
        <v>128</v>
      </c>
      <c r="B210" s="106" t="s">
        <v>1098</v>
      </c>
      <c r="C210" s="107" t="s">
        <v>1099</v>
      </c>
      <c r="D210" s="96" t="s">
        <v>1100</v>
      </c>
      <c r="E210" s="97"/>
      <c r="F210" s="20" t="s">
        <v>76</v>
      </c>
      <c r="G210" s="98">
        <v>100</v>
      </c>
      <c r="H210" s="22">
        <f>IF(OR(J210="",K210="",K210&lt;J210),0,NETWORKDAYS(J210,K210,fESTIVOS!$A$2:$A$53))</f>
        <v>0</v>
      </c>
      <c r="I210" s="99">
        <v>45905</v>
      </c>
      <c r="J210" s="100">
        <v>45905</v>
      </c>
      <c r="K210" s="100"/>
      <c r="L210" s="100">
        <v>45908</v>
      </c>
      <c r="M210" s="27">
        <f ca="1">IF(OR(J210="",AND(L210="",TODAY()&lt;J210),AND(L210&lt;&gt;"",L210&lt;J210)),0,
   IF(L210="",
      NETWORKDAYS(J210,TODAY(),fESTIVOS!$A$2:$A$53),
      NETWORKDAYS(J210,L210,fESTIVOS!$A$2:$A$53)
   )
)</f>
        <v>2</v>
      </c>
      <c r="N210" s="101"/>
      <c r="O210" s="99"/>
      <c r="P210" s="101"/>
      <c r="Q210" s="34" t="s">
        <v>1101</v>
      </c>
      <c r="R210" s="31" t="s">
        <v>78</v>
      </c>
      <c r="S210" s="102"/>
      <c r="T210" s="102"/>
      <c r="U210" s="103"/>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row>
    <row r="211" spans="1:67" ht="29.25" hidden="1" customHeight="1">
      <c r="A211" s="93" t="s">
        <v>67</v>
      </c>
      <c r="B211" s="106" t="s">
        <v>1102</v>
      </c>
      <c r="C211" s="107" t="s">
        <v>1103</v>
      </c>
      <c r="D211" s="96" t="s">
        <v>1104</v>
      </c>
      <c r="E211" s="97"/>
      <c r="F211" s="20" t="s">
        <v>76</v>
      </c>
      <c r="G211" s="98">
        <v>100</v>
      </c>
      <c r="H211" s="22">
        <f>IF(OR(J211="",K211="",K211&lt;J211),0,NETWORKDAYS(J211,K211,fESTIVOS!$A$2:$A$53))</f>
        <v>0</v>
      </c>
      <c r="I211" s="99">
        <v>45890</v>
      </c>
      <c r="J211" s="100">
        <v>45890</v>
      </c>
      <c r="K211" s="100"/>
      <c r="L211" s="100">
        <v>45898</v>
      </c>
      <c r="M211" s="27">
        <f ca="1">IF(OR(J211="",AND(L211="",TODAY()&lt;J211),AND(L211&lt;&gt;"",L211&lt;J211)),0,
   IF(L211="",
      NETWORKDAYS(J211,TODAY(),fESTIVOS!$A$2:$A$53),
      NETWORKDAYS(J211,L211,fESTIVOS!$A$2:$A$53)
   )
)</f>
        <v>7</v>
      </c>
      <c r="N211" s="101"/>
      <c r="O211" s="99"/>
      <c r="P211" s="101"/>
      <c r="Q211" s="34" t="s">
        <v>1105</v>
      </c>
      <c r="R211" s="31" t="s">
        <v>78</v>
      </c>
      <c r="S211" s="102"/>
      <c r="T211" s="102"/>
      <c r="U211" s="103"/>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row>
    <row r="212" spans="1:67" ht="29.25" hidden="1" customHeight="1">
      <c r="A212" s="56" t="s">
        <v>128</v>
      </c>
      <c r="B212" s="106" t="s">
        <v>1106</v>
      </c>
      <c r="C212" s="107" t="s">
        <v>1107</v>
      </c>
      <c r="D212" s="96"/>
      <c r="E212" s="97"/>
      <c r="F212" s="112" t="s">
        <v>232</v>
      </c>
      <c r="G212" s="98"/>
      <c r="H212" s="22">
        <f>IF(OR(J212="",K212="",K212&lt;J212),0,NETWORKDAYS(J212,K212,fESTIVOS!$A$2:$A$53))</f>
        <v>0</v>
      </c>
      <c r="I212" s="181">
        <v>45912</v>
      </c>
      <c r="J212" s="179"/>
      <c r="K212" s="100"/>
      <c r="L212" s="100"/>
      <c r="M212" s="27">
        <f ca="1">IF(OR(J212="",AND(L212="",TODAY()&lt;J212),AND(L212&lt;&gt;"",L212&lt;J212)),0,
   IF(L212="",
      NETWORKDAYS(J212,TODAY(),fESTIVOS!$A$2:$A$53),
      NETWORKDAYS(J212,L212,fESTIVOS!$A$2:$A$53)
   )
)</f>
        <v>0</v>
      </c>
      <c r="N212" s="101"/>
      <c r="O212" s="99"/>
      <c r="P212" s="101"/>
      <c r="Q212" s="34" t="s">
        <v>1108</v>
      </c>
      <c r="R212" s="113" t="s">
        <v>93</v>
      </c>
      <c r="S212" s="98"/>
      <c r="T212" s="102"/>
      <c r="U212" s="103"/>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row>
    <row r="213" spans="1:67" ht="29.25" hidden="1" customHeight="1">
      <c r="A213" s="93" t="s">
        <v>128</v>
      </c>
      <c r="B213" s="106" t="s">
        <v>1109</v>
      </c>
      <c r="C213" s="107" t="s">
        <v>1110</v>
      </c>
      <c r="D213" s="96" t="s">
        <v>1111</v>
      </c>
      <c r="E213" s="97"/>
      <c r="F213" s="122" t="s">
        <v>76</v>
      </c>
      <c r="G213" s="98">
        <v>100</v>
      </c>
      <c r="H213" s="22">
        <f>IF(OR(J213="",K213="",K213&lt;J213),0,NETWORKDAYS(J213,K213,fESTIVOS!$A$2:$A$53))</f>
        <v>5</v>
      </c>
      <c r="I213" s="99">
        <v>45895</v>
      </c>
      <c r="J213" s="100">
        <v>45904</v>
      </c>
      <c r="K213" s="100">
        <v>45910</v>
      </c>
      <c r="L213" s="100">
        <v>45905</v>
      </c>
      <c r="M213" s="27">
        <f ca="1">IF(OR(J213="",AND(L213="",TODAY()&lt;J213),AND(L213&lt;&gt;"",L213&lt;J213)),0,
   IF(L213="",
      NETWORKDAYS(J213,TODAY(),fESTIVOS!$A$2:$A$53),
      NETWORKDAYS(J213,L213,fESTIVOS!$A$2:$A$53)
   )
)</f>
        <v>2</v>
      </c>
      <c r="N213" s="101"/>
      <c r="O213" s="99">
        <v>45905</v>
      </c>
      <c r="P213" s="101">
        <v>45912</v>
      </c>
      <c r="Q213" s="34" t="s">
        <v>1112</v>
      </c>
      <c r="R213" s="31" t="s">
        <v>78</v>
      </c>
      <c r="S213" s="191"/>
      <c r="T213" s="102"/>
      <c r="U213" s="103"/>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row>
    <row r="214" spans="1:67" ht="29.25" hidden="1" customHeight="1">
      <c r="A214" s="93" t="s">
        <v>128</v>
      </c>
      <c r="B214" s="106" t="s">
        <v>1113</v>
      </c>
      <c r="C214" s="107" t="s">
        <v>1114</v>
      </c>
      <c r="D214" s="96" t="s">
        <v>1115</v>
      </c>
      <c r="E214" s="97"/>
      <c r="F214" s="122" t="s">
        <v>76</v>
      </c>
      <c r="G214" s="98">
        <v>100</v>
      </c>
      <c r="H214" s="22">
        <f>IF(OR(J214="",K214="",K214&lt;J214),0,NETWORKDAYS(J214,K214,fESTIVOS!$A$2:$A$53))</f>
        <v>0</v>
      </c>
      <c r="I214" s="99">
        <v>45902</v>
      </c>
      <c r="J214" s="100">
        <v>45902</v>
      </c>
      <c r="K214" s="100"/>
      <c r="L214" s="100">
        <v>45902</v>
      </c>
      <c r="M214" s="27">
        <f ca="1">IF(OR(J214="",AND(L214="",TODAY()&lt;J214),AND(L214&lt;&gt;"",L214&lt;J214)),0,
   IF(L214="",
      NETWORKDAYS(J214,TODAY(),fESTIVOS!$A$2:$A$53),
      NETWORKDAYS(J214,L214,fESTIVOS!$A$2:$A$53)
   )
)</f>
        <v>1</v>
      </c>
      <c r="N214" s="101"/>
      <c r="O214" s="99"/>
      <c r="P214" s="101"/>
      <c r="Q214" s="34" t="s">
        <v>1116</v>
      </c>
      <c r="R214" s="31" t="s">
        <v>78</v>
      </c>
      <c r="S214" s="102"/>
      <c r="T214" s="102"/>
      <c r="U214" s="103"/>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row>
    <row r="215" spans="1:67" ht="29.25" hidden="1" customHeight="1">
      <c r="A215" s="93" t="s">
        <v>128</v>
      </c>
      <c r="B215" s="106" t="s">
        <v>1117</v>
      </c>
      <c r="C215" s="107" t="s">
        <v>1118</v>
      </c>
      <c r="D215" s="96"/>
      <c r="E215" s="97"/>
      <c r="F215" s="122" t="s">
        <v>76</v>
      </c>
      <c r="G215" s="98">
        <v>100</v>
      </c>
      <c r="H215" s="22">
        <f>IF(OR(J215="",K215="",K215&lt;J215),0,NETWORKDAYS(J215,K215,fESTIVOS!$A$2:$A$53))</f>
        <v>0</v>
      </c>
      <c r="I215" s="99">
        <v>45915</v>
      </c>
      <c r="J215" s="100">
        <v>45915</v>
      </c>
      <c r="K215" s="100"/>
      <c r="L215" s="100">
        <v>45915</v>
      </c>
      <c r="M215" s="27">
        <f ca="1">IF(OR(J215="",AND(L215="",TODAY()&lt;J215),AND(L215&lt;&gt;"",L215&lt;J215)),0,
   IF(L215="",
      NETWORKDAYS(J215,TODAY(),fESTIVOS!$A$2:$A$53),
      NETWORKDAYS(J215,L215,fESTIVOS!$A$2:$A$53)
   )
)</f>
        <v>1</v>
      </c>
      <c r="N215" s="101"/>
      <c r="O215" s="99"/>
      <c r="P215" s="101"/>
      <c r="Q215" s="34" t="s">
        <v>1119</v>
      </c>
      <c r="R215" s="31" t="s">
        <v>78</v>
      </c>
      <c r="S215" s="102"/>
      <c r="T215" s="102"/>
      <c r="U215" s="103"/>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row>
    <row r="216" spans="1:67" ht="29.25" hidden="1" customHeight="1">
      <c r="A216" s="56" t="s">
        <v>128</v>
      </c>
      <c r="B216" s="17" t="s">
        <v>1120</v>
      </c>
      <c r="C216" s="107" t="s">
        <v>1121</v>
      </c>
      <c r="D216" s="96" t="s">
        <v>1122</v>
      </c>
      <c r="E216" s="97"/>
      <c r="F216" s="112" t="s">
        <v>914</v>
      </c>
      <c r="G216" s="172"/>
      <c r="H216" s="22">
        <f>IF(OR(J216="",K216="",K216&lt;J216),0,NETWORKDAYS(J216,K216,fESTIVOS!$A$2:$A$53))</f>
        <v>0</v>
      </c>
      <c r="I216" s="99">
        <v>45888</v>
      </c>
      <c r="J216" s="100"/>
      <c r="K216" s="100"/>
      <c r="L216" s="100"/>
      <c r="M216" s="27">
        <f ca="1">IF(OR(J216="",AND(L216="",TODAY()&lt;J216),AND(L216&lt;&gt;"",L216&lt;J216)),0,
   IF(L216="",
      NETWORKDAYS(J216,TODAY(),fESTIVOS!$A$2:$A$53),
      NETWORKDAYS(J216,L216,fESTIVOS!$A$2:$A$53)
   )
)</f>
        <v>0</v>
      </c>
      <c r="N216" s="101"/>
      <c r="O216" s="99"/>
      <c r="P216" s="101"/>
      <c r="Q216" s="34" t="s">
        <v>1123</v>
      </c>
      <c r="R216" s="113" t="s">
        <v>93</v>
      </c>
      <c r="S216" s="102"/>
      <c r="T216" s="102"/>
      <c r="U216" s="103"/>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row>
    <row r="217" spans="1:67" ht="29.25" hidden="1" customHeight="1">
      <c r="A217" s="93" t="s">
        <v>128</v>
      </c>
      <c r="B217" s="106" t="s">
        <v>1124</v>
      </c>
      <c r="C217" s="107" t="s">
        <v>1125</v>
      </c>
      <c r="D217" s="96" t="s">
        <v>1126</v>
      </c>
      <c r="E217" s="97"/>
      <c r="F217" s="122" t="s">
        <v>76</v>
      </c>
      <c r="G217" s="98">
        <v>100</v>
      </c>
      <c r="H217" s="22">
        <f>IF(OR(J217="",K217="",K217&lt;J217),0,NETWORKDAYS(J217,K217,fESTIVOS!$A$2:$A$53))</f>
        <v>0</v>
      </c>
      <c r="I217" s="99">
        <v>45904</v>
      </c>
      <c r="J217" s="100">
        <v>45905</v>
      </c>
      <c r="K217" s="100"/>
      <c r="L217" s="100">
        <v>45918</v>
      </c>
      <c r="M217" s="27">
        <f ca="1">IF(OR(J217="",AND(L217="",TODAY()&lt;J217),AND(L217&lt;&gt;"",L217&lt;J217)),0,
   IF(L217="",
      NETWORKDAYS(J217,TODAY(),fESTIVOS!$A$2:$A$53),
      NETWORKDAYS(J217,L217,fESTIVOS!$A$2:$A$53)
   )
)</f>
        <v>10</v>
      </c>
      <c r="N217" s="101"/>
      <c r="O217" s="99">
        <v>45918</v>
      </c>
      <c r="P217" s="101"/>
      <c r="Q217" s="34" t="s">
        <v>1127</v>
      </c>
      <c r="R217" s="31" t="s">
        <v>78</v>
      </c>
      <c r="S217" s="155">
        <v>2</v>
      </c>
      <c r="T217" s="102"/>
      <c r="U217" s="103"/>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row>
    <row r="218" spans="1:67" ht="29.25" hidden="1" customHeight="1">
      <c r="A218" s="93" t="s">
        <v>128</v>
      </c>
      <c r="B218" s="106" t="s">
        <v>1128</v>
      </c>
      <c r="C218" s="107" t="s">
        <v>1129</v>
      </c>
      <c r="D218" s="96" t="s">
        <v>1130</v>
      </c>
      <c r="E218" s="97"/>
      <c r="F218" s="122" t="s">
        <v>76</v>
      </c>
      <c r="G218" s="98">
        <v>100</v>
      </c>
      <c r="H218" s="22">
        <f>IF(OR(J218="",K218="",K218&lt;J218),0,NETWORKDAYS(J218,K218,fESTIVOS!$A$2:$A$53))</f>
        <v>0</v>
      </c>
      <c r="I218" s="99">
        <v>45916</v>
      </c>
      <c r="J218" s="100">
        <v>45919</v>
      </c>
      <c r="K218" s="100"/>
      <c r="L218" s="100">
        <v>45920</v>
      </c>
      <c r="M218" s="27">
        <f ca="1">IF(OR(J218="",AND(L218="",TODAY()&lt;J218),AND(L218&lt;&gt;"",L218&lt;J218)),0,
   IF(L218="",
      NETWORKDAYS(J218,TODAY(),fESTIVOS!$A$2:$A$53),
      NETWORKDAYS(J218,L218,fESTIVOS!$A$2:$A$53)
   )
)</f>
        <v>1</v>
      </c>
      <c r="N218" s="101"/>
      <c r="O218" s="99"/>
      <c r="P218" s="101"/>
      <c r="Q218" s="34" t="s">
        <v>1131</v>
      </c>
      <c r="R218" s="31" t="s">
        <v>78</v>
      </c>
      <c r="S218" s="155"/>
      <c r="T218" s="102"/>
      <c r="U218" s="103"/>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row>
    <row r="219" spans="1:67" ht="29.25" hidden="1" customHeight="1">
      <c r="A219" s="56" t="s">
        <v>128</v>
      </c>
      <c r="B219" s="17" t="s">
        <v>1132</v>
      </c>
      <c r="C219" s="107" t="s">
        <v>1133</v>
      </c>
      <c r="D219" s="96" t="s">
        <v>1134</v>
      </c>
      <c r="E219" s="97"/>
      <c r="F219" s="112" t="s">
        <v>207</v>
      </c>
      <c r="G219" s="172"/>
      <c r="H219" s="22">
        <f>IF(OR(J219="",K219="",K219&lt;J219),0,NETWORKDAYS(J219,K219,fESTIVOS!$A$2:$A$53))</f>
        <v>0</v>
      </c>
      <c r="I219" s="99">
        <v>45888</v>
      </c>
      <c r="J219" s="100">
        <v>45894</v>
      </c>
      <c r="K219" s="100"/>
      <c r="L219" s="100"/>
      <c r="M219" s="27">
        <f ca="1">IF(OR(J219="",AND(L219="",TODAY()&lt;J219),AND(L219&lt;&gt;"",L219&lt;J219)),0,
   IF(L219="",
      NETWORKDAYS(J219,TODAY(),fESTIVOS!$A$2:$A$53),
      NETWORKDAYS(J219,L219,fESTIVOS!$A$2:$A$53)
   )
)</f>
        <v>106</v>
      </c>
      <c r="N219" s="101"/>
      <c r="O219" s="99"/>
      <c r="P219" s="101"/>
      <c r="Q219" s="34" t="s">
        <v>1135</v>
      </c>
      <c r="R219" s="113" t="s">
        <v>93</v>
      </c>
      <c r="S219" s="102"/>
      <c r="T219" s="102"/>
      <c r="U219" s="103"/>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row>
    <row r="220" spans="1:67" ht="29.25" hidden="1" customHeight="1">
      <c r="A220" s="93" t="s">
        <v>128</v>
      </c>
      <c r="B220" s="106" t="s">
        <v>1136</v>
      </c>
      <c r="C220" s="107" t="s">
        <v>1137</v>
      </c>
      <c r="D220" s="96" t="s">
        <v>1138</v>
      </c>
      <c r="E220" s="97"/>
      <c r="F220" s="122" t="s">
        <v>76</v>
      </c>
      <c r="G220" s="98">
        <v>100</v>
      </c>
      <c r="H220" s="22">
        <f>IF(OR(J220="",K220="",K220&lt;J220),0,NETWORKDAYS(J220,K220,fESTIVOS!$A$2:$A$53))</f>
        <v>0</v>
      </c>
      <c r="I220" s="99">
        <v>45924</v>
      </c>
      <c r="J220" s="100">
        <v>45925</v>
      </c>
      <c r="K220" s="100"/>
      <c r="L220" s="100"/>
      <c r="M220" s="27">
        <f ca="1">IF(OR(J220="",AND(L220="",TODAY()&lt;J220),AND(L220&lt;&gt;"",L220&lt;J220)),0,
   IF(L220="",
      NETWORKDAYS(J220,TODAY(),fESTIVOS!$A$2:$A$53),
      NETWORKDAYS(J220,L220,fESTIVOS!$A$2:$A$53)
   )
)</f>
        <v>83</v>
      </c>
      <c r="N220" s="101"/>
      <c r="O220" s="99"/>
      <c r="P220" s="101"/>
      <c r="Q220" s="34" t="s">
        <v>1139</v>
      </c>
      <c r="R220" s="113" t="s">
        <v>78</v>
      </c>
      <c r="S220" s="155"/>
      <c r="T220" s="98" t="s">
        <v>1140</v>
      </c>
      <c r="U220" s="103"/>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row>
    <row r="221" spans="1:67" ht="29.25" hidden="1" customHeight="1">
      <c r="A221" s="93" t="s">
        <v>128</v>
      </c>
      <c r="B221" s="106" t="s">
        <v>1141</v>
      </c>
      <c r="C221" s="107" t="s">
        <v>1142</v>
      </c>
      <c r="D221" s="96" t="s">
        <v>1143</v>
      </c>
      <c r="E221" s="97"/>
      <c r="F221" s="122" t="s">
        <v>76</v>
      </c>
      <c r="G221" s="98">
        <v>100</v>
      </c>
      <c r="H221" s="22">
        <f>IF(OR(J221="",K221="",K221&lt;J221),0,NETWORKDAYS(J221,K221,fESTIVOS!$A$2:$A$53))</f>
        <v>0</v>
      </c>
      <c r="I221" s="99">
        <v>45924</v>
      </c>
      <c r="J221" s="100">
        <v>45924</v>
      </c>
      <c r="K221" s="100"/>
      <c r="L221" s="100">
        <v>45924</v>
      </c>
      <c r="M221" s="27">
        <f ca="1">IF(OR(J221="",AND(L221="",TODAY()&lt;J221),AND(L221&lt;&gt;"",L221&lt;J221)),0,
   IF(L221="",
      NETWORKDAYS(J221,TODAY(),fESTIVOS!$A$2:$A$53),
      NETWORKDAYS(J221,L221,fESTIVOS!$A$2:$A$53)
   )
)</f>
        <v>1</v>
      </c>
      <c r="N221" s="101"/>
      <c r="O221" s="99"/>
      <c r="P221" s="101"/>
      <c r="Q221" s="34" t="s">
        <v>1144</v>
      </c>
      <c r="R221" s="113" t="s">
        <v>78</v>
      </c>
      <c r="S221" s="155"/>
      <c r="T221" s="98"/>
      <c r="U221" s="103"/>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row>
    <row r="222" spans="1:67" ht="29.25" hidden="1" customHeight="1">
      <c r="A222" s="93" t="s">
        <v>128</v>
      </c>
      <c r="B222" s="106" t="s">
        <v>1145</v>
      </c>
      <c r="C222" s="107" t="s">
        <v>1146</v>
      </c>
      <c r="D222" s="96" t="s">
        <v>1147</v>
      </c>
      <c r="E222" s="97"/>
      <c r="F222" s="122" t="s">
        <v>76</v>
      </c>
      <c r="G222" s="98">
        <v>100</v>
      </c>
      <c r="H222" s="22">
        <f>IF(OR(J222="",K222="",K222&lt;J222),0,NETWORKDAYS(J222,K222,fESTIVOS!$A$2:$A$53))</f>
        <v>0</v>
      </c>
      <c r="I222" s="99">
        <v>45938</v>
      </c>
      <c r="J222" s="100">
        <v>45939</v>
      </c>
      <c r="K222" s="100"/>
      <c r="L222" s="100">
        <v>45939</v>
      </c>
      <c r="M222" s="27">
        <f ca="1">IF(OR(J222="",AND(L222="",TODAY()&lt;J222),AND(L222&lt;&gt;"",L222&lt;J222)),0,
   IF(L222="",
      NETWORKDAYS(J222,TODAY(),fESTIVOS!$A$2:$A$53),
      NETWORKDAYS(J222,L222,fESTIVOS!$A$2:$A$53)
   )
)</f>
        <v>1</v>
      </c>
      <c r="N222" s="101"/>
      <c r="O222" s="99"/>
      <c r="P222" s="101">
        <v>45939</v>
      </c>
      <c r="Q222" s="34" t="s">
        <v>1148</v>
      </c>
      <c r="R222" s="113" t="s">
        <v>78</v>
      </c>
      <c r="S222" s="155"/>
      <c r="T222" s="98"/>
      <c r="U222" s="103"/>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row>
    <row r="223" spans="1:67" ht="29.25" hidden="1" customHeight="1">
      <c r="A223" s="93" t="s">
        <v>128</v>
      </c>
      <c r="B223" s="106" t="s">
        <v>1149</v>
      </c>
      <c r="C223" s="107" t="s">
        <v>1150</v>
      </c>
      <c r="D223" s="96"/>
      <c r="E223" s="97"/>
      <c r="F223" s="122" t="s">
        <v>76</v>
      </c>
      <c r="G223" s="98">
        <v>100</v>
      </c>
      <c r="H223" s="22">
        <f>IF(OR(J223="",K223="",K223&lt;J223),0,NETWORKDAYS(J223,K223,fESTIVOS!$A$2:$A$53))</f>
        <v>0</v>
      </c>
      <c r="I223" s="99">
        <v>45939</v>
      </c>
      <c r="J223" s="100">
        <v>45939</v>
      </c>
      <c r="K223" s="100"/>
      <c r="L223" s="100">
        <v>45939</v>
      </c>
      <c r="M223" s="27">
        <f ca="1">IF(OR(J223="",AND(L223="",TODAY()&lt;J223),AND(L223&lt;&gt;"",L223&lt;J223)),0,
   IF(L223="",
      NETWORKDAYS(J223,TODAY(),fESTIVOS!$A$2:$A$53),
      NETWORKDAYS(J223,L223,fESTIVOS!$A$2:$A$53)
   )
)</f>
        <v>1</v>
      </c>
      <c r="N223" s="101"/>
      <c r="O223" s="99"/>
      <c r="P223" s="101"/>
      <c r="Q223" s="34" t="s">
        <v>1151</v>
      </c>
      <c r="R223" s="113" t="s">
        <v>78</v>
      </c>
      <c r="S223" s="155"/>
      <c r="T223" s="98"/>
      <c r="U223" s="103"/>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row>
    <row r="224" spans="1:67" ht="29.25" hidden="1" customHeight="1">
      <c r="A224" s="93" t="s">
        <v>157</v>
      </c>
      <c r="B224" s="106" t="s">
        <v>1152</v>
      </c>
      <c r="C224" s="107" t="s">
        <v>1153</v>
      </c>
      <c r="D224" s="96" t="s">
        <v>1147</v>
      </c>
      <c r="E224" s="97"/>
      <c r="F224" s="122" t="s">
        <v>76</v>
      </c>
      <c r="G224" s="98">
        <v>100</v>
      </c>
      <c r="H224" s="22">
        <f>IF(OR(J224="",K224="",K224&lt;J224),0,NETWORKDAYS(J224,K224,fESTIVOS!$A$2:$A$53))</f>
        <v>0</v>
      </c>
      <c r="I224" s="99">
        <v>45938</v>
      </c>
      <c r="J224" s="100">
        <v>45958</v>
      </c>
      <c r="K224" s="100"/>
      <c r="L224" s="100">
        <v>45961</v>
      </c>
      <c r="M224" s="27">
        <f ca="1">IF(OR(J224="",AND(L224="",TODAY()&lt;J224),AND(L224&lt;&gt;"",L224&lt;J224)),0,
   IF(L224="",
      NETWORKDAYS(J224,TODAY(),fESTIVOS!$A$2:$A$53),
      NETWORKDAYS(J224,L224,fESTIVOS!$A$2:$A$53)
   )
)</f>
        <v>4</v>
      </c>
      <c r="N224" s="101"/>
      <c r="O224" s="99">
        <v>45960</v>
      </c>
      <c r="P224" s="101">
        <v>45961</v>
      </c>
      <c r="Q224" s="34" t="s">
        <v>1154</v>
      </c>
      <c r="R224" s="113" t="s">
        <v>78</v>
      </c>
      <c r="S224" s="155">
        <v>3</v>
      </c>
      <c r="T224" s="98"/>
      <c r="U224" s="103"/>
      <c r="V224" s="167" t="s">
        <v>1155</v>
      </c>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row>
    <row r="225" spans="1:67" ht="29.25" hidden="1" customHeight="1">
      <c r="A225" s="93" t="s">
        <v>128</v>
      </c>
      <c r="B225" s="106" t="s">
        <v>1156</v>
      </c>
      <c r="C225" s="107" t="s">
        <v>1157</v>
      </c>
      <c r="D225" s="96" t="s">
        <v>1158</v>
      </c>
      <c r="E225" s="97"/>
      <c r="F225" s="122" t="s">
        <v>76</v>
      </c>
      <c r="G225" s="98">
        <v>100</v>
      </c>
      <c r="H225" s="22">
        <f>IF(OR(J225="",K225="",K225&lt;J225),0,NETWORKDAYS(J225,K225,fESTIVOS!$A$2:$A$53))</f>
        <v>0</v>
      </c>
      <c r="I225" s="99">
        <v>45938</v>
      </c>
      <c r="J225" s="100">
        <v>45945</v>
      </c>
      <c r="K225" s="100"/>
      <c r="L225" s="100">
        <v>45946</v>
      </c>
      <c r="M225" s="27">
        <f ca="1">IF(OR(J225="",AND(L225="",TODAY()&lt;J225),AND(L225&lt;&gt;"",L225&lt;J225)),0,
   IF(L225="",
      NETWORKDAYS(J225,TODAY(),fESTIVOS!$A$2:$A$53),
      NETWORKDAYS(J225,L225,fESTIVOS!$A$2:$A$53)
   )
)</f>
        <v>2</v>
      </c>
      <c r="N225" s="101"/>
      <c r="O225" s="99"/>
      <c r="P225" s="101">
        <v>45946</v>
      </c>
      <c r="Q225" s="34" t="s">
        <v>1159</v>
      </c>
      <c r="R225" s="113" t="s">
        <v>78</v>
      </c>
      <c r="S225" s="155"/>
      <c r="T225" s="98"/>
      <c r="U225" s="103"/>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row>
    <row r="226" spans="1:67" ht="29.25" hidden="1" customHeight="1">
      <c r="A226" s="93" t="s">
        <v>128</v>
      </c>
      <c r="B226" s="106" t="s">
        <v>1160</v>
      </c>
      <c r="C226" s="107" t="s">
        <v>1161</v>
      </c>
      <c r="D226" s="96" t="s">
        <v>1162</v>
      </c>
      <c r="E226" s="97"/>
      <c r="F226" s="122" t="s">
        <v>76</v>
      </c>
      <c r="G226" s="98">
        <v>100</v>
      </c>
      <c r="H226" s="22">
        <f>IF(OR(J226="",K226="",K226&lt;J226),0,NETWORKDAYS(J226,K226,fESTIVOS!$A$2:$A$53))</f>
        <v>0</v>
      </c>
      <c r="I226" s="99">
        <v>45938</v>
      </c>
      <c r="J226" s="100">
        <v>45945</v>
      </c>
      <c r="K226" s="100"/>
      <c r="L226" s="100">
        <v>45946</v>
      </c>
      <c r="M226" s="27">
        <f ca="1">IF(OR(J226="",AND(L226="",TODAY()&lt;J226),AND(L226&lt;&gt;"",L226&lt;J226)),0,
   IF(L226="",
      NETWORKDAYS(J226,TODAY(),fESTIVOS!$A$2:$A$53),
      NETWORKDAYS(J226,L226,fESTIVOS!$A$2:$A$53)
   )
)</f>
        <v>2</v>
      </c>
      <c r="N226" s="101"/>
      <c r="O226" s="99"/>
      <c r="P226" s="101">
        <v>45946</v>
      </c>
      <c r="Q226" s="34" t="s">
        <v>1163</v>
      </c>
      <c r="R226" s="113" t="s">
        <v>78</v>
      </c>
      <c r="S226" s="155"/>
      <c r="T226" s="98"/>
      <c r="U226" s="103"/>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row>
    <row r="227" spans="1:67" ht="29.25" hidden="1" customHeight="1">
      <c r="A227" s="93" t="s">
        <v>128</v>
      </c>
      <c r="B227" s="106" t="s">
        <v>1164</v>
      </c>
      <c r="C227" s="142" t="s">
        <v>1165</v>
      </c>
      <c r="D227" s="96" t="s">
        <v>1166</v>
      </c>
      <c r="E227" s="97"/>
      <c r="F227" s="122" t="s">
        <v>76</v>
      </c>
      <c r="G227" s="98">
        <v>100</v>
      </c>
      <c r="H227" s="22">
        <f>IF(OR(J227="",K227="",K227&lt;J227),0,NETWORKDAYS(J227,K227,fESTIVOS!$A$2:$A$53))</f>
        <v>0</v>
      </c>
      <c r="I227" s="99">
        <v>45944</v>
      </c>
      <c r="J227" s="100">
        <v>45946</v>
      </c>
      <c r="K227" s="100"/>
      <c r="L227" s="100">
        <v>45967</v>
      </c>
      <c r="M227" s="27">
        <f ca="1">IF(OR(J227="",AND(L227="",TODAY()&lt;J227),AND(L227&lt;&gt;"",L227&lt;J227)),0,
   IF(L227="",
      NETWORKDAYS(J227,TODAY(),fESTIVOS!$A$2:$A$53),
      NETWORKDAYS(J227,L227,fESTIVOS!$A$2:$A$53)
   )
)</f>
        <v>15</v>
      </c>
      <c r="N227" s="101"/>
      <c r="O227" s="99"/>
      <c r="P227" s="101">
        <v>45993</v>
      </c>
      <c r="Q227" s="34" t="s">
        <v>1167</v>
      </c>
      <c r="R227" s="113" t="s">
        <v>78</v>
      </c>
      <c r="S227" s="155">
        <v>1</v>
      </c>
      <c r="T227" s="98" t="s">
        <v>1168</v>
      </c>
      <c r="U227" s="122" t="s">
        <v>1169</v>
      </c>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row>
    <row r="228" spans="1:67" ht="29.25" hidden="1" customHeight="1">
      <c r="A228" s="93" t="s">
        <v>128</v>
      </c>
      <c r="B228" s="106" t="s">
        <v>1170</v>
      </c>
      <c r="C228" s="192" t="s">
        <v>1171</v>
      </c>
      <c r="D228" s="96" t="s">
        <v>1172</v>
      </c>
      <c r="E228" s="97"/>
      <c r="F228" s="112" t="s">
        <v>232</v>
      </c>
      <c r="G228" s="193"/>
      <c r="H228" s="22">
        <f>IF(OR(J228="",K228="",K228&lt;J228),0,NETWORKDAYS(J228,K228,fESTIVOS!$A$2:$A$53))</f>
        <v>0</v>
      </c>
      <c r="I228" s="99"/>
      <c r="J228" s="100"/>
      <c r="K228" s="100"/>
      <c r="L228" s="100"/>
      <c r="M228" s="27">
        <f ca="1">IF(OR(J228="",AND(L228="",TODAY()&lt;J228),AND(L228&lt;&gt;"",L228&lt;J228)),0,
   IF(L228="",
      NETWORKDAYS(J228,TODAY(),fESTIVOS!$A$2:$A$53),
      NETWORKDAYS(J228,L228,fESTIVOS!$A$2:$A$53)
   )
)</f>
        <v>0</v>
      </c>
      <c r="N228" s="101"/>
      <c r="O228" s="99"/>
      <c r="P228" s="101"/>
      <c r="Q228" s="34"/>
      <c r="R228" s="31" t="s">
        <v>93</v>
      </c>
      <c r="S228" s="155"/>
      <c r="T228" s="102"/>
      <c r="U228" s="103"/>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row>
    <row r="229" spans="1:67" ht="29.25" hidden="1" customHeight="1">
      <c r="A229" s="93" t="s">
        <v>128</v>
      </c>
      <c r="B229" s="106" t="s">
        <v>1173</v>
      </c>
      <c r="C229" s="192" t="s">
        <v>1174</v>
      </c>
      <c r="D229" s="96" t="s">
        <v>1175</v>
      </c>
      <c r="E229" s="97"/>
      <c r="F229" s="112" t="s">
        <v>232</v>
      </c>
      <c r="G229" s="193"/>
      <c r="H229" s="22">
        <f>IF(OR(J229="",K229="",K229&lt;J229),0,NETWORKDAYS(J229,K229,fESTIVOS!$A$2:$A$53))</f>
        <v>0</v>
      </c>
      <c r="I229" s="99"/>
      <c r="J229" s="100"/>
      <c r="K229" s="100"/>
      <c r="L229" s="100"/>
      <c r="M229" s="27">
        <f ca="1">IF(OR(J229="",AND(L229="",TODAY()&lt;J229),AND(L229&lt;&gt;"",L229&lt;J229)),0,
   IF(L229="",
      NETWORKDAYS(J229,TODAY(),fESTIVOS!$A$2:$A$53),
      NETWORKDAYS(J229,L229,fESTIVOS!$A$2:$A$53)
   )
)</f>
        <v>0</v>
      </c>
      <c r="N229" s="101"/>
      <c r="O229" s="99"/>
      <c r="P229" s="101"/>
      <c r="Q229" s="34"/>
      <c r="R229" s="31" t="s">
        <v>93</v>
      </c>
      <c r="S229" s="155"/>
      <c r="T229" s="102"/>
      <c r="U229" s="103"/>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row>
    <row r="230" spans="1:67" ht="29.25" hidden="1" customHeight="1">
      <c r="A230" s="93" t="s">
        <v>128</v>
      </c>
      <c r="B230" s="106" t="s">
        <v>1176</v>
      </c>
      <c r="C230" s="107" t="s">
        <v>1177</v>
      </c>
      <c r="D230" s="96" t="s">
        <v>1178</v>
      </c>
      <c r="E230" s="97"/>
      <c r="F230" s="112" t="s">
        <v>232</v>
      </c>
      <c r="G230" s="193"/>
      <c r="H230" s="22">
        <f>IF(OR(J230="",K230="",K230&lt;J230),0,NETWORKDAYS(J230,K230,fESTIVOS!$A$2:$A$53))</f>
        <v>0</v>
      </c>
      <c r="I230" s="99">
        <v>45917</v>
      </c>
      <c r="J230" s="100"/>
      <c r="K230" s="100"/>
      <c r="L230" s="100"/>
      <c r="M230" s="27">
        <f ca="1">IF(OR(J230="",AND(L230="",TODAY()&lt;J230),AND(L230&lt;&gt;"",L230&lt;J230)),0,
   IF(L230="",
      NETWORKDAYS(J230,TODAY(),fESTIVOS!$A$2:$A$53),
      NETWORKDAYS(J230,L230,fESTIVOS!$A$2:$A$53)
   )
)</f>
        <v>0</v>
      </c>
      <c r="N230" s="101"/>
      <c r="O230" s="99"/>
      <c r="P230" s="101"/>
      <c r="Q230" s="34"/>
      <c r="R230" s="31" t="s">
        <v>93</v>
      </c>
      <c r="S230" s="155"/>
      <c r="T230" s="102"/>
      <c r="U230" s="103"/>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row>
    <row r="231" spans="1:67" ht="29.25" hidden="1" customHeight="1">
      <c r="A231" s="93" t="s">
        <v>128</v>
      </c>
      <c r="B231" s="106" t="s">
        <v>1179</v>
      </c>
      <c r="C231" s="151" t="s">
        <v>1180</v>
      </c>
      <c r="D231" s="96" t="s">
        <v>1181</v>
      </c>
      <c r="E231" s="97"/>
      <c r="F231" s="122" t="s">
        <v>76</v>
      </c>
      <c r="G231" s="98">
        <v>100</v>
      </c>
      <c r="H231" s="22">
        <f>IF(OR(J231="",K231="",K231&lt;J231),0,NETWORKDAYS(J231,K231,fESTIVOS!$A$2:$A$53))</f>
        <v>0</v>
      </c>
      <c r="I231" s="99">
        <v>46010</v>
      </c>
      <c r="J231" s="100">
        <v>46010</v>
      </c>
      <c r="K231" s="100"/>
      <c r="L231" s="100">
        <v>46013</v>
      </c>
      <c r="M231" s="27">
        <f ca="1">IF(OR(J231="",AND(L231="",TODAY()&lt;J231),AND(L231&lt;&gt;"",L231&lt;J231)),0,
   IF(L231="",
      NETWORKDAYS(J231,TODAY(),fESTIVOS!$A$2:$A$53),
      NETWORKDAYS(J231,L231,fESTIVOS!$A$2:$A$53)
   )
)</f>
        <v>2</v>
      </c>
      <c r="N231" s="101"/>
      <c r="O231" s="99"/>
      <c r="P231" s="101">
        <v>46013</v>
      </c>
      <c r="Q231" s="34" t="s">
        <v>1182</v>
      </c>
      <c r="R231" s="113" t="s">
        <v>78</v>
      </c>
      <c r="S231" s="155"/>
      <c r="T231" s="98"/>
      <c r="U231" s="103"/>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row>
    <row r="232" spans="1:67" ht="29.25" hidden="1" customHeight="1">
      <c r="A232" s="93" t="s">
        <v>128</v>
      </c>
      <c r="B232" s="106" t="s">
        <v>1183</v>
      </c>
      <c r="C232" s="107" t="s">
        <v>1184</v>
      </c>
      <c r="D232" s="96" t="s">
        <v>1185</v>
      </c>
      <c r="E232" s="97"/>
      <c r="F232" s="122" t="s">
        <v>76</v>
      </c>
      <c r="G232" s="98">
        <v>100</v>
      </c>
      <c r="H232" s="22">
        <f>IF(OR(J232="",K232="",K232&lt;J232),0,NETWORKDAYS(J232,K232,fESTIVOS!$A$2:$A$53))</f>
        <v>0</v>
      </c>
      <c r="I232" s="99">
        <v>45945</v>
      </c>
      <c r="J232" s="100">
        <v>45947</v>
      </c>
      <c r="K232" s="100"/>
      <c r="L232" s="100">
        <v>45947</v>
      </c>
      <c r="M232" s="27">
        <f ca="1">IF(OR(J232="",AND(L232="",TODAY()&lt;J232),AND(L232&lt;&gt;"",L232&lt;J232)),0,
   IF(L232="",
      NETWORKDAYS(J232,TODAY(),fESTIVOS!$A$2:$A$53),
      NETWORKDAYS(J232,L232,fESTIVOS!$A$2:$A$53)
   )
)</f>
        <v>1</v>
      </c>
      <c r="N232" s="101"/>
      <c r="O232" s="99"/>
      <c r="P232" s="101"/>
      <c r="Q232" s="34" t="s">
        <v>1186</v>
      </c>
      <c r="R232" s="113" t="s">
        <v>78</v>
      </c>
      <c r="S232" s="155"/>
      <c r="T232" s="98"/>
      <c r="U232" s="103"/>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row>
    <row r="233" spans="1:67" ht="29.25" hidden="1" customHeight="1">
      <c r="A233" s="93" t="s">
        <v>128</v>
      </c>
      <c r="B233" s="106" t="s">
        <v>1187</v>
      </c>
      <c r="C233" s="194" t="s">
        <v>1188</v>
      </c>
      <c r="D233" s="96" t="s">
        <v>1189</v>
      </c>
      <c r="E233" s="97"/>
      <c r="F233" s="122" t="s">
        <v>76</v>
      </c>
      <c r="G233" s="98">
        <v>100</v>
      </c>
      <c r="H233" s="22">
        <f>IF(OR(J233="",K233="",K233&lt;J233),0,NETWORKDAYS(J233,K233,fESTIVOS!$A$2:$A$53))</f>
        <v>10</v>
      </c>
      <c r="I233" s="99">
        <v>45947</v>
      </c>
      <c r="J233" s="100">
        <v>45958</v>
      </c>
      <c r="K233" s="100">
        <v>45972</v>
      </c>
      <c r="L233" s="100">
        <v>45965</v>
      </c>
      <c r="M233" s="27">
        <f ca="1">IF(OR(J233="",AND(L233="",TODAY()&lt;J233),AND(L233&lt;&gt;"",L233&lt;J233)),0,
   IF(L233="",
      NETWORKDAYS(J233,TODAY(),fESTIVOS!$A$2:$A$53),
      NETWORKDAYS(J233,L233,fESTIVOS!$A$2:$A$53)
   )
)</f>
        <v>5</v>
      </c>
      <c r="N233" s="101"/>
      <c r="O233" s="99">
        <v>45965</v>
      </c>
      <c r="P233" s="101">
        <v>45995</v>
      </c>
      <c r="Q233" s="34" t="s">
        <v>1190</v>
      </c>
      <c r="R233" s="113" t="s">
        <v>78</v>
      </c>
      <c r="S233" s="155"/>
      <c r="T233" s="98"/>
      <c r="U233" s="122" t="s">
        <v>1191</v>
      </c>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row>
    <row r="234" spans="1:67" ht="29.25" hidden="1" customHeight="1">
      <c r="A234" s="56" t="s">
        <v>157</v>
      </c>
      <c r="B234" s="17" t="s">
        <v>1192</v>
      </c>
      <c r="C234" s="142" t="s">
        <v>1193</v>
      </c>
      <c r="D234" s="18"/>
      <c r="E234" s="124"/>
      <c r="F234" s="20" t="s">
        <v>232</v>
      </c>
      <c r="G234" s="59">
        <v>60</v>
      </c>
      <c r="H234" s="22">
        <f>IF(OR(J234="",K234="",K234&lt;J234),0,NETWORKDAYS(J234,K234,fESTIVOS!$A$2:$A$53))</f>
        <v>0</v>
      </c>
      <c r="I234" s="82">
        <v>45800</v>
      </c>
      <c r="J234" s="61">
        <v>45803</v>
      </c>
      <c r="K234" s="61"/>
      <c r="L234" s="61"/>
      <c r="M234" s="27">
        <f ca="1">IF(OR(J234="",AND(L234="",TODAY()&lt;J234),AND(L234&lt;&gt;"",L234&lt;J234)),0,
   IF(L234="",
      NETWORKDAYS(J234,TODAY(),fESTIVOS!$A$2:$A$53),
      NETWORKDAYS(J234,L234,fESTIVOS!$A$2:$A$53)
   )
)</f>
        <v>166</v>
      </c>
      <c r="N234" s="63"/>
      <c r="O234" s="82"/>
      <c r="P234" s="101"/>
      <c r="Q234" s="34" t="s">
        <v>1194</v>
      </c>
      <c r="R234" s="113" t="s">
        <v>93</v>
      </c>
      <c r="S234" s="139"/>
      <c r="T234" s="139"/>
      <c r="U234" s="103"/>
      <c r="V234" s="105"/>
      <c r="W234" s="105"/>
      <c r="X234" s="105"/>
      <c r="Y234" s="105"/>
      <c r="Z234" s="105"/>
      <c r="AA234" s="105"/>
      <c r="AB234" s="105"/>
      <c r="AC234" s="105"/>
      <c r="AD234" s="37"/>
      <c r="AE234" s="37"/>
      <c r="AF234" s="37"/>
      <c r="AG234" s="37"/>
      <c r="AH234" s="37" t="s">
        <v>1195</v>
      </c>
      <c r="AI234" s="37" t="s">
        <v>1196</v>
      </c>
      <c r="AJ234" s="37" t="s">
        <v>1197</v>
      </c>
      <c r="AK234" s="37" t="s">
        <v>1198</v>
      </c>
      <c r="AL234" s="37" t="s">
        <v>1199</v>
      </c>
      <c r="AM234" s="37" t="s">
        <v>1200</v>
      </c>
      <c r="AN234" s="37" t="s">
        <v>1201</v>
      </c>
      <c r="AO234" s="37"/>
      <c r="AP234" s="37"/>
      <c r="AQ234" s="37"/>
      <c r="AR234" s="37"/>
      <c r="AS234" s="37" t="s">
        <v>1202</v>
      </c>
      <c r="AT234" s="37"/>
      <c r="AU234" s="37"/>
      <c r="AV234" s="37"/>
      <c r="AW234" s="37" t="s">
        <v>1203</v>
      </c>
      <c r="AX234" s="37"/>
      <c r="AY234" s="37"/>
      <c r="AZ234" s="37"/>
      <c r="BA234" s="37"/>
      <c r="BB234" s="37"/>
      <c r="BC234" s="37"/>
      <c r="BD234" s="37"/>
      <c r="BE234" s="37"/>
      <c r="BF234" s="37"/>
      <c r="BG234" s="37"/>
      <c r="BH234" s="37"/>
      <c r="BI234" s="37"/>
      <c r="BJ234" s="37"/>
      <c r="BK234" s="37"/>
      <c r="BL234" s="37"/>
      <c r="BM234" s="37"/>
      <c r="BN234" s="37"/>
      <c r="BO234" s="37"/>
    </row>
    <row r="235" spans="1:67" ht="29.25" hidden="1" customHeight="1">
      <c r="A235" s="93" t="s">
        <v>210</v>
      </c>
      <c r="B235" s="106" t="s">
        <v>1204</v>
      </c>
      <c r="C235" s="141" t="s">
        <v>1205</v>
      </c>
      <c r="D235" s="96"/>
      <c r="E235" s="97"/>
      <c r="F235" s="122" t="s">
        <v>76</v>
      </c>
      <c r="G235" s="98">
        <v>100</v>
      </c>
      <c r="H235" s="22">
        <f>IF(OR(J235="",K235="",K235&lt;J235),0,NETWORKDAYS(J235,K235,fESTIVOS!$A$2:$A$53))</f>
        <v>0</v>
      </c>
      <c r="I235" s="99">
        <v>45992</v>
      </c>
      <c r="J235" s="100">
        <v>46003</v>
      </c>
      <c r="K235" s="100"/>
      <c r="L235" s="100">
        <v>46024</v>
      </c>
      <c r="M235" s="27">
        <f ca="1">IF(OR(J235="",AND(L235="",TODAY()&lt;J235),AND(L235&lt;&gt;"",L235&lt;J235)),0,
   IF(L235="",
      NETWORKDAYS(J235,TODAY(),fESTIVOS!$A$2:$A$53),
      NETWORKDAYS(J235,L235,fESTIVOS!$A$2:$A$53)
   )
)</f>
        <v>14</v>
      </c>
      <c r="N235" s="101"/>
      <c r="O235" s="99"/>
      <c r="P235" s="101"/>
      <c r="Q235" s="34" t="s">
        <v>1206</v>
      </c>
      <c r="R235" s="113" t="s">
        <v>78</v>
      </c>
      <c r="S235" s="155"/>
      <c r="T235" s="98"/>
      <c r="U235" s="103"/>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row>
    <row r="236" spans="1:67" ht="29.25" hidden="1" customHeight="1">
      <c r="A236" s="93" t="s">
        <v>210</v>
      </c>
      <c r="B236" s="106" t="s">
        <v>1207</v>
      </c>
      <c r="C236" s="180" t="s">
        <v>1208</v>
      </c>
      <c r="D236" s="96"/>
      <c r="E236" s="97"/>
      <c r="F236" s="122" t="s">
        <v>76</v>
      </c>
      <c r="G236" s="98">
        <v>100</v>
      </c>
      <c r="H236" s="22">
        <f>IF(OR(J236="",K236="",K236&lt;J236),0,NETWORKDAYS(J236,K236,fESTIVOS!$A$2:$A$53))</f>
        <v>0</v>
      </c>
      <c r="I236" s="99">
        <v>45996</v>
      </c>
      <c r="J236" s="100">
        <v>46003</v>
      </c>
      <c r="K236" s="100"/>
      <c r="L236" s="100">
        <v>46024</v>
      </c>
      <c r="M236" s="27">
        <f ca="1">IF(OR(J236="",AND(L236="",TODAY()&lt;J236),AND(L236&lt;&gt;"",L236&lt;J236)),0,
   IF(L236="",
      NETWORKDAYS(J236,TODAY(),fESTIVOS!$A$2:$A$53),
      NETWORKDAYS(J236,L236,fESTIVOS!$A$2:$A$53)
   )
)</f>
        <v>14</v>
      </c>
      <c r="N236" s="101"/>
      <c r="O236" s="99"/>
      <c r="P236" s="101"/>
      <c r="Q236" s="34" t="s">
        <v>1209</v>
      </c>
      <c r="R236" s="113" t="s">
        <v>78</v>
      </c>
      <c r="S236" s="155"/>
      <c r="T236" s="98"/>
      <c r="U236" s="103"/>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row>
    <row r="237" spans="1:67" ht="29.25" hidden="1" customHeight="1">
      <c r="A237" s="93" t="s">
        <v>157</v>
      </c>
      <c r="B237" s="106" t="s">
        <v>1210</v>
      </c>
      <c r="C237" s="107" t="s">
        <v>1211</v>
      </c>
      <c r="D237" s="96" t="s">
        <v>1212</v>
      </c>
      <c r="E237" s="97"/>
      <c r="F237" s="122" t="s">
        <v>76</v>
      </c>
      <c r="G237" s="98">
        <v>100</v>
      </c>
      <c r="H237" s="22">
        <f>IF(OR(J237="",K237="",K237&lt;J237),0,NETWORKDAYS(J237,K237,fESTIVOS!$A$2:$A$53))</f>
        <v>0</v>
      </c>
      <c r="I237" s="99">
        <v>45953</v>
      </c>
      <c r="J237" s="100">
        <v>45958</v>
      </c>
      <c r="K237" s="100"/>
      <c r="L237" s="100">
        <v>45958</v>
      </c>
      <c r="M237" s="27">
        <f ca="1">IF(OR(J237="",AND(L237="",TODAY()&lt;J237),AND(L237&lt;&gt;"",L237&lt;J237)),0,
   IF(L237="",
      NETWORKDAYS(J237,TODAY(),fESTIVOS!$A$2:$A$53),
      NETWORKDAYS(J237,L237,fESTIVOS!$A$2:$A$53)
   )
)</f>
        <v>1</v>
      </c>
      <c r="N237" s="101"/>
      <c r="O237" s="99"/>
      <c r="P237" s="101"/>
      <c r="Q237" s="34" t="s">
        <v>1213</v>
      </c>
      <c r="R237" s="113" t="s">
        <v>78</v>
      </c>
      <c r="S237" s="155"/>
      <c r="T237" s="98"/>
      <c r="U237" s="103"/>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row>
    <row r="238" spans="1:67" ht="29.25" hidden="1" customHeight="1">
      <c r="A238" s="93" t="s">
        <v>128</v>
      </c>
      <c r="B238" s="106" t="s">
        <v>1214</v>
      </c>
      <c r="C238" s="107" t="s">
        <v>1215</v>
      </c>
      <c r="D238" s="96" t="s">
        <v>1216</v>
      </c>
      <c r="E238" s="97"/>
      <c r="F238" s="122" t="s">
        <v>76</v>
      </c>
      <c r="G238" s="98">
        <v>100</v>
      </c>
      <c r="H238" s="22">
        <f>IF(OR(J238="",K238="",K238&lt;J238),0,NETWORKDAYS(J238,K238,fESTIVOS!$A$2:$A$53))</f>
        <v>0</v>
      </c>
      <c r="I238" s="99">
        <v>45953</v>
      </c>
      <c r="J238" s="100">
        <v>45957</v>
      </c>
      <c r="K238" s="100"/>
      <c r="L238" s="100">
        <v>45958</v>
      </c>
      <c r="M238" s="27">
        <f ca="1">IF(OR(J238="",AND(L238="",TODAY()&lt;J238),AND(L238&lt;&gt;"",L238&lt;J238)),0,
   IF(L238="",
      NETWORKDAYS(J238,TODAY(),fESTIVOS!$A$2:$A$53),
      NETWORKDAYS(J238,L238,fESTIVOS!$A$2:$A$53)
   )
)</f>
        <v>2</v>
      </c>
      <c r="N238" s="101"/>
      <c r="O238" s="99"/>
      <c r="P238" s="101">
        <v>45958</v>
      </c>
      <c r="Q238" s="34" t="s">
        <v>1217</v>
      </c>
      <c r="R238" s="113" t="s">
        <v>78</v>
      </c>
      <c r="S238" s="155"/>
      <c r="T238" s="98"/>
      <c r="U238" s="103"/>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row>
    <row r="239" spans="1:67" ht="29.25" hidden="1" customHeight="1">
      <c r="A239" s="93" t="s">
        <v>128</v>
      </c>
      <c r="B239" s="106" t="s">
        <v>1218</v>
      </c>
      <c r="C239" s="107" t="s">
        <v>1219</v>
      </c>
      <c r="D239" s="96" t="s">
        <v>1220</v>
      </c>
      <c r="E239" s="97"/>
      <c r="F239" s="122" t="s">
        <v>76</v>
      </c>
      <c r="G239" s="98">
        <v>100</v>
      </c>
      <c r="H239" s="22">
        <f>IF(OR(J239="",K239="",K239&lt;J239),0,NETWORKDAYS(J239,K239,fESTIVOS!$A$2:$A$53))</f>
        <v>0</v>
      </c>
      <c r="I239" s="99">
        <v>45957</v>
      </c>
      <c r="J239" s="100">
        <v>45957</v>
      </c>
      <c r="K239" s="100"/>
      <c r="L239" s="100">
        <v>45957</v>
      </c>
      <c r="M239" s="27">
        <f ca="1">IF(OR(J239="",AND(L239="",TODAY()&lt;J239),AND(L239&lt;&gt;"",L239&lt;J239)),0,
   IF(L239="",
      NETWORKDAYS(J239,TODAY(),fESTIVOS!$A$2:$A$53),
      NETWORKDAYS(J239,L239,fESTIVOS!$A$2:$A$53)
   )
)</f>
        <v>1</v>
      </c>
      <c r="N239" s="101"/>
      <c r="O239" s="99"/>
      <c r="P239" s="101"/>
      <c r="Q239" s="34" t="s">
        <v>1221</v>
      </c>
      <c r="R239" s="113" t="s">
        <v>78</v>
      </c>
      <c r="S239" s="155"/>
      <c r="T239" s="98"/>
      <c r="U239" s="103"/>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row>
    <row r="240" spans="1:67" ht="29.25" hidden="1" customHeight="1">
      <c r="A240" s="93" t="s">
        <v>128</v>
      </c>
      <c r="B240" s="106" t="s">
        <v>1222</v>
      </c>
      <c r="C240" s="107" t="s">
        <v>1223</v>
      </c>
      <c r="D240" s="96"/>
      <c r="E240" s="97"/>
      <c r="F240" s="112" t="s">
        <v>232</v>
      </c>
      <c r="G240" s="165"/>
      <c r="H240" s="22">
        <f>IF(OR(J240="",K240="",K240&lt;J240),0,NETWORKDAYS(J240,K240,fESTIVOS!$A$2:$A$53))</f>
        <v>0</v>
      </c>
      <c r="I240" s="99">
        <v>45953</v>
      </c>
      <c r="J240" s="177"/>
      <c r="K240" s="100"/>
      <c r="L240" s="100"/>
      <c r="M240" s="27">
        <f ca="1">IF(OR(J240="",AND(L240="",TODAY()&lt;J240),AND(L240&lt;&gt;"",L240&lt;J240)),0,
   IF(L240="",
      NETWORKDAYS(J240,TODAY(),fESTIVOS!$A$2:$A$53),
      NETWORKDAYS(J240,L240,fESTIVOS!$A$2:$A$53)
   )
)</f>
        <v>0</v>
      </c>
      <c r="N240" s="101"/>
      <c r="O240" s="99"/>
      <c r="P240" s="101"/>
      <c r="Q240" s="34"/>
      <c r="R240" s="113" t="s">
        <v>93</v>
      </c>
      <c r="S240" s="155"/>
      <c r="T240" s="98"/>
      <c r="U240" s="103"/>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row>
    <row r="241" spans="1:67" ht="29.25" hidden="1" customHeight="1">
      <c r="A241" s="93" t="s">
        <v>128</v>
      </c>
      <c r="B241" s="106" t="s">
        <v>1224</v>
      </c>
      <c r="C241" s="107" t="s">
        <v>1225</v>
      </c>
      <c r="D241" s="96" t="s">
        <v>1226</v>
      </c>
      <c r="E241" s="97"/>
      <c r="F241" s="122" t="s">
        <v>76</v>
      </c>
      <c r="G241" s="98">
        <v>100</v>
      </c>
      <c r="H241" s="22">
        <f>IF(OR(J241="",K241="",K241&lt;J241),0,NETWORKDAYS(J241,K241,fESTIVOS!$A$2:$A$53))</f>
        <v>2</v>
      </c>
      <c r="I241" s="99">
        <v>45958</v>
      </c>
      <c r="J241" s="100">
        <v>45960</v>
      </c>
      <c r="K241" s="100">
        <v>45961</v>
      </c>
      <c r="L241" s="100">
        <v>45965</v>
      </c>
      <c r="M241" s="27">
        <f ca="1">IF(OR(J241="",AND(L241="",TODAY()&lt;J241),AND(L241&lt;&gt;"",L241&lt;J241)),0,
   IF(L241="",
      NETWORKDAYS(J241,TODAY(),fESTIVOS!$A$2:$A$53),
      NETWORKDAYS(J241,L241,fESTIVOS!$A$2:$A$53)
   )
)</f>
        <v>3</v>
      </c>
      <c r="N241" s="101"/>
      <c r="O241" s="99"/>
      <c r="P241" s="101">
        <v>45965</v>
      </c>
      <c r="Q241" s="34" t="s">
        <v>1227</v>
      </c>
      <c r="R241" s="113" t="s">
        <v>78</v>
      </c>
      <c r="S241" s="155"/>
      <c r="T241" s="98"/>
      <c r="U241" s="103"/>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row>
    <row r="242" spans="1:67" ht="29.25" hidden="1" customHeight="1">
      <c r="A242" s="93" t="s">
        <v>128</v>
      </c>
      <c r="B242" s="106" t="s">
        <v>1228</v>
      </c>
      <c r="C242" s="107" t="s">
        <v>1229</v>
      </c>
      <c r="D242" s="96" t="s">
        <v>1230</v>
      </c>
      <c r="E242" s="97"/>
      <c r="F242" s="122" t="s">
        <v>76</v>
      </c>
      <c r="G242" s="98">
        <v>100</v>
      </c>
      <c r="H242" s="22">
        <f>IF(OR(J242="",K242="",K242&lt;J242),0,NETWORKDAYS(J242,K242,fESTIVOS!$A$2:$A$53))</f>
        <v>0</v>
      </c>
      <c r="I242" s="99">
        <v>45958</v>
      </c>
      <c r="J242" s="100">
        <v>45966</v>
      </c>
      <c r="K242" s="100"/>
      <c r="L242" s="100">
        <v>45981</v>
      </c>
      <c r="M242" s="27">
        <f ca="1">IF(OR(J242="",AND(L242="",TODAY()&lt;J242),AND(L242&lt;&gt;"",L242&lt;J242)),0,
   IF(L242="",
      NETWORKDAYS(J242,TODAY(),fESTIVOS!$A$2:$A$53),
      NETWORKDAYS(J242,L242,fESTIVOS!$A$2:$A$53)
   )
)</f>
        <v>11</v>
      </c>
      <c r="N242" s="101"/>
      <c r="O242" s="99">
        <v>45981</v>
      </c>
      <c r="P242" s="101">
        <v>45994</v>
      </c>
      <c r="Q242" s="34" t="s">
        <v>1231</v>
      </c>
      <c r="R242" s="113" t="s">
        <v>78</v>
      </c>
      <c r="S242" s="155"/>
      <c r="T242" s="98"/>
      <c r="U242" s="103"/>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row>
    <row r="243" spans="1:67" ht="29.25" hidden="1" customHeight="1">
      <c r="A243" s="93" t="s">
        <v>210</v>
      </c>
      <c r="B243" s="106" t="s">
        <v>1232</v>
      </c>
      <c r="C243" s="151" t="s">
        <v>1233</v>
      </c>
      <c r="D243" s="96" t="s">
        <v>1234</v>
      </c>
      <c r="E243" s="97"/>
      <c r="F243" s="122" t="s">
        <v>76</v>
      </c>
      <c r="G243" s="98">
        <v>100</v>
      </c>
      <c r="H243" s="22">
        <f>IF(OR(J243="",K243="",K243&lt;J243),0,NETWORKDAYS(J243,K243,fESTIVOS!$A$2:$A$53))</f>
        <v>0</v>
      </c>
      <c r="I243" s="99">
        <v>45994</v>
      </c>
      <c r="J243" s="100">
        <v>45994</v>
      </c>
      <c r="K243" s="100"/>
      <c r="L243" s="100">
        <v>45994</v>
      </c>
      <c r="M243" s="27">
        <f ca="1">IF(OR(J243="",AND(L243="",TODAY()&lt;J243),AND(L243&lt;&gt;"",L243&lt;J243)),0,
   IF(L243="",
      NETWORKDAYS(J243,TODAY(),fESTIVOS!$A$2:$A$53),
      NETWORKDAYS(J243,L243,fESTIVOS!$A$2:$A$53)
   )
)</f>
        <v>1</v>
      </c>
      <c r="N243" s="101"/>
      <c r="O243" s="99"/>
      <c r="P243" s="101"/>
      <c r="Q243" s="34" t="s">
        <v>1235</v>
      </c>
      <c r="R243" s="113" t="s">
        <v>78</v>
      </c>
      <c r="S243" s="155"/>
      <c r="T243" s="98"/>
      <c r="U243" s="103"/>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row>
    <row r="244" spans="1:67" ht="29.25" hidden="1" customHeight="1">
      <c r="A244" s="93" t="s">
        <v>128</v>
      </c>
      <c r="B244" s="106" t="s">
        <v>1236</v>
      </c>
      <c r="C244" s="107" t="s">
        <v>1237</v>
      </c>
      <c r="D244" s="96"/>
      <c r="E244" s="97"/>
      <c r="F244" s="112" t="s">
        <v>232</v>
      </c>
      <c r="G244" s="98"/>
      <c r="H244" s="22">
        <f>IF(OR(J244="",K244="",K244&lt;J244),0,NETWORKDAYS(J244,K244,fESTIVOS!$A$2:$A$53))</f>
        <v>0</v>
      </c>
      <c r="I244" s="99">
        <v>45967</v>
      </c>
      <c r="J244" s="100"/>
      <c r="K244" s="100"/>
      <c r="L244" s="100"/>
      <c r="M244" s="27">
        <f ca="1">IF(OR(J244="",AND(L244="",TODAY()&lt;J244),AND(L244&lt;&gt;"",L244&lt;J244)),0,
   IF(L244="",
      NETWORKDAYS(J244,TODAY(),fESTIVOS!$A$2:$A$53),
      NETWORKDAYS(J244,L244,fESTIVOS!$A$2:$A$53)
   )
)</f>
        <v>0</v>
      </c>
      <c r="N244" s="101"/>
      <c r="O244" s="99"/>
      <c r="P244" s="101"/>
      <c r="Q244" s="34"/>
      <c r="R244" s="113" t="s">
        <v>93</v>
      </c>
      <c r="S244" s="155"/>
      <c r="T244" s="98"/>
      <c r="U244" s="103"/>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row>
    <row r="245" spans="1:67" ht="29.25" hidden="1" customHeight="1">
      <c r="A245" s="93" t="s">
        <v>128</v>
      </c>
      <c r="B245" s="106" t="s">
        <v>1238</v>
      </c>
      <c r="C245" s="141" t="s">
        <v>1239</v>
      </c>
      <c r="D245" s="96" t="s">
        <v>1240</v>
      </c>
      <c r="E245" s="97"/>
      <c r="F245" s="112" t="s">
        <v>207</v>
      </c>
      <c r="G245" s="98">
        <v>5</v>
      </c>
      <c r="H245" s="22">
        <f>IF(OR(J245="",K245="",K245&lt;J245),0,NETWORKDAYS(J245,K245,fESTIVOS!$A$2:$A$53))</f>
        <v>0</v>
      </c>
      <c r="I245" s="99">
        <v>45968</v>
      </c>
      <c r="J245" s="100">
        <v>45981</v>
      </c>
      <c r="K245" s="100"/>
      <c r="L245" s="100"/>
      <c r="M245" s="27">
        <f ca="1">IF(OR(J245="",AND(L245="",TODAY()&lt;J245),AND(L245&lt;&gt;"",L245&lt;J245)),0,
   IF(L245="",
      NETWORKDAYS(J245,TODAY(),fESTIVOS!$A$2:$A$53),
      NETWORKDAYS(J245,L245,fESTIVOS!$A$2:$A$53)
   )
)</f>
        <v>46</v>
      </c>
      <c r="N245" s="101"/>
      <c r="O245" s="99"/>
      <c r="P245" s="101"/>
      <c r="Q245" s="34" t="s">
        <v>1241</v>
      </c>
      <c r="R245" s="113" t="s">
        <v>93</v>
      </c>
      <c r="S245" s="155"/>
      <c r="T245" s="98"/>
      <c r="U245" s="103"/>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row>
    <row r="246" spans="1:67" ht="29.25" hidden="1" customHeight="1">
      <c r="A246" s="93" t="s">
        <v>128</v>
      </c>
      <c r="B246" s="106" t="s">
        <v>1242</v>
      </c>
      <c r="C246" s="141" t="s">
        <v>1243</v>
      </c>
      <c r="D246" s="96" t="s">
        <v>1244</v>
      </c>
      <c r="E246" s="97"/>
      <c r="F246" s="112" t="s">
        <v>232</v>
      </c>
      <c r="G246" s="98"/>
      <c r="H246" s="22">
        <f>IF(OR(J246="",K246="",K246&lt;J246),0,NETWORKDAYS(J246,K246,fESTIVOS!$A$2:$A$53))</f>
        <v>0</v>
      </c>
      <c r="I246" s="99">
        <v>46036</v>
      </c>
      <c r="J246" s="100"/>
      <c r="K246" s="100"/>
      <c r="L246" s="100"/>
      <c r="M246" s="27">
        <f ca="1">IF(OR(J246="",AND(L246="",TODAY()&lt;J246),AND(L246&lt;&gt;"",L246&lt;J246)),0,
   IF(L246="",
      NETWORKDAYS(J246,TODAY(),fESTIVOS!$A$2:$A$53),
      NETWORKDAYS(J246,L246,fESTIVOS!$A$2:$A$53)
   )
)</f>
        <v>0</v>
      </c>
      <c r="N246" s="101"/>
      <c r="O246" s="99"/>
      <c r="P246" s="101"/>
      <c r="Q246" s="34" t="s">
        <v>1245</v>
      </c>
      <c r="R246" s="113" t="s">
        <v>93</v>
      </c>
      <c r="S246" s="155"/>
      <c r="T246" s="98"/>
      <c r="U246" s="103"/>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row>
    <row r="247" spans="1:67" ht="29.25" hidden="1" customHeight="1">
      <c r="A247" s="93" t="s">
        <v>128</v>
      </c>
      <c r="B247" s="106" t="s">
        <v>1246</v>
      </c>
      <c r="C247" s="141" t="s">
        <v>1247</v>
      </c>
      <c r="D247" s="96" t="s">
        <v>1248</v>
      </c>
      <c r="E247" s="97"/>
      <c r="F247" s="112" t="s">
        <v>76</v>
      </c>
      <c r="G247" s="98">
        <v>100</v>
      </c>
      <c r="H247" s="22">
        <f>IF(OR(J247="",K247="",K247&lt;J247),0,NETWORKDAYS(J247,K247,fESTIVOS!$A$2:$A$53))</f>
        <v>0</v>
      </c>
      <c r="I247" s="99">
        <v>46038</v>
      </c>
      <c r="J247" s="100">
        <v>46041</v>
      </c>
      <c r="K247" s="100"/>
      <c r="L247" s="100">
        <v>46041</v>
      </c>
      <c r="M247" s="27">
        <f ca="1">IF(OR(J247="",AND(L247="",TODAY()&lt;J247),AND(L247&lt;&gt;"",L247&lt;J247)),0,
   IF(L247="",
      NETWORKDAYS(J247,TODAY(),fESTIVOS!$A$2:$A$53),
      NETWORKDAYS(J247,L247,fESTIVOS!$A$2:$A$53)
   )
)</f>
        <v>1</v>
      </c>
      <c r="N247" s="101"/>
      <c r="O247" s="99"/>
      <c r="P247" s="101"/>
      <c r="Q247" s="34" t="s">
        <v>1249</v>
      </c>
      <c r="R247" s="113" t="s">
        <v>209</v>
      </c>
      <c r="S247" s="155"/>
      <c r="T247" s="98"/>
      <c r="U247" s="103"/>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row>
    <row r="248" spans="1:67" ht="29.25" hidden="1" customHeight="1">
      <c r="A248" s="93" t="s">
        <v>128</v>
      </c>
      <c r="B248" s="106" t="s">
        <v>1250</v>
      </c>
      <c r="C248" s="141" t="s">
        <v>1251</v>
      </c>
      <c r="D248" s="96" t="s">
        <v>1252</v>
      </c>
      <c r="E248" s="97"/>
      <c r="F248" s="122" t="s">
        <v>76</v>
      </c>
      <c r="G248" s="98">
        <v>100</v>
      </c>
      <c r="H248" s="22">
        <f>IF(OR(J248="",K248="",K248&lt;J248),0,NETWORKDAYS(J248,K248,fESTIVOS!$A$2:$A$53))</f>
        <v>0</v>
      </c>
      <c r="I248" s="99">
        <v>46028</v>
      </c>
      <c r="J248" s="100">
        <v>46028</v>
      </c>
      <c r="K248" s="100"/>
      <c r="L248" s="100">
        <v>46028</v>
      </c>
      <c r="M248" s="27">
        <f ca="1">IF(OR(J248="",AND(L248="",TODAY()&lt;J248),AND(L248&lt;&gt;"",L248&lt;J248)),0,
   IF(L248="",
      NETWORKDAYS(J248,TODAY(),fESTIVOS!$A$2:$A$53),
      NETWORKDAYS(J248,L248,fESTIVOS!$A$2:$A$53)
   )
)</f>
        <v>1</v>
      </c>
      <c r="N248" s="101"/>
      <c r="O248" s="99"/>
      <c r="P248" s="101"/>
      <c r="Q248" s="34" t="s">
        <v>1253</v>
      </c>
      <c r="R248" s="113" t="s">
        <v>209</v>
      </c>
      <c r="S248" s="155"/>
      <c r="T248" s="98"/>
      <c r="U248" s="103"/>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row>
    <row r="249" spans="1:67" ht="29.25" hidden="1" customHeight="1">
      <c r="A249" s="93" t="s">
        <v>128</v>
      </c>
      <c r="B249" s="106" t="s">
        <v>1254</v>
      </c>
      <c r="C249" s="141" t="s">
        <v>1255</v>
      </c>
      <c r="D249" s="96" t="s">
        <v>1256</v>
      </c>
      <c r="E249" s="97"/>
      <c r="F249" s="122" t="s">
        <v>76</v>
      </c>
      <c r="G249" s="98">
        <v>100</v>
      </c>
      <c r="H249" s="22">
        <f>IF(OR(J249="",K249="",K249&lt;J249),0,NETWORKDAYS(J249,K249,fESTIVOS!$A$2:$A$53))</f>
        <v>0</v>
      </c>
      <c r="I249" s="99">
        <v>45989</v>
      </c>
      <c r="J249" s="100">
        <v>45992</v>
      </c>
      <c r="K249" s="100"/>
      <c r="L249" s="100">
        <v>45993</v>
      </c>
      <c r="M249" s="27">
        <f ca="1">IF(OR(J249="",AND(L249="",TODAY()&lt;J249),AND(L249&lt;&gt;"",L249&lt;J249)),0,
   IF(L249="",
      NETWORKDAYS(J249,TODAY(),fESTIVOS!$A$2:$A$53),
      NETWORKDAYS(J249,L249,fESTIVOS!$A$2:$A$53)
   )
)</f>
        <v>2</v>
      </c>
      <c r="N249" s="101"/>
      <c r="O249" s="99"/>
      <c r="P249" s="101">
        <v>45993</v>
      </c>
      <c r="Q249" s="34" t="s">
        <v>1257</v>
      </c>
      <c r="R249" s="113" t="s">
        <v>78</v>
      </c>
      <c r="S249" s="155"/>
      <c r="T249" s="98"/>
      <c r="U249" s="103"/>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row>
    <row r="250" spans="1:67" ht="29.25" hidden="1" customHeight="1">
      <c r="A250" s="93" t="s">
        <v>128</v>
      </c>
      <c r="B250" s="106" t="s">
        <v>1258</v>
      </c>
      <c r="C250" s="141" t="s">
        <v>1259</v>
      </c>
      <c r="D250" s="96"/>
      <c r="E250" s="97"/>
      <c r="F250" s="122" t="s">
        <v>76</v>
      </c>
      <c r="G250" s="98">
        <v>100</v>
      </c>
      <c r="H250" s="22">
        <f>IF(OR(J250="",K250="",K250&lt;J250),0,NETWORKDAYS(J250,K250,fESTIVOS!$A$2:$A$53))</f>
        <v>0</v>
      </c>
      <c r="I250" s="99">
        <v>45973</v>
      </c>
      <c r="J250" s="100">
        <v>45973</v>
      </c>
      <c r="K250" s="100"/>
      <c r="L250" s="100">
        <v>45973</v>
      </c>
      <c r="M250" s="27">
        <f ca="1">IF(OR(J250="",AND(L250="",TODAY()&lt;J250),AND(L250&lt;&gt;"",L250&lt;J250)),0,
   IF(L250="",
      NETWORKDAYS(J250,TODAY(),fESTIVOS!$A$2:$A$53),
      NETWORKDAYS(J250,L250,fESTIVOS!$A$2:$A$53)
   )
)</f>
        <v>1</v>
      </c>
      <c r="N250" s="101"/>
      <c r="O250" s="99"/>
      <c r="P250" s="101"/>
      <c r="Q250" s="34" t="s">
        <v>1260</v>
      </c>
      <c r="R250" s="113" t="s">
        <v>78</v>
      </c>
      <c r="S250" s="155"/>
      <c r="T250" s="98"/>
      <c r="U250" s="103"/>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row>
    <row r="251" spans="1:67" ht="29.25" hidden="1" customHeight="1">
      <c r="A251" s="93" t="s">
        <v>128</v>
      </c>
      <c r="B251" s="106" t="s">
        <v>1261</v>
      </c>
      <c r="C251" s="141" t="s">
        <v>1262</v>
      </c>
      <c r="D251" s="96" t="s">
        <v>1263</v>
      </c>
      <c r="E251" s="97"/>
      <c r="F251" s="122" t="s">
        <v>76</v>
      </c>
      <c r="G251" s="98">
        <v>100</v>
      </c>
      <c r="H251" s="22">
        <f>IF(OR(J251="",K251="",K251&lt;J251),0,NETWORKDAYS(J251,K251,fESTIVOS!$A$2:$A$53))</f>
        <v>0</v>
      </c>
      <c r="I251" s="99">
        <v>45974</v>
      </c>
      <c r="J251" s="100">
        <v>45974</v>
      </c>
      <c r="K251" s="100"/>
      <c r="L251" s="100">
        <v>45974</v>
      </c>
      <c r="M251" s="27">
        <f ca="1">IF(OR(J251="",AND(L251="",TODAY()&lt;J251),AND(L251&lt;&gt;"",L251&lt;J251)),0,
   IF(L251="",
      NETWORKDAYS(J251,TODAY(),fESTIVOS!$A$2:$A$53),
      NETWORKDAYS(J251,L251,fESTIVOS!$A$2:$A$53)
   )
)</f>
        <v>1</v>
      </c>
      <c r="N251" s="101"/>
      <c r="O251" s="99"/>
      <c r="P251" s="101"/>
      <c r="Q251" s="34" t="s">
        <v>1264</v>
      </c>
      <c r="R251" s="113" t="s">
        <v>78</v>
      </c>
      <c r="S251" s="155"/>
      <c r="T251" s="98"/>
      <c r="U251" s="103"/>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row>
    <row r="252" spans="1:67" ht="29.25" hidden="1" customHeight="1">
      <c r="A252" s="93" t="s">
        <v>128</v>
      </c>
      <c r="B252" s="106" t="s">
        <v>1265</v>
      </c>
      <c r="C252" s="141" t="s">
        <v>1266</v>
      </c>
      <c r="D252" s="96" t="s">
        <v>1267</v>
      </c>
      <c r="E252" s="97"/>
      <c r="F252" s="122" t="s">
        <v>76</v>
      </c>
      <c r="G252" s="98">
        <v>100</v>
      </c>
      <c r="H252" s="22">
        <f>IF(OR(J252="",K252="",K252&lt;J252),0,NETWORKDAYS(J252,K252,fESTIVOS!$A$2:$A$53))</f>
        <v>0</v>
      </c>
      <c r="I252" s="99">
        <v>45974</v>
      </c>
      <c r="J252" s="100">
        <v>45974</v>
      </c>
      <c r="K252" s="100"/>
      <c r="L252" s="100">
        <v>45974</v>
      </c>
      <c r="M252" s="27">
        <f ca="1">IF(OR(J252="",AND(L252="",TODAY()&lt;J252),AND(L252&lt;&gt;"",L252&lt;J252)),0,
   IF(L252="",
      NETWORKDAYS(J252,TODAY(),fESTIVOS!$A$2:$A$53),
      NETWORKDAYS(J252,L252,fESTIVOS!$A$2:$A$53)
   )
)</f>
        <v>1</v>
      </c>
      <c r="N252" s="101"/>
      <c r="O252" s="99"/>
      <c r="P252" s="101">
        <v>45974</v>
      </c>
      <c r="Q252" s="34" t="s">
        <v>1268</v>
      </c>
      <c r="R252" s="113" t="s">
        <v>78</v>
      </c>
      <c r="S252" s="155"/>
      <c r="T252" s="98"/>
      <c r="U252" s="103"/>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row>
    <row r="253" spans="1:67" ht="29.25" hidden="1" customHeight="1">
      <c r="A253" s="93" t="s">
        <v>128</v>
      </c>
      <c r="B253" s="106" t="s">
        <v>1269</v>
      </c>
      <c r="C253" s="151" t="s">
        <v>1270</v>
      </c>
      <c r="D253" s="96" t="s">
        <v>1271</v>
      </c>
      <c r="E253" s="97"/>
      <c r="F253" s="122" t="s">
        <v>76</v>
      </c>
      <c r="G253" s="98">
        <v>100</v>
      </c>
      <c r="H253" s="22">
        <f>IF(OR(J253="",K253="",K253&lt;J253),0,NETWORKDAYS(J253,K253,fESTIVOS!$A$2:$A$53))</f>
        <v>0</v>
      </c>
      <c r="I253" s="99">
        <v>45974</v>
      </c>
      <c r="J253" s="100">
        <v>45974</v>
      </c>
      <c r="K253" s="100"/>
      <c r="L253" s="100">
        <v>45974</v>
      </c>
      <c r="M253" s="27">
        <f ca="1">IF(OR(J253="",AND(L253="",TODAY()&lt;J253),AND(L253&lt;&gt;"",L253&lt;J253)),0,
   IF(L253="",
      NETWORKDAYS(J253,TODAY(),fESTIVOS!$A$2:$A$53),
      NETWORKDAYS(J253,L253,fESTIVOS!$A$2:$A$53)
   )
)</f>
        <v>1</v>
      </c>
      <c r="N253" s="101"/>
      <c r="O253" s="99"/>
      <c r="P253" s="101"/>
      <c r="Q253" s="34" t="s">
        <v>1272</v>
      </c>
      <c r="R253" s="113" t="s">
        <v>78</v>
      </c>
      <c r="S253" s="155"/>
      <c r="T253" s="98"/>
      <c r="U253" s="103"/>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row>
    <row r="254" spans="1:67" ht="29.25" hidden="1" customHeight="1">
      <c r="A254" s="93" t="s">
        <v>128</v>
      </c>
      <c r="B254" s="106" t="s">
        <v>1273</v>
      </c>
      <c r="C254" s="107" t="s">
        <v>1274</v>
      </c>
      <c r="D254" s="96" t="s">
        <v>1275</v>
      </c>
      <c r="E254" s="97"/>
      <c r="F254" s="122" t="s">
        <v>76</v>
      </c>
      <c r="G254" s="98">
        <v>100</v>
      </c>
      <c r="H254" s="22">
        <f>IF(OR(J254="",K254="",K254&lt;J254),0,NETWORKDAYS(J254,K254,fESTIVOS!$A$2:$A$53))</f>
        <v>0</v>
      </c>
      <c r="I254" s="99">
        <v>45931</v>
      </c>
      <c r="J254" s="100">
        <v>45932</v>
      </c>
      <c r="K254" s="100"/>
      <c r="L254" s="100">
        <v>45932</v>
      </c>
      <c r="M254" s="27">
        <f ca="1">IF(OR(J254="",AND(L254="",TODAY()&lt;J254),AND(L254&lt;&gt;"",L254&lt;J254)),0,
   IF(L254="",
      NETWORKDAYS(J254,TODAY(),fESTIVOS!$A$2:$A$53),
      NETWORKDAYS(J254,L254,fESTIVOS!$A$2:$A$53)
   )
)</f>
        <v>1</v>
      </c>
      <c r="N254" s="101"/>
      <c r="O254" s="99"/>
      <c r="P254" s="101"/>
      <c r="Q254" s="34" t="s">
        <v>1276</v>
      </c>
      <c r="R254" s="113" t="s">
        <v>78</v>
      </c>
      <c r="S254" s="155"/>
      <c r="T254" s="98"/>
      <c r="U254" s="103"/>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row>
    <row r="255" spans="1:67" ht="29.25" hidden="1" customHeight="1">
      <c r="A255" s="93" t="s">
        <v>128</v>
      </c>
      <c r="B255" s="106" t="s">
        <v>1277</v>
      </c>
      <c r="C255" s="107" t="s">
        <v>1278</v>
      </c>
      <c r="D255" s="96" t="s">
        <v>1279</v>
      </c>
      <c r="E255" s="97"/>
      <c r="F255" s="122" t="s">
        <v>76</v>
      </c>
      <c r="G255" s="98">
        <v>100</v>
      </c>
      <c r="H255" s="22">
        <f>IF(OR(J255="",K255="",K255&lt;J255),0,NETWORKDAYS(J255,K255,fESTIVOS!$A$2:$A$53))</f>
        <v>0</v>
      </c>
      <c r="I255" s="99">
        <v>45929</v>
      </c>
      <c r="J255" s="100">
        <v>45930</v>
      </c>
      <c r="K255" s="100"/>
      <c r="L255" s="100">
        <v>45930</v>
      </c>
      <c r="M255" s="27">
        <f ca="1">IF(OR(J255="",AND(L255="",TODAY()&lt;J255),AND(L255&lt;&gt;"",L255&lt;J255)),0,
   IF(L255="",
      NETWORKDAYS(J255,TODAY(),fESTIVOS!$A$2:$A$53),
      NETWORKDAYS(J255,L255,fESTIVOS!$A$2:$A$53)
   )
)</f>
        <v>1</v>
      </c>
      <c r="N255" s="101"/>
      <c r="O255" s="99"/>
      <c r="P255" s="101"/>
      <c r="Q255" s="34" t="s">
        <v>1280</v>
      </c>
      <c r="R255" s="113" t="s">
        <v>78</v>
      </c>
      <c r="S255" s="155"/>
      <c r="T255" s="98"/>
      <c r="U255" s="103"/>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row>
    <row r="256" spans="1:67" ht="29.25" hidden="1" customHeight="1">
      <c r="A256" s="93" t="s">
        <v>128</v>
      </c>
      <c r="B256" s="106" t="s">
        <v>1281</v>
      </c>
      <c r="C256" s="107" t="s">
        <v>1282</v>
      </c>
      <c r="D256" s="96" t="s">
        <v>1283</v>
      </c>
      <c r="E256" s="97"/>
      <c r="F256" s="122" t="s">
        <v>76</v>
      </c>
      <c r="G256" s="98">
        <v>100</v>
      </c>
      <c r="H256" s="22">
        <f>IF(OR(J256="",K256="",K256&lt;J256),0,NETWORKDAYS(J256,K256,fESTIVOS!$A$2:$A$53))</f>
        <v>0</v>
      </c>
      <c r="I256" s="99">
        <v>45908</v>
      </c>
      <c r="J256" s="100">
        <v>45909</v>
      </c>
      <c r="K256" s="100"/>
      <c r="L256" s="100">
        <v>45909</v>
      </c>
      <c r="M256" s="27">
        <f ca="1">IF(OR(J256="",AND(L256="",TODAY()&lt;J256),AND(L256&lt;&gt;"",L256&lt;J256)),0,
   IF(L256="",
      NETWORKDAYS(J256,TODAY(),fESTIVOS!$A$2:$A$53),
      NETWORKDAYS(J256,L256,fESTIVOS!$A$2:$A$53)
   )
)</f>
        <v>1</v>
      </c>
      <c r="N256" s="101"/>
      <c r="O256" s="99">
        <v>45910</v>
      </c>
      <c r="P256" s="101">
        <v>45910</v>
      </c>
      <c r="Q256" s="34" t="s">
        <v>1284</v>
      </c>
      <c r="R256" s="113" t="s">
        <v>78</v>
      </c>
      <c r="S256" s="102"/>
      <c r="T256" s="102"/>
      <c r="U256" s="103"/>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row>
    <row r="257" spans="1:67" ht="29.25" hidden="1" customHeight="1">
      <c r="A257" s="93" t="s">
        <v>157</v>
      </c>
      <c r="B257" s="106" t="s">
        <v>1285</v>
      </c>
      <c r="C257" s="107" t="s">
        <v>1286</v>
      </c>
      <c r="D257" s="96"/>
      <c r="E257" s="97"/>
      <c r="F257" s="122" t="s">
        <v>76</v>
      </c>
      <c r="G257" s="98">
        <v>100</v>
      </c>
      <c r="H257" s="22">
        <f>IF(OR(J257="",K257="",K257&lt;J257),0,NETWORKDAYS(J257,K257,fESTIVOS!$A$2:$A$53))</f>
        <v>0</v>
      </c>
      <c r="I257" s="99">
        <v>45912</v>
      </c>
      <c r="J257" s="100">
        <v>45915</v>
      </c>
      <c r="K257" s="100"/>
      <c r="L257" s="100">
        <v>45915</v>
      </c>
      <c r="M257" s="27">
        <f ca="1">IF(OR(J257="",AND(L257="",TODAY()&lt;J257),AND(L257&lt;&gt;"",L257&lt;J257)),0,
   IF(L257="",
      NETWORKDAYS(J257,TODAY(),fESTIVOS!$A$2:$A$53),
      NETWORKDAYS(J257,L257,fESTIVOS!$A$2:$A$53)
   )
)</f>
        <v>1</v>
      </c>
      <c r="N257" s="101"/>
      <c r="O257" s="99"/>
      <c r="P257" s="101"/>
      <c r="Q257" s="34" t="s">
        <v>1287</v>
      </c>
      <c r="R257" s="113" t="s">
        <v>78</v>
      </c>
      <c r="S257" s="102"/>
      <c r="T257" s="102"/>
      <c r="U257" s="103"/>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row>
    <row r="258" spans="1:67" ht="29.25" hidden="1" customHeight="1">
      <c r="A258" s="93" t="s">
        <v>157</v>
      </c>
      <c r="B258" s="106" t="s">
        <v>1288</v>
      </c>
      <c r="C258" s="107" t="s">
        <v>1289</v>
      </c>
      <c r="D258" s="96" t="s">
        <v>1290</v>
      </c>
      <c r="E258" s="97"/>
      <c r="F258" s="122" t="s">
        <v>76</v>
      </c>
      <c r="G258" s="98">
        <v>100</v>
      </c>
      <c r="H258" s="22">
        <f>IF(OR(J258="",K258="",K258&lt;J258),0,NETWORKDAYS(J258,K258,fESTIVOS!$A$2:$A$53))</f>
        <v>0</v>
      </c>
      <c r="I258" s="99">
        <v>45894</v>
      </c>
      <c r="J258" s="100">
        <v>45896</v>
      </c>
      <c r="K258" s="100"/>
      <c r="L258" s="100">
        <v>45897</v>
      </c>
      <c r="M258" s="27">
        <f ca="1">IF(OR(J258="",AND(L258="",TODAY()&lt;J258),AND(L258&lt;&gt;"",L258&lt;J258)),0,
   IF(L258="",
      NETWORKDAYS(J258,TODAY(),fESTIVOS!$A$2:$A$53),
      NETWORKDAYS(J258,L258,fESTIVOS!$A$2:$A$53)
   )
)</f>
        <v>2</v>
      </c>
      <c r="N258" s="101"/>
      <c r="O258" s="99"/>
      <c r="P258" s="101">
        <v>45897</v>
      </c>
      <c r="Q258" s="34" t="s">
        <v>1291</v>
      </c>
      <c r="R258" s="31" t="s">
        <v>78</v>
      </c>
      <c r="S258" s="102"/>
      <c r="T258" s="102"/>
      <c r="U258" s="103"/>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row>
    <row r="259" spans="1:67" ht="29.25" hidden="1" customHeight="1">
      <c r="A259" s="93" t="s">
        <v>157</v>
      </c>
      <c r="B259" s="106" t="s">
        <v>1292</v>
      </c>
      <c r="C259" s="107" t="s">
        <v>1293</v>
      </c>
      <c r="D259" s="96" t="s">
        <v>1294</v>
      </c>
      <c r="E259" s="97"/>
      <c r="F259" s="122" t="s">
        <v>76</v>
      </c>
      <c r="G259" s="98">
        <v>100</v>
      </c>
      <c r="H259" s="22">
        <f>IF(OR(J259="",K259="",K259&lt;J259),0,NETWORKDAYS(J259,K259,fESTIVOS!$A$2:$A$53))</f>
        <v>0</v>
      </c>
      <c r="I259" s="99">
        <v>45898</v>
      </c>
      <c r="J259" s="100">
        <v>45901</v>
      </c>
      <c r="K259" s="100"/>
      <c r="L259" s="100">
        <v>45901</v>
      </c>
      <c r="M259" s="27">
        <f ca="1">IF(OR(J259="",AND(L259="",TODAY()&lt;J259),AND(L259&lt;&gt;"",L259&lt;J259)),0,
   IF(L259="",
      NETWORKDAYS(J259,TODAY(),fESTIVOS!$A$2:$A$53),
      NETWORKDAYS(J259,L259,fESTIVOS!$A$2:$A$53)
   )
)</f>
        <v>1</v>
      </c>
      <c r="N259" s="101"/>
      <c r="O259" s="99"/>
      <c r="P259" s="101"/>
      <c r="Q259" s="34" t="s">
        <v>1295</v>
      </c>
      <c r="R259" s="113" t="s">
        <v>78</v>
      </c>
      <c r="S259" s="102"/>
      <c r="T259" s="102"/>
      <c r="U259" s="103"/>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row>
    <row r="260" spans="1:67" ht="29.25" hidden="1" customHeight="1">
      <c r="A260" s="93" t="s">
        <v>157</v>
      </c>
      <c r="B260" s="106" t="s">
        <v>1296</v>
      </c>
      <c r="C260" s="107" t="s">
        <v>1297</v>
      </c>
      <c r="D260" s="96" t="s">
        <v>1298</v>
      </c>
      <c r="E260" s="97"/>
      <c r="F260" s="122" t="s">
        <v>76</v>
      </c>
      <c r="G260" s="98">
        <v>100</v>
      </c>
      <c r="H260" s="22">
        <f>IF(OR(J260="",K260="",K260&lt;J260),0,NETWORKDAYS(J260,K260,fESTIVOS!$A$2:$A$53))</f>
        <v>0</v>
      </c>
      <c r="I260" s="99">
        <v>45902</v>
      </c>
      <c r="J260" s="100">
        <v>45902</v>
      </c>
      <c r="K260" s="100"/>
      <c r="L260" s="100">
        <v>45924</v>
      </c>
      <c r="M260" s="27">
        <f ca="1">IF(OR(J260="",AND(L260="",TODAY()&lt;J260),AND(L260&lt;&gt;"",L260&lt;J260)),0,
   IF(L260="",
      NETWORKDAYS(J260,TODAY(),fESTIVOS!$A$2:$A$53),
      NETWORKDAYS(J260,L260,fESTIVOS!$A$2:$A$53)
   )
)</f>
        <v>17</v>
      </c>
      <c r="N260" s="101"/>
      <c r="O260" s="99"/>
      <c r="P260" s="101"/>
      <c r="Q260" s="34" t="s">
        <v>1299</v>
      </c>
      <c r="R260" s="31" t="s">
        <v>78</v>
      </c>
      <c r="S260" s="102"/>
      <c r="T260" s="102"/>
      <c r="U260" s="103"/>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row>
    <row r="261" spans="1:67" ht="29.25" hidden="1" customHeight="1">
      <c r="A261" s="93" t="s">
        <v>210</v>
      </c>
      <c r="B261" s="106" t="s">
        <v>1300</v>
      </c>
      <c r="C261" s="142" t="s">
        <v>1301</v>
      </c>
      <c r="D261" s="195" t="s">
        <v>1302</v>
      </c>
      <c r="E261" s="97"/>
      <c r="F261" s="122" t="s">
        <v>76</v>
      </c>
      <c r="G261" s="98">
        <v>100</v>
      </c>
      <c r="H261" s="22">
        <f>IF(OR(J261="",K261="",K261&lt;J261),0,NETWORKDAYS(J261,K261,fESTIVOS!$A$2:$A$53))</f>
        <v>0</v>
      </c>
      <c r="I261" s="99">
        <v>45902</v>
      </c>
      <c r="J261" s="100">
        <v>45903</v>
      </c>
      <c r="K261" s="100"/>
      <c r="L261" s="100">
        <v>45975</v>
      </c>
      <c r="M261" s="27">
        <f ca="1">IF(OR(J261="",AND(L261="",TODAY()&lt;J261),AND(L261&lt;&gt;"",L261&lt;J261)),0,
   IF(L261="",
      NETWORKDAYS(J261,TODAY(),fESTIVOS!$A$2:$A$53),
      NETWORKDAYS(J261,L261,fESTIVOS!$A$2:$A$53)
   )
)</f>
        <v>51</v>
      </c>
      <c r="N261" s="101"/>
      <c r="O261" s="99"/>
      <c r="P261" s="101"/>
      <c r="Q261" s="34" t="s">
        <v>1303</v>
      </c>
      <c r="R261" s="31" t="s">
        <v>78</v>
      </c>
      <c r="S261" s="102"/>
      <c r="T261" s="102"/>
      <c r="U261" s="103"/>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row>
    <row r="262" spans="1:67" ht="29.25" hidden="1" customHeight="1">
      <c r="A262" s="93" t="s">
        <v>210</v>
      </c>
      <c r="B262" s="106" t="s">
        <v>1304</v>
      </c>
      <c r="C262" s="141" t="s">
        <v>1305</v>
      </c>
      <c r="D262" s="196" t="s">
        <v>1306</v>
      </c>
      <c r="E262" s="97"/>
      <c r="F262" s="122" t="s">
        <v>76</v>
      </c>
      <c r="G262" s="98">
        <v>100</v>
      </c>
      <c r="H262" s="22">
        <f>IF(OR(J262="",K262="",K262&lt;J262),0,NETWORKDAYS(J262,K262,fESTIVOS!$A$2:$A$53))</f>
        <v>0</v>
      </c>
      <c r="I262" s="99">
        <v>45975</v>
      </c>
      <c r="J262" s="100">
        <v>45987</v>
      </c>
      <c r="K262" s="100"/>
      <c r="L262" s="100">
        <v>45994</v>
      </c>
      <c r="M262" s="27">
        <f ca="1">IF(OR(J262="",AND(L262="",TODAY()&lt;J262),AND(L262&lt;&gt;"",L262&lt;J262)),0,
   IF(L262="",
      NETWORKDAYS(J262,TODAY(),fESTIVOS!$A$2:$A$53),
      NETWORKDAYS(J262,L262,fESTIVOS!$A$2:$A$53)
   )
)</f>
        <v>6</v>
      </c>
      <c r="N262" s="101"/>
      <c r="O262" s="99"/>
      <c r="P262" s="101"/>
      <c r="Q262" s="34" t="s">
        <v>1307</v>
      </c>
      <c r="R262" s="31" t="s">
        <v>78</v>
      </c>
      <c r="S262" s="102"/>
      <c r="T262" s="102"/>
      <c r="U262" s="103"/>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row>
    <row r="263" spans="1:67" ht="29.25" hidden="1" customHeight="1">
      <c r="A263" s="93" t="s">
        <v>210</v>
      </c>
      <c r="B263" s="106" t="s">
        <v>1308</v>
      </c>
      <c r="C263" s="141" t="s">
        <v>1309</v>
      </c>
      <c r="D263" s="196"/>
      <c r="E263" s="97"/>
      <c r="F263" s="122" t="s">
        <v>76</v>
      </c>
      <c r="G263" s="98">
        <v>100</v>
      </c>
      <c r="H263" s="22">
        <f>IF(OR(J263="",K263="",K263&lt;J263),0,NETWORKDAYS(J263,K263,fESTIVOS!$A$2:$A$53))</f>
        <v>0</v>
      </c>
      <c r="I263" s="99">
        <v>45980</v>
      </c>
      <c r="J263" s="100">
        <v>45980</v>
      </c>
      <c r="K263" s="100"/>
      <c r="L263" s="100">
        <v>46006</v>
      </c>
      <c r="M263" s="27">
        <f ca="1">IF(OR(J263="",AND(L263="",TODAY()&lt;J263),AND(L263&lt;&gt;"",L263&lt;J263)),0,
   IF(L263="",
      NETWORKDAYS(J263,TODAY(),fESTIVOS!$A$2:$A$53),
      NETWORKDAYS(J263,L263,fESTIVOS!$A$2:$A$53)
   )
)</f>
        <v>18</v>
      </c>
      <c r="N263" s="101"/>
      <c r="O263" s="99"/>
      <c r="P263" s="101"/>
      <c r="Q263" s="34" t="s">
        <v>1310</v>
      </c>
      <c r="R263" s="113" t="s">
        <v>78</v>
      </c>
      <c r="S263" s="102"/>
      <c r="T263" s="102"/>
      <c r="U263" s="103"/>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row>
    <row r="264" spans="1:67" ht="29.25" hidden="1" customHeight="1">
      <c r="A264" s="93" t="s">
        <v>210</v>
      </c>
      <c r="B264" s="106" t="s">
        <v>1311</v>
      </c>
      <c r="C264" s="141" t="s">
        <v>1312</v>
      </c>
      <c r="D264" s="196"/>
      <c r="E264" s="97"/>
      <c r="F264" s="122" t="s">
        <v>76</v>
      </c>
      <c r="G264" s="98">
        <v>100</v>
      </c>
      <c r="H264" s="22">
        <f>IF(OR(J264="",K264="",K264&lt;J264),0,NETWORKDAYS(J264,K264,fESTIVOS!$A$2:$A$53))</f>
        <v>0</v>
      </c>
      <c r="I264" s="99">
        <v>46006</v>
      </c>
      <c r="J264" s="100">
        <v>46006</v>
      </c>
      <c r="K264" s="100"/>
      <c r="L264" s="100">
        <v>46007</v>
      </c>
      <c r="M264" s="27">
        <f ca="1">IF(OR(J264="",AND(L264="",TODAY()&lt;J264),AND(L264&lt;&gt;"",L264&lt;J264)),0,
   IF(L264="",
      NETWORKDAYS(J264,TODAY(),fESTIVOS!$A$2:$A$53),
      NETWORKDAYS(J264,L264,fESTIVOS!$A$2:$A$53)
   )
)</f>
        <v>2</v>
      </c>
      <c r="N264" s="101"/>
      <c r="O264" s="99"/>
      <c r="P264" s="101"/>
      <c r="Q264" s="34" t="s">
        <v>1313</v>
      </c>
      <c r="R264" s="113" t="s">
        <v>78</v>
      </c>
      <c r="S264" s="102"/>
      <c r="T264" s="102"/>
      <c r="U264" s="103"/>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row>
    <row r="265" spans="1:67" ht="29.25" hidden="1" customHeight="1">
      <c r="A265" s="93" t="s">
        <v>210</v>
      </c>
      <c r="B265" s="106" t="s">
        <v>1314</v>
      </c>
      <c r="C265" s="141" t="s">
        <v>1315</v>
      </c>
      <c r="D265" s="196" t="s">
        <v>1316</v>
      </c>
      <c r="E265" s="97"/>
      <c r="F265" s="122" t="s">
        <v>76</v>
      </c>
      <c r="G265" s="98">
        <v>100</v>
      </c>
      <c r="H265" s="22">
        <f>IF(OR(J265="",K265="",K265&lt;J265),0,NETWORKDAYS(J265,K265,fESTIVOS!$A$2:$A$53))</f>
        <v>0</v>
      </c>
      <c r="I265" s="99">
        <v>45982</v>
      </c>
      <c r="J265" s="100">
        <v>45982</v>
      </c>
      <c r="K265" s="100"/>
      <c r="L265" s="100">
        <v>45986</v>
      </c>
      <c r="M265" s="27">
        <f ca="1">IF(OR(J265="",AND(L265="",TODAY()&lt;J265),AND(L265&lt;&gt;"",L265&lt;J265)),0,
   IF(L265="",
      NETWORKDAYS(J265,TODAY(),fESTIVOS!$A$2:$A$53),
      NETWORKDAYS(J265,L265,fESTIVOS!$A$2:$A$53)
   )
)</f>
        <v>3</v>
      </c>
      <c r="N265" s="101"/>
      <c r="O265" s="99"/>
      <c r="P265" s="101"/>
      <c r="Q265" s="34" t="s">
        <v>1317</v>
      </c>
      <c r="R265" s="113" t="s">
        <v>78</v>
      </c>
      <c r="S265" s="102"/>
      <c r="T265" s="102"/>
      <c r="U265" s="103"/>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row>
    <row r="266" spans="1:67" ht="29.25" hidden="1" customHeight="1">
      <c r="A266" s="93" t="s">
        <v>210</v>
      </c>
      <c r="B266" s="106" t="s">
        <v>1318</v>
      </c>
      <c r="C266" s="141" t="s">
        <v>1319</v>
      </c>
      <c r="D266" s="196" t="s">
        <v>1320</v>
      </c>
      <c r="E266" s="97"/>
      <c r="F266" s="122" t="s">
        <v>76</v>
      </c>
      <c r="G266" s="98">
        <v>100</v>
      </c>
      <c r="H266" s="22">
        <f>IF(OR(J266="",K266="",K266&lt;J266),0,NETWORKDAYS(J266,K266,fESTIVOS!$A$2:$A$53))</f>
        <v>0</v>
      </c>
      <c r="I266" s="99">
        <v>45989</v>
      </c>
      <c r="J266" s="100">
        <v>45989</v>
      </c>
      <c r="K266" s="100"/>
      <c r="L266" s="100">
        <v>45989</v>
      </c>
      <c r="M266" s="27">
        <f ca="1">IF(OR(J266="",AND(L266="",TODAY()&lt;J266),AND(L266&lt;&gt;"",L266&lt;J266)),0,
   IF(L266="",
      NETWORKDAYS(J266,TODAY(),fESTIVOS!$A$2:$A$53),
      NETWORKDAYS(J266,L266,fESTIVOS!$A$2:$A$53)
   )
)</f>
        <v>1</v>
      </c>
      <c r="N266" s="101"/>
      <c r="O266" s="99"/>
      <c r="P266" s="101"/>
      <c r="Q266" s="34" t="s">
        <v>1321</v>
      </c>
      <c r="R266" s="113" t="s">
        <v>78</v>
      </c>
      <c r="S266" s="102"/>
      <c r="T266" s="102"/>
      <c r="U266" s="103"/>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row>
    <row r="267" spans="1:67" ht="29.25" hidden="1" customHeight="1">
      <c r="A267" s="93" t="s">
        <v>210</v>
      </c>
      <c r="B267" s="106" t="s">
        <v>1322</v>
      </c>
      <c r="C267" s="141" t="s">
        <v>1323</v>
      </c>
      <c r="D267" s="196" t="s">
        <v>1324</v>
      </c>
      <c r="E267" s="97"/>
      <c r="F267" s="122" t="s">
        <v>76</v>
      </c>
      <c r="G267" s="98">
        <v>100</v>
      </c>
      <c r="H267" s="22">
        <f>IF(OR(J267="",K267="",K267&lt;J267),0,NETWORKDAYS(J267,K267,fESTIVOS!$A$2:$A$53))</f>
        <v>0</v>
      </c>
      <c r="I267" s="99">
        <v>45987</v>
      </c>
      <c r="J267" s="100">
        <v>45987</v>
      </c>
      <c r="K267" s="100"/>
      <c r="L267" s="100">
        <v>45987</v>
      </c>
      <c r="M267" s="27">
        <f ca="1">IF(OR(J267="",AND(L267="",TODAY()&lt;J267),AND(L267&lt;&gt;"",L267&lt;J267)),0,
   IF(L267="",
      NETWORKDAYS(J267,TODAY(),fESTIVOS!$A$2:$A$53),
      NETWORKDAYS(J267,L267,fESTIVOS!$A$2:$A$53)
   )
)</f>
        <v>1</v>
      </c>
      <c r="N267" s="101"/>
      <c r="O267" s="99"/>
      <c r="P267" s="101"/>
      <c r="Q267" s="34" t="s">
        <v>1325</v>
      </c>
      <c r="R267" s="113" t="s">
        <v>78</v>
      </c>
      <c r="S267" s="102"/>
      <c r="T267" s="102"/>
      <c r="U267" s="103"/>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row>
    <row r="268" spans="1:67" ht="29.25" hidden="1" customHeight="1">
      <c r="A268" s="93" t="s">
        <v>210</v>
      </c>
      <c r="B268" s="183" t="s">
        <v>1326</v>
      </c>
      <c r="C268" s="197" t="s">
        <v>1327</v>
      </c>
      <c r="D268" s="196" t="s">
        <v>1328</v>
      </c>
      <c r="E268" s="97"/>
      <c r="F268" s="122" t="s">
        <v>76</v>
      </c>
      <c r="G268" s="98">
        <v>100</v>
      </c>
      <c r="H268" s="22">
        <f>IF(OR(J268="",K268="",K268&lt;J268),0,NETWORKDAYS(J268,K268,fESTIVOS!$A$2:$A$53))</f>
        <v>0</v>
      </c>
      <c r="I268" s="99">
        <v>45985</v>
      </c>
      <c r="J268" s="100">
        <v>45985</v>
      </c>
      <c r="K268" s="100"/>
      <c r="L268" s="100">
        <v>45985</v>
      </c>
      <c r="M268" s="27">
        <f ca="1">IF(OR(J268="",AND(L268="",TODAY()&lt;J268),AND(L268&lt;&gt;"",L268&lt;J268)),0,
   IF(L268="",
      NETWORKDAYS(J268,TODAY(),fESTIVOS!$A$2:$A$53),
      NETWORKDAYS(J268,L268,fESTIVOS!$A$2:$A$53)
   )
)</f>
        <v>1</v>
      </c>
      <c r="N268" s="101"/>
      <c r="O268" s="99"/>
      <c r="P268" s="101"/>
      <c r="Q268" s="34" t="s">
        <v>1329</v>
      </c>
      <c r="R268" s="113" t="s">
        <v>78</v>
      </c>
      <c r="S268" s="102"/>
      <c r="T268" s="102"/>
      <c r="U268" s="103"/>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row>
    <row r="269" spans="1:67" ht="29.25" hidden="1" customHeight="1">
      <c r="A269" s="56" t="s">
        <v>157</v>
      </c>
      <c r="B269" s="17" t="s">
        <v>1330</v>
      </c>
      <c r="C269" s="142" t="s">
        <v>1331</v>
      </c>
      <c r="D269" s="198"/>
      <c r="E269" s="97"/>
      <c r="F269" s="20" t="s">
        <v>76</v>
      </c>
      <c r="G269" s="98">
        <v>100</v>
      </c>
      <c r="H269" s="22">
        <f>IF(OR(J269="",K269="",K269&lt;J269),0,NETWORKDAYS(J269,K269,fESTIVOS!$A$2:$A$53))</f>
        <v>0</v>
      </c>
      <c r="I269" s="99">
        <v>45861</v>
      </c>
      <c r="J269" s="100">
        <v>45869</v>
      </c>
      <c r="K269" s="100"/>
      <c r="L269" s="100">
        <v>46013</v>
      </c>
      <c r="M269" s="27">
        <f ca="1">IF(OR(J269="",AND(L269="",TODAY()&lt;J269),AND(L269&lt;&gt;"",L269&lt;J269)),0,
   IF(L269="",
      NETWORKDAYS(J269,TODAY(),fESTIVOS!$A$2:$A$53),
      NETWORKDAYS(J269,L269,fESTIVOS!$A$2:$A$53)
   )
)</f>
        <v>97</v>
      </c>
      <c r="N269" s="101"/>
      <c r="O269" s="99"/>
      <c r="P269" s="101"/>
      <c r="Q269" s="34" t="s">
        <v>1332</v>
      </c>
      <c r="R269" s="31" t="s">
        <v>78</v>
      </c>
      <c r="S269" s="102"/>
      <c r="T269" s="102"/>
      <c r="U269" s="103"/>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row>
    <row r="270" spans="1:67" ht="29.25" hidden="1" customHeight="1">
      <c r="A270" s="93" t="s">
        <v>157</v>
      </c>
      <c r="B270" s="106" t="s">
        <v>1333</v>
      </c>
      <c r="C270" s="142" t="s">
        <v>1334</v>
      </c>
      <c r="D270" s="111" t="s">
        <v>1335</v>
      </c>
      <c r="E270" s="97"/>
      <c r="F270" s="199" t="s">
        <v>76</v>
      </c>
      <c r="G270" s="98">
        <v>100</v>
      </c>
      <c r="H270" s="22">
        <f>IF(OR(J270="",K270="",K270&lt;J270),0,NETWORKDAYS(J270,K270,fESTIVOS!$A$2:$A$53))</f>
        <v>0</v>
      </c>
      <c r="I270" s="99">
        <v>45904</v>
      </c>
      <c r="J270" s="100">
        <v>45910</v>
      </c>
      <c r="K270" s="100"/>
      <c r="L270" s="100">
        <v>45932</v>
      </c>
      <c r="M270" s="27">
        <f ca="1">IF(OR(J270="",AND(L270="",TODAY()&lt;J270),AND(L270&lt;&gt;"",L270&lt;J270)),0,
   IF(L270="",
      NETWORKDAYS(J270,TODAY(),fESTIVOS!$A$2:$A$53),
      NETWORKDAYS(J270,L270,fESTIVOS!$A$2:$A$53)
   )
)</f>
        <v>17</v>
      </c>
      <c r="N270" s="101"/>
      <c r="O270" s="99">
        <v>45932</v>
      </c>
      <c r="P270" s="101">
        <v>45993</v>
      </c>
      <c r="Q270" s="34" t="s">
        <v>1336</v>
      </c>
      <c r="R270" s="31" t="s">
        <v>78</v>
      </c>
      <c r="S270" s="98">
        <v>1</v>
      </c>
      <c r="T270" s="98" t="s">
        <v>1337</v>
      </c>
      <c r="U270" s="122" t="s">
        <v>1338</v>
      </c>
      <c r="V270" s="200" t="s">
        <v>1339</v>
      </c>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row>
    <row r="271" spans="1:67" ht="29.25" hidden="1" customHeight="1">
      <c r="A271" s="56" t="s">
        <v>157</v>
      </c>
      <c r="B271" s="17" t="s">
        <v>1340</v>
      </c>
      <c r="C271" s="142" t="s">
        <v>1341</v>
      </c>
      <c r="D271" s="150"/>
      <c r="E271" s="97"/>
      <c r="F271" s="20" t="s">
        <v>232</v>
      </c>
      <c r="G271" s="98">
        <v>0</v>
      </c>
      <c r="H271" s="22">
        <f>IF(OR(J271="",K271="",K271&lt;J271),0,NETWORKDAYS(J271,K271,fESTIVOS!$A$2:$A$53))</f>
        <v>3</v>
      </c>
      <c r="I271" s="99">
        <v>45874</v>
      </c>
      <c r="J271" s="100">
        <v>45880</v>
      </c>
      <c r="K271" s="100">
        <v>45882</v>
      </c>
      <c r="L271" s="100"/>
      <c r="M271" s="27">
        <f ca="1">IF(OR(J271="",AND(L271="",TODAY()&lt;J271),AND(L271&lt;&gt;"",L271&lt;J271)),0,
   IF(L271="",
      NETWORKDAYS(J271,TODAY(),fESTIVOS!$A$2:$A$53),
      NETWORKDAYS(J271,L271,fESTIVOS!$A$2:$A$53)
   )
)</f>
        <v>115</v>
      </c>
      <c r="N271" s="101"/>
      <c r="O271" s="99"/>
      <c r="P271" s="101"/>
      <c r="Q271" s="34" t="s">
        <v>1342</v>
      </c>
      <c r="R271" s="113" t="s">
        <v>93</v>
      </c>
      <c r="S271" s="102"/>
      <c r="T271" s="102"/>
      <c r="U271" s="103"/>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row>
    <row r="272" spans="1:67" ht="29.25" hidden="1" customHeight="1">
      <c r="A272" s="93" t="s">
        <v>210</v>
      </c>
      <c r="B272" s="106" t="s">
        <v>1343</v>
      </c>
      <c r="C272" s="141" t="s">
        <v>1344</v>
      </c>
      <c r="D272" s="111"/>
      <c r="E272" s="97"/>
      <c r="F272" s="112" t="s">
        <v>76</v>
      </c>
      <c r="G272" s="98">
        <v>100</v>
      </c>
      <c r="H272" s="22">
        <f>IF(OR(J272="",K272="",K272&lt;J272),0,NETWORKDAYS(J272,K272,fESTIVOS!$A$2:$A$53))</f>
        <v>0</v>
      </c>
      <c r="I272" s="99">
        <v>45994</v>
      </c>
      <c r="J272" s="100">
        <v>45995</v>
      </c>
      <c r="K272" s="100"/>
      <c r="L272" s="100">
        <v>45995</v>
      </c>
      <c r="M272" s="27">
        <f ca="1">IF(OR(J272="",AND(L272="",TODAY()&lt;J272),AND(L272&lt;&gt;"",L272&lt;J272)),0,
   IF(L272="",
      NETWORKDAYS(J272,TODAY(),fESTIVOS!$A$2:$A$53),
      NETWORKDAYS(J272,L272,fESTIVOS!$A$2:$A$53)
   )
)</f>
        <v>1</v>
      </c>
      <c r="N272" s="101"/>
      <c r="O272" s="99"/>
      <c r="P272" s="101"/>
      <c r="Q272" s="34" t="s">
        <v>1345</v>
      </c>
      <c r="R272" s="113" t="s">
        <v>78</v>
      </c>
      <c r="S272" s="98"/>
      <c r="T272" s="98"/>
      <c r="U272" s="103"/>
      <c r="V272" s="201"/>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row>
    <row r="273" spans="1:67" ht="29.25" hidden="1" customHeight="1">
      <c r="A273" s="93" t="s">
        <v>210</v>
      </c>
      <c r="B273" s="106" t="s">
        <v>1346</v>
      </c>
      <c r="C273" s="141" t="s">
        <v>1347</v>
      </c>
      <c r="D273" s="111" t="s">
        <v>1348</v>
      </c>
      <c r="E273" s="97"/>
      <c r="F273" s="112" t="s">
        <v>76</v>
      </c>
      <c r="G273" s="98">
        <v>100</v>
      </c>
      <c r="H273" s="22">
        <f>IF(OR(J273="",K273="",K273&lt;J273),0,NETWORKDAYS(J273,K273,fESTIVOS!$A$2:$A$53))</f>
        <v>0</v>
      </c>
      <c r="I273" s="99">
        <v>45994</v>
      </c>
      <c r="J273" s="100">
        <v>45995</v>
      </c>
      <c r="K273" s="100"/>
      <c r="L273" s="100">
        <v>45995</v>
      </c>
      <c r="M273" s="27">
        <f ca="1">IF(OR(J273="",AND(L273="",TODAY()&lt;J273),AND(L273&lt;&gt;"",L273&lt;J273)),0,
   IF(L273="",
      NETWORKDAYS(J273,TODAY(),fESTIVOS!$A$2:$A$53),
      NETWORKDAYS(J273,L273,fESTIVOS!$A$2:$A$53)
   )
)</f>
        <v>1</v>
      </c>
      <c r="N273" s="101"/>
      <c r="O273" s="99"/>
      <c r="P273" s="101"/>
      <c r="Q273" s="34" t="s">
        <v>1349</v>
      </c>
      <c r="R273" s="113" t="s">
        <v>78</v>
      </c>
      <c r="S273" s="98"/>
      <c r="T273" s="98"/>
      <c r="U273" s="103"/>
      <c r="V273" s="201"/>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row>
    <row r="274" spans="1:67" ht="29.25" hidden="1" customHeight="1">
      <c r="A274" s="56" t="s">
        <v>157</v>
      </c>
      <c r="B274" s="17" t="s">
        <v>1350</v>
      </c>
      <c r="C274" s="142" t="s">
        <v>1351</v>
      </c>
      <c r="D274" s="150"/>
      <c r="E274" s="97"/>
      <c r="F274" s="122" t="s">
        <v>232</v>
      </c>
      <c r="G274" s="172"/>
      <c r="H274" s="22">
        <f>IF(OR(J274="",K274="",K274&lt;J274),0,NETWORKDAYS(J274,K274,fESTIVOS!$A$2:$A$53))</f>
        <v>0</v>
      </c>
      <c r="I274" s="99">
        <v>45883</v>
      </c>
      <c r="J274" s="100"/>
      <c r="K274" s="100"/>
      <c r="L274" s="100"/>
      <c r="M274" s="27">
        <f ca="1">IF(OR(J274="",AND(L274="",TODAY()&lt;J274),AND(L274&lt;&gt;"",L274&lt;J274)),0,
   IF(L274="",
      NETWORKDAYS(J274,TODAY(),fESTIVOS!$A$2:$A$53),
      NETWORKDAYS(J274,L274,fESTIVOS!$A$2:$A$53)
   )
)</f>
        <v>0</v>
      </c>
      <c r="N274" s="101"/>
      <c r="O274" s="99"/>
      <c r="P274" s="101"/>
      <c r="Q274" s="104"/>
      <c r="R274" s="113" t="s">
        <v>93</v>
      </c>
      <c r="S274" s="102"/>
      <c r="T274" s="102"/>
      <c r="U274" s="103"/>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row>
    <row r="275" spans="1:67" ht="29.25" hidden="1" customHeight="1">
      <c r="A275" s="93" t="s">
        <v>1352</v>
      </c>
      <c r="B275" s="106" t="s">
        <v>1353</v>
      </c>
      <c r="C275" s="141" t="s">
        <v>1354</v>
      </c>
      <c r="D275" s="111"/>
      <c r="E275" s="97"/>
      <c r="F275" s="199" t="s">
        <v>76</v>
      </c>
      <c r="G275" s="98">
        <v>100</v>
      </c>
      <c r="H275" s="22">
        <f>IF(OR(J275="",K275="",K275&lt;J275),0,NETWORKDAYS(J275,K275,fESTIVOS!$A$2:$A$53))</f>
        <v>0</v>
      </c>
      <c r="I275" s="99">
        <v>45994</v>
      </c>
      <c r="J275" s="100">
        <v>45994</v>
      </c>
      <c r="K275" s="100"/>
      <c r="L275" s="100">
        <v>45994</v>
      </c>
      <c r="M275" s="27">
        <f ca="1">IF(OR(J275="",AND(L275="",TODAY()&lt;J275),AND(L275&lt;&gt;"",L275&lt;J275)),0,
   IF(L275="",
      NETWORKDAYS(J275,TODAY(),fESTIVOS!$A$2:$A$53),
      NETWORKDAYS(J275,L275,fESTIVOS!$A$2:$A$53)
   )
)</f>
        <v>1</v>
      </c>
      <c r="N275" s="101"/>
      <c r="O275" s="99"/>
      <c r="P275" s="101"/>
      <c r="Q275" s="34" t="s">
        <v>1355</v>
      </c>
      <c r="R275" s="113" t="s">
        <v>78</v>
      </c>
      <c r="S275" s="98"/>
      <c r="T275" s="98"/>
      <c r="U275" s="103"/>
      <c r="V275" s="37"/>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row>
    <row r="276" spans="1:67" ht="29.25" hidden="1" customHeight="1">
      <c r="A276" s="93" t="s">
        <v>157</v>
      </c>
      <c r="B276" s="106" t="s">
        <v>1356</v>
      </c>
      <c r="C276" s="141" t="s">
        <v>1357</v>
      </c>
      <c r="D276" s="111" t="s">
        <v>1358</v>
      </c>
      <c r="E276" s="97"/>
      <c r="F276" s="199" t="s">
        <v>76</v>
      </c>
      <c r="G276" s="98">
        <v>100</v>
      </c>
      <c r="H276" s="22">
        <f>IF(OR(J276="",K276="",K276&lt;J276),0,NETWORKDAYS(J276,K276,fESTIVOS!$A$2:$A$53))</f>
        <v>0</v>
      </c>
      <c r="I276" s="99">
        <v>45986</v>
      </c>
      <c r="J276" s="100">
        <v>45987</v>
      </c>
      <c r="K276" s="100"/>
      <c r="L276" s="100">
        <v>45987</v>
      </c>
      <c r="M276" s="27">
        <f ca="1">IF(OR(J276="",AND(L276="",TODAY()&lt;J276),AND(L276&lt;&gt;"",L276&lt;J276)),0,
   IF(L276="",
      NETWORKDAYS(J276,TODAY(),fESTIVOS!$A$2:$A$53),
      NETWORKDAYS(J276,L276,fESTIVOS!$A$2:$A$53)
   )
)</f>
        <v>1</v>
      </c>
      <c r="N276" s="101"/>
      <c r="O276" s="99">
        <v>45987</v>
      </c>
      <c r="P276" s="101">
        <v>45994</v>
      </c>
      <c r="Q276" s="34" t="s">
        <v>1359</v>
      </c>
      <c r="R276" s="31" t="s">
        <v>78</v>
      </c>
      <c r="S276" s="98"/>
      <c r="T276" s="98"/>
      <c r="U276" s="103"/>
      <c r="V276" s="37"/>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row>
    <row r="277" spans="1:67" ht="29.25" hidden="1" customHeight="1">
      <c r="A277" s="93" t="s">
        <v>157</v>
      </c>
      <c r="B277" s="106" t="s">
        <v>1360</v>
      </c>
      <c r="C277" s="107" t="s">
        <v>1361</v>
      </c>
      <c r="D277" s="111" t="s">
        <v>1362</v>
      </c>
      <c r="E277" s="97"/>
      <c r="F277" s="122" t="s">
        <v>76</v>
      </c>
      <c r="G277" s="98">
        <v>100</v>
      </c>
      <c r="H277" s="22">
        <f>IF(OR(J277="",K277="",K277&lt;J277),0,NETWORKDAYS(J277,K277,fESTIVOS!$A$2:$A$53))</f>
        <v>0</v>
      </c>
      <c r="I277" s="99">
        <v>45932</v>
      </c>
      <c r="J277" s="100">
        <v>45933</v>
      </c>
      <c r="K277" s="100"/>
      <c r="L277" s="100">
        <v>45933</v>
      </c>
      <c r="M277" s="27">
        <f ca="1">IF(OR(J277="",AND(L277="",TODAY()&lt;J277),AND(L277&lt;&gt;"",L277&lt;J277)),0,
   IF(L277="",
      NETWORKDAYS(J277,TODAY(),fESTIVOS!$A$2:$A$53),
      NETWORKDAYS(J277,L277,fESTIVOS!$A$2:$A$53)
   )
)</f>
        <v>1</v>
      </c>
      <c r="N277" s="101"/>
      <c r="O277" s="99"/>
      <c r="P277" s="101"/>
      <c r="Q277" s="34" t="s">
        <v>1363</v>
      </c>
      <c r="R277" s="31" t="s">
        <v>78</v>
      </c>
      <c r="S277" s="98"/>
      <c r="T277" s="102"/>
      <c r="U277" s="103"/>
      <c r="V277" s="37"/>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row>
    <row r="278" spans="1:67" ht="29.25" hidden="1" customHeight="1">
      <c r="A278" s="93" t="s">
        <v>157</v>
      </c>
      <c r="B278" s="106" t="s">
        <v>1364</v>
      </c>
      <c r="C278" s="107" t="s">
        <v>1365</v>
      </c>
      <c r="D278" s="111" t="s">
        <v>1366</v>
      </c>
      <c r="E278" s="97"/>
      <c r="F278" s="122" t="s">
        <v>76</v>
      </c>
      <c r="G278" s="98">
        <v>100</v>
      </c>
      <c r="H278" s="22">
        <f>IF(OR(J278="",K278="",K278&lt;J278),0,NETWORKDAYS(J278,K278,fESTIVOS!$A$2:$A$53))</f>
        <v>2</v>
      </c>
      <c r="I278" s="99">
        <v>45917</v>
      </c>
      <c r="J278" s="100">
        <v>45922</v>
      </c>
      <c r="K278" s="100">
        <v>45923</v>
      </c>
      <c r="L278" s="100">
        <v>45929</v>
      </c>
      <c r="M278" s="27">
        <f ca="1">IF(OR(J278="",AND(L278="",TODAY()&lt;J278),AND(L278&lt;&gt;"",L278&lt;J278)),0,
   IF(L278="",
      NETWORKDAYS(J278,TODAY(),fESTIVOS!$A$2:$A$53),
      NETWORKDAYS(J278,L278,fESTIVOS!$A$2:$A$53)
   )
)</f>
        <v>6</v>
      </c>
      <c r="N278" s="101"/>
      <c r="O278" s="99">
        <v>45929</v>
      </c>
      <c r="P278" s="101">
        <v>45930</v>
      </c>
      <c r="Q278" s="34" t="s">
        <v>1367</v>
      </c>
      <c r="R278" s="31" t="s">
        <v>78</v>
      </c>
      <c r="S278" s="98"/>
      <c r="T278" s="102"/>
      <c r="U278" s="103"/>
      <c r="V278" s="37"/>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row>
    <row r="279" spans="1:67" ht="29.25" hidden="1" customHeight="1">
      <c r="A279" s="93" t="s">
        <v>157</v>
      </c>
      <c r="B279" s="106" t="s">
        <v>1368</v>
      </c>
      <c r="C279" s="107" t="s">
        <v>1369</v>
      </c>
      <c r="D279" s="111" t="s">
        <v>1370</v>
      </c>
      <c r="E279" s="97"/>
      <c r="F279" s="122" t="s">
        <v>76</v>
      </c>
      <c r="G279" s="98">
        <v>100</v>
      </c>
      <c r="H279" s="22">
        <f>IF(OR(J279="",K279="",K279&lt;J279),0,NETWORKDAYS(J279,K279,fESTIVOS!$A$2:$A$53))</f>
        <v>0</v>
      </c>
      <c r="I279" s="99">
        <v>45926</v>
      </c>
      <c r="J279" s="100">
        <v>45929</v>
      </c>
      <c r="K279" s="100"/>
      <c r="L279" s="100">
        <v>45929</v>
      </c>
      <c r="M279" s="27">
        <f ca="1">IF(OR(J279="",AND(L279="",TODAY()&lt;J279),AND(L279&lt;&gt;"",L279&lt;J279)),0,
   IF(L279="",
      NETWORKDAYS(J279,TODAY(),fESTIVOS!$A$2:$A$53),
      NETWORKDAYS(J279,L279,fESTIVOS!$A$2:$A$53)
   )
)</f>
        <v>1</v>
      </c>
      <c r="N279" s="101"/>
      <c r="O279" s="99"/>
      <c r="P279" s="101"/>
      <c r="Q279" s="34" t="s">
        <v>1371</v>
      </c>
      <c r="R279" s="31" t="s">
        <v>78</v>
      </c>
      <c r="S279" s="98"/>
      <c r="T279" s="102"/>
      <c r="U279" s="103"/>
      <c r="V279" s="37"/>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row>
    <row r="280" spans="1:67" ht="29.25" hidden="1" customHeight="1">
      <c r="A280" s="93" t="s">
        <v>157</v>
      </c>
      <c r="B280" s="106" t="s">
        <v>1372</v>
      </c>
      <c r="C280" s="107" t="s">
        <v>1373</v>
      </c>
      <c r="D280" s="111" t="s">
        <v>1374</v>
      </c>
      <c r="E280" s="97"/>
      <c r="F280" s="122" t="s">
        <v>76</v>
      </c>
      <c r="G280" s="98">
        <v>100</v>
      </c>
      <c r="H280" s="22">
        <f>IF(OR(J280="",K280="",K280&lt;J280),0,NETWORKDAYS(J280,K280,fESTIVOS!$A$2:$A$53))</f>
        <v>0</v>
      </c>
      <c r="I280" s="99">
        <v>45922</v>
      </c>
      <c r="J280" s="100">
        <v>45924</v>
      </c>
      <c r="K280" s="100"/>
      <c r="L280" s="100">
        <v>45925</v>
      </c>
      <c r="M280" s="27">
        <f ca="1">IF(OR(J280="",AND(L280="",TODAY()&lt;J280),AND(L280&lt;&gt;"",L280&lt;J280)),0,
   IF(L280="",
      NETWORKDAYS(J280,TODAY(),fESTIVOS!$A$2:$A$53),
      NETWORKDAYS(J280,L280,fESTIVOS!$A$2:$A$53)
   )
)</f>
        <v>2</v>
      </c>
      <c r="N280" s="101"/>
      <c r="O280" s="99"/>
      <c r="P280" s="101"/>
      <c r="Q280" s="34" t="s">
        <v>1375</v>
      </c>
      <c r="R280" s="31" t="s">
        <v>78</v>
      </c>
      <c r="S280" s="98"/>
      <c r="T280" s="102"/>
      <c r="U280" s="103"/>
      <c r="V280" s="37"/>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row>
    <row r="281" spans="1:67" ht="29.25" hidden="1" customHeight="1">
      <c r="A281" s="93" t="s">
        <v>157</v>
      </c>
      <c r="B281" s="106" t="s">
        <v>1376</v>
      </c>
      <c r="C281" s="107" t="s">
        <v>1377</v>
      </c>
      <c r="D281" s="111" t="s">
        <v>1378</v>
      </c>
      <c r="E281" s="97"/>
      <c r="F281" s="122" t="s">
        <v>76</v>
      </c>
      <c r="G281" s="98">
        <v>100</v>
      </c>
      <c r="H281" s="22">
        <f>IF(OR(J281="",K281="",K281&lt;J281),0,NETWORKDAYS(J281,K281,fESTIVOS!$A$2:$A$53))</f>
        <v>0</v>
      </c>
      <c r="I281" s="99">
        <v>45915</v>
      </c>
      <c r="J281" s="100">
        <v>45916</v>
      </c>
      <c r="K281" s="100"/>
      <c r="L281" s="100">
        <v>45919</v>
      </c>
      <c r="M281" s="27">
        <f ca="1">IF(OR(J281="",AND(L281="",TODAY()&lt;J281),AND(L281&lt;&gt;"",L281&lt;J281)),0,
   IF(L281="",
      NETWORKDAYS(J281,TODAY(),fESTIVOS!$A$2:$A$53),
      NETWORKDAYS(J281,L281,fESTIVOS!$A$2:$A$53)
   )
)</f>
        <v>4</v>
      </c>
      <c r="N281" s="101"/>
      <c r="O281" s="99"/>
      <c r="P281" s="101"/>
      <c r="Q281" s="34" t="s">
        <v>1379</v>
      </c>
      <c r="R281" s="31" t="s">
        <v>78</v>
      </c>
      <c r="S281" s="98"/>
      <c r="T281" s="102"/>
      <c r="U281" s="103"/>
      <c r="V281" s="37"/>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row>
    <row r="282" spans="1:67" ht="29.25" hidden="1" customHeight="1">
      <c r="A282" s="93" t="s">
        <v>157</v>
      </c>
      <c r="B282" s="106" t="s">
        <v>1380</v>
      </c>
      <c r="C282" s="107" t="s">
        <v>1381</v>
      </c>
      <c r="D282" s="111" t="s">
        <v>1382</v>
      </c>
      <c r="E282" s="97"/>
      <c r="F282" s="122" t="s">
        <v>76</v>
      </c>
      <c r="G282" s="98">
        <v>100</v>
      </c>
      <c r="H282" s="22">
        <f>IF(OR(J282="",K282="",K282&lt;J282),0,NETWORKDAYS(J282,K282,fESTIVOS!$A$2:$A$53))</f>
        <v>0</v>
      </c>
      <c r="I282" s="99">
        <v>45904</v>
      </c>
      <c r="J282" s="100">
        <v>45905</v>
      </c>
      <c r="K282" s="100"/>
      <c r="L282" s="100">
        <v>45905</v>
      </c>
      <c r="M282" s="27">
        <f ca="1">IF(OR(J282="",AND(L282="",TODAY()&lt;J282),AND(L282&lt;&gt;"",L282&lt;J282)),0,
   IF(L282="",
      NETWORKDAYS(J282,TODAY(),fESTIVOS!$A$2:$A$53),
      NETWORKDAYS(J282,L282,fESTIVOS!$A$2:$A$53)
   )
)</f>
        <v>1</v>
      </c>
      <c r="N282" s="101"/>
      <c r="O282" s="99">
        <v>45910</v>
      </c>
      <c r="P282" s="101">
        <v>45905</v>
      </c>
      <c r="Q282" s="34" t="s">
        <v>1383</v>
      </c>
      <c r="R282" s="31" t="s">
        <v>78</v>
      </c>
      <c r="S282" s="98"/>
      <c r="T282" s="102"/>
      <c r="U282" s="103"/>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row>
    <row r="283" spans="1:67" ht="29.25" hidden="1" customHeight="1">
      <c r="A283" s="93" t="s">
        <v>128</v>
      </c>
      <c r="B283" s="106" t="s">
        <v>1384</v>
      </c>
      <c r="C283" s="107" t="s">
        <v>1385</v>
      </c>
      <c r="D283" s="96" t="s">
        <v>1386</v>
      </c>
      <c r="E283" s="97"/>
      <c r="F283" s="122" t="s">
        <v>76</v>
      </c>
      <c r="G283" s="98">
        <v>100</v>
      </c>
      <c r="H283" s="22">
        <f>IF(OR(J283="",K283="",K283&lt;J283),0,NETWORKDAYS(J283,K283,fESTIVOS!$A$2:$A$53))</f>
        <v>0</v>
      </c>
      <c r="I283" s="99">
        <v>45896</v>
      </c>
      <c r="J283" s="100">
        <v>45898</v>
      </c>
      <c r="K283" s="100"/>
      <c r="L283" s="100">
        <v>45898</v>
      </c>
      <c r="M283" s="27">
        <f ca="1">IF(OR(J283="",AND(L283="",TODAY()&lt;J283),AND(L283&lt;&gt;"",L283&lt;J283)),0,
   IF(L283="",
      NETWORKDAYS(J283,TODAY(),fESTIVOS!$A$2:$A$53),
      NETWORKDAYS(J283,L283,fESTIVOS!$A$2:$A$53)
   )
)</f>
        <v>1</v>
      </c>
      <c r="N283" s="101"/>
      <c r="O283" s="99"/>
      <c r="P283" s="101">
        <v>45898</v>
      </c>
      <c r="Q283" s="34" t="s">
        <v>1387</v>
      </c>
      <c r="R283" s="31" t="s">
        <v>78</v>
      </c>
      <c r="S283" s="102"/>
      <c r="T283" s="102"/>
      <c r="U283" s="103"/>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row>
    <row r="284" spans="1:67" ht="29.25" hidden="1" customHeight="1">
      <c r="A284" s="93" t="s">
        <v>465</v>
      </c>
      <c r="B284" s="106" t="s">
        <v>1388</v>
      </c>
      <c r="C284" s="107" t="s">
        <v>1389</v>
      </c>
      <c r="D284" s="96" t="s">
        <v>1390</v>
      </c>
      <c r="E284" s="97"/>
      <c r="F284" s="122" t="s">
        <v>76</v>
      </c>
      <c r="G284" s="98">
        <v>100</v>
      </c>
      <c r="H284" s="22">
        <f>IF(OR(J284="",K284="",K284&lt;J284),0,NETWORKDAYS(J284,K284,fESTIVOS!$A$2:$A$53))</f>
        <v>0</v>
      </c>
      <c r="I284" s="99">
        <v>45945</v>
      </c>
      <c r="J284" s="100">
        <v>45946</v>
      </c>
      <c r="K284" s="100"/>
      <c r="L284" s="100">
        <v>45954</v>
      </c>
      <c r="M284" s="27">
        <f ca="1">IF(OR(J284="",AND(L284="",TODAY()&lt;J284),AND(L284&lt;&gt;"",L284&lt;J284)),0,
   IF(L284="",
      NETWORKDAYS(J284,TODAY(),fESTIVOS!$A$2:$A$53),
      NETWORKDAYS(J284,L284,fESTIVOS!$A$2:$A$53)
   )
)</f>
        <v>7</v>
      </c>
      <c r="N284" s="101"/>
      <c r="O284" s="99">
        <v>45954</v>
      </c>
      <c r="P284" s="101">
        <v>45954</v>
      </c>
      <c r="Q284" s="34" t="s">
        <v>1391</v>
      </c>
      <c r="R284" s="31" t="s">
        <v>78</v>
      </c>
      <c r="S284" s="102"/>
      <c r="T284" s="102"/>
      <c r="U284" s="103"/>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row>
    <row r="285" spans="1:67" ht="29.25" hidden="1" customHeight="1">
      <c r="A285" s="93" t="s">
        <v>157</v>
      </c>
      <c r="B285" s="106" t="s">
        <v>1392</v>
      </c>
      <c r="C285" s="142" t="s">
        <v>1393</v>
      </c>
      <c r="D285" s="96" t="s">
        <v>1394</v>
      </c>
      <c r="E285" s="97"/>
      <c r="F285" s="122" t="s">
        <v>232</v>
      </c>
      <c r="G285" s="172"/>
      <c r="H285" s="22">
        <f>IF(OR(J285="",K285="",K285&lt;J285),0,NETWORKDAYS(J285,K285,fESTIVOS!$A$2:$A$53))</f>
        <v>0</v>
      </c>
      <c r="I285" s="99">
        <v>45895</v>
      </c>
      <c r="J285" s="100"/>
      <c r="K285" s="100"/>
      <c r="L285" s="100"/>
      <c r="M285" s="27">
        <f ca="1">IF(OR(J285="",AND(L285="",TODAY()&lt;J285),AND(L285&lt;&gt;"",L285&lt;J285)),0,
   IF(L285="",
      NETWORKDAYS(J285,TODAY(),fESTIVOS!$A$2:$A$53),
      NETWORKDAYS(J285,L285,fESTIVOS!$A$2:$A$53)
   )
)</f>
        <v>0</v>
      </c>
      <c r="N285" s="126"/>
      <c r="O285" s="202"/>
      <c r="P285" s="203"/>
      <c r="Q285" s="34" t="s">
        <v>1395</v>
      </c>
      <c r="R285" s="31" t="s">
        <v>93</v>
      </c>
      <c r="S285" s="164"/>
      <c r="T285" s="164"/>
      <c r="U285" s="162"/>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row>
    <row r="286" spans="1:67" ht="29.25" hidden="1" customHeight="1">
      <c r="A286" s="93" t="s">
        <v>157</v>
      </c>
      <c r="B286" s="106" t="s">
        <v>1396</v>
      </c>
      <c r="C286" s="141" t="s">
        <v>1397</v>
      </c>
      <c r="D286" s="163"/>
      <c r="E286" s="97"/>
      <c r="F286" s="122" t="s">
        <v>76</v>
      </c>
      <c r="G286" s="98">
        <v>100</v>
      </c>
      <c r="H286" s="22">
        <f>IF(OR(J286="",K286="",K286&lt;J286),0,NETWORKDAYS(J286,K286,fESTIVOS!$A$2:$A$53))</f>
        <v>0</v>
      </c>
      <c r="I286" s="99">
        <v>45993</v>
      </c>
      <c r="J286" s="100">
        <v>45994</v>
      </c>
      <c r="K286" s="100"/>
      <c r="L286" s="100">
        <v>45995</v>
      </c>
      <c r="M286" s="27">
        <f ca="1">IF(OR(J286="",AND(L286="",TODAY()&lt;J286),AND(L286&lt;&gt;"",L286&lt;J286)),0,
   IF(L286="",
      NETWORKDAYS(J286,TODAY(),fESTIVOS!$A$2:$A$53),
      NETWORKDAYS(J286,L286,fESTIVOS!$A$2:$A$53)
   )
)</f>
        <v>2</v>
      </c>
      <c r="N286" s="101"/>
      <c r="O286" s="99"/>
      <c r="P286" s="101"/>
      <c r="Q286" s="34" t="s">
        <v>1398</v>
      </c>
      <c r="R286" s="31" t="s">
        <v>78</v>
      </c>
      <c r="S286" s="164"/>
      <c r="T286" s="165"/>
      <c r="U286" s="162"/>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row>
    <row r="287" spans="1:67" ht="29.25" hidden="1" customHeight="1">
      <c r="A287" s="93" t="s">
        <v>157</v>
      </c>
      <c r="B287" s="106" t="s">
        <v>1399</v>
      </c>
      <c r="C287" s="142" t="s">
        <v>1400</v>
      </c>
      <c r="D287" s="204" t="s">
        <v>1401</v>
      </c>
      <c r="E287" s="97"/>
      <c r="F287" s="122" t="s">
        <v>232</v>
      </c>
      <c r="G287" s="172"/>
      <c r="H287" s="22">
        <f>IF(OR(J287="",K287="",K287&lt;J287),0,NETWORKDAYS(J287,K287,fESTIVOS!$A$2:$A$53))</f>
        <v>0</v>
      </c>
      <c r="I287" s="99">
        <v>45903</v>
      </c>
      <c r="J287" s="100"/>
      <c r="K287" s="100"/>
      <c r="L287" s="100"/>
      <c r="M287" s="27">
        <f ca="1">IF(OR(J287="",AND(L287="",TODAY()&lt;J287),AND(L287&lt;&gt;"",L287&lt;J287)),0,
   IF(L287="",
      NETWORKDAYS(J287,TODAY(),fESTIVOS!$A$2:$A$53),
      NETWORKDAYS(J287,L287,fESTIVOS!$A$2:$A$53)
   )
)</f>
        <v>0</v>
      </c>
      <c r="N287" s="101"/>
      <c r="O287" s="99"/>
      <c r="P287" s="101"/>
      <c r="Q287" s="34"/>
      <c r="R287" s="31" t="s">
        <v>93</v>
      </c>
      <c r="S287" s="164"/>
      <c r="T287" s="164"/>
      <c r="U287" s="162"/>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row>
    <row r="288" spans="1:67" ht="29.25" hidden="1" customHeight="1">
      <c r="A288" s="93" t="s">
        <v>214</v>
      </c>
      <c r="B288" s="106" t="s">
        <v>1402</v>
      </c>
      <c r="C288" s="120" t="s">
        <v>1403</v>
      </c>
      <c r="D288" s="111"/>
      <c r="E288" s="97"/>
      <c r="F288" s="112" t="s">
        <v>232</v>
      </c>
      <c r="G288" s="98"/>
      <c r="H288" s="22">
        <f>IF(OR(J288="",K288="",K288&lt;J288),0,NETWORKDAYS(J288,K288,fESTIVOS!$A$2:$A$53))</f>
        <v>0</v>
      </c>
      <c r="I288" s="99">
        <v>45994</v>
      </c>
      <c r="J288" s="100"/>
      <c r="K288" s="100"/>
      <c r="L288" s="100"/>
      <c r="M288" s="27">
        <f ca="1">IF(OR(J288="",AND(L288="",TODAY()&lt;J288),AND(L288&lt;&gt;"",L288&lt;J288)),0,
   IF(L288="",
      NETWORKDAYS(J288,TODAY(),fESTIVOS!$A$2:$A$53),
      NETWORKDAYS(J288,L288,fESTIVOS!$A$2:$A$53)
   )
)</f>
        <v>0</v>
      </c>
      <c r="N288" s="101"/>
      <c r="O288" s="99"/>
      <c r="P288" s="101"/>
      <c r="Q288" s="34"/>
      <c r="R288" s="31" t="s">
        <v>596</v>
      </c>
      <c r="S288" s="165"/>
      <c r="T288" s="165"/>
      <c r="U288" s="162"/>
      <c r="V288" s="201"/>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row>
    <row r="289" spans="1:67" ht="29.25" hidden="1" customHeight="1">
      <c r="A289" s="93" t="s">
        <v>157</v>
      </c>
      <c r="B289" s="106" t="s">
        <v>1404</v>
      </c>
      <c r="C289" s="142" t="s">
        <v>1405</v>
      </c>
      <c r="D289" s="111" t="s">
        <v>1406</v>
      </c>
      <c r="E289" s="97"/>
      <c r="F289" s="122" t="s">
        <v>232</v>
      </c>
      <c r="G289" s="98"/>
      <c r="H289" s="22">
        <f>IF(OR(J289="",K289="",K289&lt;J289),0,NETWORKDAYS(J289,K289,fESTIVOS!$A$2:$A$53))</f>
        <v>0</v>
      </c>
      <c r="I289" s="99">
        <v>45931</v>
      </c>
      <c r="J289" s="100"/>
      <c r="K289" s="100"/>
      <c r="L289" s="100"/>
      <c r="M289" s="27">
        <f ca="1">IF(OR(J289="",AND(L289="",TODAY()&lt;J289),AND(L289&lt;&gt;"",L289&lt;J289)),0,
   IF(L289="",
      NETWORKDAYS(J289,TODAY(),fESTIVOS!$A$2:$A$53),
      NETWORKDAYS(J289,L289,fESTIVOS!$A$2:$A$53)
   )
)</f>
        <v>0</v>
      </c>
      <c r="N289" s="101"/>
      <c r="O289" s="99"/>
      <c r="P289" s="101"/>
      <c r="Q289" s="34"/>
      <c r="R289" s="31" t="s">
        <v>93</v>
      </c>
      <c r="S289" s="165"/>
      <c r="T289" s="164"/>
      <c r="U289" s="162"/>
      <c r="V289" s="37"/>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row>
    <row r="290" spans="1:67" ht="29.25" hidden="1" customHeight="1">
      <c r="A290" s="93" t="s">
        <v>1046</v>
      </c>
      <c r="B290" s="106" t="s">
        <v>1407</v>
      </c>
      <c r="C290" s="141" t="s">
        <v>1408</v>
      </c>
      <c r="D290" s="121" t="s">
        <v>1409</v>
      </c>
      <c r="E290" s="97"/>
      <c r="F290" s="122" t="s">
        <v>76</v>
      </c>
      <c r="G290" s="98">
        <v>100</v>
      </c>
      <c r="H290" s="22">
        <f>IF(OR(J290="",K290="",K290&lt;J290),0,NETWORKDAYS(J290,K290,fESTIVOS!$A$2:$A$53))</f>
        <v>0</v>
      </c>
      <c r="I290" s="99">
        <v>45988</v>
      </c>
      <c r="J290" s="100">
        <v>45992</v>
      </c>
      <c r="K290" s="100"/>
      <c r="L290" s="100">
        <v>46009</v>
      </c>
      <c r="M290" s="27">
        <f ca="1">IF(OR(J290="",AND(L290="",TODAY()&lt;J290),AND(L290&lt;&gt;"",L290&lt;J290)),0,
   IF(L290="",
      NETWORKDAYS(J290,TODAY(),fESTIVOS!$A$2:$A$53),
      NETWORKDAYS(J290,L290,fESTIVOS!$A$2:$A$53)
   )
)</f>
        <v>13</v>
      </c>
      <c r="N290" s="101"/>
      <c r="O290" s="99"/>
      <c r="P290" s="101"/>
      <c r="Q290" s="34" t="s">
        <v>1410</v>
      </c>
      <c r="R290" s="31" t="s">
        <v>78</v>
      </c>
      <c r="S290" s="164"/>
      <c r="T290" s="165"/>
      <c r="U290" s="162"/>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row>
    <row r="291" spans="1:67" ht="29.25" hidden="1" customHeight="1">
      <c r="A291" s="93" t="s">
        <v>157</v>
      </c>
      <c r="B291" s="106" t="s">
        <v>1411</v>
      </c>
      <c r="C291" s="141" t="s">
        <v>1412</v>
      </c>
      <c r="D291" s="121" t="s">
        <v>1413</v>
      </c>
      <c r="E291" s="97"/>
      <c r="F291" s="122" t="s">
        <v>76</v>
      </c>
      <c r="G291" s="98">
        <v>100</v>
      </c>
      <c r="H291" s="22">
        <f>IF(OR(J291="",K291="",K291&lt;J291),0,NETWORKDAYS(J291,K291,fESTIVOS!$A$2:$A$53))</f>
        <v>0</v>
      </c>
      <c r="I291" s="99">
        <v>45994</v>
      </c>
      <c r="J291" s="100">
        <v>45994</v>
      </c>
      <c r="K291" s="100"/>
      <c r="L291" s="100">
        <v>45994</v>
      </c>
      <c r="M291" s="27">
        <f ca="1">IF(OR(J291="",AND(L291="",TODAY()&lt;J291),AND(L291&lt;&gt;"",L291&lt;J291)),0,
   IF(L291="",
      NETWORKDAYS(J291,TODAY(),fESTIVOS!$A$2:$A$53),
      NETWORKDAYS(J291,L291,fESTIVOS!$A$2:$A$53)
   )
)</f>
        <v>1</v>
      </c>
      <c r="N291" s="101"/>
      <c r="O291" s="99"/>
      <c r="P291" s="101"/>
      <c r="Q291" s="34" t="s">
        <v>1414</v>
      </c>
      <c r="R291" s="31" t="s">
        <v>78</v>
      </c>
      <c r="S291" s="164"/>
      <c r="T291" s="165"/>
      <c r="U291" s="162"/>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row>
    <row r="292" spans="1:67" ht="29.25" hidden="1" customHeight="1">
      <c r="A292" s="93" t="s">
        <v>157</v>
      </c>
      <c r="B292" s="106" t="s">
        <v>1415</v>
      </c>
      <c r="C292" s="141" t="s">
        <v>1416</v>
      </c>
      <c r="D292" s="121" t="s">
        <v>1417</v>
      </c>
      <c r="E292" s="97"/>
      <c r="F292" s="122" t="s">
        <v>76</v>
      </c>
      <c r="G292" s="98">
        <v>100</v>
      </c>
      <c r="H292" s="22">
        <f>IF(OR(J292="",K292="",K292&lt;J292),0,NETWORKDAYS(J292,K292,fESTIVOS!$A$2:$A$53))</f>
        <v>0</v>
      </c>
      <c r="I292" s="99">
        <v>45986</v>
      </c>
      <c r="J292" s="100">
        <v>45987</v>
      </c>
      <c r="K292" s="100"/>
      <c r="L292" s="100">
        <v>45987</v>
      </c>
      <c r="M292" s="27">
        <f ca="1">IF(OR(J292="",AND(L292="",TODAY()&lt;J292),AND(L292&lt;&gt;"",L292&lt;J292)),0,
   IF(L292="",
      NETWORKDAYS(J292,TODAY(),fESTIVOS!$A$2:$A$53),
      NETWORKDAYS(J292,L292,fESTIVOS!$A$2:$A$53)
   )
)</f>
        <v>1</v>
      </c>
      <c r="N292" s="101"/>
      <c r="O292" s="99">
        <v>45987</v>
      </c>
      <c r="P292" s="101">
        <v>45987</v>
      </c>
      <c r="Q292" s="34" t="s">
        <v>1418</v>
      </c>
      <c r="R292" s="31" t="s">
        <v>78</v>
      </c>
      <c r="S292" s="164"/>
      <c r="T292" s="165"/>
      <c r="U292" s="162"/>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row>
    <row r="293" spans="1:67" ht="29.25" hidden="1" customHeight="1">
      <c r="A293" s="93" t="s">
        <v>157</v>
      </c>
      <c r="B293" s="106" t="s">
        <v>1419</v>
      </c>
      <c r="C293" s="141" t="s">
        <v>1420</v>
      </c>
      <c r="D293" s="163" t="s">
        <v>1421</v>
      </c>
      <c r="E293" s="97"/>
      <c r="F293" s="122" t="s">
        <v>76</v>
      </c>
      <c r="G293" s="98">
        <v>100</v>
      </c>
      <c r="H293" s="22">
        <f>IF(OR(J293="",K293="",K293&lt;J293),0,NETWORKDAYS(J293,K293,fESTIVOS!$A$2:$A$53))</f>
        <v>0</v>
      </c>
      <c r="I293" s="99">
        <v>45986</v>
      </c>
      <c r="J293" s="100">
        <v>45986</v>
      </c>
      <c r="K293" s="100"/>
      <c r="L293" s="100">
        <v>45986</v>
      </c>
      <c r="M293" s="27">
        <f ca="1">IF(OR(J293="",AND(L293="",TODAY()&lt;J293),AND(L293&lt;&gt;"",L293&lt;J293)),0,
   IF(L293="",
      NETWORKDAYS(J293,TODAY(),fESTIVOS!$A$2:$A$53),
      NETWORKDAYS(J293,L293,fESTIVOS!$A$2:$A$53)
   )
)</f>
        <v>1</v>
      </c>
      <c r="N293" s="101"/>
      <c r="O293" s="99"/>
      <c r="P293" s="101"/>
      <c r="Q293" s="34" t="s">
        <v>1422</v>
      </c>
      <c r="R293" s="31" t="s">
        <v>78</v>
      </c>
      <c r="S293" s="164"/>
      <c r="T293" s="165"/>
      <c r="U293" s="162"/>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row>
    <row r="294" spans="1:67" ht="29.25" hidden="1" customHeight="1">
      <c r="A294" s="93" t="s">
        <v>157</v>
      </c>
      <c r="B294" s="106" t="s">
        <v>1423</v>
      </c>
      <c r="C294" s="141" t="s">
        <v>1424</v>
      </c>
      <c r="D294" s="121" t="s">
        <v>1425</v>
      </c>
      <c r="E294" s="97"/>
      <c r="F294" s="122" t="s">
        <v>76</v>
      </c>
      <c r="G294" s="98">
        <v>100</v>
      </c>
      <c r="H294" s="22">
        <f>IF(OR(J294="",K294="",K294&lt;J294),0,NETWORKDAYS(J294,K294,fESTIVOS!$A$2:$A$53))</f>
        <v>0</v>
      </c>
      <c r="I294" s="99">
        <v>45981</v>
      </c>
      <c r="J294" s="100">
        <v>45981</v>
      </c>
      <c r="K294" s="100"/>
      <c r="L294" s="100">
        <v>45981</v>
      </c>
      <c r="M294" s="27">
        <f ca="1">IF(OR(J294="",AND(L294="",TODAY()&lt;J294),AND(L294&lt;&gt;"",L294&lt;J294)),0,
   IF(L294="",
      NETWORKDAYS(J294,TODAY(),fESTIVOS!$A$2:$A$53),
      NETWORKDAYS(J294,L294,fESTIVOS!$A$2:$A$53)
   )
)</f>
        <v>1</v>
      </c>
      <c r="N294" s="101"/>
      <c r="O294" s="99"/>
      <c r="P294" s="101"/>
      <c r="Q294" s="34" t="s">
        <v>1426</v>
      </c>
      <c r="R294" s="31" t="s">
        <v>78</v>
      </c>
      <c r="S294" s="164"/>
      <c r="T294" s="165"/>
      <c r="U294" s="162"/>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row>
    <row r="295" spans="1:67" ht="29.25" hidden="1" customHeight="1">
      <c r="A295" s="93" t="s">
        <v>128</v>
      </c>
      <c r="B295" s="205" t="s">
        <v>1427</v>
      </c>
      <c r="C295" s="142" t="s">
        <v>1428</v>
      </c>
      <c r="D295" s="96"/>
      <c r="E295" s="97"/>
      <c r="F295" s="122" t="s">
        <v>76</v>
      </c>
      <c r="G295" s="98">
        <v>100</v>
      </c>
      <c r="H295" s="22">
        <f>IF(OR(J295="",K295="",K295&lt;J295),0,NETWORKDAYS(J295,K295,fESTIVOS!$A$2:$A$53))</f>
        <v>0</v>
      </c>
      <c r="I295" s="99">
        <v>45664</v>
      </c>
      <c r="J295" s="206">
        <v>45664</v>
      </c>
      <c r="K295" s="100"/>
      <c r="L295" s="100">
        <v>45665</v>
      </c>
      <c r="M295" s="27">
        <f ca="1">IF(OR(J295="",AND(L295="",TODAY()&lt;J295),AND(L295&lt;&gt;"",L295&lt;J295)),0,
   IF(L295="",
      NETWORKDAYS(J295,TODAY(),fESTIVOS!$A$2:$A$53),
      NETWORKDAYS(J295,L295,fESTIVOS!$A$2:$A$53)
   )
)</f>
        <v>2</v>
      </c>
      <c r="N295" s="101"/>
      <c r="O295" s="99"/>
      <c r="P295" s="101">
        <v>45665</v>
      </c>
      <c r="Q295" s="34" t="s">
        <v>1429</v>
      </c>
      <c r="R295" s="31" t="s">
        <v>78</v>
      </c>
      <c r="S295" s="102"/>
      <c r="T295" s="102"/>
      <c r="U295" s="103"/>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row>
    <row r="296" spans="1:67" ht="29.25" hidden="1" customHeight="1">
      <c r="A296" s="93" t="s">
        <v>128</v>
      </c>
      <c r="B296" s="205" t="s">
        <v>1430</v>
      </c>
      <c r="C296" s="142" t="s">
        <v>1431</v>
      </c>
      <c r="D296" s="126"/>
      <c r="E296" s="126"/>
      <c r="F296" s="117" t="s">
        <v>76</v>
      </c>
      <c r="G296" s="59">
        <v>100</v>
      </c>
      <c r="H296" s="22">
        <f>IF(OR(J296="",K296="",K296&lt;J296),0,NETWORKDAYS(J296,K296,fESTIVOS!$A$2:$A$53))</f>
        <v>33</v>
      </c>
      <c r="I296" s="60">
        <v>45726</v>
      </c>
      <c r="J296" s="70">
        <v>45726</v>
      </c>
      <c r="K296" s="61">
        <v>45775</v>
      </c>
      <c r="L296" s="61">
        <v>45758</v>
      </c>
      <c r="M296" s="27">
        <f ca="1">IF(OR(J296="",AND(L296="",TODAY()&lt;J296),AND(L296&lt;&gt;"",L296&lt;J296)),0,
   IF(L296="",
      NETWORKDAYS(J296,TODAY(),fESTIVOS!$A$2:$A$53),
      NETWORKDAYS(J296,L296,fESTIVOS!$A$2:$A$53)
   )
)</f>
        <v>24</v>
      </c>
      <c r="N296" s="207"/>
      <c r="O296" s="208"/>
      <c r="P296" s="62">
        <v>45757</v>
      </c>
      <c r="Q296" s="209" t="s">
        <v>1432</v>
      </c>
      <c r="R296" s="31" t="s">
        <v>78</v>
      </c>
      <c r="S296" s="102"/>
      <c r="T296" s="102"/>
      <c r="U296" s="122" t="s">
        <v>1433</v>
      </c>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row>
    <row r="297" spans="1:67" ht="29.25" hidden="1" customHeight="1">
      <c r="A297" s="93" t="s">
        <v>128</v>
      </c>
      <c r="B297" s="205" t="s">
        <v>1434</v>
      </c>
      <c r="C297" s="142" t="s">
        <v>1435</v>
      </c>
      <c r="D297" s="96"/>
      <c r="E297" s="97"/>
      <c r="F297" s="122" t="s">
        <v>76</v>
      </c>
      <c r="G297" s="98">
        <v>100</v>
      </c>
      <c r="H297" s="22">
        <f>IF(OR(J297="",K297="",K297&lt;J297),0,NETWORKDAYS(J297,K297,fESTIVOS!$A$2:$A$53))</f>
        <v>0</v>
      </c>
      <c r="I297" s="210">
        <v>45307</v>
      </c>
      <c r="J297" s="211">
        <v>45677</v>
      </c>
      <c r="K297" s="211"/>
      <c r="L297" s="211">
        <v>45678</v>
      </c>
      <c r="M297" s="27">
        <f ca="1">IF(OR(J297="",AND(L297="",TODAY()&lt;J297),AND(L297&lt;&gt;"",L297&lt;J297)),0,
   IF(L297="",
      NETWORKDAYS(J297,TODAY(),fESTIVOS!$A$2:$A$53),
      NETWORKDAYS(J297,L297,fESTIVOS!$A$2:$A$53)
   )
)</f>
        <v>2</v>
      </c>
      <c r="N297" s="101"/>
      <c r="O297" s="99"/>
      <c r="P297" s="101">
        <v>45678</v>
      </c>
      <c r="Q297" s="34" t="s">
        <v>1436</v>
      </c>
      <c r="R297" s="31" t="s">
        <v>78</v>
      </c>
      <c r="S297" s="102"/>
      <c r="T297" s="102"/>
      <c r="U297" s="103"/>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row>
    <row r="298" spans="1:67" ht="29.25" hidden="1" customHeight="1">
      <c r="A298" s="93" t="s">
        <v>128</v>
      </c>
      <c r="B298" s="205" t="s">
        <v>1437</v>
      </c>
      <c r="C298" s="142" t="s">
        <v>1438</v>
      </c>
      <c r="D298" s="96"/>
      <c r="E298" s="97"/>
      <c r="F298" s="122" t="s">
        <v>76</v>
      </c>
      <c r="G298" s="98">
        <v>100</v>
      </c>
      <c r="H298" s="22">
        <f>IF(OR(J298="",K298="",K298&lt;J298),0,NETWORKDAYS(J298,K298,fESTIVOS!$A$2:$A$53))</f>
        <v>0</v>
      </c>
      <c r="I298" s="212">
        <v>45678</v>
      </c>
      <c r="J298" s="211">
        <v>45678</v>
      </c>
      <c r="K298" s="100"/>
      <c r="L298" s="213">
        <v>45680</v>
      </c>
      <c r="M298" s="27">
        <f ca="1">IF(OR(J298="",AND(L298="",TODAY()&lt;J298),AND(L298&lt;&gt;"",L298&lt;J298)),0,
   IF(L298="",
      NETWORKDAYS(J298,TODAY(),fESTIVOS!$A$2:$A$53),
      NETWORKDAYS(J298,L298,fESTIVOS!$A$2:$A$53)
   )
)</f>
        <v>3</v>
      </c>
      <c r="N298" s="101"/>
      <c r="O298" s="99"/>
      <c r="P298" s="214">
        <v>45680</v>
      </c>
      <c r="Q298" s="34" t="s">
        <v>1439</v>
      </c>
      <c r="R298" s="31" t="s">
        <v>78</v>
      </c>
      <c r="S298" s="102"/>
      <c r="T298" s="102"/>
      <c r="U298" s="103"/>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row>
    <row r="299" spans="1:67" ht="29.25" hidden="1" customHeight="1">
      <c r="A299" s="93" t="s">
        <v>128</v>
      </c>
      <c r="B299" s="205" t="s">
        <v>1440</v>
      </c>
      <c r="C299" s="142" t="s">
        <v>1441</v>
      </c>
      <c r="D299" s="96"/>
      <c r="E299" s="97"/>
      <c r="F299" s="122" t="s">
        <v>76</v>
      </c>
      <c r="G299" s="98">
        <v>100</v>
      </c>
      <c r="H299" s="22">
        <f>IF(OR(J299="",K299="",K299&lt;J299),0,NETWORKDAYS(J299,K299,fESTIVOS!$A$2:$A$53))</f>
        <v>0</v>
      </c>
      <c r="I299" s="99">
        <v>45678</v>
      </c>
      <c r="J299" s="100">
        <v>45678</v>
      </c>
      <c r="K299" s="100"/>
      <c r="L299" s="100">
        <v>45680</v>
      </c>
      <c r="M299" s="27">
        <f ca="1">IF(OR(J299="",AND(L299="",TODAY()&lt;J299),AND(L299&lt;&gt;"",L299&lt;J299)),0,
   IF(L299="",
      NETWORKDAYS(J299,TODAY(),fESTIVOS!$A$2:$A$53),
      NETWORKDAYS(J299,L299,fESTIVOS!$A$2:$A$53)
   )
)</f>
        <v>3</v>
      </c>
      <c r="N299" s="101"/>
      <c r="O299" s="99"/>
      <c r="P299" s="214">
        <v>45680</v>
      </c>
      <c r="Q299" s="34" t="s">
        <v>1439</v>
      </c>
      <c r="R299" s="31" t="s">
        <v>78</v>
      </c>
      <c r="S299" s="102"/>
      <c r="T299" s="102"/>
      <c r="U299" s="103"/>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row>
    <row r="300" spans="1:67" ht="29.25" hidden="1" customHeight="1">
      <c r="A300" s="93" t="s">
        <v>128</v>
      </c>
      <c r="B300" s="205" t="s">
        <v>1442</v>
      </c>
      <c r="C300" s="142" t="s">
        <v>1443</v>
      </c>
      <c r="D300" s="96" t="s">
        <v>1444</v>
      </c>
      <c r="E300" s="97"/>
      <c r="F300" s="122" t="s">
        <v>76</v>
      </c>
      <c r="G300" s="98">
        <v>100</v>
      </c>
      <c r="H300" s="22">
        <f>IF(OR(J300="",K300="",K300&lt;J300),0,NETWORKDAYS(J300,K300,fESTIVOS!$A$2:$A$53))</f>
        <v>0</v>
      </c>
      <c r="I300" s="99">
        <v>45678</v>
      </c>
      <c r="J300" s="100">
        <v>45678</v>
      </c>
      <c r="K300" s="100"/>
      <c r="L300" s="100">
        <v>45680</v>
      </c>
      <c r="M300" s="27">
        <f ca="1">IF(OR(J300="",AND(L300="",TODAY()&lt;J300),AND(L300&lt;&gt;"",L300&lt;J300)),0,
   IF(L300="",
      NETWORKDAYS(J300,TODAY(),fESTIVOS!$A$2:$A$53),
      NETWORKDAYS(J300,L300,fESTIVOS!$A$2:$A$53)
   )
)</f>
        <v>3</v>
      </c>
      <c r="N300" s="101"/>
      <c r="O300" s="99"/>
      <c r="P300" s="214">
        <v>45680</v>
      </c>
      <c r="Q300" s="34" t="s">
        <v>1439</v>
      </c>
      <c r="R300" s="31" t="s">
        <v>78</v>
      </c>
      <c r="S300" s="102"/>
      <c r="T300" s="102"/>
      <c r="U300" s="103"/>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row>
    <row r="301" spans="1:67" ht="29.25" hidden="1" customHeight="1">
      <c r="A301" s="93" t="s">
        <v>128</v>
      </c>
      <c r="B301" s="205" t="s">
        <v>1445</v>
      </c>
      <c r="C301" s="142" t="s">
        <v>1446</v>
      </c>
      <c r="D301" s="96"/>
      <c r="E301" s="97"/>
      <c r="F301" s="122" t="s">
        <v>76</v>
      </c>
      <c r="G301" s="98">
        <v>100</v>
      </c>
      <c r="H301" s="22">
        <f>IF(OR(J301="",K301="",K301&lt;J301),0,NETWORKDAYS(J301,K301,fESTIVOS!$A$2:$A$53))</f>
        <v>0</v>
      </c>
      <c r="I301" s="99">
        <v>45694</v>
      </c>
      <c r="J301" s="100">
        <v>45695</v>
      </c>
      <c r="K301" s="100"/>
      <c r="L301" s="100">
        <v>45729</v>
      </c>
      <c r="M301" s="27">
        <f ca="1">IF(OR(J301="",AND(L301="",TODAY()&lt;J301),AND(L301&lt;&gt;"",L301&lt;J301)),0,
   IF(L301="",
      NETWORKDAYS(J301,TODAY(),fESTIVOS!$A$2:$A$53),
      NETWORKDAYS(J301,L301,fESTIVOS!$A$2:$A$53)
   )
)</f>
        <v>25</v>
      </c>
      <c r="N301" s="101"/>
      <c r="O301" s="99"/>
      <c r="P301" s="101">
        <v>45729</v>
      </c>
      <c r="Q301" s="34" t="s">
        <v>1447</v>
      </c>
      <c r="R301" s="31" t="s">
        <v>78</v>
      </c>
      <c r="S301" s="102"/>
      <c r="T301" s="102"/>
      <c r="U301" s="103"/>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row>
    <row r="302" spans="1:67" ht="29.25" hidden="1" customHeight="1">
      <c r="A302" s="93" t="s">
        <v>157</v>
      </c>
      <c r="B302" s="205" t="s">
        <v>1448</v>
      </c>
      <c r="C302" s="142" t="s">
        <v>1449</v>
      </c>
      <c r="D302" s="96"/>
      <c r="E302" s="97"/>
      <c r="F302" s="122" t="s">
        <v>76</v>
      </c>
      <c r="G302" s="98">
        <v>100</v>
      </c>
      <c r="H302" s="22">
        <f>IF(OR(J302="",K302="",K302&lt;J302),0,NETWORKDAYS(J302,K302,fESTIVOS!$A$2:$A$53))</f>
        <v>0</v>
      </c>
      <c r="I302" s="99">
        <v>45736</v>
      </c>
      <c r="J302" s="100">
        <v>45736</v>
      </c>
      <c r="K302" s="100"/>
      <c r="L302" s="100">
        <v>45749</v>
      </c>
      <c r="M302" s="27">
        <f ca="1">IF(OR(J302="",AND(L302="",TODAY()&lt;J302),AND(L302&lt;&gt;"",L302&lt;J302)),0,
   IF(L302="",
      NETWORKDAYS(J302,TODAY(),fESTIVOS!$A$2:$A$53),
      NETWORKDAYS(J302,L302,fESTIVOS!$A$2:$A$53)
   )
)</f>
        <v>9</v>
      </c>
      <c r="N302" s="101"/>
      <c r="O302" s="99">
        <v>45749</v>
      </c>
      <c r="P302" s="101">
        <v>45755</v>
      </c>
      <c r="Q302" s="34" t="s">
        <v>1450</v>
      </c>
      <c r="R302" s="31" t="s">
        <v>78</v>
      </c>
      <c r="S302" s="102"/>
      <c r="T302" s="102"/>
      <c r="U302" s="103"/>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row>
    <row r="303" spans="1:67" ht="29.25" hidden="1" customHeight="1">
      <c r="A303" s="93" t="s">
        <v>128</v>
      </c>
      <c r="B303" s="205" t="s">
        <v>1451</v>
      </c>
      <c r="C303" s="142" t="s">
        <v>1452</v>
      </c>
      <c r="D303" s="96" t="s">
        <v>1453</v>
      </c>
      <c r="E303" s="97"/>
      <c r="F303" s="122" t="s">
        <v>76</v>
      </c>
      <c r="G303" s="98">
        <v>100</v>
      </c>
      <c r="H303" s="22">
        <f>IF(OR(J303="",K303="",K303&lt;J303),0,NETWORKDAYS(J303,K303,fESTIVOS!$A$2:$A$53))</f>
        <v>0</v>
      </c>
      <c r="I303" s="99">
        <v>45736</v>
      </c>
      <c r="J303" s="100">
        <v>45736</v>
      </c>
      <c r="K303" s="100"/>
      <c r="L303" s="100">
        <v>45757</v>
      </c>
      <c r="M303" s="27">
        <f ca="1">IF(OR(J303="",AND(L303="",TODAY()&lt;J303),AND(L303&lt;&gt;"",L303&lt;J303)),0,
   IF(L303="",
      NETWORKDAYS(J303,TODAY(),fESTIVOS!$A$2:$A$53),
      NETWORKDAYS(J303,L303,fESTIVOS!$A$2:$A$53)
   )
)</f>
        <v>15</v>
      </c>
      <c r="N303" s="101"/>
      <c r="O303" s="99"/>
      <c r="P303" s="101">
        <v>45757</v>
      </c>
      <c r="Q303" s="34" t="s">
        <v>1454</v>
      </c>
      <c r="R303" s="31" t="s">
        <v>78</v>
      </c>
      <c r="S303" s="102"/>
      <c r="T303" s="102"/>
      <c r="U303" s="103"/>
      <c r="V303" s="105"/>
      <c r="W303" s="105"/>
      <c r="X303" s="105"/>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row>
    <row r="304" spans="1:67" ht="29.25" hidden="1" customHeight="1">
      <c r="A304" s="93" t="s">
        <v>67</v>
      </c>
      <c r="B304" s="205" t="s">
        <v>1455</v>
      </c>
      <c r="C304" s="142" t="s">
        <v>1456</v>
      </c>
      <c r="D304" s="96" t="s">
        <v>1457</v>
      </c>
      <c r="E304" s="97"/>
      <c r="F304" s="122" t="s">
        <v>76</v>
      </c>
      <c r="G304" s="98">
        <v>100</v>
      </c>
      <c r="H304" s="22">
        <f>IF(OR(J304="",K304="",K304&lt;J304),0,NETWORKDAYS(J304,K304,fESTIVOS!$A$2:$A$53))</f>
        <v>3</v>
      </c>
      <c r="I304" s="99">
        <v>45751</v>
      </c>
      <c r="J304" s="100">
        <v>45756</v>
      </c>
      <c r="K304" s="53">
        <v>45760</v>
      </c>
      <c r="L304" s="26">
        <v>45759</v>
      </c>
      <c r="M304" s="27">
        <f ca="1">IF(OR(J304="",AND(L304="",TODAY()&lt;J304),AND(L304&lt;&gt;"",L304&lt;J304)),0,
   IF(L304="",
      NETWORKDAYS(J304,TODAY(),fESTIVOS!$A$2:$A$53),
      NETWORKDAYS(J304,L304,fESTIVOS!$A$2:$A$53)
   )
)</f>
        <v>3</v>
      </c>
      <c r="N304" s="101"/>
      <c r="O304" s="99"/>
      <c r="P304" s="46">
        <v>45759</v>
      </c>
      <c r="Q304" s="34" t="s">
        <v>1458</v>
      </c>
      <c r="R304" s="31" t="s">
        <v>78</v>
      </c>
      <c r="S304" s="98" t="s">
        <v>1459</v>
      </c>
      <c r="T304" s="102"/>
      <c r="U304" s="103"/>
      <c r="V304" s="105"/>
      <c r="W304" s="105"/>
      <c r="X304" s="105"/>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row>
    <row r="305" spans="1:67" ht="29.25" hidden="1" customHeight="1">
      <c r="A305" s="93" t="s">
        <v>157</v>
      </c>
      <c r="B305" s="205" t="s">
        <v>1460</v>
      </c>
      <c r="C305" s="142" t="s">
        <v>1461</v>
      </c>
      <c r="D305" s="96" t="s">
        <v>1462</v>
      </c>
      <c r="E305" s="97"/>
      <c r="F305" s="122" t="s">
        <v>76</v>
      </c>
      <c r="G305" s="98">
        <v>100</v>
      </c>
      <c r="H305" s="22">
        <f>IF(OR(J305="",K305="",K305&lt;J305),0,NETWORKDAYS(J305,K305,fESTIVOS!$A$2:$A$53))</f>
        <v>1</v>
      </c>
      <c r="I305" s="82">
        <v>45779</v>
      </c>
      <c r="J305" s="61">
        <v>45779</v>
      </c>
      <c r="K305" s="61">
        <v>45779</v>
      </c>
      <c r="L305" s="61">
        <v>45779</v>
      </c>
      <c r="M305" s="27">
        <f ca="1">IF(OR(J305="",AND(L305="",TODAY()&lt;J305),AND(L305&lt;&gt;"",L305&lt;J305)),0,
   IF(L305="",
      NETWORKDAYS(J305,TODAY(),fESTIVOS!$A$2:$A$53),
      NETWORKDAYS(J305,L305,fESTIVOS!$A$2:$A$53)
   )
)</f>
        <v>1</v>
      </c>
      <c r="N305" s="63"/>
      <c r="O305" s="82">
        <v>45779</v>
      </c>
      <c r="P305" s="63">
        <v>45782</v>
      </c>
      <c r="Q305" s="34" t="s">
        <v>1463</v>
      </c>
      <c r="R305" s="31" t="s">
        <v>78</v>
      </c>
      <c r="S305" s="102"/>
      <c r="T305" s="102"/>
      <c r="U305" s="103"/>
      <c r="V305" s="105"/>
      <c r="W305" s="105"/>
      <c r="X305" s="105"/>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row>
    <row r="306" spans="1:67" ht="29.25" hidden="1" customHeight="1">
      <c r="A306" s="93" t="s">
        <v>128</v>
      </c>
      <c r="B306" s="205" t="s">
        <v>1464</v>
      </c>
      <c r="C306" s="142" t="s">
        <v>1465</v>
      </c>
      <c r="D306" s="96" t="s">
        <v>1466</v>
      </c>
      <c r="E306" s="97"/>
      <c r="F306" s="122" t="s">
        <v>76</v>
      </c>
      <c r="G306" s="98">
        <v>100</v>
      </c>
      <c r="H306" s="22">
        <f>IF(OR(J306="",K306="",K306&lt;J306),0,NETWORKDAYS(J306,K306,fESTIVOS!$A$2:$A$53))</f>
        <v>0</v>
      </c>
      <c r="I306" s="99">
        <v>45776</v>
      </c>
      <c r="J306" s="100">
        <v>45784</v>
      </c>
      <c r="K306" s="100"/>
      <c r="L306" s="100">
        <v>45784</v>
      </c>
      <c r="M306" s="27">
        <f ca="1">IF(OR(J306="",AND(L306="",TODAY()&lt;J306),AND(L306&lt;&gt;"",L306&lt;J306)),0,
   IF(L306="",
      NETWORKDAYS(J306,TODAY(),fESTIVOS!$A$2:$A$53),
      NETWORKDAYS(J306,L306,fESTIVOS!$A$2:$A$53)
   )
)</f>
        <v>1</v>
      </c>
      <c r="N306" s="101"/>
      <c r="O306" s="99"/>
      <c r="P306" s="101">
        <v>45784</v>
      </c>
      <c r="Q306" s="34" t="s">
        <v>1467</v>
      </c>
      <c r="R306" s="31" t="s">
        <v>78</v>
      </c>
      <c r="S306" s="102"/>
      <c r="T306" s="102"/>
      <c r="U306" s="103"/>
      <c r="V306" s="105"/>
      <c r="W306" s="105"/>
      <c r="X306" s="105"/>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row>
    <row r="307" spans="1:67" ht="29.25" hidden="1" customHeight="1">
      <c r="A307" s="93" t="s">
        <v>128</v>
      </c>
      <c r="B307" s="205" t="s">
        <v>1468</v>
      </c>
      <c r="C307" s="142" t="s">
        <v>1469</v>
      </c>
      <c r="D307" s="96" t="s">
        <v>1470</v>
      </c>
      <c r="E307" s="97"/>
      <c r="F307" s="122" t="s">
        <v>76</v>
      </c>
      <c r="G307" s="98">
        <v>100</v>
      </c>
      <c r="H307" s="22">
        <f>IF(OR(J307="",K307="",K307&lt;J307),0,NETWORKDAYS(J307,K307,fESTIVOS!$A$2:$A$53))</f>
        <v>0</v>
      </c>
      <c r="I307" s="99">
        <v>45811</v>
      </c>
      <c r="J307" s="100">
        <v>45811</v>
      </c>
      <c r="K307" s="100"/>
      <c r="L307" s="100">
        <v>45813</v>
      </c>
      <c r="M307" s="27">
        <f ca="1">IF(OR(J307="",AND(L307="",TODAY()&lt;J307),AND(L307&lt;&gt;"",L307&lt;J307)),0,
   IF(L307="",
      NETWORKDAYS(J307,TODAY(),fESTIVOS!$A$2:$A$53),
      NETWORKDAYS(J307,L307,fESTIVOS!$A$2:$A$53)
   )
)</f>
        <v>3</v>
      </c>
      <c r="N307" s="101"/>
      <c r="O307" s="99"/>
      <c r="P307" s="101">
        <v>45813</v>
      </c>
      <c r="Q307" s="34" t="s">
        <v>1471</v>
      </c>
      <c r="R307" s="31" t="s">
        <v>78</v>
      </c>
      <c r="S307" s="102"/>
      <c r="T307" s="102"/>
      <c r="U307" s="103"/>
      <c r="V307" s="105"/>
      <c r="W307" s="105"/>
      <c r="X307" s="105"/>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row>
    <row r="308" spans="1:67" ht="29.25" customHeight="1">
      <c r="A308" s="93" t="s">
        <v>67</v>
      </c>
      <c r="B308" s="106" t="s">
        <v>1472</v>
      </c>
      <c r="C308" s="110" t="s">
        <v>1473</v>
      </c>
      <c r="D308" s="96"/>
      <c r="E308" s="97"/>
      <c r="F308" s="122" t="s">
        <v>501</v>
      </c>
      <c r="G308" s="98">
        <v>65</v>
      </c>
      <c r="H308" s="22">
        <f>IF(OR(J308="",K308="",K308&lt;J308),0,NETWORKDAYS(J308,K308,fESTIVOS!$A$2:$A$53))</f>
        <v>18</v>
      </c>
      <c r="I308" s="99">
        <v>46007</v>
      </c>
      <c r="J308" s="100">
        <v>46024</v>
      </c>
      <c r="K308" s="232">
        <v>46050</v>
      </c>
      <c r="L308" s="100"/>
      <c r="M308" s="27">
        <f ca="1">IF(OR(J308="",AND(L308="",TODAY()&lt;J308),AND(L308&lt;&gt;"",L308&lt;J308)),0,
   IF(L308="",
      NETWORKDAYS(J308,TODAY(),fESTIVOS!$A$2:$A$53),
      NETWORKDAYS(J308,L308,fESTIVOS!$A$2:$A$53)
   )
)</f>
        <v>18</v>
      </c>
      <c r="N308" s="100">
        <v>46051</v>
      </c>
      <c r="O308" s="99"/>
      <c r="P308" s="101"/>
      <c r="Q308" s="34" t="s">
        <v>1474</v>
      </c>
      <c r="R308" s="31" t="s">
        <v>209</v>
      </c>
      <c r="S308" s="102"/>
      <c r="T308" s="102"/>
      <c r="U308" s="103"/>
      <c r="V308" s="105"/>
      <c r="W308" s="105"/>
      <c r="X308" s="105"/>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row>
    <row r="309" spans="1:67" ht="29.25" hidden="1" customHeight="1">
      <c r="A309" s="93" t="s">
        <v>1062</v>
      </c>
      <c r="B309" s="205" t="s">
        <v>1475</v>
      </c>
      <c r="C309" s="142" t="s">
        <v>1476</v>
      </c>
      <c r="D309" s="96"/>
      <c r="E309" s="97"/>
      <c r="F309" s="122" t="s">
        <v>232</v>
      </c>
      <c r="G309" s="172"/>
      <c r="H309" s="22">
        <f>IF(OR(J309="",K309="",K309&lt;J309),0,NETWORKDAYS(J309,K309,fESTIVOS!$A$2:$A$53))</f>
        <v>0</v>
      </c>
      <c r="I309" s="99"/>
      <c r="J309" s="100"/>
      <c r="K309" s="100"/>
      <c r="L309" s="100"/>
      <c r="M309" s="27">
        <f ca="1">IF(OR(J309="",AND(L309="",TODAY()&lt;J309),AND(L309&lt;&gt;"",L309&lt;J309)),0,
   IF(L309="",
      NETWORKDAYS(J309,TODAY(),fESTIVOS!$A$2:$A$53),
      NETWORKDAYS(J309,L309,fESTIVOS!$A$2:$A$53)
   )
)</f>
        <v>0</v>
      </c>
      <c r="N309" s="101"/>
      <c r="O309" s="99"/>
      <c r="P309" s="101"/>
      <c r="Q309" s="104"/>
      <c r="R309" s="31" t="s">
        <v>93</v>
      </c>
      <c r="S309" s="102"/>
      <c r="T309" s="102"/>
      <c r="U309" s="103"/>
      <c r="V309" s="105"/>
      <c r="W309" s="105"/>
      <c r="X309" s="105"/>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row>
    <row r="310" spans="1:67" ht="29.25" hidden="1" customHeight="1">
      <c r="A310" s="93" t="s">
        <v>1062</v>
      </c>
      <c r="B310" s="106" t="s">
        <v>1477</v>
      </c>
      <c r="C310" s="215" t="s">
        <v>1478</v>
      </c>
      <c r="D310" s="96"/>
      <c r="E310" s="97"/>
      <c r="F310" s="122" t="s">
        <v>232</v>
      </c>
      <c r="G310" s="172"/>
      <c r="H310" s="22">
        <f>IF(OR(J310="",K310="",K310&lt;J310),0,NETWORKDAYS(J310,K310,fESTIVOS!$A$2:$A$53))</f>
        <v>0</v>
      </c>
      <c r="I310" s="99"/>
      <c r="J310" s="100"/>
      <c r="K310" s="100"/>
      <c r="L310" s="100"/>
      <c r="M310" s="27">
        <f ca="1">IF(OR(J310="",AND(L310="",TODAY()&lt;J310),AND(L310&lt;&gt;"",L310&lt;J310)),0,
   IF(L310="",
      NETWORKDAYS(J310,TODAY(),fESTIVOS!$A$2:$A$53),
      NETWORKDAYS(J310,L310,fESTIVOS!$A$2:$A$53)
   )
)</f>
        <v>0</v>
      </c>
      <c r="N310" s="101"/>
      <c r="O310" s="99"/>
      <c r="P310" s="101"/>
      <c r="Q310" s="34" t="s">
        <v>1479</v>
      </c>
      <c r="R310" s="31" t="s">
        <v>72</v>
      </c>
      <c r="S310" s="102"/>
      <c r="T310" s="102"/>
      <c r="U310" s="103"/>
      <c r="V310" s="105"/>
      <c r="W310" s="105"/>
      <c r="X310" s="105"/>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row>
    <row r="311" spans="1:67" ht="29.25" hidden="1" customHeight="1">
      <c r="A311" s="93" t="s">
        <v>1062</v>
      </c>
      <c r="B311" s="106" t="s">
        <v>1480</v>
      </c>
      <c r="C311" s="141" t="s">
        <v>1481</v>
      </c>
      <c r="D311" s="96" t="s">
        <v>1482</v>
      </c>
      <c r="E311" s="97"/>
      <c r="F311" s="122" t="s">
        <v>1483</v>
      </c>
      <c r="G311" s="172"/>
      <c r="H311" s="22">
        <f>IF(OR(J311="",K311="",K311&lt;J311),0,NETWORKDAYS(J311,K311,fESTIVOS!$A$2:$A$53))</f>
        <v>0</v>
      </c>
      <c r="I311" s="99"/>
      <c r="J311" s="100"/>
      <c r="K311" s="100"/>
      <c r="L311" s="100"/>
      <c r="M311" s="27">
        <f ca="1">IF(OR(J311="",AND(L311="",TODAY()&lt;J311),AND(L311&lt;&gt;"",L311&lt;J311)),0,
   IF(L311="",
      NETWORKDAYS(J311,TODAY(),fESTIVOS!$A$2:$A$53),
      NETWORKDAYS(J311,L311,fESTIVOS!$A$2:$A$53)
   )
)</f>
        <v>0</v>
      </c>
      <c r="N311" s="101"/>
      <c r="O311" s="99"/>
      <c r="P311" s="101"/>
      <c r="Q311" s="34" t="s">
        <v>1484</v>
      </c>
      <c r="R311" s="31" t="s">
        <v>72</v>
      </c>
      <c r="S311" s="102"/>
      <c r="T311" s="102"/>
      <c r="U311" s="103"/>
      <c r="V311" s="105"/>
      <c r="W311" s="105"/>
      <c r="X311" s="105"/>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row>
    <row r="312" spans="1:67" ht="29.25" hidden="1" customHeight="1">
      <c r="A312" s="93" t="s">
        <v>1062</v>
      </c>
      <c r="B312" s="106" t="s">
        <v>1485</v>
      </c>
      <c r="C312" s="141" t="s">
        <v>1486</v>
      </c>
      <c r="D312" s="96" t="s">
        <v>1487</v>
      </c>
      <c r="E312" s="97"/>
      <c r="F312" s="122" t="s">
        <v>232</v>
      </c>
      <c r="G312" s="172"/>
      <c r="H312" s="22">
        <f>IF(OR(J312="",K312="",K312&lt;J312),0,NETWORKDAYS(J312,K312,fESTIVOS!$A$2:$A$53))</f>
        <v>0</v>
      </c>
      <c r="I312" s="99"/>
      <c r="J312" s="100"/>
      <c r="K312" s="100"/>
      <c r="L312" s="100"/>
      <c r="M312" s="27">
        <f ca="1">IF(OR(J312="",AND(L312="",TODAY()&lt;J312),AND(L312&lt;&gt;"",L312&lt;J312)),0,
   IF(L312="",
      NETWORKDAYS(J312,TODAY(),fESTIVOS!$A$2:$A$53),
      NETWORKDAYS(J312,L312,fESTIVOS!$A$2:$A$53)
   )
)</f>
        <v>0</v>
      </c>
      <c r="N312" s="101"/>
      <c r="O312" s="99"/>
      <c r="P312" s="101"/>
      <c r="Q312" s="34" t="s">
        <v>1488</v>
      </c>
      <c r="R312" s="31" t="s">
        <v>72</v>
      </c>
      <c r="S312" s="102"/>
      <c r="T312" s="102"/>
      <c r="U312" s="103"/>
      <c r="V312" s="105"/>
      <c r="W312" s="105"/>
      <c r="X312" s="105"/>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row>
    <row r="313" spans="1:67" ht="29.25" hidden="1" customHeight="1">
      <c r="A313" s="93" t="s">
        <v>1062</v>
      </c>
      <c r="B313" s="106" t="s">
        <v>1489</v>
      </c>
      <c r="C313" s="141" t="s">
        <v>1490</v>
      </c>
      <c r="D313" s="96"/>
      <c r="E313" s="97"/>
      <c r="F313" s="122" t="s">
        <v>232</v>
      </c>
      <c r="G313" s="172"/>
      <c r="H313" s="22">
        <f>IF(OR(J313="",K313="",K313&lt;J313),0,NETWORKDAYS(J313,K313,fESTIVOS!$A$2:$A$53))</f>
        <v>0</v>
      </c>
      <c r="I313" s="99"/>
      <c r="J313" s="100"/>
      <c r="K313" s="100"/>
      <c r="L313" s="100"/>
      <c r="M313" s="27">
        <f ca="1">IF(OR(J313="",AND(L313="",TODAY()&lt;J313),AND(L313&lt;&gt;"",L313&lt;J313)),0,
   IF(L313="",
      NETWORKDAYS(J313,TODAY(),fESTIVOS!$A$2:$A$53),
      NETWORKDAYS(J313,L313,fESTIVOS!$A$2:$A$53)
   )
)</f>
        <v>0</v>
      </c>
      <c r="N313" s="101"/>
      <c r="O313" s="99"/>
      <c r="P313" s="101"/>
      <c r="Q313" s="34" t="s">
        <v>1491</v>
      </c>
      <c r="R313" s="31" t="s">
        <v>72</v>
      </c>
      <c r="S313" s="102"/>
      <c r="T313" s="102"/>
      <c r="U313" s="103"/>
      <c r="V313" s="105"/>
      <c r="W313" s="105"/>
      <c r="X313" s="105"/>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row>
    <row r="314" spans="1:67" ht="29.25" hidden="1" customHeight="1">
      <c r="A314" s="93" t="s">
        <v>1062</v>
      </c>
      <c r="B314" s="106" t="s">
        <v>1492</v>
      </c>
      <c r="C314" s="141" t="s">
        <v>1493</v>
      </c>
      <c r="D314" s="96"/>
      <c r="E314" s="97"/>
      <c r="F314" s="122" t="s">
        <v>232</v>
      </c>
      <c r="G314" s="172"/>
      <c r="H314" s="22">
        <f>IF(OR(J314="",K314="",K314&lt;J314),0,NETWORKDAYS(J314,K314,fESTIVOS!$A$2:$A$53))</f>
        <v>0</v>
      </c>
      <c r="I314" s="99"/>
      <c r="J314" s="100"/>
      <c r="K314" s="100"/>
      <c r="L314" s="100"/>
      <c r="M314" s="27">
        <f ca="1">IF(OR(J314="",AND(L314="",TODAY()&lt;J314),AND(L314&lt;&gt;"",L314&lt;J314)),0,
   IF(L314="",
      NETWORKDAYS(J314,TODAY(),fESTIVOS!$A$2:$A$53),
      NETWORKDAYS(J314,L314,fESTIVOS!$A$2:$A$53)
   )
)</f>
        <v>0</v>
      </c>
      <c r="N314" s="101"/>
      <c r="O314" s="99"/>
      <c r="P314" s="101"/>
      <c r="Q314" s="34" t="s">
        <v>1494</v>
      </c>
      <c r="R314" s="31" t="s">
        <v>72</v>
      </c>
      <c r="S314" s="102"/>
      <c r="T314" s="102"/>
      <c r="U314" s="103"/>
      <c r="V314" s="105"/>
      <c r="W314" s="105"/>
      <c r="X314" s="105"/>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row>
    <row r="315" spans="1:67" ht="29.25" hidden="1" customHeight="1">
      <c r="A315" s="93" t="s">
        <v>1062</v>
      </c>
      <c r="B315" s="106" t="s">
        <v>1495</v>
      </c>
      <c r="C315" s="141" t="s">
        <v>1496</v>
      </c>
      <c r="D315" s="96"/>
      <c r="E315" s="97"/>
      <c r="F315" s="122" t="s">
        <v>232</v>
      </c>
      <c r="G315" s="172"/>
      <c r="H315" s="22">
        <f>IF(OR(J315="",K315="",K315&lt;J315),0,NETWORKDAYS(J315,K315,fESTIVOS!$A$2:$A$53))</f>
        <v>0</v>
      </c>
      <c r="I315" s="99"/>
      <c r="J315" s="100"/>
      <c r="K315" s="100"/>
      <c r="L315" s="100"/>
      <c r="M315" s="27">
        <f ca="1">IF(OR(J315="",AND(L315="",TODAY()&lt;J315),AND(L315&lt;&gt;"",L315&lt;J315)),0,
   IF(L315="",
      NETWORKDAYS(J315,TODAY(),fESTIVOS!$A$2:$A$53),
      NETWORKDAYS(J315,L315,fESTIVOS!$A$2:$A$53)
   )
)</f>
        <v>0</v>
      </c>
      <c r="N315" s="101"/>
      <c r="O315" s="99"/>
      <c r="P315" s="101"/>
      <c r="Q315" s="34" t="s">
        <v>1497</v>
      </c>
      <c r="R315" s="31" t="s">
        <v>72</v>
      </c>
      <c r="S315" s="102"/>
      <c r="T315" s="102"/>
      <c r="U315" s="103"/>
      <c r="V315" s="105"/>
      <c r="W315" s="105"/>
      <c r="X315" s="105"/>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row>
    <row r="316" spans="1:67" ht="29.25" hidden="1" customHeight="1">
      <c r="A316" s="93" t="s">
        <v>67</v>
      </c>
      <c r="B316" s="106" t="s">
        <v>1498</v>
      </c>
      <c r="C316" s="215" t="s">
        <v>1499</v>
      </c>
      <c r="D316" s="96" t="s">
        <v>1500</v>
      </c>
      <c r="E316" s="97"/>
      <c r="F316" s="122" t="s">
        <v>76</v>
      </c>
      <c r="G316" s="98">
        <v>100</v>
      </c>
      <c r="H316" s="22">
        <f>IF(OR(J316="",K316="",K316&lt;J316),0,NETWORKDAYS(J316,K316,fESTIVOS!$A$2:$A$53))</f>
        <v>0</v>
      </c>
      <c r="I316" s="99">
        <v>46001</v>
      </c>
      <c r="J316" s="100">
        <v>46009</v>
      </c>
      <c r="K316" s="100"/>
      <c r="L316" s="100"/>
      <c r="M316" s="27">
        <f ca="1">IF(OR(J316="",AND(L316="",TODAY()&lt;J316),AND(L316&lt;&gt;"",L316&lt;J316)),0,
   IF(L316="",
      NETWORKDAYS(J316,TODAY(),fESTIVOS!$A$2:$A$53),
      NETWORKDAYS(J316,L316,fESTIVOS!$A$2:$A$53)
   )
)</f>
        <v>27</v>
      </c>
      <c r="N316" s="101"/>
      <c r="O316" s="99"/>
      <c r="P316" s="101"/>
      <c r="Q316" s="34" t="s">
        <v>1501</v>
      </c>
      <c r="R316" s="31" t="s">
        <v>78</v>
      </c>
      <c r="S316" s="102"/>
      <c r="T316" s="102"/>
      <c r="U316" s="103"/>
      <c r="V316" s="105"/>
      <c r="W316" s="105"/>
      <c r="X316" s="105"/>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row>
    <row r="317" spans="1:67" ht="29.25" hidden="1" customHeight="1">
      <c r="A317" s="93" t="s">
        <v>67</v>
      </c>
      <c r="B317" s="106" t="s">
        <v>1502</v>
      </c>
      <c r="C317" s="215" t="s">
        <v>1503</v>
      </c>
      <c r="D317" s="96" t="s">
        <v>1504</v>
      </c>
      <c r="E317" s="97"/>
      <c r="F317" s="122" t="s">
        <v>76</v>
      </c>
      <c r="G317" s="98">
        <v>100</v>
      </c>
      <c r="H317" s="22">
        <f>IF(OR(J317="",K317="",K317&lt;J317),0,NETWORKDAYS(J317,K317,fESTIVOS!$A$2:$A$53))</f>
        <v>0</v>
      </c>
      <c r="I317" s="99">
        <v>45985</v>
      </c>
      <c r="J317" s="100">
        <v>45985</v>
      </c>
      <c r="K317" s="100"/>
      <c r="L317" s="100">
        <v>45985</v>
      </c>
      <c r="M317" s="27">
        <f ca="1">IF(OR(J317="",AND(L317="",TODAY()&lt;J317),AND(L317&lt;&gt;"",L317&lt;J317)),0,
   IF(L317="",
      NETWORKDAYS(J317,TODAY(),fESTIVOS!$A$2:$A$53),
      NETWORKDAYS(J317,L317,fESTIVOS!$A$2:$A$53)
   )
)</f>
        <v>1</v>
      </c>
      <c r="N317" s="101"/>
      <c r="O317" s="99"/>
      <c r="P317" s="101"/>
      <c r="Q317" s="89" t="s">
        <v>1505</v>
      </c>
      <c r="R317" s="31" t="s">
        <v>78</v>
      </c>
      <c r="S317" s="102"/>
      <c r="T317" s="102"/>
      <c r="U317" s="103"/>
      <c r="V317" s="105"/>
      <c r="W317" s="105"/>
      <c r="X317" s="105"/>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row>
    <row r="318" spans="1:67" ht="29.25" hidden="1" customHeight="1">
      <c r="A318" s="93" t="s">
        <v>67</v>
      </c>
      <c r="B318" s="106" t="s">
        <v>1506</v>
      </c>
      <c r="C318" s="120" t="s">
        <v>1507</v>
      </c>
      <c r="D318" s="96" t="s">
        <v>1508</v>
      </c>
      <c r="E318" s="97"/>
      <c r="F318" s="122" t="s">
        <v>76</v>
      </c>
      <c r="G318" s="98">
        <v>100</v>
      </c>
      <c r="H318" s="22">
        <f>IF(OR(J318="",K318="",K318&lt;J318),0,NETWORKDAYS(J318,K318,fESTIVOS!$A$2:$A$53))</f>
        <v>2</v>
      </c>
      <c r="I318" s="99">
        <v>45973</v>
      </c>
      <c r="J318" s="100">
        <v>45975</v>
      </c>
      <c r="K318" s="100">
        <v>45979</v>
      </c>
      <c r="L318" s="100">
        <v>45979</v>
      </c>
      <c r="M318" s="27">
        <f ca="1">IF(OR(J318="",AND(L318="",TODAY()&lt;J318),AND(L318&lt;&gt;"",L318&lt;J318)),0,
   IF(L318="",
      NETWORKDAYS(J318,TODAY(),fESTIVOS!$A$2:$A$53),
      NETWORKDAYS(J318,L318,fESTIVOS!$A$2:$A$53)
   )
)</f>
        <v>2</v>
      </c>
      <c r="N318" s="101"/>
      <c r="O318" s="99"/>
      <c r="P318" s="101"/>
      <c r="Q318" s="34" t="s">
        <v>1509</v>
      </c>
      <c r="R318" s="31" t="s">
        <v>78</v>
      </c>
      <c r="S318" s="102"/>
      <c r="T318" s="102"/>
      <c r="U318" s="103"/>
      <c r="V318" s="105"/>
      <c r="W318" s="105"/>
      <c r="X318" s="105"/>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row>
    <row r="319" spans="1:67" ht="29.25" hidden="1" customHeight="1">
      <c r="A319" s="93" t="s">
        <v>67</v>
      </c>
      <c r="B319" s="106" t="s">
        <v>1510</v>
      </c>
      <c r="C319" s="141" t="s">
        <v>1511</v>
      </c>
      <c r="D319" s="96"/>
      <c r="E319" s="97"/>
      <c r="F319" s="122" t="s">
        <v>76</v>
      </c>
      <c r="G319" s="98">
        <v>100</v>
      </c>
      <c r="H319" s="22">
        <f>IF(OR(J319="",K319="",K319&lt;J319),0,NETWORKDAYS(J319,K319,fESTIVOS!$A$2:$A$53))</f>
        <v>0</v>
      </c>
      <c r="I319" s="99">
        <v>45972</v>
      </c>
      <c r="J319" s="100">
        <v>45972</v>
      </c>
      <c r="K319" s="100"/>
      <c r="L319" s="100">
        <v>45972</v>
      </c>
      <c r="M319" s="27">
        <f ca="1">IF(OR(J319="",AND(L319="",TODAY()&lt;J319),AND(L319&lt;&gt;"",L319&lt;J319)),0,
   IF(L319="",
      NETWORKDAYS(J319,TODAY(),fESTIVOS!$A$2:$A$53),
      NETWORKDAYS(J319,L319,fESTIVOS!$A$2:$A$53)
   )
)</f>
        <v>1</v>
      </c>
      <c r="N319" s="101"/>
      <c r="O319" s="99"/>
      <c r="P319" s="101"/>
      <c r="Q319" s="34" t="s">
        <v>1512</v>
      </c>
      <c r="R319" s="31" t="s">
        <v>78</v>
      </c>
      <c r="S319" s="102"/>
      <c r="T319" s="102"/>
      <c r="U319" s="103"/>
      <c r="V319" s="105"/>
      <c r="W319" s="105"/>
      <c r="X319" s="105"/>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row>
    <row r="320" spans="1:67" ht="29.25" hidden="1" customHeight="1">
      <c r="A320" s="93" t="s">
        <v>67</v>
      </c>
      <c r="B320" s="205" t="s">
        <v>1513</v>
      </c>
      <c r="C320" s="142" t="s">
        <v>1514</v>
      </c>
      <c r="D320" s="96"/>
      <c r="E320" s="97"/>
      <c r="F320" s="122" t="s">
        <v>76</v>
      </c>
      <c r="G320" s="98">
        <v>100</v>
      </c>
      <c r="H320" s="22">
        <f>IF(OR(J320="",K320="",K320&lt;J320),0,NETWORKDAYS(J320,K320,fESTIVOS!$A$2:$A$53))</f>
        <v>0</v>
      </c>
      <c r="I320" s="99">
        <v>45946</v>
      </c>
      <c r="J320" s="100">
        <v>45946</v>
      </c>
      <c r="K320" s="100"/>
      <c r="L320" s="100">
        <v>45947</v>
      </c>
      <c r="M320" s="27">
        <f ca="1">IF(OR(J320="",AND(L320="",TODAY()&lt;J320),AND(L320&lt;&gt;"",L320&lt;J320)),0,
   IF(L320="",
      NETWORKDAYS(J320,TODAY(),fESTIVOS!$A$2:$A$53),
      NETWORKDAYS(J320,L320,fESTIVOS!$A$2:$A$53)
   )
)</f>
        <v>2</v>
      </c>
      <c r="N320" s="101"/>
      <c r="O320" s="99"/>
      <c r="P320" s="101">
        <v>45947</v>
      </c>
      <c r="Q320" s="34" t="s">
        <v>1515</v>
      </c>
      <c r="R320" s="31" t="s">
        <v>78</v>
      </c>
      <c r="S320" s="102"/>
      <c r="T320" s="102"/>
      <c r="U320" s="103"/>
      <c r="V320" s="105"/>
      <c r="W320" s="105"/>
      <c r="X320" s="105"/>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row>
    <row r="321" spans="1:67" ht="29.25" hidden="1" customHeight="1">
      <c r="A321" s="93" t="s">
        <v>67</v>
      </c>
      <c r="B321" s="106" t="s">
        <v>1516</v>
      </c>
      <c r="C321" s="141" t="s">
        <v>1517</v>
      </c>
      <c r="D321" s="96" t="s">
        <v>1518</v>
      </c>
      <c r="E321" s="97"/>
      <c r="F321" s="122" t="s">
        <v>76</v>
      </c>
      <c r="G321" s="98">
        <v>100</v>
      </c>
      <c r="H321" s="22">
        <f>IF(OR(J321="",K321="",K321&lt;J321),0,NETWORKDAYS(J321,K321,fESTIVOS!$A$2:$A$53))</f>
        <v>0</v>
      </c>
      <c r="I321" s="99">
        <v>46010</v>
      </c>
      <c r="J321" s="100">
        <v>46010</v>
      </c>
      <c r="K321" s="100"/>
      <c r="L321" s="100">
        <v>46020</v>
      </c>
      <c r="M321" s="27">
        <f ca="1">IF(OR(J321="",AND(L321="",TODAY()&lt;J321),AND(L321&lt;&gt;"",L321&lt;J321)),0,
   IF(L321="",
      NETWORKDAYS(J321,TODAY(),fESTIVOS!$A$2:$A$53),
      NETWORKDAYS(J321,L321,fESTIVOS!$A$2:$A$53)
   )
)</f>
        <v>6</v>
      </c>
      <c r="N321" s="101"/>
      <c r="O321" s="99"/>
      <c r="P321" s="101"/>
      <c r="Q321" s="34" t="s">
        <v>1519</v>
      </c>
      <c r="R321" s="31" t="s">
        <v>78</v>
      </c>
      <c r="S321" s="164"/>
      <c r="T321" s="164"/>
      <c r="U321" s="162"/>
      <c r="V321" s="105"/>
      <c r="W321" s="105"/>
      <c r="X321" s="105"/>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row>
    <row r="322" spans="1:67" ht="29.25" hidden="1" customHeight="1">
      <c r="A322" s="93" t="s">
        <v>67</v>
      </c>
      <c r="B322" s="106" t="s">
        <v>1520</v>
      </c>
      <c r="C322" s="110" t="s">
        <v>1521</v>
      </c>
      <c r="D322" s="96" t="s">
        <v>1522</v>
      </c>
      <c r="E322" s="97"/>
      <c r="F322" s="122" t="s">
        <v>76</v>
      </c>
      <c r="G322" s="98">
        <v>100</v>
      </c>
      <c r="H322" s="22">
        <f>IF(OR(J322="",K322="",K322&lt;J322),0,NETWORKDAYS(J322,K322,fESTIVOS!$A$2:$A$53))</f>
        <v>5</v>
      </c>
      <c r="I322" s="99">
        <v>46020</v>
      </c>
      <c r="J322" s="100">
        <v>46027</v>
      </c>
      <c r="K322" s="100">
        <v>46031</v>
      </c>
      <c r="L322" s="100">
        <v>46041</v>
      </c>
      <c r="M322" s="27">
        <f ca="1">IF(OR(J322="",AND(L322="",TODAY()&lt;J322),AND(L322&lt;&gt;"",L322&lt;J322)),0,
   IF(L322="",
      NETWORKDAYS(J322,TODAY(),fESTIVOS!$A$2:$A$53),
      NETWORKDAYS(J322,L322,fESTIVOS!$A$2:$A$53)
   )
)</f>
        <v>10</v>
      </c>
      <c r="N322" s="101"/>
      <c r="O322" s="99"/>
      <c r="P322" s="101"/>
      <c r="Q322" s="34" t="s">
        <v>1523</v>
      </c>
      <c r="R322" s="31" t="s">
        <v>78</v>
      </c>
      <c r="S322" s="164"/>
      <c r="T322" s="164"/>
      <c r="U322" s="162"/>
      <c r="V322" s="105"/>
      <c r="W322" s="105"/>
      <c r="X322" s="105"/>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row>
    <row r="323" spans="1:67" ht="29.25" hidden="1" customHeight="1">
      <c r="A323" s="93" t="s">
        <v>67</v>
      </c>
      <c r="B323" s="106" t="s">
        <v>1524</v>
      </c>
      <c r="C323" s="141" t="s">
        <v>1525</v>
      </c>
      <c r="D323" s="96"/>
      <c r="E323" s="97"/>
      <c r="F323" s="122" t="s">
        <v>76</v>
      </c>
      <c r="G323" s="98">
        <v>100</v>
      </c>
      <c r="H323" s="22">
        <f>IF(OR(J323="",K323="",K323&lt;J323),0,NETWORKDAYS(J323,K323,fESTIVOS!$A$2:$A$53))</f>
        <v>0</v>
      </c>
      <c r="I323" s="99">
        <v>46022</v>
      </c>
      <c r="J323" s="100">
        <v>46022</v>
      </c>
      <c r="K323" s="100"/>
      <c r="L323" s="100">
        <v>46030</v>
      </c>
      <c r="M323" s="27">
        <f ca="1">IF(OR(J323="",AND(L323="",TODAY()&lt;J323),AND(L323&lt;&gt;"",L323&lt;J323)),0,
   IF(L323="",
      NETWORKDAYS(J323,TODAY(),fESTIVOS!$A$2:$A$53),
      NETWORKDAYS(J323,L323,fESTIVOS!$A$2:$A$53)
   )
)</f>
        <v>6</v>
      </c>
      <c r="N323" s="101"/>
      <c r="O323" s="99"/>
      <c r="P323" s="101"/>
      <c r="Q323" s="34" t="s">
        <v>1526</v>
      </c>
      <c r="R323" s="31" t="s">
        <v>78</v>
      </c>
      <c r="S323" s="164"/>
      <c r="T323" s="164"/>
      <c r="U323" s="162"/>
      <c r="V323" s="105"/>
      <c r="W323" s="105"/>
      <c r="X323" s="105"/>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row>
    <row r="324" spans="1:67" ht="29.25" hidden="1" customHeight="1">
      <c r="A324" s="93" t="s">
        <v>67</v>
      </c>
      <c r="B324" s="106" t="s">
        <v>1527</v>
      </c>
      <c r="C324" s="141" t="s">
        <v>1528</v>
      </c>
      <c r="D324" s="96" t="s">
        <v>1529</v>
      </c>
      <c r="E324" s="97"/>
      <c r="F324" s="122" t="s">
        <v>76</v>
      </c>
      <c r="G324" s="98">
        <v>100</v>
      </c>
      <c r="H324" s="22">
        <f>IF(OR(J324="",K324="",K324&lt;J324),0,NETWORKDAYS(J324,K324,fESTIVOS!$A$2:$A$53))</f>
        <v>0</v>
      </c>
      <c r="I324" s="99">
        <v>46030</v>
      </c>
      <c r="J324" s="100">
        <v>46030</v>
      </c>
      <c r="K324" s="100"/>
      <c r="L324" s="100">
        <v>46031</v>
      </c>
      <c r="M324" s="27">
        <f ca="1">IF(OR(J324="",AND(L324="",TODAY()&lt;J324),AND(L324&lt;&gt;"",L324&lt;J324)),0,
   IF(L324="",
      NETWORKDAYS(J324,TODAY(),fESTIVOS!$A$2:$A$53),
      NETWORKDAYS(J324,L324,fESTIVOS!$A$2:$A$53)
   )
)</f>
        <v>2</v>
      </c>
      <c r="N324" s="101"/>
      <c r="O324" s="99"/>
      <c r="P324" s="101"/>
      <c r="Q324" s="34" t="s">
        <v>1530</v>
      </c>
      <c r="R324" s="31" t="s">
        <v>78</v>
      </c>
      <c r="S324" s="164"/>
      <c r="T324" s="164"/>
      <c r="U324" s="162"/>
      <c r="V324" s="105"/>
      <c r="W324" s="105"/>
      <c r="X324" s="105"/>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row>
    <row r="325" spans="1:67" ht="29.25" hidden="1" customHeight="1">
      <c r="A325" s="93" t="s">
        <v>67</v>
      </c>
      <c r="B325" s="106" t="s">
        <v>1531</v>
      </c>
      <c r="C325" s="141" t="s">
        <v>1532</v>
      </c>
      <c r="D325" s="96"/>
      <c r="E325" s="97"/>
      <c r="F325" s="122" t="s">
        <v>76</v>
      </c>
      <c r="G325" s="98">
        <v>100</v>
      </c>
      <c r="H325" s="22">
        <f>IF(OR(J325="",K325="",K325&lt;J325),0,NETWORKDAYS(J325,K325,fESTIVOS!$A$2:$A$53))</f>
        <v>0</v>
      </c>
      <c r="I325" s="99">
        <v>46031</v>
      </c>
      <c r="J325" s="100">
        <v>46043</v>
      </c>
      <c r="K325" s="100"/>
      <c r="L325" s="100">
        <v>46049</v>
      </c>
      <c r="M325" s="27">
        <f ca="1">IF(OR(J325="",AND(L325="",TODAY()&lt;J325),AND(L325&lt;&gt;"",L325&lt;J325)),0,
   IF(L325="",
      NETWORKDAYS(J325,TODAY(),fESTIVOS!$A$2:$A$53),
      NETWORKDAYS(J325,L325,fESTIVOS!$A$2:$A$53)
   )
)</f>
        <v>5</v>
      </c>
      <c r="N325" s="101"/>
      <c r="O325" s="99"/>
      <c r="P325" s="101"/>
      <c r="Q325" s="34" t="s">
        <v>1533</v>
      </c>
      <c r="R325" s="31" t="s">
        <v>209</v>
      </c>
      <c r="S325" s="164"/>
      <c r="T325" s="164"/>
      <c r="U325" s="162"/>
      <c r="V325" s="105"/>
      <c r="W325" s="105"/>
      <c r="X325" s="105"/>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row>
    <row r="326" spans="1:67" ht="29.25" hidden="1" customHeight="1">
      <c r="A326" s="93" t="s">
        <v>67</v>
      </c>
      <c r="B326" s="106" t="s">
        <v>1534</v>
      </c>
      <c r="C326" s="141" t="s">
        <v>1535</v>
      </c>
      <c r="D326" s="96" t="s">
        <v>1536</v>
      </c>
      <c r="E326" s="97"/>
      <c r="F326" s="122" t="s">
        <v>76</v>
      </c>
      <c r="G326" s="98">
        <v>100</v>
      </c>
      <c r="H326" s="22">
        <f>IF(OR(J326="",K326="",K326&lt;J326),0,NETWORKDAYS(J326,K326,fESTIVOS!$A$2:$A$53))</f>
        <v>0</v>
      </c>
      <c r="I326" s="99">
        <v>46041</v>
      </c>
      <c r="J326" s="100">
        <v>46041</v>
      </c>
      <c r="K326" s="100"/>
      <c r="L326" s="100">
        <v>46041</v>
      </c>
      <c r="M326" s="27">
        <f ca="1">IF(OR(J326="",AND(L326="",TODAY()&lt;J326),AND(L326&lt;&gt;"",L326&lt;J326)),0,
   IF(L326="",
      NETWORKDAYS(J326,TODAY(),fESTIVOS!$A$2:$A$53),
      NETWORKDAYS(J326,L326,fESTIVOS!$A$2:$A$53)
   )
)</f>
        <v>1</v>
      </c>
      <c r="N326" s="101"/>
      <c r="O326" s="99"/>
      <c r="P326" s="101"/>
      <c r="Q326" s="34" t="s">
        <v>1537</v>
      </c>
      <c r="R326" s="31" t="s">
        <v>209</v>
      </c>
      <c r="S326" s="164"/>
      <c r="T326" s="164"/>
      <c r="U326" s="162"/>
      <c r="V326" s="105"/>
      <c r="W326" s="105"/>
      <c r="X326" s="105"/>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row>
    <row r="327" spans="1:67" ht="29.25" hidden="1" customHeight="1">
      <c r="A327" s="93" t="s">
        <v>67</v>
      </c>
      <c r="B327" s="106" t="s">
        <v>1538</v>
      </c>
      <c r="C327" s="141" t="s">
        <v>1539</v>
      </c>
      <c r="D327" s="96" t="s">
        <v>1540</v>
      </c>
      <c r="E327" s="97"/>
      <c r="F327" s="122" t="s">
        <v>76</v>
      </c>
      <c r="G327" s="98">
        <v>100</v>
      </c>
      <c r="H327" s="22">
        <f>IF(OR(J327="",K327="",K327&lt;J327),0,NETWORKDAYS(J327,K327,fESTIVOS!$A$2:$A$53))</f>
        <v>0</v>
      </c>
      <c r="I327" s="99">
        <v>46036</v>
      </c>
      <c r="J327" s="100">
        <v>46041</v>
      </c>
      <c r="K327" s="100"/>
      <c r="L327" s="100">
        <v>46041</v>
      </c>
      <c r="M327" s="27">
        <f ca="1">IF(OR(J327="",AND(L327="",TODAY()&lt;J327),AND(L327&lt;&gt;"",L327&lt;J327)),0,
   IF(L327="",
      NETWORKDAYS(J327,TODAY(),fESTIVOS!$A$2:$A$53),
      NETWORKDAYS(J327,L327,fESTIVOS!$A$2:$A$53)
   )
)</f>
        <v>1</v>
      </c>
      <c r="N327" s="101"/>
      <c r="O327" s="99"/>
      <c r="P327" s="101"/>
      <c r="Q327" s="34" t="s">
        <v>1541</v>
      </c>
      <c r="R327" s="31" t="s">
        <v>78</v>
      </c>
      <c r="S327" s="164"/>
      <c r="T327" s="164"/>
      <c r="U327" s="162"/>
      <c r="V327" s="105"/>
      <c r="W327" s="105"/>
      <c r="X327" s="105"/>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row>
    <row r="328" spans="1:67" ht="29.25" hidden="1" customHeight="1">
      <c r="A328" s="93" t="s">
        <v>67</v>
      </c>
      <c r="B328" s="106" t="s">
        <v>1542</v>
      </c>
      <c r="C328" s="141" t="s">
        <v>1543</v>
      </c>
      <c r="D328" s="96" t="s">
        <v>1544</v>
      </c>
      <c r="E328" s="97"/>
      <c r="F328" s="122" t="s">
        <v>76</v>
      </c>
      <c r="G328" s="98">
        <v>100</v>
      </c>
      <c r="H328" s="22">
        <f>IF(OR(J328="",K328="",K328&lt;J328),0,NETWORKDAYS(J328,K328,fESTIVOS!$A$2:$A$53))</f>
        <v>0</v>
      </c>
      <c r="I328" s="99">
        <v>46035</v>
      </c>
      <c r="J328" s="100">
        <v>46035</v>
      </c>
      <c r="K328" s="100"/>
      <c r="L328" s="100">
        <v>46035</v>
      </c>
      <c r="M328" s="27">
        <f ca="1">IF(OR(J328="",AND(L328="",TODAY()&lt;J328),AND(L328&lt;&gt;"",L328&lt;J328)),0,
   IF(L328="",
      NETWORKDAYS(J328,TODAY(),fESTIVOS!$A$2:$A$53),
      NETWORKDAYS(J328,L328,fESTIVOS!$A$2:$A$53)
   )
)</f>
        <v>1</v>
      </c>
      <c r="N328" s="101"/>
      <c r="O328" s="99">
        <v>46035</v>
      </c>
      <c r="P328" s="101">
        <v>46035</v>
      </c>
      <c r="Q328" s="34" t="s">
        <v>1545</v>
      </c>
      <c r="R328" s="31" t="s">
        <v>78</v>
      </c>
      <c r="S328" s="164"/>
      <c r="T328" s="164"/>
      <c r="U328" s="162"/>
      <c r="V328" s="105"/>
      <c r="W328" s="105"/>
      <c r="X328" s="105"/>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row>
    <row r="329" spans="1:67" ht="29.25" hidden="1" customHeight="1">
      <c r="A329" s="216"/>
      <c r="B329" s="217"/>
      <c r="C329" s="174"/>
      <c r="D329" s="174"/>
      <c r="E329" s="175"/>
      <c r="F329" s="162"/>
      <c r="G329" s="218"/>
      <c r="H329" s="22">
        <f>IF(OR(J329="",K329="",K329&lt;J329),0,NETWORKDAYS(J329,K329,fESTIVOS!$A$2:$A$53))</f>
        <v>0</v>
      </c>
      <c r="I329" s="176"/>
      <c r="J329" s="177"/>
      <c r="K329" s="177"/>
      <c r="L329" s="177"/>
      <c r="M329" s="27">
        <f ca="1">IF(OR(J329="",AND(L329="",TODAY()&lt;J329),AND(L329&lt;&gt;"",L329&lt;J329)),0,
   IF(L329="",
      NETWORKDAYS(J329,TODAY(),fESTIVOS!$A$2:$A$53),
      NETWORKDAYS(J329,L329,fESTIVOS!$A$2:$A$53)
   )
)</f>
        <v>0</v>
      </c>
      <c r="N329" s="178"/>
      <c r="O329" s="176"/>
      <c r="P329" s="178"/>
      <c r="Q329" s="105"/>
      <c r="R329" s="219"/>
      <c r="S329" s="164"/>
      <c r="T329" s="164"/>
      <c r="U329" s="162"/>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row>
    <row r="330" spans="1:67" ht="29.25" hidden="1" customHeight="1">
      <c r="A330" s="216"/>
      <c r="B330" s="217"/>
      <c r="C330" s="174"/>
      <c r="D330" s="174"/>
      <c r="E330" s="175"/>
      <c r="F330" s="162"/>
      <c r="G330" s="218"/>
      <c r="H330" s="22">
        <f>IF(OR(J330="",K330="",K330&lt;J330),0,NETWORKDAYS(J330,K330,fESTIVOS!$A$2:$A$53))</f>
        <v>0</v>
      </c>
      <c r="I330" s="176"/>
      <c r="J330" s="177"/>
      <c r="K330" s="177"/>
      <c r="L330" s="177"/>
      <c r="M330" s="220"/>
      <c r="N330" s="178"/>
      <c r="O330" s="176"/>
      <c r="P330" s="178"/>
      <c r="Q330" s="105"/>
      <c r="R330" s="219"/>
      <c r="S330" s="164"/>
      <c r="T330" s="164"/>
      <c r="U330" s="162"/>
      <c r="V330" s="105"/>
      <c r="W330" s="105"/>
      <c r="X330" s="105"/>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row>
    <row r="331" spans="1:67" ht="29.25" hidden="1" customHeight="1">
      <c r="A331" s="216"/>
      <c r="B331" s="217"/>
      <c r="C331" s="174"/>
      <c r="D331" s="174"/>
      <c r="E331" s="175"/>
      <c r="F331" s="162"/>
      <c r="G331" s="218"/>
      <c r="H331" s="22">
        <f>IF(OR(J331="",K331="",K331&lt;J331),0,NETWORKDAYS(J331,K331,fESTIVOS!$A$2:$A$53))</f>
        <v>0</v>
      </c>
      <c r="I331" s="176"/>
      <c r="J331" s="177"/>
      <c r="K331" s="177"/>
      <c r="L331" s="177"/>
      <c r="M331" s="220"/>
      <c r="N331" s="178"/>
      <c r="O331" s="176"/>
      <c r="P331" s="178"/>
      <c r="Q331" s="105"/>
      <c r="R331" s="219"/>
      <c r="S331" s="164"/>
      <c r="T331" s="164"/>
      <c r="U331" s="162"/>
      <c r="V331" s="105"/>
      <c r="W331" s="105"/>
      <c r="X331" s="105"/>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row>
    <row r="332" spans="1:67" ht="29.25" hidden="1" customHeight="1">
      <c r="A332" s="216"/>
      <c r="B332" s="217"/>
      <c r="C332" s="174"/>
      <c r="D332" s="174"/>
      <c r="E332" s="175"/>
      <c r="F332" s="162"/>
      <c r="G332" s="218"/>
      <c r="H332" s="22">
        <f>IF(OR(J332="",K332="",K332&lt;J332),0,NETWORKDAYS(J332,K332,fESTIVOS!$A$2:$A$53))</f>
        <v>0</v>
      </c>
      <c r="I332" s="176"/>
      <c r="J332" s="177"/>
      <c r="K332" s="177"/>
      <c r="L332" s="177"/>
      <c r="M332" s="220"/>
      <c r="N332" s="178"/>
      <c r="O332" s="176"/>
      <c r="P332" s="178"/>
      <c r="Q332" s="105"/>
      <c r="R332" s="219"/>
      <c r="S332" s="164"/>
      <c r="T332" s="164"/>
      <c r="U332" s="162"/>
      <c r="V332" s="105"/>
      <c r="W332" s="105"/>
      <c r="X332" s="105"/>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row>
    <row r="333" spans="1:67" ht="29.25" hidden="1" customHeight="1">
      <c r="A333" s="216"/>
      <c r="B333" s="217"/>
      <c r="C333" s="174"/>
      <c r="D333" s="174"/>
      <c r="E333" s="175"/>
      <c r="F333" s="162"/>
      <c r="G333" s="218"/>
      <c r="H333" s="22">
        <f>IF(OR(J333="",K333="",K333&lt;J333),0,NETWORKDAYS(J333,K333,fESTIVOS!$A$2:$A$53))</f>
        <v>0</v>
      </c>
      <c r="I333" s="176"/>
      <c r="J333" s="177"/>
      <c r="K333" s="177"/>
      <c r="L333" s="177"/>
      <c r="M333" s="220"/>
      <c r="N333" s="178"/>
      <c r="O333" s="176"/>
      <c r="P333" s="178"/>
      <c r="Q333" s="105"/>
      <c r="R333" s="219"/>
      <c r="S333" s="164"/>
      <c r="T333" s="164"/>
      <c r="U333" s="162"/>
      <c r="V333" s="105"/>
      <c r="W333" s="105"/>
      <c r="X333" s="105"/>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row>
    <row r="334" spans="1:67" ht="29.25" hidden="1" customHeight="1">
      <c r="A334" s="216"/>
      <c r="B334" s="217"/>
      <c r="C334" s="174"/>
      <c r="D334" s="174"/>
      <c r="E334" s="175"/>
      <c r="F334" s="162"/>
      <c r="G334" s="218"/>
      <c r="H334" s="22">
        <f>IF(OR(J334="",K334="",K334&lt;J334),0,NETWORKDAYS(J334,K334,fESTIVOS!$A$2:$A$53))</f>
        <v>0</v>
      </c>
      <c r="I334" s="176"/>
      <c r="J334" s="177"/>
      <c r="K334" s="177"/>
      <c r="L334" s="177"/>
      <c r="M334" s="220"/>
      <c r="N334" s="178"/>
      <c r="O334" s="176"/>
      <c r="P334" s="178"/>
      <c r="Q334" s="105"/>
      <c r="R334" s="219"/>
      <c r="S334" s="164"/>
      <c r="T334" s="164"/>
      <c r="U334" s="162"/>
      <c r="V334" s="105"/>
      <c r="W334" s="105"/>
      <c r="X334" s="105"/>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row>
    <row r="335" spans="1:67" ht="29.25" hidden="1" customHeight="1">
      <c r="A335" s="216"/>
      <c r="B335" s="217"/>
      <c r="C335" s="174"/>
      <c r="D335" s="174"/>
      <c r="E335" s="175"/>
      <c r="F335" s="162"/>
      <c r="G335" s="218"/>
      <c r="H335" s="22">
        <f>IF(OR(J335="",K335="",K335&lt;J335),0,NETWORKDAYS(J335,K335,fESTIVOS!$A$2:$A$53))</f>
        <v>0</v>
      </c>
      <c r="I335" s="176"/>
      <c r="J335" s="177"/>
      <c r="K335" s="177"/>
      <c r="L335" s="177"/>
      <c r="M335" s="220"/>
      <c r="N335" s="178"/>
      <c r="O335" s="176"/>
      <c r="P335" s="178"/>
      <c r="Q335" s="105"/>
      <c r="R335" s="219"/>
      <c r="S335" s="164"/>
      <c r="T335" s="164"/>
      <c r="U335" s="162"/>
      <c r="V335" s="105"/>
      <c r="W335" s="105"/>
      <c r="X335" s="105"/>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row>
    <row r="336" spans="1:67" ht="29.25" hidden="1" customHeight="1">
      <c r="A336" s="216"/>
      <c r="B336" s="217"/>
      <c r="C336" s="174"/>
      <c r="D336" s="174"/>
      <c r="E336" s="175"/>
      <c r="F336" s="162"/>
      <c r="G336" s="218"/>
      <c r="H336" s="22">
        <f>IF(OR(J336="",K336="",K336&lt;J336),0,NETWORKDAYS(J336,K336,fESTIVOS!$A$2:$A$53))</f>
        <v>0</v>
      </c>
      <c r="I336" s="176"/>
      <c r="J336" s="177"/>
      <c r="K336" s="177"/>
      <c r="L336" s="177"/>
      <c r="M336" s="220"/>
      <c r="N336" s="178"/>
      <c r="O336" s="176"/>
      <c r="P336" s="178"/>
      <c r="Q336" s="105"/>
      <c r="R336" s="219"/>
      <c r="S336" s="164"/>
      <c r="T336" s="164"/>
      <c r="U336" s="162"/>
      <c r="V336" s="105"/>
      <c r="W336" s="105"/>
      <c r="X336" s="105"/>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row>
    <row r="337" spans="1:67" ht="29.25" hidden="1" customHeight="1">
      <c r="A337" s="216"/>
      <c r="B337" s="217"/>
      <c r="C337" s="174"/>
      <c r="D337" s="174"/>
      <c r="E337" s="175"/>
      <c r="F337" s="162"/>
      <c r="G337" s="218"/>
      <c r="H337" s="22">
        <f>IF(OR(J337="",K337="",K337&lt;J337),0,NETWORKDAYS(J337,K337,fESTIVOS!$A$2:$A$53))</f>
        <v>0</v>
      </c>
      <c r="I337" s="176"/>
      <c r="J337" s="177"/>
      <c r="K337" s="177"/>
      <c r="L337" s="177"/>
      <c r="M337" s="220"/>
      <c r="N337" s="178"/>
      <c r="O337" s="176"/>
      <c r="P337" s="178"/>
      <c r="Q337" s="105"/>
      <c r="R337" s="219"/>
      <c r="S337" s="164"/>
      <c r="T337" s="164"/>
      <c r="U337" s="162"/>
      <c r="V337" s="105"/>
      <c r="W337" s="105"/>
      <c r="X337" s="105"/>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row>
    <row r="338" spans="1:67" ht="29.25" hidden="1" customHeight="1">
      <c r="A338" s="216"/>
      <c r="B338" s="217"/>
      <c r="C338" s="174"/>
      <c r="D338" s="174"/>
      <c r="E338" s="175"/>
      <c r="F338" s="162"/>
      <c r="G338" s="218"/>
      <c r="H338" s="22">
        <f>IF(OR(J338="",K338="",K338&lt;J338),0,NETWORKDAYS(J338,K338,fESTIVOS!$A$2:$A$53))</f>
        <v>0</v>
      </c>
      <c r="I338" s="176"/>
      <c r="J338" s="177"/>
      <c r="K338" s="177"/>
      <c r="L338" s="177"/>
      <c r="M338" s="220"/>
      <c r="N338" s="178"/>
      <c r="O338" s="176"/>
      <c r="P338" s="178"/>
      <c r="Q338" s="105"/>
      <c r="R338" s="219"/>
      <c r="S338" s="164"/>
      <c r="T338" s="164"/>
      <c r="U338" s="162"/>
      <c r="V338" s="105"/>
      <c r="W338" s="105"/>
      <c r="X338" s="105"/>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row>
    <row r="339" spans="1:67" ht="29.25" hidden="1" customHeight="1">
      <c r="A339" s="216"/>
      <c r="B339" s="217"/>
      <c r="C339" s="174"/>
      <c r="D339" s="174"/>
      <c r="E339" s="175"/>
      <c r="F339" s="162"/>
      <c r="G339" s="218"/>
      <c r="H339" s="22">
        <f>IF(OR(J339="",K339="",K339&lt;J339),0,NETWORKDAYS(J339,K339,fESTIVOS!$A$2:$A$53))</f>
        <v>0</v>
      </c>
      <c r="I339" s="176"/>
      <c r="J339" s="177"/>
      <c r="K339" s="177"/>
      <c r="L339" s="177"/>
      <c r="M339" s="220"/>
      <c r="N339" s="178"/>
      <c r="O339" s="176"/>
      <c r="P339" s="178"/>
      <c r="Q339" s="105"/>
      <c r="R339" s="219"/>
      <c r="S339" s="164"/>
      <c r="T339" s="164"/>
      <c r="U339" s="162"/>
      <c r="V339" s="105"/>
      <c r="W339" s="105"/>
      <c r="X339" s="105"/>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row>
    <row r="340" spans="1:67" ht="29.25" hidden="1" customHeight="1">
      <c r="A340" s="216"/>
      <c r="B340" s="217"/>
      <c r="C340" s="174"/>
      <c r="D340" s="174"/>
      <c r="E340" s="175"/>
      <c r="F340" s="162"/>
      <c r="G340" s="218"/>
      <c r="H340" s="22">
        <f>IF(OR(J340="",K340="",K340&lt;J340),0,NETWORKDAYS(J340,K340,fESTIVOS!$A$2:$A$53))</f>
        <v>0</v>
      </c>
      <c r="I340" s="176"/>
      <c r="J340" s="177"/>
      <c r="K340" s="177"/>
      <c r="L340" s="177"/>
      <c r="M340" s="220"/>
      <c r="N340" s="178"/>
      <c r="O340" s="176"/>
      <c r="P340" s="178"/>
      <c r="Q340" s="105"/>
      <c r="R340" s="219"/>
      <c r="S340" s="164"/>
      <c r="T340" s="164"/>
      <c r="U340" s="162"/>
      <c r="V340" s="105"/>
      <c r="W340" s="105"/>
      <c r="X340" s="105"/>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row>
    <row r="341" spans="1:67" ht="29.25" hidden="1" customHeight="1">
      <c r="A341" s="216"/>
      <c r="B341" s="217"/>
      <c r="C341" s="174"/>
      <c r="D341" s="174"/>
      <c r="E341" s="175"/>
      <c r="F341" s="162"/>
      <c r="G341" s="218"/>
      <c r="H341" s="22">
        <f>IF(OR(J341="",K341="",K341&lt;J341),0,NETWORKDAYS(J341,K341,fESTIVOS!$A$2:$A$53))</f>
        <v>0</v>
      </c>
      <c r="I341" s="176"/>
      <c r="J341" s="177"/>
      <c r="K341" s="177"/>
      <c r="L341" s="177"/>
      <c r="M341" s="220"/>
      <c r="N341" s="178"/>
      <c r="O341" s="176"/>
      <c r="P341" s="178"/>
      <c r="Q341" s="105"/>
      <c r="R341" s="219"/>
      <c r="S341" s="164"/>
      <c r="T341" s="164"/>
      <c r="U341" s="162"/>
      <c r="V341" s="105"/>
      <c r="W341" s="105"/>
      <c r="X341" s="105"/>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row>
    <row r="342" spans="1:67" ht="29.25" hidden="1" customHeight="1">
      <c r="A342" s="216"/>
      <c r="B342" s="217"/>
      <c r="C342" s="174"/>
      <c r="D342" s="174"/>
      <c r="E342" s="175"/>
      <c r="F342" s="162"/>
      <c r="G342" s="218"/>
      <c r="H342" s="22">
        <f>IF(OR(J342="",K342="",K342&lt;J342),0,NETWORKDAYS(J342,K342,fESTIVOS!$A$2:$A$53))</f>
        <v>0</v>
      </c>
      <c r="I342" s="176"/>
      <c r="J342" s="177"/>
      <c r="K342" s="177"/>
      <c r="L342" s="177"/>
      <c r="M342" s="220"/>
      <c r="N342" s="178"/>
      <c r="O342" s="176"/>
      <c r="P342" s="178"/>
      <c r="Q342" s="105"/>
      <c r="R342" s="219"/>
      <c r="S342" s="164"/>
      <c r="T342" s="164"/>
      <c r="U342" s="162"/>
      <c r="V342" s="105"/>
      <c r="W342" s="105"/>
      <c r="X342" s="105"/>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row>
    <row r="343" spans="1:67" ht="29.25" hidden="1" customHeight="1">
      <c r="A343" s="216"/>
      <c r="B343" s="217"/>
      <c r="C343" s="174"/>
      <c r="D343" s="174"/>
      <c r="E343" s="175"/>
      <c r="F343" s="162"/>
      <c r="G343" s="218"/>
      <c r="H343" s="22">
        <f>IF(OR(J343="",K343="",K343&lt;J343),0,NETWORKDAYS(J343,K343,fESTIVOS!$A$2:$A$53))</f>
        <v>0</v>
      </c>
      <c r="I343" s="176"/>
      <c r="J343" s="177"/>
      <c r="K343" s="177"/>
      <c r="L343" s="177"/>
      <c r="M343" s="220"/>
      <c r="N343" s="178"/>
      <c r="O343" s="176"/>
      <c r="P343" s="178"/>
      <c r="Q343" s="105"/>
      <c r="R343" s="219"/>
      <c r="S343" s="164"/>
      <c r="T343" s="164"/>
      <c r="U343" s="162"/>
      <c r="V343" s="105"/>
      <c r="W343" s="105"/>
      <c r="X343" s="105"/>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row>
    <row r="344" spans="1:67" ht="29.25" hidden="1" customHeight="1">
      <c r="A344" s="216"/>
      <c r="B344" s="217"/>
      <c r="C344" s="174"/>
      <c r="D344" s="174"/>
      <c r="E344" s="175"/>
      <c r="F344" s="162"/>
      <c r="G344" s="218"/>
      <c r="H344" s="22">
        <f>IF(OR(J344="",K344="",K344&lt;J344),0,NETWORKDAYS(J344,K344,fESTIVOS!$A$2:$A$53))</f>
        <v>0</v>
      </c>
      <c r="I344" s="176"/>
      <c r="J344" s="177"/>
      <c r="K344" s="177"/>
      <c r="L344" s="177"/>
      <c r="M344" s="220"/>
      <c r="N344" s="178"/>
      <c r="O344" s="176"/>
      <c r="P344" s="178"/>
      <c r="Q344" s="105"/>
      <c r="R344" s="219"/>
      <c r="S344" s="164"/>
      <c r="T344" s="164"/>
      <c r="U344" s="162"/>
      <c r="V344" s="105"/>
      <c r="W344" s="105"/>
      <c r="X344" s="105"/>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row>
    <row r="345" spans="1:67" ht="29.25" hidden="1" customHeight="1">
      <c r="A345" s="216"/>
      <c r="B345" s="217"/>
      <c r="C345" s="174"/>
      <c r="D345" s="174"/>
      <c r="E345" s="175"/>
      <c r="F345" s="162"/>
      <c r="G345" s="218"/>
      <c r="H345" s="22">
        <f>IF(OR(J345="",K345="",K345&lt;J345),0,NETWORKDAYS(J345,K345,fESTIVOS!$A$2:$A$53))</f>
        <v>0</v>
      </c>
      <c r="I345" s="176"/>
      <c r="J345" s="177"/>
      <c r="K345" s="177"/>
      <c r="L345" s="177"/>
      <c r="M345" s="220"/>
      <c r="N345" s="178"/>
      <c r="O345" s="176"/>
      <c r="P345" s="178"/>
      <c r="Q345" s="105"/>
      <c r="R345" s="219"/>
      <c r="S345" s="164"/>
      <c r="T345" s="164"/>
      <c r="U345" s="162"/>
      <c r="V345" s="105"/>
      <c r="W345" s="105"/>
      <c r="X345" s="105"/>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row>
    <row r="346" spans="1:67" ht="29.25" hidden="1" customHeight="1">
      <c r="A346" s="216"/>
      <c r="B346" s="217"/>
      <c r="C346" s="174"/>
      <c r="D346" s="174"/>
      <c r="E346" s="175"/>
      <c r="F346" s="162"/>
      <c r="G346" s="218"/>
      <c r="H346" s="22">
        <f>IF(OR(J346="",K346="",K346&lt;J346),0,NETWORKDAYS(J346,K346,fESTIVOS!$A$2:$A$53))</f>
        <v>0</v>
      </c>
      <c r="I346" s="176"/>
      <c r="J346" s="177"/>
      <c r="K346" s="177"/>
      <c r="L346" s="177"/>
      <c r="M346" s="220"/>
      <c r="N346" s="178"/>
      <c r="O346" s="176"/>
      <c r="P346" s="178"/>
      <c r="Q346" s="105"/>
      <c r="R346" s="219"/>
      <c r="S346" s="164"/>
      <c r="T346" s="164"/>
      <c r="U346" s="162"/>
      <c r="V346" s="105"/>
      <c r="W346" s="105"/>
      <c r="X346" s="105"/>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row>
    <row r="347" spans="1:67" ht="29.25" hidden="1" customHeight="1">
      <c r="A347" s="216"/>
      <c r="B347" s="217"/>
      <c r="C347" s="174"/>
      <c r="D347" s="174"/>
      <c r="E347" s="175"/>
      <c r="F347" s="162"/>
      <c r="G347" s="218"/>
      <c r="H347" s="22">
        <f>IF(OR(J347="",K347="",K347&lt;J347),0,NETWORKDAYS(J347,K347,fESTIVOS!$A$2:$A$53))</f>
        <v>0</v>
      </c>
      <c r="I347" s="176"/>
      <c r="J347" s="177"/>
      <c r="K347" s="177"/>
      <c r="L347" s="177"/>
      <c r="M347" s="220"/>
      <c r="N347" s="178"/>
      <c r="O347" s="176"/>
      <c r="P347" s="178"/>
      <c r="Q347" s="105"/>
      <c r="R347" s="219"/>
      <c r="S347" s="164"/>
      <c r="T347" s="164"/>
      <c r="U347" s="162"/>
      <c r="V347" s="105"/>
      <c r="W347" s="105"/>
      <c r="X347" s="105"/>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row>
    <row r="348" spans="1:67" ht="29.25" hidden="1" customHeight="1">
      <c r="A348" s="216"/>
      <c r="B348" s="217"/>
      <c r="C348" s="174"/>
      <c r="D348" s="174"/>
      <c r="E348" s="175"/>
      <c r="F348" s="162"/>
      <c r="G348" s="218"/>
      <c r="H348" s="22">
        <f>IF(OR(J348="",K348="",K348&lt;J348),0,NETWORKDAYS(J348,K348,fESTIVOS!$A$2:$A$53))</f>
        <v>0</v>
      </c>
      <c r="I348" s="176"/>
      <c r="J348" s="177"/>
      <c r="K348" s="177"/>
      <c r="L348" s="177"/>
      <c r="M348" s="220"/>
      <c r="N348" s="178"/>
      <c r="O348" s="176"/>
      <c r="P348" s="178"/>
      <c r="Q348" s="105"/>
      <c r="R348" s="219"/>
      <c r="S348" s="164"/>
      <c r="T348" s="164"/>
      <c r="U348" s="162"/>
      <c r="V348" s="105"/>
      <c r="W348" s="105"/>
      <c r="X348" s="105"/>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row>
    <row r="349" spans="1:67" ht="29.25" hidden="1" customHeight="1">
      <c r="A349" s="216"/>
      <c r="B349" s="217"/>
      <c r="C349" s="174"/>
      <c r="D349" s="174"/>
      <c r="E349" s="175"/>
      <c r="F349" s="162"/>
      <c r="G349" s="218"/>
      <c r="H349" s="22">
        <f>IF(OR(J349="",K349="",K349&lt;J349),0,NETWORKDAYS(J349,K349,fESTIVOS!$A$2:$A$53))</f>
        <v>0</v>
      </c>
      <c r="I349" s="176"/>
      <c r="J349" s="177"/>
      <c r="K349" s="177"/>
      <c r="L349" s="177"/>
      <c r="M349" s="220"/>
      <c r="N349" s="178"/>
      <c r="O349" s="176"/>
      <c r="P349" s="178"/>
      <c r="Q349" s="105"/>
      <c r="R349" s="219"/>
      <c r="S349" s="164"/>
      <c r="T349" s="164"/>
      <c r="U349" s="162"/>
      <c r="V349" s="105"/>
      <c r="W349" s="105"/>
      <c r="X349" s="105"/>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row>
    <row r="350" spans="1:67" ht="29.25" hidden="1" customHeight="1">
      <c r="A350" s="216"/>
      <c r="B350" s="217"/>
      <c r="C350" s="174"/>
      <c r="D350" s="174"/>
      <c r="E350" s="175"/>
      <c r="F350" s="162"/>
      <c r="G350" s="218"/>
      <c r="H350" s="22">
        <f>IF(OR(J350="",K350="",K350&lt;J350),0,NETWORKDAYS(J350,K350,fESTIVOS!$A$2:$A$53))</f>
        <v>0</v>
      </c>
      <c r="I350" s="176"/>
      <c r="J350" s="177"/>
      <c r="K350" s="177"/>
      <c r="L350" s="177"/>
      <c r="M350" s="220"/>
      <c r="N350" s="178"/>
      <c r="O350" s="176"/>
      <c r="P350" s="178"/>
      <c r="Q350" s="105"/>
      <c r="R350" s="219"/>
      <c r="S350" s="164"/>
      <c r="T350" s="164"/>
      <c r="U350" s="162"/>
      <c r="V350" s="105"/>
      <c r="W350" s="105"/>
      <c r="X350" s="105"/>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row>
    <row r="351" spans="1:67" ht="29.25" hidden="1" customHeight="1">
      <c r="A351" s="216"/>
      <c r="B351" s="217"/>
      <c r="C351" s="174"/>
      <c r="D351" s="174"/>
      <c r="E351" s="175"/>
      <c r="F351" s="162"/>
      <c r="G351" s="218"/>
      <c r="H351" s="22">
        <f>IF(OR(J351="",K351="",K351&lt;J351),0,NETWORKDAYS(J351,K351,fESTIVOS!$A$2:$A$53))</f>
        <v>0</v>
      </c>
      <c r="I351" s="176"/>
      <c r="J351" s="177"/>
      <c r="K351" s="177"/>
      <c r="L351" s="177"/>
      <c r="M351" s="220"/>
      <c r="N351" s="178"/>
      <c r="O351" s="176"/>
      <c r="P351" s="178"/>
      <c r="Q351" s="105"/>
      <c r="R351" s="219"/>
      <c r="S351" s="164"/>
      <c r="T351" s="164"/>
      <c r="U351" s="162"/>
      <c r="V351" s="105"/>
      <c r="W351" s="105"/>
      <c r="X351" s="105"/>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row>
    <row r="352" spans="1:67" ht="29.25" hidden="1" customHeight="1">
      <c r="A352" s="216"/>
      <c r="B352" s="217"/>
      <c r="C352" s="174"/>
      <c r="D352" s="174"/>
      <c r="E352" s="175"/>
      <c r="F352" s="162"/>
      <c r="G352" s="218"/>
      <c r="H352" s="22">
        <f>IF(OR(J352="",K352="",K352&lt;J352),0,NETWORKDAYS(J352,K352,fESTIVOS!$A$2:$A$53))</f>
        <v>0</v>
      </c>
      <c r="I352" s="176"/>
      <c r="J352" s="177"/>
      <c r="K352" s="177"/>
      <c r="L352" s="177"/>
      <c r="M352" s="220"/>
      <c r="N352" s="178"/>
      <c r="O352" s="176"/>
      <c r="P352" s="178"/>
      <c r="Q352" s="105"/>
      <c r="R352" s="219"/>
      <c r="S352" s="164"/>
      <c r="T352" s="164"/>
      <c r="U352" s="162"/>
      <c r="V352" s="105"/>
      <c r="W352" s="105"/>
      <c r="X352" s="105"/>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row>
    <row r="353" spans="1:67" ht="29.25" hidden="1" customHeight="1">
      <c r="A353" s="216"/>
      <c r="B353" s="217"/>
      <c r="C353" s="174"/>
      <c r="D353" s="174"/>
      <c r="E353" s="175"/>
      <c r="F353" s="162"/>
      <c r="G353" s="218"/>
      <c r="H353" s="22">
        <f>IF(OR(J353="",K353="",K353&lt;J353),0,NETWORKDAYS(J353,K353,fESTIVOS!$A$2:$A$53))</f>
        <v>0</v>
      </c>
      <c r="I353" s="176"/>
      <c r="J353" s="177"/>
      <c r="K353" s="177"/>
      <c r="L353" s="177"/>
      <c r="M353" s="220"/>
      <c r="N353" s="178"/>
      <c r="O353" s="176"/>
      <c r="P353" s="178"/>
      <c r="Q353" s="105"/>
      <c r="R353" s="219"/>
      <c r="S353" s="164"/>
      <c r="T353" s="164"/>
      <c r="U353" s="162"/>
      <c r="V353" s="105"/>
      <c r="W353" s="105"/>
      <c r="X353" s="105"/>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row>
    <row r="354" spans="1:67" ht="29.25" hidden="1" customHeight="1">
      <c r="A354" s="216"/>
      <c r="B354" s="217"/>
      <c r="C354" s="174"/>
      <c r="D354" s="174"/>
      <c r="E354" s="175"/>
      <c r="F354" s="162"/>
      <c r="G354" s="218"/>
      <c r="H354" s="22">
        <f>IF(OR(J354="",K354="",K354&lt;J354),0,NETWORKDAYS(J354,K354,fESTIVOS!$A$2:$A$53))</f>
        <v>0</v>
      </c>
      <c r="I354" s="176"/>
      <c r="J354" s="177"/>
      <c r="K354" s="177"/>
      <c r="L354" s="177"/>
      <c r="M354" s="220"/>
      <c r="N354" s="178"/>
      <c r="O354" s="176"/>
      <c r="P354" s="178"/>
      <c r="Q354" s="105"/>
      <c r="R354" s="219"/>
      <c r="S354" s="164"/>
      <c r="T354" s="164"/>
      <c r="U354" s="162"/>
      <c r="V354" s="105"/>
      <c r="W354" s="105"/>
      <c r="X354" s="105"/>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row>
    <row r="355" spans="1:67" ht="29.25" hidden="1" customHeight="1">
      <c r="A355" s="216"/>
      <c r="B355" s="217"/>
      <c r="C355" s="174"/>
      <c r="D355" s="174"/>
      <c r="E355" s="175"/>
      <c r="F355" s="162"/>
      <c r="G355" s="218"/>
      <c r="H355" s="22">
        <f>IF(OR(J355="",K355="",K355&lt;J355),0,NETWORKDAYS(J355,K355,fESTIVOS!$A$2:$A$53))</f>
        <v>0</v>
      </c>
      <c r="I355" s="176"/>
      <c r="J355" s="177"/>
      <c r="K355" s="177"/>
      <c r="L355" s="177"/>
      <c r="M355" s="220"/>
      <c r="N355" s="178"/>
      <c r="O355" s="176"/>
      <c r="P355" s="178"/>
      <c r="Q355" s="105"/>
      <c r="R355" s="219"/>
      <c r="S355" s="164"/>
      <c r="T355" s="164"/>
      <c r="U355" s="162"/>
      <c r="V355" s="105"/>
      <c r="W355" s="105"/>
      <c r="X355" s="105"/>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row>
    <row r="356" spans="1:67" ht="29.25" hidden="1" customHeight="1">
      <c r="A356" s="216"/>
      <c r="B356" s="217"/>
      <c r="C356" s="174"/>
      <c r="D356" s="174"/>
      <c r="E356" s="175"/>
      <c r="F356" s="162"/>
      <c r="G356" s="218"/>
      <c r="H356" s="22">
        <f>IF(OR(J356="",K356="",K356&lt;J356),0,NETWORKDAYS(J356,K356,fESTIVOS!$A$2:$A$53))</f>
        <v>0</v>
      </c>
      <c r="I356" s="176"/>
      <c r="J356" s="177"/>
      <c r="K356" s="177"/>
      <c r="L356" s="177"/>
      <c r="M356" s="220"/>
      <c r="N356" s="178"/>
      <c r="O356" s="176"/>
      <c r="P356" s="178"/>
      <c r="Q356" s="105"/>
      <c r="R356" s="219"/>
      <c r="S356" s="164"/>
      <c r="T356" s="164"/>
      <c r="U356" s="162"/>
      <c r="V356" s="105"/>
      <c r="W356" s="105"/>
      <c r="X356" s="105"/>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row>
    <row r="357" spans="1:67" ht="29.25" hidden="1" customHeight="1">
      <c r="A357" s="216"/>
      <c r="B357" s="217"/>
      <c r="C357" s="174"/>
      <c r="D357" s="174"/>
      <c r="E357" s="175"/>
      <c r="F357" s="162"/>
      <c r="G357" s="218"/>
      <c r="H357" s="22">
        <f>IF(OR(J357="",K357="",K357&lt;J357),0,NETWORKDAYS(J357,K357,fESTIVOS!$A$2:$A$53))</f>
        <v>0</v>
      </c>
      <c r="I357" s="176"/>
      <c r="J357" s="177"/>
      <c r="K357" s="177"/>
      <c r="L357" s="177"/>
      <c r="M357" s="220"/>
      <c r="N357" s="178"/>
      <c r="O357" s="176"/>
      <c r="P357" s="178"/>
      <c r="Q357" s="105"/>
      <c r="R357" s="219"/>
      <c r="S357" s="164"/>
      <c r="T357" s="164"/>
      <c r="U357" s="162"/>
      <c r="V357" s="105"/>
      <c r="W357" s="105"/>
      <c r="X357" s="105"/>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row>
    <row r="358" spans="1:67" ht="29.25" hidden="1" customHeight="1">
      <c r="A358" s="216"/>
      <c r="B358" s="217"/>
      <c r="C358" s="174"/>
      <c r="D358" s="174"/>
      <c r="E358" s="175"/>
      <c r="F358" s="162"/>
      <c r="G358" s="218"/>
      <c r="H358" s="22">
        <f>IF(OR(J358="",K358="",K358&lt;J358),0,NETWORKDAYS(J358,K358,fESTIVOS!$A$2:$A$53))</f>
        <v>0</v>
      </c>
      <c r="I358" s="176"/>
      <c r="J358" s="177"/>
      <c r="K358" s="177"/>
      <c r="L358" s="177"/>
      <c r="M358" s="220"/>
      <c r="N358" s="178"/>
      <c r="O358" s="176"/>
      <c r="P358" s="178"/>
      <c r="Q358" s="105"/>
      <c r="R358" s="219"/>
      <c r="S358" s="164"/>
      <c r="T358" s="164"/>
      <c r="U358" s="162"/>
      <c r="V358" s="105"/>
      <c r="W358" s="105"/>
      <c r="X358" s="105"/>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row>
    <row r="359" spans="1:67" ht="29.25" hidden="1" customHeight="1">
      <c r="A359" s="216"/>
      <c r="B359" s="217"/>
      <c r="C359" s="174"/>
      <c r="D359" s="174"/>
      <c r="E359" s="175"/>
      <c r="F359" s="162"/>
      <c r="G359" s="218"/>
      <c r="H359" s="22">
        <f>IF(OR(J359="",K359="",K359&lt;J359),0,NETWORKDAYS(J359,K359,fESTIVOS!$A$2:$A$53))</f>
        <v>0</v>
      </c>
      <c r="I359" s="176"/>
      <c r="J359" s="177"/>
      <c r="K359" s="177"/>
      <c r="L359" s="177"/>
      <c r="M359" s="220"/>
      <c r="N359" s="178"/>
      <c r="O359" s="176"/>
      <c r="P359" s="178"/>
      <c r="Q359" s="105"/>
      <c r="R359" s="219"/>
      <c r="S359" s="164"/>
      <c r="T359" s="164"/>
      <c r="U359" s="162"/>
      <c r="V359" s="105"/>
      <c r="W359" s="105"/>
      <c r="X359" s="105"/>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row>
    <row r="360" spans="1:67" ht="29.25" hidden="1" customHeight="1">
      <c r="A360" s="216"/>
      <c r="B360" s="217"/>
      <c r="C360" s="174"/>
      <c r="D360" s="174"/>
      <c r="E360" s="175"/>
      <c r="F360" s="162"/>
      <c r="G360" s="218"/>
      <c r="H360" s="22">
        <f>IF(OR(J360="",K360="",K360&lt;J360),0,NETWORKDAYS(J360,K360,fESTIVOS!$A$2:$A$53))</f>
        <v>0</v>
      </c>
      <c r="I360" s="176"/>
      <c r="J360" s="177"/>
      <c r="K360" s="177"/>
      <c r="L360" s="177"/>
      <c r="M360" s="220"/>
      <c r="N360" s="178"/>
      <c r="O360" s="176"/>
      <c r="P360" s="178"/>
      <c r="Q360" s="105"/>
      <c r="R360" s="219"/>
      <c r="S360" s="164"/>
      <c r="T360" s="164"/>
      <c r="U360" s="162"/>
      <c r="V360" s="105"/>
      <c r="W360" s="105"/>
      <c r="X360" s="105"/>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row>
    <row r="361" spans="1:67" ht="29.25" hidden="1" customHeight="1">
      <c r="A361" s="216"/>
      <c r="B361" s="217"/>
      <c r="C361" s="174"/>
      <c r="D361" s="174"/>
      <c r="E361" s="175"/>
      <c r="F361" s="162"/>
      <c r="G361" s="218"/>
      <c r="H361" s="22">
        <f>IF(OR(J361="",K361="",K361&lt;J361),0,NETWORKDAYS(J361,K361,fESTIVOS!$A$2:$A$53))</f>
        <v>0</v>
      </c>
      <c r="I361" s="176"/>
      <c r="J361" s="177"/>
      <c r="K361" s="177"/>
      <c r="L361" s="177"/>
      <c r="M361" s="220"/>
      <c r="N361" s="178"/>
      <c r="O361" s="176"/>
      <c r="P361" s="178"/>
      <c r="Q361" s="105"/>
      <c r="R361" s="219"/>
      <c r="S361" s="164"/>
      <c r="T361" s="164"/>
      <c r="U361" s="162"/>
      <c r="V361" s="105"/>
      <c r="W361" s="105"/>
      <c r="X361" s="105"/>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row>
    <row r="362" spans="1:67" ht="29.25" hidden="1" customHeight="1">
      <c r="A362" s="216"/>
      <c r="B362" s="217"/>
      <c r="C362" s="174"/>
      <c r="D362" s="174"/>
      <c r="E362" s="175"/>
      <c r="F362" s="162"/>
      <c r="G362" s="218"/>
      <c r="H362" s="22">
        <f>IF(OR(J362="",K362="",K362&lt;J362),0,NETWORKDAYS(J362,K362,fESTIVOS!$A$2:$A$53))</f>
        <v>0</v>
      </c>
      <c r="I362" s="176"/>
      <c r="J362" s="177"/>
      <c r="K362" s="177"/>
      <c r="L362" s="177"/>
      <c r="M362" s="220"/>
      <c r="N362" s="178"/>
      <c r="O362" s="176"/>
      <c r="P362" s="178"/>
      <c r="Q362" s="105"/>
      <c r="R362" s="219"/>
      <c r="S362" s="164"/>
      <c r="T362" s="164"/>
      <c r="U362" s="162"/>
      <c r="V362" s="105"/>
      <c r="W362" s="105"/>
      <c r="X362" s="105"/>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row>
    <row r="363" spans="1:67" ht="29.25" hidden="1" customHeight="1">
      <c r="A363" s="216"/>
      <c r="B363" s="217"/>
      <c r="C363" s="174"/>
      <c r="D363" s="174"/>
      <c r="E363" s="175"/>
      <c r="F363" s="162"/>
      <c r="G363" s="218"/>
      <c r="H363" s="22">
        <f>IF(OR(J363="",K363="",K363&lt;J363),0,NETWORKDAYS(J363,K363,fESTIVOS!$A$2:$A$53))</f>
        <v>0</v>
      </c>
      <c r="I363" s="176"/>
      <c r="J363" s="177"/>
      <c r="K363" s="177"/>
      <c r="L363" s="177"/>
      <c r="M363" s="220"/>
      <c r="N363" s="178"/>
      <c r="O363" s="176"/>
      <c r="P363" s="178"/>
      <c r="Q363" s="105"/>
      <c r="R363" s="219"/>
      <c r="S363" s="164"/>
      <c r="T363" s="164"/>
      <c r="U363" s="162"/>
      <c r="V363" s="105"/>
      <c r="W363" s="105"/>
      <c r="X363" s="105"/>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row>
    <row r="364" spans="1:67" ht="29.25" hidden="1" customHeight="1">
      <c r="A364" s="216"/>
      <c r="B364" s="217"/>
      <c r="C364" s="174"/>
      <c r="D364" s="174"/>
      <c r="E364" s="175"/>
      <c r="F364" s="162"/>
      <c r="G364" s="218"/>
      <c r="H364" s="22">
        <f>IF(OR(J364="",K364="",K364&lt;J364),0,NETWORKDAYS(J364,K364,fESTIVOS!$A$2:$A$53))</f>
        <v>0</v>
      </c>
      <c r="I364" s="176"/>
      <c r="J364" s="177"/>
      <c r="K364" s="177"/>
      <c r="L364" s="177"/>
      <c r="M364" s="220"/>
      <c r="N364" s="178"/>
      <c r="O364" s="176"/>
      <c r="P364" s="178"/>
      <c r="Q364" s="105"/>
      <c r="R364" s="219"/>
      <c r="S364" s="164"/>
      <c r="T364" s="164"/>
      <c r="U364" s="162"/>
      <c r="V364" s="105"/>
      <c r="W364" s="105"/>
      <c r="X364" s="105"/>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row>
    <row r="365" spans="1:67" ht="29.25" hidden="1" customHeight="1">
      <c r="A365" s="216"/>
      <c r="B365" s="217"/>
      <c r="C365" s="174"/>
      <c r="D365" s="174"/>
      <c r="E365" s="175"/>
      <c r="F365" s="162"/>
      <c r="G365" s="218"/>
      <c r="H365" s="22">
        <f>IF(OR(J365="",K365="",K365&lt;J365),0,NETWORKDAYS(J365,K365,fESTIVOS!$A$2:$A$53))</f>
        <v>0</v>
      </c>
      <c r="I365" s="176"/>
      <c r="J365" s="177"/>
      <c r="K365" s="177"/>
      <c r="L365" s="177"/>
      <c r="M365" s="220"/>
      <c r="N365" s="178"/>
      <c r="O365" s="176"/>
      <c r="P365" s="178"/>
      <c r="Q365" s="105"/>
      <c r="R365" s="219"/>
      <c r="S365" s="164"/>
      <c r="T365" s="164"/>
      <c r="U365" s="162"/>
      <c r="V365" s="105"/>
      <c r="W365" s="105"/>
      <c r="X365" s="105"/>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row>
    <row r="366" spans="1:67" ht="29.25" hidden="1" customHeight="1">
      <c r="A366" s="216"/>
      <c r="B366" s="217"/>
      <c r="C366" s="174"/>
      <c r="D366" s="174"/>
      <c r="E366" s="175"/>
      <c r="F366" s="162"/>
      <c r="G366" s="218"/>
      <c r="H366" s="22">
        <f>IF(OR(J366="",K366="",K366&lt;J366),0,NETWORKDAYS(J366,K366,fESTIVOS!$A$2:$A$53))</f>
        <v>0</v>
      </c>
      <c r="I366" s="176"/>
      <c r="J366" s="177"/>
      <c r="K366" s="177"/>
      <c r="L366" s="177"/>
      <c r="M366" s="220"/>
      <c r="N366" s="178"/>
      <c r="O366" s="176"/>
      <c r="P366" s="178"/>
      <c r="Q366" s="105"/>
      <c r="R366" s="219"/>
      <c r="S366" s="164"/>
      <c r="T366" s="164"/>
      <c r="U366" s="162"/>
      <c r="V366" s="105"/>
      <c r="W366" s="105"/>
      <c r="X366" s="105"/>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row>
    <row r="367" spans="1:67" ht="29.25" hidden="1" customHeight="1">
      <c r="A367" s="216"/>
      <c r="B367" s="217"/>
      <c r="C367" s="174"/>
      <c r="D367" s="174"/>
      <c r="E367" s="175"/>
      <c r="F367" s="162"/>
      <c r="G367" s="218"/>
      <c r="H367" s="22">
        <f>IF(OR(J367="",K367="",K367&lt;J367),0,NETWORKDAYS(J367,K367,fESTIVOS!$A$2:$A$53))</f>
        <v>0</v>
      </c>
      <c r="I367" s="176"/>
      <c r="J367" s="177"/>
      <c r="K367" s="177"/>
      <c r="L367" s="177"/>
      <c r="M367" s="220"/>
      <c r="N367" s="178"/>
      <c r="O367" s="176"/>
      <c r="P367" s="178"/>
      <c r="Q367" s="105"/>
      <c r="R367" s="219"/>
      <c r="S367" s="164"/>
      <c r="T367" s="164"/>
      <c r="U367" s="162"/>
      <c r="V367" s="105"/>
      <c r="W367" s="105"/>
      <c r="X367" s="105"/>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row>
    <row r="368" spans="1:67" ht="29.25" hidden="1" customHeight="1">
      <c r="A368" s="216"/>
      <c r="B368" s="217"/>
      <c r="C368" s="174"/>
      <c r="D368" s="174"/>
      <c r="E368" s="175"/>
      <c r="F368" s="162"/>
      <c r="G368" s="218"/>
      <c r="H368" s="22">
        <f>IF(OR(J368="",K368="",K368&lt;J368),0,NETWORKDAYS(J368,K368,fESTIVOS!$A$2:$A$53))</f>
        <v>0</v>
      </c>
      <c r="I368" s="176"/>
      <c r="J368" s="177"/>
      <c r="K368" s="177"/>
      <c r="L368" s="177"/>
      <c r="M368" s="220"/>
      <c r="N368" s="178"/>
      <c r="O368" s="176"/>
      <c r="P368" s="178"/>
      <c r="Q368" s="105"/>
      <c r="R368" s="219"/>
      <c r="S368" s="164"/>
      <c r="T368" s="164"/>
      <c r="U368" s="162"/>
      <c r="V368" s="105"/>
      <c r="W368" s="105"/>
      <c r="X368" s="105"/>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row>
    <row r="369" spans="1:67" ht="29.25" hidden="1" customHeight="1">
      <c r="A369" s="216"/>
      <c r="B369" s="217"/>
      <c r="C369" s="174"/>
      <c r="D369" s="174"/>
      <c r="E369" s="175"/>
      <c r="F369" s="162"/>
      <c r="G369" s="218"/>
      <c r="H369" s="22">
        <f>IF(OR(J369="",K369="",K369&lt;J369),0,NETWORKDAYS(J369,K369,fESTIVOS!$A$2:$A$53))</f>
        <v>0</v>
      </c>
      <c r="I369" s="176"/>
      <c r="J369" s="177"/>
      <c r="K369" s="177"/>
      <c r="L369" s="177"/>
      <c r="M369" s="220"/>
      <c r="N369" s="178"/>
      <c r="O369" s="176"/>
      <c r="P369" s="178"/>
      <c r="Q369" s="105"/>
      <c r="R369" s="219"/>
      <c r="S369" s="164"/>
      <c r="T369" s="164"/>
      <c r="U369" s="162"/>
      <c r="V369" s="105"/>
      <c r="W369" s="105"/>
      <c r="X369" s="105"/>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row>
    <row r="370" spans="1:67" ht="29.25" hidden="1" customHeight="1">
      <c r="A370" s="216"/>
      <c r="B370" s="217"/>
      <c r="C370" s="174"/>
      <c r="D370" s="174"/>
      <c r="E370" s="175"/>
      <c r="F370" s="162"/>
      <c r="G370" s="218"/>
      <c r="H370" s="22">
        <f>IF(OR(J370="",K370="",K370&lt;J370),0,NETWORKDAYS(J370,K370,fESTIVOS!$A$2:$A$53))</f>
        <v>0</v>
      </c>
      <c r="I370" s="176"/>
      <c r="J370" s="177"/>
      <c r="K370" s="177"/>
      <c r="L370" s="177"/>
      <c r="M370" s="220"/>
      <c r="N370" s="178"/>
      <c r="O370" s="176"/>
      <c r="P370" s="178"/>
      <c r="Q370" s="105"/>
      <c r="R370" s="219"/>
      <c r="S370" s="164"/>
      <c r="T370" s="164"/>
      <c r="U370" s="162"/>
      <c r="V370" s="105"/>
      <c r="W370" s="105"/>
      <c r="X370" s="105"/>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row>
    <row r="371" spans="1:67" ht="29.25" hidden="1" customHeight="1">
      <c r="A371" s="216"/>
      <c r="B371" s="217"/>
      <c r="C371" s="174"/>
      <c r="D371" s="174"/>
      <c r="E371" s="175"/>
      <c r="F371" s="162"/>
      <c r="G371" s="218"/>
      <c r="H371" s="22">
        <f>IF(OR(J371="",K371="",K371&lt;J371),0,NETWORKDAYS(J371,K371,fESTIVOS!$A$2:$A$53))</f>
        <v>0</v>
      </c>
      <c r="I371" s="176"/>
      <c r="J371" s="177"/>
      <c r="K371" s="177"/>
      <c r="L371" s="177"/>
      <c r="M371" s="220"/>
      <c r="N371" s="178"/>
      <c r="O371" s="176"/>
      <c r="P371" s="178"/>
      <c r="Q371" s="105"/>
      <c r="R371" s="219"/>
      <c r="S371" s="164"/>
      <c r="T371" s="164"/>
      <c r="U371" s="162"/>
      <c r="V371" s="105"/>
      <c r="W371" s="105"/>
      <c r="X371" s="105"/>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row>
    <row r="372" spans="1:67" ht="29.25" hidden="1" customHeight="1">
      <c r="A372" s="216"/>
      <c r="B372" s="217"/>
      <c r="C372" s="174"/>
      <c r="D372" s="174"/>
      <c r="E372" s="175"/>
      <c r="F372" s="162"/>
      <c r="G372" s="218"/>
      <c r="H372" s="22">
        <f>IF(OR(J372="",K372="",K372&lt;J372),0,NETWORKDAYS(J372,K372,fESTIVOS!$A$2:$A$53))</f>
        <v>0</v>
      </c>
      <c r="I372" s="176"/>
      <c r="J372" s="177"/>
      <c r="K372" s="177"/>
      <c r="L372" s="177"/>
      <c r="M372" s="220"/>
      <c r="N372" s="178"/>
      <c r="O372" s="176"/>
      <c r="P372" s="178"/>
      <c r="Q372" s="105"/>
      <c r="R372" s="219"/>
      <c r="S372" s="164"/>
      <c r="T372" s="164"/>
      <c r="U372" s="162"/>
      <c r="V372" s="105"/>
      <c r="W372" s="105"/>
      <c r="X372" s="105"/>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row>
    <row r="373" spans="1:67" ht="29.25" hidden="1" customHeight="1">
      <c r="A373" s="216"/>
      <c r="B373" s="217"/>
      <c r="C373" s="174"/>
      <c r="D373" s="174"/>
      <c r="E373" s="175"/>
      <c r="F373" s="162"/>
      <c r="G373" s="218"/>
      <c r="H373" s="22">
        <f>IF(OR(J373="",K373="",K373&lt;J373),0,NETWORKDAYS(J373,K373,fESTIVOS!$A$2:$A$53))</f>
        <v>0</v>
      </c>
      <c r="I373" s="176"/>
      <c r="J373" s="177"/>
      <c r="K373" s="177"/>
      <c r="L373" s="177"/>
      <c r="M373" s="220"/>
      <c r="N373" s="178"/>
      <c r="O373" s="176"/>
      <c r="P373" s="178"/>
      <c r="Q373" s="105"/>
      <c r="R373" s="219"/>
      <c r="S373" s="164"/>
      <c r="T373" s="164"/>
      <c r="U373" s="162"/>
      <c r="V373" s="105"/>
      <c r="W373" s="105"/>
      <c r="X373" s="105"/>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row>
    <row r="374" spans="1:67" ht="29.25" hidden="1" customHeight="1">
      <c r="A374" s="216"/>
      <c r="B374" s="217"/>
      <c r="C374" s="174"/>
      <c r="D374" s="174"/>
      <c r="E374" s="175"/>
      <c r="F374" s="162"/>
      <c r="G374" s="218"/>
      <c r="H374" s="22">
        <f>IF(OR(J374="",K374="",K374&lt;J374),0,NETWORKDAYS(J374,K374,fESTIVOS!$A$2:$A$53))</f>
        <v>0</v>
      </c>
      <c r="I374" s="176"/>
      <c r="J374" s="177"/>
      <c r="K374" s="177"/>
      <c r="L374" s="177"/>
      <c r="M374" s="220"/>
      <c r="N374" s="178"/>
      <c r="O374" s="176"/>
      <c r="P374" s="178"/>
      <c r="Q374" s="105"/>
      <c r="R374" s="219"/>
      <c r="S374" s="164"/>
      <c r="T374" s="164"/>
      <c r="U374" s="162"/>
      <c r="V374" s="105"/>
      <c r="W374" s="105"/>
      <c r="X374" s="105"/>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row>
    <row r="375" spans="1:67" ht="29.25" hidden="1" customHeight="1">
      <c r="A375" s="216"/>
      <c r="B375" s="217"/>
      <c r="C375" s="174"/>
      <c r="D375" s="174"/>
      <c r="E375" s="175"/>
      <c r="F375" s="162"/>
      <c r="G375" s="218"/>
      <c r="H375" s="22">
        <f>IF(OR(J375="",K375="",K375&lt;J375),0,NETWORKDAYS(J375,K375,fESTIVOS!$A$2:$A$53))</f>
        <v>0</v>
      </c>
      <c r="I375" s="176"/>
      <c r="J375" s="177"/>
      <c r="K375" s="177"/>
      <c r="L375" s="177"/>
      <c r="M375" s="220"/>
      <c r="N375" s="178"/>
      <c r="O375" s="176"/>
      <c r="P375" s="178"/>
      <c r="Q375" s="105"/>
      <c r="R375" s="219"/>
      <c r="S375" s="164"/>
      <c r="T375" s="164"/>
      <c r="U375" s="162"/>
      <c r="V375" s="105"/>
      <c r="W375" s="105"/>
      <c r="X375" s="105"/>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row>
    <row r="376" spans="1:67" ht="29.25" hidden="1" customHeight="1">
      <c r="A376" s="216"/>
      <c r="B376" s="217"/>
      <c r="C376" s="174"/>
      <c r="D376" s="174"/>
      <c r="E376" s="175"/>
      <c r="F376" s="162"/>
      <c r="G376" s="218"/>
      <c r="H376" s="22">
        <f>IF(OR(J376="",K376="",K376&lt;J376),0,NETWORKDAYS(J376,K376,fESTIVOS!$A$2:$A$53))</f>
        <v>0</v>
      </c>
      <c r="I376" s="176"/>
      <c r="J376" s="177"/>
      <c r="K376" s="177"/>
      <c r="L376" s="177"/>
      <c r="M376" s="220"/>
      <c r="N376" s="178"/>
      <c r="O376" s="176"/>
      <c r="P376" s="178"/>
      <c r="Q376" s="105"/>
      <c r="R376" s="219"/>
      <c r="S376" s="164"/>
      <c r="T376" s="164"/>
      <c r="U376" s="162"/>
      <c r="V376" s="105"/>
      <c r="W376" s="105"/>
      <c r="X376" s="105"/>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row>
    <row r="377" spans="1:67" ht="29.25" hidden="1" customHeight="1">
      <c r="A377" s="216"/>
      <c r="B377" s="217"/>
      <c r="C377" s="174"/>
      <c r="D377" s="174"/>
      <c r="E377" s="175"/>
      <c r="F377" s="162"/>
      <c r="G377" s="218"/>
      <c r="H377" s="22">
        <f>IF(OR(J377="",K377="",K377&lt;J377),0,NETWORKDAYS(J377,K377,fESTIVOS!$A$2:$A$53))</f>
        <v>0</v>
      </c>
      <c r="I377" s="176"/>
      <c r="J377" s="177"/>
      <c r="K377" s="177"/>
      <c r="L377" s="177"/>
      <c r="M377" s="220"/>
      <c r="N377" s="178"/>
      <c r="O377" s="176"/>
      <c r="P377" s="178"/>
      <c r="Q377" s="105"/>
      <c r="R377" s="219"/>
      <c r="S377" s="164"/>
      <c r="T377" s="164"/>
      <c r="U377" s="162"/>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c r="BO377" s="221"/>
    </row>
    <row r="378" spans="1:67" ht="29.25" hidden="1" customHeight="1">
      <c r="A378" s="216"/>
      <c r="B378" s="217"/>
      <c r="C378" s="174"/>
      <c r="D378" s="174"/>
      <c r="E378" s="175"/>
      <c r="F378" s="162"/>
      <c r="G378" s="218"/>
      <c r="H378" s="22">
        <f>IF(OR(J378="",K378="",K378&lt;J378),0,NETWORKDAYS(J378,K378,fESTIVOS!$A$2:$A$53))</f>
        <v>0</v>
      </c>
      <c r="I378" s="176"/>
      <c r="J378" s="177"/>
      <c r="K378" s="177"/>
      <c r="L378" s="177"/>
      <c r="M378" s="220"/>
      <c r="N378" s="178"/>
      <c r="O378" s="176"/>
      <c r="P378" s="178"/>
      <c r="Q378" s="105"/>
      <c r="R378" s="219"/>
      <c r="S378" s="164"/>
      <c r="T378" s="164"/>
      <c r="U378" s="162"/>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row>
    <row r="379" spans="1:67" ht="29.25" hidden="1" customHeight="1">
      <c r="A379" s="216"/>
      <c r="B379" s="217"/>
      <c r="C379" s="174"/>
      <c r="D379" s="174"/>
      <c r="E379" s="175"/>
      <c r="F379" s="162"/>
      <c r="G379" s="218"/>
      <c r="H379" s="22">
        <f>IF(OR(J379="",K379="",K379&lt;J379),0,NETWORKDAYS(J379,K379,fESTIVOS!$A$2:$A$53))</f>
        <v>0</v>
      </c>
      <c r="I379" s="176"/>
      <c r="J379" s="177"/>
      <c r="K379" s="177"/>
      <c r="L379" s="177"/>
      <c r="M379" s="220"/>
      <c r="N379" s="178"/>
      <c r="O379" s="176"/>
      <c r="P379" s="178"/>
      <c r="Q379" s="105"/>
      <c r="R379" s="219"/>
      <c r="S379" s="164"/>
      <c r="T379" s="164"/>
      <c r="U379" s="162"/>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row>
    <row r="380" spans="1:67" ht="29.25" hidden="1" customHeight="1">
      <c r="A380" s="216"/>
      <c r="B380" s="217"/>
      <c r="C380" s="174"/>
      <c r="D380" s="174"/>
      <c r="E380" s="175"/>
      <c r="F380" s="162"/>
      <c r="G380" s="218"/>
      <c r="H380" s="22">
        <f>IF(OR(J380="",K380="",K380&lt;J380),0,NETWORKDAYS(J380,K380,fESTIVOS!$A$2:$A$53))</f>
        <v>0</v>
      </c>
      <c r="I380" s="176"/>
      <c r="J380" s="177"/>
      <c r="K380" s="177"/>
      <c r="L380" s="177"/>
      <c r="M380" s="220"/>
      <c r="N380" s="178"/>
      <c r="O380" s="176"/>
      <c r="P380" s="178"/>
      <c r="Q380" s="105"/>
      <c r="R380" s="219"/>
      <c r="S380" s="164"/>
      <c r="T380" s="164"/>
      <c r="U380" s="162"/>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row>
    <row r="381" spans="1:67" ht="29.25" hidden="1" customHeight="1">
      <c r="A381" s="216"/>
      <c r="B381" s="217"/>
      <c r="C381" s="174"/>
      <c r="D381" s="174"/>
      <c r="E381" s="175"/>
      <c r="F381" s="162"/>
      <c r="G381" s="218"/>
      <c r="H381" s="22">
        <f>IF(OR(J381="",K381="",K381&lt;J381),0,NETWORKDAYS(J381,K381,fESTIVOS!$A$2:$A$53))</f>
        <v>0</v>
      </c>
      <c r="I381" s="176"/>
      <c r="J381" s="177"/>
      <c r="K381" s="177"/>
      <c r="L381" s="177"/>
      <c r="M381" s="220"/>
      <c r="N381" s="178"/>
      <c r="O381" s="176"/>
      <c r="P381" s="178"/>
      <c r="Q381" s="105"/>
      <c r="R381" s="219"/>
      <c r="S381" s="164"/>
      <c r="T381" s="164"/>
      <c r="U381" s="162"/>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row>
    <row r="382" spans="1:67" ht="29.25" hidden="1" customHeight="1">
      <c r="A382" s="216"/>
      <c r="B382" s="217"/>
      <c r="C382" s="174"/>
      <c r="D382" s="174"/>
      <c r="E382" s="175"/>
      <c r="F382" s="162"/>
      <c r="G382" s="218"/>
      <c r="H382" s="22">
        <f>IF(OR(J382="",K382="",K382&lt;J382),0,NETWORKDAYS(J382,K382,fESTIVOS!$A$2:$A$53))</f>
        <v>0</v>
      </c>
      <c r="I382" s="176"/>
      <c r="J382" s="177"/>
      <c r="K382" s="177"/>
      <c r="L382" s="177"/>
      <c r="M382" s="220"/>
      <c r="N382" s="178"/>
      <c r="O382" s="176"/>
      <c r="P382" s="178"/>
      <c r="Q382" s="105"/>
      <c r="R382" s="219"/>
      <c r="S382" s="164"/>
      <c r="T382" s="164"/>
      <c r="U382" s="162"/>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row>
    <row r="383" spans="1:67" ht="29.25" hidden="1" customHeight="1">
      <c r="A383" s="216"/>
      <c r="B383" s="217"/>
      <c r="C383" s="174"/>
      <c r="D383" s="174"/>
      <c r="E383" s="175"/>
      <c r="F383" s="162"/>
      <c r="G383" s="218"/>
      <c r="H383" s="22">
        <f>IF(OR(J383="",K383="",K383&lt;J383),0,NETWORKDAYS(J383,K383,fESTIVOS!$A$2:$A$53))</f>
        <v>0</v>
      </c>
      <c r="I383" s="176"/>
      <c r="J383" s="177"/>
      <c r="K383" s="177"/>
      <c r="L383" s="177"/>
      <c r="M383" s="220"/>
      <c r="N383" s="178"/>
      <c r="O383" s="176"/>
      <c r="P383" s="178"/>
      <c r="Q383" s="105"/>
      <c r="R383" s="219"/>
      <c r="S383" s="164"/>
      <c r="T383" s="164"/>
      <c r="U383" s="162"/>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row>
    <row r="384" spans="1:67" ht="29.25" hidden="1" customHeight="1">
      <c r="A384" s="216"/>
      <c r="B384" s="217"/>
      <c r="C384" s="174"/>
      <c r="D384" s="174"/>
      <c r="E384" s="175"/>
      <c r="F384" s="162"/>
      <c r="G384" s="218"/>
      <c r="H384" s="22">
        <f>IF(OR(J384="",K384="",K384&lt;J384),0,NETWORKDAYS(J384,K384,fESTIVOS!$A$2:$A$53))</f>
        <v>0</v>
      </c>
      <c r="I384" s="176"/>
      <c r="J384" s="177"/>
      <c r="K384" s="177"/>
      <c r="L384" s="177"/>
      <c r="M384" s="220"/>
      <c r="N384" s="178"/>
      <c r="O384" s="176"/>
      <c r="P384" s="178"/>
      <c r="Q384" s="105"/>
      <c r="R384" s="219"/>
      <c r="S384" s="164"/>
      <c r="T384" s="164"/>
      <c r="U384" s="162"/>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row>
    <row r="385" spans="1:67" ht="29.25" hidden="1" customHeight="1">
      <c r="A385" s="216"/>
      <c r="B385" s="217"/>
      <c r="C385" s="174"/>
      <c r="D385" s="174"/>
      <c r="E385" s="175"/>
      <c r="F385" s="162"/>
      <c r="G385" s="218"/>
      <c r="H385" s="22">
        <f>IF(OR(J385="",K385="",K385&lt;J385),0,NETWORKDAYS(J385,K385,fESTIVOS!$A$2:$A$53))</f>
        <v>0</v>
      </c>
      <c r="I385" s="176"/>
      <c r="J385" s="177"/>
      <c r="K385" s="177"/>
      <c r="L385" s="177"/>
      <c r="M385" s="220"/>
      <c r="N385" s="178"/>
      <c r="O385" s="176"/>
      <c r="P385" s="178"/>
      <c r="Q385" s="105"/>
      <c r="R385" s="219"/>
      <c r="S385" s="164"/>
      <c r="T385" s="164"/>
      <c r="U385" s="162"/>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row>
    <row r="386" spans="1:67" ht="29.25" hidden="1" customHeight="1">
      <c r="A386" s="216"/>
      <c r="B386" s="217"/>
      <c r="C386" s="174"/>
      <c r="D386" s="174"/>
      <c r="E386" s="175"/>
      <c r="F386" s="162"/>
      <c r="G386" s="218"/>
      <c r="H386" s="22">
        <f>IF(OR(J386="",K386="",K386&lt;J386),0,NETWORKDAYS(J386,K386,fESTIVOS!$A$2:$A$53))</f>
        <v>0</v>
      </c>
      <c r="I386" s="176"/>
      <c r="J386" s="177"/>
      <c r="K386" s="177"/>
      <c r="L386" s="177"/>
      <c r="M386" s="220"/>
      <c r="N386" s="178"/>
      <c r="O386" s="176"/>
      <c r="P386" s="178"/>
      <c r="Q386" s="105"/>
      <c r="R386" s="219"/>
      <c r="S386" s="164"/>
      <c r="T386" s="164"/>
      <c r="U386" s="162"/>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row>
    <row r="387" spans="1:67" ht="29.25" hidden="1" customHeight="1">
      <c r="A387" s="216"/>
      <c r="B387" s="217"/>
      <c r="C387" s="174"/>
      <c r="D387" s="174"/>
      <c r="E387" s="175"/>
      <c r="F387" s="162"/>
      <c r="G387" s="218"/>
      <c r="H387" s="22">
        <f>IF(OR(J387="",K387="",K387&lt;J387),0,NETWORKDAYS(J387,K387,fESTIVOS!$A$2:$A$53))</f>
        <v>0</v>
      </c>
      <c r="I387" s="176"/>
      <c r="J387" s="177"/>
      <c r="K387" s="177"/>
      <c r="L387" s="177"/>
      <c r="M387" s="220"/>
      <c r="N387" s="178"/>
      <c r="O387" s="176"/>
      <c r="P387" s="178"/>
      <c r="Q387" s="105"/>
      <c r="R387" s="219"/>
      <c r="S387" s="164"/>
      <c r="T387" s="164"/>
      <c r="U387" s="162"/>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row>
    <row r="388" spans="1:67" ht="29.25" hidden="1" customHeight="1">
      <c r="A388" s="216"/>
      <c r="B388" s="217"/>
      <c r="C388" s="174"/>
      <c r="D388" s="174"/>
      <c r="E388" s="175"/>
      <c r="F388" s="162"/>
      <c r="G388" s="218"/>
      <c r="H388" s="22">
        <f>IF(OR(J388="",K388="",K388&lt;J388),0,NETWORKDAYS(J388,K388,fESTIVOS!$A$2:$A$53))</f>
        <v>0</v>
      </c>
      <c r="I388" s="176"/>
      <c r="J388" s="177"/>
      <c r="K388" s="177"/>
      <c r="L388" s="177"/>
      <c r="M388" s="220"/>
      <c r="N388" s="178"/>
      <c r="O388" s="176"/>
      <c r="P388" s="178"/>
      <c r="Q388" s="105"/>
      <c r="R388" s="219"/>
      <c r="S388" s="164"/>
      <c r="T388" s="164"/>
      <c r="U388" s="162"/>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row>
    <row r="389" spans="1:67" ht="29.25" hidden="1" customHeight="1">
      <c r="A389" s="216"/>
      <c r="B389" s="217"/>
      <c r="C389" s="174"/>
      <c r="D389" s="174"/>
      <c r="E389" s="175"/>
      <c r="F389" s="162"/>
      <c r="G389" s="218"/>
      <c r="H389" s="22">
        <f>IF(OR(J389="",K389="",K389&lt;J389),0,NETWORKDAYS(J389,K389,fESTIVOS!$A$2:$A$53))</f>
        <v>0</v>
      </c>
      <c r="I389" s="176"/>
      <c r="J389" s="177"/>
      <c r="K389" s="177"/>
      <c r="L389" s="177"/>
      <c r="M389" s="220"/>
      <c r="N389" s="178"/>
      <c r="O389" s="176"/>
      <c r="P389" s="178"/>
      <c r="Q389" s="105"/>
      <c r="R389" s="219"/>
      <c r="S389" s="164"/>
      <c r="T389" s="164"/>
      <c r="U389" s="162"/>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row>
    <row r="390" spans="1:67" ht="29.25" hidden="1" customHeight="1">
      <c r="A390" s="216"/>
      <c r="B390" s="217"/>
      <c r="C390" s="174"/>
      <c r="D390" s="174"/>
      <c r="E390" s="175"/>
      <c r="F390" s="162"/>
      <c r="G390" s="218"/>
      <c r="H390" s="22">
        <f>IF(OR(J390="",K390="",K390&lt;J390),0,NETWORKDAYS(J390,K390,fESTIVOS!$A$2:$A$53))</f>
        <v>0</v>
      </c>
      <c r="I390" s="176"/>
      <c r="J390" s="177"/>
      <c r="K390" s="177"/>
      <c r="L390" s="177"/>
      <c r="M390" s="220"/>
      <c r="N390" s="178"/>
      <c r="O390" s="176"/>
      <c r="P390" s="178"/>
      <c r="Q390" s="105"/>
      <c r="R390" s="219"/>
      <c r="S390" s="164"/>
      <c r="T390" s="164"/>
      <c r="U390" s="162"/>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row>
    <row r="391" spans="1:67" ht="29.25" hidden="1" customHeight="1">
      <c r="A391" s="216"/>
      <c r="B391" s="217"/>
      <c r="C391" s="174"/>
      <c r="D391" s="174"/>
      <c r="E391" s="175"/>
      <c r="F391" s="162"/>
      <c r="G391" s="218"/>
      <c r="H391" s="22">
        <f>IF(OR(J391="",K391="",K391&lt;J391),0,NETWORKDAYS(J391,K391,fESTIVOS!$A$2:$A$53))</f>
        <v>0</v>
      </c>
      <c r="I391" s="176"/>
      <c r="J391" s="177"/>
      <c r="K391" s="177"/>
      <c r="L391" s="177"/>
      <c r="M391" s="220"/>
      <c r="N391" s="178"/>
      <c r="O391" s="176"/>
      <c r="P391" s="178"/>
      <c r="Q391" s="105"/>
      <c r="R391" s="219"/>
      <c r="S391" s="164"/>
      <c r="T391" s="164"/>
      <c r="U391" s="162"/>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row>
    <row r="392" spans="1:67" ht="29.25" hidden="1" customHeight="1">
      <c r="A392" s="216"/>
      <c r="B392" s="217"/>
      <c r="C392" s="174"/>
      <c r="D392" s="174"/>
      <c r="E392" s="175"/>
      <c r="F392" s="162"/>
      <c r="G392" s="218"/>
      <c r="H392" s="22">
        <f>IF(OR(J392="",K392="",K392&lt;J392),0,NETWORKDAYS(J392,K392,fESTIVOS!$A$2:$A$53))</f>
        <v>0</v>
      </c>
      <c r="I392" s="176"/>
      <c r="J392" s="177"/>
      <c r="K392" s="177"/>
      <c r="L392" s="177"/>
      <c r="M392" s="220"/>
      <c r="N392" s="178"/>
      <c r="O392" s="176"/>
      <c r="P392" s="178"/>
      <c r="Q392" s="105"/>
      <c r="R392" s="219"/>
      <c r="S392" s="164"/>
      <c r="T392" s="164"/>
      <c r="U392" s="162"/>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row>
    <row r="393" spans="1:67" ht="29.25" hidden="1" customHeight="1">
      <c r="A393" s="216"/>
      <c r="B393" s="217"/>
      <c r="C393" s="174"/>
      <c r="D393" s="174"/>
      <c r="E393" s="175"/>
      <c r="F393" s="162"/>
      <c r="G393" s="218"/>
      <c r="H393" s="22">
        <f>IF(OR(J393="",K393="",K393&lt;J393),0,NETWORKDAYS(J393,K393,fESTIVOS!$A$2:$A$53))</f>
        <v>0</v>
      </c>
      <c r="I393" s="176"/>
      <c r="J393" s="177"/>
      <c r="K393" s="177"/>
      <c r="L393" s="177"/>
      <c r="M393" s="220"/>
      <c r="N393" s="178"/>
      <c r="O393" s="176"/>
      <c r="P393" s="178"/>
      <c r="Q393" s="105"/>
      <c r="R393" s="219"/>
      <c r="S393" s="164"/>
      <c r="T393" s="164"/>
      <c r="U393" s="162"/>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row>
    <row r="394" spans="1:67" ht="29.25" hidden="1" customHeight="1">
      <c r="A394" s="216"/>
      <c r="B394" s="217"/>
      <c r="C394" s="174"/>
      <c r="D394" s="174"/>
      <c r="E394" s="175"/>
      <c r="F394" s="162"/>
      <c r="G394" s="218"/>
      <c r="H394" s="22">
        <f>IF(OR(J394="",K394="",K394&lt;J394),0,NETWORKDAYS(J394,K394,fESTIVOS!$A$2:$A$53))</f>
        <v>0</v>
      </c>
      <c r="I394" s="176"/>
      <c r="J394" s="177"/>
      <c r="K394" s="177"/>
      <c r="L394" s="177"/>
      <c r="M394" s="220"/>
      <c r="N394" s="178"/>
      <c r="O394" s="176"/>
      <c r="P394" s="178"/>
      <c r="Q394" s="105"/>
      <c r="R394" s="219"/>
      <c r="S394" s="164"/>
      <c r="T394" s="164"/>
      <c r="U394" s="162"/>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row>
    <row r="395" spans="1:67" ht="29.25" hidden="1" customHeight="1">
      <c r="A395" s="216"/>
      <c r="B395" s="217"/>
      <c r="C395" s="174"/>
      <c r="D395" s="174"/>
      <c r="E395" s="175"/>
      <c r="F395" s="162"/>
      <c r="G395" s="218"/>
      <c r="H395" s="22">
        <f>IF(OR(J395="",K395="",K395&lt;J395),0,NETWORKDAYS(J395,K395,fESTIVOS!$A$2:$A$53))</f>
        <v>0</v>
      </c>
      <c r="I395" s="176"/>
      <c r="J395" s="177"/>
      <c r="K395" s="177"/>
      <c r="L395" s="177"/>
      <c r="M395" s="220"/>
      <c r="N395" s="178"/>
      <c r="O395" s="176"/>
      <c r="P395" s="178"/>
      <c r="Q395" s="105"/>
      <c r="R395" s="219"/>
      <c r="S395" s="164"/>
      <c r="T395" s="164"/>
      <c r="U395" s="162"/>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row>
    <row r="396" spans="1:67" ht="29.25" hidden="1" customHeight="1">
      <c r="A396" s="216"/>
      <c r="B396" s="217"/>
      <c r="C396" s="174"/>
      <c r="D396" s="174"/>
      <c r="E396" s="175"/>
      <c r="F396" s="162"/>
      <c r="G396" s="218"/>
      <c r="H396" s="22">
        <f>IF(OR(J396="",K396="",K396&lt;J396),0,NETWORKDAYS(J396,K396,fESTIVOS!$A$2:$A$53))</f>
        <v>0</v>
      </c>
      <c r="I396" s="176"/>
      <c r="J396" s="177"/>
      <c r="K396" s="177"/>
      <c r="L396" s="177"/>
      <c r="M396" s="220"/>
      <c r="N396" s="178"/>
      <c r="O396" s="176"/>
      <c r="P396" s="178"/>
      <c r="Q396" s="105"/>
      <c r="R396" s="219"/>
      <c r="S396" s="164"/>
      <c r="T396" s="164"/>
      <c r="U396" s="162"/>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row>
    <row r="397" spans="1:67" ht="29.25" hidden="1" customHeight="1">
      <c r="A397" s="216"/>
      <c r="B397" s="217"/>
      <c r="C397" s="174"/>
      <c r="D397" s="174"/>
      <c r="E397" s="175"/>
      <c r="F397" s="162"/>
      <c r="G397" s="218"/>
      <c r="H397" s="22">
        <f>IF(OR(J397="",K397="",K397&lt;J397),0,NETWORKDAYS(J397,K397,fESTIVOS!$A$2:$A$53))</f>
        <v>0</v>
      </c>
      <c r="I397" s="176"/>
      <c r="J397" s="177"/>
      <c r="K397" s="177"/>
      <c r="L397" s="177"/>
      <c r="M397" s="220"/>
      <c r="N397" s="178"/>
      <c r="O397" s="176"/>
      <c r="P397" s="178"/>
      <c r="Q397" s="105"/>
      <c r="R397" s="219"/>
      <c r="S397" s="164"/>
      <c r="T397" s="164"/>
      <c r="U397" s="162"/>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row>
    <row r="398" spans="1:67" ht="29.25" hidden="1" customHeight="1">
      <c r="A398" s="216"/>
      <c r="B398" s="217"/>
      <c r="C398" s="174"/>
      <c r="D398" s="174"/>
      <c r="E398" s="175"/>
      <c r="F398" s="162"/>
      <c r="G398" s="218"/>
      <c r="H398" s="22">
        <f>IF(OR(J398="",K398="",K398&lt;J398),0,NETWORKDAYS(J398,K398,fESTIVOS!$A$2:$A$53))</f>
        <v>0</v>
      </c>
      <c r="I398" s="176"/>
      <c r="J398" s="177"/>
      <c r="K398" s="177"/>
      <c r="L398" s="177"/>
      <c r="M398" s="220"/>
      <c r="N398" s="178"/>
      <c r="O398" s="176"/>
      <c r="P398" s="178"/>
      <c r="Q398" s="105"/>
      <c r="R398" s="219"/>
      <c r="S398" s="164"/>
      <c r="T398" s="164"/>
      <c r="U398" s="162"/>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row>
    <row r="399" spans="1:67" ht="29.25" hidden="1" customHeight="1">
      <c r="A399" s="216"/>
      <c r="B399" s="217"/>
      <c r="C399" s="174"/>
      <c r="D399" s="174"/>
      <c r="E399" s="175"/>
      <c r="F399" s="162"/>
      <c r="G399" s="218"/>
      <c r="H399" s="22">
        <f>IF(OR(J399="",K399="",K399&lt;J399),0,NETWORKDAYS(J399,K399,fESTIVOS!$A$2:$A$53))</f>
        <v>0</v>
      </c>
      <c r="I399" s="176"/>
      <c r="J399" s="177"/>
      <c r="K399" s="177"/>
      <c r="L399" s="177"/>
      <c r="M399" s="220"/>
      <c r="N399" s="178"/>
      <c r="O399" s="176"/>
      <c r="P399" s="178"/>
      <c r="Q399" s="105"/>
      <c r="R399" s="219"/>
      <c r="S399" s="164"/>
      <c r="T399" s="164"/>
      <c r="U399" s="162"/>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row>
    <row r="400" spans="1:67" ht="29.25" hidden="1" customHeight="1">
      <c r="A400" s="216"/>
      <c r="B400" s="217"/>
      <c r="C400" s="174"/>
      <c r="D400" s="174"/>
      <c r="E400" s="175"/>
      <c r="F400" s="162"/>
      <c r="G400" s="218"/>
      <c r="H400" s="22">
        <f>IF(OR(J400="",K400="",K400&lt;J400),0,NETWORKDAYS(J400,K400,fESTIVOS!$A$2:$A$53))</f>
        <v>0</v>
      </c>
      <c r="I400" s="176"/>
      <c r="J400" s="177"/>
      <c r="K400" s="177"/>
      <c r="L400" s="177"/>
      <c r="M400" s="220"/>
      <c r="N400" s="178"/>
      <c r="O400" s="176"/>
      <c r="P400" s="178"/>
      <c r="Q400" s="105"/>
      <c r="R400" s="219"/>
      <c r="S400" s="164"/>
      <c r="T400" s="164"/>
      <c r="U400" s="162"/>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row>
    <row r="401" spans="1:67" ht="29.25" hidden="1" customHeight="1">
      <c r="A401" s="216"/>
      <c r="B401" s="217"/>
      <c r="C401" s="174"/>
      <c r="D401" s="174"/>
      <c r="E401" s="175"/>
      <c r="F401" s="162"/>
      <c r="G401" s="218"/>
      <c r="H401" s="22">
        <f>IF(OR(J401="",K401="",K401&lt;J401),0,NETWORKDAYS(J401,K401,fESTIVOS!$A$2:$A$53))</f>
        <v>0</v>
      </c>
      <c r="I401" s="176"/>
      <c r="J401" s="177"/>
      <c r="K401" s="177"/>
      <c r="L401" s="177"/>
      <c r="M401" s="220"/>
      <c r="N401" s="178"/>
      <c r="O401" s="176"/>
      <c r="P401" s="178"/>
      <c r="Q401" s="105"/>
      <c r="R401" s="219"/>
      <c r="S401" s="164"/>
      <c r="T401" s="164"/>
      <c r="U401" s="162"/>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row>
    <row r="402" spans="1:67" ht="29.25" hidden="1" customHeight="1">
      <c r="A402" s="216"/>
      <c r="B402" s="217"/>
      <c r="C402" s="174"/>
      <c r="D402" s="174"/>
      <c r="E402" s="175"/>
      <c r="F402" s="162"/>
      <c r="G402" s="218"/>
      <c r="H402" s="22">
        <f>IF(OR(J402="",K402="",K402&lt;J402),0,NETWORKDAYS(J402,K402,fESTIVOS!$A$2:$A$53))</f>
        <v>0</v>
      </c>
      <c r="I402" s="176"/>
      <c r="J402" s="177"/>
      <c r="K402" s="177"/>
      <c r="L402" s="177"/>
      <c r="M402" s="220"/>
      <c r="N402" s="178"/>
      <c r="O402" s="176"/>
      <c r="P402" s="178"/>
      <c r="Q402" s="105"/>
      <c r="R402" s="219"/>
      <c r="S402" s="164"/>
      <c r="T402" s="164"/>
      <c r="U402" s="162"/>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row>
    <row r="403" spans="1:67" ht="29.25" hidden="1" customHeight="1">
      <c r="A403" s="216"/>
      <c r="B403" s="217"/>
      <c r="C403" s="174"/>
      <c r="D403" s="174"/>
      <c r="E403" s="175"/>
      <c r="F403" s="162"/>
      <c r="G403" s="218"/>
      <c r="H403" s="22">
        <f>IF(OR(J403="",K403="",K403&lt;J403),0,NETWORKDAYS(J403,K403,fESTIVOS!$A$2:$A$53))</f>
        <v>0</v>
      </c>
      <c r="I403" s="176"/>
      <c r="J403" s="177"/>
      <c r="K403" s="177"/>
      <c r="L403" s="177"/>
      <c r="M403" s="220"/>
      <c r="N403" s="178"/>
      <c r="O403" s="176"/>
      <c r="P403" s="178"/>
      <c r="Q403" s="105"/>
      <c r="R403" s="219"/>
      <c r="S403" s="164"/>
      <c r="T403" s="164"/>
      <c r="U403" s="162"/>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row>
    <row r="404" spans="1:67" ht="29.25" hidden="1" customHeight="1">
      <c r="A404" s="216"/>
      <c r="B404" s="217"/>
      <c r="C404" s="174"/>
      <c r="D404" s="174"/>
      <c r="E404" s="175"/>
      <c r="F404" s="162"/>
      <c r="G404" s="218"/>
      <c r="H404" s="22">
        <f>IF(OR(J404="",K404="",K404&lt;J404),0,NETWORKDAYS(J404,K404,fESTIVOS!$A$2:$A$53))</f>
        <v>0</v>
      </c>
      <c r="I404" s="176"/>
      <c r="J404" s="177"/>
      <c r="K404" s="177"/>
      <c r="L404" s="177"/>
      <c r="M404" s="220"/>
      <c r="N404" s="178"/>
      <c r="O404" s="176"/>
      <c r="P404" s="178"/>
      <c r="Q404" s="105"/>
      <c r="R404" s="219"/>
      <c r="S404" s="164"/>
      <c r="T404" s="164"/>
      <c r="U404" s="162"/>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row>
    <row r="405" spans="1:67" ht="29.25" hidden="1" customHeight="1">
      <c r="A405" s="216"/>
      <c r="B405" s="217"/>
      <c r="C405" s="174"/>
      <c r="D405" s="174"/>
      <c r="E405" s="175"/>
      <c r="F405" s="162"/>
      <c r="G405" s="218"/>
      <c r="H405" s="22">
        <f>IF(OR(J405="",K405="",K405&lt;J405),0,NETWORKDAYS(J405,K405,fESTIVOS!$A$2:$A$53))</f>
        <v>0</v>
      </c>
      <c r="I405" s="176"/>
      <c r="J405" s="177"/>
      <c r="K405" s="177"/>
      <c r="L405" s="177"/>
      <c r="M405" s="220"/>
      <c r="N405" s="178"/>
      <c r="O405" s="176"/>
      <c r="P405" s="178"/>
      <c r="Q405" s="105"/>
      <c r="R405" s="219"/>
      <c r="S405" s="164"/>
      <c r="T405" s="164"/>
      <c r="U405" s="162"/>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row>
    <row r="406" spans="1:67" ht="29.25" hidden="1" customHeight="1">
      <c r="A406" s="216"/>
      <c r="B406" s="217"/>
      <c r="C406" s="174"/>
      <c r="D406" s="174"/>
      <c r="E406" s="175"/>
      <c r="F406" s="162"/>
      <c r="G406" s="218"/>
      <c r="H406" s="22">
        <f>IF(OR(J406="",K406="",K406&lt;J406),0,NETWORKDAYS(J406,K406,fESTIVOS!$A$2:$A$53))</f>
        <v>0</v>
      </c>
      <c r="I406" s="176"/>
      <c r="J406" s="177"/>
      <c r="K406" s="177"/>
      <c r="L406" s="177"/>
      <c r="M406" s="220"/>
      <c r="N406" s="178"/>
      <c r="O406" s="176"/>
      <c r="P406" s="178"/>
      <c r="Q406" s="105"/>
      <c r="R406" s="219"/>
      <c r="S406" s="164"/>
      <c r="T406" s="164"/>
      <c r="U406" s="162"/>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row>
    <row r="407" spans="1:67" ht="29.25" hidden="1" customHeight="1">
      <c r="A407" s="216"/>
      <c r="B407" s="217"/>
      <c r="C407" s="174"/>
      <c r="D407" s="174"/>
      <c r="E407" s="175"/>
      <c r="F407" s="162"/>
      <c r="G407" s="218"/>
      <c r="H407" s="22">
        <f>IF(OR(J407="",K407="",K407&lt;J407),0,NETWORKDAYS(J407,K407,fESTIVOS!$A$2:$A$53))</f>
        <v>0</v>
      </c>
      <c r="I407" s="176"/>
      <c r="J407" s="177"/>
      <c r="K407" s="177"/>
      <c r="L407" s="177"/>
      <c r="M407" s="220"/>
      <c r="N407" s="178"/>
      <c r="O407" s="176"/>
      <c r="P407" s="178"/>
      <c r="Q407" s="105"/>
      <c r="R407" s="219"/>
      <c r="S407" s="164"/>
      <c r="T407" s="164"/>
      <c r="U407" s="162"/>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row>
    <row r="408" spans="1:67" ht="29.25" hidden="1" customHeight="1">
      <c r="A408" s="216"/>
      <c r="B408" s="217"/>
      <c r="C408" s="174"/>
      <c r="D408" s="174"/>
      <c r="E408" s="175"/>
      <c r="F408" s="162"/>
      <c r="G408" s="218"/>
      <c r="H408" s="22">
        <f>IF(OR(J408="",K408="",K408&lt;J408),0,NETWORKDAYS(J408,K408,fESTIVOS!$A$2:$A$53))</f>
        <v>0</v>
      </c>
      <c r="I408" s="176"/>
      <c r="J408" s="177"/>
      <c r="K408" s="177"/>
      <c r="L408" s="177"/>
      <c r="M408" s="220"/>
      <c r="N408" s="178"/>
      <c r="O408" s="176"/>
      <c r="P408" s="178"/>
      <c r="Q408" s="105"/>
      <c r="R408" s="219"/>
      <c r="S408" s="164"/>
      <c r="T408" s="164"/>
      <c r="U408" s="162"/>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row>
    <row r="409" spans="1:67" ht="29.25" hidden="1" customHeight="1">
      <c r="A409" s="216"/>
      <c r="B409" s="217"/>
      <c r="C409" s="174"/>
      <c r="D409" s="174"/>
      <c r="E409" s="175"/>
      <c r="F409" s="162"/>
      <c r="G409" s="218"/>
      <c r="H409" s="22">
        <f>IF(OR(J409="",K409="",K409&lt;J409),0,NETWORKDAYS(J409,K409,fESTIVOS!$A$2:$A$53))</f>
        <v>0</v>
      </c>
      <c r="I409" s="176"/>
      <c r="J409" s="177"/>
      <c r="K409" s="177"/>
      <c r="L409" s="177"/>
      <c r="M409" s="220"/>
      <c r="N409" s="178"/>
      <c r="O409" s="176"/>
      <c r="P409" s="178"/>
      <c r="Q409" s="105"/>
      <c r="R409" s="219"/>
      <c r="S409" s="164"/>
      <c r="T409" s="164"/>
      <c r="U409" s="162"/>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row>
    <row r="410" spans="1:67" ht="29.25" hidden="1" customHeight="1">
      <c r="A410" s="216"/>
      <c r="B410" s="217"/>
      <c r="C410" s="174"/>
      <c r="D410" s="174"/>
      <c r="E410" s="175"/>
      <c r="F410" s="162"/>
      <c r="G410" s="218"/>
      <c r="H410" s="22">
        <f>IF(OR(J410="",K410="",K410&lt;J410),0,NETWORKDAYS(J410,K410,fESTIVOS!$A$2:$A$53))</f>
        <v>0</v>
      </c>
      <c r="I410" s="176"/>
      <c r="J410" s="177"/>
      <c r="K410" s="177"/>
      <c r="L410" s="177"/>
      <c r="M410" s="220"/>
      <c r="N410" s="178"/>
      <c r="O410" s="176"/>
      <c r="P410" s="178"/>
      <c r="Q410" s="105"/>
      <c r="R410" s="219"/>
      <c r="S410" s="164"/>
      <c r="T410" s="164"/>
      <c r="U410" s="162"/>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row>
    <row r="411" spans="1:67" ht="29.25" hidden="1" customHeight="1">
      <c r="A411" s="216"/>
      <c r="B411" s="217"/>
      <c r="C411" s="174"/>
      <c r="D411" s="174"/>
      <c r="E411" s="175"/>
      <c r="F411" s="162"/>
      <c r="G411" s="218"/>
      <c r="H411" s="22">
        <f>IF(OR(J411="",K411="",K411&lt;J411),0,NETWORKDAYS(J411,K411,fESTIVOS!$A$2:$A$53))</f>
        <v>0</v>
      </c>
      <c r="I411" s="176"/>
      <c r="J411" s="177"/>
      <c r="K411" s="177"/>
      <c r="L411" s="177"/>
      <c r="M411" s="220"/>
      <c r="N411" s="178"/>
      <c r="O411" s="176"/>
      <c r="P411" s="178"/>
      <c r="Q411" s="105"/>
      <c r="R411" s="219"/>
      <c r="S411" s="164"/>
      <c r="T411" s="164"/>
      <c r="U411" s="162"/>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row>
    <row r="412" spans="1:67" ht="29.25" hidden="1" customHeight="1">
      <c r="A412" s="216"/>
      <c r="B412" s="217"/>
      <c r="C412" s="174"/>
      <c r="D412" s="174"/>
      <c r="E412" s="175"/>
      <c r="F412" s="162"/>
      <c r="G412" s="218"/>
      <c r="H412" s="22">
        <f>IF(OR(J412="",K412="",K412&lt;J412),0,NETWORKDAYS(J412,K412,fESTIVOS!$A$2:$A$53))</f>
        <v>0</v>
      </c>
      <c r="I412" s="176"/>
      <c r="J412" s="177"/>
      <c r="K412" s="177"/>
      <c r="L412" s="177"/>
      <c r="M412" s="220"/>
      <c r="N412" s="178"/>
      <c r="O412" s="176"/>
      <c r="P412" s="178"/>
      <c r="Q412" s="105"/>
      <c r="R412" s="219"/>
      <c r="S412" s="164"/>
      <c r="T412" s="164"/>
      <c r="U412" s="162"/>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row>
    <row r="413" spans="1:67" ht="29.25" hidden="1" customHeight="1">
      <c r="A413" s="216"/>
      <c r="B413" s="217"/>
      <c r="C413" s="174"/>
      <c r="D413" s="174"/>
      <c r="E413" s="175"/>
      <c r="F413" s="162"/>
      <c r="G413" s="218"/>
      <c r="H413" s="22">
        <f>IF(OR(J413="",K413="",K413&lt;J413),0,NETWORKDAYS(J413,K413,fESTIVOS!$A$2:$A$53))</f>
        <v>0</v>
      </c>
      <c r="I413" s="176"/>
      <c r="J413" s="177"/>
      <c r="K413" s="177"/>
      <c r="L413" s="177"/>
      <c r="M413" s="220"/>
      <c r="N413" s="178"/>
      <c r="O413" s="176"/>
      <c r="P413" s="178"/>
      <c r="Q413" s="105"/>
      <c r="R413" s="219"/>
      <c r="S413" s="164"/>
      <c r="T413" s="164"/>
      <c r="U413" s="162"/>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row>
    <row r="414" spans="1:67" ht="29.25" hidden="1" customHeight="1">
      <c r="A414" s="216"/>
      <c r="B414" s="217"/>
      <c r="C414" s="174"/>
      <c r="D414" s="174"/>
      <c r="E414" s="175"/>
      <c r="F414" s="162"/>
      <c r="G414" s="218"/>
      <c r="H414" s="22">
        <f>IF(OR(J414="",K414="",K414&lt;J414),0,NETWORKDAYS(J414,K414,fESTIVOS!$A$2:$A$53))</f>
        <v>0</v>
      </c>
      <c r="I414" s="176"/>
      <c r="J414" s="177"/>
      <c r="K414" s="177"/>
      <c r="L414" s="177"/>
      <c r="M414" s="220"/>
      <c r="N414" s="178"/>
      <c r="O414" s="176"/>
      <c r="P414" s="178"/>
      <c r="Q414" s="105"/>
      <c r="R414" s="219"/>
      <c r="S414" s="164"/>
      <c r="T414" s="164"/>
      <c r="U414" s="162"/>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row>
    <row r="415" spans="1:67" ht="29.25" hidden="1" customHeight="1">
      <c r="A415" s="216"/>
      <c r="B415" s="217"/>
      <c r="C415" s="174"/>
      <c r="D415" s="174"/>
      <c r="E415" s="175"/>
      <c r="F415" s="162"/>
      <c r="G415" s="218"/>
      <c r="H415" s="22">
        <f>IF(OR(J415="",K415="",K415&lt;J415),0,NETWORKDAYS(J415,K415,fESTIVOS!$A$2:$A$53))</f>
        <v>0</v>
      </c>
      <c r="I415" s="176"/>
      <c r="J415" s="177"/>
      <c r="K415" s="177"/>
      <c r="L415" s="177"/>
      <c r="M415" s="220"/>
      <c r="N415" s="178"/>
      <c r="O415" s="176"/>
      <c r="P415" s="178"/>
      <c r="Q415" s="105"/>
      <c r="R415" s="219"/>
      <c r="S415" s="164"/>
      <c r="T415" s="164"/>
      <c r="U415" s="162"/>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row>
    <row r="416" spans="1:67" ht="29.25" hidden="1" customHeight="1">
      <c r="A416" s="216"/>
      <c r="B416" s="217"/>
      <c r="C416" s="174"/>
      <c r="D416" s="174"/>
      <c r="E416" s="175"/>
      <c r="F416" s="162"/>
      <c r="G416" s="218"/>
      <c r="H416" s="22">
        <f>IF(OR(J416="",K416="",K416&lt;J416),0,NETWORKDAYS(J416,K416,fESTIVOS!$A$2:$A$53))</f>
        <v>0</v>
      </c>
      <c r="I416" s="176"/>
      <c r="J416" s="177"/>
      <c r="K416" s="177"/>
      <c r="L416" s="177"/>
      <c r="M416" s="220"/>
      <c r="N416" s="178"/>
      <c r="O416" s="176"/>
      <c r="P416" s="178"/>
      <c r="Q416" s="105"/>
      <c r="R416" s="219"/>
      <c r="S416" s="164"/>
      <c r="T416" s="164"/>
      <c r="U416" s="162"/>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row>
    <row r="417" spans="1:67" ht="29.25" hidden="1" customHeight="1">
      <c r="A417" s="216"/>
      <c r="B417" s="217"/>
      <c r="C417" s="174"/>
      <c r="D417" s="174"/>
      <c r="E417" s="175"/>
      <c r="F417" s="162"/>
      <c r="G417" s="218"/>
      <c r="H417" s="22">
        <f>IF(OR(J417="",K417="",K417&lt;J417),0,NETWORKDAYS(J417,K417,fESTIVOS!$A$2:$A$53))</f>
        <v>0</v>
      </c>
      <c r="I417" s="176"/>
      <c r="J417" s="177"/>
      <c r="K417" s="177"/>
      <c r="L417" s="177"/>
      <c r="M417" s="220"/>
      <c r="N417" s="178"/>
      <c r="O417" s="176"/>
      <c r="P417" s="178"/>
      <c r="Q417" s="105"/>
      <c r="R417" s="219"/>
      <c r="S417" s="164"/>
      <c r="T417" s="164"/>
      <c r="U417" s="162"/>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row>
    <row r="418" spans="1:67" ht="29.25" hidden="1" customHeight="1">
      <c r="A418" s="216"/>
      <c r="B418" s="217"/>
      <c r="C418" s="174"/>
      <c r="D418" s="174"/>
      <c r="E418" s="175"/>
      <c r="F418" s="162"/>
      <c r="G418" s="218"/>
      <c r="H418" s="22">
        <f>IF(OR(J418="",K418="",K418&lt;J418),0,NETWORKDAYS(J418,K418,fESTIVOS!$A$2:$A$53))</f>
        <v>0</v>
      </c>
      <c r="I418" s="176"/>
      <c r="J418" s="177"/>
      <c r="K418" s="177"/>
      <c r="L418" s="177"/>
      <c r="M418" s="220"/>
      <c r="N418" s="178"/>
      <c r="O418" s="176"/>
      <c r="P418" s="178"/>
      <c r="Q418" s="105"/>
      <c r="R418" s="219"/>
      <c r="S418" s="164"/>
      <c r="T418" s="164"/>
      <c r="U418" s="162"/>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row>
    <row r="419" spans="1:67" ht="29.25" hidden="1" customHeight="1">
      <c r="A419" s="216"/>
      <c r="B419" s="217"/>
      <c r="C419" s="174"/>
      <c r="D419" s="174"/>
      <c r="E419" s="175"/>
      <c r="F419" s="162"/>
      <c r="G419" s="218"/>
      <c r="H419" s="22">
        <f>IF(OR(J419="",K419="",K419&lt;J419),0,NETWORKDAYS(J419,K419,fESTIVOS!$A$2:$A$53))</f>
        <v>0</v>
      </c>
      <c r="I419" s="176"/>
      <c r="J419" s="177"/>
      <c r="K419" s="177"/>
      <c r="L419" s="177"/>
      <c r="M419" s="220"/>
      <c r="N419" s="178"/>
      <c r="O419" s="176"/>
      <c r="P419" s="178"/>
      <c r="Q419" s="105"/>
      <c r="R419" s="219"/>
      <c r="S419" s="164"/>
      <c r="T419" s="164"/>
      <c r="U419" s="162"/>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row>
    <row r="420" spans="1:67" ht="29.25" hidden="1" customHeight="1">
      <c r="A420" s="216"/>
      <c r="B420" s="217"/>
      <c r="C420" s="174"/>
      <c r="D420" s="174"/>
      <c r="E420" s="175"/>
      <c r="F420" s="162"/>
      <c r="G420" s="218"/>
      <c r="H420" s="22">
        <f>IF(OR(J420="",K420="",K420&lt;J420),0,NETWORKDAYS(J420,K420,fESTIVOS!$A$2:$A$53))</f>
        <v>0</v>
      </c>
      <c r="I420" s="176"/>
      <c r="J420" s="177"/>
      <c r="K420" s="177"/>
      <c r="L420" s="177"/>
      <c r="M420" s="220"/>
      <c r="N420" s="178"/>
      <c r="O420" s="176"/>
      <c r="P420" s="178"/>
      <c r="Q420" s="105"/>
      <c r="R420" s="219"/>
      <c r="S420" s="164"/>
      <c r="T420" s="164"/>
      <c r="U420" s="162"/>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row>
    <row r="421" spans="1:67" ht="29.25" hidden="1" customHeight="1">
      <c r="A421" s="216"/>
      <c r="B421" s="217"/>
      <c r="C421" s="174"/>
      <c r="D421" s="174"/>
      <c r="E421" s="175"/>
      <c r="F421" s="162"/>
      <c r="G421" s="218"/>
      <c r="H421" s="22">
        <f>IF(OR(J421="",K421="",K421&lt;J421),0,NETWORKDAYS(J421,K421,fESTIVOS!$A$2:$A$53))</f>
        <v>0</v>
      </c>
      <c r="I421" s="176"/>
      <c r="J421" s="177"/>
      <c r="K421" s="177"/>
      <c r="L421" s="177"/>
      <c r="M421" s="220"/>
      <c r="N421" s="178"/>
      <c r="O421" s="176"/>
      <c r="P421" s="178"/>
      <c r="Q421" s="105"/>
      <c r="R421" s="219"/>
      <c r="S421" s="164"/>
      <c r="T421" s="164"/>
      <c r="U421" s="162"/>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row>
    <row r="422" spans="1:67" ht="29.25" hidden="1" customHeight="1">
      <c r="A422" s="216"/>
      <c r="B422" s="217"/>
      <c r="C422" s="174"/>
      <c r="D422" s="174"/>
      <c r="E422" s="175"/>
      <c r="F422" s="162"/>
      <c r="G422" s="218"/>
      <c r="H422" s="22">
        <f>IF(OR(J422="",K422="",K422&lt;J422),0,NETWORKDAYS(J422,K422,fESTIVOS!$A$2:$A$53))</f>
        <v>0</v>
      </c>
      <c r="I422" s="176"/>
      <c r="J422" s="177"/>
      <c r="K422" s="177"/>
      <c r="L422" s="177"/>
      <c r="M422" s="220"/>
      <c r="N422" s="178"/>
      <c r="O422" s="176"/>
      <c r="P422" s="178"/>
      <c r="Q422" s="105"/>
      <c r="R422" s="219"/>
      <c r="S422" s="164"/>
      <c r="T422" s="164"/>
      <c r="U422" s="162"/>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row>
    <row r="423" spans="1:67" ht="29.25" hidden="1" customHeight="1">
      <c r="A423" s="216"/>
      <c r="B423" s="217"/>
      <c r="C423" s="174"/>
      <c r="D423" s="174"/>
      <c r="E423" s="175"/>
      <c r="F423" s="162"/>
      <c r="G423" s="218"/>
      <c r="H423" s="22">
        <f>IF(OR(J423="",K423="",K423&lt;J423),0,NETWORKDAYS(J423,K423,fESTIVOS!$A$2:$A$53))</f>
        <v>0</v>
      </c>
      <c r="I423" s="176"/>
      <c r="J423" s="177"/>
      <c r="K423" s="177"/>
      <c r="L423" s="177"/>
      <c r="M423" s="220"/>
      <c r="N423" s="178"/>
      <c r="O423" s="176"/>
      <c r="P423" s="178"/>
      <c r="Q423" s="105"/>
      <c r="R423" s="219"/>
      <c r="S423" s="164"/>
      <c r="T423" s="164"/>
      <c r="U423" s="162"/>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row>
    <row r="424" spans="1:67" ht="29.25" hidden="1" customHeight="1">
      <c r="A424" s="216"/>
      <c r="B424" s="217"/>
      <c r="C424" s="174"/>
      <c r="D424" s="174"/>
      <c r="E424" s="175"/>
      <c r="F424" s="162"/>
      <c r="G424" s="218"/>
      <c r="H424" s="22">
        <f>IF(OR(J424="",K424="",K424&lt;J424),0,NETWORKDAYS(J424,K424,fESTIVOS!$A$2:$A$53))</f>
        <v>0</v>
      </c>
      <c r="I424" s="176"/>
      <c r="J424" s="177"/>
      <c r="K424" s="177"/>
      <c r="L424" s="177"/>
      <c r="M424" s="220"/>
      <c r="N424" s="178"/>
      <c r="O424" s="176"/>
      <c r="P424" s="178"/>
      <c r="Q424" s="105"/>
      <c r="R424" s="219"/>
      <c r="S424" s="164"/>
      <c r="T424" s="164"/>
      <c r="U424" s="162"/>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row>
    <row r="425" spans="1:67" ht="29.25" hidden="1" customHeight="1">
      <c r="A425" s="216"/>
      <c r="B425" s="217"/>
      <c r="C425" s="174"/>
      <c r="D425" s="174"/>
      <c r="E425" s="175"/>
      <c r="F425" s="162"/>
      <c r="G425" s="218"/>
      <c r="H425" s="22">
        <f>IF(OR(J425="",K425="",K425&lt;J425),0,NETWORKDAYS(J425,K425,fESTIVOS!$A$2:$A$53))</f>
        <v>0</v>
      </c>
      <c r="I425" s="176"/>
      <c r="J425" s="177"/>
      <c r="K425" s="177"/>
      <c r="L425" s="177"/>
      <c r="M425" s="220"/>
      <c r="N425" s="178"/>
      <c r="O425" s="176"/>
      <c r="P425" s="178"/>
      <c r="Q425" s="105"/>
      <c r="R425" s="219"/>
      <c r="S425" s="164"/>
      <c r="T425" s="164"/>
      <c r="U425" s="162"/>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row>
    <row r="426" spans="1:67" ht="29.25" hidden="1" customHeight="1">
      <c r="A426" s="216"/>
      <c r="B426" s="217"/>
      <c r="C426" s="174"/>
      <c r="D426" s="174"/>
      <c r="E426" s="175"/>
      <c r="F426" s="162"/>
      <c r="G426" s="218"/>
      <c r="H426" s="22">
        <f>IF(OR(J426="",K426="",K426&lt;J426),0,NETWORKDAYS(J426,K426,fESTIVOS!$A$2:$A$53))</f>
        <v>0</v>
      </c>
      <c r="I426" s="176"/>
      <c r="J426" s="177"/>
      <c r="K426" s="177"/>
      <c r="L426" s="177"/>
      <c r="M426" s="220"/>
      <c r="N426" s="178"/>
      <c r="O426" s="176"/>
      <c r="P426" s="178"/>
      <c r="Q426" s="105"/>
      <c r="R426" s="219"/>
      <c r="S426" s="164"/>
      <c r="T426" s="164"/>
      <c r="U426" s="162"/>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row>
    <row r="427" spans="1:67" ht="29.25" hidden="1" customHeight="1">
      <c r="A427" s="216"/>
      <c r="B427" s="217"/>
      <c r="C427" s="174"/>
      <c r="D427" s="174"/>
      <c r="E427" s="175"/>
      <c r="F427" s="162"/>
      <c r="G427" s="218"/>
      <c r="H427" s="22">
        <f>IF(OR(J427="",K427="",K427&lt;J427),0,NETWORKDAYS(J427,K427,fESTIVOS!$A$2:$A$53))</f>
        <v>0</v>
      </c>
      <c r="I427" s="176"/>
      <c r="J427" s="177"/>
      <c r="K427" s="177"/>
      <c r="L427" s="177"/>
      <c r="M427" s="220"/>
      <c r="N427" s="178"/>
      <c r="O427" s="176"/>
      <c r="P427" s="178"/>
      <c r="Q427" s="105"/>
      <c r="R427" s="219"/>
      <c r="S427" s="164"/>
      <c r="T427" s="164"/>
      <c r="U427" s="162"/>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row>
    <row r="428" spans="1:67" ht="29.25" hidden="1" customHeight="1">
      <c r="A428" s="216"/>
      <c r="B428" s="217"/>
      <c r="C428" s="174"/>
      <c r="D428" s="174"/>
      <c r="E428" s="175"/>
      <c r="F428" s="162"/>
      <c r="G428" s="218"/>
      <c r="H428" s="22">
        <f>IF(OR(J428="",K428="",K428&lt;J428),0,NETWORKDAYS(J428,K428,fESTIVOS!$A$2:$A$53))</f>
        <v>0</v>
      </c>
      <c r="I428" s="176"/>
      <c r="J428" s="177"/>
      <c r="K428" s="177"/>
      <c r="L428" s="177"/>
      <c r="M428" s="220"/>
      <c r="N428" s="178"/>
      <c r="O428" s="176"/>
      <c r="P428" s="178"/>
      <c r="Q428" s="105"/>
      <c r="R428" s="219"/>
      <c r="S428" s="164"/>
      <c r="T428" s="164"/>
      <c r="U428" s="162"/>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row>
    <row r="429" spans="1:67" ht="29.25" hidden="1" customHeight="1">
      <c r="A429" s="216"/>
      <c r="B429" s="217"/>
      <c r="C429" s="174"/>
      <c r="D429" s="174"/>
      <c r="E429" s="175"/>
      <c r="F429" s="162"/>
      <c r="G429" s="218"/>
      <c r="H429" s="22">
        <f>IF(OR(J429="",K429="",K429&lt;J429),0,NETWORKDAYS(J429,K429,fESTIVOS!$A$2:$A$53))</f>
        <v>0</v>
      </c>
      <c r="I429" s="176"/>
      <c r="J429" s="177"/>
      <c r="K429" s="177"/>
      <c r="L429" s="177"/>
      <c r="M429" s="220"/>
      <c r="N429" s="178"/>
      <c r="O429" s="176"/>
      <c r="P429" s="178"/>
      <c r="Q429" s="105"/>
      <c r="R429" s="219"/>
      <c r="S429" s="164"/>
      <c r="T429" s="164"/>
      <c r="U429" s="162"/>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row>
    <row r="430" spans="1:67" ht="29.25" hidden="1" customHeight="1">
      <c r="A430" s="216"/>
      <c r="B430" s="217"/>
      <c r="C430" s="174"/>
      <c r="D430" s="174"/>
      <c r="E430" s="175"/>
      <c r="F430" s="162"/>
      <c r="G430" s="218"/>
      <c r="H430" s="22">
        <f>IF(OR(J430="",K430="",K430&lt;J430),0,NETWORKDAYS(J430,K430,fESTIVOS!$A$2:$A$53))</f>
        <v>0</v>
      </c>
      <c r="I430" s="176"/>
      <c r="J430" s="177"/>
      <c r="K430" s="177"/>
      <c r="L430" s="177"/>
      <c r="M430" s="220"/>
      <c r="N430" s="178"/>
      <c r="O430" s="176"/>
      <c r="P430" s="178"/>
      <c r="Q430" s="105"/>
      <c r="R430" s="219"/>
      <c r="S430" s="164"/>
      <c r="T430" s="164"/>
      <c r="U430" s="162"/>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row>
    <row r="431" spans="1:67" ht="29.25" hidden="1" customHeight="1">
      <c r="A431" s="216"/>
      <c r="B431" s="217"/>
      <c r="C431" s="174"/>
      <c r="D431" s="174"/>
      <c r="E431" s="175"/>
      <c r="F431" s="162"/>
      <c r="G431" s="218"/>
      <c r="H431" s="22">
        <f>IF(OR(J431="",K431="",K431&lt;J431),0,NETWORKDAYS(J431,K431,fESTIVOS!$A$2:$A$53))</f>
        <v>0</v>
      </c>
      <c r="I431" s="176"/>
      <c r="J431" s="177"/>
      <c r="K431" s="177"/>
      <c r="L431" s="177"/>
      <c r="M431" s="220"/>
      <c r="N431" s="178"/>
      <c r="O431" s="176"/>
      <c r="P431" s="178"/>
      <c r="Q431" s="105"/>
      <c r="R431" s="219"/>
      <c r="S431" s="164"/>
      <c r="T431" s="164"/>
      <c r="U431" s="162"/>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row>
    <row r="432" spans="1:67" ht="29.25" hidden="1" customHeight="1">
      <c r="A432" s="216"/>
      <c r="B432" s="217"/>
      <c r="C432" s="174"/>
      <c r="D432" s="174"/>
      <c r="E432" s="175"/>
      <c r="F432" s="162"/>
      <c r="G432" s="218"/>
      <c r="H432" s="22">
        <f>IF(OR(J432="",K432="",K432&lt;J432),0,NETWORKDAYS(J432,K432,fESTIVOS!$A$2:$A$53))</f>
        <v>0</v>
      </c>
      <c r="I432" s="176"/>
      <c r="J432" s="177"/>
      <c r="K432" s="177"/>
      <c r="L432" s="177"/>
      <c r="M432" s="220"/>
      <c r="N432" s="178"/>
      <c r="O432" s="176"/>
      <c r="P432" s="178"/>
      <c r="Q432" s="105"/>
      <c r="R432" s="219"/>
      <c r="S432" s="164"/>
      <c r="T432" s="164"/>
      <c r="U432" s="162"/>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row>
    <row r="433" spans="1:67" ht="29.25" hidden="1" customHeight="1">
      <c r="A433" s="216"/>
      <c r="B433" s="217"/>
      <c r="C433" s="174"/>
      <c r="D433" s="174"/>
      <c r="E433" s="175"/>
      <c r="F433" s="162"/>
      <c r="G433" s="218"/>
      <c r="H433" s="22">
        <f>IF(OR(J433="",K433="",K433&lt;J433),0,NETWORKDAYS(J433,K433,fESTIVOS!$A$2:$A$53))</f>
        <v>0</v>
      </c>
      <c r="I433" s="176"/>
      <c r="J433" s="177"/>
      <c r="K433" s="177"/>
      <c r="L433" s="177"/>
      <c r="M433" s="220"/>
      <c r="N433" s="178"/>
      <c r="O433" s="176"/>
      <c r="P433" s="178"/>
      <c r="Q433" s="105"/>
      <c r="R433" s="219"/>
      <c r="S433" s="164"/>
      <c r="T433" s="164"/>
      <c r="U433" s="162"/>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row>
    <row r="434" spans="1:67" ht="29.25" hidden="1" customHeight="1">
      <c r="A434" s="216"/>
      <c r="B434" s="217"/>
      <c r="C434" s="174"/>
      <c r="D434" s="174"/>
      <c r="E434" s="175"/>
      <c r="F434" s="162"/>
      <c r="G434" s="218"/>
      <c r="H434" s="22">
        <f>IF(OR(J434="",K434="",K434&lt;J434),0,NETWORKDAYS(J434,K434,fESTIVOS!$A$2:$A$53))</f>
        <v>0</v>
      </c>
      <c r="I434" s="176"/>
      <c r="J434" s="177"/>
      <c r="K434" s="177"/>
      <c r="L434" s="177"/>
      <c r="M434" s="220"/>
      <c r="N434" s="178"/>
      <c r="O434" s="176"/>
      <c r="P434" s="178"/>
      <c r="Q434" s="105"/>
      <c r="R434" s="219"/>
      <c r="S434" s="164"/>
      <c r="T434" s="164"/>
      <c r="U434" s="162"/>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row>
    <row r="435" spans="1:67" ht="29.25" hidden="1" customHeight="1">
      <c r="A435" s="216"/>
      <c r="B435" s="217"/>
      <c r="C435" s="174"/>
      <c r="D435" s="174"/>
      <c r="E435" s="175"/>
      <c r="F435" s="162"/>
      <c r="G435" s="218"/>
      <c r="H435" s="22">
        <f>IF(OR(J435="",K435="",K435&lt;J435),0,NETWORKDAYS(J435,K435,fESTIVOS!$A$2:$A$53))</f>
        <v>0</v>
      </c>
      <c r="I435" s="176"/>
      <c r="J435" s="177"/>
      <c r="K435" s="177"/>
      <c r="L435" s="177"/>
      <c r="M435" s="220"/>
      <c r="N435" s="178"/>
      <c r="O435" s="176"/>
      <c r="P435" s="178"/>
      <c r="Q435" s="105"/>
      <c r="R435" s="219"/>
      <c r="S435" s="164"/>
      <c r="T435" s="164"/>
      <c r="U435" s="162"/>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row>
    <row r="436" spans="1:67" ht="29.25" hidden="1" customHeight="1">
      <c r="A436" s="216"/>
      <c r="B436" s="217"/>
      <c r="C436" s="174"/>
      <c r="D436" s="174"/>
      <c r="E436" s="175"/>
      <c r="F436" s="162"/>
      <c r="G436" s="218"/>
      <c r="H436" s="22">
        <f>IF(OR(J436="",K436="",K436&lt;J436),0,NETWORKDAYS(J436,K436,fESTIVOS!$A$2:$A$53))</f>
        <v>0</v>
      </c>
      <c r="I436" s="176"/>
      <c r="J436" s="177"/>
      <c r="K436" s="177"/>
      <c r="L436" s="177"/>
      <c r="M436" s="220"/>
      <c r="N436" s="178"/>
      <c r="O436" s="176"/>
      <c r="P436" s="178"/>
      <c r="Q436" s="105"/>
      <c r="R436" s="219"/>
      <c r="S436" s="164"/>
      <c r="T436" s="164"/>
      <c r="U436" s="162"/>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row>
    <row r="437" spans="1:67" ht="29.25" hidden="1" customHeight="1">
      <c r="A437" s="216"/>
      <c r="B437" s="217"/>
      <c r="C437" s="174"/>
      <c r="D437" s="174"/>
      <c r="E437" s="175"/>
      <c r="F437" s="162"/>
      <c r="G437" s="218"/>
      <c r="H437" s="22">
        <f>IF(OR(J437="",K437="",K437&lt;J437),0,NETWORKDAYS(J437,K437,fESTIVOS!$A$2:$A$53))</f>
        <v>0</v>
      </c>
      <c r="I437" s="176"/>
      <c r="J437" s="177"/>
      <c r="K437" s="177"/>
      <c r="L437" s="177"/>
      <c r="M437" s="220"/>
      <c r="N437" s="178"/>
      <c r="O437" s="176"/>
      <c r="P437" s="178"/>
      <c r="Q437" s="105"/>
      <c r="R437" s="219"/>
      <c r="S437" s="164"/>
      <c r="T437" s="164"/>
      <c r="U437" s="162"/>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row>
    <row r="438" spans="1:67" ht="29.25" hidden="1" customHeight="1">
      <c r="A438" s="216"/>
      <c r="B438" s="217"/>
      <c r="C438" s="174"/>
      <c r="D438" s="174"/>
      <c r="E438" s="175"/>
      <c r="F438" s="162"/>
      <c r="G438" s="218"/>
      <c r="H438" s="22">
        <f>IF(OR(J438="",K438="",K438&lt;J438),0,NETWORKDAYS(J438,K438,fESTIVOS!$A$2:$A$53))</f>
        <v>0</v>
      </c>
      <c r="I438" s="176"/>
      <c r="J438" s="177"/>
      <c r="K438" s="177"/>
      <c r="L438" s="177"/>
      <c r="M438" s="220"/>
      <c r="N438" s="178"/>
      <c r="O438" s="176"/>
      <c r="P438" s="178"/>
      <c r="Q438" s="105"/>
      <c r="R438" s="219"/>
      <c r="S438" s="164"/>
      <c r="T438" s="164"/>
      <c r="U438" s="162"/>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row>
    <row r="439" spans="1:67" ht="29.25" hidden="1" customHeight="1">
      <c r="A439" s="216"/>
      <c r="B439" s="217"/>
      <c r="C439" s="174"/>
      <c r="D439" s="174"/>
      <c r="E439" s="175"/>
      <c r="F439" s="162"/>
      <c r="G439" s="218"/>
      <c r="H439" s="22">
        <f>IF(OR(J439="",K439="",K439&lt;J439),0,NETWORKDAYS(J439,K439,fESTIVOS!$A$2:$A$53))</f>
        <v>0</v>
      </c>
      <c r="I439" s="176"/>
      <c r="J439" s="177"/>
      <c r="K439" s="177"/>
      <c r="L439" s="177"/>
      <c r="M439" s="220"/>
      <c r="N439" s="178"/>
      <c r="O439" s="176"/>
      <c r="P439" s="178"/>
      <c r="Q439" s="105"/>
      <c r="R439" s="219"/>
      <c r="S439" s="164"/>
      <c r="T439" s="164"/>
      <c r="U439" s="162"/>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row>
    <row r="440" spans="1:67" ht="29.25" hidden="1" customHeight="1">
      <c r="A440" s="216"/>
      <c r="B440" s="217"/>
      <c r="C440" s="174"/>
      <c r="D440" s="174"/>
      <c r="E440" s="175"/>
      <c r="F440" s="162"/>
      <c r="G440" s="218"/>
      <c r="H440" s="22">
        <f>IF(OR(J440="",K440="",K440&lt;J440),0,NETWORKDAYS(J440,K440,fESTIVOS!$A$2:$A$53))</f>
        <v>0</v>
      </c>
      <c r="I440" s="176"/>
      <c r="J440" s="177"/>
      <c r="K440" s="177"/>
      <c r="L440" s="177"/>
      <c r="M440" s="220"/>
      <c r="N440" s="178"/>
      <c r="O440" s="176"/>
      <c r="P440" s="178"/>
      <c r="Q440" s="105"/>
      <c r="R440" s="219"/>
      <c r="S440" s="164"/>
      <c r="T440" s="164"/>
      <c r="U440" s="162"/>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row>
    <row r="441" spans="1:67" ht="29.25" hidden="1" customHeight="1">
      <c r="A441" s="216"/>
      <c r="B441" s="217"/>
      <c r="C441" s="174"/>
      <c r="D441" s="174"/>
      <c r="E441" s="175"/>
      <c r="F441" s="162"/>
      <c r="G441" s="218"/>
      <c r="H441" s="22">
        <f>IF(OR(J441="",K441="",K441&lt;J441),0,NETWORKDAYS(J441,K441,fESTIVOS!$A$2:$A$53))</f>
        <v>0</v>
      </c>
      <c r="I441" s="176"/>
      <c r="J441" s="177"/>
      <c r="K441" s="177"/>
      <c r="L441" s="177"/>
      <c r="M441" s="220"/>
      <c r="N441" s="178"/>
      <c r="O441" s="176"/>
      <c r="P441" s="178"/>
      <c r="Q441" s="105"/>
      <c r="R441" s="219"/>
      <c r="S441" s="164"/>
      <c r="T441" s="164"/>
      <c r="U441" s="162"/>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row>
    <row r="442" spans="1:67" ht="29.25" hidden="1" customHeight="1">
      <c r="A442" s="216"/>
      <c r="B442" s="217"/>
      <c r="C442" s="174"/>
      <c r="D442" s="174"/>
      <c r="E442" s="175"/>
      <c r="F442" s="162"/>
      <c r="G442" s="218"/>
      <c r="H442" s="22">
        <f>IF(OR(J442="",K442="",K442&lt;J442),0,NETWORKDAYS(J442,K442,fESTIVOS!$A$2:$A$53))</f>
        <v>0</v>
      </c>
      <c r="I442" s="176"/>
      <c r="J442" s="177"/>
      <c r="K442" s="177"/>
      <c r="L442" s="177"/>
      <c r="M442" s="220"/>
      <c r="N442" s="178"/>
      <c r="O442" s="176"/>
      <c r="P442" s="178"/>
      <c r="Q442" s="105"/>
      <c r="R442" s="219"/>
      <c r="S442" s="164"/>
      <c r="T442" s="164"/>
      <c r="U442" s="162"/>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row>
    <row r="443" spans="1:67" ht="29.25" hidden="1" customHeight="1">
      <c r="A443" s="216"/>
      <c r="B443" s="217"/>
      <c r="C443" s="174"/>
      <c r="D443" s="174"/>
      <c r="E443" s="175"/>
      <c r="F443" s="162"/>
      <c r="G443" s="218"/>
      <c r="H443" s="22">
        <f>IF(OR(J443="",K443="",K443&lt;J443),0,NETWORKDAYS(J443,K443,fESTIVOS!$A$2:$A$53))</f>
        <v>0</v>
      </c>
      <c r="I443" s="176"/>
      <c r="J443" s="177"/>
      <c r="K443" s="177"/>
      <c r="L443" s="177"/>
      <c r="M443" s="220"/>
      <c r="N443" s="178"/>
      <c r="O443" s="176"/>
      <c r="P443" s="178"/>
      <c r="Q443" s="105"/>
      <c r="R443" s="219"/>
      <c r="S443" s="164"/>
      <c r="T443" s="164"/>
      <c r="U443" s="162"/>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row>
    <row r="444" spans="1:67" ht="29.25" hidden="1" customHeight="1">
      <c r="A444" s="216"/>
      <c r="B444" s="217"/>
      <c r="C444" s="174"/>
      <c r="D444" s="174"/>
      <c r="E444" s="175"/>
      <c r="F444" s="162"/>
      <c r="G444" s="218"/>
      <c r="H444" s="22">
        <f>IF(OR(J444="",K444="",K444&lt;J444),0,NETWORKDAYS(J444,K444,fESTIVOS!$A$2:$A$53))</f>
        <v>0</v>
      </c>
      <c r="I444" s="176"/>
      <c r="J444" s="177"/>
      <c r="K444" s="177"/>
      <c r="L444" s="177"/>
      <c r="M444" s="220"/>
      <c r="N444" s="178"/>
      <c r="O444" s="176"/>
      <c r="P444" s="178"/>
      <c r="Q444" s="105"/>
      <c r="R444" s="219"/>
      <c r="S444" s="164"/>
      <c r="T444" s="164"/>
      <c r="U444" s="162"/>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row>
    <row r="445" spans="1:67" ht="29.25" hidden="1" customHeight="1">
      <c r="A445" s="216"/>
      <c r="B445" s="217"/>
      <c r="C445" s="174"/>
      <c r="D445" s="174"/>
      <c r="E445" s="175"/>
      <c r="F445" s="162"/>
      <c r="G445" s="218"/>
      <c r="H445" s="22">
        <f>IF(OR(J445="",K445="",K445&lt;J445),0,NETWORKDAYS(J445,K445,fESTIVOS!$A$2:$A$53))</f>
        <v>0</v>
      </c>
      <c r="I445" s="176"/>
      <c r="J445" s="177"/>
      <c r="K445" s="177"/>
      <c r="L445" s="177"/>
      <c r="M445" s="220"/>
      <c r="N445" s="178"/>
      <c r="O445" s="176"/>
      <c r="P445" s="178"/>
      <c r="Q445" s="105"/>
      <c r="R445" s="219"/>
      <c r="S445" s="164"/>
      <c r="T445" s="164"/>
      <c r="U445" s="162"/>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row>
    <row r="446" spans="1:67" ht="29.25" hidden="1" customHeight="1">
      <c r="A446" s="216"/>
      <c r="B446" s="217"/>
      <c r="C446" s="174"/>
      <c r="D446" s="174"/>
      <c r="E446" s="175"/>
      <c r="F446" s="162"/>
      <c r="G446" s="218"/>
      <c r="H446" s="22">
        <f>IF(OR(J446="",K446="",K446&lt;J446),0,NETWORKDAYS(J446,K446,fESTIVOS!$A$2:$A$53))</f>
        <v>0</v>
      </c>
      <c r="I446" s="176"/>
      <c r="J446" s="177"/>
      <c r="K446" s="177"/>
      <c r="L446" s="177"/>
      <c r="M446" s="220"/>
      <c r="N446" s="178"/>
      <c r="O446" s="176"/>
      <c r="P446" s="178"/>
      <c r="Q446" s="105"/>
      <c r="R446" s="219"/>
      <c r="S446" s="164"/>
      <c r="T446" s="164"/>
      <c r="U446" s="162"/>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row>
    <row r="447" spans="1:67" ht="29.25" hidden="1" customHeight="1">
      <c r="A447" s="216"/>
      <c r="B447" s="217"/>
      <c r="C447" s="174"/>
      <c r="D447" s="174"/>
      <c r="E447" s="175"/>
      <c r="F447" s="162"/>
      <c r="G447" s="218"/>
      <c r="H447" s="22">
        <f>IF(OR(J447="",K447="",K447&lt;J447),0,NETWORKDAYS(J447,K447,fESTIVOS!$A$2:$A$53))</f>
        <v>0</v>
      </c>
      <c r="I447" s="176"/>
      <c r="J447" s="177"/>
      <c r="K447" s="177"/>
      <c r="L447" s="177"/>
      <c r="M447" s="220"/>
      <c r="N447" s="178"/>
      <c r="O447" s="176"/>
      <c r="P447" s="178"/>
      <c r="Q447" s="105"/>
      <c r="R447" s="219"/>
      <c r="S447" s="164"/>
      <c r="T447" s="164"/>
      <c r="U447" s="162"/>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row>
    <row r="448" spans="1:67" ht="29.25" hidden="1" customHeight="1">
      <c r="A448" s="216"/>
      <c r="B448" s="217"/>
      <c r="C448" s="174"/>
      <c r="D448" s="174"/>
      <c r="E448" s="175"/>
      <c r="F448" s="162"/>
      <c r="G448" s="218"/>
      <c r="H448" s="22">
        <f>IF(OR(J448="",K448="",K448&lt;J448),0,NETWORKDAYS(J448,K448,fESTIVOS!$A$2:$A$53))</f>
        <v>0</v>
      </c>
      <c r="I448" s="176"/>
      <c r="J448" s="177"/>
      <c r="K448" s="177"/>
      <c r="L448" s="177"/>
      <c r="M448" s="220"/>
      <c r="N448" s="178"/>
      <c r="O448" s="176"/>
      <c r="P448" s="178"/>
      <c r="Q448" s="105"/>
      <c r="R448" s="219"/>
      <c r="S448" s="164"/>
      <c r="T448" s="164"/>
      <c r="U448" s="162"/>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row>
    <row r="449" spans="1:67" ht="29.25" hidden="1" customHeight="1">
      <c r="A449" s="216"/>
      <c r="B449" s="217"/>
      <c r="C449" s="174"/>
      <c r="D449" s="174"/>
      <c r="E449" s="175"/>
      <c r="F449" s="162"/>
      <c r="G449" s="218"/>
      <c r="H449" s="22">
        <f>IF(OR(J449="",K449="",K449&lt;J449),0,NETWORKDAYS(J449,K449,fESTIVOS!$A$2:$A$53))</f>
        <v>0</v>
      </c>
      <c r="I449" s="176"/>
      <c r="J449" s="177"/>
      <c r="K449" s="177"/>
      <c r="L449" s="177"/>
      <c r="M449" s="220"/>
      <c r="N449" s="178"/>
      <c r="O449" s="176"/>
      <c r="P449" s="178"/>
      <c r="Q449" s="105"/>
      <c r="R449" s="219"/>
      <c r="S449" s="164"/>
      <c r="T449" s="164"/>
      <c r="U449" s="162"/>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row>
    <row r="450" spans="1:67" ht="29.25" hidden="1" customHeight="1">
      <c r="A450" s="216"/>
      <c r="B450" s="217"/>
      <c r="C450" s="174"/>
      <c r="D450" s="174"/>
      <c r="E450" s="175"/>
      <c r="F450" s="162"/>
      <c r="G450" s="218"/>
      <c r="H450" s="22">
        <f>IF(OR(J450="",K450="",K450&lt;J450),0,NETWORKDAYS(J450,K450,fESTIVOS!$A$2:$A$53))</f>
        <v>0</v>
      </c>
      <c r="I450" s="176"/>
      <c r="J450" s="177"/>
      <c r="K450" s="177"/>
      <c r="L450" s="177"/>
      <c r="M450" s="220"/>
      <c r="N450" s="178"/>
      <c r="O450" s="176"/>
      <c r="P450" s="178"/>
      <c r="Q450" s="105"/>
      <c r="R450" s="219"/>
      <c r="S450" s="164"/>
      <c r="T450" s="164"/>
      <c r="U450" s="162"/>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row>
    <row r="451" spans="1:67" ht="29.25" hidden="1" customHeight="1">
      <c r="A451" s="216"/>
      <c r="B451" s="217"/>
      <c r="C451" s="174"/>
      <c r="D451" s="174"/>
      <c r="E451" s="175"/>
      <c r="F451" s="162"/>
      <c r="G451" s="218"/>
      <c r="H451" s="22">
        <f>IF(OR(J451="",K451="",K451&lt;J451),0,NETWORKDAYS(J451,K451,fESTIVOS!$A$2:$A$53))</f>
        <v>0</v>
      </c>
      <c r="I451" s="176"/>
      <c r="J451" s="177"/>
      <c r="K451" s="177"/>
      <c r="L451" s="177"/>
      <c r="M451" s="220"/>
      <c r="N451" s="178"/>
      <c r="O451" s="176"/>
      <c r="P451" s="178"/>
      <c r="Q451" s="105"/>
      <c r="R451" s="219"/>
      <c r="S451" s="164"/>
      <c r="T451" s="164"/>
      <c r="U451" s="162"/>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row>
    <row r="452" spans="1:67" ht="29.25" hidden="1" customHeight="1">
      <c r="A452" s="216"/>
      <c r="B452" s="217"/>
      <c r="C452" s="174"/>
      <c r="D452" s="174"/>
      <c r="E452" s="175"/>
      <c r="F452" s="162"/>
      <c r="G452" s="218"/>
      <c r="H452" s="22">
        <f>IF(OR(J452="",K452="",K452&lt;J452),0,NETWORKDAYS(J452,K452,fESTIVOS!$A$2:$A$53))</f>
        <v>0</v>
      </c>
      <c r="I452" s="176"/>
      <c r="J452" s="177"/>
      <c r="K452" s="177"/>
      <c r="L452" s="177"/>
      <c r="M452" s="220"/>
      <c r="N452" s="178"/>
      <c r="O452" s="176"/>
      <c r="P452" s="178"/>
      <c r="Q452" s="105"/>
      <c r="R452" s="219"/>
      <c r="S452" s="164"/>
      <c r="T452" s="164"/>
      <c r="U452" s="162"/>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row>
    <row r="453" spans="1:67" ht="29.25" hidden="1" customHeight="1">
      <c r="A453" s="216"/>
      <c r="B453" s="217"/>
      <c r="C453" s="174"/>
      <c r="D453" s="174"/>
      <c r="E453" s="175"/>
      <c r="F453" s="162"/>
      <c r="G453" s="218"/>
      <c r="H453" s="22">
        <f>IF(OR(J453="",K453="",K453&lt;J453),0,NETWORKDAYS(J453,K453,fESTIVOS!$A$2:$A$53))</f>
        <v>0</v>
      </c>
      <c r="I453" s="176"/>
      <c r="J453" s="177"/>
      <c r="K453" s="177"/>
      <c r="L453" s="177"/>
      <c r="M453" s="220"/>
      <c r="N453" s="178"/>
      <c r="O453" s="176"/>
      <c r="P453" s="178"/>
      <c r="Q453" s="105"/>
      <c r="R453" s="219"/>
      <c r="S453" s="164"/>
      <c r="T453" s="164"/>
      <c r="U453" s="162"/>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row>
    <row r="454" spans="1:67" ht="29.25" hidden="1" customHeight="1">
      <c r="A454" s="216"/>
      <c r="B454" s="217"/>
      <c r="C454" s="174"/>
      <c r="D454" s="174"/>
      <c r="E454" s="175"/>
      <c r="F454" s="162"/>
      <c r="G454" s="218"/>
      <c r="H454" s="22">
        <f>IF(OR(J454="",K454="",K454&lt;J454),0,NETWORKDAYS(J454,K454,fESTIVOS!$A$2:$A$53))</f>
        <v>0</v>
      </c>
      <c r="I454" s="176"/>
      <c r="J454" s="177"/>
      <c r="K454" s="177"/>
      <c r="L454" s="177"/>
      <c r="M454" s="220"/>
      <c r="N454" s="178"/>
      <c r="O454" s="176"/>
      <c r="P454" s="178"/>
      <c r="Q454" s="105"/>
      <c r="R454" s="219"/>
      <c r="S454" s="164"/>
      <c r="T454" s="164"/>
      <c r="U454" s="162"/>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row>
    <row r="455" spans="1:67" ht="29.25" hidden="1" customHeight="1">
      <c r="A455" s="216"/>
      <c r="B455" s="217"/>
      <c r="C455" s="174"/>
      <c r="D455" s="174"/>
      <c r="E455" s="175"/>
      <c r="F455" s="162"/>
      <c r="G455" s="218"/>
      <c r="H455" s="22">
        <f>IF(OR(J455="",K455="",K455&lt;J455),0,NETWORKDAYS(J455,K455,fESTIVOS!$A$2:$A$53))</f>
        <v>0</v>
      </c>
      <c r="I455" s="176"/>
      <c r="J455" s="177"/>
      <c r="K455" s="177"/>
      <c r="L455" s="177"/>
      <c r="M455" s="220"/>
      <c r="N455" s="178"/>
      <c r="O455" s="176"/>
      <c r="P455" s="178"/>
      <c r="Q455" s="105"/>
      <c r="R455" s="219"/>
      <c r="S455" s="164"/>
      <c r="T455" s="164"/>
      <c r="U455" s="162"/>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row>
    <row r="456" spans="1:67" ht="29.25" hidden="1" customHeight="1">
      <c r="A456" s="216"/>
      <c r="B456" s="217"/>
      <c r="C456" s="174"/>
      <c r="D456" s="174"/>
      <c r="E456" s="175"/>
      <c r="F456" s="162"/>
      <c r="G456" s="218"/>
      <c r="H456" s="22">
        <f>IF(OR(J456="",K456="",K456&lt;J456),0,NETWORKDAYS(J456,K456,fESTIVOS!$A$2:$A$53))</f>
        <v>0</v>
      </c>
      <c r="I456" s="176"/>
      <c r="J456" s="177"/>
      <c r="K456" s="177"/>
      <c r="L456" s="177"/>
      <c r="M456" s="220"/>
      <c r="N456" s="178"/>
      <c r="O456" s="176"/>
      <c r="P456" s="178"/>
      <c r="Q456" s="105"/>
      <c r="R456" s="219"/>
      <c r="S456" s="164"/>
      <c r="T456" s="164"/>
      <c r="U456" s="162"/>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row>
    <row r="457" spans="1:67" ht="29.25" hidden="1" customHeight="1">
      <c r="A457" s="216"/>
      <c r="B457" s="217"/>
      <c r="C457" s="174"/>
      <c r="D457" s="174"/>
      <c r="E457" s="175"/>
      <c r="F457" s="162"/>
      <c r="G457" s="218"/>
      <c r="H457" s="22">
        <f>IF(OR(J457="",K457="",K457&lt;J457),0,NETWORKDAYS(J457,K457,fESTIVOS!$A$2:$A$53))</f>
        <v>0</v>
      </c>
      <c r="I457" s="176"/>
      <c r="J457" s="177"/>
      <c r="K457" s="177"/>
      <c r="L457" s="177"/>
      <c r="M457" s="220"/>
      <c r="N457" s="178"/>
      <c r="O457" s="176"/>
      <c r="P457" s="178"/>
      <c r="Q457" s="105"/>
      <c r="R457" s="219"/>
      <c r="S457" s="164"/>
      <c r="T457" s="164"/>
      <c r="U457" s="162"/>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row>
    <row r="458" spans="1:67" ht="29.25" hidden="1" customHeight="1">
      <c r="A458" s="216"/>
      <c r="B458" s="217"/>
      <c r="C458" s="174"/>
      <c r="D458" s="174"/>
      <c r="E458" s="175"/>
      <c r="F458" s="162"/>
      <c r="G458" s="218"/>
      <c r="H458" s="22">
        <f>IF(OR(J458="",K458="",K458&lt;J458),0,NETWORKDAYS(J458,K458,fESTIVOS!$A$2:$A$53))</f>
        <v>0</v>
      </c>
      <c r="I458" s="176"/>
      <c r="J458" s="177"/>
      <c r="K458" s="177"/>
      <c r="L458" s="177"/>
      <c r="M458" s="220"/>
      <c r="N458" s="178"/>
      <c r="O458" s="176"/>
      <c r="P458" s="178"/>
      <c r="Q458" s="105"/>
      <c r="R458" s="219"/>
      <c r="S458" s="164"/>
      <c r="T458" s="164"/>
      <c r="U458" s="162"/>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row>
    <row r="459" spans="1:67" ht="29.25" hidden="1" customHeight="1">
      <c r="A459" s="216"/>
      <c r="B459" s="217"/>
      <c r="C459" s="174"/>
      <c r="D459" s="174"/>
      <c r="E459" s="175"/>
      <c r="F459" s="162"/>
      <c r="G459" s="218"/>
      <c r="H459" s="22">
        <f>IF(OR(J459="",K459="",K459&lt;J459),0,NETWORKDAYS(J459,K459,fESTIVOS!$A$2:$A$53))</f>
        <v>0</v>
      </c>
      <c r="I459" s="176"/>
      <c r="J459" s="177"/>
      <c r="K459" s="177"/>
      <c r="L459" s="177"/>
      <c r="M459" s="220"/>
      <c r="N459" s="178"/>
      <c r="O459" s="176"/>
      <c r="P459" s="178"/>
      <c r="Q459" s="105"/>
      <c r="R459" s="219"/>
      <c r="S459" s="164"/>
      <c r="T459" s="164"/>
      <c r="U459" s="162"/>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row>
    <row r="460" spans="1:67" ht="29.25" hidden="1" customHeight="1">
      <c r="A460" s="216"/>
      <c r="B460" s="217"/>
      <c r="C460" s="174"/>
      <c r="D460" s="174"/>
      <c r="E460" s="175"/>
      <c r="F460" s="162"/>
      <c r="G460" s="218"/>
      <c r="H460" s="22">
        <f>IF(OR(J460="",K460="",K460&lt;J460),0,NETWORKDAYS(J460,K460,fESTIVOS!$A$2:$A$53))</f>
        <v>0</v>
      </c>
      <c r="I460" s="176"/>
      <c r="J460" s="177"/>
      <c r="K460" s="177"/>
      <c r="L460" s="177"/>
      <c r="M460" s="220"/>
      <c r="N460" s="178"/>
      <c r="O460" s="176"/>
      <c r="P460" s="178"/>
      <c r="Q460" s="105"/>
      <c r="R460" s="219"/>
      <c r="S460" s="164"/>
      <c r="T460" s="164"/>
      <c r="U460" s="162"/>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row>
    <row r="461" spans="1:67" ht="29.25" hidden="1" customHeight="1">
      <c r="A461" s="216"/>
      <c r="B461" s="217"/>
      <c r="C461" s="174"/>
      <c r="D461" s="174"/>
      <c r="E461" s="175"/>
      <c r="F461" s="162"/>
      <c r="G461" s="218"/>
      <c r="H461" s="22">
        <f>IF(OR(J461="",K461="",K461&lt;J461),0,NETWORKDAYS(J461,K461,fESTIVOS!$A$2:$A$53))</f>
        <v>0</v>
      </c>
      <c r="I461" s="176"/>
      <c r="J461" s="177"/>
      <c r="K461" s="177"/>
      <c r="L461" s="177"/>
      <c r="M461" s="220"/>
      <c r="N461" s="178"/>
      <c r="O461" s="176"/>
      <c r="P461" s="178"/>
      <c r="Q461" s="105"/>
      <c r="R461" s="219"/>
      <c r="S461" s="164"/>
      <c r="T461" s="164"/>
      <c r="U461" s="162"/>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row>
    <row r="462" spans="1:67" ht="29.25" hidden="1" customHeight="1">
      <c r="A462" s="216"/>
      <c r="B462" s="217"/>
      <c r="C462" s="174"/>
      <c r="D462" s="174"/>
      <c r="E462" s="175"/>
      <c r="F462" s="162"/>
      <c r="G462" s="218"/>
      <c r="H462" s="22">
        <f>IF(OR(J462="",K462="",K462&lt;J462),0,NETWORKDAYS(J462,K462,fESTIVOS!$A$2:$A$53))</f>
        <v>0</v>
      </c>
      <c r="I462" s="176"/>
      <c r="J462" s="177"/>
      <c r="K462" s="177"/>
      <c r="L462" s="177"/>
      <c r="M462" s="220"/>
      <c r="N462" s="178"/>
      <c r="O462" s="176"/>
      <c r="P462" s="178"/>
      <c r="Q462" s="105"/>
      <c r="R462" s="219"/>
      <c r="S462" s="164"/>
      <c r="T462" s="164"/>
      <c r="U462" s="162"/>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row>
    <row r="463" spans="1:67" ht="29.25" hidden="1" customHeight="1">
      <c r="A463" s="216"/>
      <c r="B463" s="217"/>
      <c r="C463" s="174"/>
      <c r="D463" s="174"/>
      <c r="E463" s="175"/>
      <c r="F463" s="162"/>
      <c r="G463" s="218"/>
      <c r="H463" s="22">
        <f>IF(OR(J463="",K463="",K463&lt;J463),0,NETWORKDAYS(J463,K463,fESTIVOS!$A$2:$A$53))</f>
        <v>0</v>
      </c>
      <c r="I463" s="176"/>
      <c r="J463" s="177"/>
      <c r="K463" s="177"/>
      <c r="L463" s="177"/>
      <c r="M463" s="220"/>
      <c r="N463" s="178"/>
      <c r="O463" s="176"/>
      <c r="P463" s="178"/>
      <c r="Q463" s="105"/>
      <c r="R463" s="219"/>
      <c r="S463" s="164"/>
      <c r="T463" s="164"/>
      <c r="U463" s="162"/>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row>
    <row r="464" spans="1:67" ht="29.25" hidden="1" customHeight="1">
      <c r="A464" s="216"/>
      <c r="B464" s="217"/>
      <c r="C464" s="174"/>
      <c r="D464" s="174"/>
      <c r="E464" s="175"/>
      <c r="F464" s="162"/>
      <c r="G464" s="218"/>
      <c r="H464" s="22">
        <f>IF(OR(J464="",K464="",K464&lt;J464),0,NETWORKDAYS(J464,K464,fESTIVOS!$A$2:$A$53))</f>
        <v>0</v>
      </c>
      <c r="I464" s="176"/>
      <c r="J464" s="177"/>
      <c r="K464" s="177"/>
      <c r="L464" s="177"/>
      <c r="M464" s="220"/>
      <c r="N464" s="178"/>
      <c r="O464" s="176"/>
      <c r="P464" s="178"/>
      <c r="Q464" s="105"/>
      <c r="R464" s="219"/>
      <c r="S464" s="164"/>
      <c r="T464" s="164"/>
      <c r="U464" s="162"/>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row>
    <row r="465" spans="1:67" ht="29.25" hidden="1" customHeight="1">
      <c r="A465" s="216"/>
      <c r="B465" s="217"/>
      <c r="C465" s="174"/>
      <c r="D465" s="174"/>
      <c r="E465" s="175"/>
      <c r="F465" s="162"/>
      <c r="G465" s="218"/>
      <c r="H465" s="22">
        <f>IF(OR(J465="",K465="",K465&lt;J465),0,NETWORKDAYS(J465,K465,fESTIVOS!$A$2:$A$53))</f>
        <v>0</v>
      </c>
      <c r="I465" s="176"/>
      <c r="J465" s="177"/>
      <c r="K465" s="177"/>
      <c r="L465" s="177"/>
      <c r="M465" s="220"/>
      <c r="N465" s="178"/>
      <c r="O465" s="176"/>
      <c r="P465" s="178"/>
      <c r="Q465" s="105"/>
      <c r="R465" s="219"/>
      <c r="S465" s="164"/>
      <c r="T465" s="164"/>
      <c r="U465" s="162"/>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row>
    <row r="466" spans="1:67" ht="29.25" hidden="1" customHeight="1">
      <c r="A466" s="216"/>
      <c r="B466" s="217"/>
      <c r="C466" s="174"/>
      <c r="D466" s="174"/>
      <c r="E466" s="175"/>
      <c r="F466" s="162"/>
      <c r="G466" s="218"/>
      <c r="H466" s="22">
        <f>IF(OR(J466="",K466="",K466&lt;J466),0,NETWORKDAYS(J466,K466,fESTIVOS!$A$2:$A$53))</f>
        <v>0</v>
      </c>
      <c r="I466" s="176"/>
      <c r="J466" s="177"/>
      <c r="K466" s="177"/>
      <c r="L466" s="177"/>
      <c r="M466" s="220"/>
      <c r="N466" s="178"/>
      <c r="O466" s="176"/>
      <c r="P466" s="178"/>
      <c r="Q466" s="105"/>
      <c r="R466" s="219"/>
      <c r="S466" s="164"/>
      <c r="T466" s="164"/>
      <c r="U466" s="162"/>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row>
    <row r="467" spans="1:67" ht="29.25" hidden="1" customHeight="1">
      <c r="A467" s="216"/>
      <c r="B467" s="217"/>
      <c r="C467" s="174"/>
      <c r="D467" s="174"/>
      <c r="E467" s="175"/>
      <c r="F467" s="162"/>
      <c r="G467" s="218"/>
      <c r="H467" s="22">
        <f>IF(OR(J467="",K467="",K467&lt;J467),0,NETWORKDAYS(J467,K467,fESTIVOS!$A$2:$A$53))</f>
        <v>0</v>
      </c>
      <c r="I467" s="176"/>
      <c r="J467" s="177"/>
      <c r="K467" s="177"/>
      <c r="L467" s="177"/>
      <c r="M467" s="220"/>
      <c r="N467" s="178"/>
      <c r="O467" s="176"/>
      <c r="P467" s="178"/>
      <c r="Q467" s="105"/>
      <c r="R467" s="219"/>
      <c r="S467" s="164"/>
      <c r="T467" s="164"/>
      <c r="U467" s="162"/>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row>
    <row r="468" spans="1:67" ht="29.25" hidden="1" customHeight="1">
      <c r="A468" s="216"/>
      <c r="B468" s="217"/>
      <c r="C468" s="174"/>
      <c r="D468" s="174"/>
      <c r="E468" s="175"/>
      <c r="F468" s="162"/>
      <c r="G468" s="218"/>
      <c r="H468" s="22">
        <f>IF(OR(J468="",K468="",K468&lt;J468),0,NETWORKDAYS(J468,K468,fESTIVOS!$A$2:$A$53))</f>
        <v>0</v>
      </c>
      <c r="I468" s="176"/>
      <c r="J468" s="177"/>
      <c r="K468" s="177"/>
      <c r="L468" s="177"/>
      <c r="M468" s="220"/>
      <c r="N468" s="178"/>
      <c r="O468" s="176"/>
      <c r="P468" s="178"/>
      <c r="Q468" s="105"/>
      <c r="R468" s="219"/>
      <c r="S468" s="164"/>
      <c r="T468" s="164"/>
      <c r="U468" s="162"/>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row>
    <row r="469" spans="1:67" ht="29.25" hidden="1" customHeight="1">
      <c r="A469" s="216"/>
      <c r="B469" s="217"/>
      <c r="C469" s="174"/>
      <c r="D469" s="174"/>
      <c r="E469" s="175"/>
      <c r="F469" s="162"/>
      <c r="G469" s="218"/>
      <c r="H469" s="22">
        <f>IF(OR(J469="",K469="",K469&lt;J469),0,NETWORKDAYS(J469,K469,fESTIVOS!$A$2:$A$53))</f>
        <v>0</v>
      </c>
      <c r="I469" s="176"/>
      <c r="J469" s="177"/>
      <c r="K469" s="177"/>
      <c r="L469" s="177"/>
      <c r="M469" s="220"/>
      <c r="N469" s="178"/>
      <c r="O469" s="176"/>
      <c r="P469" s="178"/>
      <c r="Q469" s="105"/>
      <c r="R469" s="219"/>
      <c r="S469" s="164"/>
      <c r="T469" s="164"/>
      <c r="U469" s="162"/>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row>
    <row r="470" spans="1:67" ht="29.25" hidden="1" customHeight="1">
      <c r="A470" s="216"/>
      <c r="B470" s="217"/>
      <c r="C470" s="174"/>
      <c r="D470" s="174"/>
      <c r="E470" s="175"/>
      <c r="F470" s="162"/>
      <c r="G470" s="218"/>
      <c r="H470" s="22">
        <f>IF(OR(J470="",K470="",K470&lt;J470),0,NETWORKDAYS(J470,K470,fESTIVOS!$A$2:$A$53))</f>
        <v>0</v>
      </c>
      <c r="I470" s="176"/>
      <c r="J470" s="177"/>
      <c r="K470" s="177"/>
      <c r="L470" s="177"/>
      <c r="M470" s="220"/>
      <c r="N470" s="178"/>
      <c r="O470" s="176"/>
      <c r="P470" s="178"/>
      <c r="Q470" s="105"/>
      <c r="R470" s="219"/>
      <c r="S470" s="164"/>
      <c r="T470" s="164"/>
      <c r="U470" s="162"/>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row>
    <row r="471" spans="1:67" ht="29.25" hidden="1" customHeight="1">
      <c r="A471" s="216"/>
      <c r="B471" s="217"/>
      <c r="C471" s="174"/>
      <c r="D471" s="174"/>
      <c r="E471" s="175"/>
      <c r="F471" s="162"/>
      <c r="G471" s="218"/>
      <c r="H471" s="22">
        <f>IF(OR(J471="",K471="",K471&lt;J471),0,NETWORKDAYS(J471,K471,fESTIVOS!$A$2:$A$53))</f>
        <v>0</v>
      </c>
      <c r="I471" s="176"/>
      <c r="J471" s="177"/>
      <c r="K471" s="177"/>
      <c r="L471" s="177"/>
      <c r="M471" s="220"/>
      <c r="N471" s="178"/>
      <c r="O471" s="176"/>
      <c r="P471" s="178"/>
      <c r="Q471" s="105"/>
      <c r="R471" s="219"/>
      <c r="S471" s="164"/>
      <c r="T471" s="164"/>
      <c r="U471" s="162"/>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row>
    <row r="472" spans="1:67" ht="29.25" hidden="1" customHeight="1">
      <c r="A472" s="216"/>
      <c r="B472" s="217"/>
      <c r="C472" s="174"/>
      <c r="D472" s="174"/>
      <c r="E472" s="175"/>
      <c r="F472" s="162"/>
      <c r="G472" s="218"/>
      <c r="H472" s="22">
        <f>IF(OR(J472="",K472="",K472&lt;J472),0,NETWORKDAYS(J472,K472,fESTIVOS!$A$2:$A$53))</f>
        <v>0</v>
      </c>
      <c r="I472" s="176"/>
      <c r="J472" s="177"/>
      <c r="K472" s="177"/>
      <c r="L472" s="177"/>
      <c r="M472" s="220"/>
      <c r="N472" s="178"/>
      <c r="O472" s="176"/>
      <c r="P472" s="178"/>
      <c r="Q472" s="105"/>
      <c r="R472" s="219"/>
      <c r="S472" s="164"/>
      <c r="T472" s="164"/>
      <c r="U472" s="162"/>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row>
    <row r="473" spans="1:67" ht="29.25" hidden="1" customHeight="1">
      <c r="A473" s="216"/>
      <c r="B473" s="217"/>
      <c r="C473" s="174"/>
      <c r="D473" s="174"/>
      <c r="E473" s="175"/>
      <c r="F473" s="162"/>
      <c r="G473" s="218"/>
      <c r="H473" s="22">
        <f>IF(OR(J473="",K473="",K473&lt;J473),0,NETWORKDAYS(J473,K473,fESTIVOS!$A$2:$A$53))</f>
        <v>0</v>
      </c>
      <c r="I473" s="176"/>
      <c r="J473" s="177"/>
      <c r="K473" s="177"/>
      <c r="L473" s="177"/>
      <c r="M473" s="220"/>
      <c r="N473" s="178"/>
      <c r="O473" s="176"/>
      <c r="P473" s="178"/>
      <c r="Q473" s="105"/>
      <c r="R473" s="219"/>
      <c r="S473" s="164"/>
      <c r="T473" s="164"/>
      <c r="U473" s="162"/>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row>
    <row r="474" spans="1:67" ht="29.25" hidden="1" customHeight="1">
      <c r="A474" s="216"/>
      <c r="B474" s="217"/>
      <c r="C474" s="174"/>
      <c r="D474" s="174"/>
      <c r="E474" s="175"/>
      <c r="F474" s="162"/>
      <c r="G474" s="218"/>
      <c r="H474" s="22">
        <f>IF(OR(J474="",K474="",K474&lt;J474),0,NETWORKDAYS(J474,K474,fESTIVOS!$A$2:$A$53))</f>
        <v>0</v>
      </c>
      <c r="I474" s="176"/>
      <c r="J474" s="177"/>
      <c r="K474" s="177"/>
      <c r="L474" s="177"/>
      <c r="M474" s="220"/>
      <c r="N474" s="178"/>
      <c r="O474" s="176"/>
      <c r="P474" s="178"/>
      <c r="Q474" s="105"/>
      <c r="R474" s="219"/>
      <c r="S474" s="164"/>
      <c r="T474" s="164"/>
      <c r="U474" s="162"/>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row>
    <row r="475" spans="1:67" ht="29.25" hidden="1" customHeight="1">
      <c r="A475" s="216"/>
      <c r="B475" s="217"/>
      <c r="C475" s="174"/>
      <c r="D475" s="174"/>
      <c r="E475" s="175"/>
      <c r="F475" s="162"/>
      <c r="G475" s="218"/>
      <c r="H475" s="22">
        <f>IF(OR(J475="",K475="",K475&lt;J475),0,NETWORKDAYS(J475,K475,fESTIVOS!$A$2:$A$53))</f>
        <v>0</v>
      </c>
      <c r="I475" s="176"/>
      <c r="J475" s="177"/>
      <c r="K475" s="177"/>
      <c r="L475" s="177"/>
      <c r="M475" s="220"/>
      <c r="N475" s="178"/>
      <c r="O475" s="176"/>
      <c r="P475" s="178"/>
      <c r="Q475" s="105"/>
      <c r="R475" s="219"/>
      <c r="S475" s="164"/>
      <c r="T475" s="164"/>
      <c r="U475" s="162"/>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row>
    <row r="476" spans="1:67" ht="29.25" hidden="1" customHeight="1">
      <c r="A476" s="216"/>
      <c r="B476" s="217"/>
      <c r="C476" s="174"/>
      <c r="D476" s="174"/>
      <c r="E476" s="175"/>
      <c r="F476" s="162"/>
      <c r="G476" s="218"/>
      <c r="H476" s="22">
        <f>IF(OR(J476="",K476="",K476&lt;J476),0,NETWORKDAYS(J476,K476,fESTIVOS!$A$2:$A$53))</f>
        <v>0</v>
      </c>
      <c r="I476" s="176"/>
      <c r="J476" s="177"/>
      <c r="K476" s="177"/>
      <c r="L476" s="177"/>
      <c r="M476" s="220"/>
      <c r="N476" s="178"/>
      <c r="O476" s="176"/>
      <c r="P476" s="178"/>
      <c r="Q476" s="105"/>
      <c r="R476" s="219"/>
      <c r="S476" s="164"/>
      <c r="T476" s="164"/>
      <c r="U476" s="162"/>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row>
    <row r="477" spans="1:67" ht="29.25" hidden="1" customHeight="1">
      <c r="A477" s="216"/>
      <c r="B477" s="217"/>
      <c r="C477" s="174"/>
      <c r="D477" s="174"/>
      <c r="E477" s="175"/>
      <c r="F477" s="162"/>
      <c r="G477" s="218"/>
      <c r="H477" s="22">
        <f>IF(OR(J477="",K477="",K477&lt;J477),0,NETWORKDAYS(J477,K477,fESTIVOS!$A$2:$A$53))</f>
        <v>0</v>
      </c>
      <c r="I477" s="176"/>
      <c r="J477" s="177"/>
      <c r="K477" s="177"/>
      <c r="L477" s="177"/>
      <c r="M477" s="220"/>
      <c r="N477" s="178"/>
      <c r="O477" s="176"/>
      <c r="P477" s="178"/>
      <c r="Q477" s="105"/>
      <c r="R477" s="219"/>
      <c r="S477" s="164"/>
      <c r="T477" s="164"/>
      <c r="U477" s="162"/>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row>
    <row r="478" spans="1:67" ht="29.25" hidden="1" customHeight="1">
      <c r="A478" s="216"/>
      <c r="B478" s="217"/>
      <c r="C478" s="174"/>
      <c r="D478" s="174"/>
      <c r="E478" s="175"/>
      <c r="F478" s="162"/>
      <c r="G478" s="218"/>
      <c r="H478" s="22">
        <f>IF(OR(J478="",K478="",K478&lt;J478),0,NETWORKDAYS(J478,K478,fESTIVOS!$A$2:$A$53))</f>
        <v>0</v>
      </c>
      <c r="I478" s="176"/>
      <c r="J478" s="177"/>
      <c r="K478" s="177"/>
      <c r="L478" s="177"/>
      <c r="M478" s="220"/>
      <c r="N478" s="178"/>
      <c r="O478" s="176"/>
      <c r="P478" s="178"/>
      <c r="Q478" s="105"/>
      <c r="R478" s="219"/>
      <c r="S478" s="164"/>
      <c r="T478" s="164"/>
      <c r="U478" s="162"/>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row>
    <row r="479" spans="1:67" ht="29.25" hidden="1" customHeight="1">
      <c r="A479" s="216"/>
      <c r="B479" s="217"/>
      <c r="C479" s="174"/>
      <c r="D479" s="174"/>
      <c r="E479" s="175"/>
      <c r="F479" s="162"/>
      <c r="G479" s="218"/>
      <c r="H479" s="22">
        <f>IF(OR(J479="",K479="",K479&lt;J479),0,NETWORKDAYS(J479,K479,fESTIVOS!$A$2:$A$53))</f>
        <v>0</v>
      </c>
      <c r="I479" s="176"/>
      <c r="J479" s="177"/>
      <c r="K479" s="177"/>
      <c r="L479" s="177"/>
      <c r="M479" s="220"/>
      <c r="N479" s="178"/>
      <c r="O479" s="176"/>
      <c r="P479" s="178"/>
      <c r="Q479" s="105"/>
      <c r="R479" s="219"/>
      <c r="S479" s="164"/>
      <c r="T479" s="164"/>
      <c r="U479" s="162"/>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row>
    <row r="480" spans="1:67" ht="29.25" hidden="1" customHeight="1">
      <c r="A480" s="216"/>
      <c r="B480" s="217"/>
      <c r="C480" s="174"/>
      <c r="D480" s="174"/>
      <c r="E480" s="175"/>
      <c r="F480" s="162"/>
      <c r="G480" s="218"/>
      <c r="H480" s="22">
        <f>IF(OR(J480="",K480="",K480&lt;J480),0,NETWORKDAYS(J480,K480,fESTIVOS!$A$2:$A$53))</f>
        <v>0</v>
      </c>
      <c r="I480" s="176"/>
      <c r="J480" s="177"/>
      <c r="K480" s="177"/>
      <c r="L480" s="177"/>
      <c r="M480" s="220"/>
      <c r="N480" s="178"/>
      <c r="O480" s="176"/>
      <c r="P480" s="178"/>
      <c r="Q480" s="105"/>
      <c r="R480" s="219"/>
      <c r="S480" s="164"/>
      <c r="T480" s="164"/>
      <c r="U480" s="162"/>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row>
    <row r="481" spans="1:67" ht="29.25" hidden="1" customHeight="1">
      <c r="A481" s="216"/>
      <c r="B481" s="217"/>
      <c r="C481" s="174"/>
      <c r="D481" s="174"/>
      <c r="E481" s="175"/>
      <c r="F481" s="162"/>
      <c r="G481" s="218"/>
      <c r="H481" s="22">
        <f>IF(OR(J481="",K481="",K481&lt;J481),0,NETWORKDAYS(J481,K481,fESTIVOS!$A$2:$A$53))</f>
        <v>0</v>
      </c>
      <c r="I481" s="176"/>
      <c r="J481" s="177"/>
      <c r="K481" s="177"/>
      <c r="L481" s="177"/>
      <c r="M481" s="220"/>
      <c r="N481" s="178"/>
      <c r="O481" s="176"/>
      <c r="P481" s="178"/>
      <c r="Q481" s="105"/>
      <c r="R481" s="219"/>
      <c r="S481" s="164"/>
      <c r="T481" s="164"/>
      <c r="U481" s="162"/>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row>
    <row r="482" spans="1:67" ht="29.25" hidden="1" customHeight="1">
      <c r="A482" s="216"/>
      <c r="B482" s="217"/>
      <c r="C482" s="174"/>
      <c r="D482" s="174"/>
      <c r="E482" s="175"/>
      <c r="F482" s="162"/>
      <c r="G482" s="218"/>
      <c r="H482" s="22">
        <f>IF(OR(J482="",K482="",K482&lt;J482),0,NETWORKDAYS(J482,K482,fESTIVOS!$A$2:$A$53))</f>
        <v>0</v>
      </c>
      <c r="I482" s="176"/>
      <c r="J482" s="177"/>
      <c r="K482" s="177"/>
      <c r="L482" s="177"/>
      <c r="M482" s="220"/>
      <c r="N482" s="178"/>
      <c r="O482" s="176"/>
      <c r="P482" s="178"/>
      <c r="Q482" s="105"/>
      <c r="R482" s="219"/>
      <c r="S482" s="164"/>
      <c r="T482" s="164"/>
      <c r="U482" s="162"/>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row>
    <row r="483" spans="1:67" ht="29.25" hidden="1" customHeight="1">
      <c r="A483" s="216"/>
      <c r="B483" s="217"/>
      <c r="C483" s="174"/>
      <c r="D483" s="174"/>
      <c r="E483" s="175"/>
      <c r="F483" s="162"/>
      <c r="G483" s="218"/>
      <c r="H483" s="22">
        <f>IF(OR(J483="",K483="",K483&lt;J483),0,NETWORKDAYS(J483,K483,fESTIVOS!$A$2:$A$53))</f>
        <v>0</v>
      </c>
      <c r="I483" s="176"/>
      <c r="J483" s="177"/>
      <c r="K483" s="177"/>
      <c r="L483" s="177"/>
      <c r="M483" s="220"/>
      <c r="N483" s="178"/>
      <c r="O483" s="176"/>
      <c r="P483" s="178"/>
      <c r="Q483" s="105"/>
      <c r="R483" s="219"/>
      <c r="S483" s="164"/>
      <c r="T483" s="164"/>
      <c r="U483" s="162"/>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row>
    <row r="484" spans="1:67" ht="29.25" hidden="1" customHeight="1">
      <c r="A484" s="216"/>
      <c r="B484" s="217"/>
      <c r="C484" s="174"/>
      <c r="D484" s="174"/>
      <c r="E484" s="175"/>
      <c r="F484" s="162"/>
      <c r="G484" s="218"/>
      <c r="H484" s="22">
        <f>IF(OR(J484="",K484="",K484&lt;J484),0,NETWORKDAYS(J484,K484,fESTIVOS!$A$2:$A$53))</f>
        <v>0</v>
      </c>
      <c r="I484" s="176"/>
      <c r="J484" s="177"/>
      <c r="K484" s="177"/>
      <c r="L484" s="177"/>
      <c r="M484" s="220"/>
      <c r="N484" s="178"/>
      <c r="O484" s="176"/>
      <c r="P484" s="178"/>
      <c r="Q484" s="105"/>
      <c r="R484" s="219"/>
      <c r="S484" s="164"/>
      <c r="T484" s="164"/>
      <c r="U484" s="162"/>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row>
    <row r="485" spans="1:67" ht="29.25" hidden="1" customHeight="1">
      <c r="A485" s="216"/>
      <c r="B485" s="217"/>
      <c r="C485" s="174"/>
      <c r="D485" s="174"/>
      <c r="E485" s="175"/>
      <c r="F485" s="162"/>
      <c r="G485" s="218"/>
      <c r="H485" s="22">
        <f>IF(OR(J485="",K485="",K485&lt;J485),0,NETWORKDAYS(J485,K485,fESTIVOS!$A$2:$A$53))</f>
        <v>0</v>
      </c>
      <c r="I485" s="176"/>
      <c r="J485" s="177"/>
      <c r="K485" s="177"/>
      <c r="L485" s="177"/>
      <c r="M485" s="220"/>
      <c r="N485" s="178"/>
      <c r="O485" s="176"/>
      <c r="P485" s="178"/>
      <c r="Q485" s="105"/>
      <c r="R485" s="219"/>
      <c r="S485" s="164"/>
      <c r="T485" s="164"/>
      <c r="U485" s="162"/>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row>
    <row r="486" spans="1:67" ht="29.25" hidden="1" customHeight="1">
      <c r="A486" s="216"/>
      <c r="B486" s="217"/>
      <c r="C486" s="174"/>
      <c r="D486" s="174"/>
      <c r="E486" s="175"/>
      <c r="F486" s="162"/>
      <c r="G486" s="218"/>
      <c r="H486" s="22">
        <f>IF(OR(J486="",K486="",K486&lt;J486),0,NETWORKDAYS(J486,K486,fESTIVOS!$A$2:$A$53))</f>
        <v>0</v>
      </c>
      <c r="I486" s="176"/>
      <c r="J486" s="177"/>
      <c r="K486" s="177"/>
      <c r="L486" s="177"/>
      <c r="M486" s="220"/>
      <c r="N486" s="178"/>
      <c r="O486" s="176"/>
      <c r="P486" s="178"/>
      <c r="Q486" s="105"/>
      <c r="R486" s="219"/>
      <c r="S486" s="164"/>
      <c r="T486" s="164"/>
      <c r="U486" s="162"/>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row>
    <row r="487" spans="1:67" ht="29.25" hidden="1" customHeight="1">
      <c r="A487" s="216"/>
      <c r="B487" s="217"/>
      <c r="C487" s="174"/>
      <c r="D487" s="174"/>
      <c r="E487" s="175"/>
      <c r="F487" s="162"/>
      <c r="G487" s="218"/>
      <c r="H487" s="22">
        <f>IF(OR(J487="",K487="",K487&lt;J487),0,NETWORKDAYS(J487,K487,fESTIVOS!$A$2:$A$53))</f>
        <v>0</v>
      </c>
      <c r="I487" s="176"/>
      <c r="J487" s="177"/>
      <c r="K487" s="177"/>
      <c r="L487" s="177"/>
      <c r="M487" s="220"/>
      <c r="N487" s="178"/>
      <c r="O487" s="176"/>
      <c r="P487" s="178"/>
      <c r="Q487" s="105"/>
      <c r="R487" s="219"/>
      <c r="S487" s="164"/>
      <c r="T487" s="164"/>
      <c r="U487" s="162"/>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row>
    <row r="488" spans="1:67" ht="29.25" hidden="1" customHeight="1">
      <c r="A488" s="216"/>
      <c r="B488" s="217"/>
      <c r="C488" s="174"/>
      <c r="D488" s="174"/>
      <c r="E488" s="175"/>
      <c r="F488" s="162"/>
      <c r="G488" s="218"/>
      <c r="H488" s="22">
        <f>IF(OR(J488="",K488="",K488&lt;J488),0,NETWORKDAYS(J488,K488,fESTIVOS!$A$2:$A$53))</f>
        <v>0</v>
      </c>
      <c r="I488" s="176"/>
      <c r="J488" s="177"/>
      <c r="K488" s="177"/>
      <c r="L488" s="177"/>
      <c r="M488" s="220"/>
      <c r="N488" s="178"/>
      <c r="O488" s="176"/>
      <c r="P488" s="178"/>
      <c r="Q488" s="105"/>
      <c r="R488" s="219"/>
      <c r="S488" s="164"/>
      <c r="T488" s="164"/>
      <c r="U488" s="162"/>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row>
    <row r="489" spans="1:67" ht="29.25" hidden="1" customHeight="1">
      <c r="A489" s="216"/>
      <c r="B489" s="217"/>
      <c r="C489" s="174"/>
      <c r="D489" s="174"/>
      <c r="E489" s="175"/>
      <c r="F489" s="162"/>
      <c r="G489" s="218"/>
      <c r="H489" s="22">
        <f>IF(OR(J489="",K489="",K489&lt;J489),0,NETWORKDAYS(J489,K489,fESTIVOS!$A$2:$A$53))</f>
        <v>0</v>
      </c>
      <c r="I489" s="176"/>
      <c r="J489" s="177"/>
      <c r="K489" s="177"/>
      <c r="L489" s="177"/>
      <c r="M489" s="220"/>
      <c r="N489" s="178"/>
      <c r="O489" s="176"/>
      <c r="P489" s="178"/>
      <c r="Q489" s="105"/>
      <c r="R489" s="219"/>
      <c r="S489" s="164"/>
      <c r="T489" s="164"/>
      <c r="U489" s="162"/>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row>
    <row r="490" spans="1:67" ht="29.25" hidden="1" customHeight="1">
      <c r="A490" s="216"/>
      <c r="B490" s="217"/>
      <c r="C490" s="174"/>
      <c r="D490" s="174"/>
      <c r="E490" s="175"/>
      <c r="F490" s="162"/>
      <c r="G490" s="218"/>
      <c r="H490" s="22">
        <f>IF(OR(J490="",K490="",K490&lt;J490),0,NETWORKDAYS(J490,K490,fESTIVOS!$A$2:$A$53))</f>
        <v>0</v>
      </c>
      <c r="I490" s="176"/>
      <c r="J490" s="177"/>
      <c r="K490" s="177"/>
      <c r="L490" s="177"/>
      <c r="M490" s="220"/>
      <c r="N490" s="178"/>
      <c r="O490" s="176"/>
      <c r="P490" s="178"/>
      <c r="Q490" s="105"/>
      <c r="R490" s="219"/>
      <c r="S490" s="164"/>
      <c r="T490" s="164"/>
      <c r="U490" s="162"/>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row>
    <row r="491" spans="1:67" ht="29.25" hidden="1" customHeight="1">
      <c r="A491" s="216"/>
      <c r="B491" s="217"/>
      <c r="C491" s="174"/>
      <c r="D491" s="174"/>
      <c r="E491" s="175"/>
      <c r="F491" s="162"/>
      <c r="G491" s="218"/>
      <c r="H491" s="22">
        <f>IF(OR(J491="",K491="",K491&lt;J491),0,NETWORKDAYS(J491,K491,fESTIVOS!$A$2:$A$53))</f>
        <v>0</v>
      </c>
      <c r="I491" s="176"/>
      <c r="J491" s="177"/>
      <c r="K491" s="177"/>
      <c r="L491" s="177"/>
      <c r="M491" s="220"/>
      <c r="N491" s="178"/>
      <c r="O491" s="176"/>
      <c r="P491" s="178"/>
      <c r="Q491" s="105"/>
      <c r="R491" s="219"/>
      <c r="S491" s="164"/>
      <c r="T491" s="164"/>
      <c r="U491" s="162"/>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row>
    <row r="492" spans="1:67" ht="29.25" hidden="1" customHeight="1">
      <c r="A492" s="216"/>
      <c r="B492" s="217"/>
      <c r="C492" s="174"/>
      <c r="D492" s="174"/>
      <c r="E492" s="175"/>
      <c r="F492" s="162"/>
      <c r="G492" s="218"/>
      <c r="H492" s="22">
        <f>IF(OR(J492="",K492="",K492&lt;J492),0,NETWORKDAYS(J492,K492,fESTIVOS!$A$2:$A$53))</f>
        <v>0</v>
      </c>
      <c r="I492" s="176"/>
      <c r="J492" s="177"/>
      <c r="K492" s="177"/>
      <c r="L492" s="177"/>
      <c r="M492" s="220"/>
      <c r="N492" s="178"/>
      <c r="O492" s="176"/>
      <c r="P492" s="178"/>
      <c r="Q492" s="105"/>
      <c r="R492" s="219"/>
      <c r="S492" s="164"/>
      <c r="T492" s="164"/>
      <c r="U492" s="162"/>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row>
    <row r="493" spans="1:67" ht="29.25" hidden="1" customHeight="1">
      <c r="A493" s="216"/>
      <c r="B493" s="217"/>
      <c r="C493" s="174"/>
      <c r="D493" s="174"/>
      <c r="E493" s="175"/>
      <c r="F493" s="162"/>
      <c r="G493" s="218"/>
      <c r="H493" s="22">
        <f>IF(OR(J493="",K493="",K493&lt;J493),0,NETWORKDAYS(J493,K493,fESTIVOS!$A$2:$A$53))</f>
        <v>0</v>
      </c>
      <c r="I493" s="176"/>
      <c r="J493" s="177"/>
      <c r="K493" s="177"/>
      <c r="L493" s="177"/>
      <c r="M493" s="220"/>
      <c r="N493" s="178"/>
      <c r="O493" s="176"/>
      <c r="P493" s="178"/>
      <c r="Q493" s="105"/>
      <c r="R493" s="219"/>
      <c r="S493" s="164"/>
      <c r="T493" s="164"/>
      <c r="U493" s="162"/>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row>
    <row r="494" spans="1:67" ht="29.25" hidden="1" customHeight="1">
      <c r="A494" s="216"/>
      <c r="B494" s="217"/>
      <c r="C494" s="174"/>
      <c r="D494" s="174"/>
      <c r="E494" s="175"/>
      <c r="F494" s="162"/>
      <c r="G494" s="218"/>
      <c r="H494" s="22">
        <f>IF(OR(J494="",K494="",K494&lt;J494),0,NETWORKDAYS(J494,K494,fESTIVOS!$A$2:$A$53))</f>
        <v>0</v>
      </c>
      <c r="I494" s="176"/>
      <c r="J494" s="177"/>
      <c r="K494" s="177"/>
      <c r="L494" s="177"/>
      <c r="M494" s="220"/>
      <c r="N494" s="178"/>
      <c r="O494" s="176"/>
      <c r="P494" s="178"/>
      <c r="Q494" s="105"/>
      <c r="R494" s="219"/>
      <c r="S494" s="164"/>
      <c r="T494" s="164"/>
      <c r="U494" s="162"/>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row>
    <row r="495" spans="1:67" ht="29.25" hidden="1" customHeight="1">
      <c r="A495" s="216"/>
      <c r="B495" s="217"/>
      <c r="C495" s="174"/>
      <c r="D495" s="174"/>
      <c r="E495" s="175"/>
      <c r="F495" s="162"/>
      <c r="G495" s="218"/>
      <c r="H495" s="22">
        <f>IF(OR(J495="",K495="",K495&lt;J495),0,NETWORKDAYS(J495,K495,fESTIVOS!$A$2:$A$53))</f>
        <v>0</v>
      </c>
      <c r="I495" s="176"/>
      <c r="J495" s="177"/>
      <c r="K495" s="177"/>
      <c r="L495" s="177"/>
      <c r="M495" s="220"/>
      <c r="N495" s="178"/>
      <c r="O495" s="176"/>
      <c r="P495" s="178"/>
      <c r="Q495" s="105"/>
      <c r="R495" s="219"/>
      <c r="S495" s="164"/>
      <c r="T495" s="164"/>
      <c r="U495" s="162"/>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row>
    <row r="496" spans="1:67" ht="29.25" hidden="1" customHeight="1">
      <c r="A496" s="216"/>
      <c r="B496" s="217"/>
      <c r="C496" s="174"/>
      <c r="D496" s="174"/>
      <c r="E496" s="175"/>
      <c r="F496" s="162"/>
      <c r="G496" s="218"/>
      <c r="H496" s="22">
        <f>IF(OR(J496="",K496="",K496&lt;J496),0,NETWORKDAYS(J496,K496,fESTIVOS!$A$2:$A$53))</f>
        <v>0</v>
      </c>
      <c r="I496" s="176"/>
      <c r="J496" s="177"/>
      <c r="K496" s="177"/>
      <c r="L496" s="177"/>
      <c r="M496" s="220"/>
      <c r="N496" s="178"/>
      <c r="O496" s="176"/>
      <c r="P496" s="178"/>
      <c r="Q496" s="105"/>
      <c r="R496" s="219"/>
      <c r="S496" s="164"/>
      <c r="T496" s="164"/>
      <c r="U496" s="162"/>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row>
    <row r="497" spans="1:67" ht="29.25" hidden="1" customHeight="1">
      <c r="A497" s="216"/>
      <c r="B497" s="217"/>
      <c r="C497" s="174"/>
      <c r="D497" s="174"/>
      <c r="E497" s="175"/>
      <c r="F497" s="162"/>
      <c r="G497" s="218"/>
      <c r="H497" s="22">
        <f>IF(OR(J497="",K497="",K497&lt;J497),0,NETWORKDAYS(J497,K497,fESTIVOS!$A$2:$A$53))</f>
        <v>0</v>
      </c>
      <c r="I497" s="176"/>
      <c r="J497" s="177"/>
      <c r="K497" s="177"/>
      <c r="L497" s="177"/>
      <c r="M497" s="220"/>
      <c r="N497" s="178"/>
      <c r="O497" s="176"/>
      <c r="P497" s="178"/>
      <c r="Q497" s="105"/>
      <c r="R497" s="219"/>
      <c r="S497" s="164"/>
      <c r="T497" s="164"/>
      <c r="U497" s="162"/>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row>
    <row r="498" spans="1:67" ht="29.25" hidden="1" customHeight="1">
      <c r="A498" s="216"/>
      <c r="B498" s="217"/>
      <c r="C498" s="174"/>
      <c r="D498" s="174"/>
      <c r="E498" s="175"/>
      <c r="F498" s="162"/>
      <c r="G498" s="218"/>
      <c r="H498" s="22">
        <f>IF(OR(J498="",K498="",K498&lt;J498),0,NETWORKDAYS(J498,K498,fESTIVOS!$A$2:$A$53))</f>
        <v>0</v>
      </c>
      <c r="I498" s="176"/>
      <c r="J498" s="177"/>
      <c r="K498" s="177"/>
      <c r="L498" s="177"/>
      <c r="M498" s="220"/>
      <c r="N498" s="178"/>
      <c r="O498" s="176"/>
      <c r="P498" s="178"/>
      <c r="Q498" s="105"/>
      <c r="R498" s="219"/>
      <c r="S498" s="164"/>
      <c r="T498" s="164"/>
      <c r="U498" s="162"/>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row>
    <row r="499" spans="1:67" ht="29.25" hidden="1" customHeight="1">
      <c r="A499" s="216"/>
      <c r="B499" s="217"/>
      <c r="C499" s="174"/>
      <c r="D499" s="174"/>
      <c r="E499" s="175"/>
      <c r="F499" s="162"/>
      <c r="G499" s="218"/>
      <c r="H499" s="22">
        <f>IF(OR(J499="",K499="",K499&lt;J499),0,NETWORKDAYS(J499,K499,fESTIVOS!$A$2:$A$53))</f>
        <v>0</v>
      </c>
      <c r="I499" s="176"/>
      <c r="J499" s="177"/>
      <c r="K499" s="177"/>
      <c r="L499" s="177"/>
      <c r="M499" s="220"/>
      <c r="N499" s="178"/>
      <c r="O499" s="176"/>
      <c r="P499" s="178"/>
      <c r="Q499" s="105"/>
      <c r="R499" s="219"/>
      <c r="S499" s="164"/>
      <c r="T499" s="164"/>
      <c r="U499" s="162"/>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row>
    <row r="500" spans="1:67" ht="29.25" hidden="1" customHeight="1">
      <c r="A500" s="216"/>
      <c r="B500" s="217"/>
      <c r="C500" s="174"/>
      <c r="D500" s="174"/>
      <c r="E500" s="175"/>
      <c r="F500" s="162"/>
      <c r="G500" s="218"/>
      <c r="H500" s="22">
        <f>IF(OR(J500="",K500="",K500&lt;J500),0,NETWORKDAYS(J500,K500,fESTIVOS!$A$2:$A$53))</f>
        <v>0</v>
      </c>
      <c r="I500" s="176"/>
      <c r="J500" s="177"/>
      <c r="K500" s="177"/>
      <c r="L500" s="177"/>
      <c r="M500" s="220"/>
      <c r="N500" s="178"/>
      <c r="O500" s="176"/>
      <c r="P500" s="178"/>
      <c r="Q500" s="105"/>
      <c r="R500" s="219"/>
      <c r="S500" s="164"/>
      <c r="T500" s="164"/>
      <c r="U500" s="162"/>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row>
    <row r="501" spans="1:67" ht="29.25" hidden="1" customHeight="1">
      <c r="A501" s="216"/>
      <c r="B501" s="217"/>
      <c r="C501" s="174"/>
      <c r="D501" s="174"/>
      <c r="E501" s="175"/>
      <c r="F501" s="162"/>
      <c r="G501" s="218"/>
      <c r="H501" s="22">
        <f>IF(OR(J501="",K501="",K501&lt;J501),0,NETWORKDAYS(J501,K501,fESTIVOS!$A$2:$A$53))</f>
        <v>0</v>
      </c>
      <c r="I501" s="176"/>
      <c r="J501" s="177"/>
      <c r="K501" s="177"/>
      <c r="L501" s="177"/>
      <c r="M501" s="220"/>
      <c r="N501" s="178"/>
      <c r="O501" s="176"/>
      <c r="P501" s="178"/>
      <c r="Q501" s="105"/>
      <c r="R501" s="219"/>
      <c r="S501" s="164"/>
      <c r="T501" s="164"/>
      <c r="U501" s="162"/>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row>
    <row r="502" spans="1:67" ht="29.25" hidden="1" customHeight="1">
      <c r="A502" s="216"/>
      <c r="B502" s="217"/>
      <c r="C502" s="174"/>
      <c r="D502" s="174"/>
      <c r="E502" s="175"/>
      <c r="F502" s="162"/>
      <c r="G502" s="218"/>
      <c r="H502" s="22">
        <f>IF(OR(J502="",K502="",K502&lt;J502),0,NETWORKDAYS(J502,K502,fESTIVOS!$A$2:$A$53))</f>
        <v>0</v>
      </c>
      <c r="I502" s="176"/>
      <c r="J502" s="177"/>
      <c r="K502" s="177"/>
      <c r="L502" s="177"/>
      <c r="M502" s="220"/>
      <c r="N502" s="178"/>
      <c r="O502" s="176"/>
      <c r="P502" s="178"/>
      <c r="Q502" s="105"/>
      <c r="R502" s="219"/>
      <c r="S502" s="164"/>
      <c r="T502" s="164"/>
      <c r="U502" s="162"/>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row>
    <row r="503" spans="1:67" ht="29.25" hidden="1" customHeight="1">
      <c r="A503" s="216"/>
      <c r="B503" s="217"/>
      <c r="C503" s="174"/>
      <c r="D503" s="174"/>
      <c r="E503" s="175"/>
      <c r="F503" s="162"/>
      <c r="G503" s="218"/>
      <c r="H503" s="22">
        <f>IF(OR(J503="",K503="",K503&lt;J503),0,NETWORKDAYS(J503,K503,fESTIVOS!$A$2:$A$53))</f>
        <v>0</v>
      </c>
      <c r="I503" s="176"/>
      <c r="J503" s="177"/>
      <c r="K503" s="177"/>
      <c r="L503" s="177"/>
      <c r="M503" s="220"/>
      <c r="N503" s="178"/>
      <c r="O503" s="176"/>
      <c r="P503" s="178"/>
      <c r="Q503" s="105"/>
      <c r="R503" s="219"/>
      <c r="S503" s="164"/>
      <c r="T503" s="164"/>
      <c r="U503" s="162"/>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row>
    <row r="504" spans="1:67" ht="29.25" hidden="1" customHeight="1">
      <c r="A504" s="216"/>
      <c r="B504" s="217"/>
      <c r="C504" s="174"/>
      <c r="D504" s="174"/>
      <c r="E504" s="175"/>
      <c r="F504" s="162"/>
      <c r="G504" s="218"/>
      <c r="H504" s="22">
        <f>IF(OR(J504="",K504="",K504&lt;J504),0,NETWORKDAYS(J504,K504,fESTIVOS!$A$2:$A$53))</f>
        <v>0</v>
      </c>
      <c r="I504" s="176"/>
      <c r="J504" s="177"/>
      <c r="K504" s="177"/>
      <c r="L504" s="177"/>
      <c r="M504" s="220"/>
      <c r="N504" s="178"/>
      <c r="O504" s="176"/>
      <c r="P504" s="178"/>
      <c r="Q504" s="105"/>
      <c r="R504" s="219"/>
      <c r="S504" s="164"/>
      <c r="T504" s="164"/>
      <c r="U504" s="162"/>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row>
    <row r="505" spans="1:67" ht="29.25" hidden="1" customHeight="1">
      <c r="A505" s="216"/>
      <c r="B505" s="217"/>
      <c r="C505" s="174"/>
      <c r="D505" s="174"/>
      <c r="E505" s="175"/>
      <c r="F505" s="162"/>
      <c r="G505" s="218"/>
      <c r="H505" s="22">
        <f>IF(OR(J505="",K505="",K505&lt;J505),0,NETWORKDAYS(J505,K505,fESTIVOS!$A$2:$A$53))</f>
        <v>0</v>
      </c>
      <c r="I505" s="176"/>
      <c r="J505" s="177"/>
      <c r="K505" s="177"/>
      <c r="L505" s="177"/>
      <c r="M505" s="220"/>
      <c r="N505" s="178"/>
      <c r="O505" s="176"/>
      <c r="P505" s="178"/>
      <c r="Q505" s="105"/>
      <c r="R505" s="219"/>
      <c r="S505" s="164"/>
      <c r="T505" s="164"/>
      <c r="U505" s="162"/>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row>
    <row r="506" spans="1:67" ht="29.25" hidden="1" customHeight="1">
      <c r="A506" s="216"/>
      <c r="B506" s="217"/>
      <c r="C506" s="174"/>
      <c r="D506" s="174"/>
      <c r="E506" s="175"/>
      <c r="F506" s="162"/>
      <c r="G506" s="218"/>
      <c r="H506" s="22">
        <f>IF(OR(J506="",K506="",K506&lt;J506),0,NETWORKDAYS(J506,K506,fESTIVOS!$A$2:$A$53))</f>
        <v>0</v>
      </c>
      <c r="I506" s="176"/>
      <c r="J506" s="177"/>
      <c r="K506" s="177"/>
      <c r="L506" s="177"/>
      <c r="M506" s="220"/>
      <c r="N506" s="178"/>
      <c r="O506" s="176"/>
      <c r="P506" s="178"/>
      <c r="Q506" s="105"/>
      <c r="R506" s="219"/>
      <c r="S506" s="164"/>
      <c r="T506" s="164"/>
      <c r="U506" s="162"/>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row>
    <row r="507" spans="1:67" ht="29.25" hidden="1" customHeight="1">
      <c r="A507" s="216"/>
      <c r="B507" s="217"/>
      <c r="C507" s="174"/>
      <c r="D507" s="174"/>
      <c r="E507" s="175"/>
      <c r="F507" s="162"/>
      <c r="G507" s="218"/>
      <c r="H507" s="22">
        <f>IF(OR(J507="",K507="",K507&lt;J507),0,NETWORKDAYS(J507,K507,fESTIVOS!$A$2:$A$53))</f>
        <v>0</v>
      </c>
      <c r="I507" s="176"/>
      <c r="J507" s="177"/>
      <c r="K507" s="177"/>
      <c r="L507" s="177"/>
      <c r="M507" s="220"/>
      <c r="N507" s="178"/>
      <c r="O507" s="176"/>
      <c r="P507" s="178"/>
      <c r="Q507" s="105"/>
      <c r="R507" s="219"/>
      <c r="S507" s="164"/>
      <c r="T507" s="164"/>
      <c r="U507" s="162"/>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row>
    <row r="508" spans="1:67" ht="29.25" hidden="1" customHeight="1">
      <c r="A508" s="216"/>
      <c r="B508" s="217"/>
      <c r="C508" s="174"/>
      <c r="D508" s="174"/>
      <c r="E508" s="175"/>
      <c r="F508" s="162"/>
      <c r="G508" s="218"/>
      <c r="H508" s="22">
        <f>IF(OR(J508="",K508="",K508&lt;J508),0,NETWORKDAYS(J508,K508,fESTIVOS!$A$2:$A$53))</f>
        <v>0</v>
      </c>
      <c r="I508" s="176"/>
      <c r="J508" s="177"/>
      <c r="K508" s="177"/>
      <c r="L508" s="177"/>
      <c r="M508" s="220"/>
      <c r="N508" s="178"/>
      <c r="O508" s="176"/>
      <c r="P508" s="178"/>
      <c r="Q508" s="105"/>
      <c r="R508" s="219"/>
      <c r="S508" s="164"/>
      <c r="T508" s="164"/>
      <c r="U508" s="162"/>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row>
    <row r="509" spans="1:67" ht="29.25" hidden="1" customHeight="1">
      <c r="A509" s="216"/>
      <c r="B509" s="217"/>
      <c r="C509" s="174"/>
      <c r="D509" s="174"/>
      <c r="E509" s="175"/>
      <c r="F509" s="162"/>
      <c r="G509" s="218"/>
      <c r="H509" s="22">
        <f>IF(OR(J509="",K509="",K509&lt;J509),0,NETWORKDAYS(J509,K509,fESTIVOS!$A$2:$A$53))</f>
        <v>0</v>
      </c>
      <c r="I509" s="176"/>
      <c r="J509" s="177"/>
      <c r="K509" s="177"/>
      <c r="L509" s="177"/>
      <c r="M509" s="220"/>
      <c r="N509" s="178"/>
      <c r="O509" s="176"/>
      <c r="P509" s="178"/>
      <c r="Q509" s="105"/>
      <c r="R509" s="219"/>
      <c r="S509" s="164"/>
      <c r="T509" s="164"/>
      <c r="U509" s="162"/>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row>
    <row r="510" spans="1:67" ht="29.25" hidden="1" customHeight="1">
      <c r="A510" s="216"/>
      <c r="B510" s="217"/>
      <c r="C510" s="174"/>
      <c r="D510" s="174"/>
      <c r="E510" s="175"/>
      <c r="F510" s="162"/>
      <c r="G510" s="218"/>
      <c r="H510" s="22">
        <f>IF(OR(J510="",K510="",K510&lt;J510),0,NETWORKDAYS(J510,K510,fESTIVOS!$A$2:$A$53))</f>
        <v>0</v>
      </c>
      <c r="I510" s="176"/>
      <c r="J510" s="177"/>
      <c r="K510" s="177"/>
      <c r="L510" s="177"/>
      <c r="M510" s="220"/>
      <c r="N510" s="178"/>
      <c r="O510" s="176"/>
      <c r="P510" s="178"/>
      <c r="Q510" s="105"/>
      <c r="R510" s="219"/>
      <c r="S510" s="164"/>
      <c r="T510" s="164"/>
      <c r="U510" s="162"/>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row>
    <row r="511" spans="1:67" ht="29.25" hidden="1" customHeight="1">
      <c r="A511" s="216"/>
      <c r="B511" s="217"/>
      <c r="C511" s="174"/>
      <c r="D511" s="174"/>
      <c r="E511" s="175"/>
      <c r="F511" s="162"/>
      <c r="G511" s="218"/>
      <c r="H511" s="22">
        <f>IF(OR(J511="",K511="",K511&lt;J511),0,NETWORKDAYS(J511,K511,fESTIVOS!$A$2:$A$53))</f>
        <v>0</v>
      </c>
      <c r="I511" s="176"/>
      <c r="J511" s="177"/>
      <c r="K511" s="177"/>
      <c r="L511" s="177"/>
      <c r="M511" s="220"/>
      <c r="N511" s="178"/>
      <c r="O511" s="176"/>
      <c r="P511" s="178"/>
      <c r="Q511" s="105"/>
      <c r="R511" s="219"/>
      <c r="S511" s="164"/>
      <c r="T511" s="164"/>
      <c r="U511" s="162"/>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row>
    <row r="512" spans="1:67" ht="29.25" hidden="1" customHeight="1">
      <c r="A512" s="216"/>
      <c r="B512" s="217"/>
      <c r="C512" s="174"/>
      <c r="D512" s="174"/>
      <c r="E512" s="175"/>
      <c r="F512" s="162"/>
      <c r="G512" s="218"/>
      <c r="H512" s="22">
        <f>IF(OR(J512="",K512="",K512&lt;J512),0,NETWORKDAYS(J512,K512,fESTIVOS!$A$2:$A$53))</f>
        <v>0</v>
      </c>
      <c r="I512" s="176"/>
      <c r="J512" s="177"/>
      <c r="K512" s="177"/>
      <c r="L512" s="177"/>
      <c r="M512" s="220"/>
      <c r="N512" s="178"/>
      <c r="O512" s="176"/>
      <c r="P512" s="178"/>
      <c r="Q512" s="105"/>
      <c r="R512" s="219"/>
      <c r="S512" s="164"/>
      <c r="T512" s="164"/>
      <c r="U512" s="162"/>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row>
    <row r="513" spans="1:67" ht="29.25" hidden="1" customHeight="1">
      <c r="A513" s="216"/>
      <c r="B513" s="217"/>
      <c r="C513" s="174"/>
      <c r="D513" s="174"/>
      <c r="E513" s="175"/>
      <c r="F513" s="162"/>
      <c r="G513" s="218"/>
      <c r="H513" s="22">
        <f>IF(OR(J513="",K513="",K513&lt;J513),0,NETWORKDAYS(J513,K513,fESTIVOS!$A$2:$A$53))</f>
        <v>0</v>
      </c>
      <c r="I513" s="176"/>
      <c r="J513" s="177"/>
      <c r="K513" s="177"/>
      <c r="L513" s="177"/>
      <c r="M513" s="220"/>
      <c r="N513" s="178"/>
      <c r="O513" s="176"/>
      <c r="P513" s="178"/>
      <c r="Q513" s="105"/>
      <c r="R513" s="219"/>
      <c r="S513" s="164"/>
      <c r="T513" s="164"/>
      <c r="U513" s="162"/>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row>
    <row r="514" spans="1:67" ht="29.25" hidden="1" customHeight="1">
      <c r="A514" s="216"/>
      <c r="B514" s="217"/>
      <c r="C514" s="174"/>
      <c r="D514" s="174"/>
      <c r="E514" s="175"/>
      <c r="F514" s="162"/>
      <c r="G514" s="218"/>
      <c r="H514" s="22">
        <f>IF(OR(J514="",K514="",K514&lt;J514),0,NETWORKDAYS(J514,K514,fESTIVOS!$A$2:$A$53))</f>
        <v>0</v>
      </c>
      <c r="I514" s="176"/>
      <c r="J514" s="177"/>
      <c r="K514" s="177"/>
      <c r="L514" s="177"/>
      <c r="M514" s="220"/>
      <c r="N514" s="178"/>
      <c r="O514" s="176"/>
      <c r="P514" s="178"/>
      <c r="Q514" s="105"/>
      <c r="R514" s="219"/>
      <c r="S514" s="164"/>
      <c r="T514" s="164"/>
      <c r="U514" s="162"/>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row>
    <row r="515" spans="1:67" ht="29.25" hidden="1" customHeight="1">
      <c r="A515" s="216"/>
      <c r="B515" s="217"/>
      <c r="C515" s="174"/>
      <c r="D515" s="174"/>
      <c r="E515" s="175"/>
      <c r="F515" s="162"/>
      <c r="G515" s="218"/>
      <c r="H515" s="22">
        <f>IF(OR(J515="",K515="",K515&lt;J515),0,NETWORKDAYS(J515,K515,fESTIVOS!$A$2:$A$53))</f>
        <v>0</v>
      </c>
      <c r="I515" s="176"/>
      <c r="J515" s="177"/>
      <c r="K515" s="177"/>
      <c r="L515" s="177"/>
      <c r="M515" s="220"/>
      <c r="N515" s="178"/>
      <c r="O515" s="176"/>
      <c r="P515" s="178"/>
      <c r="Q515" s="105"/>
      <c r="R515" s="219"/>
      <c r="S515" s="164"/>
      <c r="T515" s="164"/>
      <c r="U515" s="162"/>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row>
    <row r="516" spans="1:67" ht="29.25" hidden="1" customHeight="1">
      <c r="A516" s="216"/>
      <c r="B516" s="217"/>
      <c r="C516" s="174"/>
      <c r="D516" s="174"/>
      <c r="E516" s="175"/>
      <c r="F516" s="162"/>
      <c r="G516" s="218"/>
      <c r="H516" s="22">
        <f>IF(OR(J516="",K516="",K516&lt;J516),0,NETWORKDAYS(J516,K516,fESTIVOS!$A$2:$A$53))</f>
        <v>0</v>
      </c>
      <c r="I516" s="176"/>
      <c r="J516" s="177"/>
      <c r="K516" s="177"/>
      <c r="L516" s="177"/>
      <c r="M516" s="220"/>
      <c r="N516" s="178"/>
      <c r="O516" s="176"/>
      <c r="P516" s="178"/>
      <c r="Q516" s="105"/>
      <c r="R516" s="219"/>
      <c r="S516" s="164"/>
      <c r="T516" s="164"/>
      <c r="U516" s="162"/>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row>
    <row r="517" spans="1:67" ht="29.25" hidden="1" customHeight="1">
      <c r="A517" s="216"/>
      <c r="B517" s="217"/>
      <c r="C517" s="174"/>
      <c r="D517" s="174"/>
      <c r="E517" s="175"/>
      <c r="F517" s="162"/>
      <c r="G517" s="218"/>
      <c r="H517" s="22">
        <f>IF(OR(J517="",K517="",K517&lt;J517),0,NETWORKDAYS(J517,K517,fESTIVOS!$A$2:$A$53))</f>
        <v>0</v>
      </c>
      <c r="I517" s="176"/>
      <c r="J517" s="177"/>
      <c r="K517" s="177"/>
      <c r="L517" s="177"/>
      <c r="M517" s="220"/>
      <c r="N517" s="178"/>
      <c r="O517" s="176"/>
      <c r="P517" s="178"/>
      <c r="Q517" s="105"/>
      <c r="R517" s="219"/>
      <c r="S517" s="164"/>
      <c r="T517" s="164"/>
      <c r="U517" s="162"/>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row>
    <row r="518" spans="1:67" ht="29.25" hidden="1" customHeight="1">
      <c r="A518" s="216"/>
      <c r="B518" s="217"/>
      <c r="C518" s="174"/>
      <c r="D518" s="174"/>
      <c r="E518" s="175"/>
      <c r="F518" s="162"/>
      <c r="G518" s="218"/>
      <c r="H518" s="22">
        <f>IF(OR(J518="",K518="",K518&lt;J518),0,NETWORKDAYS(J518,K518,fESTIVOS!$A$2:$A$53))</f>
        <v>0</v>
      </c>
      <c r="I518" s="176"/>
      <c r="J518" s="177"/>
      <c r="K518" s="177"/>
      <c r="L518" s="177"/>
      <c r="M518" s="220"/>
      <c r="N518" s="178"/>
      <c r="O518" s="176"/>
      <c r="P518" s="178"/>
      <c r="Q518" s="105"/>
      <c r="R518" s="219"/>
      <c r="S518" s="164"/>
      <c r="T518" s="164"/>
      <c r="U518" s="162"/>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row>
    <row r="519" spans="1:67" ht="29.25" hidden="1" customHeight="1">
      <c r="A519" s="216"/>
      <c r="B519" s="217"/>
      <c r="C519" s="174"/>
      <c r="D519" s="174"/>
      <c r="E519" s="175"/>
      <c r="F519" s="162"/>
      <c r="G519" s="218"/>
      <c r="H519" s="22">
        <f>IF(OR(J519="",K519="",K519&lt;J519),0,NETWORKDAYS(J519,K519,fESTIVOS!$A$2:$A$53))</f>
        <v>0</v>
      </c>
      <c r="I519" s="176"/>
      <c r="J519" s="177"/>
      <c r="K519" s="177"/>
      <c r="L519" s="177"/>
      <c r="M519" s="220"/>
      <c r="N519" s="178"/>
      <c r="O519" s="176"/>
      <c r="P519" s="178"/>
      <c r="Q519" s="105"/>
      <c r="R519" s="219"/>
      <c r="S519" s="164"/>
      <c r="T519" s="164"/>
      <c r="U519" s="162"/>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row>
    <row r="520" spans="1:67" ht="29.25" hidden="1" customHeight="1">
      <c r="A520" s="216"/>
      <c r="B520" s="217"/>
      <c r="C520" s="174"/>
      <c r="D520" s="174"/>
      <c r="E520" s="175"/>
      <c r="F520" s="162"/>
      <c r="G520" s="218"/>
      <c r="H520" s="22">
        <f>IF(OR(J520="",K520="",K520&lt;J520),0,NETWORKDAYS(J520,K520,fESTIVOS!$A$2:$A$53))</f>
        <v>0</v>
      </c>
      <c r="I520" s="176"/>
      <c r="J520" s="177"/>
      <c r="K520" s="177"/>
      <c r="L520" s="177"/>
      <c r="M520" s="220"/>
      <c r="N520" s="178"/>
      <c r="O520" s="176"/>
      <c r="P520" s="178"/>
      <c r="Q520" s="105"/>
      <c r="R520" s="219"/>
      <c r="S520" s="164"/>
      <c r="T520" s="164"/>
      <c r="U520" s="162"/>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row>
    <row r="521" spans="1:67" ht="29.25" hidden="1" customHeight="1">
      <c r="A521" s="216"/>
      <c r="B521" s="217"/>
      <c r="C521" s="174"/>
      <c r="D521" s="174"/>
      <c r="E521" s="175"/>
      <c r="F521" s="162"/>
      <c r="G521" s="218"/>
      <c r="H521" s="22">
        <f>IF(OR(J521="",K521="",K521&lt;J521),0,NETWORKDAYS(J521,K521,fESTIVOS!$A$2:$A$53))</f>
        <v>0</v>
      </c>
      <c r="I521" s="176"/>
      <c r="J521" s="177"/>
      <c r="K521" s="177"/>
      <c r="L521" s="177"/>
      <c r="M521" s="220"/>
      <c r="N521" s="178"/>
      <c r="O521" s="176"/>
      <c r="P521" s="178"/>
      <c r="Q521" s="105"/>
      <c r="R521" s="219"/>
      <c r="S521" s="164"/>
      <c r="T521" s="164"/>
      <c r="U521" s="162"/>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row>
    <row r="522" spans="1:67" ht="29.25" hidden="1" customHeight="1">
      <c r="A522" s="216"/>
      <c r="B522" s="217"/>
      <c r="C522" s="174"/>
      <c r="D522" s="174"/>
      <c r="E522" s="175"/>
      <c r="F522" s="162"/>
      <c r="G522" s="218"/>
      <c r="H522" s="22">
        <f>IF(OR(J522="",K522="",K522&lt;J522),0,NETWORKDAYS(J522,K522,fESTIVOS!$A$2:$A$53))</f>
        <v>0</v>
      </c>
      <c r="I522" s="176"/>
      <c r="J522" s="177"/>
      <c r="K522" s="177"/>
      <c r="L522" s="177"/>
      <c r="M522" s="220"/>
      <c r="N522" s="178"/>
      <c r="O522" s="176"/>
      <c r="P522" s="178"/>
      <c r="Q522" s="105"/>
      <c r="R522" s="219"/>
      <c r="S522" s="164"/>
      <c r="T522" s="164"/>
      <c r="U522" s="162"/>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row>
    <row r="523" spans="1:67" ht="29.25" hidden="1" customHeight="1">
      <c r="A523" s="216"/>
      <c r="B523" s="217"/>
      <c r="C523" s="174"/>
      <c r="D523" s="174"/>
      <c r="E523" s="175"/>
      <c r="F523" s="162"/>
      <c r="G523" s="218"/>
      <c r="H523" s="22">
        <f>IF(OR(J523="",K523="",K523&lt;J523),0,NETWORKDAYS(J523,K523,fESTIVOS!$A$2:$A$53))</f>
        <v>0</v>
      </c>
      <c r="I523" s="176"/>
      <c r="J523" s="177"/>
      <c r="K523" s="177"/>
      <c r="L523" s="177"/>
      <c r="M523" s="220"/>
      <c r="N523" s="178"/>
      <c r="O523" s="176"/>
      <c r="P523" s="178"/>
      <c r="Q523" s="105"/>
      <c r="R523" s="219"/>
      <c r="S523" s="164"/>
      <c r="T523" s="164"/>
      <c r="U523" s="162"/>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row>
    <row r="524" spans="1:67" ht="29.25" hidden="1" customHeight="1">
      <c r="A524" s="216"/>
      <c r="B524" s="217"/>
      <c r="C524" s="174"/>
      <c r="D524" s="174"/>
      <c r="E524" s="175"/>
      <c r="F524" s="162"/>
      <c r="G524" s="218"/>
      <c r="H524" s="22">
        <f>IF(OR(J524="",K524="",K524&lt;J524),0,NETWORKDAYS(J524,K524,fESTIVOS!$A$2:$A$53))</f>
        <v>0</v>
      </c>
      <c r="I524" s="176"/>
      <c r="J524" s="177"/>
      <c r="K524" s="177"/>
      <c r="L524" s="177"/>
      <c r="M524" s="220"/>
      <c r="N524" s="178"/>
      <c r="O524" s="176"/>
      <c r="P524" s="178"/>
      <c r="Q524" s="105"/>
      <c r="R524" s="219"/>
      <c r="S524" s="164"/>
      <c r="T524" s="164"/>
      <c r="U524" s="162"/>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row>
    <row r="525" spans="1:67" ht="29.25" hidden="1" customHeight="1">
      <c r="A525" s="216"/>
      <c r="B525" s="217"/>
      <c r="C525" s="174"/>
      <c r="D525" s="174"/>
      <c r="E525" s="175"/>
      <c r="F525" s="162"/>
      <c r="G525" s="218"/>
      <c r="H525" s="22">
        <f>IF(OR(J525="",K525="",K525&lt;J525),0,NETWORKDAYS(J525,K525,fESTIVOS!$A$2:$A$53))</f>
        <v>0</v>
      </c>
      <c r="I525" s="176"/>
      <c r="J525" s="177"/>
      <c r="K525" s="177"/>
      <c r="L525" s="177"/>
      <c r="M525" s="220"/>
      <c r="N525" s="178"/>
      <c r="O525" s="176"/>
      <c r="P525" s="178"/>
      <c r="Q525" s="105"/>
      <c r="R525" s="219"/>
      <c r="S525" s="164"/>
      <c r="T525" s="164"/>
      <c r="U525" s="162"/>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row>
    <row r="526" spans="1:67" ht="29.25" hidden="1" customHeight="1">
      <c r="A526" s="216"/>
      <c r="B526" s="217"/>
      <c r="C526" s="174"/>
      <c r="D526" s="174"/>
      <c r="E526" s="175"/>
      <c r="F526" s="162"/>
      <c r="G526" s="218"/>
      <c r="H526" s="22">
        <f>IF(OR(J526="",K526="",K526&lt;J526),0,NETWORKDAYS(J526,K526,fESTIVOS!$A$2:$A$53))</f>
        <v>0</v>
      </c>
      <c r="I526" s="176"/>
      <c r="J526" s="177"/>
      <c r="K526" s="177"/>
      <c r="L526" s="177"/>
      <c r="M526" s="220"/>
      <c r="N526" s="178"/>
      <c r="O526" s="176"/>
      <c r="P526" s="178"/>
      <c r="Q526" s="105"/>
      <c r="R526" s="219"/>
      <c r="S526" s="164"/>
      <c r="T526" s="164"/>
      <c r="U526" s="162"/>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row>
    <row r="527" spans="1:67" ht="29.25" hidden="1" customHeight="1">
      <c r="A527" s="216"/>
      <c r="B527" s="217"/>
      <c r="C527" s="174"/>
      <c r="D527" s="174"/>
      <c r="E527" s="175"/>
      <c r="F527" s="162"/>
      <c r="G527" s="218"/>
      <c r="H527" s="22">
        <f>IF(OR(J527="",K527="",K527&lt;J527),0,NETWORKDAYS(J527,K527,fESTIVOS!$A$2:$A$53))</f>
        <v>0</v>
      </c>
      <c r="I527" s="176"/>
      <c r="J527" s="177"/>
      <c r="K527" s="177"/>
      <c r="L527" s="177"/>
      <c r="M527" s="220"/>
      <c r="N527" s="178"/>
      <c r="O527" s="176"/>
      <c r="P527" s="178"/>
      <c r="Q527" s="105"/>
      <c r="R527" s="219"/>
      <c r="S527" s="164"/>
      <c r="T527" s="164"/>
      <c r="U527" s="162"/>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row>
    <row r="528" spans="1:67" ht="29.25" hidden="1" customHeight="1">
      <c r="A528" s="216"/>
      <c r="B528" s="217"/>
      <c r="C528" s="174"/>
      <c r="D528" s="174"/>
      <c r="E528" s="175"/>
      <c r="F528" s="162"/>
      <c r="G528" s="218"/>
      <c r="H528" s="22">
        <f>IF(OR(J528="",K528="",K528&lt;J528),0,NETWORKDAYS(J528,K528,fESTIVOS!$A$2:$A$53))</f>
        <v>0</v>
      </c>
      <c r="I528" s="176"/>
      <c r="J528" s="177"/>
      <c r="K528" s="177"/>
      <c r="L528" s="177"/>
      <c r="M528" s="220"/>
      <c r="N528" s="178"/>
      <c r="O528" s="176"/>
      <c r="P528" s="178"/>
      <c r="Q528" s="105"/>
      <c r="R528" s="219"/>
      <c r="S528" s="164"/>
      <c r="T528" s="164"/>
      <c r="U528" s="162"/>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row>
    <row r="529" spans="1:67" ht="29.25" hidden="1" customHeight="1">
      <c r="A529" s="216"/>
      <c r="B529" s="217"/>
      <c r="C529" s="174"/>
      <c r="D529" s="174"/>
      <c r="E529" s="175"/>
      <c r="F529" s="162"/>
      <c r="G529" s="218"/>
      <c r="H529" s="22">
        <f>IF(OR(J529="",K529="",K529&lt;J529),0,NETWORKDAYS(J529,K529,fESTIVOS!$A$2:$A$53))</f>
        <v>0</v>
      </c>
      <c r="I529" s="176"/>
      <c r="J529" s="177"/>
      <c r="K529" s="177"/>
      <c r="L529" s="177"/>
      <c r="M529" s="220"/>
      <c r="N529" s="178"/>
      <c r="O529" s="176"/>
      <c r="P529" s="178"/>
      <c r="Q529" s="105"/>
      <c r="R529" s="219"/>
      <c r="S529" s="164"/>
      <c r="T529" s="164"/>
      <c r="U529" s="162"/>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row>
    <row r="530" spans="1:67" ht="29.25" hidden="1" customHeight="1">
      <c r="A530" s="216"/>
      <c r="B530" s="217"/>
      <c r="C530" s="174"/>
      <c r="D530" s="174"/>
      <c r="E530" s="175"/>
      <c r="F530" s="162"/>
      <c r="G530" s="218"/>
      <c r="H530" s="22">
        <f>IF(OR(J530="",K530="",K530&lt;J530),0,NETWORKDAYS(J530,K530,fESTIVOS!$A$2:$A$53))</f>
        <v>0</v>
      </c>
      <c r="I530" s="176"/>
      <c r="J530" s="177"/>
      <c r="K530" s="177"/>
      <c r="L530" s="177"/>
      <c r="M530" s="220"/>
      <c r="N530" s="178"/>
      <c r="O530" s="176"/>
      <c r="P530" s="178"/>
      <c r="Q530" s="105"/>
      <c r="R530" s="219"/>
      <c r="S530" s="164"/>
      <c r="T530" s="164"/>
      <c r="U530" s="162"/>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row>
    <row r="531" spans="1:67" ht="29.25" hidden="1" customHeight="1">
      <c r="A531" s="216"/>
      <c r="B531" s="217"/>
      <c r="C531" s="174"/>
      <c r="D531" s="174"/>
      <c r="E531" s="175"/>
      <c r="F531" s="162"/>
      <c r="G531" s="218"/>
      <c r="H531" s="22">
        <f>IF(OR(J531="",K531="",K531&lt;J531),0,NETWORKDAYS(J531,K531,fESTIVOS!$A$2:$A$53))</f>
        <v>0</v>
      </c>
      <c r="I531" s="176"/>
      <c r="J531" s="177"/>
      <c r="K531" s="177"/>
      <c r="L531" s="177"/>
      <c r="M531" s="220"/>
      <c r="N531" s="178"/>
      <c r="O531" s="176"/>
      <c r="P531" s="178"/>
      <c r="Q531" s="105"/>
      <c r="R531" s="219"/>
      <c r="S531" s="164"/>
      <c r="T531" s="164"/>
      <c r="U531" s="162"/>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row>
    <row r="532" spans="1:67" ht="29.25" hidden="1" customHeight="1">
      <c r="A532" s="216"/>
      <c r="B532" s="217"/>
      <c r="C532" s="174"/>
      <c r="D532" s="174"/>
      <c r="E532" s="175"/>
      <c r="F532" s="162"/>
      <c r="G532" s="218"/>
      <c r="H532" s="22">
        <f>IF(OR(J532="",K532="",K532&lt;J532),0,NETWORKDAYS(J532,K532,fESTIVOS!$A$2:$A$53))</f>
        <v>0</v>
      </c>
      <c r="I532" s="176"/>
      <c r="J532" s="177"/>
      <c r="K532" s="177"/>
      <c r="L532" s="177"/>
      <c r="M532" s="220"/>
      <c r="N532" s="178"/>
      <c r="O532" s="176"/>
      <c r="P532" s="178"/>
      <c r="Q532" s="105"/>
      <c r="R532" s="219"/>
      <c r="S532" s="164"/>
      <c r="T532" s="164"/>
      <c r="U532" s="162"/>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row>
    <row r="533" spans="1:67" ht="29.25" hidden="1" customHeight="1">
      <c r="A533" s="216"/>
      <c r="B533" s="217"/>
      <c r="C533" s="174"/>
      <c r="D533" s="174"/>
      <c r="E533" s="175"/>
      <c r="F533" s="162"/>
      <c r="G533" s="218"/>
      <c r="H533" s="22">
        <f>IF(OR(J533="",K533="",K533&lt;J533),0,NETWORKDAYS(J533,K533,fESTIVOS!$A$2:$A$53))</f>
        <v>0</v>
      </c>
      <c r="I533" s="176"/>
      <c r="J533" s="177"/>
      <c r="K533" s="177"/>
      <c r="L533" s="177"/>
      <c r="M533" s="220"/>
      <c r="N533" s="178"/>
      <c r="O533" s="176"/>
      <c r="P533" s="178"/>
      <c r="Q533" s="105"/>
      <c r="R533" s="219"/>
      <c r="S533" s="164"/>
      <c r="T533" s="164"/>
      <c r="U533" s="162"/>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row>
    <row r="534" spans="1:67" ht="29.25" hidden="1" customHeight="1">
      <c r="A534" s="216"/>
      <c r="B534" s="217"/>
      <c r="C534" s="174"/>
      <c r="D534" s="174"/>
      <c r="E534" s="175"/>
      <c r="F534" s="162"/>
      <c r="G534" s="218"/>
      <c r="H534" s="22">
        <f>IF(OR(J534="",K534="",K534&lt;J534),0,NETWORKDAYS(J534,K534,fESTIVOS!$A$2:$A$53))</f>
        <v>0</v>
      </c>
      <c r="I534" s="176"/>
      <c r="J534" s="177"/>
      <c r="K534" s="177"/>
      <c r="L534" s="177"/>
      <c r="M534" s="220"/>
      <c r="N534" s="178"/>
      <c r="O534" s="176"/>
      <c r="P534" s="178"/>
      <c r="Q534" s="105"/>
      <c r="R534" s="219"/>
      <c r="S534" s="164"/>
      <c r="T534" s="164"/>
      <c r="U534" s="162"/>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row>
    <row r="535" spans="1:67" ht="29.25" hidden="1" customHeight="1">
      <c r="A535" s="216"/>
      <c r="B535" s="217"/>
      <c r="C535" s="174"/>
      <c r="D535" s="174"/>
      <c r="E535" s="175"/>
      <c r="F535" s="162"/>
      <c r="G535" s="218"/>
      <c r="H535" s="22">
        <f>IF(OR(J535="",K535="",K535&lt;J535),0,NETWORKDAYS(J535,K535,fESTIVOS!$A$2:$A$53))</f>
        <v>0</v>
      </c>
      <c r="I535" s="176"/>
      <c r="J535" s="177"/>
      <c r="K535" s="177"/>
      <c r="L535" s="177"/>
      <c r="M535" s="220"/>
      <c r="N535" s="178"/>
      <c r="O535" s="176"/>
      <c r="P535" s="178"/>
      <c r="Q535" s="105"/>
      <c r="R535" s="219"/>
      <c r="S535" s="164"/>
      <c r="T535" s="164"/>
      <c r="U535" s="162"/>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row>
    <row r="536" spans="1:67" ht="29.25" hidden="1" customHeight="1">
      <c r="A536" s="216"/>
      <c r="B536" s="217"/>
      <c r="C536" s="174"/>
      <c r="D536" s="174"/>
      <c r="E536" s="175"/>
      <c r="F536" s="162"/>
      <c r="G536" s="218"/>
      <c r="H536" s="22">
        <f>IF(OR(J536="",K536="",K536&lt;J536),0,NETWORKDAYS(J536,K536,fESTIVOS!$A$2:$A$53))</f>
        <v>0</v>
      </c>
      <c r="I536" s="176"/>
      <c r="J536" s="177"/>
      <c r="K536" s="177"/>
      <c r="L536" s="177"/>
      <c r="M536" s="220"/>
      <c r="N536" s="178"/>
      <c r="O536" s="176"/>
      <c r="P536" s="178"/>
      <c r="Q536" s="105"/>
      <c r="R536" s="219"/>
      <c r="S536" s="164"/>
      <c r="T536" s="164"/>
      <c r="U536" s="162"/>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row>
    <row r="537" spans="1:67" ht="29.25" hidden="1" customHeight="1">
      <c r="A537" s="216"/>
      <c r="B537" s="217"/>
      <c r="C537" s="174"/>
      <c r="D537" s="174"/>
      <c r="E537" s="175"/>
      <c r="F537" s="162"/>
      <c r="G537" s="218"/>
      <c r="H537" s="22">
        <f>IF(OR(J537="",K537="",K537&lt;J537),0,NETWORKDAYS(J537,K537,fESTIVOS!$A$2:$A$53))</f>
        <v>0</v>
      </c>
      <c r="I537" s="176"/>
      <c r="J537" s="177"/>
      <c r="K537" s="177"/>
      <c r="L537" s="177"/>
      <c r="M537" s="220"/>
      <c r="N537" s="178"/>
      <c r="O537" s="176"/>
      <c r="P537" s="178"/>
      <c r="Q537" s="105"/>
      <c r="R537" s="219"/>
      <c r="S537" s="164"/>
      <c r="T537" s="164"/>
      <c r="U537" s="162"/>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row>
    <row r="538" spans="1:67" ht="29.25" hidden="1" customHeight="1">
      <c r="A538" s="216"/>
      <c r="B538" s="217"/>
      <c r="C538" s="174"/>
      <c r="D538" s="174"/>
      <c r="E538" s="175"/>
      <c r="F538" s="162"/>
      <c r="G538" s="218"/>
      <c r="H538" s="22">
        <f>IF(OR(J538="",K538="",K538&lt;J538),0,NETWORKDAYS(J538,K538,fESTIVOS!$A$2:$A$53))</f>
        <v>0</v>
      </c>
      <c r="I538" s="176"/>
      <c r="J538" s="177"/>
      <c r="K538" s="177"/>
      <c r="L538" s="177"/>
      <c r="M538" s="220"/>
      <c r="N538" s="178"/>
      <c r="O538" s="176"/>
      <c r="P538" s="178"/>
      <c r="Q538" s="105"/>
      <c r="R538" s="219"/>
      <c r="S538" s="164"/>
      <c r="T538" s="164"/>
      <c r="U538" s="162"/>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row>
    <row r="539" spans="1:67" ht="29.25" hidden="1" customHeight="1">
      <c r="A539" s="216"/>
      <c r="B539" s="217"/>
      <c r="C539" s="174"/>
      <c r="D539" s="174"/>
      <c r="E539" s="175"/>
      <c r="F539" s="162"/>
      <c r="G539" s="218"/>
      <c r="H539" s="22">
        <f>IF(OR(J539="",K539="",K539&lt;J539),0,NETWORKDAYS(J539,K539,fESTIVOS!$A$2:$A$53))</f>
        <v>0</v>
      </c>
      <c r="I539" s="176"/>
      <c r="J539" s="177"/>
      <c r="K539" s="177"/>
      <c r="L539" s="177"/>
      <c r="M539" s="220"/>
      <c r="N539" s="178"/>
      <c r="O539" s="176"/>
      <c r="P539" s="178"/>
      <c r="Q539" s="105"/>
      <c r="R539" s="219"/>
      <c r="S539" s="164"/>
      <c r="T539" s="164"/>
      <c r="U539" s="162"/>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row>
    <row r="540" spans="1:67" ht="29.25" hidden="1" customHeight="1">
      <c r="A540" s="216"/>
      <c r="B540" s="217"/>
      <c r="C540" s="174"/>
      <c r="D540" s="174"/>
      <c r="E540" s="175"/>
      <c r="F540" s="162"/>
      <c r="G540" s="218"/>
      <c r="H540" s="22">
        <f>IF(OR(J540="",K540="",K540&lt;J540),0,NETWORKDAYS(J540,K540,fESTIVOS!$A$2:$A$53))</f>
        <v>0</v>
      </c>
      <c r="I540" s="176"/>
      <c r="J540" s="177"/>
      <c r="K540" s="177"/>
      <c r="L540" s="177"/>
      <c r="M540" s="220"/>
      <c r="N540" s="178"/>
      <c r="O540" s="176"/>
      <c r="P540" s="178"/>
      <c r="Q540" s="105"/>
      <c r="R540" s="219"/>
      <c r="S540" s="164"/>
      <c r="T540" s="164"/>
      <c r="U540" s="162"/>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row>
    <row r="541" spans="1:67" ht="29.25" hidden="1" customHeight="1">
      <c r="A541" s="216"/>
      <c r="B541" s="217"/>
      <c r="C541" s="174"/>
      <c r="D541" s="174"/>
      <c r="E541" s="175"/>
      <c r="F541" s="162"/>
      <c r="G541" s="218"/>
      <c r="H541" s="22">
        <f>IF(OR(J541="",K541="",K541&lt;J541),0,NETWORKDAYS(J541,K541,fESTIVOS!$A$2:$A$53))</f>
        <v>0</v>
      </c>
      <c r="I541" s="176"/>
      <c r="J541" s="177"/>
      <c r="K541" s="177"/>
      <c r="L541" s="177"/>
      <c r="M541" s="220"/>
      <c r="N541" s="178"/>
      <c r="O541" s="176"/>
      <c r="P541" s="178"/>
      <c r="Q541" s="105"/>
      <c r="R541" s="219"/>
      <c r="S541" s="164"/>
      <c r="T541" s="164"/>
      <c r="U541" s="162"/>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row>
    <row r="542" spans="1:67" ht="29.25" hidden="1" customHeight="1">
      <c r="A542" s="216"/>
      <c r="B542" s="217"/>
      <c r="C542" s="174"/>
      <c r="D542" s="174"/>
      <c r="E542" s="175"/>
      <c r="F542" s="162"/>
      <c r="G542" s="218"/>
      <c r="H542" s="22">
        <f>IF(OR(J542="",K542="",K542&lt;J542),0,NETWORKDAYS(J542,K542,fESTIVOS!$A$2:$A$53))</f>
        <v>0</v>
      </c>
      <c r="I542" s="176"/>
      <c r="J542" s="177"/>
      <c r="K542" s="177"/>
      <c r="L542" s="177"/>
      <c r="M542" s="220"/>
      <c r="N542" s="178"/>
      <c r="O542" s="176"/>
      <c r="P542" s="178"/>
      <c r="Q542" s="105"/>
      <c r="R542" s="219"/>
      <c r="S542" s="164"/>
      <c r="T542" s="164"/>
      <c r="U542" s="162"/>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row>
    <row r="543" spans="1:67" ht="29.25" hidden="1" customHeight="1">
      <c r="A543" s="216"/>
      <c r="B543" s="217"/>
      <c r="C543" s="174"/>
      <c r="D543" s="174"/>
      <c r="E543" s="175"/>
      <c r="F543" s="162"/>
      <c r="G543" s="218"/>
      <c r="H543" s="22">
        <f>IF(OR(J543="",K543="",K543&lt;J543),0,NETWORKDAYS(J543,K543,fESTIVOS!$A$2:$A$53))</f>
        <v>0</v>
      </c>
      <c r="I543" s="176"/>
      <c r="J543" s="177"/>
      <c r="K543" s="177"/>
      <c r="L543" s="177"/>
      <c r="M543" s="220"/>
      <c r="N543" s="178"/>
      <c r="O543" s="176"/>
      <c r="P543" s="178"/>
      <c r="Q543" s="105"/>
      <c r="R543" s="219"/>
      <c r="S543" s="164"/>
      <c r="T543" s="164"/>
      <c r="U543" s="162"/>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row>
    <row r="544" spans="1:67" ht="29.25" hidden="1" customHeight="1">
      <c r="A544" s="216"/>
      <c r="B544" s="217"/>
      <c r="C544" s="174"/>
      <c r="D544" s="174"/>
      <c r="E544" s="175"/>
      <c r="F544" s="162"/>
      <c r="G544" s="218"/>
      <c r="H544" s="22">
        <f>IF(OR(J544="",K544="",K544&lt;J544),0,NETWORKDAYS(J544,K544,fESTIVOS!$A$2:$A$53))</f>
        <v>0</v>
      </c>
      <c r="I544" s="176"/>
      <c r="J544" s="177"/>
      <c r="K544" s="177"/>
      <c r="L544" s="177"/>
      <c r="M544" s="220"/>
      <c r="N544" s="178"/>
      <c r="O544" s="176"/>
      <c r="P544" s="178"/>
      <c r="Q544" s="105"/>
      <c r="R544" s="219"/>
      <c r="S544" s="164"/>
      <c r="T544" s="164"/>
      <c r="U544" s="162"/>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row>
    <row r="545" spans="1:67" ht="29.25" hidden="1" customHeight="1">
      <c r="A545" s="216"/>
      <c r="B545" s="217"/>
      <c r="C545" s="174"/>
      <c r="D545" s="174"/>
      <c r="E545" s="175"/>
      <c r="F545" s="162"/>
      <c r="G545" s="218"/>
      <c r="H545" s="22">
        <f>IF(OR(J545="",K545="",K545&lt;J545),0,NETWORKDAYS(J545,K545,fESTIVOS!$A$2:$A$53))</f>
        <v>0</v>
      </c>
      <c r="I545" s="176"/>
      <c r="J545" s="177"/>
      <c r="K545" s="177"/>
      <c r="L545" s="177"/>
      <c r="M545" s="220"/>
      <c r="N545" s="178"/>
      <c r="O545" s="176"/>
      <c r="P545" s="178"/>
      <c r="Q545" s="105"/>
      <c r="R545" s="219"/>
      <c r="S545" s="164"/>
      <c r="T545" s="164"/>
      <c r="U545" s="162"/>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row>
    <row r="546" spans="1:67" ht="29.25" hidden="1" customHeight="1">
      <c r="A546" s="216"/>
      <c r="B546" s="217"/>
      <c r="C546" s="174"/>
      <c r="D546" s="174"/>
      <c r="E546" s="175"/>
      <c r="F546" s="162"/>
      <c r="G546" s="218"/>
      <c r="H546" s="22">
        <f>IF(OR(J546="",K546="",K546&lt;J546),0,NETWORKDAYS(J546,K546,fESTIVOS!$A$2:$A$53))</f>
        <v>0</v>
      </c>
      <c r="I546" s="176"/>
      <c r="J546" s="177"/>
      <c r="K546" s="177"/>
      <c r="L546" s="177"/>
      <c r="M546" s="220"/>
      <c r="N546" s="178"/>
      <c r="O546" s="176"/>
      <c r="P546" s="178"/>
      <c r="Q546" s="105"/>
      <c r="R546" s="219"/>
      <c r="S546" s="164"/>
      <c r="T546" s="164"/>
      <c r="U546" s="162"/>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row>
    <row r="547" spans="1:67" ht="29.25" hidden="1" customHeight="1">
      <c r="A547" s="216"/>
      <c r="B547" s="217"/>
      <c r="C547" s="174"/>
      <c r="D547" s="174"/>
      <c r="E547" s="175"/>
      <c r="F547" s="162"/>
      <c r="G547" s="218"/>
      <c r="H547" s="22">
        <f>IF(OR(J547="",K547="",K547&lt;J547),0,NETWORKDAYS(J547,K547,fESTIVOS!$A$2:$A$53))</f>
        <v>0</v>
      </c>
      <c r="I547" s="176"/>
      <c r="J547" s="177"/>
      <c r="K547" s="177"/>
      <c r="L547" s="177"/>
      <c r="M547" s="220"/>
      <c r="N547" s="178"/>
      <c r="O547" s="176"/>
      <c r="P547" s="178"/>
      <c r="Q547" s="105"/>
      <c r="R547" s="219"/>
      <c r="S547" s="164"/>
      <c r="T547" s="164"/>
      <c r="U547" s="162"/>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row>
    <row r="548" spans="1:67" ht="29.25" hidden="1" customHeight="1">
      <c r="A548" s="216"/>
      <c r="B548" s="217"/>
      <c r="C548" s="174"/>
      <c r="D548" s="174"/>
      <c r="E548" s="175"/>
      <c r="F548" s="162"/>
      <c r="G548" s="218"/>
      <c r="H548" s="22">
        <f>IF(OR(J548="",K548="",K548&lt;J548),0,NETWORKDAYS(J548,K548,fESTIVOS!$A$2:$A$53))</f>
        <v>0</v>
      </c>
      <c r="I548" s="176"/>
      <c r="J548" s="177"/>
      <c r="K548" s="177"/>
      <c r="L548" s="177"/>
      <c r="M548" s="220"/>
      <c r="N548" s="178"/>
      <c r="O548" s="176"/>
      <c r="P548" s="178"/>
      <c r="Q548" s="105"/>
      <c r="R548" s="219"/>
      <c r="S548" s="164"/>
      <c r="T548" s="164"/>
      <c r="U548" s="162"/>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row>
    <row r="549" spans="1:67" ht="29.25" hidden="1" customHeight="1">
      <c r="A549" s="216"/>
      <c r="B549" s="217"/>
      <c r="C549" s="174"/>
      <c r="D549" s="174"/>
      <c r="E549" s="175"/>
      <c r="F549" s="162"/>
      <c r="G549" s="218"/>
      <c r="H549" s="22">
        <f>IF(OR(J549="",K549="",K549&lt;J549),0,NETWORKDAYS(J549,K549,fESTIVOS!$A$2:$A$53))</f>
        <v>0</v>
      </c>
      <c r="I549" s="176"/>
      <c r="J549" s="177"/>
      <c r="K549" s="177"/>
      <c r="L549" s="177"/>
      <c r="M549" s="220"/>
      <c r="N549" s="178"/>
      <c r="O549" s="176"/>
      <c r="P549" s="178"/>
      <c r="Q549" s="105"/>
      <c r="R549" s="219"/>
      <c r="S549" s="164"/>
      <c r="T549" s="164"/>
      <c r="U549" s="162"/>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row>
    <row r="550" spans="1:67" ht="29.25" hidden="1" customHeight="1">
      <c r="A550" s="216"/>
      <c r="B550" s="217"/>
      <c r="C550" s="174"/>
      <c r="D550" s="174"/>
      <c r="E550" s="175"/>
      <c r="F550" s="162"/>
      <c r="G550" s="218"/>
      <c r="H550" s="22">
        <f>IF(OR(J550="",K550="",K550&lt;J550),0,NETWORKDAYS(J550,K550,fESTIVOS!$A$2:$A$53))</f>
        <v>0</v>
      </c>
      <c r="I550" s="176"/>
      <c r="J550" s="177"/>
      <c r="K550" s="177"/>
      <c r="L550" s="177"/>
      <c r="M550" s="220"/>
      <c r="N550" s="178"/>
      <c r="O550" s="176"/>
      <c r="P550" s="178"/>
      <c r="Q550" s="105"/>
      <c r="R550" s="219"/>
      <c r="S550" s="164"/>
      <c r="T550" s="164"/>
      <c r="U550" s="162"/>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row>
    <row r="551" spans="1:67" ht="29.25" hidden="1" customHeight="1">
      <c r="A551" s="216"/>
      <c r="B551" s="217"/>
      <c r="C551" s="174"/>
      <c r="D551" s="174"/>
      <c r="E551" s="175"/>
      <c r="F551" s="162"/>
      <c r="G551" s="218"/>
      <c r="H551" s="22">
        <f>IF(OR(J551="",K551="",K551&lt;J551),0,NETWORKDAYS(J551,K551,fESTIVOS!$A$2:$A$53))</f>
        <v>0</v>
      </c>
      <c r="I551" s="176"/>
      <c r="J551" s="177"/>
      <c r="K551" s="177"/>
      <c r="L551" s="177"/>
      <c r="M551" s="220"/>
      <c r="N551" s="178"/>
      <c r="O551" s="176"/>
      <c r="P551" s="178"/>
      <c r="Q551" s="105"/>
      <c r="R551" s="219"/>
      <c r="S551" s="164"/>
      <c r="T551" s="164"/>
      <c r="U551" s="162"/>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row>
    <row r="552" spans="1:67" ht="29.25" hidden="1" customHeight="1">
      <c r="A552" s="216"/>
      <c r="B552" s="217"/>
      <c r="C552" s="174"/>
      <c r="D552" s="174"/>
      <c r="E552" s="175"/>
      <c r="F552" s="162"/>
      <c r="G552" s="218"/>
      <c r="H552" s="22">
        <f>IF(OR(J552="",K552="",K552&lt;J552),0,NETWORKDAYS(J552,K552,fESTIVOS!$A$2:$A$53))</f>
        <v>0</v>
      </c>
      <c r="I552" s="176"/>
      <c r="J552" s="177"/>
      <c r="K552" s="177"/>
      <c r="L552" s="177"/>
      <c r="M552" s="220"/>
      <c r="N552" s="178"/>
      <c r="O552" s="176"/>
      <c r="P552" s="178"/>
      <c r="Q552" s="105"/>
      <c r="R552" s="219"/>
      <c r="S552" s="164"/>
      <c r="T552" s="164"/>
      <c r="U552" s="162"/>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row>
    <row r="553" spans="1:67" ht="29.25" hidden="1" customHeight="1">
      <c r="A553" s="216"/>
      <c r="B553" s="217"/>
      <c r="C553" s="174"/>
      <c r="D553" s="174"/>
      <c r="E553" s="175"/>
      <c r="F553" s="162"/>
      <c r="G553" s="218"/>
      <c r="H553" s="22">
        <f>IF(OR(J553="",K553="",K553&lt;J553),0,NETWORKDAYS(J553,K553,fESTIVOS!$A$2:$A$53))</f>
        <v>0</v>
      </c>
      <c r="I553" s="176"/>
      <c r="J553" s="177"/>
      <c r="K553" s="177"/>
      <c r="L553" s="177"/>
      <c r="M553" s="220"/>
      <c r="N553" s="178"/>
      <c r="O553" s="176"/>
      <c r="P553" s="178"/>
      <c r="Q553" s="105"/>
      <c r="R553" s="219"/>
      <c r="S553" s="164"/>
      <c r="T553" s="164"/>
      <c r="U553" s="162"/>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row>
    <row r="554" spans="1:67" ht="29.25" hidden="1" customHeight="1">
      <c r="A554" s="216"/>
      <c r="B554" s="217"/>
      <c r="C554" s="174"/>
      <c r="D554" s="174"/>
      <c r="E554" s="175"/>
      <c r="F554" s="162"/>
      <c r="G554" s="218"/>
      <c r="H554" s="22">
        <f>IF(OR(J554="",K554="",K554&lt;J554),0,NETWORKDAYS(J554,K554,fESTIVOS!$A$2:$A$53))</f>
        <v>0</v>
      </c>
      <c r="I554" s="176"/>
      <c r="J554" s="177"/>
      <c r="K554" s="177"/>
      <c r="L554" s="177"/>
      <c r="M554" s="220"/>
      <c r="N554" s="178"/>
      <c r="O554" s="176"/>
      <c r="P554" s="178"/>
      <c r="Q554" s="105"/>
      <c r="R554" s="219"/>
      <c r="S554" s="164"/>
      <c r="T554" s="164"/>
      <c r="U554" s="162"/>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row>
    <row r="555" spans="1:67" ht="29.25" hidden="1" customHeight="1">
      <c r="A555" s="216"/>
      <c r="B555" s="217"/>
      <c r="C555" s="174"/>
      <c r="D555" s="174"/>
      <c r="E555" s="175"/>
      <c r="F555" s="162"/>
      <c r="G555" s="218"/>
      <c r="H555" s="22">
        <f>IF(OR(J555="",K555="",K555&lt;J555),0,NETWORKDAYS(J555,K555,fESTIVOS!$A$2:$A$53))</f>
        <v>0</v>
      </c>
      <c r="I555" s="176"/>
      <c r="J555" s="177"/>
      <c r="K555" s="177"/>
      <c r="L555" s="177"/>
      <c r="M555" s="220"/>
      <c r="N555" s="178"/>
      <c r="O555" s="176"/>
      <c r="P555" s="178"/>
      <c r="Q555" s="105"/>
      <c r="R555" s="219"/>
      <c r="S555" s="164"/>
      <c r="T555" s="164"/>
      <c r="U555" s="162"/>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row>
    <row r="556" spans="1:67" ht="29.25" hidden="1" customHeight="1">
      <c r="A556" s="216"/>
      <c r="B556" s="217"/>
      <c r="C556" s="174"/>
      <c r="D556" s="174"/>
      <c r="E556" s="175"/>
      <c r="F556" s="162"/>
      <c r="G556" s="218"/>
      <c r="H556" s="22">
        <f>IF(OR(J556="",K556="",K556&lt;J556),0,NETWORKDAYS(J556,K556,fESTIVOS!$A$2:$A$53))</f>
        <v>0</v>
      </c>
      <c r="I556" s="176"/>
      <c r="J556" s="177"/>
      <c r="K556" s="177"/>
      <c r="L556" s="177"/>
      <c r="M556" s="220"/>
      <c r="N556" s="178"/>
      <c r="O556" s="176"/>
      <c r="P556" s="178"/>
      <c r="Q556" s="105"/>
      <c r="R556" s="219"/>
      <c r="S556" s="164"/>
      <c r="T556" s="164"/>
      <c r="U556" s="162"/>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row>
    <row r="557" spans="1:67" ht="29.25" hidden="1" customHeight="1">
      <c r="A557" s="216"/>
      <c r="B557" s="217"/>
      <c r="C557" s="174"/>
      <c r="D557" s="174"/>
      <c r="E557" s="175"/>
      <c r="F557" s="162"/>
      <c r="G557" s="218"/>
      <c r="H557" s="22">
        <f>IF(OR(J557="",K557="",K557&lt;J557),0,NETWORKDAYS(J557,K557,fESTIVOS!$A$2:$A$53))</f>
        <v>0</v>
      </c>
      <c r="I557" s="176"/>
      <c r="J557" s="177"/>
      <c r="K557" s="177"/>
      <c r="L557" s="177"/>
      <c r="M557" s="220"/>
      <c r="N557" s="178"/>
      <c r="O557" s="176"/>
      <c r="P557" s="178"/>
      <c r="Q557" s="105"/>
      <c r="R557" s="219"/>
      <c r="S557" s="164"/>
      <c r="T557" s="164"/>
      <c r="U557" s="162"/>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row>
    <row r="558" spans="1:67" ht="29.25" hidden="1" customHeight="1">
      <c r="A558" s="216"/>
      <c r="B558" s="217"/>
      <c r="C558" s="174"/>
      <c r="D558" s="174"/>
      <c r="E558" s="175"/>
      <c r="F558" s="162"/>
      <c r="G558" s="218"/>
      <c r="H558" s="22">
        <f>IF(OR(J558="",K558="",K558&lt;J558),0,NETWORKDAYS(J558,K558,fESTIVOS!$A$2:$A$53))</f>
        <v>0</v>
      </c>
      <c r="I558" s="176"/>
      <c r="J558" s="177"/>
      <c r="K558" s="177"/>
      <c r="L558" s="177"/>
      <c r="M558" s="220"/>
      <c r="N558" s="178"/>
      <c r="O558" s="176"/>
      <c r="P558" s="178"/>
      <c r="Q558" s="105"/>
      <c r="R558" s="219"/>
      <c r="S558" s="164"/>
      <c r="T558" s="164"/>
      <c r="U558" s="162"/>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row>
    <row r="559" spans="1:67" ht="29.25" hidden="1" customHeight="1">
      <c r="A559" s="216"/>
      <c r="B559" s="217"/>
      <c r="C559" s="174"/>
      <c r="D559" s="174"/>
      <c r="E559" s="175"/>
      <c r="F559" s="162"/>
      <c r="G559" s="218"/>
      <c r="H559" s="22">
        <f>IF(OR(J559="",K559="",K559&lt;J559),0,NETWORKDAYS(J559,K559,fESTIVOS!$A$2:$A$53))</f>
        <v>0</v>
      </c>
      <c r="I559" s="176"/>
      <c r="J559" s="177"/>
      <c r="K559" s="177"/>
      <c r="L559" s="177"/>
      <c r="M559" s="220"/>
      <c r="N559" s="178"/>
      <c r="O559" s="176"/>
      <c r="P559" s="178"/>
      <c r="Q559" s="105"/>
      <c r="R559" s="219"/>
      <c r="S559" s="164"/>
      <c r="T559" s="164"/>
      <c r="U559" s="162"/>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row>
    <row r="560" spans="1:67" ht="29.25" hidden="1" customHeight="1">
      <c r="A560" s="216"/>
      <c r="B560" s="217"/>
      <c r="C560" s="174"/>
      <c r="D560" s="174"/>
      <c r="E560" s="175"/>
      <c r="F560" s="162"/>
      <c r="G560" s="218"/>
      <c r="H560" s="22">
        <f>IF(OR(J560="",K560="",K560&lt;J560),0,NETWORKDAYS(J560,K560,fESTIVOS!$A$2:$A$53))</f>
        <v>0</v>
      </c>
      <c r="I560" s="176"/>
      <c r="J560" s="177"/>
      <c r="K560" s="177"/>
      <c r="L560" s="177"/>
      <c r="M560" s="220"/>
      <c r="N560" s="178"/>
      <c r="O560" s="176"/>
      <c r="P560" s="178"/>
      <c r="Q560" s="105"/>
      <c r="R560" s="219"/>
      <c r="S560" s="164"/>
      <c r="T560" s="164"/>
      <c r="U560" s="162"/>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row>
    <row r="561" spans="1:67" ht="29.25" hidden="1" customHeight="1">
      <c r="A561" s="216"/>
      <c r="B561" s="217"/>
      <c r="C561" s="174"/>
      <c r="D561" s="174"/>
      <c r="E561" s="175"/>
      <c r="F561" s="162"/>
      <c r="G561" s="218"/>
      <c r="H561" s="22">
        <f>IF(OR(J561="",K561="",K561&lt;J561),0,NETWORKDAYS(J561,K561,fESTIVOS!$A$2:$A$53))</f>
        <v>0</v>
      </c>
      <c r="I561" s="176"/>
      <c r="J561" s="177"/>
      <c r="K561" s="177"/>
      <c r="L561" s="177"/>
      <c r="M561" s="220"/>
      <c r="N561" s="178"/>
      <c r="O561" s="176"/>
      <c r="P561" s="178"/>
      <c r="Q561" s="105"/>
      <c r="R561" s="219"/>
      <c r="S561" s="164"/>
      <c r="T561" s="164"/>
      <c r="U561" s="162"/>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row>
    <row r="562" spans="1:67" ht="29.25" hidden="1" customHeight="1">
      <c r="A562" s="216"/>
      <c r="B562" s="217"/>
      <c r="C562" s="174"/>
      <c r="D562" s="174"/>
      <c r="E562" s="175"/>
      <c r="F562" s="162"/>
      <c r="G562" s="218"/>
      <c r="H562" s="22">
        <f>IF(OR(J562="",K562="",K562&lt;J562),0,NETWORKDAYS(J562,K562,fESTIVOS!$A$2:$A$53))</f>
        <v>0</v>
      </c>
      <c r="I562" s="176"/>
      <c r="J562" s="177"/>
      <c r="K562" s="177"/>
      <c r="L562" s="177"/>
      <c r="M562" s="220"/>
      <c r="N562" s="178"/>
      <c r="O562" s="176"/>
      <c r="P562" s="178"/>
      <c r="Q562" s="105"/>
      <c r="R562" s="219"/>
      <c r="S562" s="164"/>
      <c r="T562" s="164"/>
      <c r="U562" s="162"/>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row>
    <row r="563" spans="1:67" ht="29.25" hidden="1" customHeight="1">
      <c r="A563" s="216"/>
      <c r="B563" s="217"/>
      <c r="C563" s="174"/>
      <c r="D563" s="174"/>
      <c r="E563" s="175"/>
      <c r="F563" s="162"/>
      <c r="G563" s="218"/>
      <c r="H563" s="22">
        <f>IF(OR(J563="",K563="",K563&lt;J563),0,NETWORKDAYS(J563,K563,fESTIVOS!$A$2:$A$53))</f>
        <v>0</v>
      </c>
      <c r="I563" s="176"/>
      <c r="J563" s="177"/>
      <c r="K563" s="177"/>
      <c r="L563" s="177"/>
      <c r="M563" s="220"/>
      <c r="N563" s="178"/>
      <c r="O563" s="176"/>
      <c r="P563" s="178"/>
      <c r="Q563" s="105"/>
      <c r="R563" s="219"/>
      <c r="S563" s="164"/>
      <c r="T563" s="164"/>
      <c r="U563" s="162"/>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row>
    <row r="564" spans="1:67" ht="29.25" hidden="1" customHeight="1">
      <c r="A564" s="216"/>
      <c r="B564" s="217"/>
      <c r="C564" s="174"/>
      <c r="D564" s="174"/>
      <c r="E564" s="175"/>
      <c r="F564" s="162"/>
      <c r="G564" s="218"/>
      <c r="H564" s="22">
        <f>IF(OR(J564="",K564="",K564&lt;J564),0,NETWORKDAYS(J564,K564,fESTIVOS!$A$2:$A$53))</f>
        <v>0</v>
      </c>
      <c r="I564" s="176"/>
      <c r="J564" s="177"/>
      <c r="K564" s="177"/>
      <c r="L564" s="177"/>
      <c r="M564" s="220"/>
      <c r="N564" s="178"/>
      <c r="O564" s="176"/>
      <c r="P564" s="178"/>
      <c r="Q564" s="105"/>
      <c r="R564" s="219"/>
      <c r="S564" s="164"/>
      <c r="T564" s="164"/>
      <c r="U564" s="162"/>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row>
    <row r="565" spans="1:67" ht="29.25" hidden="1" customHeight="1">
      <c r="A565" s="216"/>
      <c r="B565" s="217"/>
      <c r="C565" s="174"/>
      <c r="D565" s="174"/>
      <c r="E565" s="175"/>
      <c r="F565" s="162"/>
      <c r="G565" s="218"/>
      <c r="H565" s="22">
        <f>IF(OR(J565="",K565="",K565&lt;J565),0,NETWORKDAYS(J565,K565,fESTIVOS!$A$2:$A$53))</f>
        <v>0</v>
      </c>
      <c r="I565" s="176"/>
      <c r="J565" s="177"/>
      <c r="K565" s="177"/>
      <c r="L565" s="177"/>
      <c r="M565" s="220"/>
      <c r="N565" s="178"/>
      <c r="O565" s="176"/>
      <c r="P565" s="178"/>
      <c r="Q565" s="105"/>
      <c r="R565" s="219"/>
      <c r="S565" s="164"/>
      <c r="T565" s="164"/>
      <c r="U565" s="162"/>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row>
    <row r="566" spans="1:67" ht="29.25" hidden="1" customHeight="1">
      <c r="A566" s="216"/>
      <c r="B566" s="217"/>
      <c r="C566" s="174"/>
      <c r="D566" s="174"/>
      <c r="E566" s="175"/>
      <c r="F566" s="162"/>
      <c r="G566" s="218"/>
      <c r="H566" s="22">
        <f>IF(OR(J566="",K566="",K566&lt;J566),0,NETWORKDAYS(J566,K566,fESTIVOS!$A$2:$A$53))</f>
        <v>0</v>
      </c>
      <c r="I566" s="176"/>
      <c r="J566" s="177"/>
      <c r="K566" s="177"/>
      <c r="L566" s="177"/>
      <c r="M566" s="220"/>
      <c r="N566" s="178"/>
      <c r="O566" s="176"/>
      <c r="P566" s="178"/>
      <c r="Q566" s="105"/>
      <c r="R566" s="219"/>
      <c r="S566" s="164"/>
      <c r="T566" s="164"/>
      <c r="U566" s="162"/>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row>
    <row r="567" spans="1:67" ht="29.25" hidden="1" customHeight="1">
      <c r="A567" s="216"/>
      <c r="B567" s="217"/>
      <c r="C567" s="174"/>
      <c r="D567" s="174"/>
      <c r="E567" s="175"/>
      <c r="F567" s="162"/>
      <c r="G567" s="218"/>
      <c r="H567" s="22">
        <f>IF(OR(J567="",K567="",K567&lt;J567),0,NETWORKDAYS(J567,K567,fESTIVOS!$A$2:$A$53))</f>
        <v>0</v>
      </c>
      <c r="I567" s="176"/>
      <c r="J567" s="177"/>
      <c r="K567" s="177"/>
      <c r="L567" s="177"/>
      <c r="M567" s="220"/>
      <c r="N567" s="178"/>
      <c r="O567" s="176"/>
      <c r="P567" s="178"/>
      <c r="Q567" s="105"/>
      <c r="R567" s="219"/>
      <c r="S567" s="164"/>
      <c r="T567" s="164"/>
      <c r="U567" s="162"/>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row>
    <row r="568" spans="1:67" ht="29.25" hidden="1" customHeight="1">
      <c r="A568" s="216"/>
      <c r="B568" s="217"/>
      <c r="C568" s="174"/>
      <c r="D568" s="174"/>
      <c r="E568" s="175"/>
      <c r="F568" s="162"/>
      <c r="G568" s="218"/>
      <c r="H568" s="22">
        <f>IF(OR(J568="",K568="",K568&lt;J568),0,NETWORKDAYS(J568,K568,fESTIVOS!$A$2:$A$53))</f>
        <v>0</v>
      </c>
      <c r="I568" s="176"/>
      <c r="J568" s="177"/>
      <c r="K568" s="177"/>
      <c r="L568" s="177"/>
      <c r="M568" s="220"/>
      <c r="N568" s="178"/>
      <c r="O568" s="176"/>
      <c r="P568" s="178"/>
      <c r="Q568" s="105"/>
      <c r="R568" s="219"/>
      <c r="S568" s="164"/>
      <c r="T568" s="164"/>
      <c r="U568" s="162"/>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row>
    <row r="569" spans="1:67" ht="29.25" hidden="1" customHeight="1">
      <c r="A569" s="216"/>
      <c r="B569" s="217"/>
      <c r="C569" s="174"/>
      <c r="D569" s="174"/>
      <c r="E569" s="175"/>
      <c r="F569" s="162"/>
      <c r="G569" s="218"/>
      <c r="H569" s="22">
        <f>IF(OR(J569="",K569="",K569&lt;J569),0,NETWORKDAYS(J569,K569,fESTIVOS!$A$2:$A$53))</f>
        <v>0</v>
      </c>
      <c r="I569" s="176"/>
      <c r="J569" s="177"/>
      <c r="K569" s="177"/>
      <c r="L569" s="177"/>
      <c r="M569" s="220"/>
      <c r="N569" s="178"/>
      <c r="O569" s="176"/>
      <c r="P569" s="178"/>
      <c r="Q569" s="105"/>
      <c r="R569" s="219"/>
      <c r="S569" s="164"/>
      <c r="T569" s="164"/>
      <c r="U569" s="162"/>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row>
    <row r="570" spans="1:67" ht="29.25" hidden="1" customHeight="1">
      <c r="A570" s="216"/>
      <c r="B570" s="217"/>
      <c r="C570" s="174"/>
      <c r="D570" s="174"/>
      <c r="E570" s="175"/>
      <c r="F570" s="162"/>
      <c r="G570" s="218"/>
      <c r="H570" s="22">
        <f>IF(OR(J570="",K570="",K570&lt;J570),0,NETWORKDAYS(J570,K570,fESTIVOS!$A$2:$A$53))</f>
        <v>0</v>
      </c>
      <c r="I570" s="176"/>
      <c r="J570" s="177"/>
      <c r="K570" s="177"/>
      <c r="L570" s="177"/>
      <c r="M570" s="220"/>
      <c r="N570" s="178"/>
      <c r="O570" s="176"/>
      <c r="P570" s="178"/>
      <c r="Q570" s="105"/>
      <c r="R570" s="219"/>
      <c r="S570" s="164"/>
      <c r="T570" s="164"/>
      <c r="U570" s="162"/>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row>
    <row r="571" spans="1:67" ht="29.25" hidden="1" customHeight="1">
      <c r="A571" s="216"/>
      <c r="B571" s="217"/>
      <c r="C571" s="174"/>
      <c r="D571" s="174"/>
      <c r="E571" s="175"/>
      <c r="F571" s="162"/>
      <c r="G571" s="218"/>
      <c r="H571" s="22">
        <f>IF(OR(J571="",K571="",K571&lt;J571),0,NETWORKDAYS(J571,K571,fESTIVOS!$A$2:$A$53))</f>
        <v>0</v>
      </c>
      <c r="I571" s="176"/>
      <c r="J571" s="177"/>
      <c r="K571" s="177"/>
      <c r="L571" s="177"/>
      <c r="M571" s="220"/>
      <c r="N571" s="178"/>
      <c r="O571" s="176"/>
      <c r="P571" s="178"/>
      <c r="Q571" s="105"/>
      <c r="R571" s="219"/>
      <c r="S571" s="164"/>
      <c r="T571" s="164"/>
      <c r="U571" s="162"/>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row>
    <row r="572" spans="1:67" ht="29.25" hidden="1" customHeight="1">
      <c r="A572" s="216"/>
      <c r="B572" s="217"/>
      <c r="C572" s="174"/>
      <c r="D572" s="174"/>
      <c r="E572" s="175"/>
      <c r="F572" s="162"/>
      <c r="G572" s="218"/>
      <c r="H572" s="22">
        <f>IF(OR(J572="",K572="",K572&lt;J572),0,NETWORKDAYS(J572,K572,fESTIVOS!$A$2:$A$53))</f>
        <v>0</v>
      </c>
      <c r="I572" s="176"/>
      <c r="J572" s="177"/>
      <c r="K572" s="177"/>
      <c r="L572" s="177"/>
      <c r="M572" s="220"/>
      <c r="N572" s="178"/>
      <c r="O572" s="176"/>
      <c r="P572" s="178"/>
      <c r="Q572" s="105"/>
      <c r="R572" s="219"/>
      <c r="S572" s="164"/>
      <c r="T572" s="164"/>
      <c r="U572" s="162"/>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row>
    <row r="573" spans="1:67" ht="29.25" hidden="1" customHeight="1">
      <c r="A573" s="216"/>
      <c r="B573" s="217"/>
      <c r="C573" s="174"/>
      <c r="D573" s="174"/>
      <c r="E573" s="175"/>
      <c r="F573" s="162"/>
      <c r="G573" s="218"/>
      <c r="H573" s="22">
        <f>IF(OR(J573="",K573="",K573&lt;J573),0,NETWORKDAYS(J573,K573,fESTIVOS!$A$2:$A$53))</f>
        <v>0</v>
      </c>
      <c r="I573" s="176"/>
      <c r="J573" s="177"/>
      <c r="K573" s="177"/>
      <c r="L573" s="177"/>
      <c r="M573" s="220"/>
      <c r="N573" s="178"/>
      <c r="O573" s="176"/>
      <c r="P573" s="178"/>
      <c r="Q573" s="105"/>
      <c r="R573" s="219"/>
      <c r="S573" s="164"/>
      <c r="T573" s="164"/>
      <c r="U573" s="162"/>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row>
    <row r="574" spans="1:67" ht="29.25" hidden="1" customHeight="1">
      <c r="A574" s="216"/>
      <c r="B574" s="217"/>
      <c r="C574" s="174"/>
      <c r="D574" s="174"/>
      <c r="E574" s="175"/>
      <c r="F574" s="162"/>
      <c r="G574" s="218"/>
      <c r="H574" s="22">
        <f>IF(OR(J574="",K574="",K574&lt;J574),0,NETWORKDAYS(J574,K574,fESTIVOS!$A$2:$A$53))</f>
        <v>0</v>
      </c>
      <c r="I574" s="176"/>
      <c r="J574" s="177"/>
      <c r="K574" s="177"/>
      <c r="L574" s="177"/>
      <c r="M574" s="220"/>
      <c r="N574" s="178"/>
      <c r="O574" s="176"/>
      <c r="P574" s="178"/>
      <c r="Q574" s="105"/>
      <c r="R574" s="219"/>
      <c r="S574" s="164"/>
      <c r="T574" s="164"/>
      <c r="U574" s="162"/>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row>
    <row r="575" spans="1:67" ht="29.25" hidden="1" customHeight="1">
      <c r="A575" s="216"/>
      <c r="B575" s="217"/>
      <c r="C575" s="174"/>
      <c r="D575" s="174"/>
      <c r="E575" s="175"/>
      <c r="F575" s="162"/>
      <c r="G575" s="218"/>
      <c r="H575" s="220"/>
      <c r="I575" s="176"/>
      <c r="J575" s="177"/>
      <c r="K575" s="177"/>
      <c r="L575" s="177"/>
      <c r="M575" s="220"/>
      <c r="N575" s="178"/>
      <c r="O575" s="176"/>
      <c r="P575" s="178"/>
      <c r="Q575" s="105"/>
      <c r="R575" s="219"/>
      <c r="S575" s="164"/>
      <c r="T575" s="164"/>
      <c r="U575" s="162"/>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row>
    <row r="576" spans="1:67" ht="29.25" hidden="1" customHeight="1">
      <c r="A576" s="216"/>
      <c r="B576" s="217"/>
      <c r="C576" s="174"/>
      <c r="D576" s="174"/>
      <c r="E576" s="175"/>
      <c r="F576" s="162"/>
      <c r="G576" s="218"/>
      <c r="H576" s="220"/>
      <c r="I576" s="176"/>
      <c r="J576" s="177"/>
      <c r="K576" s="177"/>
      <c r="L576" s="177"/>
      <c r="M576" s="220"/>
      <c r="N576" s="178"/>
      <c r="O576" s="176"/>
      <c r="P576" s="178"/>
      <c r="Q576" s="105"/>
      <c r="R576" s="219"/>
      <c r="S576" s="164"/>
      <c r="T576" s="164"/>
      <c r="U576" s="162"/>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row>
    <row r="577" spans="1:67" ht="29.25" hidden="1" customHeight="1">
      <c r="A577" s="216"/>
      <c r="B577" s="217"/>
      <c r="C577" s="174"/>
      <c r="D577" s="174"/>
      <c r="E577" s="175"/>
      <c r="F577" s="162"/>
      <c r="G577" s="218"/>
      <c r="H577" s="220"/>
      <c r="I577" s="176"/>
      <c r="J577" s="177"/>
      <c r="K577" s="177"/>
      <c r="L577" s="177"/>
      <c r="M577" s="220"/>
      <c r="N577" s="178"/>
      <c r="O577" s="176"/>
      <c r="P577" s="178"/>
      <c r="Q577" s="105"/>
      <c r="R577" s="219"/>
      <c r="S577" s="164"/>
      <c r="T577" s="164"/>
      <c r="U577" s="162"/>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row>
    <row r="578" spans="1:67" ht="29.25" hidden="1" customHeight="1">
      <c r="A578" s="216"/>
      <c r="B578" s="217"/>
      <c r="C578" s="174"/>
      <c r="D578" s="174"/>
      <c r="E578" s="175"/>
      <c r="F578" s="162"/>
      <c r="G578" s="218"/>
      <c r="H578" s="220"/>
      <c r="I578" s="176"/>
      <c r="J578" s="177"/>
      <c r="K578" s="177"/>
      <c r="L578" s="177"/>
      <c r="M578" s="220"/>
      <c r="N578" s="178"/>
      <c r="O578" s="176"/>
      <c r="P578" s="178"/>
      <c r="Q578" s="105"/>
      <c r="R578" s="219"/>
      <c r="S578" s="164"/>
      <c r="T578" s="164"/>
      <c r="U578" s="162"/>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row>
    <row r="579" spans="1:67" ht="29.25" hidden="1" customHeight="1">
      <c r="A579" s="216"/>
      <c r="B579" s="217"/>
      <c r="C579" s="174"/>
      <c r="D579" s="174"/>
      <c r="E579" s="175"/>
      <c r="F579" s="162"/>
      <c r="G579" s="218"/>
      <c r="H579" s="220"/>
      <c r="I579" s="176"/>
      <c r="J579" s="177"/>
      <c r="K579" s="177"/>
      <c r="L579" s="177"/>
      <c r="M579" s="220"/>
      <c r="N579" s="178"/>
      <c r="O579" s="176"/>
      <c r="P579" s="178"/>
      <c r="Q579" s="105"/>
      <c r="R579" s="219"/>
      <c r="S579" s="164"/>
      <c r="T579" s="164"/>
      <c r="U579" s="162"/>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row>
    <row r="580" spans="1:67" ht="29.25" hidden="1" customHeight="1">
      <c r="A580" s="216"/>
      <c r="B580" s="217"/>
      <c r="C580" s="174"/>
      <c r="D580" s="174"/>
      <c r="E580" s="175"/>
      <c r="F580" s="162"/>
      <c r="G580" s="218"/>
      <c r="H580" s="220"/>
      <c r="I580" s="176"/>
      <c r="J580" s="177"/>
      <c r="K580" s="177"/>
      <c r="L580" s="177"/>
      <c r="M580" s="220"/>
      <c r="N580" s="178"/>
      <c r="O580" s="176"/>
      <c r="P580" s="178"/>
      <c r="Q580" s="105"/>
      <c r="R580" s="219"/>
      <c r="S580" s="164"/>
      <c r="T580" s="164"/>
      <c r="U580" s="162"/>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row>
    <row r="581" spans="1:67" ht="29.25" hidden="1" customHeight="1">
      <c r="A581" s="216"/>
      <c r="B581" s="217"/>
      <c r="C581" s="174"/>
      <c r="D581" s="174"/>
      <c r="E581" s="175"/>
      <c r="F581" s="162"/>
      <c r="G581" s="218"/>
      <c r="H581" s="220"/>
      <c r="I581" s="176"/>
      <c r="J581" s="177"/>
      <c r="K581" s="177"/>
      <c r="L581" s="177"/>
      <c r="M581" s="220"/>
      <c r="N581" s="178"/>
      <c r="O581" s="176"/>
      <c r="P581" s="178"/>
      <c r="Q581" s="105"/>
      <c r="R581" s="219"/>
      <c r="S581" s="164"/>
      <c r="T581" s="164"/>
      <c r="U581" s="162"/>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row>
    <row r="582" spans="1:67" ht="29.25" hidden="1" customHeight="1">
      <c r="A582" s="216"/>
      <c r="B582" s="217"/>
      <c r="C582" s="174"/>
      <c r="D582" s="174"/>
      <c r="E582" s="175"/>
      <c r="F582" s="162"/>
      <c r="G582" s="218"/>
      <c r="H582" s="220"/>
      <c r="I582" s="176"/>
      <c r="J582" s="177"/>
      <c r="K582" s="177"/>
      <c r="L582" s="177"/>
      <c r="M582" s="220"/>
      <c r="N582" s="178"/>
      <c r="O582" s="176"/>
      <c r="P582" s="178"/>
      <c r="Q582" s="105"/>
      <c r="R582" s="219"/>
      <c r="S582" s="164"/>
      <c r="T582" s="164"/>
      <c r="U582" s="162"/>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row>
    <row r="583" spans="1:67" ht="29.25" hidden="1" customHeight="1">
      <c r="A583" s="216"/>
      <c r="B583" s="217"/>
      <c r="C583" s="174"/>
      <c r="D583" s="174"/>
      <c r="E583" s="175"/>
      <c r="F583" s="162"/>
      <c r="G583" s="218"/>
      <c r="H583" s="220"/>
      <c r="I583" s="176"/>
      <c r="J583" s="177"/>
      <c r="K583" s="177"/>
      <c r="L583" s="177"/>
      <c r="M583" s="220"/>
      <c r="N583" s="178"/>
      <c r="O583" s="176"/>
      <c r="P583" s="178"/>
      <c r="Q583" s="105"/>
      <c r="R583" s="219"/>
      <c r="S583" s="164"/>
      <c r="T583" s="164"/>
      <c r="U583" s="162"/>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row>
    <row r="584" spans="1:67" ht="29.25" hidden="1" customHeight="1">
      <c r="A584" s="216"/>
      <c r="B584" s="217"/>
      <c r="C584" s="174"/>
      <c r="D584" s="174"/>
      <c r="E584" s="175"/>
      <c r="F584" s="162"/>
      <c r="G584" s="218"/>
      <c r="H584" s="220"/>
      <c r="I584" s="176"/>
      <c r="J584" s="177"/>
      <c r="K584" s="177"/>
      <c r="L584" s="177"/>
      <c r="M584" s="220"/>
      <c r="N584" s="178"/>
      <c r="O584" s="176"/>
      <c r="P584" s="178"/>
      <c r="Q584" s="105"/>
      <c r="R584" s="219"/>
      <c r="S584" s="164"/>
      <c r="T584" s="164"/>
      <c r="U584" s="162"/>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row>
    <row r="585" spans="1:67" ht="29.25" hidden="1" customHeight="1">
      <c r="A585" s="216"/>
      <c r="B585" s="217"/>
      <c r="C585" s="174"/>
      <c r="D585" s="174"/>
      <c r="E585" s="175"/>
      <c r="F585" s="162"/>
      <c r="G585" s="218"/>
      <c r="H585" s="220"/>
      <c r="I585" s="176"/>
      <c r="J585" s="177"/>
      <c r="K585" s="177"/>
      <c r="L585" s="177"/>
      <c r="M585" s="220"/>
      <c r="N585" s="178"/>
      <c r="O585" s="176"/>
      <c r="P585" s="178"/>
      <c r="Q585" s="105"/>
      <c r="R585" s="219"/>
      <c r="S585" s="164"/>
      <c r="T585" s="164"/>
      <c r="U585" s="162"/>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row>
    <row r="586" spans="1:67" ht="29.25" hidden="1" customHeight="1">
      <c r="A586" s="216"/>
      <c r="B586" s="217"/>
      <c r="C586" s="174"/>
      <c r="D586" s="174"/>
      <c r="E586" s="175"/>
      <c r="F586" s="162"/>
      <c r="G586" s="218"/>
      <c r="H586" s="220"/>
      <c r="I586" s="176"/>
      <c r="J586" s="177"/>
      <c r="K586" s="177"/>
      <c r="L586" s="177"/>
      <c r="M586" s="220"/>
      <c r="N586" s="178"/>
      <c r="O586" s="176"/>
      <c r="P586" s="178"/>
      <c r="Q586" s="105"/>
      <c r="R586" s="219"/>
      <c r="S586" s="164"/>
      <c r="T586" s="164"/>
      <c r="U586" s="162"/>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row>
    <row r="587" spans="1:67" ht="29.25" hidden="1" customHeight="1">
      <c r="A587" s="216"/>
      <c r="B587" s="217"/>
      <c r="C587" s="174"/>
      <c r="D587" s="174"/>
      <c r="E587" s="175"/>
      <c r="F587" s="162"/>
      <c r="G587" s="218"/>
      <c r="H587" s="220"/>
      <c r="I587" s="176"/>
      <c r="J587" s="177"/>
      <c r="K587" s="177"/>
      <c r="L587" s="177"/>
      <c r="M587" s="220"/>
      <c r="N587" s="178"/>
      <c r="O587" s="176"/>
      <c r="P587" s="178"/>
      <c r="Q587" s="105"/>
      <c r="R587" s="219"/>
      <c r="S587" s="164"/>
      <c r="T587" s="164"/>
      <c r="U587" s="162"/>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row>
    <row r="588" spans="1:67" ht="29.25" hidden="1" customHeight="1">
      <c r="A588" s="216"/>
      <c r="B588" s="217"/>
      <c r="C588" s="174"/>
      <c r="D588" s="174"/>
      <c r="E588" s="175"/>
      <c r="F588" s="162"/>
      <c r="G588" s="218"/>
      <c r="H588" s="220"/>
      <c r="I588" s="176"/>
      <c r="J588" s="177"/>
      <c r="K588" s="177"/>
      <c r="L588" s="177"/>
      <c r="M588" s="220"/>
      <c r="N588" s="178"/>
      <c r="O588" s="176"/>
      <c r="P588" s="178"/>
      <c r="Q588" s="105"/>
      <c r="R588" s="219"/>
      <c r="S588" s="164"/>
      <c r="T588" s="164"/>
      <c r="U588" s="162"/>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row>
    <row r="589" spans="1:67" ht="29.25" hidden="1" customHeight="1">
      <c r="A589" s="216"/>
      <c r="B589" s="217"/>
      <c r="C589" s="174"/>
      <c r="D589" s="174"/>
      <c r="E589" s="175"/>
      <c r="F589" s="162"/>
      <c r="G589" s="218"/>
      <c r="H589" s="220"/>
      <c r="I589" s="176"/>
      <c r="J589" s="177"/>
      <c r="K589" s="177"/>
      <c r="L589" s="177"/>
      <c r="M589" s="220"/>
      <c r="N589" s="178"/>
      <c r="O589" s="176"/>
      <c r="P589" s="178"/>
      <c r="Q589" s="105"/>
      <c r="R589" s="219"/>
      <c r="S589" s="164"/>
      <c r="T589" s="164"/>
      <c r="U589" s="162"/>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row>
    <row r="590" spans="1:67" ht="29.25" hidden="1" customHeight="1">
      <c r="A590" s="216"/>
      <c r="B590" s="217"/>
      <c r="C590" s="174"/>
      <c r="D590" s="174"/>
      <c r="E590" s="175"/>
      <c r="F590" s="162"/>
      <c r="G590" s="218"/>
      <c r="H590" s="220"/>
      <c r="I590" s="176"/>
      <c r="J590" s="177"/>
      <c r="K590" s="177"/>
      <c r="L590" s="177"/>
      <c r="M590" s="220"/>
      <c r="N590" s="178"/>
      <c r="O590" s="176"/>
      <c r="P590" s="178"/>
      <c r="Q590" s="105"/>
      <c r="R590" s="219"/>
      <c r="S590" s="164"/>
      <c r="T590" s="164"/>
      <c r="U590" s="162"/>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row>
    <row r="591" spans="1:67" ht="29.25" hidden="1" customHeight="1">
      <c r="A591" s="216"/>
      <c r="B591" s="217"/>
      <c r="C591" s="174"/>
      <c r="D591" s="174"/>
      <c r="E591" s="175"/>
      <c r="F591" s="162"/>
      <c r="G591" s="218"/>
      <c r="H591" s="220"/>
      <c r="I591" s="176"/>
      <c r="J591" s="177"/>
      <c r="K591" s="177"/>
      <c r="L591" s="177"/>
      <c r="M591" s="220"/>
      <c r="N591" s="178"/>
      <c r="O591" s="176"/>
      <c r="P591" s="178"/>
      <c r="Q591" s="105"/>
      <c r="R591" s="219"/>
      <c r="S591" s="164"/>
      <c r="T591" s="164"/>
      <c r="U591" s="162"/>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row>
    <row r="592" spans="1:67" ht="29.25" hidden="1" customHeight="1">
      <c r="A592" s="216"/>
      <c r="B592" s="217"/>
      <c r="C592" s="174"/>
      <c r="D592" s="174"/>
      <c r="E592" s="175"/>
      <c r="F592" s="162"/>
      <c r="G592" s="218"/>
      <c r="H592" s="220"/>
      <c r="I592" s="176"/>
      <c r="J592" s="177"/>
      <c r="K592" s="177"/>
      <c r="L592" s="177"/>
      <c r="M592" s="220"/>
      <c r="N592" s="178"/>
      <c r="O592" s="176"/>
      <c r="P592" s="178"/>
      <c r="Q592" s="105"/>
      <c r="R592" s="219"/>
      <c r="S592" s="164"/>
      <c r="T592" s="164"/>
      <c r="U592" s="162"/>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row>
    <row r="593" spans="1:67" ht="29.25" hidden="1" customHeight="1">
      <c r="A593" s="216"/>
      <c r="B593" s="217"/>
      <c r="C593" s="174"/>
      <c r="D593" s="174"/>
      <c r="E593" s="175"/>
      <c r="F593" s="162"/>
      <c r="G593" s="218"/>
      <c r="H593" s="220"/>
      <c r="I593" s="176"/>
      <c r="J593" s="177"/>
      <c r="K593" s="177"/>
      <c r="L593" s="177"/>
      <c r="M593" s="220"/>
      <c r="N593" s="178"/>
      <c r="O593" s="176"/>
      <c r="P593" s="178"/>
      <c r="Q593" s="105"/>
      <c r="R593" s="219"/>
      <c r="S593" s="164"/>
      <c r="T593" s="164"/>
      <c r="U593" s="162"/>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row>
    <row r="594" spans="1:67" ht="29.25" hidden="1" customHeight="1">
      <c r="A594" s="216"/>
      <c r="B594" s="217"/>
      <c r="C594" s="174"/>
      <c r="D594" s="174"/>
      <c r="E594" s="175"/>
      <c r="F594" s="162"/>
      <c r="G594" s="218"/>
      <c r="H594" s="220"/>
      <c r="I594" s="176"/>
      <c r="J594" s="177"/>
      <c r="K594" s="177"/>
      <c r="L594" s="177"/>
      <c r="M594" s="220"/>
      <c r="N594" s="178"/>
      <c r="O594" s="176"/>
      <c r="P594" s="178"/>
      <c r="Q594" s="105"/>
      <c r="R594" s="219"/>
      <c r="S594" s="164"/>
      <c r="T594" s="164"/>
      <c r="U594" s="162"/>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row>
    <row r="595" spans="1:67" ht="29.25" hidden="1" customHeight="1">
      <c r="A595" s="216"/>
      <c r="B595" s="217"/>
      <c r="C595" s="174"/>
      <c r="D595" s="174"/>
      <c r="E595" s="175"/>
      <c r="F595" s="162"/>
      <c r="G595" s="218"/>
      <c r="H595" s="220"/>
      <c r="I595" s="176"/>
      <c r="J595" s="177"/>
      <c r="K595" s="177"/>
      <c r="L595" s="177"/>
      <c r="M595" s="220"/>
      <c r="N595" s="178"/>
      <c r="O595" s="176"/>
      <c r="P595" s="178"/>
      <c r="Q595" s="105"/>
      <c r="R595" s="219"/>
      <c r="S595" s="164"/>
      <c r="T595" s="164"/>
      <c r="U595" s="162"/>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row>
    <row r="596" spans="1:67" ht="29.25" hidden="1" customHeight="1">
      <c r="A596" s="216"/>
      <c r="B596" s="217"/>
      <c r="C596" s="174"/>
      <c r="D596" s="174"/>
      <c r="E596" s="175"/>
      <c r="F596" s="162"/>
      <c r="G596" s="218"/>
      <c r="H596" s="220"/>
      <c r="I596" s="176"/>
      <c r="J596" s="177"/>
      <c r="K596" s="177"/>
      <c r="L596" s="177"/>
      <c r="M596" s="220"/>
      <c r="N596" s="178"/>
      <c r="O596" s="176"/>
      <c r="P596" s="178"/>
      <c r="Q596" s="105"/>
      <c r="R596" s="219"/>
      <c r="S596" s="164"/>
      <c r="T596" s="164"/>
      <c r="U596" s="162"/>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row>
    <row r="597" spans="1:67" ht="29.25" hidden="1" customHeight="1">
      <c r="A597" s="216"/>
      <c r="B597" s="217"/>
      <c r="C597" s="174"/>
      <c r="D597" s="174"/>
      <c r="E597" s="175"/>
      <c r="F597" s="162"/>
      <c r="G597" s="218"/>
      <c r="H597" s="220"/>
      <c r="I597" s="176"/>
      <c r="J597" s="177"/>
      <c r="K597" s="177"/>
      <c r="L597" s="177"/>
      <c r="M597" s="220"/>
      <c r="N597" s="178"/>
      <c r="O597" s="176"/>
      <c r="P597" s="178"/>
      <c r="Q597" s="105"/>
      <c r="R597" s="219"/>
      <c r="S597" s="164"/>
      <c r="T597" s="164"/>
      <c r="U597" s="162"/>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row>
    <row r="598" spans="1:67" ht="29.25" hidden="1" customHeight="1">
      <c r="A598" s="216"/>
      <c r="B598" s="217"/>
      <c r="C598" s="174"/>
      <c r="D598" s="174"/>
      <c r="E598" s="175"/>
      <c r="F598" s="162"/>
      <c r="G598" s="218"/>
      <c r="H598" s="220"/>
      <c r="I598" s="176"/>
      <c r="J598" s="177"/>
      <c r="K598" s="177"/>
      <c r="L598" s="177"/>
      <c r="M598" s="220"/>
      <c r="N598" s="178"/>
      <c r="O598" s="176"/>
      <c r="P598" s="178"/>
      <c r="Q598" s="105"/>
      <c r="R598" s="219"/>
      <c r="S598" s="164"/>
      <c r="T598" s="164"/>
      <c r="U598" s="162"/>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row>
    <row r="599" spans="1:67" ht="29.25" hidden="1" customHeight="1">
      <c r="A599" s="216"/>
      <c r="B599" s="217"/>
      <c r="C599" s="174"/>
      <c r="D599" s="174"/>
      <c r="E599" s="175"/>
      <c r="F599" s="162"/>
      <c r="G599" s="218"/>
      <c r="H599" s="220"/>
      <c r="I599" s="176"/>
      <c r="J599" s="177"/>
      <c r="K599" s="177"/>
      <c r="L599" s="177"/>
      <c r="M599" s="220"/>
      <c r="N599" s="178"/>
      <c r="O599" s="176"/>
      <c r="P599" s="178"/>
      <c r="Q599" s="105"/>
      <c r="R599" s="219"/>
      <c r="S599" s="164"/>
      <c r="T599" s="164"/>
      <c r="U599" s="162"/>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row>
    <row r="600" spans="1:67" ht="29.25" hidden="1" customHeight="1">
      <c r="A600" s="216"/>
      <c r="B600" s="217"/>
      <c r="C600" s="174"/>
      <c r="D600" s="174"/>
      <c r="E600" s="175"/>
      <c r="F600" s="162"/>
      <c r="G600" s="218"/>
      <c r="H600" s="220"/>
      <c r="I600" s="176"/>
      <c r="J600" s="177"/>
      <c r="K600" s="177"/>
      <c r="L600" s="177"/>
      <c r="M600" s="220"/>
      <c r="N600" s="178"/>
      <c r="O600" s="176"/>
      <c r="P600" s="178"/>
      <c r="Q600" s="105"/>
      <c r="R600" s="219"/>
      <c r="S600" s="164"/>
      <c r="T600" s="164"/>
      <c r="U600" s="162"/>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row>
    <row r="601" spans="1:67" ht="29.25" hidden="1" customHeight="1">
      <c r="A601" s="216"/>
      <c r="B601" s="217"/>
      <c r="C601" s="174"/>
      <c r="D601" s="174"/>
      <c r="E601" s="175"/>
      <c r="F601" s="162"/>
      <c r="G601" s="218"/>
      <c r="H601" s="220"/>
      <c r="I601" s="176"/>
      <c r="J601" s="177"/>
      <c r="K601" s="177"/>
      <c r="L601" s="177"/>
      <c r="M601" s="220"/>
      <c r="N601" s="178"/>
      <c r="O601" s="176"/>
      <c r="P601" s="178"/>
      <c r="Q601" s="105"/>
      <c r="R601" s="219"/>
      <c r="S601" s="164"/>
      <c r="T601" s="164"/>
      <c r="U601" s="162"/>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row>
    <row r="602" spans="1:67" ht="29.25" hidden="1" customHeight="1">
      <c r="A602" s="216"/>
      <c r="B602" s="217"/>
      <c r="C602" s="174"/>
      <c r="D602" s="174"/>
      <c r="E602" s="175"/>
      <c r="F602" s="162"/>
      <c r="G602" s="218"/>
      <c r="H602" s="220"/>
      <c r="I602" s="176"/>
      <c r="J602" s="177"/>
      <c r="K602" s="177"/>
      <c r="L602" s="177"/>
      <c r="M602" s="220"/>
      <c r="N602" s="178"/>
      <c r="O602" s="176"/>
      <c r="P602" s="178"/>
      <c r="Q602" s="105"/>
      <c r="R602" s="219"/>
      <c r="S602" s="164"/>
      <c r="T602" s="164"/>
      <c r="U602" s="162"/>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row>
    <row r="603" spans="1:67" ht="29.25" hidden="1" customHeight="1">
      <c r="A603" s="216"/>
      <c r="B603" s="217"/>
      <c r="C603" s="174"/>
      <c r="D603" s="174"/>
      <c r="E603" s="175"/>
      <c r="F603" s="162"/>
      <c r="G603" s="218"/>
      <c r="H603" s="220"/>
      <c r="I603" s="176"/>
      <c r="J603" s="177"/>
      <c r="K603" s="177"/>
      <c r="L603" s="177"/>
      <c r="M603" s="220"/>
      <c r="N603" s="178"/>
      <c r="O603" s="176"/>
      <c r="P603" s="178"/>
      <c r="Q603" s="105"/>
      <c r="R603" s="219"/>
      <c r="S603" s="164"/>
      <c r="T603" s="164"/>
      <c r="U603" s="162"/>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row>
    <row r="604" spans="1:67" ht="29.25" hidden="1" customHeight="1">
      <c r="A604" s="216"/>
      <c r="B604" s="217"/>
      <c r="C604" s="174"/>
      <c r="D604" s="174"/>
      <c r="E604" s="175"/>
      <c r="F604" s="162"/>
      <c r="G604" s="218"/>
      <c r="H604" s="220"/>
      <c r="I604" s="176"/>
      <c r="J604" s="177"/>
      <c r="K604" s="177"/>
      <c r="L604" s="177"/>
      <c r="M604" s="220"/>
      <c r="N604" s="178"/>
      <c r="O604" s="176"/>
      <c r="P604" s="178"/>
      <c r="Q604" s="105"/>
      <c r="R604" s="219"/>
      <c r="S604" s="164"/>
      <c r="T604" s="164"/>
      <c r="U604" s="162"/>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row>
    <row r="605" spans="1:67" ht="29.25" hidden="1" customHeight="1">
      <c r="A605" s="216"/>
      <c r="B605" s="217"/>
      <c r="C605" s="174"/>
      <c r="D605" s="174"/>
      <c r="E605" s="175"/>
      <c r="F605" s="162"/>
      <c r="G605" s="218"/>
      <c r="H605" s="220"/>
      <c r="I605" s="176"/>
      <c r="J605" s="177"/>
      <c r="K605" s="177"/>
      <c r="L605" s="177"/>
      <c r="M605" s="220"/>
      <c r="N605" s="178"/>
      <c r="O605" s="176"/>
      <c r="P605" s="178"/>
      <c r="Q605" s="105"/>
      <c r="R605" s="219"/>
      <c r="S605" s="164"/>
      <c r="T605" s="164"/>
      <c r="U605" s="162"/>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row>
    <row r="606" spans="1:67" ht="29.25" hidden="1" customHeight="1">
      <c r="A606" s="216"/>
      <c r="B606" s="217"/>
      <c r="C606" s="174"/>
      <c r="D606" s="174"/>
      <c r="E606" s="175"/>
      <c r="F606" s="162"/>
      <c r="G606" s="218"/>
      <c r="H606" s="220"/>
      <c r="I606" s="176"/>
      <c r="J606" s="177"/>
      <c r="K606" s="177"/>
      <c r="L606" s="177"/>
      <c r="M606" s="220"/>
      <c r="N606" s="178"/>
      <c r="O606" s="176"/>
      <c r="P606" s="178"/>
      <c r="Q606" s="105"/>
      <c r="R606" s="219"/>
      <c r="S606" s="164"/>
      <c r="T606" s="164"/>
      <c r="U606" s="162"/>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row>
    <row r="607" spans="1:67" ht="29.25" hidden="1" customHeight="1">
      <c r="A607" s="216"/>
      <c r="B607" s="217"/>
      <c r="C607" s="174"/>
      <c r="D607" s="174"/>
      <c r="E607" s="175"/>
      <c r="F607" s="162"/>
      <c r="G607" s="218"/>
      <c r="H607" s="220"/>
      <c r="I607" s="176"/>
      <c r="J607" s="177"/>
      <c r="K607" s="177"/>
      <c r="L607" s="177"/>
      <c r="M607" s="220"/>
      <c r="N607" s="178"/>
      <c r="O607" s="176"/>
      <c r="P607" s="178"/>
      <c r="Q607" s="105"/>
      <c r="R607" s="219"/>
      <c r="S607" s="164"/>
      <c r="T607" s="164"/>
      <c r="U607" s="162"/>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row>
    <row r="608" spans="1:67" ht="29.25" hidden="1" customHeight="1">
      <c r="A608" s="216"/>
      <c r="B608" s="217"/>
      <c r="C608" s="174"/>
      <c r="D608" s="174"/>
      <c r="E608" s="175"/>
      <c r="F608" s="162"/>
      <c r="G608" s="218"/>
      <c r="H608" s="220"/>
      <c r="I608" s="176"/>
      <c r="J608" s="177"/>
      <c r="K608" s="177"/>
      <c r="L608" s="177"/>
      <c r="M608" s="220"/>
      <c r="N608" s="178"/>
      <c r="O608" s="176"/>
      <c r="P608" s="178"/>
      <c r="Q608" s="105"/>
      <c r="R608" s="219"/>
      <c r="S608" s="164"/>
      <c r="T608" s="164"/>
      <c r="U608" s="162"/>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row>
    <row r="609" spans="1:67" ht="29.25" hidden="1" customHeight="1">
      <c r="A609" s="216"/>
      <c r="B609" s="217"/>
      <c r="C609" s="174"/>
      <c r="D609" s="174"/>
      <c r="E609" s="175"/>
      <c r="F609" s="162"/>
      <c r="G609" s="218"/>
      <c r="H609" s="220"/>
      <c r="I609" s="176"/>
      <c r="J609" s="177"/>
      <c r="K609" s="177"/>
      <c r="L609" s="177"/>
      <c r="M609" s="220"/>
      <c r="N609" s="178"/>
      <c r="O609" s="176"/>
      <c r="P609" s="178"/>
      <c r="Q609" s="105"/>
      <c r="R609" s="219"/>
      <c r="S609" s="164"/>
      <c r="T609" s="164"/>
      <c r="U609" s="162"/>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row>
    <row r="610" spans="1:67" ht="29.25" hidden="1" customHeight="1">
      <c r="A610" s="216"/>
      <c r="B610" s="217"/>
      <c r="C610" s="174"/>
      <c r="D610" s="174"/>
      <c r="E610" s="175"/>
      <c r="F610" s="162"/>
      <c r="G610" s="218"/>
      <c r="H610" s="220"/>
      <c r="I610" s="176"/>
      <c r="J610" s="177"/>
      <c r="K610" s="177"/>
      <c r="L610" s="177"/>
      <c r="M610" s="220"/>
      <c r="N610" s="178"/>
      <c r="O610" s="176"/>
      <c r="P610" s="178"/>
      <c r="Q610" s="105"/>
      <c r="R610" s="219"/>
      <c r="S610" s="164"/>
      <c r="T610" s="164"/>
      <c r="U610" s="162"/>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row>
    <row r="611" spans="1:67" ht="29.25" hidden="1" customHeight="1">
      <c r="A611" s="216"/>
      <c r="B611" s="217"/>
      <c r="C611" s="174"/>
      <c r="D611" s="174"/>
      <c r="E611" s="175"/>
      <c r="F611" s="162"/>
      <c r="G611" s="218"/>
      <c r="H611" s="220"/>
      <c r="I611" s="176"/>
      <c r="J611" s="177"/>
      <c r="K611" s="177"/>
      <c r="L611" s="177"/>
      <c r="M611" s="220"/>
      <c r="N611" s="178"/>
      <c r="O611" s="176"/>
      <c r="P611" s="178"/>
      <c r="Q611" s="105"/>
      <c r="R611" s="219"/>
      <c r="S611" s="164"/>
      <c r="T611" s="164"/>
      <c r="U611" s="162"/>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row>
    <row r="612" spans="1:67" ht="29.25" hidden="1" customHeight="1">
      <c r="A612" s="216"/>
      <c r="B612" s="217"/>
      <c r="C612" s="174"/>
      <c r="D612" s="174"/>
      <c r="E612" s="175"/>
      <c r="F612" s="162"/>
      <c r="G612" s="218"/>
      <c r="H612" s="220"/>
      <c r="I612" s="176"/>
      <c r="J612" s="177"/>
      <c r="K612" s="177"/>
      <c r="L612" s="177"/>
      <c r="M612" s="220"/>
      <c r="N612" s="178"/>
      <c r="O612" s="176"/>
      <c r="P612" s="178"/>
      <c r="Q612" s="105"/>
      <c r="R612" s="219"/>
      <c r="S612" s="164"/>
      <c r="T612" s="164"/>
      <c r="U612" s="162"/>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row>
    <row r="613" spans="1:67" ht="29.25" hidden="1" customHeight="1">
      <c r="A613" s="216"/>
      <c r="B613" s="217"/>
      <c r="C613" s="174"/>
      <c r="D613" s="174"/>
      <c r="E613" s="175"/>
      <c r="F613" s="162"/>
      <c r="G613" s="218"/>
      <c r="H613" s="220"/>
      <c r="I613" s="176"/>
      <c r="J613" s="177"/>
      <c r="K613" s="177"/>
      <c r="L613" s="177"/>
      <c r="M613" s="220"/>
      <c r="N613" s="178"/>
      <c r="O613" s="176"/>
      <c r="P613" s="178"/>
      <c r="Q613" s="105"/>
      <c r="R613" s="219"/>
      <c r="S613" s="164"/>
      <c r="T613" s="164"/>
      <c r="U613" s="162"/>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row>
    <row r="614" spans="1:67" ht="29.25" hidden="1" customHeight="1">
      <c r="A614" s="216"/>
      <c r="B614" s="217"/>
      <c r="C614" s="174"/>
      <c r="D614" s="174"/>
      <c r="E614" s="175"/>
      <c r="F614" s="162"/>
      <c r="G614" s="218"/>
      <c r="H614" s="220"/>
      <c r="I614" s="176"/>
      <c r="J614" s="177"/>
      <c r="K614" s="177"/>
      <c r="L614" s="177"/>
      <c r="M614" s="220"/>
      <c r="N614" s="178"/>
      <c r="O614" s="176"/>
      <c r="P614" s="178"/>
      <c r="Q614" s="105"/>
      <c r="R614" s="219"/>
      <c r="S614" s="164"/>
      <c r="T614" s="164"/>
      <c r="U614" s="162"/>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row>
    <row r="615" spans="1:67" ht="29.25" hidden="1" customHeight="1">
      <c r="A615" s="216"/>
      <c r="B615" s="217"/>
      <c r="C615" s="174"/>
      <c r="D615" s="174"/>
      <c r="E615" s="175"/>
      <c r="F615" s="162"/>
      <c r="G615" s="218"/>
      <c r="H615" s="220"/>
      <c r="I615" s="176"/>
      <c r="J615" s="177"/>
      <c r="K615" s="177"/>
      <c r="L615" s="177"/>
      <c r="M615" s="220"/>
      <c r="N615" s="178"/>
      <c r="O615" s="176"/>
      <c r="P615" s="178"/>
      <c r="Q615" s="105"/>
      <c r="R615" s="219"/>
      <c r="S615" s="164"/>
      <c r="T615" s="164"/>
      <c r="U615" s="162"/>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row>
    <row r="616" spans="1:67" ht="29.25" hidden="1" customHeight="1">
      <c r="A616" s="216"/>
      <c r="B616" s="217"/>
      <c r="C616" s="174"/>
      <c r="D616" s="174"/>
      <c r="E616" s="175"/>
      <c r="F616" s="162"/>
      <c r="G616" s="218"/>
      <c r="H616" s="220"/>
      <c r="I616" s="176"/>
      <c r="J616" s="177"/>
      <c r="K616" s="177"/>
      <c r="L616" s="177"/>
      <c r="M616" s="220"/>
      <c r="N616" s="178"/>
      <c r="O616" s="176"/>
      <c r="P616" s="178"/>
      <c r="Q616" s="105"/>
      <c r="R616" s="219"/>
      <c r="S616" s="164"/>
      <c r="T616" s="164"/>
      <c r="U616" s="162"/>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row>
    <row r="617" spans="1:67" ht="29.25" hidden="1" customHeight="1">
      <c r="A617" s="216"/>
      <c r="B617" s="217"/>
      <c r="C617" s="174"/>
      <c r="D617" s="174"/>
      <c r="E617" s="175"/>
      <c r="F617" s="162"/>
      <c r="G617" s="218"/>
      <c r="H617" s="220"/>
      <c r="I617" s="176"/>
      <c r="J617" s="177"/>
      <c r="K617" s="177"/>
      <c r="L617" s="177"/>
      <c r="M617" s="220"/>
      <c r="N617" s="178"/>
      <c r="O617" s="176"/>
      <c r="P617" s="178"/>
      <c r="Q617" s="105"/>
      <c r="R617" s="219"/>
      <c r="S617" s="164"/>
      <c r="T617" s="164"/>
      <c r="U617" s="162"/>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row>
    <row r="618" spans="1:67" ht="29.25" hidden="1" customHeight="1">
      <c r="A618" s="216"/>
      <c r="B618" s="217"/>
      <c r="C618" s="174"/>
      <c r="D618" s="174"/>
      <c r="E618" s="175"/>
      <c r="F618" s="162"/>
      <c r="G618" s="218"/>
      <c r="H618" s="220"/>
      <c r="I618" s="176"/>
      <c r="J618" s="177"/>
      <c r="K618" s="177"/>
      <c r="L618" s="177"/>
      <c r="M618" s="220"/>
      <c r="N618" s="178"/>
      <c r="O618" s="176"/>
      <c r="P618" s="178"/>
      <c r="Q618" s="105"/>
      <c r="R618" s="219"/>
      <c r="S618" s="164"/>
      <c r="T618" s="164"/>
      <c r="U618" s="162"/>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row>
    <row r="619" spans="1:67" ht="29.25" hidden="1" customHeight="1">
      <c r="A619" s="216"/>
      <c r="B619" s="217"/>
      <c r="C619" s="174"/>
      <c r="D619" s="174"/>
      <c r="E619" s="175"/>
      <c r="F619" s="162"/>
      <c r="G619" s="218"/>
      <c r="H619" s="220"/>
      <c r="I619" s="176"/>
      <c r="J619" s="177"/>
      <c r="K619" s="177"/>
      <c r="L619" s="177"/>
      <c r="M619" s="220"/>
      <c r="N619" s="178"/>
      <c r="O619" s="176"/>
      <c r="P619" s="178"/>
      <c r="Q619" s="105"/>
      <c r="R619" s="219"/>
      <c r="S619" s="164"/>
      <c r="T619" s="164"/>
      <c r="U619" s="162"/>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row>
    <row r="620" spans="1:67" ht="29.25" hidden="1" customHeight="1">
      <c r="A620" s="216"/>
      <c r="B620" s="217"/>
      <c r="C620" s="174"/>
      <c r="D620" s="174"/>
      <c r="E620" s="175"/>
      <c r="F620" s="162"/>
      <c r="G620" s="218"/>
      <c r="H620" s="220"/>
      <c r="I620" s="176"/>
      <c r="J620" s="177"/>
      <c r="K620" s="177"/>
      <c r="L620" s="177"/>
      <c r="M620" s="220"/>
      <c r="N620" s="178"/>
      <c r="O620" s="176"/>
      <c r="P620" s="178"/>
      <c r="Q620" s="105"/>
      <c r="R620" s="219"/>
      <c r="S620" s="164"/>
      <c r="T620" s="164"/>
      <c r="U620" s="162"/>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row>
    <row r="621" spans="1:67" ht="29.25" hidden="1" customHeight="1">
      <c r="A621" s="216"/>
      <c r="B621" s="217"/>
      <c r="C621" s="174"/>
      <c r="D621" s="174"/>
      <c r="E621" s="175"/>
      <c r="F621" s="162"/>
      <c r="G621" s="218"/>
      <c r="H621" s="220"/>
      <c r="I621" s="176"/>
      <c r="J621" s="177"/>
      <c r="K621" s="177"/>
      <c r="L621" s="177"/>
      <c r="M621" s="220"/>
      <c r="N621" s="178"/>
      <c r="O621" s="176"/>
      <c r="P621" s="178"/>
      <c r="Q621" s="105"/>
      <c r="R621" s="219"/>
      <c r="S621" s="164"/>
      <c r="T621" s="164"/>
      <c r="U621" s="162"/>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row>
    <row r="622" spans="1:67" ht="29.25" hidden="1" customHeight="1">
      <c r="A622" s="216"/>
      <c r="B622" s="217"/>
      <c r="C622" s="174"/>
      <c r="D622" s="174"/>
      <c r="E622" s="175"/>
      <c r="F622" s="162"/>
      <c r="G622" s="218"/>
      <c r="H622" s="220"/>
      <c r="I622" s="176"/>
      <c r="J622" s="177"/>
      <c r="K622" s="177"/>
      <c r="L622" s="177"/>
      <c r="M622" s="220"/>
      <c r="N622" s="178"/>
      <c r="O622" s="176"/>
      <c r="P622" s="178"/>
      <c r="Q622" s="105"/>
      <c r="R622" s="219"/>
      <c r="S622" s="164"/>
      <c r="T622" s="164"/>
      <c r="U622" s="162"/>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row>
    <row r="623" spans="1:67" ht="29.25" hidden="1" customHeight="1">
      <c r="A623" s="216"/>
      <c r="B623" s="217"/>
      <c r="C623" s="174"/>
      <c r="D623" s="174"/>
      <c r="E623" s="175"/>
      <c r="F623" s="162"/>
      <c r="G623" s="218"/>
      <c r="H623" s="220"/>
      <c r="I623" s="176"/>
      <c r="J623" s="177"/>
      <c r="K623" s="177"/>
      <c r="L623" s="177"/>
      <c r="M623" s="220"/>
      <c r="N623" s="178"/>
      <c r="O623" s="176"/>
      <c r="P623" s="178"/>
      <c r="Q623" s="105"/>
      <c r="R623" s="219"/>
      <c r="S623" s="164"/>
      <c r="T623" s="164"/>
      <c r="U623" s="162"/>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row>
    <row r="624" spans="1:67" ht="29.25" hidden="1" customHeight="1">
      <c r="A624" s="216"/>
      <c r="B624" s="217"/>
      <c r="C624" s="174"/>
      <c r="D624" s="174"/>
      <c r="E624" s="175"/>
      <c r="F624" s="162"/>
      <c r="G624" s="218"/>
      <c r="H624" s="220"/>
      <c r="I624" s="176"/>
      <c r="J624" s="177"/>
      <c r="K624" s="177"/>
      <c r="L624" s="177"/>
      <c r="M624" s="220"/>
      <c r="N624" s="178"/>
      <c r="O624" s="176"/>
      <c r="P624" s="178"/>
      <c r="Q624" s="105"/>
      <c r="R624" s="219"/>
      <c r="S624" s="164"/>
      <c r="T624" s="164"/>
      <c r="U624" s="162"/>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row>
    <row r="625" spans="1:67" ht="29.25" hidden="1" customHeight="1">
      <c r="A625" s="216"/>
      <c r="B625" s="217"/>
      <c r="C625" s="174"/>
      <c r="D625" s="174"/>
      <c r="E625" s="175"/>
      <c r="F625" s="162"/>
      <c r="G625" s="218"/>
      <c r="H625" s="220"/>
      <c r="I625" s="176"/>
      <c r="J625" s="177"/>
      <c r="K625" s="177"/>
      <c r="L625" s="177"/>
      <c r="M625" s="220"/>
      <c r="N625" s="178"/>
      <c r="O625" s="176"/>
      <c r="P625" s="178"/>
      <c r="Q625" s="105"/>
      <c r="R625" s="219"/>
      <c r="S625" s="164"/>
      <c r="T625" s="164"/>
      <c r="U625" s="162"/>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row>
    <row r="626" spans="1:67" ht="29.25" hidden="1" customHeight="1">
      <c r="A626" s="216"/>
      <c r="B626" s="217"/>
      <c r="C626" s="174"/>
      <c r="D626" s="174"/>
      <c r="E626" s="175"/>
      <c r="F626" s="162"/>
      <c r="G626" s="218"/>
      <c r="H626" s="220"/>
      <c r="I626" s="176"/>
      <c r="J626" s="177"/>
      <c r="K626" s="177"/>
      <c r="L626" s="177"/>
      <c r="M626" s="220"/>
      <c r="N626" s="178"/>
      <c r="O626" s="176"/>
      <c r="P626" s="178"/>
      <c r="Q626" s="105"/>
      <c r="R626" s="219"/>
      <c r="S626" s="164"/>
      <c r="T626" s="164"/>
      <c r="U626" s="162"/>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row>
    <row r="627" spans="1:67" ht="29.25" hidden="1" customHeight="1">
      <c r="A627" s="216"/>
      <c r="B627" s="217"/>
      <c r="C627" s="174"/>
      <c r="D627" s="174"/>
      <c r="E627" s="175"/>
      <c r="F627" s="162"/>
      <c r="G627" s="218"/>
      <c r="H627" s="220"/>
      <c r="I627" s="176"/>
      <c r="J627" s="177"/>
      <c r="K627" s="177"/>
      <c r="L627" s="177"/>
      <c r="M627" s="220"/>
      <c r="N627" s="178"/>
      <c r="O627" s="176"/>
      <c r="P627" s="178"/>
      <c r="Q627" s="105"/>
      <c r="R627" s="219"/>
      <c r="S627" s="164"/>
      <c r="T627" s="164"/>
      <c r="U627" s="162"/>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row>
    <row r="628" spans="1:67" ht="29.25" hidden="1" customHeight="1">
      <c r="A628" s="216"/>
      <c r="B628" s="217"/>
      <c r="C628" s="174"/>
      <c r="D628" s="174"/>
      <c r="E628" s="175"/>
      <c r="F628" s="162"/>
      <c r="G628" s="218"/>
      <c r="H628" s="220"/>
      <c r="I628" s="176"/>
      <c r="J628" s="177"/>
      <c r="K628" s="177"/>
      <c r="L628" s="177"/>
      <c r="M628" s="220"/>
      <c r="N628" s="178"/>
      <c r="O628" s="176"/>
      <c r="P628" s="178"/>
      <c r="Q628" s="105"/>
      <c r="R628" s="219"/>
      <c r="S628" s="164"/>
      <c r="T628" s="164"/>
      <c r="U628" s="162"/>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row>
    <row r="629" spans="1:67" ht="29.25" hidden="1" customHeight="1">
      <c r="A629" s="216"/>
      <c r="B629" s="217"/>
      <c r="C629" s="174"/>
      <c r="D629" s="174"/>
      <c r="E629" s="175"/>
      <c r="F629" s="162"/>
      <c r="G629" s="218"/>
      <c r="H629" s="220"/>
      <c r="I629" s="176"/>
      <c r="J629" s="177"/>
      <c r="K629" s="177"/>
      <c r="L629" s="177"/>
      <c r="M629" s="220"/>
      <c r="N629" s="178"/>
      <c r="O629" s="176"/>
      <c r="P629" s="178"/>
      <c r="Q629" s="105"/>
      <c r="R629" s="219"/>
      <c r="S629" s="164"/>
      <c r="T629" s="164"/>
      <c r="U629" s="162"/>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row>
    <row r="630" spans="1:67" ht="29.25" hidden="1" customHeight="1">
      <c r="A630" s="216"/>
      <c r="B630" s="217"/>
      <c r="C630" s="174"/>
      <c r="D630" s="174"/>
      <c r="E630" s="175"/>
      <c r="F630" s="162"/>
      <c r="G630" s="218"/>
      <c r="H630" s="220"/>
      <c r="I630" s="176"/>
      <c r="J630" s="177"/>
      <c r="K630" s="177"/>
      <c r="L630" s="177"/>
      <c r="M630" s="220"/>
      <c r="N630" s="178"/>
      <c r="O630" s="176"/>
      <c r="P630" s="178"/>
      <c r="Q630" s="105"/>
      <c r="R630" s="219"/>
      <c r="S630" s="164"/>
      <c r="T630" s="164"/>
      <c r="U630" s="162"/>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row>
    <row r="631" spans="1:67" ht="29.25" hidden="1" customHeight="1">
      <c r="A631" s="216"/>
      <c r="B631" s="217"/>
      <c r="C631" s="174"/>
      <c r="D631" s="174"/>
      <c r="E631" s="175"/>
      <c r="F631" s="162"/>
      <c r="G631" s="218"/>
      <c r="H631" s="220"/>
      <c r="I631" s="176"/>
      <c r="J631" s="177"/>
      <c r="K631" s="177"/>
      <c r="L631" s="177"/>
      <c r="M631" s="220"/>
      <c r="N631" s="178"/>
      <c r="O631" s="176"/>
      <c r="P631" s="178"/>
      <c r="Q631" s="105"/>
      <c r="R631" s="219"/>
      <c r="S631" s="164"/>
      <c r="T631" s="164"/>
      <c r="U631" s="162"/>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row>
    <row r="632" spans="1:67" ht="29.25" hidden="1" customHeight="1">
      <c r="A632" s="216"/>
      <c r="B632" s="217"/>
      <c r="C632" s="174"/>
      <c r="D632" s="174"/>
      <c r="E632" s="175"/>
      <c r="F632" s="162"/>
      <c r="G632" s="218"/>
      <c r="H632" s="220"/>
      <c r="I632" s="176"/>
      <c r="J632" s="177"/>
      <c r="K632" s="177"/>
      <c r="L632" s="177"/>
      <c r="M632" s="220"/>
      <c r="N632" s="178"/>
      <c r="O632" s="176"/>
      <c r="P632" s="178"/>
      <c r="Q632" s="105"/>
      <c r="R632" s="219"/>
      <c r="S632" s="164"/>
      <c r="T632" s="164"/>
      <c r="U632" s="162"/>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row>
    <row r="633" spans="1:67" ht="29.25" hidden="1" customHeight="1">
      <c r="A633" s="216"/>
      <c r="B633" s="217"/>
      <c r="C633" s="174"/>
      <c r="D633" s="174"/>
      <c r="E633" s="175"/>
      <c r="F633" s="162"/>
      <c r="G633" s="218"/>
      <c r="H633" s="220"/>
      <c r="I633" s="176"/>
      <c r="J633" s="177"/>
      <c r="K633" s="177"/>
      <c r="L633" s="177"/>
      <c r="M633" s="220"/>
      <c r="N633" s="178"/>
      <c r="O633" s="176"/>
      <c r="P633" s="178"/>
      <c r="Q633" s="105"/>
      <c r="R633" s="219"/>
      <c r="S633" s="164"/>
      <c r="T633" s="164"/>
      <c r="U633" s="162"/>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row>
    <row r="634" spans="1:67" ht="29.25" hidden="1" customHeight="1">
      <c r="A634" s="216"/>
      <c r="B634" s="217"/>
      <c r="C634" s="174"/>
      <c r="D634" s="174"/>
      <c r="E634" s="175"/>
      <c r="F634" s="162"/>
      <c r="G634" s="218"/>
      <c r="H634" s="220"/>
      <c r="I634" s="176"/>
      <c r="J634" s="177"/>
      <c r="K634" s="177"/>
      <c r="L634" s="177"/>
      <c r="M634" s="220"/>
      <c r="N634" s="178"/>
      <c r="O634" s="176"/>
      <c r="P634" s="178"/>
      <c r="Q634" s="105"/>
      <c r="R634" s="219"/>
      <c r="S634" s="164"/>
      <c r="T634" s="164"/>
      <c r="U634" s="162"/>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row>
    <row r="635" spans="1:67" ht="29.25" hidden="1" customHeight="1">
      <c r="A635" s="216"/>
      <c r="B635" s="217"/>
      <c r="C635" s="174"/>
      <c r="D635" s="174"/>
      <c r="E635" s="175"/>
      <c r="F635" s="162"/>
      <c r="G635" s="218"/>
      <c r="H635" s="220"/>
      <c r="I635" s="176"/>
      <c r="J635" s="177"/>
      <c r="K635" s="177"/>
      <c r="L635" s="177"/>
      <c r="M635" s="220"/>
      <c r="N635" s="178"/>
      <c r="O635" s="176"/>
      <c r="P635" s="178"/>
      <c r="Q635" s="105"/>
      <c r="R635" s="219"/>
      <c r="S635" s="164"/>
      <c r="T635" s="164"/>
      <c r="U635" s="162"/>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row>
    <row r="636" spans="1:67" ht="29.25" hidden="1" customHeight="1">
      <c r="A636" s="216"/>
      <c r="B636" s="217"/>
      <c r="C636" s="174"/>
      <c r="D636" s="174"/>
      <c r="E636" s="175"/>
      <c r="F636" s="162"/>
      <c r="G636" s="218"/>
      <c r="H636" s="220"/>
      <c r="I636" s="176"/>
      <c r="J636" s="177"/>
      <c r="K636" s="177"/>
      <c r="L636" s="177"/>
      <c r="M636" s="220"/>
      <c r="N636" s="178"/>
      <c r="O636" s="176"/>
      <c r="P636" s="178"/>
      <c r="Q636" s="105"/>
      <c r="R636" s="219"/>
      <c r="S636" s="164"/>
      <c r="T636" s="164"/>
      <c r="U636" s="162"/>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row>
    <row r="637" spans="1:67" ht="29.25" hidden="1" customHeight="1">
      <c r="A637" s="216"/>
      <c r="B637" s="217"/>
      <c r="C637" s="174"/>
      <c r="D637" s="174"/>
      <c r="E637" s="175"/>
      <c r="F637" s="162"/>
      <c r="G637" s="218"/>
      <c r="H637" s="220"/>
      <c r="I637" s="176"/>
      <c r="J637" s="177"/>
      <c r="K637" s="177"/>
      <c r="L637" s="177"/>
      <c r="M637" s="220"/>
      <c r="N637" s="178"/>
      <c r="O637" s="176"/>
      <c r="P637" s="178"/>
      <c r="Q637" s="105"/>
      <c r="R637" s="219"/>
      <c r="S637" s="164"/>
      <c r="T637" s="164"/>
      <c r="U637" s="162"/>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row>
    <row r="638" spans="1:67" ht="29.25" hidden="1" customHeight="1">
      <c r="A638" s="216"/>
      <c r="B638" s="217"/>
      <c r="C638" s="174"/>
      <c r="D638" s="174"/>
      <c r="E638" s="175"/>
      <c r="F638" s="162"/>
      <c r="G638" s="218"/>
      <c r="H638" s="220"/>
      <c r="I638" s="176"/>
      <c r="J638" s="177"/>
      <c r="K638" s="177"/>
      <c r="L638" s="177"/>
      <c r="M638" s="220"/>
      <c r="N638" s="178"/>
      <c r="O638" s="176"/>
      <c r="P638" s="178"/>
      <c r="Q638" s="105"/>
      <c r="R638" s="219"/>
      <c r="S638" s="164"/>
      <c r="T638" s="164"/>
      <c r="U638" s="162"/>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row>
    <row r="639" spans="1:67" ht="29.25" hidden="1" customHeight="1">
      <c r="A639" s="216"/>
      <c r="B639" s="217"/>
      <c r="C639" s="174"/>
      <c r="D639" s="174"/>
      <c r="E639" s="175"/>
      <c r="F639" s="162"/>
      <c r="G639" s="218"/>
      <c r="H639" s="220"/>
      <c r="I639" s="176"/>
      <c r="J639" s="177"/>
      <c r="K639" s="177"/>
      <c r="L639" s="177"/>
      <c r="M639" s="220"/>
      <c r="N639" s="178"/>
      <c r="O639" s="176"/>
      <c r="P639" s="178"/>
      <c r="Q639" s="105"/>
      <c r="R639" s="219"/>
      <c r="S639" s="164"/>
      <c r="T639" s="164"/>
      <c r="U639" s="162"/>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row>
    <row r="640" spans="1:67" ht="29.25" hidden="1" customHeight="1">
      <c r="A640" s="216"/>
      <c r="B640" s="217"/>
      <c r="C640" s="174"/>
      <c r="D640" s="174"/>
      <c r="E640" s="175"/>
      <c r="F640" s="162"/>
      <c r="G640" s="218"/>
      <c r="H640" s="220"/>
      <c r="I640" s="176"/>
      <c r="J640" s="177"/>
      <c r="K640" s="177"/>
      <c r="L640" s="177"/>
      <c r="M640" s="220"/>
      <c r="N640" s="178"/>
      <c r="O640" s="176"/>
      <c r="P640" s="178"/>
      <c r="Q640" s="105"/>
      <c r="R640" s="219"/>
      <c r="S640" s="164"/>
      <c r="T640" s="164"/>
      <c r="U640" s="162"/>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row>
    <row r="641" spans="1:67" ht="29.25" hidden="1" customHeight="1">
      <c r="A641" s="216"/>
      <c r="B641" s="217"/>
      <c r="C641" s="174"/>
      <c r="D641" s="174"/>
      <c r="E641" s="175"/>
      <c r="F641" s="162"/>
      <c r="G641" s="218"/>
      <c r="H641" s="220"/>
      <c r="I641" s="176"/>
      <c r="J641" s="177"/>
      <c r="K641" s="177"/>
      <c r="L641" s="177"/>
      <c r="M641" s="220"/>
      <c r="N641" s="178"/>
      <c r="O641" s="176"/>
      <c r="P641" s="178"/>
      <c r="Q641" s="105"/>
      <c r="R641" s="219"/>
      <c r="S641" s="164"/>
      <c r="T641" s="164"/>
      <c r="U641" s="162"/>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row>
    <row r="642" spans="1:67" ht="29.25" hidden="1" customHeight="1">
      <c r="A642" s="216"/>
      <c r="B642" s="217"/>
      <c r="C642" s="174"/>
      <c r="D642" s="174"/>
      <c r="E642" s="175"/>
      <c r="F642" s="162"/>
      <c r="G642" s="218"/>
      <c r="H642" s="220"/>
      <c r="I642" s="176"/>
      <c r="J642" s="177"/>
      <c r="K642" s="177"/>
      <c r="L642" s="177"/>
      <c r="M642" s="220"/>
      <c r="N642" s="178"/>
      <c r="O642" s="176"/>
      <c r="P642" s="178"/>
      <c r="Q642" s="105"/>
      <c r="R642" s="219"/>
      <c r="S642" s="164"/>
      <c r="T642" s="164"/>
      <c r="U642" s="162"/>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row>
    <row r="643" spans="1:67" ht="29.25" hidden="1" customHeight="1">
      <c r="A643" s="216"/>
      <c r="B643" s="217"/>
      <c r="C643" s="174"/>
      <c r="D643" s="174"/>
      <c r="E643" s="175"/>
      <c r="F643" s="162"/>
      <c r="G643" s="218"/>
      <c r="H643" s="220"/>
      <c r="I643" s="176"/>
      <c r="J643" s="177"/>
      <c r="K643" s="177"/>
      <c r="L643" s="177"/>
      <c r="M643" s="220"/>
      <c r="N643" s="178"/>
      <c r="O643" s="176"/>
      <c r="P643" s="178"/>
      <c r="Q643" s="105"/>
      <c r="R643" s="219"/>
      <c r="S643" s="164"/>
      <c r="T643" s="164"/>
      <c r="U643" s="162"/>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row>
    <row r="644" spans="1:67" ht="29.25" hidden="1" customHeight="1">
      <c r="A644" s="216"/>
      <c r="B644" s="217"/>
      <c r="C644" s="174"/>
      <c r="D644" s="174"/>
      <c r="E644" s="175"/>
      <c r="F644" s="162"/>
      <c r="G644" s="218"/>
      <c r="H644" s="220"/>
      <c r="I644" s="176"/>
      <c r="J644" s="177"/>
      <c r="K644" s="177"/>
      <c r="L644" s="177"/>
      <c r="M644" s="220"/>
      <c r="N644" s="178"/>
      <c r="O644" s="176"/>
      <c r="P644" s="178"/>
      <c r="Q644" s="105"/>
      <c r="R644" s="219"/>
      <c r="S644" s="164"/>
      <c r="T644" s="164"/>
      <c r="U644" s="162"/>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row>
    <row r="645" spans="1:67" ht="29.25" hidden="1" customHeight="1">
      <c r="A645" s="216"/>
      <c r="B645" s="217"/>
      <c r="C645" s="174"/>
      <c r="D645" s="174"/>
      <c r="E645" s="175"/>
      <c r="F645" s="162"/>
      <c r="G645" s="218"/>
      <c r="H645" s="220"/>
      <c r="I645" s="176"/>
      <c r="J645" s="177"/>
      <c r="K645" s="177"/>
      <c r="L645" s="177"/>
      <c r="M645" s="220"/>
      <c r="N645" s="178"/>
      <c r="O645" s="176"/>
      <c r="P645" s="178"/>
      <c r="Q645" s="105"/>
      <c r="R645" s="219"/>
      <c r="S645" s="164"/>
      <c r="T645" s="164"/>
      <c r="U645" s="162"/>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row>
    <row r="646" spans="1:67" ht="29.25" hidden="1" customHeight="1">
      <c r="A646" s="216"/>
      <c r="B646" s="217"/>
      <c r="C646" s="174"/>
      <c r="D646" s="174"/>
      <c r="E646" s="175"/>
      <c r="F646" s="162"/>
      <c r="G646" s="218"/>
      <c r="H646" s="220"/>
      <c r="I646" s="176"/>
      <c r="J646" s="177"/>
      <c r="K646" s="177"/>
      <c r="L646" s="177"/>
      <c r="M646" s="220"/>
      <c r="N646" s="178"/>
      <c r="O646" s="176"/>
      <c r="P646" s="178"/>
      <c r="Q646" s="105"/>
      <c r="R646" s="219"/>
      <c r="S646" s="164"/>
      <c r="T646" s="164"/>
      <c r="U646" s="162"/>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row>
    <row r="647" spans="1:67" ht="29.25" hidden="1" customHeight="1">
      <c r="A647" s="216"/>
      <c r="B647" s="217"/>
      <c r="C647" s="174"/>
      <c r="D647" s="174"/>
      <c r="E647" s="175"/>
      <c r="F647" s="162"/>
      <c r="G647" s="218"/>
      <c r="H647" s="220"/>
      <c r="I647" s="176"/>
      <c r="J647" s="177"/>
      <c r="K647" s="177"/>
      <c r="L647" s="177"/>
      <c r="M647" s="220"/>
      <c r="N647" s="178"/>
      <c r="O647" s="176"/>
      <c r="P647" s="178"/>
      <c r="Q647" s="105"/>
      <c r="R647" s="219"/>
      <c r="S647" s="164"/>
      <c r="T647" s="164"/>
      <c r="U647" s="162"/>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row>
    <row r="648" spans="1:67" ht="29.25" hidden="1" customHeight="1">
      <c r="A648" s="216"/>
      <c r="B648" s="217"/>
      <c r="C648" s="174"/>
      <c r="D648" s="174"/>
      <c r="E648" s="175"/>
      <c r="F648" s="162"/>
      <c r="G648" s="218"/>
      <c r="H648" s="220"/>
      <c r="I648" s="176"/>
      <c r="J648" s="177"/>
      <c r="K648" s="177"/>
      <c r="L648" s="177"/>
      <c r="M648" s="220"/>
      <c r="N648" s="178"/>
      <c r="O648" s="176"/>
      <c r="P648" s="178"/>
      <c r="Q648" s="105"/>
      <c r="R648" s="219"/>
      <c r="S648" s="164"/>
      <c r="T648" s="164"/>
      <c r="U648" s="162"/>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row>
    <row r="649" spans="1:67" ht="29.25" hidden="1" customHeight="1">
      <c r="A649" s="216"/>
      <c r="B649" s="217"/>
      <c r="C649" s="174"/>
      <c r="D649" s="174"/>
      <c r="E649" s="175"/>
      <c r="F649" s="162"/>
      <c r="G649" s="218"/>
      <c r="H649" s="220"/>
      <c r="I649" s="176"/>
      <c r="J649" s="177"/>
      <c r="K649" s="177"/>
      <c r="L649" s="177"/>
      <c r="M649" s="220"/>
      <c r="N649" s="178"/>
      <c r="O649" s="176"/>
      <c r="P649" s="178"/>
      <c r="Q649" s="105"/>
      <c r="R649" s="219"/>
      <c r="S649" s="164"/>
      <c r="T649" s="164"/>
      <c r="U649" s="162"/>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row>
    <row r="650" spans="1:67" ht="29.25" hidden="1" customHeight="1">
      <c r="A650" s="216"/>
      <c r="B650" s="217"/>
      <c r="C650" s="174"/>
      <c r="D650" s="174"/>
      <c r="E650" s="175"/>
      <c r="F650" s="162"/>
      <c r="G650" s="218"/>
      <c r="H650" s="220"/>
      <c r="I650" s="176"/>
      <c r="J650" s="177"/>
      <c r="K650" s="177"/>
      <c r="L650" s="177"/>
      <c r="M650" s="220"/>
      <c r="N650" s="178"/>
      <c r="O650" s="176"/>
      <c r="P650" s="178"/>
      <c r="Q650" s="105"/>
      <c r="R650" s="219"/>
      <c r="S650" s="164"/>
      <c r="T650" s="164"/>
      <c r="U650" s="162"/>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row>
    <row r="651" spans="1:67" ht="29.25" hidden="1" customHeight="1">
      <c r="A651" s="216"/>
      <c r="B651" s="217"/>
      <c r="C651" s="174"/>
      <c r="D651" s="174"/>
      <c r="E651" s="175"/>
      <c r="F651" s="162"/>
      <c r="G651" s="218"/>
      <c r="H651" s="220"/>
      <c r="I651" s="176"/>
      <c r="J651" s="177"/>
      <c r="K651" s="177"/>
      <c r="L651" s="177"/>
      <c r="M651" s="220"/>
      <c r="N651" s="178"/>
      <c r="O651" s="176"/>
      <c r="P651" s="178"/>
      <c r="Q651" s="105"/>
      <c r="R651" s="219"/>
      <c r="S651" s="164"/>
      <c r="T651" s="164"/>
      <c r="U651" s="162"/>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row>
    <row r="652" spans="1:67" ht="29.25" hidden="1" customHeight="1">
      <c r="A652" s="216"/>
      <c r="B652" s="217"/>
      <c r="C652" s="174"/>
      <c r="D652" s="174"/>
      <c r="E652" s="175"/>
      <c r="F652" s="162"/>
      <c r="G652" s="218"/>
      <c r="H652" s="220"/>
      <c r="I652" s="176"/>
      <c r="J652" s="177"/>
      <c r="K652" s="177"/>
      <c r="L652" s="177"/>
      <c r="M652" s="220"/>
      <c r="N652" s="178"/>
      <c r="O652" s="176"/>
      <c r="P652" s="178"/>
      <c r="Q652" s="105"/>
      <c r="R652" s="219"/>
      <c r="S652" s="164"/>
      <c r="T652" s="164"/>
      <c r="U652" s="162"/>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row>
    <row r="653" spans="1:67" ht="29.25" hidden="1" customHeight="1">
      <c r="A653" s="216"/>
      <c r="B653" s="217"/>
      <c r="C653" s="174"/>
      <c r="D653" s="174"/>
      <c r="E653" s="175"/>
      <c r="F653" s="162"/>
      <c r="G653" s="218"/>
      <c r="H653" s="220"/>
      <c r="I653" s="176"/>
      <c r="J653" s="177"/>
      <c r="K653" s="177"/>
      <c r="L653" s="177"/>
      <c r="M653" s="220"/>
      <c r="N653" s="178"/>
      <c r="O653" s="176"/>
      <c r="P653" s="178"/>
      <c r="Q653" s="105"/>
      <c r="R653" s="219"/>
      <c r="S653" s="164"/>
      <c r="T653" s="164"/>
      <c r="U653" s="162"/>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row>
    <row r="654" spans="1:67" ht="29.25" hidden="1" customHeight="1">
      <c r="A654" s="216"/>
      <c r="B654" s="217"/>
      <c r="C654" s="174"/>
      <c r="D654" s="174"/>
      <c r="E654" s="175"/>
      <c r="F654" s="162"/>
      <c r="G654" s="218"/>
      <c r="H654" s="220"/>
      <c r="I654" s="176"/>
      <c r="J654" s="177"/>
      <c r="K654" s="177"/>
      <c r="L654" s="177"/>
      <c r="M654" s="220"/>
      <c r="N654" s="178"/>
      <c r="O654" s="176"/>
      <c r="P654" s="178"/>
      <c r="Q654" s="105"/>
      <c r="R654" s="219"/>
      <c r="S654" s="164"/>
      <c r="T654" s="164"/>
      <c r="U654" s="162"/>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row>
    <row r="655" spans="1:67" ht="29.25" hidden="1" customHeight="1">
      <c r="A655" s="216"/>
      <c r="B655" s="217"/>
      <c r="C655" s="174"/>
      <c r="D655" s="174"/>
      <c r="E655" s="175"/>
      <c r="F655" s="162"/>
      <c r="G655" s="218"/>
      <c r="H655" s="220"/>
      <c r="I655" s="176"/>
      <c r="J655" s="177"/>
      <c r="K655" s="177"/>
      <c r="L655" s="177"/>
      <c r="M655" s="220"/>
      <c r="N655" s="178"/>
      <c r="O655" s="176"/>
      <c r="P655" s="178"/>
      <c r="Q655" s="105"/>
      <c r="R655" s="219"/>
      <c r="S655" s="164"/>
      <c r="T655" s="164"/>
      <c r="U655" s="162"/>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row>
    <row r="656" spans="1:67" ht="29.25" hidden="1" customHeight="1">
      <c r="A656" s="216"/>
      <c r="B656" s="217"/>
      <c r="C656" s="174"/>
      <c r="D656" s="174"/>
      <c r="E656" s="175"/>
      <c r="F656" s="162"/>
      <c r="G656" s="218"/>
      <c r="H656" s="220"/>
      <c r="I656" s="176"/>
      <c r="J656" s="177"/>
      <c r="K656" s="177"/>
      <c r="L656" s="177"/>
      <c r="M656" s="220"/>
      <c r="N656" s="178"/>
      <c r="O656" s="176"/>
      <c r="P656" s="178"/>
      <c r="Q656" s="105"/>
      <c r="R656" s="219"/>
      <c r="S656" s="164"/>
      <c r="T656" s="164"/>
      <c r="U656" s="162"/>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row>
    <row r="657" spans="1:67" ht="29.25" hidden="1" customHeight="1">
      <c r="A657" s="216"/>
      <c r="B657" s="217"/>
      <c r="C657" s="174"/>
      <c r="D657" s="174"/>
      <c r="E657" s="175"/>
      <c r="F657" s="162"/>
      <c r="G657" s="218"/>
      <c r="H657" s="220"/>
      <c r="I657" s="176"/>
      <c r="J657" s="177"/>
      <c r="K657" s="177"/>
      <c r="L657" s="177"/>
      <c r="M657" s="220"/>
      <c r="N657" s="178"/>
      <c r="O657" s="176"/>
      <c r="P657" s="178"/>
      <c r="Q657" s="105"/>
      <c r="R657" s="219"/>
      <c r="S657" s="164"/>
      <c r="T657" s="164"/>
      <c r="U657" s="162"/>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row>
    <row r="658" spans="1:67" ht="29.25" hidden="1" customHeight="1">
      <c r="A658" s="216"/>
      <c r="B658" s="217"/>
      <c r="C658" s="174"/>
      <c r="D658" s="174"/>
      <c r="E658" s="175"/>
      <c r="F658" s="162"/>
      <c r="G658" s="218"/>
      <c r="H658" s="220"/>
      <c r="I658" s="176"/>
      <c r="J658" s="177"/>
      <c r="K658" s="177"/>
      <c r="L658" s="177"/>
      <c r="M658" s="220"/>
      <c r="N658" s="178"/>
      <c r="O658" s="176"/>
      <c r="P658" s="178"/>
      <c r="Q658" s="105"/>
      <c r="R658" s="219"/>
      <c r="S658" s="164"/>
      <c r="T658" s="164"/>
      <c r="U658" s="162"/>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row>
    <row r="659" spans="1:67" ht="29.25" hidden="1" customHeight="1">
      <c r="A659" s="216"/>
      <c r="B659" s="217"/>
      <c r="C659" s="174"/>
      <c r="D659" s="174"/>
      <c r="E659" s="175"/>
      <c r="F659" s="162"/>
      <c r="G659" s="218"/>
      <c r="H659" s="220"/>
      <c r="I659" s="176"/>
      <c r="J659" s="177"/>
      <c r="K659" s="177"/>
      <c r="L659" s="177"/>
      <c r="M659" s="220"/>
      <c r="N659" s="178"/>
      <c r="O659" s="176"/>
      <c r="P659" s="178"/>
      <c r="Q659" s="105"/>
      <c r="R659" s="219"/>
      <c r="S659" s="164"/>
      <c r="T659" s="164"/>
      <c r="U659" s="162"/>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row>
    <row r="660" spans="1:67" ht="29.25" hidden="1" customHeight="1">
      <c r="A660" s="216"/>
      <c r="B660" s="217"/>
      <c r="C660" s="174"/>
      <c r="D660" s="174"/>
      <c r="E660" s="175"/>
      <c r="F660" s="162"/>
      <c r="G660" s="218"/>
      <c r="H660" s="220"/>
      <c r="I660" s="176"/>
      <c r="J660" s="177"/>
      <c r="K660" s="177"/>
      <c r="L660" s="177"/>
      <c r="M660" s="220"/>
      <c r="N660" s="178"/>
      <c r="O660" s="176"/>
      <c r="P660" s="178"/>
      <c r="Q660" s="105"/>
      <c r="R660" s="219"/>
      <c r="S660" s="164"/>
      <c r="T660" s="164"/>
      <c r="U660" s="162"/>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row>
    <row r="661" spans="1:67" ht="29.25" hidden="1" customHeight="1">
      <c r="A661" s="216"/>
      <c r="B661" s="217"/>
      <c r="C661" s="174"/>
      <c r="D661" s="174"/>
      <c r="E661" s="175"/>
      <c r="F661" s="162"/>
      <c r="G661" s="218"/>
      <c r="H661" s="220"/>
      <c r="I661" s="176"/>
      <c r="J661" s="177"/>
      <c r="K661" s="177"/>
      <c r="L661" s="177"/>
      <c r="M661" s="220"/>
      <c r="N661" s="178"/>
      <c r="O661" s="176"/>
      <c r="P661" s="178"/>
      <c r="Q661" s="105"/>
      <c r="R661" s="219"/>
      <c r="S661" s="164"/>
      <c r="T661" s="164"/>
      <c r="U661" s="162"/>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row>
    <row r="662" spans="1:67" ht="29.25" hidden="1" customHeight="1">
      <c r="A662" s="216"/>
      <c r="B662" s="217"/>
      <c r="C662" s="174"/>
      <c r="D662" s="174"/>
      <c r="E662" s="175"/>
      <c r="F662" s="162"/>
      <c r="G662" s="218"/>
      <c r="H662" s="220"/>
      <c r="I662" s="176"/>
      <c r="J662" s="177"/>
      <c r="K662" s="177"/>
      <c r="L662" s="177"/>
      <c r="M662" s="220"/>
      <c r="N662" s="178"/>
      <c r="O662" s="176"/>
      <c r="P662" s="178"/>
      <c r="Q662" s="105"/>
      <c r="R662" s="219"/>
      <c r="S662" s="164"/>
      <c r="T662" s="164"/>
      <c r="U662" s="162"/>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row>
    <row r="663" spans="1:67" ht="29.25" hidden="1" customHeight="1">
      <c r="A663" s="216"/>
      <c r="B663" s="217"/>
      <c r="C663" s="174"/>
      <c r="D663" s="174"/>
      <c r="E663" s="175"/>
      <c r="F663" s="162"/>
      <c r="G663" s="218"/>
      <c r="H663" s="220"/>
      <c r="I663" s="176"/>
      <c r="J663" s="177"/>
      <c r="K663" s="177"/>
      <c r="L663" s="177"/>
      <c r="M663" s="220"/>
      <c r="N663" s="178"/>
      <c r="O663" s="176"/>
      <c r="P663" s="178"/>
      <c r="Q663" s="105"/>
      <c r="R663" s="219"/>
      <c r="S663" s="164"/>
      <c r="T663" s="164"/>
      <c r="U663" s="162"/>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row>
    <row r="664" spans="1:67" ht="29.25" hidden="1" customHeight="1">
      <c r="A664" s="216"/>
      <c r="B664" s="217"/>
      <c r="C664" s="174"/>
      <c r="D664" s="174"/>
      <c r="E664" s="175"/>
      <c r="F664" s="162"/>
      <c r="G664" s="218"/>
      <c r="H664" s="220"/>
      <c r="I664" s="176"/>
      <c r="J664" s="177"/>
      <c r="K664" s="177"/>
      <c r="L664" s="177"/>
      <c r="M664" s="220"/>
      <c r="N664" s="178"/>
      <c r="O664" s="176"/>
      <c r="P664" s="178"/>
      <c r="Q664" s="105"/>
      <c r="R664" s="219"/>
      <c r="S664" s="164"/>
      <c r="T664" s="164"/>
      <c r="U664" s="162"/>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row>
    <row r="665" spans="1:67" ht="29.25" hidden="1" customHeight="1">
      <c r="A665" s="216"/>
      <c r="B665" s="217"/>
      <c r="C665" s="174"/>
      <c r="D665" s="174"/>
      <c r="E665" s="175"/>
      <c r="F665" s="162"/>
      <c r="G665" s="218"/>
      <c r="H665" s="220"/>
      <c r="I665" s="176"/>
      <c r="J665" s="177"/>
      <c r="K665" s="177"/>
      <c r="L665" s="177"/>
      <c r="M665" s="220"/>
      <c r="N665" s="178"/>
      <c r="O665" s="176"/>
      <c r="P665" s="178"/>
      <c r="Q665" s="105"/>
      <c r="R665" s="219"/>
      <c r="S665" s="164"/>
      <c r="T665" s="164"/>
      <c r="U665" s="162"/>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row>
    <row r="666" spans="1:67" ht="29.25" hidden="1" customHeight="1">
      <c r="A666" s="216"/>
      <c r="B666" s="217"/>
      <c r="C666" s="174"/>
      <c r="D666" s="174"/>
      <c r="E666" s="175"/>
      <c r="F666" s="162"/>
      <c r="G666" s="218"/>
      <c r="H666" s="220"/>
      <c r="I666" s="176"/>
      <c r="J666" s="177"/>
      <c r="K666" s="177"/>
      <c r="L666" s="177"/>
      <c r="M666" s="220"/>
      <c r="N666" s="178"/>
      <c r="O666" s="176"/>
      <c r="P666" s="178"/>
      <c r="Q666" s="105"/>
      <c r="R666" s="219"/>
      <c r="S666" s="164"/>
      <c r="T666" s="164"/>
      <c r="U666" s="162"/>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row>
    <row r="667" spans="1:67" ht="29.25" hidden="1" customHeight="1">
      <c r="A667" s="216"/>
      <c r="B667" s="217"/>
      <c r="C667" s="174"/>
      <c r="D667" s="174"/>
      <c r="E667" s="175"/>
      <c r="F667" s="162"/>
      <c r="G667" s="218"/>
      <c r="H667" s="220"/>
      <c r="I667" s="176"/>
      <c r="J667" s="177"/>
      <c r="K667" s="177"/>
      <c r="L667" s="177"/>
      <c r="M667" s="220"/>
      <c r="N667" s="178"/>
      <c r="O667" s="176"/>
      <c r="P667" s="178"/>
      <c r="Q667" s="105"/>
      <c r="R667" s="219"/>
      <c r="S667" s="164"/>
      <c r="T667" s="164"/>
      <c r="U667" s="162"/>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row>
    <row r="668" spans="1:67" ht="29.25" hidden="1" customHeight="1">
      <c r="A668" s="216"/>
      <c r="B668" s="217"/>
      <c r="C668" s="174"/>
      <c r="D668" s="174"/>
      <c r="E668" s="175"/>
      <c r="F668" s="162"/>
      <c r="G668" s="218"/>
      <c r="H668" s="220"/>
      <c r="I668" s="176"/>
      <c r="J668" s="177"/>
      <c r="K668" s="177"/>
      <c r="L668" s="177"/>
      <c r="M668" s="220"/>
      <c r="N668" s="178"/>
      <c r="O668" s="176"/>
      <c r="P668" s="178"/>
      <c r="Q668" s="105"/>
      <c r="R668" s="219"/>
      <c r="S668" s="164"/>
      <c r="T668" s="164"/>
      <c r="U668" s="162"/>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row>
    <row r="669" spans="1:67" ht="29.25" hidden="1" customHeight="1">
      <c r="A669" s="216"/>
      <c r="B669" s="217"/>
      <c r="C669" s="174"/>
      <c r="D669" s="174"/>
      <c r="E669" s="175"/>
      <c r="F669" s="162"/>
      <c r="G669" s="218"/>
      <c r="H669" s="220"/>
      <c r="I669" s="176"/>
      <c r="J669" s="177"/>
      <c r="K669" s="177"/>
      <c r="L669" s="177"/>
      <c r="M669" s="220"/>
      <c r="N669" s="178"/>
      <c r="O669" s="176"/>
      <c r="P669" s="178"/>
      <c r="Q669" s="105"/>
      <c r="R669" s="219"/>
      <c r="S669" s="164"/>
      <c r="T669" s="164"/>
      <c r="U669" s="162"/>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row>
    <row r="670" spans="1:67" ht="29.25" hidden="1" customHeight="1">
      <c r="A670" s="216"/>
      <c r="B670" s="217"/>
      <c r="C670" s="174"/>
      <c r="D670" s="174"/>
      <c r="E670" s="175"/>
      <c r="F670" s="162"/>
      <c r="G670" s="218"/>
      <c r="H670" s="220"/>
      <c r="I670" s="176"/>
      <c r="J670" s="177"/>
      <c r="K670" s="177"/>
      <c r="L670" s="177"/>
      <c r="M670" s="220"/>
      <c r="N670" s="178"/>
      <c r="O670" s="176"/>
      <c r="P670" s="178"/>
      <c r="Q670" s="105"/>
      <c r="R670" s="219"/>
      <c r="S670" s="164"/>
      <c r="T670" s="164"/>
      <c r="U670" s="162"/>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row>
    <row r="671" spans="1:67" ht="29.25" hidden="1" customHeight="1">
      <c r="A671" s="216"/>
      <c r="B671" s="217"/>
      <c r="C671" s="174"/>
      <c r="D671" s="174"/>
      <c r="E671" s="175"/>
      <c r="F671" s="162"/>
      <c r="G671" s="218"/>
      <c r="H671" s="220"/>
      <c r="I671" s="176"/>
      <c r="J671" s="177"/>
      <c r="K671" s="177"/>
      <c r="L671" s="177"/>
      <c r="M671" s="220"/>
      <c r="N671" s="178"/>
      <c r="O671" s="176"/>
      <c r="P671" s="178"/>
      <c r="Q671" s="105"/>
      <c r="R671" s="219"/>
      <c r="S671" s="164"/>
      <c r="T671" s="164"/>
      <c r="U671" s="162"/>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row>
    <row r="672" spans="1:67" ht="29.25" hidden="1" customHeight="1">
      <c r="A672" s="216"/>
      <c r="B672" s="217"/>
      <c r="C672" s="174"/>
      <c r="D672" s="174"/>
      <c r="E672" s="175"/>
      <c r="F672" s="162"/>
      <c r="G672" s="218"/>
      <c r="H672" s="220"/>
      <c r="I672" s="176"/>
      <c r="J672" s="177"/>
      <c r="K672" s="177"/>
      <c r="L672" s="177"/>
      <c r="M672" s="220"/>
      <c r="N672" s="178"/>
      <c r="O672" s="176"/>
      <c r="P672" s="178"/>
      <c r="Q672" s="105"/>
      <c r="R672" s="219"/>
      <c r="S672" s="164"/>
      <c r="T672" s="164"/>
      <c r="U672" s="162"/>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row>
    <row r="673" spans="1:67" ht="29.25" hidden="1" customHeight="1">
      <c r="A673" s="216"/>
      <c r="B673" s="217"/>
      <c r="C673" s="174"/>
      <c r="D673" s="174"/>
      <c r="E673" s="175"/>
      <c r="F673" s="162"/>
      <c r="G673" s="218"/>
      <c r="H673" s="220"/>
      <c r="I673" s="176"/>
      <c r="J673" s="177"/>
      <c r="K673" s="177"/>
      <c r="L673" s="177"/>
      <c r="M673" s="220"/>
      <c r="N673" s="178"/>
      <c r="O673" s="176"/>
      <c r="P673" s="178"/>
      <c r="Q673" s="105"/>
      <c r="R673" s="219"/>
      <c r="S673" s="164"/>
      <c r="T673" s="164"/>
      <c r="U673" s="162"/>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row>
    <row r="674" spans="1:67" ht="29.25" hidden="1" customHeight="1">
      <c r="A674" s="216"/>
      <c r="B674" s="217"/>
      <c r="C674" s="174"/>
      <c r="D674" s="174"/>
      <c r="E674" s="175"/>
      <c r="F674" s="162"/>
      <c r="G674" s="218"/>
      <c r="H674" s="220"/>
      <c r="I674" s="176"/>
      <c r="J674" s="177"/>
      <c r="K674" s="177"/>
      <c r="L674" s="177"/>
      <c r="M674" s="220"/>
      <c r="N674" s="178"/>
      <c r="O674" s="176"/>
      <c r="P674" s="178"/>
      <c r="Q674" s="105"/>
      <c r="R674" s="219"/>
      <c r="S674" s="164"/>
      <c r="T674" s="164"/>
      <c r="U674" s="162"/>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row>
    <row r="675" spans="1:67" ht="29.25" hidden="1" customHeight="1">
      <c r="A675" s="216"/>
      <c r="B675" s="217"/>
      <c r="C675" s="174"/>
      <c r="D675" s="174"/>
      <c r="E675" s="175"/>
      <c r="F675" s="162"/>
      <c r="G675" s="218"/>
      <c r="H675" s="220"/>
      <c r="I675" s="176"/>
      <c r="J675" s="177"/>
      <c r="K675" s="177"/>
      <c r="L675" s="177"/>
      <c r="M675" s="220"/>
      <c r="N675" s="178"/>
      <c r="O675" s="176"/>
      <c r="P675" s="178"/>
      <c r="Q675" s="105"/>
      <c r="R675" s="219"/>
      <c r="S675" s="164"/>
      <c r="T675" s="164"/>
      <c r="U675" s="162"/>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row>
    <row r="676" spans="1:67" ht="29.25" hidden="1" customHeight="1">
      <c r="A676" s="216"/>
      <c r="B676" s="217"/>
      <c r="C676" s="174"/>
      <c r="D676" s="174"/>
      <c r="E676" s="175"/>
      <c r="F676" s="162"/>
      <c r="G676" s="218"/>
      <c r="H676" s="220"/>
      <c r="I676" s="176"/>
      <c r="J676" s="177"/>
      <c r="K676" s="177"/>
      <c r="L676" s="177"/>
      <c r="M676" s="220"/>
      <c r="N676" s="178"/>
      <c r="O676" s="176"/>
      <c r="P676" s="178"/>
      <c r="Q676" s="105"/>
      <c r="R676" s="219"/>
      <c r="S676" s="164"/>
      <c r="T676" s="164"/>
      <c r="U676" s="162"/>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row>
    <row r="677" spans="1:67" ht="29.25" hidden="1" customHeight="1">
      <c r="A677" s="216"/>
      <c r="B677" s="217"/>
      <c r="C677" s="174"/>
      <c r="D677" s="174"/>
      <c r="E677" s="175"/>
      <c r="F677" s="162"/>
      <c r="G677" s="218"/>
      <c r="H677" s="220"/>
      <c r="I677" s="176"/>
      <c r="J677" s="177"/>
      <c r="K677" s="177"/>
      <c r="L677" s="177"/>
      <c r="M677" s="220"/>
      <c r="N677" s="178"/>
      <c r="O677" s="176"/>
      <c r="P677" s="178"/>
      <c r="Q677" s="105"/>
      <c r="R677" s="219"/>
      <c r="S677" s="164"/>
      <c r="T677" s="164"/>
      <c r="U677" s="162"/>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row>
    <row r="678" spans="1:67" ht="29.25" hidden="1" customHeight="1">
      <c r="A678" s="216"/>
      <c r="B678" s="217"/>
      <c r="C678" s="174"/>
      <c r="D678" s="174"/>
      <c r="E678" s="175"/>
      <c r="F678" s="162"/>
      <c r="G678" s="218"/>
      <c r="H678" s="220"/>
      <c r="I678" s="176"/>
      <c r="J678" s="177"/>
      <c r="K678" s="177"/>
      <c r="L678" s="177"/>
      <c r="M678" s="220"/>
      <c r="N678" s="178"/>
      <c r="O678" s="176"/>
      <c r="P678" s="178"/>
      <c r="Q678" s="105"/>
      <c r="R678" s="219"/>
      <c r="S678" s="164"/>
      <c r="T678" s="164"/>
      <c r="U678" s="162"/>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row>
    <row r="679" spans="1:67" ht="29.25" hidden="1" customHeight="1">
      <c r="A679" s="216"/>
      <c r="B679" s="217"/>
      <c r="C679" s="174"/>
      <c r="D679" s="174"/>
      <c r="E679" s="175"/>
      <c r="F679" s="162"/>
      <c r="G679" s="218"/>
      <c r="H679" s="220"/>
      <c r="I679" s="176"/>
      <c r="J679" s="177"/>
      <c r="K679" s="177"/>
      <c r="L679" s="177"/>
      <c r="M679" s="220"/>
      <c r="N679" s="178"/>
      <c r="O679" s="176"/>
      <c r="P679" s="178"/>
      <c r="Q679" s="105"/>
      <c r="R679" s="219"/>
      <c r="S679" s="164"/>
      <c r="T679" s="164"/>
      <c r="U679" s="162"/>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row>
    <row r="680" spans="1:67" ht="29.25" hidden="1" customHeight="1">
      <c r="A680" s="216"/>
      <c r="B680" s="217"/>
      <c r="C680" s="174"/>
      <c r="D680" s="174"/>
      <c r="E680" s="175"/>
      <c r="F680" s="162"/>
      <c r="G680" s="218"/>
      <c r="H680" s="220"/>
      <c r="I680" s="176"/>
      <c r="J680" s="177"/>
      <c r="K680" s="177"/>
      <c r="L680" s="177"/>
      <c r="M680" s="220"/>
      <c r="N680" s="178"/>
      <c r="O680" s="176"/>
      <c r="P680" s="178"/>
      <c r="Q680" s="105"/>
      <c r="R680" s="219"/>
      <c r="S680" s="164"/>
      <c r="T680" s="164"/>
      <c r="U680" s="162"/>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row>
    <row r="681" spans="1:67" ht="29.25" hidden="1" customHeight="1">
      <c r="A681" s="216"/>
      <c r="B681" s="217"/>
      <c r="C681" s="174"/>
      <c r="D681" s="174"/>
      <c r="E681" s="175"/>
      <c r="F681" s="162"/>
      <c r="G681" s="218"/>
      <c r="H681" s="220"/>
      <c r="I681" s="176"/>
      <c r="J681" s="177"/>
      <c r="K681" s="177"/>
      <c r="L681" s="177"/>
      <c r="M681" s="220"/>
      <c r="N681" s="178"/>
      <c r="O681" s="176"/>
      <c r="P681" s="178"/>
      <c r="Q681" s="105"/>
      <c r="R681" s="219"/>
      <c r="S681" s="164"/>
      <c r="T681" s="164"/>
      <c r="U681" s="162"/>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row>
    <row r="682" spans="1:67" ht="29.25" hidden="1" customHeight="1">
      <c r="A682" s="216"/>
      <c r="B682" s="217"/>
      <c r="C682" s="174"/>
      <c r="D682" s="174"/>
      <c r="E682" s="175"/>
      <c r="F682" s="162"/>
      <c r="G682" s="218"/>
      <c r="H682" s="220"/>
      <c r="I682" s="176"/>
      <c r="J682" s="177"/>
      <c r="K682" s="177"/>
      <c r="L682" s="177"/>
      <c r="M682" s="220"/>
      <c r="N682" s="178"/>
      <c r="O682" s="176"/>
      <c r="P682" s="178"/>
      <c r="Q682" s="105"/>
      <c r="R682" s="219"/>
      <c r="S682" s="164"/>
      <c r="T682" s="164"/>
      <c r="U682" s="162"/>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row>
    <row r="683" spans="1:67" ht="29.25" hidden="1" customHeight="1">
      <c r="A683" s="216"/>
      <c r="B683" s="217"/>
      <c r="C683" s="174"/>
      <c r="D683" s="174"/>
      <c r="E683" s="175"/>
      <c r="F683" s="162"/>
      <c r="G683" s="218"/>
      <c r="H683" s="220"/>
      <c r="I683" s="176"/>
      <c r="J683" s="177"/>
      <c r="K683" s="177"/>
      <c r="L683" s="177"/>
      <c r="M683" s="220"/>
      <c r="N683" s="178"/>
      <c r="O683" s="176"/>
      <c r="P683" s="178"/>
      <c r="Q683" s="105"/>
      <c r="R683" s="219"/>
      <c r="S683" s="164"/>
      <c r="T683" s="164"/>
      <c r="U683" s="162"/>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row>
    <row r="684" spans="1:67" ht="29.25" hidden="1" customHeight="1">
      <c r="A684" s="216"/>
      <c r="B684" s="217"/>
      <c r="C684" s="174"/>
      <c r="D684" s="174"/>
      <c r="E684" s="175"/>
      <c r="F684" s="162"/>
      <c r="G684" s="218"/>
      <c r="H684" s="220"/>
      <c r="I684" s="176"/>
      <c r="J684" s="177"/>
      <c r="K684" s="177"/>
      <c r="L684" s="177"/>
      <c r="M684" s="220"/>
      <c r="N684" s="178"/>
      <c r="O684" s="176"/>
      <c r="P684" s="178"/>
      <c r="Q684" s="105"/>
      <c r="R684" s="219"/>
      <c r="S684" s="164"/>
      <c r="T684" s="164"/>
      <c r="U684" s="162"/>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row>
    <row r="685" spans="1:67" ht="29.25" hidden="1" customHeight="1">
      <c r="A685" s="216"/>
      <c r="B685" s="217"/>
      <c r="C685" s="174"/>
      <c r="D685" s="174"/>
      <c r="E685" s="175"/>
      <c r="F685" s="162"/>
      <c r="G685" s="218"/>
      <c r="H685" s="220"/>
      <c r="I685" s="176"/>
      <c r="J685" s="177"/>
      <c r="K685" s="177"/>
      <c r="L685" s="177"/>
      <c r="M685" s="220"/>
      <c r="N685" s="178"/>
      <c r="O685" s="176"/>
      <c r="P685" s="178"/>
      <c r="Q685" s="105"/>
      <c r="R685" s="219"/>
      <c r="S685" s="164"/>
      <c r="T685" s="164"/>
      <c r="U685" s="162"/>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row>
    <row r="686" spans="1:67" ht="29.25" hidden="1" customHeight="1">
      <c r="A686" s="216"/>
      <c r="B686" s="217"/>
      <c r="C686" s="174"/>
      <c r="D686" s="174"/>
      <c r="E686" s="175"/>
      <c r="F686" s="162"/>
      <c r="G686" s="218"/>
      <c r="H686" s="220"/>
      <c r="I686" s="176"/>
      <c r="J686" s="177"/>
      <c r="K686" s="177"/>
      <c r="L686" s="177"/>
      <c r="M686" s="220"/>
      <c r="N686" s="178"/>
      <c r="O686" s="176"/>
      <c r="P686" s="178"/>
      <c r="Q686" s="105"/>
      <c r="R686" s="219"/>
      <c r="S686" s="164"/>
      <c r="T686" s="164"/>
      <c r="U686" s="162"/>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row>
    <row r="687" spans="1:67" ht="29.25" hidden="1" customHeight="1">
      <c r="A687" s="216"/>
      <c r="B687" s="217"/>
      <c r="C687" s="174"/>
      <c r="D687" s="174"/>
      <c r="E687" s="175"/>
      <c r="F687" s="162"/>
      <c r="G687" s="218"/>
      <c r="H687" s="220"/>
      <c r="I687" s="176"/>
      <c r="J687" s="177"/>
      <c r="K687" s="177"/>
      <c r="L687" s="177"/>
      <c r="M687" s="220"/>
      <c r="N687" s="178"/>
      <c r="O687" s="176"/>
      <c r="P687" s="178"/>
      <c r="Q687" s="105"/>
      <c r="R687" s="219"/>
      <c r="S687" s="164"/>
      <c r="T687" s="164"/>
      <c r="U687" s="162"/>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row>
    <row r="688" spans="1:67" ht="29.25" hidden="1" customHeight="1">
      <c r="A688" s="216"/>
      <c r="B688" s="217"/>
      <c r="C688" s="174"/>
      <c r="D688" s="174"/>
      <c r="E688" s="175"/>
      <c r="F688" s="162"/>
      <c r="G688" s="218"/>
      <c r="H688" s="220"/>
      <c r="I688" s="176"/>
      <c r="J688" s="177"/>
      <c r="K688" s="177"/>
      <c r="L688" s="177"/>
      <c r="M688" s="220"/>
      <c r="N688" s="178"/>
      <c r="O688" s="176"/>
      <c r="P688" s="178"/>
      <c r="Q688" s="105"/>
      <c r="R688" s="219"/>
      <c r="S688" s="164"/>
      <c r="T688" s="164"/>
      <c r="U688" s="162"/>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row>
    <row r="689" spans="1:67" ht="29.25" hidden="1" customHeight="1">
      <c r="A689" s="216"/>
      <c r="B689" s="217"/>
      <c r="C689" s="174"/>
      <c r="D689" s="174"/>
      <c r="E689" s="175"/>
      <c r="F689" s="162"/>
      <c r="G689" s="218"/>
      <c r="H689" s="220"/>
      <c r="I689" s="176"/>
      <c r="J689" s="177"/>
      <c r="K689" s="177"/>
      <c r="L689" s="177"/>
      <c r="M689" s="220"/>
      <c r="N689" s="178"/>
      <c r="O689" s="176"/>
      <c r="P689" s="178"/>
      <c r="Q689" s="105"/>
      <c r="R689" s="219"/>
      <c r="S689" s="164"/>
      <c r="T689" s="164"/>
      <c r="U689" s="162"/>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row>
    <row r="690" spans="1:67" ht="29.25" hidden="1" customHeight="1">
      <c r="A690" s="216"/>
      <c r="B690" s="217"/>
      <c r="C690" s="174"/>
      <c r="D690" s="174"/>
      <c r="E690" s="175"/>
      <c r="F690" s="162"/>
      <c r="G690" s="218"/>
      <c r="H690" s="220"/>
      <c r="I690" s="176"/>
      <c r="J690" s="177"/>
      <c r="K690" s="177"/>
      <c r="L690" s="177"/>
      <c r="M690" s="220"/>
      <c r="N690" s="178"/>
      <c r="O690" s="176"/>
      <c r="P690" s="178"/>
      <c r="Q690" s="105"/>
      <c r="R690" s="219"/>
      <c r="S690" s="164"/>
      <c r="T690" s="164"/>
      <c r="U690" s="162"/>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row>
    <row r="691" spans="1:67" ht="29.25" hidden="1" customHeight="1">
      <c r="A691" s="216"/>
      <c r="B691" s="217"/>
      <c r="C691" s="174"/>
      <c r="D691" s="174"/>
      <c r="E691" s="175"/>
      <c r="F691" s="162"/>
      <c r="G691" s="218"/>
      <c r="H691" s="220"/>
      <c r="I691" s="176"/>
      <c r="J691" s="177"/>
      <c r="K691" s="177"/>
      <c r="L691" s="177"/>
      <c r="M691" s="220"/>
      <c r="N691" s="178"/>
      <c r="O691" s="176"/>
      <c r="P691" s="178"/>
      <c r="Q691" s="105"/>
      <c r="R691" s="219"/>
      <c r="S691" s="164"/>
      <c r="T691" s="164"/>
      <c r="U691" s="162"/>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row>
    <row r="692" spans="1:67" ht="29.25" hidden="1" customHeight="1">
      <c r="A692" s="216"/>
      <c r="B692" s="217"/>
      <c r="C692" s="174"/>
      <c r="D692" s="174"/>
      <c r="E692" s="175"/>
      <c r="F692" s="162"/>
      <c r="G692" s="218"/>
      <c r="H692" s="220"/>
      <c r="I692" s="176"/>
      <c r="J692" s="177"/>
      <c r="K692" s="177"/>
      <c r="L692" s="177"/>
      <c r="M692" s="220"/>
      <c r="N692" s="178"/>
      <c r="O692" s="176"/>
      <c r="P692" s="178"/>
      <c r="Q692" s="105"/>
      <c r="R692" s="219"/>
      <c r="S692" s="164"/>
      <c r="T692" s="164"/>
      <c r="U692" s="162"/>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row>
    <row r="693" spans="1:67" ht="29.25" hidden="1" customHeight="1">
      <c r="A693" s="216"/>
      <c r="B693" s="217"/>
      <c r="C693" s="174"/>
      <c r="D693" s="174"/>
      <c r="E693" s="175"/>
      <c r="F693" s="162"/>
      <c r="G693" s="218"/>
      <c r="H693" s="220"/>
      <c r="I693" s="176"/>
      <c r="J693" s="177"/>
      <c r="K693" s="177"/>
      <c r="L693" s="177"/>
      <c r="M693" s="220"/>
      <c r="N693" s="178"/>
      <c r="O693" s="176"/>
      <c r="P693" s="178"/>
      <c r="Q693" s="105"/>
      <c r="R693" s="219"/>
      <c r="S693" s="164"/>
      <c r="T693" s="164"/>
      <c r="U693" s="162"/>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row>
    <row r="694" spans="1:67" ht="29.25" hidden="1" customHeight="1">
      <c r="A694" s="216"/>
      <c r="B694" s="217"/>
      <c r="C694" s="174"/>
      <c r="D694" s="174"/>
      <c r="E694" s="175"/>
      <c r="F694" s="162"/>
      <c r="G694" s="218"/>
      <c r="H694" s="220"/>
      <c r="I694" s="176"/>
      <c r="J694" s="177"/>
      <c r="K694" s="177"/>
      <c r="L694" s="177"/>
      <c r="M694" s="220"/>
      <c r="N694" s="178"/>
      <c r="O694" s="176"/>
      <c r="P694" s="178"/>
      <c r="Q694" s="105"/>
      <c r="R694" s="219"/>
      <c r="S694" s="164"/>
      <c r="T694" s="164"/>
      <c r="U694" s="162"/>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row>
    <row r="695" spans="1:67" ht="29.25" hidden="1" customHeight="1">
      <c r="A695" s="216"/>
      <c r="B695" s="217"/>
      <c r="C695" s="174"/>
      <c r="D695" s="174"/>
      <c r="E695" s="175"/>
      <c r="F695" s="162"/>
      <c r="G695" s="218"/>
      <c r="H695" s="220"/>
      <c r="I695" s="176"/>
      <c r="J695" s="177"/>
      <c r="K695" s="177"/>
      <c r="L695" s="177"/>
      <c r="M695" s="220"/>
      <c r="N695" s="178"/>
      <c r="O695" s="176"/>
      <c r="P695" s="178"/>
      <c r="Q695" s="105"/>
      <c r="R695" s="219"/>
      <c r="S695" s="164"/>
      <c r="T695" s="164"/>
      <c r="U695" s="162"/>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row>
    <row r="696" spans="1:67" ht="29.25" hidden="1" customHeight="1">
      <c r="A696" s="216"/>
      <c r="B696" s="217"/>
      <c r="C696" s="174"/>
      <c r="D696" s="174"/>
      <c r="E696" s="175"/>
      <c r="F696" s="162"/>
      <c r="G696" s="218"/>
      <c r="H696" s="220"/>
      <c r="I696" s="176"/>
      <c r="J696" s="177"/>
      <c r="K696" s="177"/>
      <c r="L696" s="177"/>
      <c r="M696" s="220"/>
      <c r="N696" s="178"/>
      <c r="O696" s="176"/>
      <c r="P696" s="178"/>
      <c r="Q696" s="105"/>
      <c r="R696" s="219"/>
      <c r="S696" s="164"/>
      <c r="T696" s="164"/>
      <c r="U696" s="162"/>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row>
    <row r="697" spans="1:67" ht="29.25" hidden="1" customHeight="1">
      <c r="A697" s="216"/>
      <c r="B697" s="217"/>
      <c r="C697" s="174"/>
      <c r="D697" s="174"/>
      <c r="E697" s="175"/>
      <c r="F697" s="162"/>
      <c r="G697" s="218"/>
      <c r="H697" s="220"/>
      <c r="I697" s="176"/>
      <c r="J697" s="177"/>
      <c r="K697" s="177"/>
      <c r="L697" s="177"/>
      <c r="M697" s="220"/>
      <c r="N697" s="178"/>
      <c r="O697" s="176"/>
      <c r="P697" s="178"/>
      <c r="Q697" s="105"/>
      <c r="R697" s="219"/>
      <c r="S697" s="164"/>
      <c r="T697" s="164"/>
      <c r="U697" s="162"/>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row>
    <row r="698" spans="1:67" ht="29.25" hidden="1" customHeight="1">
      <c r="A698" s="216"/>
      <c r="B698" s="217"/>
      <c r="C698" s="174"/>
      <c r="D698" s="174"/>
      <c r="E698" s="175"/>
      <c r="F698" s="162"/>
      <c r="G698" s="218"/>
      <c r="H698" s="220"/>
      <c r="I698" s="176"/>
      <c r="J698" s="177"/>
      <c r="K698" s="177"/>
      <c r="L698" s="177"/>
      <c r="M698" s="220"/>
      <c r="N698" s="178"/>
      <c r="O698" s="176"/>
      <c r="P698" s="178"/>
      <c r="Q698" s="105"/>
      <c r="R698" s="219"/>
      <c r="S698" s="164"/>
      <c r="T698" s="164"/>
      <c r="U698" s="162"/>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row>
    <row r="699" spans="1:67" ht="29.25" hidden="1" customHeight="1">
      <c r="A699" s="216"/>
      <c r="B699" s="217"/>
      <c r="C699" s="174"/>
      <c r="D699" s="174"/>
      <c r="E699" s="175"/>
      <c r="F699" s="162"/>
      <c r="G699" s="218"/>
      <c r="H699" s="220"/>
      <c r="I699" s="176"/>
      <c r="J699" s="177"/>
      <c r="K699" s="177"/>
      <c r="L699" s="177"/>
      <c r="M699" s="220"/>
      <c r="N699" s="178"/>
      <c r="O699" s="176"/>
      <c r="P699" s="178"/>
      <c r="Q699" s="105"/>
      <c r="R699" s="219"/>
      <c r="S699" s="164"/>
      <c r="T699" s="164"/>
      <c r="U699" s="162"/>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row>
    <row r="700" spans="1:67" ht="29.25" hidden="1" customHeight="1">
      <c r="A700" s="216"/>
      <c r="B700" s="217"/>
      <c r="C700" s="174"/>
      <c r="D700" s="174"/>
      <c r="E700" s="175"/>
      <c r="F700" s="162"/>
      <c r="G700" s="218"/>
      <c r="H700" s="220"/>
      <c r="I700" s="176"/>
      <c r="J700" s="177"/>
      <c r="K700" s="177"/>
      <c r="L700" s="177"/>
      <c r="M700" s="220"/>
      <c r="N700" s="178"/>
      <c r="O700" s="176"/>
      <c r="P700" s="178"/>
      <c r="Q700" s="105"/>
      <c r="R700" s="219"/>
      <c r="S700" s="164"/>
      <c r="T700" s="164"/>
      <c r="U700" s="162"/>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row>
    <row r="701" spans="1:67" ht="29.25" hidden="1" customHeight="1">
      <c r="A701" s="216"/>
      <c r="B701" s="217"/>
      <c r="C701" s="174"/>
      <c r="D701" s="174"/>
      <c r="E701" s="175"/>
      <c r="F701" s="162"/>
      <c r="G701" s="218"/>
      <c r="H701" s="220"/>
      <c r="I701" s="176"/>
      <c r="J701" s="177"/>
      <c r="K701" s="177"/>
      <c r="L701" s="177"/>
      <c r="M701" s="220"/>
      <c r="N701" s="178"/>
      <c r="O701" s="176"/>
      <c r="P701" s="178"/>
      <c r="Q701" s="105"/>
      <c r="R701" s="219"/>
      <c r="S701" s="164"/>
      <c r="T701" s="164"/>
      <c r="U701" s="162"/>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row>
    <row r="702" spans="1:67" ht="29.25" hidden="1" customHeight="1">
      <c r="A702" s="216"/>
      <c r="B702" s="217"/>
      <c r="C702" s="174"/>
      <c r="D702" s="174"/>
      <c r="E702" s="175"/>
      <c r="F702" s="162"/>
      <c r="G702" s="218"/>
      <c r="H702" s="220"/>
      <c r="I702" s="176"/>
      <c r="J702" s="177"/>
      <c r="K702" s="177"/>
      <c r="L702" s="177"/>
      <c r="M702" s="220"/>
      <c r="N702" s="178"/>
      <c r="O702" s="176"/>
      <c r="P702" s="178"/>
      <c r="Q702" s="105"/>
      <c r="R702" s="219"/>
      <c r="S702" s="164"/>
      <c r="T702" s="164"/>
      <c r="U702" s="162"/>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row>
    <row r="703" spans="1:67" ht="29.25" hidden="1" customHeight="1">
      <c r="A703" s="216"/>
      <c r="B703" s="217"/>
      <c r="C703" s="174"/>
      <c r="D703" s="174"/>
      <c r="E703" s="175"/>
      <c r="F703" s="162"/>
      <c r="G703" s="218"/>
      <c r="H703" s="220"/>
      <c r="I703" s="176"/>
      <c r="J703" s="177"/>
      <c r="K703" s="177"/>
      <c r="L703" s="177"/>
      <c r="M703" s="220"/>
      <c r="N703" s="178"/>
      <c r="O703" s="176"/>
      <c r="P703" s="178"/>
      <c r="Q703" s="105"/>
      <c r="R703" s="219"/>
      <c r="S703" s="164"/>
      <c r="T703" s="164"/>
      <c r="U703" s="162"/>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row>
    <row r="704" spans="1:67" ht="29.25" hidden="1" customHeight="1">
      <c r="A704" s="216"/>
      <c r="B704" s="217"/>
      <c r="C704" s="174"/>
      <c r="D704" s="174"/>
      <c r="E704" s="175"/>
      <c r="F704" s="162"/>
      <c r="G704" s="218"/>
      <c r="H704" s="220"/>
      <c r="I704" s="176"/>
      <c r="J704" s="177"/>
      <c r="K704" s="177"/>
      <c r="L704" s="177"/>
      <c r="M704" s="220"/>
      <c r="N704" s="178"/>
      <c r="O704" s="176"/>
      <c r="P704" s="178"/>
      <c r="Q704" s="105"/>
      <c r="R704" s="219"/>
      <c r="S704" s="164"/>
      <c r="T704" s="164"/>
      <c r="U704" s="162"/>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row>
    <row r="705" spans="1:67" ht="29.25" hidden="1" customHeight="1">
      <c r="A705" s="216"/>
      <c r="B705" s="217"/>
      <c r="C705" s="174"/>
      <c r="D705" s="174"/>
      <c r="E705" s="175"/>
      <c r="F705" s="162"/>
      <c r="G705" s="218"/>
      <c r="H705" s="220"/>
      <c r="I705" s="176"/>
      <c r="J705" s="177"/>
      <c r="K705" s="177"/>
      <c r="L705" s="177"/>
      <c r="M705" s="220"/>
      <c r="N705" s="178"/>
      <c r="O705" s="176"/>
      <c r="P705" s="178"/>
      <c r="Q705" s="105"/>
      <c r="R705" s="219"/>
      <c r="S705" s="164"/>
      <c r="T705" s="164"/>
      <c r="U705" s="162"/>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row>
    <row r="706" spans="1:67" ht="29.25" hidden="1" customHeight="1">
      <c r="A706" s="216"/>
      <c r="B706" s="217"/>
      <c r="C706" s="174"/>
      <c r="D706" s="174"/>
      <c r="E706" s="175"/>
      <c r="F706" s="162"/>
      <c r="G706" s="218"/>
      <c r="H706" s="220"/>
      <c r="I706" s="176"/>
      <c r="J706" s="177"/>
      <c r="K706" s="177"/>
      <c r="L706" s="177"/>
      <c r="M706" s="220"/>
      <c r="N706" s="178"/>
      <c r="O706" s="176"/>
      <c r="P706" s="178"/>
      <c r="Q706" s="105"/>
      <c r="R706" s="219"/>
      <c r="S706" s="164"/>
      <c r="T706" s="164"/>
      <c r="U706" s="162"/>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row>
    <row r="707" spans="1:67" ht="29.25" hidden="1" customHeight="1">
      <c r="A707" s="216"/>
      <c r="B707" s="217"/>
      <c r="C707" s="174"/>
      <c r="D707" s="174"/>
      <c r="E707" s="175"/>
      <c r="F707" s="162"/>
      <c r="G707" s="218"/>
      <c r="H707" s="220"/>
      <c r="I707" s="176"/>
      <c r="J707" s="177"/>
      <c r="K707" s="177"/>
      <c r="L707" s="177"/>
      <c r="M707" s="220"/>
      <c r="N707" s="178"/>
      <c r="O707" s="176"/>
      <c r="P707" s="178"/>
      <c r="Q707" s="105"/>
      <c r="R707" s="219"/>
      <c r="S707" s="164"/>
      <c r="T707" s="164"/>
      <c r="U707" s="162"/>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row>
    <row r="708" spans="1:67" ht="29.25" hidden="1" customHeight="1">
      <c r="A708" s="216"/>
      <c r="B708" s="217"/>
      <c r="C708" s="174"/>
      <c r="D708" s="174"/>
      <c r="E708" s="175"/>
      <c r="F708" s="162"/>
      <c r="G708" s="218"/>
      <c r="H708" s="220"/>
      <c r="I708" s="176"/>
      <c r="J708" s="177"/>
      <c r="K708" s="177"/>
      <c r="L708" s="177"/>
      <c r="M708" s="220"/>
      <c r="N708" s="178"/>
      <c r="O708" s="176"/>
      <c r="P708" s="178"/>
      <c r="Q708" s="105"/>
      <c r="R708" s="219"/>
      <c r="S708" s="164"/>
      <c r="T708" s="164"/>
      <c r="U708" s="162"/>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row>
    <row r="709" spans="1:67" ht="29.25" hidden="1" customHeight="1">
      <c r="A709" s="216"/>
      <c r="B709" s="217"/>
      <c r="C709" s="174"/>
      <c r="D709" s="174"/>
      <c r="E709" s="175"/>
      <c r="F709" s="162"/>
      <c r="G709" s="218"/>
      <c r="H709" s="220"/>
      <c r="I709" s="176"/>
      <c r="J709" s="177"/>
      <c r="K709" s="177"/>
      <c r="L709" s="177"/>
      <c r="M709" s="220"/>
      <c r="N709" s="178"/>
      <c r="O709" s="176"/>
      <c r="P709" s="178"/>
      <c r="Q709" s="105"/>
      <c r="R709" s="219"/>
      <c r="S709" s="164"/>
      <c r="T709" s="164"/>
      <c r="U709" s="162"/>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row>
    <row r="710" spans="1:67" ht="29.25" hidden="1" customHeight="1">
      <c r="A710" s="216"/>
      <c r="B710" s="217"/>
      <c r="C710" s="174"/>
      <c r="D710" s="174"/>
      <c r="E710" s="175"/>
      <c r="F710" s="162"/>
      <c r="G710" s="218"/>
      <c r="H710" s="220"/>
      <c r="I710" s="176"/>
      <c r="J710" s="177"/>
      <c r="K710" s="177"/>
      <c r="L710" s="177"/>
      <c r="M710" s="220"/>
      <c r="N710" s="178"/>
      <c r="O710" s="176"/>
      <c r="P710" s="178"/>
      <c r="Q710" s="105"/>
      <c r="R710" s="219"/>
      <c r="S710" s="164"/>
      <c r="T710" s="164"/>
      <c r="U710" s="162"/>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row>
    <row r="711" spans="1:67" ht="29.25" hidden="1" customHeight="1">
      <c r="A711" s="216"/>
      <c r="B711" s="217"/>
      <c r="C711" s="174"/>
      <c r="D711" s="174"/>
      <c r="E711" s="175"/>
      <c r="F711" s="162"/>
      <c r="G711" s="218"/>
      <c r="H711" s="220"/>
      <c r="I711" s="176"/>
      <c r="J711" s="177"/>
      <c r="K711" s="177"/>
      <c r="L711" s="177"/>
      <c r="M711" s="220"/>
      <c r="N711" s="178"/>
      <c r="O711" s="176"/>
      <c r="P711" s="178"/>
      <c r="Q711" s="105"/>
      <c r="R711" s="219"/>
      <c r="S711" s="164"/>
      <c r="T711" s="164"/>
      <c r="U711" s="162"/>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row>
    <row r="712" spans="1:67" ht="29.25" hidden="1" customHeight="1">
      <c r="A712" s="216"/>
      <c r="B712" s="217"/>
      <c r="C712" s="174"/>
      <c r="D712" s="174"/>
      <c r="E712" s="175"/>
      <c r="F712" s="162"/>
      <c r="G712" s="218"/>
      <c r="H712" s="220"/>
      <c r="I712" s="176"/>
      <c r="J712" s="177"/>
      <c r="K712" s="177"/>
      <c r="L712" s="177"/>
      <c r="M712" s="220"/>
      <c r="N712" s="178"/>
      <c r="O712" s="176"/>
      <c r="P712" s="178"/>
      <c r="Q712" s="105"/>
      <c r="R712" s="219"/>
      <c r="S712" s="164"/>
      <c r="T712" s="164"/>
      <c r="U712" s="162"/>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row>
    <row r="713" spans="1:67" ht="29.25" hidden="1" customHeight="1">
      <c r="A713" s="216"/>
      <c r="B713" s="217"/>
      <c r="C713" s="174"/>
      <c r="D713" s="174"/>
      <c r="E713" s="175"/>
      <c r="F713" s="162"/>
      <c r="G713" s="218"/>
      <c r="H713" s="220"/>
      <c r="I713" s="176"/>
      <c r="J713" s="177"/>
      <c r="K713" s="177"/>
      <c r="L713" s="177"/>
      <c r="M713" s="220"/>
      <c r="N713" s="178"/>
      <c r="O713" s="176"/>
      <c r="P713" s="178"/>
      <c r="Q713" s="105"/>
      <c r="R713" s="219"/>
      <c r="S713" s="164"/>
      <c r="T713" s="164"/>
      <c r="U713" s="162"/>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row>
    <row r="714" spans="1:67" ht="29.25" hidden="1" customHeight="1">
      <c r="A714" s="216"/>
      <c r="B714" s="217"/>
      <c r="C714" s="174"/>
      <c r="D714" s="174"/>
      <c r="E714" s="175"/>
      <c r="F714" s="162"/>
      <c r="G714" s="218"/>
      <c r="H714" s="220"/>
      <c r="I714" s="176"/>
      <c r="J714" s="177"/>
      <c r="K714" s="177"/>
      <c r="L714" s="177"/>
      <c r="M714" s="220"/>
      <c r="N714" s="178"/>
      <c r="O714" s="176"/>
      <c r="P714" s="178"/>
      <c r="Q714" s="105"/>
      <c r="R714" s="219"/>
      <c r="S714" s="164"/>
      <c r="T714" s="164"/>
      <c r="U714" s="162"/>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row>
    <row r="715" spans="1:67" ht="29.25" hidden="1" customHeight="1">
      <c r="A715" s="216"/>
      <c r="B715" s="217"/>
      <c r="C715" s="174"/>
      <c r="D715" s="174"/>
      <c r="E715" s="175"/>
      <c r="F715" s="162"/>
      <c r="G715" s="218"/>
      <c r="H715" s="220"/>
      <c r="I715" s="176"/>
      <c r="J715" s="177"/>
      <c r="K715" s="177"/>
      <c r="L715" s="177"/>
      <c r="M715" s="220"/>
      <c r="N715" s="178"/>
      <c r="O715" s="176"/>
      <c r="P715" s="178"/>
      <c r="Q715" s="105"/>
      <c r="R715" s="219"/>
      <c r="S715" s="164"/>
      <c r="T715" s="164"/>
      <c r="U715" s="162"/>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row>
    <row r="716" spans="1:67" ht="29.25" hidden="1" customHeight="1">
      <c r="A716" s="216"/>
      <c r="B716" s="217"/>
      <c r="C716" s="174"/>
      <c r="D716" s="174"/>
      <c r="E716" s="175"/>
      <c r="F716" s="162"/>
      <c r="G716" s="218"/>
      <c r="H716" s="220"/>
      <c r="I716" s="176"/>
      <c r="J716" s="177"/>
      <c r="K716" s="177"/>
      <c r="L716" s="177"/>
      <c r="M716" s="220"/>
      <c r="N716" s="178"/>
      <c r="O716" s="176"/>
      <c r="P716" s="178"/>
      <c r="Q716" s="105"/>
      <c r="R716" s="219"/>
      <c r="S716" s="164"/>
      <c r="T716" s="164"/>
      <c r="U716" s="162"/>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row>
    <row r="717" spans="1:67" ht="29.25" hidden="1" customHeight="1">
      <c r="A717" s="216"/>
      <c r="B717" s="217"/>
      <c r="C717" s="174"/>
      <c r="D717" s="174"/>
      <c r="E717" s="175"/>
      <c r="F717" s="162"/>
      <c r="G717" s="218"/>
      <c r="H717" s="220"/>
      <c r="I717" s="176"/>
      <c r="J717" s="177"/>
      <c r="K717" s="177"/>
      <c r="L717" s="177"/>
      <c r="M717" s="220"/>
      <c r="N717" s="178"/>
      <c r="O717" s="176"/>
      <c r="P717" s="178"/>
      <c r="Q717" s="105"/>
      <c r="R717" s="219"/>
      <c r="S717" s="164"/>
      <c r="T717" s="164"/>
      <c r="U717" s="162"/>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row>
    <row r="718" spans="1:67" ht="29.25" hidden="1" customHeight="1">
      <c r="A718" s="216"/>
      <c r="B718" s="217"/>
      <c r="C718" s="174"/>
      <c r="D718" s="174"/>
      <c r="E718" s="175"/>
      <c r="F718" s="162"/>
      <c r="G718" s="218"/>
      <c r="H718" s="220"/>
      <c r="I718" s="176"/>
      <c r="J718" s="177"/>
      <c r="K718" s="177"/>
      <c r="L718" s="177"/>
      <c r="M718" s="220"/>
      <c r="N718" s="178"/>
      <c r="O718" s="176"/>
      <c r="P718" s="178"/>
      <c r="Q718" s="105"/>
      <c r="R718" s="219"/>
      <c r="S718" s="164"/>
      <c r="T718" s="164"/>
      <c r="U718" s="162"/>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row>
    <row r="719" spans="1:67" ht="29.25" hidden="1" customHeight="1">
      <c r="A719" s="216"/>
      <c r="B719" s="217"/>
      <c r="C719" s="174"/>
      <c r="D719" s="174"/>
      <c r="E719" s="175"/>
      <c r="F719" s="162"/>
      <c r="G719" s="218"/>
      <c r="H719" s="220"/>
      <c r="I719" s="176"/>
      <c r="J719" s="177"/>
      <c r="K719" s="177"/>
      <c r="L719" s="177"/>
      <c r="M719" s="220"/>
      <c r="N719" s="178"/>
      <c r="O719" s="176"/>
      <c r="P719" s="178"/>
      <c r="Q719" s="105"/>
      <c r="R719" s="219"/>
      <c r="S719" s="164"/>
      <c r="T719" s="164"/>
      <c r="U719" s="162"/>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row>
    <row r="720" spans="1:67" ht="29.25" hidden="1" customHeight="1">
      <c r="A720" s="216"/>
      <c r="B720" s="217"/>
      <c r="C720" s="174"/>
      <c r="D720" s="174"/>
      <c r="E720" s="175"/>
      <c r="F720" s="162"/>
      <c r="G720" s="218"/>
      <c r="H720" s="220"/>
      <c r="I720" s="176"/>
      <c r="J720" s="177"/>
      <c r="K720" s="177"/>
      <c r="L720" s="177"/>
      <c r="M720" s="220"/>
      <c r="N720" s="178"/>
      <c r="O720" s="176"/>
      <c r="P720" s="178"/>
      <c r="Q720" s="105"/>
      <c r="R720" s="219"/>
      <c r="S720" s="164"/>
      <c r="T720" s="164"/>
      <c r="U720" s="162"/>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row>
    <row r="721" spans="1:67" ht="29.25" hidden="1" customHeight="1">
      <c r="A721" s="216"/>
      <c r="B721" s="217"/>
      <c r="C721" s="174"/>
      <c r="D721" s="174"/>
      <c r="E721" s="175"/>
      <c r="F721" s="162"/>
      <c r="G721" s="218"/>
      <c r="H721" s="220"/>
      <c r="I721" s="176"/>
      <c r="J721" s="177"/>
      <c r="K721" s="177"/>
      <c r="L721" s="177"/>
      <c r="M721" s="220"/>
      <c r="N721" s="178"/>
      <c r="O721" s="176"/>
      <c r="P721" s="178"/>
      <c r="Q721" s="105"/>
      <c r="R721" s="219"/>
      <c r="S721" s="164"/>
      <c r="T721" s="164"/>
      <c r="U721" s="162"/>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row>
    <row r="722" spans="1:67" ht="29.25" hidden="1" customHeight="1">
      <c r="A722" s="216"/>
      <c r="B722" s="217"/>
      <c r="C722" s="174"/>
      <c r="D722" s="174"/>
      <c r="E722" s="175"/>
      <c r="F722" s="162"/>
      <c r="G722" s="218"/>
      <c r="H722" s="220"/>
      <c r="I722" s="176"/>
      <c r="J722" s="177"/>
      <c r="K722" s="177"/>
      <c r="L722" s="177"/>
      <c r="M722" s="220"/>
      <c r="N722" s="178"/>
      <c r="O722" s="176"/>
      <c r="P722" s="178"/>
      <c r="Q722" s="105"/>
      <c r="R722" s="219"/>
      <c r="S722" s="164"/>
      <c r="T722" s="164"/>
      <c r="U722" s="162"/>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row>
    <row r="723" spans="1:67" ht="29.25" hidden="1" customHeight="1">
      <c r="A723" s="216"/>
      <c r="B723" s="217"/>
      <c r="C723" s="174"/>
      <c r="D723" s="174"/>
      <c r="E723" s="175"/>
      <c r="F723" s="162"/>
      <c r="G723" s="218"/>
      <c r="H723" s="220"/>
      <c r="I723" s="176"/>
      <c r="J723" s="177"/>
      <c r="K723" s="177"/>
      <c r="L723" s="177"/>
      <c r="M723" s="220"/>
      <c r="N723" s="178"/>
      <c r="O723" s="176"/>
      <c r="P723" s="178"/>
      <c r="Q723" s="105"/>
      <c r="R723" s="219"/>
      <c r="S723" s="164"/>
      <c r="T723" s="164"/>
      <c r="U723" s="162"/>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row>
    <row r="724" spans="1:67" ht="29.25" hidden="1" customHeight="1">
      <c r="A724" s="216"/>
      <c r="B724" s="217"/>
      <c r="C724" s="174"/>
      <c r="D724" s="174"/>
      <c r="E724" s="175"/>
      <c r="F724" s="162"/>
      <c r="G724" s="218"/>
      <c r="H724" s="220"/>
      <c r="I724" s="176"/>
      <c r="J724" s="177"/>
      <c r="K724" s="177"/>
      <c r="L724" s="177"/>
      <c r="M724" s="220"/>
      <c r="N724" s="178"/>
      <c r="O724" s="176"/>
      <c r="P724" s="178"/>
      <c r="Q724" s="105"/>
      <c r="R724" s="219"/>
      <c r="S724" s="164"/>
      <c r="T724" s="164"/>
      <c r="U724" s="162"/>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row>
    <row r="725" spans="1:67" ht="29.25" hidden="1" customHeight="1">
      <c r="A725" s="216"/>
      <c r="B725" s="217"/>
      <c r="C725" s="174"/>
      <c r="D725" s="174"/>
      <c r="E725" s="175"/>
      <c r="F725" s="162"/>
      <c r="G725" s="218"/>
      <c r="H725" s="220"/>
      <c r="I725" s="176"/>
      <c r="J725" s="177"/>
      <c r="K725" s="177"/>
      <c r="L725" s="177"/>
      <c r="M725" s="220"/>
      <c r="N725" s="178"/>
      <c r="O725" s="176"/>
      <c r="P725" s="178"/>
      <c r="Q725" s="105"/>
      <c r="R725" s="219"/>
      <c r="S725" s="164"/>
      <c r="T725" s="164"/>
      <c r="U725" s="162"/>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row>
    <row r="726" spans="1:67" ht="29.25" hidden="1" customHeight="1">
      <c r="A726" s="216"/>
      <c r="B726" s="217"/>
      <c r="C726" s="174"/>
      <c r="D726" s="174"/>
      <c r="E726" s="175"/>
      <c r="F726" s="162"/>
      <c r="G726" s="218"/>
      <c r="H726" s="220"/>
      <c r="I726" s="176"/>
      <c r="J726" s="177"/>
      <c r="K726" s="177"/>
      <c r="L726" s="177"/>
      <c r="M726" s="220"/>
      <c r="N726" s="178"/>
      <c r="O726" s="176"/>
      <c r="P726" s="178"/>
      <c r="Q726" s="105"/>
      <c r="R726" s="219"/>
      <c r="S726" s="164"/>
      <c r="T726" s="164"/>
      <c r="U726" s="162"/>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row>
    <row r="727" spans="1:67" ht="29.25" hidden="1" customHeight="1">
      <c r="A727" s="216"/>
      <c r="B727" s="217"/>
      <c r="C727" s="174"/>
      <c r="D727" s="174"/>
      <c r="E727" s="175"/>
      <c r="F727" s="162"/>
      <c r="G727" s="218"/>
      <c r="H727" s="220"/>
      <c r="I727" s="176"/>
      <c r="J727" s="177"/>
      <c r="K727" s="177"/>
      <c r="L727" s="177"/>
      <c r="M727" s="220"/>
      <c r="N727" s="178"/>
      <c r="O727" s="176"/>
      <c r="P727" s="178"/>
      <c r="Q727" s="105"/>
      <c r="R727" s="219"/>
      <c r="S727" s="164"/>
      <c r="T727" s="164"/>
      <c r="U727" s="162"/>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row>
    <row r="728" spans="1:67" ht="29.25" hidden="1" customHeight="1">
      <c r="A728" s="216"/>
      <c r="B728" s="217"/>
      <c r="C728" s="174"/>
      <c r="D728" s="174"/>
      <c r="E728" s="175"/>
      <c r="F728" s="162"/>
      <c r="G728" s="218"/>
      <c r="H728" s="220"/>
      <c r="I728" s="176"/>
      <c r="J728" s="177"/>
      <c r="K728" s="177"/>
      <c r="L728" s="177"/>
      <c r="M728" s="220"/>
      <c r="N728" s="178"/>
      <c r="O728" s="176"/>
      <c r="P728" s="178"/>
      <c r="Q728" s="105"/>
      <c r="R728" s="219"/>
      <c r="S728" s="164"/>
      <c r="T728" s="164"/>
      <c r="U728" s="162"/>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row>
    <row r="729" spans="1:67" ht="29.25" hidden="1" customHeight="1">
      <c r="A729" s="216"/>
      <c r="B729" s="217"/>
      <c r="C729" s="174"/>
      <c r="D729" s="174"/>
      <c r="E729" s="175"/>
      <c r="F729" s="162"/>
      <c r="G729" s="218"/>
      <c r="H729" s="220"/>
      <c r="I729" s="176"/>
      <c r="J729" s="177"/>
      <c r="K729" s="177"/>
      <c r="L729" s="177"/>
      <c r="M729" s="220"/>
      <c r="N729" s="178"/>
      <c r="O729" s="176"/>
      <c r="P729" s="178"/>
      <c r="Q729" s="105"/>
      <c r="R729" s="219"/>
      <c r="S729" s="164"/>
      <c r="T729" s="164"/>
      <c r="U729" s="162"/>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row>
    <row r="730" spans="1:67" ht="29.25" hidden="1" customHeight="1">
      <c r="A730" s="216"/>
      <c r="B730" s="217"/>
      <c r="C730" s="174"/>
      <c r="D730" s="174"/>
      <c r="E730" s="175"/>
      <c r="F730" s="162"/>
      <c r="G730" s="218"/>
      <c r="H730" s="220"/>
      <c r="I730" s="176"/>
      <c r="J730" s="177"/>
      <c r="K730" s="177"/>
      <c r="L730" s="177"/>
      <c r="M730" s="220"/>
      <c r="N730" s="178"/>
      <c r="O730" s="176"/>
      <c r="P730" s="178"/>
      <c r="Q730" s="105"/>
      <c r="R730" s="219"/>
      <c r="S730" s="164"/>
      <c r="T730" s="164"/>
      <c r="U730" s="162"/>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row>
    <row r="731" spans="1:67" ht="29.25" hidden="1" customHeight="1">
      <c r="A731" s="216"/>
      <c r="B731" s="217"/>
      <c r="C731" s="174"/>
      <c r="D731" s="174"/>
      <c r="E731" s="175"/>
      <c r="F731" s="162"/>
      <c r="G731" s="218"/>
      <c r="H731" s="220"/>
      <c r="I731" s="176"/>
      <c r="J731" s="177"/>
      <c r="K731" s="177"/>
      <c r="L731" s="177"/>
      <c r="M731" s="220"/>
      <c r="N731" s="178"/>
      <c r="O731" s="176"/>
      <c r="P731" s="178"/>
      <c r="Q731" s="105"/>
      <c r="R731" s="219"/>
      <c r="S731" s="164"/>
      <c r="T731" s="164"/>
      <c r="U731" s="162"/>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row>
    <row r="732" spans="1:67" ht="29.25" hidden="1" customHeight="1">
      <c r="A732" s="216"/>
      <c r="B732" s="217"/>
      <c r="C732" s="174"/>
      <c r="D732" s="174"/>
      <c r="E732" s="175"/>
      <c r="F732" s="162"/>
      <c r="G732" s="218"/>
      <c r="H732" s="220"/>
      <c r="I732" s="176"/>
      <c r="J732" s="177"/>
      <c r="K732" s="177"/>
      <c r="L732" s="177"/>
      <c r="M732" s="220"/>
      <c r="N732" s="178"/>
      <c r="O732" s="176"/>
      <c r="P732" s="178"/>
      <c r="Q732" s="105"/>
      <c r="R732" s="219"/>
      <c r="S732" s="164"/>
      <c r="T732" s="164"/>
      <c r="U732" s="162"/>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row>
    <row r="733" spans="1:67" ht="29.25" hidden="1" customHeight="1">
      <c r="A733" s="216"/>
      <c r="B733" s="217"/>
      <c r="C733" s="174"/>
      <c r="D733" s="174"/>
      <c r="E733" s="175"/>
      <c r="F733" s="162"/>
      <c r="G733" s="218"/>
      <c r="H733" s="220"/>
      <c r="I733" s="176"/>
      <c r="J733" s="177"/>
      <c r="K733" s="177"/>
      <c r="L733" s="177"/>
      <c r="M733" s="220"/>
      <c r="N733" s="178"/>
      <c r="O733" s="176"/>
      <c r="P733" s="178"/>
      <c r="Q733" s="105"/>
      <c r="R733" s="219"/>
      <c r="S733" s="164"/>
      <c r="T733" s="164"/>
      <c r="U733" s="162"/>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row>
    <row r="734" spans="1:67" ht="29.25" hidden="1" customHeight="1">
      <c r="A734" s="216"/>
      <c r="B734" s="217"/>
      <c r="C734" s="174"/>
      <c r="D734" s="174"/>
      <c r="E734" s="175"/>
      <c r="F734" s="162"/>
      <c r="G734" s="218"/>
      <c r="H734" s="220"/>
      <c r="I734" s="176"/>
      <c r="J734" s="177"/>
      <c r="K734" s="177"/>
      <c r="L734" s="177"/>
      <c r="M734" s="220"/>
      <c r="N734" s="178"/>
      <c r="O734" s="176"/>
      <c r="P734" s="178"/>
      <c r="Q734" s="105"/>
      <c r="R734" s="219"/>
      <c r="S734" s="164"/>
      <c r="T734" s="164"/>
      <c r="U734" s="162"/>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row>
    <row r="735" spans="1:67" ht="29.25" hidden="1" customHeight="1">
      <c r="A735" s="216"/>
      <c r="B735" s="217"/>
      <c r="C735" s="174"/>
      <c r="D735" s="174"/>
      <c r="E735" s="175"/>
      <c r="F735" s="162"/>
      <c r="G735" s="218"/>
      <c r="H735" s="220"/>
      <c r="I735" s="176"/>
      <c r="J735" s="177"/>
      <c r="K735" s="177"/>
      <c r="L735" s="177"/>
      <c r="M735" s="220"/>
      <c r="N735" s="178"/>
      <c r="O735" s="176"/>
      <c r="P735" s="178"/>
      <c r="Q735" s="105"/>
      <c r="R735" s="219"/>
      <c r="S735" s="164"/>
      <c r="T735" s="164"/>
      <c r="U735" s="162"/>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row>
    <row r="736" spans="1:67" ht="29.25" hidden="1" customHeight="1">
      <c r="A736" s="216"/>
      <c r="B736" s="217"/>
      <c r="C736" s="174"/>
      <c r="D736" s="174"/>
      <c r="E736" s="175"/>
      <c r="F736" s="162"/>
      <c r="G736" s="218"/>
      <c r="H736" s="220"/>
      <c r="I736" s="176"/>
      <c r="J736" s="177"/>
      <c r="K736" s="177"/>
      <c r="L736" s="177"/>
      <c r="M736" s="220"/>
      <c r="N736" s="178"/>
      <c r="O736" s="176"/>
      <c r="P736" s="178"/>
      <c r="Q736" s="105"/>
      <c r="R736" s="219"/>
      <c r="S736" s="164"/>
      <c r="T736" s="164"/>
      <c r="U736" s="162"/>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row>
    <row r="737" spans="1:67" ht="29.25" hidden="1" customHeight="1">
      <c r="A737" s="216"/>
      <c r="B737" s="217"/>
      <c r="C737" s="174"/>
      <c r="D737" s="174"/>
      <c r="E737" s="175"/>
      <c r="F737" s="162"/>
      <c r="G737" s="218"/>
      <c r="H737" s="220"/>
      <c r="I737" s="176"/>
      <c r="J737" s="177"/>
      <c r="K737" s="177"/>
      <c r="L737" s="177"/>
      <c r="M737" s="220"/>
      <c r="N737" s="178"/>
      <c r="O737" s="176"/>
      <c r="P737" s="178"/>
      <c r="Q737" s="105"/>
      <c r="R737" s="219"/>
      <c r="S737" s="164"/>
      <c r="T737" s="164"/>
      <c r="U737" s="162"/>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row>
    <row r="738" spans="1:67" ht="29.25" hidden="1" customHeight="1">
      <c r="A738" s="216"/>
      <c r="B738" s="217"/>
      <c r="C738" s="174"/>
      <c r="D738" s="174"/>
      <c r="E738" s="175"/>
      <c r="F738" s="162"/>
      <c r="G738" s="218"/>
      <c r="H738" s="220"/>
      <c r="I738" s="176"/>
      <c r="J738" s="177"/>
      <c r="K738" s="177"/>
      <c r="L738" s="177"/>
      <c r="M738" s="220"/>
      <c r="N738" s="178"/>
      <c r="O738" s="176"/>
      <c r="P738" s="178"/>
      <c r="Q738" s="105"/>
      <c r="R738" s="219"/>
      <c r="S738" s="164"/>
      <c r="T738" s="164"/>
      <c r="U738" s="162"/>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row>
    <row r="739" spans="1:67" ht="29.25" hidden="1" customHeight="1">
      <c r="A739" s="216"/>
      <c r="B739" s="217"/>
      <c r="C739" s="174"/>
      <c r="D739" s="174"/>
      <c r="E739" s="175"/>
      <c r="F739" s="162"/>
      <c r="G739" s="218"/>
      <c r="H739" s="220"/>
      <c r="I739" s="176"/>
      <c r="J739" s="177"/>
      <c r="K739" s="177"/>
      <c r="L739" s="177"/>
      <c r="M739" s="220"/>
      <c r="N739" s="178"/>
      <c r="O739" s="176"/>
      <c r="P739" s="178"/>
      <c r="Q739" s="105"/>
      <c r="R739" s="219"/>
      <c r="S739" s="164"/>
      <c r="T739" s="164"/>
      <c r="U739" s="162"/>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row>
    <row r="740" spans="1:67" ht="29.25" hidden="1" customHeight="1">
      <c r="A740" s="216"/>
      <c r="B740" s="217"/>
      <c r="C740" s="174"/>
      <c r="D740" s="174"/>
      <c r="E740" s="175"/>
      <c r="F740" s="162"/>
      <c r="G740" s="218"/>
      <c r="H740" s="220"/>
      <c r="I740" s="176"/>
      <c r="J740" s="177"/>
      <c r="K740" s="177"/>
      <c r="L740" s="177"/>
      <c r="M740" s="220"/>
      <c r="N740" s="178"/>
      <c r="O740" s="176"/>
      <c r="P740" s="178"/>
      <c r="Q740" s="105"/>
      <c r="R740" s="219"/>
      <c r="S740" s="164"/>
      <c r="T740" s="164"/>
      <c r="U740" s="162"/>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row>
    <row r="741" spans="1:67" ht="29.25" hidden="1" customHeight="1">
      <c r="A741" s="216"/>
      <c r="B741" s="217"/>
      <c r="C741" s="174"/>
      <c r="D741" s="174"/>
      <c r="E741" s="175"/>
      <c r="F741" s="162"/>
      <c r="G741" s="218"/>
      <c r="H741" s="220"/>
      <c r="I741" s="176"/>
      <c r="J741" s="177"/>
      <c r="K741" s="177"/>
      <c r="L741" s="177"/>
      <c r="M741" s="220"/>
      <c r="N741" s="178"/>
      <c r="O741" s="176"/>
      <c r="P741" s="178"/>
      <c r="Q741" s="105"/>
      <c r="R741" s="219"/>
      <c r="S741" s="164"/>
      <c r="T741" s="164"/>
      <c r="U741" s="162"/>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row>
    <row r="742" spans="1:67" ht="29.25" hidden="1" customHeight="1">
      <c r="A742" s="216"/>
      <c r="B742" s="217"/>
      <c r="C742" s="174"/>
      <c r="D742" s="174"/>
      <c r="E742" s="175"/>
      <c r="F742" s="162"/>
      <c r="G742" s="218"/>
      <c r="H742" s="220"/>
      <c r="I742" s="176"/>
      <c r="J742" s="177"/>
      <c r="K742" s="177"/>
      <c r="L742" s="177"/>
      <c r="M742" s="220"/>
      <c r="N742" s="178"/>
      <c r="O742" s="176"/>
      <c r="P742" s="178"/>
      <c r="Q742" s="105"/>
      <c r="R742" s="219"/>
      <c r="S742" s="164"/>
      <c r="T742" s="164"/>
      <c r="U742" s="162"/>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row>
    <row r="743" spans="1:67" ht="29.25" hidden="1" customHeight="1">
      <c r="A743" s="216"/>
      <c r="B743" s="217"/>
      <c r="C743" s="174"/>
      <c r="D743" s="174"/>
      <c r="E743" s="175"/>
      <c r="F743" s="162"/>
      <c r="G743" s="218"/>
      <c r="H743" s="220"/>
      <c r="I743" s="176"/>
      <c r="J743" s="177"/>
      <c r="K743" s="177"/>
      <c r="L743" s="177"/>
      <c r="M743" s="220"/>
      <c r="N743" s="178"/>
      <c r="O743" s="176"/>
      <c r="P743" s="178"/>
      <c r="Q743" s="105"/>
      <c r="R743" s="219"/>
      <c r="S743" s="164"/>
      <c r="T743" s="164"/>
      <c r="U743" s="162"/>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row>
    <row r="744" spans="1:67" ht="29.25" hidden="1" customHeight="1">
      <c r="A744" s="216"/>
      <c r="B744" s="217"/>
      <c r="C744" s="174"/>
      <c r="D744" s="174"/>
      <c r="E744" s="175"/>
      <c r="F744" s="162"/>
      <c r="G744" s="218"/>
      <c r="H744" s="220"/>
      <c r="I744" s="176"/>
      <c r="J744" s="177"/>
      <c r="K744" s="177"/>
      <c r="L744" s="177"/>
      <c r="M744" s="220"/>
      <c r="N744" s="178"/>
      <c r="O744" s="176"/>
      <c r="P744" s="178"/>
      <c r="Q744" s="105"/>
      <c r="R744" s="219"/>
      <c r="S744" s="164"/>
      <c r="T744" s="164"/>
      <c r="U744" s="162"/>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row>
    <row r="745" spans="1:67" ht="29.25" hidden="1" customHeight="1">
      <c r="A745" s="216"/>
      <c r="B745" s="217"/>
      <c r="C745" s="174"/>
      <c r="D745" s="174"/>
      <c r="E745" s="175"/>
      <c r="F745" s="162"/>
      <c r="G745" s="218"/>
      <c r="H745" s="220"/>
      <c r="I745" s="176"/>
      <c r="J745" s="177"/>
      <c r="K745" s="177"/>
      <c r="L745" s="177"/>
      <c r="M745" s="220"/>
      <c r="N745" s="178"/>
      <c r="O745" s="176"/>
      <c r="P745" s="178"/>
      <c r="Q745" s="105"/>
      <c r="R745" s="219"/>
      <c r="S745" s="164"/>
      <c r="T745" s="164"/>
      <c r="U745" s="162"/>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row>
    <row r="746" spans="1:67" ht="29.25" hidden="1" customHeight="1">
      <c r="A746" s="216"/>
      <c r="B746" s="217"/>
      <c r="C746" s="174"/>
      <c r="D746" s="174"/>
      <c r="E746" s="175"/>
      <c r="F746" s="162"/>
      <c r="G746" s="218"/>
      <c r="H746" s="220"/>
      <c r="I746" s="176"/>
      <c r="J746" s="177"/>
      <c r="K746" s="177"/>
      <c r="L746" s="177"/>
      <c r="M746" s="220"/>
      <c r="N746" s="178"/>
      <c r="O746" s="176"/>
      <c r="P746" s="178"/>
      <c r="Q746" s="105"/>
      <c r="R746" s="219"/>
      <c r="S746" s="164"/>
      <c r="T746" s="164"/>
      <c r="U746" s="162"/>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row>
    <row r="747" spans="1:67" ht="29.25" hidden="1" customHeight="1">
      <c r="A747" s="216"/>
      <c r="B747" s="217"/>
      <c r="C747" s="174"/>
      <c r="D747" s="174"/>
      <c r="E747" s="175"/>
      <c r="F747" s="162"/>
      <c r="G747" s="218"/>
      <c r="H747" s="220"/>
      <c r="I747" s="176"/>
      <c r="J747" s="177"/>
      <c r="K747" s="177"/>
      <c r="L747" s="177"/>
      <c r="M747" s="220"/>
      <c r="N747" s="178"/>
      <c r="O747" s="176"/>
      <c r="P747" s="178"/>
      <c r="Q747" s="105"/>
      <c r="R747" s="219"/>
      <c r="S747" s="164"/>
      <c r="T747" s="164"/>
      <c r="U747" s="162"/>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row>
    <row r="748" spans="1:67" ht="29.25" hidden="1" customHeight="1">
      <c r="A748" s="216"/>
      <c r="B748" s="217"/>
      <c r="C748" s="174"/>
      <c r="D748" s="174"/>
      <c r="E748" s="175"/>
      <c r="F748" s="162"/>
      <c r="G748" s="218"/>
      <c r="H748" s="220"/>
      <c r="I748" s="176"/>
      <c r="J748" s="177"/>
      <c r="K748" s="177"/>
      <c r="L748" s="177"/>
      <c r="M748" s="220"/>
      <c r="N748" s="178"/>
      <c r="O748" s="176"/>
      <c r="P748" s="178"/>
      <c r="Q748" s="105"/>
      <c r="R748" s="219"/>
      <c r="S748" s="164"/>
      <c r="T748" s="164"/>
      <c r="U748" s="162"/>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row>
    <row r="749" spans="1:67" ht="29.25" hidden="1" customHeight="1">
      <c r="A749" s="216"/>
      <c r="B749" s="217"/>
      <c r="C749" s="174"/>
      <c r="D749" s="174"/>
      <c r="E749" s="175"/>
      <c r="F749" s="162"/>
      <c r="G749" s="218"/>
      <c r="H749" s="220"/>
      <c r="I749" s="176"/>
      <c r="J749" s="177"/>
      <c r="K749" s="177"/>
      <c r="L749" s="177"/>
      <c r="M749" s="220"/>
      <c r="N749" s="178"/>
      <c r="O749" s="176"/>
      <c r="P749" s="178"/>
      <c r="Q749" s="105"/>
      <c r="R749" s="219"/>
      <c r="S749" s="164"/>
      <c r="T749" s="164"/>
      <c r="U749" s="162"/>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row>
    <row r="750" spans="1:67" ht="29.25" hidden="1" customHeight="1">
      <c r="A750" s="216"/>
      <c r="B750" s="217"/>
      <c r="C750" s="174"/>
      <c r="D750" s="174"/>
      <c r="E750" s="175"/>
      <c r="F750" s="162"/>
      <c r="G750" s="218"/>
      <c r="H750" s="220"/>
      <c r="I750" s="176"/>
      <c r="J750" s="177"/>
      <c r="K750" s="177"/>
      <c r="L750" s="177"/>
      <c r="M750" s="220"/>
      <c r="N750" s="178"/>
      <c r="O750" s="176"/>
      <c r="P750" s="178"/>
      <c r="Q750" s="105"/>
      <c r="R750" s="219"/>
      <c r="S750" s="164"/>
      <c r="T750" s="164"/>
      <c r="U750" s="162"/>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row>
    <row r="751" spans="1:67" ht="29.25" hidden="1" customHeight="1">
      <c r="A751" s="216"/>
      <c r="B751" s="217"/>
      <c r="C751" s="174"/>
      <c r="D751" s="174"/>
      <c r="E751" s="175"/>
      <c r="F751" s="162"/>
      <c r="G751" s="218"/>
      <c r="H751" s="220"/>
      <c r="I751" s="176"/>
      <c r="J751" s="177"/>
      <c r="K751" s="177"/>
      <c r="L751" s="177"/>
      <c r="M751" s="220"/>
      <c r="N751" s="178"/>
      <c r="O751" s="176"/>
      <c r="P751" s="178"/>
      <c r="Q751" s="105"/>
      <c r="R751" s="219"/>
      <c r="S751" s="164"/>
      <c r="T751" s="164"/>
      <c r="U751" s="162"/>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row>
    <row r="752" spans="1:67" ht="29.25" hidden="1" customHeight="1">
      <c r="A752" s="216"/>
      <c r="B752" s="217"/>
      <c r="C752" s="174"/>
      <c r="D752" s="174"/>
      <c r="E752" s="175"/>
      <c r="F752" s="162"/>
      <c r="G752" s="218"/>
      <c r="H752" s="220"/>
      <c r="I752" s="176"/>
      <c r="J752" s="177"/>
      <c r="K752" s="177"/>
      <c r="L752" s="177"/>
      <c r="M752" s="220"/>
      <c r="N752" s="178"/>
      <c r="O752" s="176"/>
      <c r="P752" s="178"/>
      <c r="Q752" s="105"/>
      <c r="R752" s="219"/>
      <c r="S752" s="164"/>
      <c r="T752" s="164"/>
      <c r="U752" s="162"/>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row>
    <row r="753" spans="1:67" ht="29.25" hidden="1" customHeight="1">
      <c r="A753" s="216"/>
      <c r="B753" s="217"/>
      <c r="C753" s="174"/>
      <c r="D753" s="174"/>
      <c r="E753" s="175"/>
      <c r="F753" s="162"/>
      <c r="G753" s="218"/>
      <c r="H753" s="220"/>
      <c r="I753" s="176"/>
      <c r="J753" s="177"/>
      <c r="K753" s="177"/>
      <c r="L753" s="177"/>
      <c r="M753" s="220"/>
      <c r="N753" s="178"/>
      <c r="O753" s="176"/>
      <c r="P753" s="178"/>
      <c r="Q753" s="105"/>
      <c r="R753" s="219"/>
      <c r="S753" s="164"/>
      <c r="T753" s="164"/>
      <c r="U753" s="162"/>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row>
    <row r="754" spans="1:67" ht="29.25" hidden="1" customHeight="1">
      <c r="A754" s="216"/>
      <c r="B754" s="217"/>
      <c r="C754" s="174"/>
      <c r="D754" s="174"/>
      <c r="E754" s="175"/>
      <c r="F754" s="162"/>
      <c r="G754" s="218"/>
      <c r="H754" s="220"/>
      <c r="I754" s="176"/>
      <c r="J754" s="177"/>
      <c r="K754" s="177"/>
      <c r="L754" s="177"/>
      <c r="M754" s="220"/>
      <c r="N754" s="178"/>
      <c r="O754" s="176"/>
      <c r="P754" s="178"/>
      <c r="Q754" s="105"/>
      <c r="R754" s="219"/>
      <c r="S754" s="164"/>
      <c r="T754" s="164"/>
      <c r="U754" s="162"/>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row>
    <row r="755" spans="1:67" ht="29.25" hidden="1" customHeight="1">
      <c r="A755" s="216"/>
      <c r="B755" s="217"/>
      <c r="C755" s="174"/>
      <c r="D755" s="174"/>
      <c r="E755" s="175"/>
      <c r="F755" s="162"/>
      <c r="G755" s="218"/>
      <c r="H755" s="220"/>
      <c r="I755" s="176"/>
      <c r="J755" s="177"/>
      <c r="K755" s="177"/>
      <c r="L755" s="177"/>
      <c r="M755" s="220"/>
      <c r="N755" s="178"/>
      <c r="O755" s="176"/>
      <c r="P755" s="178"/>
      <c r="Q755" s="105"/>
      <c r="R755" s="219"/>
      <c r="S755" s="164"/>
      <c r="T755" s="164"/>
      <c r="U755" s="162"/>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row>
    <row r="756" spans="1:67" ht="29.25" hidden="1" customHeight="1">
      <c r="A756" s="216"/>
      <c r="B756" s="217"/>
      <c r="C756" s="174"/>
      <c r="D756" s="174"/>
      <c r="E756" s="175"/>
      <c r="F756" s="162"/>
      <c r="G756" s="218"/>
      <c r="H756" s="220"/>
      <c r="I756" s="176"/>
      <c r="J756" s="177"/>
      <c r="K756" s="177"/>
      <c r="L756" s="177"/>
      <c r="M756" s="220"/>
      <c r="N756" s="178"/>
      <c r="O756" s="176"/>
      <c r="P756" s="178"/>
      <c r="Q756" s="105"/>
      <c r="R756" s="219"/>
      <c r="S756" s="164"/>
      <c r="T756" s="164"/>
      <c r="U756" s="162"/>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row>
    <row r="757" spans="1:67" ht="29.25" hidden="1" customHeight="1">
      <c r="A757" s="216"/>
      <c r="B757" s="217"/>
      <c r="C757" s="174"/>
      <c r="D757" s="174"/>
      <c r="E757" s="175"/>
      <c r="F757" s="162"/>
      <c r="G757" s="218"/>
      <c r="H757" s="220"/>
      <c r="I757" s="176"/>
      <c r="J757" s="177"/>
      <c r="K757" s="177"/>
      <c r="L757" s="177"/>
      <c r="M757" s="220"/>
      <c r="N757" s="178"/>
      <c r="O757" s="176"/>
      <c r="P757" s="178"/>
      <c r="Q757" s="105"/>
      <c r="R757" s="219"/>
      <c r="S757" s="164"/>
      <c r="T757" s="164"/>
      <c r="U757" s="162"/>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row>
    <row r="758" spans="1:67" ht="29.25" hidden="1" customHeight="1">
      <c r="A758" s="216"/>
      <c r="B758" s="217"/>
      <c r="C758" s="174"/>
      <c r="D758" s="174"/>
      <c r="E758" s="175"/>
      <c r="F758" s="162"/>
      <c r="G758" s="218"/>
      <c r="H758" s="220"/>
      <c r="I758" s="176"/>
      <c r="J758" s="177"/>
      <c r="K758" s="177"/>
      <c r="L758" s="177"/>
      <c r="M758" s="220"/>
      <c r="N758" s="178"/>
      <c r="O758" s="176"/>
      <c r="P758" s="178"/>
      <c r="Q758" s="105"/>
      <c r="R758" s="219"/>
      <c r="S758" s="164"/>
      <c r="T758" s="164"/>
      <c r="U758" s="162"/>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row>
    <row r="759" spans="1:67" ht="29.25" hidden="1" customHeight="1">
      <c r="A759" s="216"/>
      <c r="B759" s="217"/>
      <c r="C759" s="174"/>
      <c r="D759" s="174"/>
      <c r="E759" s="175"/>
      <c r="F759" s="162"/>
      <c r="G759" s="218"/>
      <c r="H759" s="220"/>
      <c r="I759" s="176"/>
      <c r="J759" s="177"/>
      <c r="K759" s="177"/>
      <c r="L759" s="177"/>
      <c r="M759" s="220"/>
      <c r="N759" s="178"/>
      <c r="O759" s="176"/>
      <c r="P759" s="178"/>
      <c r="Q759" s="105"/>
      <c r="R759" s="219"/>
      <c r="S759" s="164"/>
      <c r="T759" s="164"/>
      <c r="U759" s="162"/>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row>
    <row r="760" spans="1:67" ht="29.25" hidden="1" customHeight="1">
      <c r="A760" s="216"/>
      <c r="B760" s="217"/>
      <c r="C760" s="174"/>
      <c r="D760" s="174"/>
      <c r="E760" s="175"/>
      <c r="F760" s="162"/>
      <c r="G760" s="218"/>
      <c r="H760" s="220"/>
      <c r="I760" s="176"/>
      <c r="J760" s="177"/>
      <c r="K760" s="177"/>
      <c r="L760" s="177"/>
      <c r="M760" s="220"/>
      <c r="N760" s="178"/>
      <c r="O760" s="176"/>
      <c r="P760" s="178"/>
      <c r="Q760" s="105"/>
      <c r="R760" s="219"/>
      <c r="S760" s="164"/>
      <c r="T760" s="164"/>
      <c r="U760" s="162"/>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row>
    <row r="761" spans="1:67" ht="29.25" hidden="1" customHeight="1">
      <c r="A761" s="216"/>
      <c r="B761" s="217"/>
      <c r="C761" s="174"/>
      <c r="D761" s="174"/>
      <c r="E761" s="175"/>
      <c r="F761" s="162"/>
      <c r="G761" s="218"/>
      <c r="H761" s="220"/>
      <c r="I761" s="176"/>
      <c r="J761" s="177"/>
      <c r="K761" s="177"/>
      <c r="L761" s="177"/>
      <c r="M761" s="220"/>
      <c r="N761" s="178"/>
      <c r="O761" s="176"/>
      <c r="P761" s="178"/>
      <c r="Q761" s="105"/>
      <c r="R761" s="219"/>
      <c r="S761" s="164"/>
      <c r="T761" s="164"/>
      <c r="U761" s="162"/>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row>
    <row r="762" spans="1:67" ht="29.25" hidden="1" customHeight="1">
      <c r="A762" s="216"/>
      <c r="B762" s="217"/>
      <c r="C762" s="174"/>
      <c r="D762" s="174"/>
      <c r="E762" s="175"/>
      <c r="F762" s="162"/>
      <c r="G762" s="218"/>
      <c r="H762" s="220"/>
      <c r="I762" s="176"/>
      <c r="J762" s="177"/>
      <c r="K762" s="177"/>
      <c r="L762" s="177"/>
      <c r="M762" s="220"/>
      <c r="N762" s="178"/>
      <c r="O762" s="176"/>
      <c r="P762" s="178"/>
      <c r="Q762" s="105"/>
      <c r="R762" s="219"/>
      <c r="S762" s="164"/>
      <c r="T762" s="164"/>
      <c r="U762" s="162"/>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row>
    <row r="763" spans="1:67" ht="29.25" hidden="1" customHeight="1">
      <c r="A763" s="216"/>
      <c r="B763" s="217"/>
      <c r="C763" s="174"/>
      <c r="D763" s="174"/>
      <c r="E763" s="175"/>
      <c r="F763" s="162"/>
      <c r="G763" s="218"/>
      <c r="H763" s="220"/>
      <c r="I763" s="176"/>
      <c r="J763" s="177"/>
      <c r="K763" s="177"/>
      <c r="L763" s="177"/>
      <c r="M763" s="220"/>
      <c r="N763" s="178"/>
      <c r="O763" s="176"/>
      <c r="P763" s="178"/>
      <c r="Q763" s="105"/>
      <c r="R763" s="219"/>
      <c r="S763" s="164"/>
      <c r="T763" s="164"/>
      <c r="U763" s="162"/>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row>
    <row r="764" spans="1:67" ht="29.25" hidden="1" customHeight="1">
      <c r="A764" s="216"/>
      <c r="B764" s="217"/>
      <c r="C764" s="174"/>
      <c r="D764" s="174"/>
      <c r="E764" s="175"/>
      <c r="F764" s="162"/>
      <c r="G764" s="218"/>
      <c r="H764" s="220"/>
      <c r="I764" s="176"/>
      <c r="J764" s="177"/>
      <c r="K764" s="177"/>
      <c r="L764" s="177"/>
      <c r="M764" s="220"/>
      <c r="N764" s="178"/>
      <c r="O764" s="176"/>
      <c r="P764" s="178"/>
      <c r="Q764" s="105"/>
      <c r="R764" s="219"/>
      <c r="S764" s="164"/>
      <c r="T764" s="164"/>
      <c r="U764" s="162"/>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row>
    <row r="765" spans="1:67" ht="29.25" hidden="1" customHeight="1">
      <c r="A765" s="216"/>
      <c r="B765" s="217"/>
      <c r="C765" s="174"/>
      <c r="D765" s="174"/>
      <c r="E765" s="175"/>
      <c r="F765" s="162"/>
      <c r="G765" s="218"/>
      <c r="H765" s="220"/>
      <c r="I765" s="176"/>
      <c r="J765" s="177"/>
      <c r="K765" s="177"/>
      <c r="L765" s="177"/>
      <c r="M765" s="220"/>
      <c r="N765" s="178"/>
      <c r="O765" s="176"/>
      <c r="P765" s="178"/>
      <c r="Q765" s="105"/>
      <c r="R765" s="219"/>
      <c r="S765" s="164"/>
      <c r="T765" s="164"/>
      <c r="U765" s="162"/>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row>
    <row r="766" spans="1:67" ht="29.25" hidden="1" customHeight="1">
      <c r="A766" s="216"/>
      <c r="B766" s="217"/>
      <c r="C766" s="174"/>
      <c r="D766" s="174"/>
      <c r="E766" s="175"/>
      <c r="F766" s="162"/>
      <c r="G766" s="218"/>
      <c r="H766" s="220"/>
      <c r="I766" s="176"/>
      <c r="J766" s="177"/>
      <c r="K766" s="177"/>
      <c r="L766" s="177"/>
      <c r="M766" s="220"/>
      <c r="N766" s="178"/>
      <c r="O766" s="176"/>
      <c r="P766" s="178"/>
      <c r="Q766" s="105"/>
      <c r="R766" s="219"/>
      <c r="S766" s="164"/>
      <c r="T766" s="164"/>
      <c r="U766" s="162"/>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row>
    <row r="767" spans="1:67" ht="29.25" hidden="1" customHeight="1">
      <c r="A767" s="216"/>
      <c r="B767" s="217"/>
      <c r="C767" s="174"/>
      <c r="D767" s="174"/>
      <c r="E767" s="175"/>
      <c r="F767" s="162"/>
      <c r="G767" s="218"/>
      <c r="H767" s="220"/>
      <c r="I767" s="176"/>
      <c r="J767" s="177"/>
      <c r="K767" s="177"/>
      <c r="L767" s="177"/>
      <c r="M767" s="220"/>
      <c r="N767" s="178"/>
      <c r="O767" s="176"/>
      <c r="P767" s="178"/>
      <c r="Q767" s="105"/>
      <c r="R767" s="219"/>
      <c r="S767" s="164"/>
      <c r="T767" s="164"/>
      <c r="U767" s="162"/>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row>
    <row r="768" spans="1:67" ht="29.25" hidden="1" customHeight="1">
      <c r="A768" s="216"/>
      <c r="B768" s="217"/>
      <c r="C768" s="174"/>
      <c r="D768" s="174"/>
      <c r="E768" s="175"/>
      <c r="F768" s="162"/>
      <c r="G768" s="218"/>
      <c r="H768" s="220"/>
      <c r="I768" s="176"/>
      <c r="J768" s="177"/>
      <c r="K768" s="177"/>
      <c r="L768" s="177"/>
      <c r="M768" s="220"/>
      <c r="N768" s="178"/>
      <c r="O768" s="176"/>
      <c r="P768" s="178"/>
      <c r="Q768" s="105"/>
      <c r="R768" s="219"/>
      <c r="S768" s="164"/>
      <c r="T768" s="164"/>
      <c r="U768" s="162"/>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row>
    <row r="769" spans="1:67" ht="29.25" hidden="1" customHeight="1">
      <c r="A769" s="216"/>
      <c r="B769" s="217"/>
      <c r="C769" s="174"/>
      <c r="D769" s="174"/>
      <c r="E769" s="175"/>
      <c r="F769" s="162"/>
      <c r="G769" s="218"/>
      <c r="H769" s="220"/>
      <c r="I769" s="176"/>
      <c r="J769" s="177"/>
      <c r="K769" s="177"/>
      <c r="L769" s="177"/>
      <c r="M769" s="220"/>
      <c r="N769" s="178"/>
      <c r="O769" s="176"/>
      <c r="P769" s="178"/>
      <c r="Q769" s="105"/>
      <c r="R769" s="219"/>
      <c r="S769" s="164"/>
      <c r="T769" s="164"/>
      <c r="U769" s="162"/>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row>
    <row r="770" spans="1:67" ht="29.25" hidden="1" customHeight="1">
      <c r="A770" s="216"/>
      <c r="B770" s="217"/>
      <c r="C770" s="174"/>
      <c r="D770" s="174"/>
      <c r="E770" s="175"/>
      <c r="F770" s="162"/>
      <c r="G770" s="218"/>
      <c r="H770" s="220"/>
      <c r="I770" s="176"/>
      <c r="J770" s="177"/>
      <c r="K770" s="177"/>
      <c r="L770" s="177"/>
      <c r="M770" s="220"/>
      <c r="N770" s="178"/>
      <c r="O770" s="176"/>
      <c r="P770" s="178"/>
      <c r="Q770" s="105"/>
      <c r="R770" s="219"/>
      <c r="S770" s="164"/>
      <c r="T770" s="164"/>
      <c r="U770" s="162"/>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row>
    <row r="771" spans="1:67" ht="29.25" hidden="1" customHeight="1">
      <c r="A771" s="216"/>
      <c r="B771" s="217"/>
      <c r="C771" s="174"/>
      <c r="D771" s="174"/>
      <c r="E771" s="175"/>
      <c r="F771" s="162"/>
      <c r="G771" s="218"/>
      <c r="H771" s="220"/>
      <c r="I771" s="176"/>
      <c r="J771" s="177"/>
      <c r="K771" s="177"/>
      <c r="L771" s="177"/>
      <c r="M771" s="220"/>
      <c r="N771" s="178"/>
      <c r="O771" s="176"/>
      <c r="P771" s="178"/>
      <c r="Q771" s="105"/>
      <c r="R771" s="219"/>
      <c r="S771" s="164"/>
      <c r="T771" s="164"/>
      <c r="U771" s="162"/>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row>
    <row r="772" spans="1:67" ht="29.25" hidden="1" customHeight="1">
      <c r="A772" s="216"/>
      <c r="B772" s="217"/>
      <c r="C772" s="174"/>
      <c r="D772" s="174"/>
      <c r="E772" s="175"/>
      <c r="F772" s="162"/>
      <c r="G772" s="218"/>
      <c r="H772" s="220"/>
      <c r="I772" s="176"/>
      <c r="J772" s="177"/>
      <c r="K772" s="177"/>
      <c r="L772" s="177"/>
      <c r="M772" s="220"/>
      <c r="N772" s="178"/>
      <c r="O772" s="176"/>
      <c r="P772" s="178"/>
      <c r="Q772" s="105"/>
      <c r="R772" s="219"/>
      <c r="S772" s="164"/>
      <c r="T772" s="164"/>
      <c r="U772" s="162"/>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row>
    <row r="773" spans="1:67" ht="29.25" hidden="1" customHeight="1">
      <c r="A773" s="216"/>
      <c r="B773" s="217"/>
      <c r="C773" s="174"/>
      <c r="D773" s="174"/>
      <c r="E773" s="175"/>
      <c r="F773" s="162"/>
      <c r="G773" s="218"/>
      <c r="H773" s="220"/>
      <c r="I773" s="176"/>
      <c r="J773" s="177"/>
      <c r="K773" s="177"/>
      <c r="L773" s="177"/>
      <c r="M773" s="220"/>
      <c r="N773" s="178"/>
      <c r="O773" s="176"/>
      <c r="P773" s="178"/>
      <c r="Q773" s="105"/>
      <c r="R773" s="219"/>
      <c r="S773" s="164"/>
      <c r="T773" s="164"/>
      <c r="U773" s="162"/>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row>
    <row r="774" spans="1:67" ht="29.25" hidden="1" customHeight="1">
      <c r="A774" s="216"/>
      <c r="B774" s="217"/>
      <c r="C774" s="174"/>
      <c r="D774" s="174"/>
      <c r="E774" s="175"/>
      <c r="F774" s="162"/>
      <c r="G774" s="218"/>
      <c r="H774" s="220"/>
      <c r="I774" s="176"/>
      <c r="J774" s="177"/>
      <c r="K774" s="177"/>
      <c r="L774" s="177"/>
      <c r="M774" s="220"/>
      <c r="N774" s="178"/>
      <c r="O774" s="176"/>
      <c r="P774" s="178"/>
      <c r="Q774" s="105"/>
      <c r="R774" s="219"/>
      <c r="S774" s="164"/>
      <c r="T774" s="164"/>
      <c r="U774" s="162"/>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row>
    <row r="775" spans="1:67" ht="29.25" hidden="1" customHeight="1">
      <c r="A775" s="216"/>
      <c r="B775" s="217"/>
      <c r="C775" s="174"/>
      <c r="D775" s="174"/>
      <c r="E775" s="175"/>
      <c r="F775" s="162"/>
      <c r="G775" s="218"/>
      <c r="H775" s="220"/>
      <c r="I775" s="176"/>
      <c r="J775" s="177"/>
      <c r="K775" s="177"/>
      <c r="L775" s="177"/>
      <c r="M775" s="220"/>
      <c r="N775" s="178"/>
      <c r="O775" s="176"/>
      <c r="P775" s="178"/>
      <c r="Q775" s="105"/>
      <c r="R775" s="219"/>
      <c r="S775" s="164"/>
      <c r="T775" s="164"/>
      <c r="U775" s="162"/>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row>
    <row r="776" spans="1:67" ht="29.25" hidden="1" customHeight="1">
      <c r="A776" s="216"/>
      <c r="B776" s="217"/>
      <c r="C776" s="174"/>
      <c r="D776" s="174"/>
      <c r="E776" s="175"/>
      <c r="F776" s="162"/>
      <c r="G776" s="218"/>
      <c r="H776" s="220"/>
      <c r="I776" s="176"/>
      <c r="J776" s="177"/>
      <c r="K776" s="177"/>
      <c r="L776" s="177"/>
      <c r="M776" s="220"/>
      <c r="N776" s="178"/>
      <c r="O776" s="176"/>
      <c r="P776" s="178"/>
      <c r="Q776" s="105"/>
      <c r="R776" s="219"/>
      <c r="S776" s="164"/>
      <c r="T776" s="164"/>
      <c r="U776" s="162"/>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row>
    <row r="777" spans="1:67" ht="29.25" hidden="1" customHeight="1">
      <c r="A777" s="216"/>
      <c r="B777" s="217"/>
      <c r="C777" s="174"/>
      <c r="D777" s="174"/>
      <c r="E777" s="175"/>
      <c r="F777" s="162"/>
      <c r="G777" s="218"/>
      <c r="H777" s="220"/>
      <c r="I777" s="176"/>
      <c r="J777" s="177"/>
      <c r="K777" s="177"/>
      <c r="L777" s="177"/>
      <c r="M777" s="220"/>
      <c r="N777" s="178"/>
      <c r="O777" s="176"/>
      <c r="P777" s="178"/>
      <c r="Q777" s="105"/>
      <c r="R777" s="219"/>
      <c r="S777" s="164"/>
      <c r="T777" s="164"/>
      <c r="U777" s="162"/>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row>
    <row r="778" spans="1:67" ht="29.25" hidden="1" customHeight="1">
      <c r="A778" s="216"/>
      <c r="B778" s="217"/>
      <c r="C778" s="174"/>
      <c r="D778" s="174"/>
      <c r="E778" s="175"/>
      <c r="F778" s="162"/>
      <c r="G778" s="218"/>
      <c r="H778" s="220"/>
      <c r="I778" s="176"/>
      <c r="J778" s="177"/>
      <c r="K778" s="177"/>
      <c r="L778" s="177"/>
      <c r="M778" s="220"/>
      <c r="N778" s="178"/>
      <c r="O778" s="176"/>
      <c r="P778" s="178"/>
      <c r="Q778" s="105"/>
      <c r="R778" s="219"/>
      <c r="S778" s="164"/>
      <c r="T778" s="164"/>
      <c r="U778" s="162"/>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row>
    <row r="779" spans="1:67" ht="29.25" hidden="1" customHeight="1">
      <c r="A779" s="216"/>
      <c r="B779" s="217"/>
      <c r="C779" s="174"/>
      <c r="D779" s="174"/>
      <c r="E779" s="175"/>
      <c r="F779" s="162"/>
      <c r="G779" s="218"/>
      <c r="H779" s="220"/>
      <c r="I779" s="176"/>
      <c r="J779" s="177"/>
      <c r="K779" s="177"/>
      <c r="L779" s="177"/>
      <c r="M779" s="220"/>
      <c r="N779" s="178"/>
      <c r="O779" s="176"/>
      <c r="P779" s="178"/>
      <c r="Q779" s="105"/>
      <c r="R779" s="219"/>
      <c r="S779" s="164"/>
      <c r="T779" s="164"/>
      <c r="U779" s="162"/>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row>
    <row r="780" spans="1:67" ht="29.25" hidden="1" customHeight="1">
      <c r="A780" s="216"/>
      <c r="B780" s="217"/>
      <c r="C780" s="174"/>
      <c r="D780" s="174"/>
      <c r="E780" s="175"/>
      <c r="F780" s="162"/>
      <c r="G780" s="218"/>
      <c r="H780" s="220"/>
      <c r="I780" s="176"/>
      <c r="J780" s="177"/>
      <c r="K780" s="177"/>
      <c r="L780" s="177"/>
      <c r="M780" s="220"/>
      <c r="N780" s="178"/>
      <c r="O780" s="176"/>
      <c r="P780" s="178"/>
      <c r="Q780" s="105"/>
      <c r="R780" s="219"/>
      <c r="S780" s="164"/>
      <c r="T780" s="164"/>
      <c r="U780" s="162"/>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row>
    <row r="781" spans="1:67" ht="29.25" hidden="1" customHeight="1">
      <c r="A781" s="216"/>
      <c r="B781" s="217"/>
      <c r="C781" s="174"/>
      <c r="D781" s="174"/>
      <c r="E781" s="175"/>
      <c r="F781" s="162"/>
      <c r="G781" s="218"/>
      <c r="H781" s="220"/>
      <c r="I781" s="176"/>
      <c r="J781" s="177"/>
      <c r="K781" s="177"/>
      <c r="L781" s="177"/>
      <c r="M781" s="220"/>
      <c r="N781" s="178"/>
      <c r="O781" s="176"/>
      <c r="P781" s="178"/>
      <c r="Q781" s="105"/>
      <c r="R781" s="219"/>
      <c r="S781" s="164"/>
      <c r="T781" s="164"/>
      <c r="U781" s="162"/>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row>
    <row r="782" spans="1:67" ht="29.25" hidden="1" customHeight="1">
      <c r="A782" s="216"/>
      <c r="B782" s="217"/>
      <c r="C782" s="174"/>
      <c r="D782" s="174"/>
      <c r="E782" s="175"/>
      <c r="F782" s="162"/>
      <c r="G782" s="218"/>
      <c r="H782" s="220"/>
      <c r="I782" s="176"/>
      <c r="J782" s="177"/>
      <c r="K782" s="177"/>
      <c r="L782" s="177"/>
      <c r="M782" s="220"/>
      <c r="N782" s="178"/>
      <c r="O782" s="176"/>
      <c r="P782" s="178"/>
      <c r="Q782" s="105"/>
      <c r="R782" s="219"/>
      <c r="S782" s="164"/>
      <c r="T782" s="164"/>
      <c r="U782" s="162"/>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row>
    <row r="783" spans="1:67" ht="29.25" hidden="1" customHeight="1">
      <c r="A783" s="216"/>
      <c r="B783" s="217"/>
      <c r="C783" s="174"/>
      <c r="D783" s="174"/>
      <c r="E783" s="175"/>
      <c r="F783" s="162"/>
      <c r="G783" s="218"/>
      <c r="H783" s="220"/>
      <c r="I783" s="176"/>
      <c r="J783" s="177"/>
      <c r="K783" s="177"/>
      <c r="L783" s="177"/>
      <c r="M783" s="220"/>
      <c r="N783" s="178"/>
      <c r="O783" s="176"/>
      <c r="P783" s="178"/>
      <c r="Q783" s="105"/>
      <c r="R783" s="219"/>
      <c r="S783" s="164"/>
      <c r="T783" s="164"/>
      <c r="U783" s="162"/>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row>
    <row r="784" spans="1:67" ht="29.25" hidden="1" customHeight="1">
      <c r="A784" s="216"/>
      <c r="B784" s="217"/>
      <c r="C784" s="174"/>
      <c r="D784" s="174"/>
      <c r="E784" s="175"/>
      <c r="F784" s="162"/>
      <c r="G784" s="218"/>
      <c r="H784" s="220"/>
      <c r="I784" s="176"/>
      <c r="J784" s="177"/>
      <c r="K784" s="177"/>
      <c r="L784" s="177"/>
      <c r="M784" s="220"/>
      <c r="N784" s="178"/>
      <c r="O784" s="176"/>
      <c r="P784" s="178"/>
      <c r="Q784" s="105"/>
      <c r="R784" s="219"/>
      <c r="S784" s="164"/>
      <c r="T784" s="164"/>
      <c r="U784" s="162"/>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row>
    <row r="785" spans="1:67" ht="29.25" hidden="1" customHeight="1">
      <c r="A785" s="216"/>
      <c r="B785" s="217"/>
      <c r="C785" s="174"/>
      <c r="D785" s="174"/>
      <c r="E785" s="175"/>
      <c r="F785" s="162"/>
      <c r="G785" s="218"/>
      <c r="H785" s="220"/>
      <c r="I785" s="176"/>
      <c r="J785" s="177"/>
      <c r="K785" s="177"/>
      <c r="L785" s="177"/>
      <c r="M785" s="220"/>
      <c r="N785" s="178"/>
      <c r="O785" s="176"/>
      <c r="P785" s="178"/>
      <c r="Q785" s="105"/>
      <c r="R785" s="219"/>
      <c r="S785" s="164"/>
      <c r="T785" s="164"/>
      <c r="U785" s="162"/>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row>
    <row r="786" spans="1:67" ht="29.25" hidden="1" customHeight="1">
      <c r="A786" s="216"/>
      <c r="B786" s="217"/>
      <c r="C786" s="174"/>
      <c r="D786" s="174"/>
      <c r="E786" s="175"/>
      <c r="F786" s="162"/>
      <c r="G786" s="218"/>
      <c r="H786" s="220"/>
      <c r="I786" s="176"/>
      <c r="J786" s="177"/>
      <c r="K786" s="177"/>
      <c r="L786" s="177"/>
      <c r="M786" s="220"/>
      <c r="N786" s="178"/>
      <c r="O786" s="176"/>
      <c r="P786" s="178"/>
      <c r="Q786" s="105"/>
      <c r="R786" s="219"/>
      <c r="S786" s="164"/>
      <c r="T786" s="164"/>
      <c r="U786" s="162"/>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row>
    <row r="787" spans="1:67" ht="29.25" hidden="1" customHeight="1">
      <c r="A787" s="216"/>
      <c r="B787" s="217"/>
      <c r="C787" s="174"/>
      <c r="D787" s="174"/>
      <c r="E787" s="175"/>
      <c r="F787" s="162"/>
      <c r="G787" s="218"/>
      <c r="H787" s="220"/>
      <c r="I787" s="176"/>
      <c r="J787" s="177"/>
      <c r="K787" s="177"/>
      <c r="L787" s="177"/>
      <c r="M787" s="220"/>
      <c r="N787" s="178"/>
      <c r="O787" s="176"/>
      <c r="P787" s="178"/>
      <c r="Q787" s="105"/>
      <c r="R787" s="219"/>
      <c r="S787" s="164"/>
      <c r="T787" s="164"/>
      <c r="U787" s="162"/>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row>
    <row r="788" spans="1:67" ht="29.25" hidden="1" customHeight="1">
      <c r="A788" s="216"/>
      <c r="B788" s="217"/>
      <c r="C788" s="174"/>
      <c r="D788" s="174"/>
      <c r="E788" s="175"/>
      <c r="F788" s="162"/>
      <c r="G788" s="218"/>
      <c r="H788" s="220"/>
      <c r="I788" s="176"/>
      <c r="J788" s="177"/>
      <c r="K788" s="177"/>
      <c r="L788" s="177"/>
      <c r="M788" s="220"/>
      <c r="N788" s="178"/>
      <c r="O788" s="176"/>
      <c r="P788" s="178"/>
      <c r="Q788" s="105"/>
      <c r="R788" s="219"/>
      <c r="S788" s="164"/>
      <c r="T788" s="164"/>
      <c r="U788" s="162"/>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row>
    <row r="789" spans="1:67" ht="29.25" hidden="1" customHeight="1">
      <c r="A789" s="216"/>
      <c r="B789" s="217"/>
      <c r="C789" s="174"/>
      <c r="D789" s="174"/>
      <c r="E789" s="175"/>
      <c r="F789" s="162"/>
      <c r="G789" s="218"/>
      <c r="H789" s="220"/>
      <c r="I789" s="176"/>
      <c r="J789" s="177"/>
      <c r="K789" s="177"/>
      <c r="L789" s="177"/>
      <c r="M789" s="220"/>
      <c r="N789" s="178"/>
      <c r="O789" s="176"/>
      <c r="P789" s="178"/>
      <c r="Q789" s="105"/>
      <c r="R789" s="219"/>
      <c r="S789" s="164"/>
      <c r="T789" s="164"/>
      <c r="U789" s="162"/>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row>
    <row r="790" spans="1:67" ht="29.25" hidden="1" customHeight="1">
      <c r="A790" s="216"/>
      <c r="B790" s="217"/>
      <c r="C790" s="174"/>
      <c r="D790" s="174"/>
      <c r="E790" s="175"/>
      <c r="F790" s="162"/>
      <c r="G790" s="218"/>
      <c r="H790" s="220"/>
      <c r="I790" s="176"/>
      <c r="J790" s="177"/>
      <c r="K790" s="177"/>
      <c r="L790" s="177"/>
      <c r="M790" s="220"/>
      <c r="N790" s="178"/>
      <c r="O790" s="176"/>
      <c r="P790" s="178"/>
      <c r="Q790" s="105"/>
      <c r="R790" s="219"/>
      <c r="S790" s="164"/>
      <c r="T790" s="164"/>
      <c r="U790" s="162"/>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row>
    <row r="791" spans="1:67" ht="29.25" hidden="1" customHeight="1">
      <c r="A791" s="216"/>
      <c r="B791" s="217"/>
      <c r="C791" s="174"/>
      <c r="D791" s="174"/>
      <c r="E791" s="175"/>
      <c r="F791" s="162"/>
      <c r="G791" s="218"/>
      <c r="H791" s="220"/>
      <c r="I791" s="176"/>
      <c r="J791" s="177"/>
      <c r="K791" s="177"/>
      <c r="L791" s="177"/>
      <c r="M791" s="220"/>
      <c r="N791" s="178"/>
      <c r="O791" s="176"/>
      <c r="P791" s="178"/>
      <c r="Q791" s="105"/>
      <c r="R791" s="219"/>
      <c r="S791" s="164"/>
      <c r="T791" s="164"/>
      <c r="U791" s="162"/>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row>
    <row r="792" spans="1:67" ht="29.25" hidden="1" customHeight="1">
      <c r="A792" s="216"/>
      <c r="B792" s="217"/>
      <c r="C792" s="174"/>
      <c r="D792" s="174"/>
      <c r="E792" s="175"/>
      <c r="F792" s="162"/>
      <c r="G792" s="218"/>
      <c r="H792" s="220"/>
      <c r="I792" s="176"/>
      <c r="J792" s="177"/>
      <c r="K792" s="177"/>
      <c r="L792" s="177"/>
      <c r="M792" s="220"/>
      <c r="N792" s="178"/>
      <c r="O792" s="176"/>
      <c r="P792" s="178"/>
      <c r="Q792" s="105"/>
      <c r="R792" s="219"/>
      <c r="S792" s="164"/>
      <c r="T792" s="164"/>
      <c r="U792" s="162"/>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row>
    <row r="793" spans="1:67" ht="29.25" hidden="1" customHeight="1">
      <c r="A793" s="216"/>
      <c r="B793" s="217"/>
      <c r="C793" s="174"/>
      <c r="D793" s="174"/>
      <c r="E793" s="175"/>
      <c r="F793" s="162"/>
      <c r="G793" s="218"/>
      <c r="H793" s="220"/>
      <c r="I793" s="176"/>
      <c r="J793" s="177"/>
      <c r="K793" s="177"/>
      <c r="L793" s="177"/>
      <c r="M793" s="220"/>
      <c r="N793" s="178"/>
      <c r="O793" s="176"/>
      <c r="P793" s="178"/>
      <c r="Q793" s="105"/>
      <c r="R793" s="219"/>
      <c r="S793" s="164"/>
      <c r="T793" s="164"/>
      <c r="U793" s="162"/>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row>
    <row r="794" spans="1:67" ht="29.25" hidden="1" customHeight="1">
      <c r="A794" s="216"/>
      <c r="B794" s="217"/>
      <c r="C794" s="174"/>
      <c r="D794" s="174"/>
      <c r="E794" s="175"/>
      <c r="F794" s="162"/>
      <c r="G794" s="218"/>
      <c r="H794" s="220"/>
      <c r="I794" s="176"/>
      <c r="J794" s="177"/>
      <c r="K794" s="177"/>
      <c r="L794" s="177"/>
      <c r="M794" s="220"/>
      <c r="N794" s="178"/>
      <c r="O794" s="176"/>
      <c r="P794" s="178"/>
      <c r="Q794" s="105"/>
      <c r="R794" s="219"/>
      <c r="S794" s="164"/>
      <c r="T794" s="164"/>
      <c r="U794" s="162"/>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row>
    <row r="795" spans="1:67" ht="29.25" hidden="1" customHeight="1">
      <c r="A795" s="216"/>
      <c r="B795" s="217"/>
      <c r="C795" s="174"/>
      <c r="D795" s="174"/>
      <c r="E795" s="175"/>
      <c r="F795" s="162"/>
      <c r="G795" s="218"/>
      <c r="H795" s="220"/>
      <c r="I795" s="176"/>
      <c r="J795" s="177"/>
      <c r="K795" s="177"/>
      <c r="L795" s="177"/>
      <c r="M795" s="220"/>
      <c r="N795" s="178"/>
      <c r="O795" s="176"/>
      <c r="P795" s="178"/>
      <c r="Q795" s="105"/>
      <c r="R795" s="219"/>
      <c r="S795" s="164"/>
      <c r="T795" s="164"/>
      <c r="U795" s="162"/>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row>
    <row r="796" spans="1:67" ht="29.25" hidden="1" customHeight="1">
      <c r="A796" s="216"/>
      <c r="B796" s="217"/>
      <c r="C796" s="174"/>
      <c r="D796" s="174"/>
      <c r="E796" s="175"/>
      <c r="F796" s="162"/>
      <c r="G796" s="218"/>
      <c r="H796" s="220"/>
      <c r="I796" s="176"/>
      <c r="J796" s="177"/>
      <c r="K796" s="177"/>
      <c r="L796" s="177"/>
      <c r="M796" s="220"/>
      <c r="N796" s="178"/>
      <c r="O796" s="176"/>
      <c r="P796" s="178"/>
      <c r="Q796" s="105"/>
      <c r="R796" s="219"/>
      <c r="S796" s="164"/>
      <c r="T796" s="164"/>
      <c r="U796" s="162"/>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row>
    <row r="797" spans="1:67" ht="29.25" hidden="1" customHeight="1">
      <c r="A797" s="216"/>
      <c r="B797" s="217"/>
      <c r="C797" s="174"/>
      <c r="D797" s="174"/>
      <c r="E797" s="175"/>
      <c r="F797" s="162"/>
      <c r="G797" s="218"/>
      <c r="H797" s="220"/>
      <c r="I797" s="176"/>
      <c r="J797" s="177"/>
      <c r="K797" s="177"/>
      <c r="L797" s="177"/>
      <c r="M797" s="220"/>
      <c r="N797" s="178"/>
      <c r="O797" s="176"/>
      <c r="P797" s="178"/>
      <c r="Q797" s="105"/>
      <c r="R797" s="219"/>
      <c r="S797" s="164"/>
      <c r="T797" s="164"/>
      <c r="U797" s="162"/>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row>
    <row r="798" spans="1:67" ht="29.25" hidden="1" customHeight="1">
      <c r="A798" s="216"/>
      <c r="B798" s="217"/>
      <c r="C798" s="174"/>
      <c r="D798" s="174"/>
      <c r="E798" s="175"/>
      <c r="F798" s="162"/>
      <c r="G798" s="218"/>
      <c r="H798" s="220"/>
      <c r="I798" s="176"/>
      <c r="J798" s="177"/>
      <c r="K798" s="177"/>
      <c r="L798" s="177"/>
      <c r="M798" s="220"/>
      <c r="N798" s="178"/>
      <c r="O798" s="176"/>
      <c r="P798" s="178"/>
      <c r="Q798" s="105"/>
      <c r="R798" s="219"/>
      <c r="S798" s="164"/>
      <c r="T798" s="164"/>
      <c r="U798" s="162"/>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row>
    <row r="799" spans="1:67" ht="29.25" hidden="1" customHeight="1">
      <c r="A799" s="216"/>
      <c r="B799" s="217"/>
      <c r="C799" s="174"/>
      <c r="D799" s="174"/>
      <c r="E799" s="175"/>
      <c r="F799" s="162"/>
      <c r="G799" s="218"/>
      <c r="H799" s="220"/>
      <c r="I799" s="176"/>
      <c r="J799" s="177"/>
      <c r="K799" s="177"/>
      <c r="L799" s="177"/>
      <c r="M799" s="220"/>
      <c r="N799" s="178"/>
      <c r="O799" s="176"/>
      <c r="P799" s="178"/>
      <c r="Q799" s="105"/>
      <c r="R799" s="219"/>
      <c r="S799" s="164"/>
      <c r="T799" s="164"/>
      <c r="U799" s="162"/>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row>
    <row r="800" spans="1:67" ht="29.25" hidden="1" customHeight="1">
      <c r="A800" s="216"/>
      <c r="B800" s="217"/>
      <c r="C800" s="174"/>
      <c r="D800" s="174"/>
      <c r="E800" s="175"/>
      <c r="F800" s="162"/>
      <c r="G800" s="218"/>
      <c r="H800" s="220"/>
      <c r="I800" s="176"/>
      <c r="J800" s="177"/>
      <c r="K800" s="177"/>
      <c r="L800" s="177"/>
      <c r="M800" s="220"/>
      <c r="N800" s="178"/>
      <c r="O800" s="176"/>
      <c r="P800" s="178"/>
      <c r="Q800" s="105"/>
      <c r="R800" s="219"/>
      <c r="S800" s="164"/>
      <c r="T800" s="164"/>
      <c r="U800" s="162"/>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row>
    <row r="801" spans="1:67" ht="29.25" hidden="1" customHeight="1">
      <c r="A801" s="216"/>
      <c r="B801" s="217"/>
      <c r="C801" s="174"/>
      <c r="D801" s="174"/>
      <c r="E801" s="175"/>
      <c r="F801" s="162"/>
      <c r="G801" s="218"/>
      <c r="H801" s="220"/>
      <c r="I801" s="176"/>
      <c r="J801" s="177"/>
      <c r="K801" s="177"/>
      <c r="L801" s="177"/>
      <c r="M801" s="220"/>
      <c r="N801" s="178"/>
      <c r="O801" s="176"/>
      <c r="P801" s="178"/>
      <c r="Q801" s="105"/>
      <c r="R801" s="219"/>
      <c r="S801" s="164"/>
      <c r="T801" s="164"/>
      <c r="U801" s="162"/>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row>
    <row r="802" spans="1:67" ht="29.25" hidden="1" customHeight="1">
      <c r="A802" s="216"/>
      <c r="B802" s="217"/>
      <c r="C802" s="174"/>
      <c r="D802" s="174"/>
      <c r="E802" s="175"/>
      <c r="F802" s="162"/>
      <c r="G802" s="218"/>
      <c r="H802" s="220"/>
      <c r="I802" s="176"/>
      <c r="J802" s="177"/>
      <c r="K802" s="177"/>
      <c r="L802" s="177"/>
      <c r="M802" s="220"/>
      <c r="N802" s="178"/>
      <c r="O802" s="176"/>
      <c r="P802" s="178"/>
      <c r="Q802" s="105"/>
      <c r="R802" s="219"/>
      <c r="S802" s="164"/>
      <c r="T802" s="164"/>
      <c r="U802" s="162"/>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row>
    <row r="803" spans="1:67" ht="29.25" hidden="1" customHeight="1">
      <c r="A803" s="216"/>
      <c r="B803" s="217"/>
      <c r="C803" s="174"/>
      <c r="D803" s="174"/>
      <c r="E803" s="175"/>
      <c r="F803" s="162"/>
      <c r="G803" s="218"/>
      <c r="H803" s="220"/>
      <c r="I803" s="176"/>
      <c r="J803" s="177"/>
      <c r="K803" s="177"/>
      <c r="L803" s="177"/>
      <c r="M803" s="220"/>
      <c r="N803" s="178"/>
      <c r="O803" s="176"/>
      <c r="P803" s="178"/>
      <c r="Q803" s="105"/>
      <c r="R803" s="219"/>
      <c r="S803" s="164"/>
      <c r="T803" s="164"/>
      <c r="U803" s="162"/>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row>
    <row r="804" spans="1:67" ht="29.25" hidden="1" customHeight="1">
      <c r="A804" s="216"/>
      <c r="B804" s="217"/>
      <c r="C804" s="174"/>
      <c r="D804" s="174"/>
      <c r="E804" s="175"/>
      <c r="F804" s="162"/>
      <c r="G804" s="218"/>
      <c r="H804" s="220"/>
      <c r="I804" s="176"/>
      <c r="J804" s="177"/>
      <c r="K804" s="177"/>
      <c r="L804" s="177"/>
      <c r="M804" s="220"/>
      <c r="N804" s="178"/>
      <c r="O804" s="176"/>
      <c r="P804" s="178"/>
      <c r="Q804" s="105"/>
      <c r="R804" s="219"/>
      <c r="S804" s="164"/>
      <c r="T804" s="164"/>
      <c r="U804" s="162"/>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row>
    <row r="805" spans="1:67" ht="29.25" hidden="1" customHeight="1">
      <c r="A805" s="216"/>
      <c r="B805" s="217"/>
      <c r="C805" s="174"/>
      <c r="D805" s="174"/>
      <c r="E805" s="175"/>
      <c r="F805" s="162"/>
      <c r="G805" s="218"/>
      <c r="H805" s="220"/>
      <c r="I805" s="176"/>
      <c r="J805" s="177"/>
      <c r="K805" s="177"/>
      <c r="L805" s="177"/>
      <c r="M805" s="220"/>
      <c r="N805" s="178"/>
      <c r="O805" s="176"/>
      <c r="P805" s="178"/>
      <c r="Q805" s="105"/>
      <c r="R805" s="219"/>
      <c r="S805" s="164"/>
      <c r="T805" s="164"/>
      <c r="U805" s="162"/>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row>
    <row r="806" spans="1:67" ht="29.25" hidden="1" customHeight="1">
      <c r="A806" s="216"/>
      <c r="B806" s="217"/>
      <c r="C806" s="174"/>
      <c r="D806" s="174"/>
      <c r="E806" s="175"/>
      <c r="F806" s="162"/>
      <c r="G806" s="218"/>
      <c r="H806" s="220"/>
      <c r="I806" s="176"/>
      <c r="J806" s="177"/>
      <c r="K806" s="177"/>
      <c r="L806" s="177"/>
      <c r="M806" s="220"/>
      <c r="N806" s="178"/>
      <c r="O806" s="176"/>
      <c r="P806" s="178"/>
      <c r="Q806" s="105"/>
      <c r="R806" s="219"/>
      <c r="S806" s="164"/>
      <c r="T806" s="164"/>
      <c r="U806" s="162"/>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row>
    <row r="807" spans="1:67" ht="29.25" hidden="1" customHeight="1">
      <c r="A807" s="216"/>
      <c r="B807" s="217"/>
      <c r="C807" s="174"/>
      <c r="D807" s="174"/>
      <c r="E807" s="175"/>
      <c r="F807" s="162"/>
      <c r="G807" s="218"/>
      <c r="H807" s="220"/>
      <c r="I807" s="176"/>
      <c r="J807" s="177"/>
      <c r="K807" s="177"/>
      <c r="L807" s="177"/>
      <c r="M807" s="220"/>
      <c r="N807" s="178"/>
      <c r="O807" s="176"/>
      <c r="P807" s="178"/>
      <c r="Q807" s="105"/>
      <c r="R807" s="219"/>
      <c r="S807" s="164"/>
      <c r="T807" s="164"/>
      <c r="U807" s="162"/>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row>
    <row r="808" spans="1:67" ht="29.25" hidden="1" customHeight="1">
      <c r="A808" s="216"/>
      <c r="B808" s="217"/>
      <c r="C808" s="174"/>
      <c r="D808" s="174"/>
      <c r="E808" s="175"/>
      <c r="F808" s="162"/>
      <c r="G808" s="218"/>
      <c r="H808" s="220"/>
      <c r="I808" s="176"/>
      <c r="J808" s="177"/>
      <c r="K808" s="177"/>
      <c r="L808" s="177"/>
      <c r="M808" s="220"/>
      <c r="N808" s="178"/>
      <c r="O808" s="176"/>
      <c r="P808" s="178"/>
      <c r="Q808" s="105"/>
      <c r="R808" s="219"/>
      <c r="S808" s="164"/>
      <c r="T808" s="164"/>
      <c r="U808" s="162"/>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row>
    <row r="809" spans="1:67" ht="29.25" hidden="1" customHeight="1">
      <c r="A809" s="216"/>
      <c r="B809" s="217"/>
      <c r="C809" s="174"/>
      <c r="D809" s="174"/>
      <c r="E809" s="175"/>
      <c r="F809" s="162"/>
      <c r="G809" s="218"/>
      <c r="H809" s="220"/>
      <c r="I809" s="176"/>
      <c r="J809" s="177"/>
      <c r="K809" s="177"/>
      <c r="L809" s="177"/>
      <c r="M809" s="220"/>
      <c r="N809" s="178"/>
      <c r="O809" s="176"/>
      <c r="P809" s="178"/>
      <c r="Q809" s="105"/>
      <c r="R809" s="219"/>
      <c r="S809" s="164"/>
      <c r="T809" s="164"/>
      <c r="U809" s="162"/>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row>
    <row r="810" spans="1:67" ht="29.25" hidden="1" customHeight="1">
      <c r="A810" s="216"/>
      <c r="B810" s="217"/>
      <c r="C810" s="174"/>
      <c r="D810" s="174"/>
      <c r="E810" s="175"/>
      <c r="F810" s="162"/>
      <c r="G810" s="218"/>
      <c r="H810" s="220"/>
      <c r="I810" s="176"/>
      <c r="J810" s="177"/>
      <c r="K810" s="177"/>
      <c r="L810" s="177"/>
      <c r="M810" s="220"/>
      <c r="N810" s="178"/>
      <c r="O810" s="176"/>
      <c r="P810" s="178"/>
      <c r="Q810" s="105"/>
      <c r="R810" s="219"/>
      <c r="S810" s="164"/>
      <c r="T810" s="164"/>
      <c r="U810" s="162"/>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row>
    <row r="811" spans="1:67" ht="29.25" hidden="1" customHeight="1">
      <c r="A811" s="216"/>
      <c r="B811" s="217"/>
      <c r="C811" s="174"/>
      <c r="D811" s="174"/>
      <c r="E811" s="175"/>
      <c r="F811" s="162"/>
      <c r="G811" s="218"/>
      <c r="H811" s="220"/>
      <c r="I811" s="176"/>
      <c r="J811" s="177"/>
      <c r="K811" s="177"/>
      <c r="L811" s="177"/>
      <c r="M811" s="220"/>
      <c r="N811" s="178"/>
      <c r="O811" s="176"/>
      <c r="P811" s="178"/>
      <c r="Q811" s="105"/>
      <c r="R811" s="219"/>
      <c r="S811" s="164"/>
      <c r="T811" s="164"/>
      <c r="U811" s="162"/>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row>
    <row r="812" spans="1:67" ht="29.25" hidden="1" customHeight="1">
      <c r="A812" s="216"/>
      <c r="B812" s="217"/>
      <c r="C812" s="174"/>
      <c r="D812" s="174"/>
      <c r="E812" s="175"/>
      <c r="F812" s="162"/>
      <c r="G812" s="218"/>
      <c r="H812" s="220"/>
      <c r="I812" s="176"/>
      <c r="J812" s="177"/>
      <c r="K812" s="177"/>
      <c r="L812" s="177"/>
      <c r="M812" s="220"/>
      <c r="N812" s="178"/>
      <c r="O812" s="176"/>
      <c r="P812" s="178"/>
      <c r="Q812" s="105"/>
      <c r="R812" s="219"/>
      <c r="S812" s="164"/>
      <c r="T812" s="164"/>
      <c r="U812" s="162"/>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row>
    <row r="813" spans="1:67" ht="29.25" hidden="1" customHeight="1">
      <c r="A813" s="216"/>
      <c r="B813" s="217"/>
      <c r="C813" s="174"/>
      <c r="D813" s="174"/>
      <c r="E813" s="175"/>
      <c r="F813" s="162"/>
      <c r="G813" s="218"/>
      <c r="H813" s="220"/>
      <c r="I813" s="176"/>
      <c r="J813" s="177"/>
      <c r="K813" s="177"/>
      <c r="L813" s="177"/>
      <c r="M813" s="220"/>
      <c r="N813" s="178"/>
      <c r="O813" s="176"/>
      <c r="P813" s="178"/>
      <c r="Q813" s="105"/>
      <c r="R813" s="219"/>
      <c r="S813" s="164"/>
      <c r="T813" s="164"/>
      <c r="U813" s="162"/>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row>
    <row r="814" spans="1:67" ht="29.25" hidden="1" customHeight="1">
      <c r="A814" s="216"/>
      <c r="B814" s="217"/>
      <c r="C814" s="174"/>
      <c r="D814" s="174"/>
      <c r="E814" s="175"/>
      <c r="F814" s="162"/>
      <c r="G814" s="218"/>
      <c r="H814" s="220"/>
      <c r="I814" s="176"/>
      <c r="J814" s="177"/>
      <c r="K814" s="177"/>
      <c r="L814" s="177"/>
      <c r="M814" s="220"/>
      <c r="N814" s="178"/>
      <c r="O814" s="176"/>
      <c r="P814" s="178"/>
      <c r="Q814" s="105"/>
      <c r="R814" s="219"/>
      <c r="S814" s="164"/>
      <c r="T814" s="164"/>
      <c r="U814" s="162"/>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row>
    <row r="815" spans="1:67" ht="29.25" hidden="1" customHeight="1">
      <c r="A815" s="216"/>
      <c r="B815" s="217"/>
      <c r="C815" s="174"/>
      <c r="D815" s="174"/>
      <c r="E815" s="175"/>
      <c r="F815" s="162"/>
      <c r="G815" s="218"/>
      <c r="H815" s="220"/>
      <c r="I815" s="176"/>
      <c r="J815" s="177"/>
      <c r="K815" s="177"/>
      <c r="L815" s="177"/>
      <c r="M815" s="220"/>
      <c r="N815" s="178"/>
      <c r="O815" s="176"/>
      <c r="P815" s="178"/>
      <c r="Q815" s="105"/>
      <c r="R815" s="219"/>
      <c r="S815" s="164"/>
      <c r="T815" s="164"/>
      <c r="U815" s="162"/>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row>
    <row r="816" spans="1:67" ht="29.25" hidden="1" customHeight="1">
      <c r="A816" s="216"/>
      <c r="B816" s="217"/>
      <c r="C816" s="174"/>
      <c r="D816" s="174"/>
      <c r="E816" s="175"/>
      <c r="F816" s="162"/>
      <c r="G816" s="218"/>
      <c r="H816" s="220"/>
      <c r="I816" s="176"/>
      <c r="J816" s="177"/>
      <c r="K816" s="177"/>
      <c r="L816" s="177"/>
      <c r="M816" s="220"/>
      <c r="N816" s="178"/>
      <c r="O816" s="176"/>
      <c r="P816" s="178"/>
      <c r="Q816" s="105"/>
      <c r="R816" s="219"/>
      <c r="S816" s="164"/>
      <c r="T816" s="164"/>
      <c r="U816" s="162"/>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row>
    <row r="817" spans="1:67" ht="29.25" hidden="1" customHeight="1">
      <c r="A817" s="216"/>
      <c r="B817" s="217"/>
      <c r="C817" s="174"/>
      <c r="D817" s="174"/>
      <c r="E817" s="175"/>
      <c r="F817" s="162"/>
      <c r="G817" s="218"/>
      <c r="H817" s="220"/>
      <c r="I817" s="176"/>
      <c r="J817" s="177"/>
      <c r="K817" s="177"/>
      <c r="L817" s="177"/>
      <c r="M817" s="220"/>
      <c r="N817" s="178"/>
      <c r="O817" s="176"/>
      <c r="P817" s="178"/>
      <c r="Q817" s="105"/>
      <c r="R817" s="219"/>
      <c r="S817" s="164"/>
      <c r="T817" s="164"/>
      <c r="U817" s="162"/>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row>
    <row r="818" spans="1:67" ht="29.25" hidden="1" customHeight="1">
      <c r="A818" s="216"/>
      <c r="B818" s="217"/>
      <c r="C818" s="174"/>
      <c r="D818" s="174"/>
      <c r="E818" s="175"/>
      <c r="F818" s="162"/>
      <c r="G818" s="218"/>
      <c r="H818" s="220"/>
      <c r="I818" s="176"/>
      <c r="J818" s="177"/>
      <c r="K818" s="177"/>
      <c r="L818" s="177"/>
      <c r="M818" s="220"/>
      <c r="N818" s="178"/>
      <c r="O818" s="176"/>
      <c r="P818" s="178"/>
      <c r="Q818" s="105"/>
      <c r="R818" s="219"/>
      <c r="S818" s="164"/>
      <c r="T818" s="164"/>
      <c r="U818" s="162"/>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row>
    <row r="819" spans="1:67" ht="29.25" hidden="1" customHeight="1">
      <c r="A819" s="216"/>
      <c r="B819" s="217"/>
      <c r="C819" s="174"/>
      <c r="D819" s="174"/>
      <c r="E819" s="175"/>
      <c r="F819" s="162"/>
      <c r="G819" s="218"/>
      <c r="H819" s="220"/>
      <c r="I819" s="176"/>
      <c r="J819" s="177"/>
      <c r="K819" s="177"/>
      <c r="L819" s="177"/>
      <c r="M819" s="220"/>
      <c r="N819" s="178"/>
      <c r="O819" s="176"/>
      <c r="P819" s="178"/>
      <c r="Q819" s="105"/>
      <c r="R819" s="219"/>
      <c r="S819" s="164"/>
      <c r="T819" s="164"/>
      <c r="U819" s="162"/>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row>
    <row r="820" spans="1:67" ht="29.25" hidden="1" customHeight="1">
      <c r="A820" s="216"/>
      <c r="B820" s="217"/>
      <c r="C820" s="174"/>
      <c r="D820" s="174"/>
      <c r="E820" s="175"/>
      <c r="F820" s="162"/>
      <c r="G820" s="218"/>
      <c r="H820" s="220"/>
      <c r="I820" s="176"/>
      <c r="J820" s="177"/>
      <c r="K820" s="177"/>
      <c r="L820" s="177"/>
      <c r="M820" s="220"/>
      <c r="N820" s="178"/>
      <c r="O820" s="176"/>
      <c r="P820" s="178"/>
      <c r="Q820" s="105"/>
      <c r="R820" s="219"/>
      <c r="S820" s="164"/>
      <c r="T820" s="164"/>
      <c r="U820" s="162"/>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row>
    <row r="821" spans="1:67" ht="29.25" hidden="1" customHeight="1">
      <c r="A821" s="216"/>
      <c r="B821" s="217"/>
      <c r="C821" s="174"/>
      <c r="D821" s="174"/>
      <c r="E821" s="175"/>
      <c r="F821" s="162"/>
      <c r="G821" s="218"/>
      <c r="H821" s="220"/>
      <c r="I821" s="176"/>
      <c r="J821" s="177"/>
      <c r="K821" s="177"/>
      <c r="L821" s="177"/>
      <c r="M821" s="220"/>
      <c r="N821" s="178"/>
      <c r="O821" s="176"/>
      <c r="P821" s="178"/>
      <c r="Q821" s="105"/>
      <c r="R821" s="219"/>
      <c r="S821" s="164"/>
      <c r="T821" s="164"/>
      <c r="U821" s="162"/>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row>
    <row r="822" spans="1:67" ht="29.25" hidden="1" customHeight="1">
      <c r="A822" s="216"/>
      <c r="B822" s="217"/>
      <c r="C822" s="174"/>
      <c r="D822" s="174"/>
      <c r="E822" s="175"/>
      <c r="F822" s="162"/>
      <c r="G822" s="218"/>
      <c r="H822" s="220"/>
      <c r="I822" s="176"/>
      <c r="J822" s="177"/>
      <c r="K822" s="177"/>
      <c r="L822" s="177"/>
      <c r="M822" s="220"/>
      <c r="N822" s="178"/>
      <c r="O822" s="176"/>
      <c r="P822" s="178"/>
      <c r="Q822" s="105"/>
      <c r="R822" s="219"/>
      <c r="S822" s="164"/>
      <c r="T822" s="164"/>
      <c r="U822" s="162"/>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row>
    <row r="823" spans="1:67" ht="29.25" hidden="1" customHeight="1">
      <c r="A823" s="216"/>
      <c r="B823" s="217"/>
      <c r="C823" s="174"/>
      <c r="D823" s="174"/>
      <c r="E823" s="175"/>
      <c r="F823" s="162"/>
      <c r="G823" s="218"/>
      <c r="H823" s="220"/>
      <c r="I823" s="176"/>
      <c r="J823" s="177"/>
      <c r="K823" s="177"/>
      <c r="L823" s="177"/>
      <c r="M823" s="220"/>
      <c r="N823" s="178"/>
      <c r="O823" s="176"/>
      <c r="P823" s="178"/>
      <c r="Q823" s="105"/>
      <c r="R823" s="219"/>
      <c r="S823" s="164"/>
      <c r="T823" s="164"/>
      <c r="U823" s="162"/>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row>
    <row r="824" spans="1:67" ht="29.25" hidden="1" customHeight="1">
      <c r="A824" s="216"/>
      <c r="B824" s="217"/>
      <c r="C824" s="174"/>
      <c r="D824" s="174"/>
      <c r="E824" s="175"/>
      <c r="F824" s="162"/>
      <c r="G824" s="218"/>
      <c r="H824" s="220"/>
      <c r="I824" s="176"/>
      <c r="J824" s="177"/>
      <c r="K824" s="177"/>
      <c r="L824" s="177"/>
      <c r="M824" s="220"/>
      <c r="N824" s="178"/>
      <c r="O824" s="176"/>
      <c r="P824" s="178"/>
      <c r="Q824" s="105"/>
      <c r="R824" s="219"/>
      <c r="S824" s="164"/>
      <c r="T824" s="164"/>
      <c r="U824" s="162"/>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row>
    <row r="825" spans="1:67" ht="29.25" hidden="1" customHeight="1">
      <c r="A825" s="216"/>
      <c r="B825" s="217"/>
      <c r="C825" s="174"/>
      <c r="D825" s="174"/>
      <c r="E825" s="175"/>
      <c r="F825" s="162"/>
      <c r="G825" s="218"/>
      <c r="H825" s="220"/>
      <c r="I825" s="176"/>
      <c r="J825" s="177"/>
      <c r="K825" s="177"/>
      <c r="L825" s="177"/>
      <c r="M825" s="220"/>
      <c r="N825" s="178"/>
      <c r="O825" s="176"/>
      <c r="P825" s="178"/>
      <c r="Q825" s="105"/>
      <c r="R825" s="219"/>
      <c r="S825" s="164"/>
      <c r="T825" s="164"/>
      <c r="U825" s="162"/>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row>
    <row r="826" spans="1:67" ht="29.25" hidden="1" customHeight="1">
      <c r="A826" s="216"/>
      <c r="B826" s="217"/>
      <c r="C826" s="174"/>
      <c r="D826" s="174"/>
      <c r="E826" s="175"/>
      <c r="F826" s="162"/>
      <c r="G826" s="218"/>
      <c r="H826" s="220"/>
      <c r="I826" s="176"/>
      <c r="J826" s="177"/>
      <c r="K826" s="177"/>
      <c r="L826" s="177"/>
      <c r="M826" s="220"/>
      <c r="N826" s="178"/>
      <c r="O826" s="176"/>
      <c r="P826" s="178"/>
      <c r="Q826" s="105"/>
      <c r="R826" s="219"/>
      <c r="S826" s="164"/>
      <c r="T826" s="164"/>
      <c r="U826" s="162"/>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row>
    <row r="827" spans="1:67" ht="29.25" hidden="1" customHeight="1">
      <c r="A827" s="216"/>
      <c r="B827" s="217"/>
      <c r="C827" s="174"/>
      <c r="D827" s="174"/>
      <c r="E827" s="175"/>
      <c r="F827" s="162"/>
      <c r="G827" s="218"/>
      <c r="H827" s="220"/>
      <c r="I827" s="176"/>
      <c r="J827" s="177"/>
      <c r="K827" s="177"/>
      <c r="L827" s="177"/>
      <c r="M827" s="220"/>
      <c r="N827" s="178"/>
      <c r="O827" s="176"/>
      <c r="P827" s="178"/>
      <c r="Q827" s="105"/>
      <c r="R827" s="219"/>
      <c r="S827" s="164"/>
      <c r="T827" s="164"/>
      <c r="U827" s="162"/>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row>
    <row r="828" spans="1:67" ht="29.25" hidden="1" customHeight="1">
      <c r="A828" s="216"/>
      <c r="B828" s="217"/>
      <c r="C828" s="174"/>
      <c r="D828" s="174"/>
      <c r="E828" s="175"/>
      <c r="F828" s="162"/>
      <c r="G828" s="218"/>
      <c r="H828" s="220"/>
      <c r="I828" s="176"/>
      <c r="J828" s="177"/>
      <c r="K828" s="177"/>
      <c r="L828" s="177"/>
      <c r="M828" s="220"/>
      <c r="N828" s="178"/>
      <c r="O828" s="176"/>
      <c r="P828" s="178"/>
      <c r="Q828" s="105"/>
      <c r="R828" s="219"/>
      <c r="S828" s="164"/>
      <c r="T828" s="164"/>
      <c r="U828" s="162"/>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row>
    <row r="829" spans="1:67" ht="29.25" hidden="1" customHeight="1">
      <c r="A829" s="216"/>
      <c r="B829" s="217"/>
      <c r="C829" s="174"/>
      <c r="D829" s="174"/>
      <c r="E829" s="175"/>
      <c r="F829" s="162"/>
      <c r="G829" s="218"/>
      <c r="H829" s="220"/>
      <c r="I829" s="176"/>
      <c r="J829" s="177"/>
      <c r="K829" s="177"/>
      <c r="L829" s="177"/>
      <c r="M829" s="220"/>
      <c r="N829" s="178"/>
      <c r="O829" s="176"/>
      <c r="P829" s="178"/>
      <c r="Q829" s="105"/>
      <c r="R829" s="219"/>
      <c r="S829" s="164"/>
      <c r="T829" s="164"/>
      <c r="U829" s="162"/>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row>
    <row r="830" spans="1:67" ht="29.25" hidden="1" customHeight="1">
      <c r="A830" s="216"/>
      <c r="B830" s="217"/>
      <c r="C830" s="174"/>
      <c r="D830" s="174"/>
      <c r="E830" s="175"/>
      <c r="F830" s="162"/>
      <c r="G830" s="218"/>
      <c r="H830" s="220"/>
      <c r="I830" s="176"/>
      <c r="J830" s="177"/>
      <c r="K830" s="177"/>
      <c r="L830" s="177"/>
      <c r="M830" s="220"/>
      <c r="N830" s="178"/>
      <c r="O830" s="176"/>
      <c r="P830" s="178"/>
      <c r="Q830" s="105"/>
      <c r="R830" s="219"/>
      <c r="S830" s="164"/>
      <c r="T830" s="164"/>
      <c r="U830" s="162"/>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row>
    <row r="831" spans="1:67" ht="29.25" hidden="1" customHeight="1">
      <c r="A831" s="216"/>
      <c r="B831" s="217"/>
      <c r="C831" s="174"/>
      <c r="D831" s="174"/>
      <c r="E831" s="175"/>
      <c r="F831" s="162"/>
      <c r="G831" s="218"/>
      <c r="H831" s="220"/>
      <c r="I831" s="176"/>
      <c r="J831" s="177"/>
      <c r="K831" s="177"/>
      <c r="L831" s="177"/>
      <c r="M831" s="220"/>
      <c r="N831" s="178"/>
      <c r="O831" s="176"/>
      <c r="P831" s="178"/>
      <c r="Q831" s="105"/>
      <c r="R831" s="219"/>
      <c r="S831" s="164"/>
      <c r="T831" s="164"/>
      <c r="U831" s="162"/>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row>
    <row r="832" spans="1:67" ht="29.25" hidden="1" customHeight="1">
      <c r="A832" s="216"/>
      <c r="B832" s="217"/>
      <c r="C832" s="174"/>
      <c r="D832" s="174"/>
      <c r="E832" s="175"/>
      <c r="F832" s="162"/>
      <c r="G832" s="218"/>
      <c r="H832" s="220"/>
      <c r="I832" s="176"/>
      <c r="J832" s="177"/>
      <c r="K832" s="177"/>
      <c r="L832" s="177"/>
      <c r="M832" s="220"/>
      <c r="N832" s="178"/>
      <c r="O832" s="176"/>
      <c r="P832" s="178"/>
      <c r="Q832" s="105"/>
      <c r="R832" s="219"/>
      <c r="S832" s="164"/>
      <c r="T832" s="164"/>
      <c r="U832" s="162"/>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row>
    <row r="833" spans="1:67" ht="29.25" hidden="1" customHeight="1">
      <c r="A833" s="216"/>
      <c r="B833" s="217"/>
      <c r="C833" s="174"/>
      <c r="D833" s="174"/>
      <c r="E833" s="175"/>
      <c r="F833" s="162"/>
      <c r="G833" s="218"/>
      <c r="H833" s="220"/>
      <c r="I833" s="176"/>
      <c r="J833" s="177"/>
      <c r="K833" s="177"/>
      <c r="L833" s="177"/>
      <c r="M833" s="220"/>
      <c r="N833" s="178"/>
      <c r="O833" s="176"/>
      <c r="P833" s="178"/>
      <c r="Q833" s="105"/>
      <c r="R833" s="219"/>
      <c r="S833" s="164"/>
      <c r="T833" s="164"/>
      <c r="U833" s="162"/>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row>
    <row r="834" spans="1:67" ht="29.25" hidden="1" customHeight="1">
      <c r="A834" s="216"/>
      <c r="B834" s="217"/>
      <c r="C834" s="174"/>
      <c r="D834" s="174"/>
      <c r="E834" s="175"/>
      <c r="F834" s="162"/>
      <c r="G834" s="218"/>
      <c r="H834" s="220"/>
      <c r="I834" s="176"/>
      <c r="J834" s="177"/>
      <c r="K834" s="177"/>
      <c r="L834" s="177"/>
      <c r="M834" s="220"/>
      <c r="N834" s="178"/>
      <c r="O834" s="176"/>
      <c r="P834" s="178"/>
      <c r="Q834" s="105"/>
      <c r="R834" s="219"/>
      <c r="S834" s="164"/>
      <c r="T834" s="164"/>
      <c r="U834" s="162"/>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row>
    <row r="835" spans="1:67" ht="29.25" hidden="1" customHeight="1">
      <c r="A835" s="216"/>
      <c r="B835" s="217"/>
      <c r="C835" s="174"/>
      <c r="D835" s="174"/>
      <c r="E835" s="175"/>
      <c r="F835" s="162"/>
      <c r="G835" s="218"/>
      <c r="H835" s="220"/>
      <c r="I835" s="176"/>
      <c r="J835" s="177"/>
      <c r="K835" s="177"/>
      <c r="L835" s="177"/>
      <c r="M835" s="220"/>
      <c r="N835" s="178"/>
      <c r="O835" s="176"/>
      <c r="P835" s="178"/>
      <c r="Q835" s="105"/>
      <c r="R835" s="219"/>
      <c r="S835" s="164"/>
      <c r="T835" s="164"/>
      <c r="U835" s="162"/>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row>
    <row r="836" spans="1:67" ht="29.25" hidden="1" customHeight="1">
      <c r="A836" s="216"/>
      <c r="B836" s="217"/>
      <c r="C836" s="174"/>
      <c r="D836" s="174"/>
      <c r="E836" s="175"/>
      <c r="F836" s="162"/>
      <c r="G836" s="218"/>
      <c r="H836" s="220"/>
      <c r="I836" s="176"/>
      <c r="J836" s="177"/>
      <c r="K836" s="177"/>
      <c r="L836" s="177"/>
      <c r="M836" s="220"/>
      <c r="N836" s="178"/>
      <c r="O836" s="176"/>
      <c r="P836" s="178"/>
      <c r="Q836" s="105"/>
      <c r="R836" s="219"/>
      <c r="S836" s="164"/>
      <c r="T836" s="164"/>
      <c r="U836" s="162"/>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row>
    <row r="837" spans="1:67" ht="29.25" hidden="1" customHeight="1">
      <c r="A837" s="216"/>
      <c r="B837" s="217"/>
      <c r="C837" s="174"/>
      <c r="D837" s="174"/>
      <c r="E837" s="175"/>
      <c r="F837" s="162"/>
      <c r="G837" s="218"/>
      <c r="H837" s="220"/>
      <c r="I837" s="176"/>
      <c r="J837" s="177"/>
      <c r="K837" s="177"/>
      <c r="L837" s="177"/>
      <c r="M837" s="220"/>
      <c r="N837" s="178"/>
      <c r="O837" s="176"/>
      <c r="P837" s="178"/>
      <c r="Q837" s="105"/>
      <c r="R837" s="219"/>
      <c r="S837" s="164"/>
      <c r="T837" s="164"/>
      <c r="U837" s="162"/>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row>
    <row r="838" spans="1:67" ht="29.25" hidden="1" customHeight="1">
      <c r="A838" s="216"/>
      <c r="B838" s="217"/>
      <c r="C838" s="174"/>
      <c r="D838" s="174"/>
      <c r="E838" s="175"/>
      <c r="F838" s="162"/>
      <c r="G838" s="218"/>
      <c r="H838" s="220"/>
      <c r="I838" s="176"/>
      <c r="J838" s="177"/>
      <c r="K838" s="177"/>
      <c r="L838" s="177"/>
      <c r="M838" s="220"/>
      <c r="N838" s="178"/>
      <c r="O838" s="176"/>
      <c r="P838" s="178"/>
      <c r="Q838" s="105"/>
      <c r="R838" s="219"/>
      <c r="S838" s="164"/>
      <c r="T838" s="164"/>
      <c r="U838" s="162"/>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row>
    <row r="839" spans="1:67" ht="29.25" hidden="1" customHeight="1">
      <c r="A839" s="216"/>
      <c r="B839" s="217"/>
      <c r="C839" s="174"/>
      <c r="D839" s="174"/>
      <c r="E839" s="175"/>
      <c r="F839" s="162"/>
      <c r="G839" s="218"/>
      <c r="H839" s="220"/>
      <c r="I839" s="176"/>
      <c r="J839" s="177"/>
      <c r="K839" s="177"/>
      <c r="L839" s="177"/>
      <c r="M839" s="220"/>
      <c r="N839" s="178"/>
      <c r="O839" s="176"/>
      <c r="P839" s="178"/>
      <c r="Q839" s="105"/>
      <c r="R839" s="219"/>
      <c r="S839" s="164"/>
      <c r="T839" s="164"/>
      <c r="U839" s="162"/>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row>
    <row r="840" spans="1:67" ht="29.25" hidden="1" customHeight="1">
      <c r="A840" s="216"/>
      <c r="B840" s="217"/>
      <c r="C840" s="174"/>
      <c r="D840" s="174"/>
      <c r="E840" s="175"/>
      <c r="F840" s="162"/>
      <c r="G840" s="218"/>
      <c r="H840" s="220"/>
      <c r="I840" s="176"/>
      <c r="J840" s="177"/>
      <c r="K840" s="177"/>
      <c r="L840" s="177"/>
      <c r="M840" s="220"/>
      <c r="N840" s="178"/>
      <c r="O840" s="176"/>
      <c r="P840" s="178"/>
      <c r="Q840" s="105"/>
      <c r="R840" s="219"/>
      <c r="S840" s="164"/>
      <c r="T840" s="164"/>
      <c r="U840" s="162"/>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row>
    <row r="841" spans="1:67" ht="29.25" hidden="1" customHeight="1">
      <c r="A841" s="216"/>
      <c r="B841" s="217"/>
      <c r="C841" s="174"/>
      <c r="D841" s="174"/>
      <c r="E841" s="175"/>
      <c r="F841" s="162"/>
      <c r="G841" s="218"/>
      <c r="H841" s="220"/>
      <c r="I841" s="176"/>
      <c r="J841" s="177"/>
      <c r="K841" s="177"/>
      <c r="L841" s="177"/>
      <c r="M841" s="220"/>
      <c r="N841" s="178"/>
      <c r="O841" s="176"/>
      <c r="P841" s="178"/>
      <c r="Q841" s="105"/>
      <c r="R841" s="219"/>
      <c r="S841" s="164"/>
      <c r="T841" s="164"/>
      <c r="U841" s="162"/>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row>
    <row r="842" spans="1:67" ht="29.25" hidden="1" customHeight="1">
      <c r="A842" s="216"/>
      <c r="B842" s="217"/>
      <c r="C842" s="174"/>
      <c r="D842" s="174"/>
      <c r="E842" s="175"/>
      <c r="F842" s="162"/>
      <c r="G842" s="218"/>
      <c r="H842" s="220"/>
      <c r="I842" s="176"/>
      <c r="J842" s="177"/>
      <c r="K842" s="177"/>
      <c r="L842" s="177"/>
      <c r="M842" s="220"/>
      <c r="N842" s="178"/>
      <c r="O842" s="176"/>
      <c r="P842" s="178"/>
      <c r="Q842" s="105"/>
      <c r="R842" s="219"/>
      <c r="S842" s="164"/>
      <c r="T842" s="164"/>
      <c r="U842" s="162"/>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row>
    <row r="843" spans="1:67" ht="29.25" hidden="1" customHeight="1">
      <c r="A843" s="216"/>
      <c r="B843" s="217"/>
      <c r="C843" s="174"/>
      <c r="D843" s="174"/>
      <c r="E843" s="175"/>
      <c r="F843" s="162"/>
      <c r="G843" s="218"/>
      <c r="H843" s="220"/>
      <c r="I843" s="176"/>
      <c r="J843" s="177"/>
      <c r="K843" s="177"/>
      <c r="L843" s="177"/>
      <c r="M843" s="220"/>
      <c r="N843" s="178"/>
      <c r="O843" s="176"/>
      <c r="P843" s="178"/>
      <c r="Q843" s="105"/>
      <c r="R843" s="219"/>
      <c r="S843" s="164"/>
      <c r="T843" s="164"/>
      <c r="U843" s="162"/>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row>
    <row r="844" spans="1:67" ht="29.25" hidden="1" customHeight="1">
      <c r="A844" s="216"/>
      <c r="B844" s="217"/>
      <c r="C844" s="174"/>
      <c r="D844" s="174"/>
      <c r="E844" s="175"/>
      <c r="F844" s="162"/>
      <c r="G844" s="218"/>
      <c r="H844" s="220"/>
      <c r="I844" s="176"/>
      <c r="J844" s="177"/>
      <c r="K844" s="177"/>
      <c r="L844" s="177"/>
      <c r="M844" s="220"/>
      <c r="N844" s="178"/>
      <c r="O844" s="176"/>
      <c r="P844" s="178"/>
      <c r="Q844" s="105"/>
      <c r="R844" s="219"/>
      <c r="S844" s="164"/>
      <c r="T844" s="164"/>
      <c r="U844" s="162"/>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row>
    <row r="845" spans="1:67" ht="29.25" hidden="1" customHeight="1">
      <c r="A845" s="216"/>
      <c r="B845" s="217"/>
      <c r="C845" s="174"/>
      <c r="D845" s="174"/>
      <c r="E845" s="175"/>
      <c r="F845" s="162"/>
      <c r="G845" s="218"/>
      <c r="H845" s="220"/>
      <c r="I845" s="176"/>
      <c r="J845" s="177"/>
      <c r="K845" s="177"/>
      <c r="L845" s="177"/>
      <c r="M845" s="220"/>
      <c r="N845" s="178"/>
      <c r="O845" s="176"/>
      <c r="P845" s="178"/>
      <c r="Q845" s="105"/>
      <c r="R845" s="219"/>
      <c r="S845" s="164"/>
      <c r="T845" s="164"/>
      <c r="U845" s="162"/>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row>
    <row r="846" spans="1:67" ht="29.25" hidden="1" customHeight="1">
      <c r="A846" s="216"/>
      <c r="B846" s="217"/>
      <c r="C846" s="174"/>
      <c r="D846" s="174"/>
      <c r="E846" s="175"/>
      <c r="F846" s="162"/>
      <c r="G846" s="218"/>
      <c r="H846" s="220"/>
      <c r="I846" s="176"/>
      <c r="J846" s="177"/>
      <c r="K846" s="177"/>
      <c r="L846" s="177"/>
      <c r="M846" s="220"/>
      <c r="N846" s="178"/>
      <c r="O846" s="176"/>
      <c r="P846" s="178"/>
      <c r="Q846" s="105"/>
      <c r="R846" s="219"/>
      <c r="S846" s="164"/>
      <c r="T846" s="164"/>
      <c r="U846" s="162"/>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row>
    <row r="847" spans="1:67" ht="29.25" hidden="1" customHeight="1">
      <c r="A847" s="216"/>
      <c r="B847" s="217"/>
      <c r="C847" s="174"/>
      <c r="D847" s="174"/>
      <c r="E847" s="175"/>
      <c r="F847" s="162"/>
      <c r="G847" s="218"/>
      <c r="H847" s="220"/>
      <c r="I847" s="176"/>
      <c r="J847" s="177"/>
      <c r="K847" s="177"/>
      <c r="L847" s="177"/>
      <c r="M847" s="220"/>
      <c r="N847" s="178"/>
      <c r="O847" s="176"/>
      <c r="P847" s="178"/>
      <c r="Q847" s="105"/>
      <c r="R847" s="219"/>
      <c r="S847" s="164"/>
      <c r="T847" s="164"/>
      <c r="U847" s="162"/>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row>
    <row r="848" spans="1:67" ht="29.25" hidden="1" customHeight="1">
      <c r="A848" s="216"/>
      <c r="B848" s="217"/>
      <c r="C848" s="174"/>
      <c r="D848" s="174"/>
      <c r="E848" s="175"/>
      <c r="F848" s="162"/>
      <c r="G848" s="218"/>
      <c r="H848" s="220"/>
      <c r="I848" s="176"/>
      <c r="J848" s="177"/>
      <c r="K848" s="177"/>
      <c r="L848" s="177"/>
      <c r="M848" s="220"/>
      <c r="N848" s="178"/>
      <c r="O848" s="176"/>
      <c r="P848" s="178"/>
      <c r="Q848" s="105"/>
      <c r="R848" s="219"/>
      <c r="S848" s="164"/>
      <c r="T848" s="164"/>
      <c r="U848" s="162"/>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row>
    <row r="849" spans="1:67" ht="29.25" hidden="1" customHeight="1">
      <c r="A849" s="216"/>
      <c r="B849" s="217"/>
      <c r="C849" s="174"/>
      <c r="D849" s="174"/>
      <c r="E849" s="175"/>
      <c r="F849" s="162"/>
      <c r="G849" s="218"/>
      <c r="H849" s="220"/>
      <c r="I849" s="176"/>
      <c r="J849" s="177"/>
      <c r="K849" s="177"/>
      <c r="L849" s="177"/>
      <c r="M849" s="220"/>
      <c r="N849" s="178"/>
      <c r="O849" s="176"/>
      <c r="P849" s="178"/>
      <c r="Q849" s="105"/>
      <c r="R849" s="219"/>
      <c r="S849" s="164"/>
      <c r="T849" s="164"/>
      <c r="U849" s="162"/>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row>
    <row r="850" spans="1:67" ht="29.25" hidden="1" customHeight="1">
      <c r="A850" s="216"/>
      <c r="B850" s="217"/>
      <c r="C850" s="174"/>
      <c r="D850" s="174"/>
      <c r="E850" s="175"/>
      <c r="F850" s="162"/>
      <c r="G850" s="218"/>
      <c r="H850" s="220"/>
      <c r="I850" s="176"/>
      <c r="J850" s="177"/>
      <c r="K850" s="177"/>
      <c r="L850" s="177"/>
      <c r="M850" s="220"/>
      <c r="N850" s="178"/>
      <c r="O850" s="176"/>
      <c r="P850" s="178"/>
      <c r="Q850" s="105"/>
      <c r="R850" s="219"/>
      <c r="S850" s="164"/>
      <c r="T850" s="164"/>
      <c r="U850" s="162"/>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row>
    <row r="851" spans="1:67" ht="29.25" hidden="1" customHeight="1">
      <c r="A851" s="216"/>
      <c r="B851" s="217"/>
      <c r="C851" s="174"/>
      <c r="D851" s="174"/>
      <c r="E851" s="175"/>
      <c r="F851" s="162"/>
      <c r="G851" s="218"/>
      <c r="H851" s="220"/>
      <c r="I851" s="176"/>
      <c r="J851" s="177"/>
      <c r="K851" s="177"/>
      <c r="L851" s="177"/>
      <c r="M851" s="220"/>
      <c r="N851" s="178"/>
      <c r="O851" s="176"/>
      <c r="P851" s="178"/>
      <c r="Q851" s="105"/>
      <c r="R851" s="219"/>
      <c r="S851" s="164"/>
      <c r="T851" s="164"/>
      <c r="U851" s="162"/>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row>
    <row r="852" spans="1:67" ht="29.25" hidden="1" customHeight="1">
      <c r="A852" s="216"/>
      <c r="B852" s="217"/>
      <c r="C852" s="174"/>
      <c r="D852" s="174"/>
      <c r="E852" s="175"/>
      <c r="F852" s="162"/>
      <c r="G852" s="218"/>
      <c r="H852" s="220"/>
      <c r="I852" s="176"/>
      <c r="J852" s="177"/>
      <c r="K852" s="177"/>
      <c r="L852" s="177"/>
      <c r="M852" s="220"/>
      <c r="N852" s="178"/>
      <c r="O852" s="176"/>
      <c r="P852" s="178"/>
      <c r="Q852" s="105"/>
      <c r="R852" s="219"/>
      <c r="S852" s="164"/>
      <c r="T852" s="164"/>
      <c r="U852" s="162"/>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row>
    <row r="853" spans="1:67" ht="29.25" hidden="1" customHeight="1">
      <c r="A853" s="216"/>
      <c r="B853" s="217"/>
      <c r="C853" s="174"/>
      <c r="D853" s="174"/>
      <c r="E853" s="175"/>
      <c r="F853" s="162"/>
      <c r="G853" s="218"/>
      <c r="H853" s="220"/>
      <c r="I853" s="176"/>
      <c r="J853" s="177"/>
      <c r="K853" s="177"/>
      <c r="L853" s="177"/>
      <c r="M853" s="220"/>
      <c r="N853" s="178"/>
      <c r="O853" s="176"/>
      <c r="P853" s="178"/>
      <c r="Q853" s="105"/>
      <c r="R853" s="219"/>
      <c r="S853" s="164"/>
      <c r="T853" s="164"/>
      <c r="U853" s="162"/>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row>
    <row r="854" spans="1:67" ht="29.25" hidden="1" customHeight="1">
      <c r="A854" s="216"/>
      <c r="B854" s="217"/>
      <c r="C854" s="174"/>
      <c r="D854" s="174"/>
      <c r="E854" s="175"/>
      <c r="F854" s="162"/>
      <c r="G854" s="218"/>
      <c r="H854" s="220"/>
      <c r="I854" s="176"/>
      <c r="J854" s="177"/>
      <c r="K854" s="177"/>
      <c r="L854" s="177"/>
      <c r="M854" s="220"/>
      <c r="N854" s="178"/>
      <c r="O854" s="176"/>
      <c r="P854" s="178"/>
      <c r="Q854" s="105"/>
      <c r="R854" s="219"/>
      <c r="S854" s="164"/>
      <c r="T854" s="164"/>
      <c r="U854" s="162"/>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row>
    <row r="855" spans="1:67" ht="29.25" hidden="1" customHeight="1">
      <c r="A855" s="216"/>
      <c r="B855" s="217"/>
      <c r="C855" s="174"/>
      <c r="D855" s="174"/>
      <c r="E855" s="175"/>
      <c r="F855" s="162"/>
      <c r="G855" s="218"/>
      <c r="H855" s="220"/>
      <c r="I855" s="176"/>
      <c r="J855" s="177"/>
      <c r="K855" s="177"/>
      <c r="L855" s="177"/>
      <c r="M855" s="220"/>
      <c r="N855" s="178"/>
      <c r="O855" s="176"/>
      <c r="P855" s="178"/>
      <c r="Q855" s="105"/>
      <c r="R855" s="219"/>
      <c r="S855" s="164"/>
      <c r="T855" s="164"/>
      <c r="U855" s="162"/>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row>
    <row r="856" spans="1:67" ht="29.25" hidden="1" customHeight="1">
      <c r="A856" s="216"/>
      <c r="B856" s="217"/>
      <c r="C856" s="174"/>
      <c r="D856" s="174"/>
      <c r="E856" s="175"/>
      <c r="F856" s="162"/>
      <c r="G856" s="218"/>
      <c r="H856" s="220"/>
      <c r="I856" s="176"/>
      <c r="J856" s="177"/>
      <c r="K856" s="177"/>
      <c r="L856" s="177"/>
      <c r="M856" s="220"/>
      <c r="N856" s="178"/>
      <c r="O856" s="176"/>
      <c r="P856" s="178"/>
      <c r="Q856" s="105"/>
      <c r="R856" s="219"/>
      <c r="S856" s="164"/>
      <c r="T856" s="164"/>
      <c r="U856" s="162"/>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row>
    <row r="857" spans="1:67" ht="29.25" hidden="1" customHeight="1">
      <c r="A857" s="216"/>
      <c r="B857" s="217"/>
      <c r="C857" s="174"/>
      <c r="D857" s="174"/>
      <c r="E857" s="175"/>
      <c r="F857" s="162"/>
      <c r="G857" s="218"/>
      <c r="H857" s="220"/>
      <c r="I857" s="176"/>
      <c r="J857" s="177"/>
      <c r="K857" s="177"/>
      <c r="L857" s="177"/>
      <c r="M857" s="220"/>
      <c r="N857" s="178"/>
      <c r="O857" s="176"/>
      <c r="P857" s="178"/>
      <c r="Q857" s="105"/>
      <c r="R857" s="219"/>
      <c r="S857" s="164"/>
      <c r="T857" s="164"/>
      <c r="U857" s="162"/>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row>
    <row r="858" spans="1:67" ht="29.25" hidden="1" customHeight="1">
      <c r="A858" s="216"/>
      <c r="B858" s="217"/>
      <c r="C858" s="174"/>
      <c r="D858" s="174"/>
      <c r="E858" s="175"/>
      <c r="F858" s="162"/>
      <c r="G858" s="218"/>
      <c r="H858" s="220"/>
      <c r="I858" s="176"/>
      <c r="J858" s="177"/>
      <c r="K858" s="177"/>
      <c r="L858" s="177"/>
      <c r="M858" s="220"/>
      <c r="N858" s="178"/>
      <c r="O858" s="176"/>
      <c r="P858" s="178"/>
      <c r="Q858" s="105"/>
      <c r="R858" s="219"/>
      <c r="S858" s="164"/>
      <c r="T858" s="164"/>
      <c r="U858" s="162"/>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row>
    <row r="859" spans="1:67" ht="29.25" hidden="1" customHeight="1">
      <c r="A859" s="216"/>
      <c r="B859" s="217"/>
      <c r="C859" s="174"/>
      <c r="D859" s="174"/>
      <c r="E859" s="175"/>
      <c r="F859" s="162"/>
      <c r="G859" s="218"/>
      <c r="H859" s="220"/>
      <c r="I859" s="176"/>
      <c r="J859" s="177"/>
      <c r="K859" s="177"/>
      <c r="L859" s="177"/>
      <c r="M859" s="220"/>
      <c r="N859" s="178"/>
      <c r="O859" s="176"/>
      <c r="P859" s="178"/>
      <c r="Q859" s="105"/>
      <c r="R859" s="219"/>
      <c r="S859" s="164"/>
      <c r="T859" s="164"/>
      <c r="U859" s="162"/>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row>
    <row r="860" spans="1:67" ht="29.25" hidden="1" customHeight="1">
      <c r="A860" s="216"/>
      <c r="B860" s="217"/>
      <c r="C860" s="174"/>
      <c r="D860" s="174"/>
      <c r="E860" s="175"/>
      <c r="F860" s="162"/>
      <c r="G860" s="218"/>
      <c r="H860" s="220"/>
      <c r="I860" s="176"/>
      <c r="J860" s="177"/>
      <c r="K860" s="177"/>
      <c r="L860" s="177"/>
      <c r="M860" s="220"/>
      <c r="N860" s="178"/>
      <c r="O860" s="176"/>
      <c r="P860" s="178"/>
      <c r="Q860" s="105"/>
      <c r="R860" s="219"/>
      <c r="S860" s="164"/>
      <c r="T860" s="164"/>
      <c r="U860" s="162"/>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row>
    <row r="861" spans="1:67" ht="29.25" hidden="1" customHeight="1">
      <c r="A861" s="216"/>
      <c r="B861" s="217"/>
      <c r="C861" s="174"/>
      <c r="D861" s="174"/>
      <c r="E861" s="175"/>
      <c r="F861" s="162"/>
      <c r="G861" s="218"/>
      <c r="H861" s="220"/>
      <c r="I861" s="176"/>
      <c r="J861" s="177"/>
      <c r="K861" s="177"/>
      <c r="L861" s="177"/>
      <c r="M861" s="220"/>
      <c r="N861" s="178"/>
      <c r="O861" s="176"/>
      <c r="P861" s="178"/>
      <c r="Q861" s="105"/>
      <c r="R861" s="219"/>
      <c r="S861" s="164"/>
      <c r="T861" s="164"/>
      <c r="U861" s="162"/>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row>
    <row r="862" spans="1:67" ht="29.25" hidden="1" customHeight="1">
      <c r="A862" s="216"/>
      <c r="B862" s="217"/>
      <c r="C862" s="174"/>
      <c r="D862" s="174"/>
      <c r="E862" s="175"/>
      <c r="F862" s="162"/>
      <c r="G862" s="218"/>
      <c r="H862" s="220"/>
      <c r="I862" s="176"/>
      <c r="J862" s="177"/>
      <c r="K862" s="177"/>
      <c r="L862" s="177"/>
      <c r="M862" s="220"/>
      <c r="N862" s="178"/>
      <c r="O862" s="176"/>
      <c r="P862" s="178"/>
      <c r="Q862" s="105"/>
      <c r="R862" s="219"/>
      <c r="S862" s="164"/>
      <c r="T862" s="164"/>
      <c r="U862" s="162"/>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row>
    <row r="863" spans="1:67" ht="29.25" hidden="1" customHeight="1">
      <c r="A863" s="216"/>
      <c r="B863" s="217"/>
      <c r="C863" s="174"/>
      <c r="D863" s="174"/>
      <c r="E863" s="175"/>
      <c r="F863" s="162"/>
      <c r="G863" s="218"/>
      <c r="H863" s="220"/>
      <c r="I863" s="176"/>
      <c r="J863" s="177"/>
      <c r="K863" s="177"/>
      <c r="L863" s="177"/>
      <c r="M863" s="220"/>
      <c r="N863" s="178"/>
      <c r="O863" s="176"/>
      <c r="P863" s="178"/>
      <c r="Q863" s="105"/>
      <c r="R863" s="219"/>
      <c r="S863" s="164"/>
      <c r="T863" s="164"/>
      <c r="U863" s="162"/>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row>
    <row r="864" spans="1:67" ht="29.25" hidden="1" customHeight="1">
      <c r="A864" s="216"/>
      <c r="B864" s="217"/>
      <c r="C864" s="174"/>
      <c r="D864" s="174"/>
      <c r="E864" s="175"/>
      <c r="F864" s="162"/>
      <c r="G864" s="218"/>
      <c r="H864" s="220"/>
      <c r="I864" s="176"/>
      <c r="J864" s="177"/>
      <c r="K864" s="177"/>
      <c r="L864" s="177"/>
      <c r="M864" s="220"/>
      <c r="N864" s="178"/>
      <c r="O864" s="176"/>
      <c r="P864" s="178"/>
      <c r="Q864" s="105"/>
      <c r="R864" s="219"/>
      <c r="S864" s="164"/>
      <c r="T864" s="164"/>
      <c r="U864" s="162"/>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row>
    <row r="865" spans="1:67" ht="29.25" hidden="1" customHeight="1">
      <c r="A865" s="216"/>
      <c r="B865" s="217"/>
      <c r="C865" s="174"/>
      <c r="D865" s="174"/>
      <c r="E865" s="175"/>
      <c r="F865" s="162"/>
      <c r="G865" s="218"/>
      <c r="H865" s="220"/>
      <c r="I865" s="176"/>
      <c r="J865" s="177"/>
      <c r="K865" s="177"/>
      <c r="L865" s="177"/>
      <c r="M865" s="220"/>
      <c r="N865" s="178"/>
      <c r="O865" s="176"/>
      <c r="P865" s="178"/>
      <c r="Q865" s="105"/>
      <c r="R865" s="219"/>
      <c r="S865" s="164"/>
      <c r="T865" s="164"/>
      <c r="U865" s="162"/>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row>
    <row r="866" spans="1:67" ht="29.25" hidden="1" customHeight="1">
      <c r="A866" s="216"/>
      <c r="B866" s="217"/>
      <c r="C866" s="174"/>
      <c r="D866" s="174"/>
      <c r="E866" s="175"/>
      <c r="F866" s="162"/>
      <c r="G866" s="218"/>
      <c r="H866" s="220"/>
      <c r="I866" s="176"/>
      <c r="J866" s="177"/>
      <c r="K866" s="177"/>
      <c r="L866" s="177"/>
      <c r="M866" s="220"/>
      <c r="N866" s="178"/>
      <c r="O866" s="176"/>
      <c r="P866" s="178"/>
      <c r="Q866" s="105"/>
      <c r="R866" s="219"/>
      <c r="S866" s="164"/>
      <c r="T866" s="164"/>
      <c r="U866" s="162"/>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row>
    <row r="867" spans="1:67" ht="29.25" hidden="1" customHeight="1">
      <c r="A867" s="216"/>
      <c r="B867" s="217"/>
      <c r="C867" s="174"/>
      <c r="D867" s="174"/>
      <c r="E867" s="175"/>
      <c r="F867" s="162"/>
      <c r="G867" s="218"/>
      <c r="H867" s="220"/>
      <c r="I867" s="176"/>
      <c r="J867" s="177"/>
      <c r="K867" s="177"/>
      <c r="L867" s="177"/>
      <c r="M867" s="220"/>
      <c r="N867" s="178"/>
      <c r="O867" s="176"/>
      <c r="P867" s="178"/>
      <c r="Q867" s="105"/>
      <c r="R867" s="219"/>
      <c r="S867" s="164"/>
      <c r="T867" s="164"/>
      <c r="U867" s="162"/>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row>
    <row r="868" spans="1:67" ht="29.25" hidden="1" customHeight="1">
      <c r="A868" s="216"/>
      <c r="B868" s="217"/>
      <c r="C868" s="174"/>
      <c r="D868" s="174"/>
      <c r="E868" s="175"/>
      <c r="F868" s="162"/>
      <c r="G868" s="218"/>
      <c r="H868" s="220"/>
      <c r="I868" s="176"/>
      <c r="J868" s="177"/>
      <c r="K868" s="177"/>
      <c r="L868" s="177"/>
      <c r="M868" s="220"/>
      <c r="N868" s="178"/>
      <c r="O868" s="176"/>
      <c r="P868" s="178"/>
      <c r="Q868" s="105"/>
      <c r="R868" s="219"/>
      <c r="S868" s="164"/>
      <c r="T868" s="164"/>
      <c r="U868" s="162"/>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row>
    <row r="869" spans="1:67" ht="29.25" hidden="1" customHeight="1">
      <c r="A869" s="216"/>
      <c r="B869" s="217"/>
      <c r="C869" s="174"/>
      <c r="D869" s="174"/>
      <c r="E869" s="175"/>
      <c r="F869" s="162"/>
      <c r="G869" s="218"/>
      <c r="H869" s="220"/>
      <c r="I869" s="176"/>
      <c r="J869" s="177"/>
      <c r="K869" s="177"/>
      <c r="L869" s="177"/>
      <c r="M869" s="220"/>
      <c r="N869" s="178"/>
      <c r="O869" s="176"/>
      <c r="P869" s="178"/>
      <c r="Q869" s="105"/>
      <c r="R869" s="219"/>
      <c r="S869" s="164"/>
      <c r="T869" s="164"/>
      <c r="U869" s="162"/>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row>
    <row r="870" spans="1:67" ht="29.25" hidden="1" customHeight="1">
      <c r="A870" s="216"/>
      <c r="B870" s="217"/>
      <c r="C870" s="174"/>
      <c r="D870" s="174"/>
      <c r="E870" s="175"/>
      <c r="F870" s="162"/>
      <c r="G870" s="218"/>
      <c r="H870" s="220"/>
      <c r="I870" s="176"/>
      <c r="J870" s="177"/>
      <c r="K870" s="177"/>
      <c r="L870" s="177"/>
      <c r="M870" s="220"/>
      <c r="N870" s="178"/>
      <c r="O870" s="176"/>
      <c r="P870" s="178"/>
      <c r="Q870" s="105"/>
      <c r="R870" s="219"/>
      <c r="S870" s="164"/>
      <c r="T870" s="164"/>
      <c r="U870" s="162"/>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row>
    <row r="871" spans="1:67" ht="29.25" hidden="1" customHeight="1">
      <c r="A871" s="216"/>
      <c r="B871" s="217"/>
      <c r="C871" s="174"/>
      <c r="D871" s="174"/>
      <c r="E871" s="175"/>
      <c r="F871" s="162"/>
      <c r="G871" s="218"/>
      <c r="H871" s="220"/>
      <c r="I871" s="176"/>
      <c r="J871" s="177"/>
      <c r="K871" s="177"/>
      <c r="L871" s="177"/>
      <c r="M871" s="220"/>
      <c r="N871" s="178"/>
      <c r="O871" s="176"/>
      <c r="P871" s="178"/>
      <c r="Q871" s="105"/>
      <c r="R871" s="219"/>
      <c r="S871" s="164"/>
      <c r="T871" s="164"/>
      <c r="U871" s="162"/>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row>
    <row r="872" spans="1:67" ht="29.25" hidden="1" customHeight="1">
      <c r="A872" s="216"/>
      <c r="B872" s="217"/>
      <c r="C872" s="174"/>
      <c r="D872" s="174"/>
      <c r="E872" s="175"/>
      <c r="F872" s="162"/>
      <c r="G872" s="218"/>
      <c r="H872" s="220"/>
      <c r="I872" s="176"/>
      <c r="J872" s="177"/>
      <c r="K872" s="177"/>
      <c r="L872" s="177"/>
      <c r="M872" s="220"/>
      <c r="N872" s="178"/>
      <c r="O872" s="176"/>
      <c r="P872" s="178"/>
      <c r="Q872" s="105"/>
      <c r="R872" s="219"/>
      <c r="S872" s="164"/>
      <c r="T872" s="164"/>
      <c r="U872" s="162"/>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row>
    <row r="873" spans="1:67" ht="29.25" hidden="1" customHeight="1">
      <c r="A873" s="216"/>
      <c r="B873" s="217"/>
      <c r="C873" s="174"/>
      <c r="D873" s="174"/>
      <c r="E873" s="175"/>
      <c r="F873" s="162"/>
      <c r="G873" s="218"/>
      <c r="H873" s="220"/>
      <c r="I873" s="176"/>
      <c r="J873" s="177"/>
      <c r="K873" s="177"/>
      <c r="L873" s="177"/>
      <c r="M873" s="220"/>
      <c r="N873" s="178"/>
      <c r="O873" s="176"/>
      <c r="P873" s="178"/>
      <c r="Q873" s="105"/>
      <c r="R873" s="219"/>
      <c r="S873" s="164"/>
      <c r="T873" s="164"/>
      <c r="U873" s="162"/>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row>
    <row r="874" spans="1:67" ht="29.25" hidden="1" customHeight="1">
      <c r="A874" s="216"/>
      <c r="B874" s="217"/>
      <c r="C874" s="174"/>
      <c r="D874" s="174"/>
      <c r="E874" s="175"/>
      <c r="F874" s="162"/>
      <c r="G874" s="218"/>
      <c r="H874" s="220"/>
      <c r="I874" s="176"/>
      <c r="J874" s="177"/>
      <c r="K874" s="177"/>
      <c r="L874" s="177"/>
      <c r="M874" s="220"/>
      <c r="N874" s="178"/>
      <c r="O874" s="176"/>
      <c r="P874" s="178"/>
      <c r="Q874" s="105"/>
      <c r="R874" s="219"/>
      <c r="S874" s="164"/>
      <c r="T874" s="164"/>
      <c r="U874" s="162"/>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row>
    <row r="875" spans="1:67" ht="29.25" hidden="1" customHeight="1">
      <c r="A875" s="216"/>
      <c r="B875" s="217"/>
      <c r="C875" s="174"/>
      <c r="D875" s="174"/>
      <c r="E875" s="175"/>
      <c r="F875" s="162"/>
      <c r="G875" s="218"/>
      <c r="H875" s="220"/>
      <c r="I875" s="176"/>
      <c r="J875" s="177"/>
      <c r="K875" s="177"/>
      <c r="L875" s="177"/>
      <c r="M875" s="220"/>
      <c r="N875" s="178"/>
      <c r="O875" s="176"/>
      <c r="P875" s="178"/>
      <c r="Q875" s="105"/>
      <c r="R875" s="219"/>
      <c r="S875" s="164"/>
      <c r="T875" s="164"/>
      <c r="U875" s="162"/>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row>
    <row r="876" spans="1:67" ht="29.25" hidden="1" customHeight="1">
      <c r="A876" s="216"/>
      <c r="B876" s="217"/>
      <c r="C876" s="174"/>
      <c r="D876" s="174"/>
      <c r="E876" s="175"/>
      <c r="F876" s="162"/>
      <c r="G876" s="218"/>
      <c r="H876" s="220"/>
      <c r="I876" s="176"/>
      <c r="J876" s="177"/>
      <c r="K876" s="177"/>
      <c r="L876" s="177"/>
      <c r="M876" s="220"/>
      <c r="N876" s="178"/>
      <c r="O876" s="176"/>
      <c r="P876" s="178"/>
      <c r="Q876" s="105"/>
      <c r="R876" s="219"/>
      <c r="S876" s="164"/>
      <c r="T876" s="164"/>
      <c r="U876" s="162"/>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row>
    <row r="877" spans="1:67" ht="29.25" hidden="1" customHeight="1">
      <c r="A877" s="216"/>
      <c r="B877" s="217"/>
      <c r="C877" s="174"/>
      <c r="D877" s="174"/>
      <c r="E877" s="175"/>
      <c r="F877" s="162"/>
      <c r="G877" s="218"/>
      <c r="H877" s="220"/>
      <c r="I877" s="176"/>
      <c r="J877" s="177"/>
      <c r="K877" s="177"/>
      <c r="L877" s="177"/>
      <c r="M877" s="220"/>
      <c r="N877" s="178"/>
      <c r="O877" s="176"/>
      <c r="P877" s="178"/>
      <c r="Q877" s="105"/>
      <c r="R877" s="219"/>
      <c r="S877" s="164"/>
      <c r="T877" s="164"/>
      <c r="U877" s="162"/>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row>
    <row r="878" spans="1:67" ht="29.25" hidden="1" customHeight="1">
      <c r="A878" s="216"/>
      <c r="B878" s="217"/>
      <c r="C878" s="174"/>
      <c r="D878" s="174"/>
      <c r="E878" s="175"/>
      <c r="F878" s="162"/>
      <c r="G878" s="218"/>
      <c r="H878" s="220"/>
      <c r="I878" s="176"/>
      <c r="J878" s="177"/>
      <c r="K878" s="177"/>
      <c r="L878" s="177"/>
      <c r="M878" s="220"/>
      <c r="N878" s="178"/>
      <c r="O878" s="176"/>
      <c r="P878" s="178"/>
      <c r="Q878" s="105"/>
      <c r="R878" s="219"/>
      <c r="S878" s="164"/>
      <c r="T878" s="164"/>
      <c r="U878" s="162"/>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row>
    <row r="879" spans="1:67" ht="29.25" hidden="1" customHeight="1">
      <c r="A879" s="216"/>
      <c r="B879" s="217"/>
      <c r="C879" s="174"/>
      <c r="D879" s="174"/>
      <c r="E879" s="175"/>
      <c r="F879" s="162"/>
      <c r="G879" s="218"/>
      <c r="H879" s="220"/>
      <c r="I879" s="176"/>
      <c r="J879" s="177"/>
      <c r="K879" s="177"/>
      <c r="L879" s="177"/>
      <c r="M879" s="220"/>
      <c r="N879" s="178"/>
      <c r="O879" s="176"/>
      <c r="P879" s="178"/>
      <c r="Q879" s="105"/>
      <c r="R879" s="219"/>
      <c r="S879" s="164"/>
      <c r="T879" s="164"/>
      <c r="U879" s="162"/>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row>
    <row r="880" spans="1:67" ht="29.25" hidden="1" customHeight="1">
      <c r="A880" s="216"/>
      <c r="B880" s="217"/>
      <c r="C880" s="174"/>
      <c r="D880" s="174"/>
      <c r="E880" s="175"/>
      <c r="F880" s="162"/>
      <c r="G880" s="218"/>
      <c r="H880" s="220"/>
      <c r="I880" s="176"/>
      <c r="J880" s="177"/>
      <c r="K880" s="177"/>
      <c r="L880" s="177"/>
      <c r="M880" s="220"/>
      <c r="N880" s="178"/>
      <c r="O880" s="176"/>
      <c r="P880" s="178"/>
      <c r="Q880" s="105"/>
      <c r="R880" s="219"/>
      <c r="S880" s="164"/>
      <c r="T880" s="164"/>
      <c r="U880" s="162"/>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row>
    <row r="881" spans="1:67" ht="29.25" hidden="1" customHeight="1">
      <c r="A881" s="216"/>
      <c r="B881" s="217"/>
      <c r="C881" s="174"/>
      <c r="D881" s="174"/>
      <c r="E881" s="175"/>
      <c r="F881" s="162"/>
      <c r="G881" s="218"/>
      <c r="H881" s="220"/>
      <c r="I881" s="176"/>
      <c r="J881" s="177"/>
      <c r="K881" s="177"/>
      <c r="L881" s="177"/>
      <c r="M881" s="220"/>
      <c r="N881" s="178"/>
      <c r="O881" s="176"/>
      <c r="P881" s="178"/>
      <c r="Q881" s="105"/>
      <c r="R881" s="219"/>
      <c r="S881" s="164"/>
      <c r="T881" s="164"/>
      <c r="U881" s="162"/>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row>
    <row r="882" spans="1:67" ht="29.25" hidden="1" customHeight="1">
      <c r="A882" s="216"/>
      <c r="B882" s="217"/>
      <c r="C882" s="174"/>
      <c r="D882" s="174"/>
      <c r="E882" s="175"/>
      <c r="F882" s="162"/>
      <c r="G882" s="218"/>
      <c r="H882" s="220"/>
      <c r="I882" s="176"/>
      <c r="J882" s="177"/>
      <c r="K882" s="177"/>
      <c r="L882" s="177"/>
      <c r="M882" s="220"/>
      <c r="N882" s="178"/>
      <c r="O882" s="176"/>
      <c r="P882" s="178"/>
      <c r="Q882" s="105"/>
      <c r="R882" s="219"/>
      <c r="S882" s="164"/>
      <c r="T882" s="164"/>
      <c r="U882" s="162"/>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row>
    <row r="883" spans="1:67" ht="29.25" hidden="1" customHeight="1">
      <c r="A883" s="216"/>
      <c r="B883" s="217"/>
      <c r="C883" s="174"/>
      <c r="D883" s="174"/>
      <c r="E883" s="175"/>
      <c r="F883" s="162"/>
      <c r="G883" s="218"/>
      <c r="H883" s="220"/>
      <c r="I883" s="176"/>
      <c r="J883" s="177"/>
      <c r="K883" s="177"/>
      <c r="L883" s="177"/>
      <c r="M883" s="220"/>
      <c r="N883" s="178"/>
      <c r="O883" s="176"/>
      <c r="P883" s="178"/>
      <c r="Q883" s="105"/>
      <c r="R883" s="219"/>
      <c r="S883" s="164"/>
      <c r="T883" s="164"/>
      <c r="U883" s="162"/>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row>
    <row r="884" spans="1:67" ht="29.25" hidden="1" customHeight="1">
      <c r="A884" s="216"/>
      <c r="B884" s="217"/>
      <c r="C884" s="174"/>
      <c r="D884" s="174"/>
      <c r="E884" s="175"/>
      <c r="F884" s="162"/>
      <c r="G884" s="218"/>
      <c r="H884" s="220"/>
      <c r="I884" s="176"/>
      <c r="J884" s="177"/>
      <c r="K884" s="177"/>
      <c r="L884" s="177"/>
      <c r="M884" s="220"/>
      <c r="N884" s="178"/>
      <c r="O884" s="176"/>
      <c r="P884" s="178"/>
      <c r="Q884" s="105"/>
      <c r="R884" s="219"/>
      <c r="S884" s="164"/>
      <c r="T884" s="164"/>
      <c r="U884" s="162"/>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row>
    <row r="885" spans="1:67" ht="29.25" hidden="1" customHeight="1">
      <c r="A885" s="216"/>
      <c r="B885" s="217"/>
      <c r="C885" s="174"/>
      <c r="D885" s="174"/>
      <c r="E885" s="175"/>
      <c r="F885" s="162"/>
      <c r="G885" s="218"/>
      <c r="H885" s="220"/>
      <c r="I885" s="176"/>
      <c r="J885" s="177"/>
      <c r="K885" s="177"/>
      <c r="L885" s="177"/>
      <c r="M885" s="220"/>
      <c r="N885" s="178"/>
      <c r="O885" s="176"/>
      <c r="P885" s="178"/>
      <c r="Q885" s="105"/>
      <c r="R885" s="219"/>
      <c r="S885" s="164"/>
      <c r="T885" s="164"/>
      <c r="U885" s="162"/>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row>
    <row r="886" spans="1:67" ht="29.25" hidden="1" customHeight="1">
      <c r="A886" s="216"/>
      <c r="B886" s="217"/>
      <c r="C886" s="174"/>
      <c r="D886" s="174"/>
      <c r="E886" s="175"/>
      <c r="F886" s="162"/>
      <c r="G886" s="218"/>
      <c r="H886" s="220"/>
      <c r="I886" s="176"/>
      <c r="J886" s="177"/>
      <c r="K886" s="177"/>
      <c r="L886" s="177"/>
      <c r="M886" s="220"/>
      <c r="N886" s="178"/>
      <c r="O886" s="176"/>
      <c r="P886" s="178"/>
      <c r="Q886" s="105"/>
      <c r="R886" s="219"/>
      <c r="S886" s="164"/>
      <c r="T886" s="164"/>
      <c r="U886" s="162"/>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row>
    <row r="887" spans="1:67" ht="29.25" hidden="1" customHeight="1">
      <c r="A887" s="216"/>
      <c r="B887" s="217"/>
      <c r="C887" s="174"/>
      <c r="D887" s="174"/>
      <c r="E887" s="175"/>
      <c r="F887" s="162"/>
      <c r="G887" s="218"/>
      <c r="H887" s="220"/>
      <c r="I887" s="176"/>
      <c r="J887" s="177"/>
      <c r="K887" s="177"/>
      <c r="L887" s="177"/>
      <c r="M887" s="220"/>
      <c r="N887" s="178"/>
      <c r="O887" s="176"/>
      <c r="P887" s="178"/>
      <c r="Q887" s="105"/>
      <c r="R887" s="219"/>
      <c r="S887" s="164"/>
      <c r="T887" s="164"/>
      <c r="U887" s="162"/>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row>
    <row r="888" spans="1:67" ht="29.25" hidden="1" customHeight="1">
      <c r="A888" s="216"/>
      <c r="B888" s="217"/>
      <c r="C888" s="174"/>
      <c r="D888" s="174"/>
      <c r="E888" s="175"/>
      <c r="F888" s="162"/>
      <c r="G888" s="218"/>
      <c r="H888" s="220"/>
      <c r="I888" s="176"/>
      <c r="J888" s="177"/>
      <c r="K888" s="177"/>
      <c r="L888" s="177"/>
      <c r="M888" s="220"/>
      <c r="N888" s="178"/>
      <c r="O888" s="176"/>
      <c r="P888" s="178"/>
      <c r="Q888" s="105"/>
      <c r="R888" s="219"/>
      <c r="S888" s="164"/>
      <c r="T888" s="164"/>
      <c r="U888" s="162"/>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row>
    <row r="889" spans="1:67" ht="29.25" hidden="1" customHeight="1">
      <c r="A889" s="216"/>
      <c r="B889" s="217"/>
      <c r="C889" s="174"/>
      <c r="D889" s="174"/>
      <c r="E889" s="175"/>
      <c r="F889" s="162"/>
      <c r="G889" s="218"/>
      <c r="H889" s="220"/>
      <c r="I889" s="176"/>
      <c r="J889" s="177"/>
      <c r="K889" s="177"/>
      <c r="L889" s="177"/>
      <c r="M889" s="220"/>
      <c r="N889" s="178"/>
      <c r="O889" s="176"/>
      <c r="P889" s="178"/>
      <c r="Q889" s="105"/>
      <c r="R889" s="219"/>
      <c r="S889" s="164"/>
      <c r="T889" s="164"/>
      <c r="U889" s="162"/>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row>
    <row r="890" spans="1:67" ht="29.25" hidden="1" customHeight="1">
      <c r="A890" s="216"/>
      <c r="B890" s="217"/>
      <c r="C890" s="174"/>
      <c r="D890" s="174"/>
      <c r="E890" s="175"/>
      <c r="F890" s="162"/>
      <c r="G890" s="218"/>
      <c r="H890" s="220"/>
      <c r="I890" s="176"/>
      <c r="J890" s="177"/>
      <c r="K890" s="177"/>
      <c r="L890" s="177"/>
      <c r="M890" s="220"/>
      <c r="N890" s="178"/>
      <c r="O890" s="176"/>
      <c r="P890" s="178"/>
      <c r="Q890" s="105"/>
      <c r="R890" s="219"/>
      <c r="S890" s="164"/>
      <c r="T890" s="164"/>
      <c r="U890" s="162"/>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row>
    <row r="891" spans="1:67" ht="29.25" hidden="1" customHeight="1">
      <c r="A891" s="216"/>
      <c r="B891" s="217"/>
      <c r="C891" s="174"/>
      <c r="D891" s="174"/>
      <c r="E891" s="175"/>
      <c r="F891" s="162"/>
      <c r="G891" s="218"/>
      <c r="H891" s="220"/>
      <c r="I891" s="176"/>
      <c r="J891" s="177"/>
      <c r="K891" s="177"/>
      <c r="L891" s="177"/>
      <c r="M891" s="220"/>
      <c r="N891" s="178"/>
      <c r="O891" s="176"/>
      <c r="P891" s="178"/>
      <c r="Q891" s="105"/>
      <c r="R891" s="219"/>
      <c r="S891" s="164"/>
      <c r="T891" s="164"/>
      <c r="U891" s="162"/>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row>
    <row r="892" spans="1:67" ht="29.25" hidden="1" customHeight="1">
      <c r="A892" s="216"/>
      <c r="B892" s="217"/>
      <c r="C892" s="174"/>
      <c r="D892" s="174"/>
      <c r="E892" s="175"/>
      <c r="F892" s="162"/>
      <c r="G892" s="218"/>
      <c r="H892" s="220"/>
      <c r="I892" s="176"/>
      <c r="J892" s="177"/>
      <c r="K892" s="177"/>
      <c r="L892" s="177"/>
      <c r="M892" s="220"/>
      <c r="N892" s="178"/>
      <c r="O892" s="176"/>
      <c r="P892" s="178"/>
      <c r="Q892" s="105"/>
      <c r="R892" s="219"/>
      <c r="S892" s="164"/>
      <c r="T892" s="164"/>
      <c r="U892" s="162"/>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row>
    <row r="893" spans="1:67" ht="29.25" hidden="1" customHeight="1">
      <c r="A893" s="216"/>
      <c r="B893" s="217"/>
      <c r="C893" s="174"/>
      <c r="D893" s="174"/>
      <c r="E893" s="175"/>
      <c r="F893" s="162"/>
      <c r="G893" s="218"/>
      <c r="H893" s="220"/>
      <c r="I893" s="176"/>
      <c r="J893" s="177"/>
      <c r="K893" s="177"/>
      <c r="L893" s="177"/>
      <c r="M893" s="220"/>
      <c r="N893" s="178"/>
      <c r="O893" s="176"/>
      <c r="P893" s="178"/>
      <c r="Q893" s="105"/>
      <c r="R893" s="219"/>
      <c r="S893" s="164"/>
      <c r="T893" s="164"/>
      <c r="U893" s="162"/>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row>
    <row r="894" spans="1:67" ht="29.25" hidden="1" customHeight="1">
      <c r="A894" s="216"/>
      <c r="B894" s="217"/>
      <c r="C894" s="174"/>
      <c r="D894" s="174"/>
      <c r="E894" s="175"/>
      <c r="F894" s="162"/>
      <c r="G894" s="218"/>
      <c r="H894" s="220"/>
      <c r="I894" s="176"/>
      <c r="J894" s="177"/>
      <c r="K894" s="177"/>
      <c r="L894" s="177"/>
      <c r="M894" s="220"/>
      <c r="N894" s="178"/>
      <c r="O894" s="176"/>
      <c r="P894" s="178"/>
      <c r="Q894" s="105"/>
      <c r="R894" s="219"/>
      <c r="S894" s="164"/>
      <c r="T894" s="164"/>
      <c r="U894" s="162"/>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row>
    <row r="895" spans="1:67" ht="29.25" hidden="1" customHeight="1">
      <c r="A895" s="216"/>
      <c r="B895" s="217"/>
      <c r="C895" s="174"/>
      <c r="D895" s="174"/>
      <c r="E895" s="175"/>
      <c r="F895" s="162"/>
      <c r="G895" s="218"/>
      <c r="H895" s="220"/>
      <c r="I895" s="176"/>
      <c r="J895" s="177"/>
      <c r="K895" s="177"/>
      <c r="L895" s="177"/>
      <c r="M895" s="220"/>
      <c r="N895" s="178"/>
      <c r="O895" s="176"/>
      <c r="P895" s="178"/>
      <c r="Q895" s="105"/>
      <c r="R895" s="219"/>
      <c r="S895" s="164"/>
      <c r="T895" s="164"/>
      <c r="U895" s="162"/>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row>
    <row r="896" spans="1:67" ht="29.25" hidden="1" customHeight="1">
      <c r="A896" s="216"/>
      <c r="B896" s="217"/>
      <c r="C896" s="174"/>
      <c r="D896" s="174"/>
      <c r="E896" s="175"/>
      <c r="F896" s="162"/>
      <c r="G896" s="218"/>
      <c r="H896" s="220"/>
      <c r="I896" s="176"/>
      <c r="J896" s="177"/>
      <c r="K896" s="177"/>
      <c r="L896" s="177"/>
      <c r="M896" s="220"/>
      <c r="N896" s="178"/>
      <c r="O896" s="176"/>
      <c r="P896" s="178"/>
      <c r="Q896" s="105"/>
      <c r="R896" s="219"/>
      <c r="S896" s="164"/>
      <c r="T896" s="164"/>
      <c r="U896" s="162"/>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row>
    <row r="897" spans="1:67" ht="29.25" hidden="1" customHeight="1">
      <c r="A897" s="216"/>
      <c r="B897" s="217"/>
      <c r="C897" s="174"/>
      <c r="D897" s="174"/>
      <c r="E897" s="175"/>
      <c r="F897" s="162"/>
      <c r="G897" s="218"/>
      <c r="H897" s="220"/>
      <c r="I897" s="176"/>
      <c r="J897" s="177"/>
      <c r="K897" s="177"/>
      <c r="L897" s="177"/>
      <c r="M897" s="220"/>
      <c r="N897" s="178"/>
      <c r="O897" s="176"/>
      <c r="P897" s="178"/>
      <c r="Q897" s="105"/>
      <c r="R897" s="219"/>
      <c r="S897" s="164"/>
      <c r="T897" s="164"/>
      <c r="U897" s="162"/>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row>
    <row r="898" spans="1:67" ht="29.25" hidden="1" customHeight="1">
      <c r="A898" s="216"/>
      <c r="B898" s="217"/>
      <c r="C898" s="174"/>
      <c r="D898" s="174"/>
      <c r="E898" s="175"/>
      <c r="F898" s="162"/>
      <c r="G898" s="218"/>
      <c r="H898" s="220"/>
      <c r="I898" s="176"/>
      <c r="J898" s="177"/>
      <c r="K898" s="177"/>
      <c r="L898" s="177"/>
      <c r="M898" s="220"/>
      <c r="N898" s="178"/>
      <c r="O898" s="176"/>
      <c r="P898" s="178"/>
      <c r="Q898" s="105"/>
      <c r="R898" s="219"/>
      <c r="S898" s="164"/>
      <c r="T898" s="164"/>
      <c r="U898" s="162"/>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row>
    <row r="899" spans="1:67" ht="29.25" hidden="1" customHeight="1">
      <c r="A899" s="216"/>
      <c r="B899" s="217"/>
      <c r="C899" s="174"/>
      <c r="D899" s="174"/>
      <c r="E899" s="175"/>
      <c r="F899" s="162"/>
      <c r="G899" s="218"/>
      <c r="H899" s="220"/>
      <c r="I899" s="176"/>
      <c r="J899" s="177"/>
      <c r="K899" s="177"/>
      <c r="L899" s="177"/>
      <c r="M899" s="220"/>
      <c r="N899" s="178"/>
      <c r="O899" s="176"/>
      <c r="P899" s="178"/>
      <c r="Q899" s="105"/>
      <c r="R899" s="219"/>
      <c r="S899" s="164"/>
      <c r="T899" s="164"/>
      <c r="U899" s="162"/>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row>
    <row r="900" spans="1:67" ht="29.25" hidden="1" customHeight="1">
      <c r="A900" s="216"/>
      <c r="B900" s="217"/>
      <c r="C900" s="174"/>
      <c r="D900" s="174"/>
      <c r="E900" s="175"/>
      <c r="F900" s="162"/>
      <c r="G900" s="218"/>
      <c r="H900" s="220"/>
      <c r="I900" s="176"/>
      <c r="J900" s="177"/>
      <c r="K900" s="177"/>
      <c r="L900" s="177"/>
      <c r="M900" s="220"/>
      <c r="N900" s="178"/>
      <c r="O900" s="176"/>
      <c r="P900" s="178"/>
      <c r="Q900" s="105"/>
      <c r="R900" s="219"/>
      <c r="S900" s="164"/>
      <c r="T900" s="164"/>
      <c r="U900" s="162"/>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row>
    <row r="901" spans="1:67" ht="29.25" hidden="1" customHeight="1">
      <c r="A901" s="216"/>
      <c r="B901" s="217"/>
      <c r="C901" s="174"/>
      <c r="D901" s="174"/>
      <c r="E901" s="175"/>
      <c r="F901" s="162"/>
      <c r="G901" s="218"/>
      <c r="H901" s="220"/>
      <c r="I901" s="176"/>
      <c r="J901" s="177"/>
      <c r="K901" s="177"/>
      <c r="L901" s="177"/>
      <c r="M901" s="220"/>
      <c r="N901" s="178"/>
      <c r="O901" s="176"/>
      <c r="P901" s="178"/>
      <c r="Q901" s="105"/>
      <c r="R901" s="219"/>
      <c r="S901" s="164"/>
      <c r="T901" s="164"/>
      <c r="U901" s="162"/>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row>
    <row r="902" spans="1:67" ht="29.25" hidden="1" customHeight="1">
      <c r="A902" s="216"/>
      <c r="B902" s="217"/>
      <c r="C902" s="174"/>
      <c r="D902" s="174"/>
      <c r="E902" s="175"/>
      <c r="F902" s="162"/>
      <c r="G902" s="218"/>
      <c r="H902" s="220"/>
      <c r="I902" s="176"/>
      <c r="J902" s="177"/>
      <c r="K902" s="177"/>
      <c r="L902" s="177"/>
      <c r="M902" s="220"/>
      <c r="N902" s="178"/>
      <c r="O902" s="176"/>
      <c r="P902" s="178"/>
      <c r="Q902" s="105"/>
      <c r="R902" s="219"/>
      <c r="S902" s="164"/>
      <c r="T902" s="164"/>
      <c r="U902" s="162"/>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row>
    <row r="903" spans="1:67" ht="29.25" hidden="1" customHeight="1">
      <c r="A903" s="216"/>
      <c r="B903" s="217"/>
      <c r="C903" s="174"/>
      <c r="D903" s="174"/>
      <c r="E903" s="175"/>
      <c r="F903" s="162"/>
      <c r="G903" s="218"/>
      <c r="H903" s="220"/>
      <c r="I903" s="176"/>
      <c r="J903" s="177"/>
      <c r="K903" s="177"/>
      <c r="L903" s="177"/>
      <c r="M903" s="220"/>
      <c r="N903" s="178"/>
      <c r="O903" s="176"/>
      <c r="P903" s="178"/>
      <c r="Q903" s="105"/>
      <c r="R903" s="219"/>
      <c r="S903" s="164"/>
      <c r="T903" s="164"/>
      <c r="U903" s="162"/>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row>
    <row r="904" spans="1:67" ht="29.25" hidden="1" customHeight="1">
      <c r="A904" s="216"/>
      <c r="B904" s="217"/>
      <c r="C904" s="174"/>
      <c r="D904" s="174"/>
      <c r="E904" s="175"/>
      <c r="F904" s="162"/>
      <c r="G904" s="218"/>
      <c r="H904" s="220"/>
      <c r="I904" s="176"/>
      <c r="J904" s="177"/>
      <c r="K904" s="177"/>
      <c r="L904" s="177"/>
      <c r="M904" s="220"/>
      <c r="N904" s="178"/>
      <c r="O904" s="176"/>
      <c r="P904" s="178"/>
      <c r="Q904" s="105"/>
      <c r="R904" s="219"/>
      <c r="S904" s="164"/>
      <c r="T904" s="164"/>
      <c r="U904" s="162"/>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row>
    <row r="905" spans="1:67" ht="29.25" hidden="1" customHeight="1">
      <c r="A905" s="216"/>
      <c r="B905" s="217"/>
      <c r="C905" s="174"/>
      <c r="D905" s="174"/>
      <c r="E905" s="175"/>
      <c r="F905" s="162"/>
      <c r="G905" s="218"/>
      <c r="H905" s="220"/>
      <c r="I905" s="176"/>
      <c r="J905" s="177"/>
      <c r="K905" s="177"/>
      <c r="L905" s="177"/>
      <c r="M905" s="220"/>
      <c r="N905" s="178"/>
      <c r="O905" s="176"/>
      <c r="P905" s="178"/>
      <c r="Q905" s="105"/>
      <c r="R905" s="219"/>
      <c r="S905" s="164"/>
      <c r="T905" s="164"/>
      <c r="U905" s="162"/>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row>
    <row r="906" spans="1:67" ht="29.25" hidden="1" customHeight="1">
      <c r="A906" s="216"/>
      <c r="B906" s="217"/>
      <c r="C906" s="174"/>
      <c r="D906" s="174"/>
      <c r="E906" s="175"/>
      <c r="F906" s="162"/>
      <c r="G906" s="218"/>
      <c r="H906" s="220"/>
      <c r="I906" s="176"/>
      <c r="J906" s="177"/>
      <c r="K906" s="177"/>
      <c r="L906" s="177"/>
      <c r="M906" s="220"/>
      <c r="N906" s="178"/>
      <c r="O906" s="176"/>
      <c r="P906" s="178"/>
      <c r="Q906" s="105"/>
      <c r="R906" s="219"/>
      <c r="S906" s="164"/>
      <c r="T906" s="164"/>
      <c r="U906" s="162"/>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row>
    <row r="907" spans="1:67" ht="29.25" hidden="1" customHeight="1">
      <c r="A907" s="216"/>
      <c r="B907" s="217"/>
      <c r="C907" s="174"/>
      <c r="D907" s="174"/>
      <c r="E907" s="175"/>
      <c r="F907" s="162"/>
      <c r="G907" s="218"/>
      <c r="H907" s="220"/>
      <c r="I907" s="176"/>
      <c r="J907" s="177"/>
      <c r="K907" s="177"/>
      <c r="L907" s="177"/>
      <c r="M907" s="220"/>
      <c r="N907" s="178"/>
      <c r="O907" s="176"/>
      <c r="P907" s="178"/>
      <c r="Q907" s="105"/>
      <c r="R907" s="219"/>
      <c r="S907" s="164"/>
      <c r="T907" s="164"/>
      <c r="U907" s="162"/>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row>
    <row r="908" spans="1:67" ht="29.25" hidden="1" customHeight="1">
      <c r="A908" s="216"/>
      <c r="B908" s="217"/>
      <c r="C908" s="174"/>
      <c r="D908" s="174"/>
      <c r="E908" s="175"/>
      <c r="F908" s="162"/>
      <c r="G908" s="218"/>
      <c r="H908" s="220"/>
      <c r="I908" s="176"/>
      <c r="J908" s="177"/>
      <c r="K908" s="177"/>
      <c r="L908" s="177"/>
      <c r="M908" s="220"/>
      <c r="N908" s="178"/>
      <c r="O908" s="176"/>
      <c r="P908" s="178"/>
      <c r="Q908" s="105"/>
      <c r="R908" s="219"/>
      <c r="S908" s="164"/>
      <c r="T908" s="164"/>
      <c r="U908" s="162"/>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row>
    <row r="909" spans="1:67" ht="29.25" hidden="1" customHeight="1">
      <c r="A909" s="216"/>
      <c r="B909" s="217"/>
      <c r="C909" s="174"/>
      <c r="D909" s="174"/>
      <c r="E909" s="175"/>
      <c r="F909" s="162"/>
      <c r="G909" s="218"/>
      <c r="H909" s="220"/>
      <c r="I909" s="176"/>
      <c r="J909" s="177"/>
      <c r="K909" s="177"/>
      <c r="L909" s="177"/>
      <c r="M909" s="220"/>
      <c r="N909" s="178"/>
      <c r="O909" s="176"/>
      <c r="P909" s="178"/>
      <c r="Q909" s="105"/>
      <c r="R909" s="219"/>
      <c r="S909" s="164"/>
      <c r="T909" s="164"/>
      <c r="U909" s="162"/>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row>
    <row r="910" spans="1:67" ht="29.25" hidden="1" customHeight="1">
      <c r="A910" s="216"/>
      <c r="B910" s="217"/>
      <c r="C910" s="174"/>
      <c r="D910" s="174"/>
      <c r="E910" s="175"/>
      <c r="F910" s="162"/>
      <c r="G910" s="218"/>
      <c r="H910" s="220"/>
      <c r="I910" s="176"/>
      <c r="J910" s="177"/>
      <c r="K910" s="177"/>
      <c r="L910" s="177"/>
      <c r="M910" s="220"/>
      <c r="N910" s="178"/>
      <c r="O910" s="176"/>
      <c r="P910" s="178"/>
      <c r="Q910" s="105"/>
      <c r="R910" s="219"/>
      <c r="S910" s="164"/>
      <c r="T910" s="164"/>
      <c r="U910" s="162"/>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row>
    <row r="911" spans="1:67" ht="29.25" hidden="1" customHeight="1">
      <c r="A911" s="216"/>
      <c r="B911" s="217"/>
      <c r="C911" s="174"/>
      <c r="D911" s="174"/>
      <c r="E911" s="175"/>
      <c r="F911" s="162"/>
      <c r="G911" s="218"/>
      <c r="H911" s="220"/>
      <c r="I911" s="176"/>
      <c r="J911" s="177"/>
      <c r="K911" s="177"/>
      <c r="L911" s="177"/>
      <c r="M911" s="220"/>
      <c r="N911" s="178"/>
      <c r="O911" s="176"/>
      <c r="P911" s="178"/>
      <c r="Q911" s="105"/>
      <c r="R911" s="219"/>
      <c r="S911" s="164"/>
      <c r="T911" s="164"/>
      <c r="U911" s="162"/>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row>
    <row r="912" spans="1:67" ht="29.25" hidden="1" customHeight="1">
      <c r="A912" s="216"/>
      <c r="B912" s="217"/>
      <c r="C912" s="174"/>
      <c r="D912" s="174"/>
      <c r="E912" s="175"/>
      <c r="F912" s="162"/>
      <c r="G912" s="218"/>
      <c r="H912" s="220"/>
      <c r="I912" s="176"/>
      <c r="J912" s="177"/>
      <c r="K912" s="177"/>
      <c r="L912" s="177"/>
      <c r="M912" s="220"/>
      <c r="N912" s="178"/>
      <c r="O912" s="176"/>
      <c r="P912" s="178"/>
      <c r="Q912" s="105"/>
      <c r="R912" s="219"/>
      <c r="S912" s="164"/>
      <c r="T912" s="164"/>
      <c r="U912" s="162"/>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row>
    <row r="913" spans="1:67" ht="29.25" hidden="1" customHeight="1">
      <c r="A913" s="216"/>
      <c r="B913" s="217"/>
      <c r="C913" s="174"/>
      <c r="D913" s="174"/>
      <c r="E913" s="175"/>
      <c r="F913" s="162"/>
      <c r="G913" s="218"/>
      <c r="H913" s="220"/>
      <c r="I913" s="176"/>
      <c r="J913" s="177"/>
      <c r="K913" s="177"/>
      <c r="L913" s="177"/>
      <c r="M913" s="220"/>
      <c r="N913" s="178"/>
      <c r="O913" s="176"/>
      <c r="P913" s="178"/>
      <c r="Q913" s="105"/>
      <c r="R913" s="219"/>
      <c r="S913" s="164"/>
      <c r="T913" s="164"/>
      <c r="U913" s="162"/>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row>
    <row r="914" spans="1:67" ht="29.25" hidden="1" customHeight="1">
      <c r="A914" s="216"/>
      <c r="B914" s="217"/>
      <c r="C914" s="174"/>
      <c r="D914" s="174"/>
      <c r="E914" s="175"/>
      <c r="F914" s="162"/>
      <c r="G914" s="218"/>
      <c r="H914" s="220"/>
      <c r="I914" s="176"/>
      <c r="J914" s="177"/>
      <c r="K914" s="177"/>
      <c r="L914" s="177"/>
      <c r="M914" s="220"/>
      <c r="N914" s="178"/>
      <c r="O914" s="176"/>
      <c r="P914" s="178"/>
      <c r="Q914" s="105"/>
      <c r="R914" s="219"/>
      <c r="S914" s="164"/>
      <c r="T914" s="164"/>
      <c r="U914" s="162"/>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row>
    <row r="915" spans="1:67" ht="29.25" hidden="1" customHeight="1">
      <c r="A915" s="216"/>
      <c r="B915" s="217"/>
      <c r="C915" s="174"/>
      <c r="D915" s="174"/>
      <c r="E915" s="175"/>
      <c r="F915" s="162"/>
      <c r="G915" s="218"/>
      <c r="H915" s="220"/>
      <c r="I915" s="176"/>
      <c r="J915" s="177"/>
      <c r="K915" s="177"/>
      <c r="L915" s="177"/>
      <c r="M915" s="220"/>
      <c r="N915" s="178"/>
      <c r="O915" s="176"/>
      <c r="P915" s="178"/>
      <c r="Q915" s="105"/>
      <c r="R915" s="219"/>
      <c r="S915" s="164"/>
      <c r="T915" s="164"/>
      <c r="U915" s="162"/>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row>
    <row r="916" spans="1:67" ht="29.25" hidden="1" customHeight="1">
      <c r="A916" s="216"/>
      <c r="B916" s="217"/>
      <c r="C916" s="174"/>
      <c r="D916" s="174"/>
      <c r="E916" s="175"/>
      <c r="F916" s="162"/>
      <c r="G916" s="218"/>
      <c r="H916" s="220"/>
      <c r="I916" s="176"/>
      <c r="J916" s="177"/>
      <c r="K916" s="177"/>
      <c r="L916" s="177"/>
      <c r="M916" s="220"/>
      <c r="N916" s="178"/>
      <c r="O916" s="176"/>
      <c r="P916" s="178"/>
      <c r="Q916" s="105"/>
      <c r="R916" s="219"/>
      <c r="S916" s="164"/>
      <c r="T916" s="164"/>
      <c r="U916" s="162"/>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row>
    <row r="917" spans="1:67" ht="29.25" hidden="1" customHeight="1">
      <c r="A917" s="216"/>
      <c r="B917" s="217"/>
      <c r="C917" s="174"/>
      <c r="D917" s="174"/>
      <c r="E917" s="175"/>
      <c r="F917" s="162"/>
      <c r="G917" s="218"/>
      <c r="H917" s="220"/>
      <c r="I917" s="176"/>
      <c r="J917" s="177"/>
      <c r="K917" s="177"/>
      <c r="L917" s="177"/>
      <c r="M917" s="220"/>
      <c r="N917" s="178"/>
      <c r="O917" s="176"/>
      <c r="P917" s="178"/>
      <c r="Q917" s="105"/>
      <c r="R917" s="219"/>
      <c r="S917" s="164"/>
      <c r="T917" s="164"/>
      <c r="U917" s="162"/>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row>
    <row r="918" spans="1:67" ht="29.25" hidden="1" customHeight="1">
      <c r="A918" s="216"/>
      <c r="B918" s="217"/>
      <c r="C918" s="174"/>
      <c r="D918" s="174"/>
      <c r="E918" s="175"/>
      <c r="F918" s="162"/>
      <c r="G918" s="218"/>
      <c r="H918" s="220"/>
      <c r="I918" s="176"/>
      <c r="J918" s="177"/>
      <c r="K918" s="177"/>
      <c r="L918" s="177"/>
      <c r="M918" s="220"/>
      <c r="N918" s="178"/>
      <c r="O918" s="176"/>
      <c r="P918" s="178"/>
      <c r="Q918" s="105"/>
      <c r="R918" s="219"/>
      <c r="S918" s="164"/>
      <c r="T918" s="164"/>
      <c r="U918" s="162"/>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row>
    <row r="919" spans="1:67" ht="29.25" hidden="1" customHeight="1">
      <c r="A919" s="216"/>
      <c r="B919" s="217"/>
      <c r="C919" s="174"/>
      <c r="D919" s="174"/>
      <c r="E919" s="175"/>
      <c r="F919" s="162"/>
      <c r="G919" s="218"/>
      <c r="H919" s="220"/>
      <c r="I919" s="176"/>
      <c r="J919" s="177"/>
      <c r="K919" s="177"/>
      <c r="L919" s="177"/>
      <c r="M919" s="220"/>
      <c r="N919" s="178"/>
      <c r="O919" s="176"/>
      <c r="P919" s="178"/>
      <c r="Q919" s="105"/>
      <c r="R919" s="219"/>
      <c r="S919" s="164"/>
      <c r="T919" s="164"/>
      <c r="U919" s="162"/>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row>
    <row r="920" spans="1:67" ht="29.25" hidden="1" customHeight="1">
      <c r="A920" s="216"/>
      <c r="B920" s="217"/>
      <c r="C920" s="174"/>
      <c r="D920" s="174"/>
      <c r="E920" s="175"/>
      <c r="F920" s="162"/>
      <c r="G920" s="218"/>
      <c r="H920" s="220"/>
      <c r="I920" s="176"/>
      <c r="J920" s="177"/>
      <c r="K920" s="177"/>
      <c r="L920" s="177"/>
      <c r="M920" s="220"/>
      <c r="N920" s="178"/>
      <c r="O920" s="176"/>
      <c r="P920" s="178"/>
      <c r="Q920" s="105"/>
      <c r="R920" s="219"/>
      <c r="S920" s="164"/>
      <c r="T920" s="164"/>
      <c r="U920" s="162"/>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row>
    <row r="921" spans="1:67" ht="29.25" hidden="1" customHeight="1">
      <c r="A921" s="216"/>
      <c r="B921" s="217"/>
      <c r="C921" s="174"/>
      <c r="D921" s="174"/>
      <c r="E921" s="175"/>
      <c r="F921" s="162"/>
      <c r="G921" s="218"/>
      <c r="H921" s="220"/>
      <c r="I921" s="176"/>
      <c r="J921" s="177"/>
      <c r="K921" s="177"/>
      <c r="L921" s="177"/>
      <c r="M921" s="220"/>
      <c r="N921" s="178"/>
      <c r="O921" s="176"/>
      <c r="P921" s="178"/>
      <c r="Q921" s="105"/>
      <c r="R921" s="219"/>
      <c r="S921" s="164"/>
      <c r="T921" s="164"/>
      <c r="U921" s="162"/>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row>
    <row r="922" spans="1:67" ht="29.25" hidden="1" customHeight="1">
      <c r="A922" s="216"/>
      <c r="B922" s="217"/>
      <c r="C922" s="174"/>
      <c r="D922" s="174"/>
      <c r="E922" s="175"/>
      <c r="F922" s="162"/>
      <c r="G922" s="218"/>
      <c r="H922" s="220"/>
      <c r="I922" s="176"/>
      <c r="J922" s="177"/>
      <c r="K922" s="177"/>
      <c r="L922" s="177"/>
      <c r="M922" s="220"/>
      <c r="N922" s="178"/>
      <c r="O922" s="176"/>
      <c r="P922" s="178"/>
      <c r="Q922" s="105"/>
      <c r="R922" s="219"/>
      <c r="S922" s="164"/>
      <c r="T922" s="164"/>
      <c r="U922" s="162"/>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row>
    <row r="923" spans="1:67" ht="29.25" hidden="1" customHeight="1">
      <c r="A923" s="216"/>
      <c r="B923" s="217"/>
      <c r="C923" s="174"/>
      <c r="D923" s="174"/>
      <c r="E923" s="175"/>
      <c r="F923" s="162"/>
      <c r="G923" s="218"/>
      <c r="H923" s="220"/>
      <c r="I923" s="176"/>
      <c r="J923" s="177"/>
      <c r="K923" s="177"/>
      <c r="L923" s="177"/>
      <c r="M923" s="220"/>
      <c r="N923" s="178"/>
      <c r="O923" s="176"/>
      <c r="P923" s="178"/>
      <c r="Q923" s="105"/>
      <c r="R923" s="219"/>
      <c r="S923" s="164"/>
      <c r="T923" s="164"/>
      <c r="U923" s="162"/>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row>
    <row r="924" spans="1:67" ht="29.25" hidden="1" customHeight="1">
      <c r="A924" s="216"/>
      <c r="B924" s="217"/>
      <c r="C924" s="174"/>
      <c r="D924" s="174"/>
      <c r="E924" s="175"/>
      <c r="F924" s="162"/>
      <c r="G924" s="218"/>
      <c r="H924" s="220"/>
      <c r="I924" s="176"/>
      <c r="J924" s="177"/>
      <c r="K924" s="177"/>
      <c r="L924" s="177"/>
      <c r="M924" s="220"/>
      <c r="N924" s="178"/>
      <c r="O924" s="176"/>
      <c r="P924" s="178"/>
      <c r="Q924" s="105"/>
      <c r="R924" s="219"/>
      <c r="S924" s="164"/>
      <c r="T924" s="164"/>
      <c r="U924" s="162"/>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row>
    <row r="925" spans="1:67" ht="29.25" hidden="1" customHeight="1">
      <c r="A925" s="216"/>
      <c r="B925" s="217"/>
      <c r="C925" s="174"/>
      <c r="D925" s="174"/>
      <c r="E925" s="175"/>
      <c r="F925" s="162"/>
      <c r="G925" s="218"/>
      <c r="H925" s="220"/>
      <c r="I925" s="176"/>
      <c r="J925" s="177"/>
      <c r="K925" s="177"/>
      <c r="L925" s="177"/>
      <c r="M925" s="220"/>
      <c r="N925" s="178"/>
      <c r="O925" s="176"/>
      <c r="P925" s="178"/>
      <c r="Q925" s="105"/>
      <c r="R925" s="219"/>
      <c r="S925" s="164"/>
      <c r="T925" s="164"/>
      <c r="U925" s="162"/>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row>
    <row r="926" spans="1:67" ht="29.25" hidden="1" customHeight="1">
      <c r="A926" s="216"/>
      <c r="B926" s="217"/>
      <c r="C926" s="174"/>
      <c r="D926" s="174"/>
      <c r="E926" s="175"/>
      <c r="F926" s="162"/>
      <c r="G926" s="218"/>
      <c r="H926" s="220"/>
      <c r="I926" s="176"/>
      <c r="J926" s="177"/>
      <c r="K926" s="177"/>
      <c r="L926" s="177"/>
      <c r="M926" s="220"/>
      <c r="N926" s="178"/>
      <c r="O926" s="176"/>
      <c r="P926" s="178"/>
      <c r="Q926" s="105"/>
      <c r="R926" s="219"/>
      <c r="S926" s="164"/>
      <c r="T926" s="164"/>
      <c r="U926" s="162"/>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row>
    <row r="927" spans="1:67" ht="29.25" hidden="1" customHeight="1">
      <c r="A927" s="216"/>
      <c r="B927" s="217"/>
      <c r="C927" s="174"/>
      <c r="D927" s="174"/>
      <c r="E927" s="175"/>
      <c r="F927" s="162"/>
      <c r="G927" s="218"/>
      <c r="H927" s="220"/>
      <c r="I927" s="176"/>
      <c r="J927" s="177"/>
      <c r="K927" s="177"/>
      <c r="L927" s="177"/>
      <c r="M927" s="220"/>
      <c r="N927" s="178"/>
      <c r="O927" s="176"/>
      <c r="P927" s="178"/>
      <c r="Q927" s="105"/>
      <c r="R927" s="219"/>
      <c r="S927" s="164"/>
      <c r="T927" s="164"/>
      <c r="U927" s="162"/>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row>
    <row r="928" spans="1:67" ht="29.25" hidden="1" customHeight="1">
      <c r="A928" s="216"/>
      <c r="B928" s="217"/>
      <c r="C928" s="174"/>
      <c r="D928" s="174"/>
      <c r="E928" s="175"/>
      <c r="F928" s="162"/>
      <c r="G928" s="218"/>
      <c r="H928" s="220"/>
      <c r="I928" s="176"/>
      <c r="J928" s="177"/>
      <c r="K928" s="177"/>
      <c r="L928" s="177"/>
      <c r="M928" s="220"/>
      <c r="N928" s="178"/>
      <c r="O928" s="176"/>
      <c r="P928" s="178"/>
      <c r="Q928" s="105"/>
      <c r="R928" s="219"/>
      <c r="S928" s="164"/>
      <c r="T928" s="164"/>
      <c r="U928" s="162"/>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row>
    <row r="929" spans="1:67" ht="29.25" hidden="1" customHeight="1">
      <c r="A929" s="216"/>
      <c r="B929" s="217"/>
      <c r="C929" s="174"/>
      <c r="D929" s="174"/>
      <c r="E929" s="175"/>
      <c r="F929" s="162"/>
      <c r="G929" s="218"/>
      <c r="H929" s="220"/>
      <c r="I929" s="176"/>
      <c r="J929" s="177"/>
      <c r="K929" s="177"/>
      <c r="L929" s="177"/>
      <c r="M929" s="220"/>
      <c r="N929" s="178"/>
      <c r="O929" s="176"/>
      <c r="P929" s="178"/>
      <c r="Q929" s="105"/>
      <c r="R929" s="219"/>
      <c r="S929" s="164"/>
      <c r="T929" s="164"/>
      <c r="U929" s="162"/>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row>
    <row r="930" spans="1:67" ht="29.25" hidden="1" customHeight="1">
      <c r="A930" s="216"/>
      <c r="B930" s="217"/>
      <c r="C930" s="174"/>
      <c r="D930" s="174"/>
      <c r="E930" s="175"/>
      <c r="F930" s="162"/>
      <c r="G930" s="218"/>
      <c r="H930" s="220"/>
      <c r="I930" s="176"/>
      <c r="J930" s="177"/>
      <c r="K930" s="177"/>
      <c r="L930" s="177"/>
      <c r="M930" s="220"/>
      <c r="N930" s="178"/>
      <c r="O930" s="176"/>
      <c r="P930" s="178"/>
      <c r="Q930" s="105"/>
      <c r="R930" s="219"/>
      <c r="S930" s="164"/>
      <c r="T930" s="164"/>
      <c r="U930" s="162"/>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row>
    <row r="931" spans="1:67" ht="29.25" hidden="1" customHeight="1">
      <c r="A931" s="216"/>
      <c r="B931" s="217"/>
      <c r="C931" s="174"/>
      <c r="D931" s="174"/>
      <c r="E931" s="175"/>
      <c r="F931" s="162"/>
      <c r="G931" s="218"/>
      <c r="H931" s="220"/>
      <c r="I931" s="176"/>
      <c r="J931" s="177"/>
      <c r="K931" s="177"/>
      <c r="L931" s="177"/>
      <c r="M931" s="220"/>
      <c r="N931" s="178"/>
      <c r="O931" s="176"/>
      <c r="P931" s="178"/>
      <c r="Q931" s="105"/>
      <c r="R931" s="219"/>
      <c r="S931" s="164"/>
      <c r="T931" s="164"/>
      <c r="U931" s="162"/>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row>
    <row r="932" spans="1:67" ht="29.25" hidden="1" customHeight="1">
      <c r="A932" s="216"/>
      <c r="B932" s="217"/>
      <c r="C932" s="174"/>
      <c r="D932" s="174"/>
      <c r="E932" s="175"/>
      <c r="F932" s="162"/>
      <c r="G932" s="218"/>
      <c r="H932" s="220"/>
      <c r="I932" s="176"/>
      <c r="J932" s="177"/>
      <c r="K932" s="177"/>
      <c r="L932" s="177"/>
      <c r="M932" s="220"/>
      <c r="N932" s="178"/>
      <c r="O932" s="176"/>
      <c r="P932" s="178"/>
      <c r="Q932" s="105"/>
      <c r="R932" s="219"/>
      <c r="S932" s="164"/>
      <c r="T932" s="164"/>
      <c r="U932" s="162"/>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row>
    <row r="933" spans="1:67" ht="29.25" hidden="1" customHeight="1">
      <c r="A933" s="216"/>
      <c r="B933" s="217"/>
      <c r="C933" s="174"/>
      <c r="D933" s="174"/>
      <c r="E933" s="175"/>
      <c r="F933" s="162"/>
      <c r="G933" s="218"/>
      <c r="H933" s="220"/>
      <c r="I933" s="176"/>
      <c r="J933" s="177"/>
      <c r="K933" s="177"/>
      <c r="L933" s="177"/>
      <c r="M933" s="220"/>
      <c r="N933" s="178"/>
      <c r="O933" s="176"/>
      <c r="P933" s="178"/>
      <c r="Q933" s="105"/>
      <c r="R933" s="219"/>
      <c r="S933" s="164"/>
      <c r="T933" s="164"/>
      <c r="U933" s="162"/>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row>
    <row r="934" spans="1:67" ht="29.25" hidden="1" customHeight="1">
      <c r="A934" s="216"/>
      <c r="B934" s="217"/>
      <c r="C934" s="174"/>
      <c r="D934" s="174"/>
      <c r="E934" s="175"/>
      <c r="F934" s="162"/>
      <c r="G934" s="218"/>
      <c r="H934" s="220"/>
      <c r="I934" s="176"/>
      <c r="J934" s="177"/>
      <c r="K934" s="177"/>
      <c r="L934" s="177"/>
      <c r="M934" s="220"/>
      <c r="N934" s="178"/>
      <c r="O934" s="176"/>
      <c r="P934" s="178"/>
      <c r="Q934" s="105"/>
      <c r="R934" s="219"/>
      <c r="S934" s="164"/>
      <c r="T934" s="164"/>
      <c r="U934" s="162"/>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row>
    <row r="935" spans="1:67" ht="29.25" hidden="1" customHeight="1">
      <c r="A935" s="216"/>
      <c r="B935" s="217"/>
      <c r="C935" s="174"/>
      <c r="D935" s="174"/>
      <c r="E935" s="175"/>
      <c r="F935" s="162"/>
      <c r="G935" s="218"/>
      <c r="H935" s="220"/>
      <c r="I935" s="176"/>
      <c r="J935" s="177"/>
      <c r="K935" s="177"/>
      <c r="L935" s="177"/>
      <c r="M935" s="220"/>
      <c r="N935" s="178"/>
      <c r="O935" s="176"/>
      <c r="P935" s="178"/>
      <c r="Q935" s="105"/>
      <c r="R935" s="219"/>
      <c r="S935" s="164"/>
      <c r="T935" s="164"/>
      <c r="U935" s="162"/>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row>
    <row r="936" spans="1:67" ht="29.25" hidden="1" customHeight="1">
      <c r="A936" s="216"/>
      <c r="B936" s="217"/>
      <c r="C936" s="174"/>
      <c r="D936" s="174"/>
      <c r="E936" s="175"/>
      <c r="F936" s="162"/>
      <c r="G936" s="218"/>
      <c r="H936" s="220"/>
      <c r="I936" s="176"/>
      <c r="J936" s="177"/>
      <c r="K936" s="177"/>
      <c r="L936" s="177"/>
      <c r="M936" s="220"/>
      <c r="N936" s="178"/>
      <c r="O936" s="176"/>
      <c r="P936" s="178"/>
      <c r="Q936" s="105"/>
      <c r="R936" s="219"/>
      <c r="S936" s="164"/>
      <c r="T936" s="164"/>
      <c r="U936" s="162"/>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row>
    <row r="937" spans="1:67" ht="29.25" hidden="1" customHeight="1">
      <c r="A937" s="216"/>
      <c r="B937" s="217"/>
      <c r="C937" s="174"/>
      <c r="D937" s="174"/>
      <c r="E937" s="175"/>
      <c r="F937" s="162"/>
      <c r="G937" s="218"/>
      <c r="H937" s="220"/>
      <c r="I937" s="176"/>
      <c r="J937" s="177"/>
      <c r="K937" s="177"/>
      <c r="L937" s="177"/>
      <c r="M937" s="220"/>
      <c r="N937" s="178"/>
      <c r="O937" s="176"/>
      <c r="P937" s="178"/>
      <c r="Q937" s="105"/>
      <c r="R937" s="219"/>
      <c r="S937" s="164"/>
      <c r="T937" s="164"/>
      <c r="U937" s="162"/>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row>
    <row r="938" spans="1:67" ht="29.25" hidden="1" customHeight="1">
      <c r="A938" s="216"/>
      <c r="B938" s="217"/>
      <c r="C938" s="174"/>
      <c r="D938" s="174"/>
      <c r="E938" s="175"/>
      <c r="F938" s="162"/>
      <c r="G938" s="218"/>
      <c r="H938" s="220"/>
      <c r="I938" s="176"/>
      <c r="J938" s="177"/>
      <c r="K938" s="177"/>
      <c r="L938" s="177"/>
      <c r="M938" s="220"/>
      <c r="N938" s="178"/>
      <c r="O938" s="176"/>
      <c r="P938" s="178"/>
      <c r="Q938" s="105"/>
      <c r="R938" s="219"/>
      <c r="S938" s="164"/>
      <c r="T938" s="164"/>
      <c r="U938" s="162"/>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row>
    <row r="939" spans="1:67" ht="29.25" hidden="1" customHeight="1">
      <c r="A939" s="216"/>
      <c r="B939" s="217"/>
      <c r="C939" s="174"/>
      <c r="D939" s="174"/>
      <c r="E939" s="175"/>
      <c r="F939" s="162"/>
      <c r="G939" s="218"/>
      <c r="H939" s="220"/>
      <c r="I939" s="176"/>
      <c r="J939" s="177"/>
      <c r="K939" s="177"/>
      <c r="L939" s="177"/>
      <c r="M939" s="220"/>
      <c r="N939" s="178"/>
      <c r="O939" s="176"/>
      <c r="P939" s="178"/>
      <c r="Q939" s="105"/>
      <c r="R939" s="219"/>
      <c r="S939" s="164"/>
      <c r="T939" s="164"/>
      <c r="U939" s="162"/>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row>
    <row r="940" spans="1:67" ht="29.25" hidden="1" customHeight="1">
      <c r="A940" s="216"/>
      <c r="B940" s="217"/>
      <c r="C940" s="174"/>
      <c r="D940" s="174"/>
      <c r="E940" s="175"/>
      <c r="F940" s="162"/>
      <c r="G940" s="218"/>
      <c r="H940" s="220"/>
      <c r="I940" s="176"/>
      <c r="J940" s="177"/>
      <c r="K940" s="177"/>
      <c r="L940" s="177"/>
      <c r="M940" s="220"/>
      <c r="N940" s="178"/>
      <c r="O940" s="176"/>
      <c r="P940" s="178"/>
      <c r="Q940" s="105"/>
      <c r="R940" s="219"/>
      <c r="S940" s="164"/>
      <c r="T940" s="164"/>
      <c r="U940" s="162"/>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row>
    <row r="941" spans="1:67" ht="29.25" hidden="1" customHeight="1">
      <c r="A941" s="216"/>
      <c r="B941" s="217"/>
      <c r="C941" s="174"/>
      <c r="D941" s="174"/>
      <c r="E941" s="175"/>
      <c r="F941" s="162"/>
      <c r="G941" s="218"/>
      <c r="H941" s="220"/>
      <c r="I941" s="176"/>
      <c r="J941" s="177"/>
      <c r="K941" s="177"/>
      <c r="L941" s="177"/>
      <c r="M941" s="220"/>
      <c r="N941" s="178"/>
      <c r="O941" s="176"/>
      <c r="P941" s="178"/>
      <c r="Q941" s="105"/>
      <c r="R941" s="219"/>
      <c r="S941" s="164"/>
      <c r="T941" s="164"/>
      <c r="U941" s="162"/>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row>
    <row r="942" spans="1:67" ht="29.25" hidden="1" customHeight="1">
      <c r="A942" s="216"/>
      <c r="B942" s="217"/>
      <c r="C942" s="174"/>
      <c r="D942" s="174"/>
      <c r="E942" s="175"/>
      <c r="F942" s="162"/>
      <c r="G942" s="218"/>
      <c r="H942" s="220"/>
      <c r="I942" s="176"/>
      <c r="J942" s="177"/>
      <c r="K942" s="177"/>
      <c r="L942" s="177"/>
      <c r="M942" s="220"/>
      <c r="N942" s="178"/>
      <c r="O942" s="176"/>
      <c r="P942" s="178"/>
      <c r="Q942" s="105"/>
      <c r="R942" s="219"/>
      <c r="S942" s="164"/>
      <c r="T942" s="164"/>
      <c r="U942" s="162"/>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row>
    <row r="943" spans="1:67" ht="29.25" hidden="1" customHeight="1">
      <c r="A943" s="216"/>
      <c r="B943" s="217"/>
      <c r="C943" s="174"/>
      <c r="D943" s="174"/>
      <c r="E943" s="175"/>
      <c r="F943" s="162"/>
      <c r="G943" s="218"/>
      <c r="H943" s="220"/>
      <c r="I943" s="176"/>
      <c r="J943" s="177"/>
      <c r="K943" s="177"/>
      <c r="L943" s="177"/>
      <c r="M943" s="220"/>
      <c r="N943" s="178"/>
      <c r="O943" s="176"/>
      <c r="P943" s="178"/>
      <c r="Q943" s="105"/>
      <c r="R943" s="219"/>
      <c r="S943" s="164"/>
      <c r="T943" s="164"/>
      <c r="U943" s="162"/>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row>
    <row r="944" spans="1:67" ht="29.25" hidden="1" customHeight="1">
      <c r="A944" s="216"/>
      <c r="B944" s="217"/>
      <c r="C944" s="174"/>
      <c r="D944" s="174"/>
      <c r="E944" s="175"/>
      <c r="F944" s="162"/>
      <c r="G944" s="218"/>
      <c r="H944" s="220"/>
      <c r="I944" s="176"/>
      <c r="J944" s="177"/>
      <c r="K944" s="177"/>
      <c r="L944" s="177"/>
      <c r="M944" s="220"/>
      <c r="N944" s="178"/>
      <c r="O944" s="176"/>
      <c r="P944" s="178"/>
      <c r="Q944" s="105"/>
      <c r="R944" s="219"/>
      <c r="S944" s="164"/>
      <c r="T944" s="164"/>
      <c r="U944" s="162"/>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row>
    <row r="945" spans="1:67" ht="29.25" hidden="1" customHeight="1">
      <c r="A945" s="216"/>
      <c r="B945" s="217"/>
      <c r="C945" s="174"/>
      <c r="D945" s="174"/>
      <c r="E945" s="175"/>
      <c r="F945" s="162"/>
      <c r="G945" s="218"/>
      <c r="H945" s="220"/>
      <c r="I945" s="176"/>
      <c r="J945" s="177"/>
      <c r="K945" s="177"/>
      <c r="L945" s="177"/>
      <c r="M945" s="220"/>
      <c r="N945" s="178"/>
      <c r="O945" s="176"/>
      <c r="P945" s="178"/>
      <c r="Q945" s="105"/>
      <c r="R945" s="219"/>
      <c r="S945" s="164"/>
      <c r="T945" s="164"/>
      <c r="U945" s="162"/>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row>
    <row r="946" spans="1:67" ht="29.25" hidden="1" customHeight="1">
      <c r="A946" s="216"/>
      <c r="B946" s="217"/>
      <c r="C946" s="174"/>
      <c r="D946" s="174"/>
      <c r="E946" s="175"/>
      <c r="F946" s="162"/>
      <c r="G946" s="218"/>
      <c r="H946" s="220"/>
      <c r="I946" s="176"/>
      <c r="J946" s="177"/>
      <c r="K946" s="177"/>
      <c r="L946" s="177"/>
      <c r="M946" s="220"/>
      <c r="N946" s="178"/>
      <c r="O946" s="176"/>
      <c r="P946" s="178"/>
      <c r="Q946" s="105"/>
      <c r="R946" s="219"/>
      <c r="S946" s="164"/>
      <c r="T946" s="164"/>
      <c r="U946" s="162"/>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row>
    <row r="947" spans="1:67" ht="29.25" hidden="1" customHeight="1">
      <c r="A947" s="216"/>
      <c r="B947" s="217"/>
      <c r="C947" s="174"/>
      <c r="D947" s="174"/>
      <c r="E947" s="175"/>
      <c r="F947" s="162"/>
      <c r="G947" s="218"/>
      <c r="H947" s="220"/>
      <c r="I947" s="176"/>
      <c r="J947" s="177"/>
      <c r="K947" s="177"/>
      <c r="L947" s="177"/>
      <c r="M947" s="220"/>
      <c r="N947" s="178"/>
      <c r="O947" s="176"/>
      <c r="P947" s="178"/>
      <c r="Q947" s="105"/>
      <c r="R947" s="219"/>
      <c r="S947" s="164"/>
      <c r="T947" s="164"/>
      <c r="U947" s="162"/>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row>
    <row r="948" spans="1:67" ht="29.25" hidden="1" customHeight="1">
      <c r="A948" s="216"/>
      <c r="B948" s="217"/>
      <c r="C948" s="174"/>
      <c r="D948" s="174"/>
      <c r="E948" s="175"/>
      <c r="F948" s="162"/>
      <c r="G948" s="218"/>
      <c r="H948" s="220"/>
      <c r="I948" s="176"/>
      <c r="J948" s="177"/>
      <c r="K948" s="177"/>
      <c r="L948" s="177"/>
      <c r="M948" s="220"/>
      <c r="N948" s="178"/>
      <c r="O948" s="176"/>
      <c r="P948" s="178"/>
      <c r="Q948" s="105"/>
      <c r="R948" s="219"/>
      <c r="S948" s="164"/>
      <c r="T948" s="164"/>
      <c r="U948" s="162"/>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row>
    <row r="949" spans="1:67" ht="29.25" hidden="1" customHeight="1">
      <c r="A949" s="216"/>
      <c r="B949" s="217"/>
      <c r="C949" s="174"/>
      <c r="D949" s="174"/>
      <c r="E949" s="175"/>
      <c r="F949" s="162"/>
      <c r="G949" s="218"/>
      <c r="H949" s="220"/>
      <c r="I949" s="176"/>
      <c r="J949" s="177"/>
      <c r="K949" s="177"/>
      <c r="L949" s="177"/>
      <c r="M949" s="220"/>
      <c r="N949" s="178"/>
      <c r="O949" s="176"/>
      <c r="P949" s="178"/>
      <c r="Q949" s="105"/>
      <c r="R949" s="219"/>
      <c r="S949" s="164"/>
      <c r="T949" s="164"/>
      <c r="U949" s="162"/>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row>
    <row r="950" spans="1:67" ht="29.25" hidden="1" customHeight="1">
      <c r="A950" s="216"/>
      <c r="B950" s="217"/>
      <c r="C950" s="174"/>
      <c r="D950" s="174"/>
      <c r="E950" s="175"/>
      <c r="F950" s="162"/>
      <c r="G950" s="218"/>
      <c r="H950" s="220"/>
      <c r="I950" s="176"/>
      <c r="J950" s="177"/>
      <c r="K950" s="177"/>
      <c r="L950" s="177"/>
      <c r="M950" s="220"/>
      <c r="N950" s="178"/>
      <c r="O950" s="176"/>
      <c r="P950" s="178"/>
      <c r="Q950" s="105"/>
      <c r="R950" s="219"/>
      <c r="S950" s="164"/>
      <c r="T950" s="164"/>
      <c r="U950" s="162"/>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row>
    <row r="951" spans="1:67" ht="29.25" hidden="1" customHeight="1">
      <c r="A951" s="216"/>
      <c r="B951" s="217"/>
      <c r="C951" s="174"/>
      <c r="D951" s="174"/>
      <c r="E951" s="175"/>
      <c r="F951" s="162"/>
      <c r="G951" s="218"/>
      <c r="H951" s="220"/>
      <c r="I951" s="176"/>
      <c r="J951" s="177"/>
      <c r="K951" s="177"/>
      <c r="L951" s="177"/>
      <c r="M951" s="220"/>
      <c r="N951" s="178"/>
      <c r="O951" s="176"/>
      <c r="P951" s="178"/>
      <c r="Q951" s="105"/>
      <c r="R951" s="219"/>
      <c r="S951" s="164"/>
      <c r="T951" s="164"/>
      <c r="U951" s="162"/>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row>
    <row r="952" spans="1:67" ht="29.25" hidden="1" customHeight="1">
      <c r="A952" s="216"/>
      <c r="B952" s="217"/>
      <c r="C952" s="174"/>
      <c r="D952" s="174"/>
      <c r="E952" s="175"/>
      <c r="F952" s="162"/>
      <c r="G952" s="218"/>
      <c r="H952" s="220"/>
      <c r="I952" s="176"/>
      <c r="J952" s="177"/>
      <c r="K952" s="177"/>
      <c r="L952" s="177"/>
      <c r="M952" s="220"/>
      <c r="N952" s="178"/>
      <c r="O952" s="176"/>
      <c r="P952" s="178"/>
      <c r="Q952" s="105"/>
      <c r="R952" s="219"/>
      <c r="S952" s="164"/>
      <c r="T952" s="164"/>
      <c r="U952" s="162"/>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row>
    <row r="953" spans="1:67" ht="29.25" hidden="1" customHeight="1">
      <c r="A953" s="216"/>
      <c r="B953" s="217"/>
      <c r="C953" s="174"/>
      <c r="D953" s="174"/>
      <c r="E953" s="175"/>
      <c r="F953" s="162"/>
      <c r="G953" s="218"/>
      <c r="H953" s="220"/>
      <c r="I953" s="176"/>
      <c r="J953" s="177"/>
      <c r="K953" s="177"/>
      <c r="L953" s="177"/>
      <c r="M953" s="220"/>
      <c r="N953" s="178"/>
      <c r="O953" s="176"/>
      <c r="P953" s="178"/>
      <c r="Q953" s="105"/>
      <c r="R953" s="219"/>
      <c r="S953" s="164"/>
      <c r="T953" s="164"/>
      <c r="U953" s="162"/>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row>
    <row r="954" spans="1:67" ht="29.25" hidden="1" customHeight="1">
      <c r="A954" s="216"/>
      <c r="B954" s="217"/>
      <c r="C954" s="174"/>
      <c r="D954" s="174"/>
      <c r="E954" s="175"/>
      <c r="F954" s="162"/>
      <c r="G954" s="218"/>
      <c r="H954" s="220"/>
      <c r="I954" s="176"/>
      <c r="J954" s="177"/>
      <c r="K954" s="177"/>
      <c r="L954" s="177"/>
      <c r="M954" s="220"/>
      <c r="N954" s="178"/>
      <c r="O954" s="176"/>
      <c r="P954" s="178"/>
      <c r="Q954" s="105"/>
      <c r="R954" s="219"/>
      <c r="S954" s="164"/>
      <c r="T954" s="164"/>
      <c r="U954" s="162"/>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row>
    <row r="955" spans="1:67" ht="29.25" hidden="1" customHeight="1">
      <c r="A955" s="216"/>
      <c r="B955" s="217"/>
      <c r="C955" s="174"/>
      <c r="D955" s="174"/>
      <c r="E955" s="175"/>
      <c r="F955" s="162"/>
      <c r="G955" s="218"/>
      <c r="H955" s="220"/>
      <c r="I955" s="176"/>
      <c r="J955" s="177"/>
      <c r="K955" s="177"/>
      <c r="L955" s="177"/>
      <c r="M955" s="220"/>
      <c r="N955" s="178"/>
      <c r="O955" s="176"/>
      <c r="P955" s="178"/>
      <c r="Q955" s="105"/>
      <c r="R955" s="219"/>
      <c r="S955" s="164"/>
      <c r="T955" s="164"/>
      <c r="U955" s="162"/>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row>
    <row r="956" spans="1:67" ht="29.25" hidden="1" customHeight="1">
      <c r="A956" s="216"/>
      <c r="B956" s="217"/>
      <c r="C956" s="174"/>
      <c r="D956" s="174"/>
      <c r="E956" s="175"/>
      <c r="F956" s="162"/>
      <c r="G956" s="218"/>
      <c r="H956" s="220"/>
      <c r="I956" s="176"/>
      <c r="J956" s="177"/>
      <c r="K956" s="177"/>
      <c r="L956" s="177"/>
      <c r="M956" s="220"/>
      <c r="N956" s="178"/>
      <c r="O956" s="176"/>
      <c r="P956" s="178"/>
      <c r="Q956" s="105"/>
      <c r="R956" s="219"/>
      <c r="S956" s="164"/>
      <c r="T956" s="164"/>
      <c r="U956" s="162"/>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row>
    <row r="957" spans="1:67" ht="29.25" hidden="1" customHeight="1">
      <c r="A957" s="216"/>
      <c r="B957" s="217"/>
      <c r="C957" s="174"/>
      <c r="D957" s="174"/>
      <c r="E957" s="175"/>
      <c r="F957" s="162"/>
      <c r="G957" s="218"/>
      <c r="H957" s="220"/>
      <c r="I957" s="176"/>
      <c r="J957" s="177"/>
      <c r="K957" s="177"/>
      <c r="L957" s="177"/>
      <c r="M957" s="220"/>
      <c r="N957" s="178"/>
      <c r="O957" s="176"/>
      <c r="P957" s="178"/>
      <c r="Q957" s="105"/>
      <c r="R957" s="219"/>
      <c r="S957" s="164"/>
      <c r="T957" s="164"/>
      <c r="U957" s="162"/>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row>
    <row r="958" spans="1:67" ht="29.25" hidden="1" customHeight="1">
      <c r="A958" s="216"/>
      <c r="B958" s="217"/>
      <c r="C958" s="174"/>
      <c r="D958" s="174"/>
      <c r="E958" s="175"/>
      <c r="F958" s="162"/>
      <c r="G958" s="218"/>
      <c r="H958" s="220"/>
      <c r="I958" s="176"/>
      <c r="J958" s="177"/>
      <c r="K958" s="177"/>
      <c r="L958" s="177"/>
      <c r="M958" s="220"/>
      <c r="N958" s="178"/>
      <c r="O958" s="176"/>
      <c r="P958" s="178"/>
      <c r="Q958" s="105"/>
      <c r="R958" s="219"/>
      <c r="S958" s="164"/>
      <c r="T958" s="164"/>
      <c r="U958" s="162"/>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row>
    <row r="959" spans="1:67" ht="29.25" hidden="1" customHeight="1">
      <c r="A959" s="216"/>
      <c r="B959" s="217"/>
      <c r="C959" s="174"/>
      <c r="D959" s="174"/>
      <c r="E959" s="175"/>
      <c r="F959" s="162"/>
      <c r="G959" s="218"/>
      <c r="H959" s="220"/>
      <c r="I959" s="176"/>
      <c r="J959" s="177"/>
      <c r="K959" s="177"/>
      <c r="L959" s="177"/>
      <c r="M959" s="220"/>
      <c r="N959" s="178"/>
      <c r="O959" s="176"/>
      <c r="P959" s="178"/>
      <c r="Q959" s="105"/>
      <c r="R959" s="219"/>
      <c r="S959" s="164"/>
      <c r="T959" s="164"/>
      <c r="U959" s="162"/>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row>
    <row r="960" spans="1:67" ht="29.25" hidden="1" customHeight="1">
      <c r="A960" s="216"/>
      <c r="B960" s="217"/>
      <c r="C960" s="174"/>
      <c r="D960" s="174"/>
      <c r="E960" s="175"/>
      <c r="F960" s="162"/>
      <c r="G960" s="218"/>
      <c r="H960" s="220"/>
      <c r="I960" s="176"/>
      <c r="J960" s="177"/>
      <c r="K960" s="177"/>
      <c r="L960" s="177"/>
      <c r="M960" s="220"/>
      <c r="N960" s="178"/>
      <c r="O960" s="176"/>
      <c r="P960" s="178"/>
      <c r="Q960" s="105"/>
      <c r="R960" s="219"/>
      <c r="S960" s="164"/>
      <c r="T960" s="164"/>
      <c r="U960" s="162"/>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row>
    <row r="961" spans="1:67" ht="29.25" hidden="1" customHeight="1">
      <c r="A961" s="216"/>
      <c r="B961" s="217"/>
      <c r="C961" s="174"/>
      <c r="D961" s="174"/>
      <c r="E961" s="175"/>
      <c r="F961" s="162"/>
      <c r="G961" s="218"/>
      <c r="H961" s="220"/>
      <c r="I961" s="176"/>
      <c r="J961" s="177"/>
      <c r="K961" s="177"/>
      <c r="L961" s="177"/>
      <c r="M961" s="220"/>
      <c r="N961" s="178"/>
      <c r="O961" s="176"/>
      <c r="P961" s="178"/>
      <c r="Q961" s="105"/>
      <c r="R961" s="219"/>
      <c r="S961" s="164"/>
      <c r="T961" s="164"/>
      <c r="U961" s="162"/>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row>
    <row r="962" spans="1:67" ht="29.25" hidden="1" customHeight="1">
      <c r="A962" s="216"/>
      <c r="B962" s="217"/>
      <c r="C962" s="174"/>
      <c r="D962" s="174"/>
      <c r="E962" s="175"/>
      <c r="F962" s="162"/>
      <c r="G962" s="218"/>
      <c r="H962" s="220"/>
      <c r="I962" s="176"/>
      <c r="J962" s="177"/>
      <c r="K962" s="177"/>
      <c r="L962" s="177"/>
      <c r="M962" s="220"/>
      <c r="N962" s="178"/>
      <c r="O962" s="176"/>
      <c r="P962" s="178"/>
      <c r="Q962" s="105"/>
      <c r="R962" s="219"/>
      <c r="S962" s="164"/>
      <c r="T962" s="164"/>
      <c r="U962" s="162"/>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row>
    <row r="963" spans="1:67" ht="29.25" hidden="1" customHeight="1">
      <c r="A963" s="216"/>
      <c r="B963" s="217"/>
      <c r="C963" s="174"/>
      <c r="D963" s="174"/>
      <c r="E963" s="175"/>
      <c r="F963" s="162"/>
      <c r="G963" s="218"/>
      <c r="H963" s="220"/>
      <c r="I963" s="176"/>
      <c r="J963" s="177"/>
      <c r="K963" s="177"/>
      <c r="L963" s="177"/>
      <c r="M963" s="220"/>
      <c r="N963" s="178"/>
      <c r="O963" s="176"/>
      <c r="P963" s="178"/>
      <c r="Q963" s="105"/>
      <c r="R963" s="219"/>
      <c r="S963" s="164"/>
      <c r="T963" s="164"/>
      <c r="U963" s="162"/>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row>
    <row r="964" spans="1:67" ht="29.25" hidden="1" customHeight="1">
      <c r="A964" s="216"/>
      <c r="B964" s="217"/>
      <c r="C964" s="174"/>
      <c r="D964" s="174"/>
      <c r="E964" s="175"/>
      <c r="F964" s="162"/>
      <c r="G964" s="218"/>
      <c r="H964" s="220"/>
      <c r="I964" s="176"/>
      <c r="J964" s="177"/>
      <c r="K964" s="177"/>
      <c r="L964" s="177"/>
      <c r="M964" s="220"/>
      <c r="N964" s="178"/>
      <c r="O964" s="176"/>
      <c r="P964" s="178"/>
      <c r="Q964" s="105"/>
      <c r="R964" s="219"/>
      <c r="S964" s="164"/>
      <c r="T964" s="164"/>
      <c r="U964" s="162"/>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row>
    <row r="965" spans="1:67" ht="29.25" hidden="1" customHeight="1">
      <c r="A965" s="216"/>
      <c r="B965" s="217"/>
      <c r="C965" s="174"/>
      <c r="D965" s="174"/>
      <c r="E965" s="175"/>
      <c r="F965" s="162"/>
      <c r="G965" s="218"/>
      <c r="H965" s="220"/>
      <c r="I965" s="176"/>
      <c r="J965" s="177"/>
      <c r="K965" s="177"/>
      <c r="L965" s="177"/>
      <c r="M965" s="220"/>
      <c r="N965" s="178"/>
      <c r="O965" s="176"/>
      <c r="P965" s="178"/>
      <c r="Q965" s="105"/>
      <c r="R965" s="219"/>
      <c r="S965" s="164"/>
      <c r="T965" s="164"/>
      <c r="U965" s="162"/>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row>
    <row r="966" spans="1:67" ht="29.25" hidden="1" customHeight="1">
      <c r="A966" s="216"/>
      <c r="B966" s="217"/>
      <c r="C966" s="174"/>
      <c r="D966" s="174"/>
      <c r="E966" s="175"/>
      <c r="F966" s="162"/>
      <c r="G966" s="218"/>
      <c r="H966" s="220"/>
      <c r="I966" s="176"/>
      <c r="J966" s="177"/>
      <c r="K966" s="177"/>
      <c r="L966" s="177"/>
      <c r="M966" s="220"/>
      <c r="N966" s="178"/>
      <c r="O966" s="176"/>
      <c r="P966" s="178"/>
      <c r="Q966" s="105"/>
      <c r="R966" s="219"/>
      <c r="S966" s="164"/>
      <c r="T966" s="164"/>
      <c r="U966" s="162"/>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row>
    <row r="967" spans="1:67" ht="29.25" hidden="1" customHeight="1">
      <c r="A967" s="216"/>
      <c r="B967" s="217"/>
      <c r="C967" s="174"/>
      <c r="D967" s="174"/>
      <c r="E967" s="175"/>
      <c r="F967" s="162"/>
      <c r="G967" s="218"/>
      <c r="H967" s="220"/>
      <c r="I967" s="176"/>
      <c r="J967" s="177"/>
      <c r="K967" s="177"/>
      <c r="L967" s="177"/>
      <c r="M967" s="220"/>
      <c r="N967" s="178"/>
      <c r="O967" s="176"/>
      <c r="P967" s="178"/>
      <c r="Q967" s="105"/>
      <c r="R967" s="219"/>
      <c r="S967" s="164"/>
      <c r="T967" s="164"/>
      <c r="U967" s="162"/>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row>
    <row r="968" spans="1:67" ht="29.25" hidden="1" customHeight="1">
      <c r="A968" s="216"/>
      <c r="B968" s="217"/>
      <c r="C968" s="174"/>
      <c r="D968" s="174"/>
      <c r="E968" s="175"/>
      <c r="F968" s="162"/>
      <c r="G968" s="218"/>
      <c r="H968" s="220"/>
      <c r="I968" s="176"/>
      <c r="J968" s="177"/>
      <c r="K968" s="177"/>
      <c r="L968" s="177"/>
      <c r="M968" s="220"/>
      <c r="N968" s="178"/>
      <c r="O968" s="176"/>
      <c r="P968" s="178"/>
      <c r="Q968" s="105"/>
      <c r="R968" s="219"/>
      <c r="S968" s="164"/>
      <c r="T968" s="164"/>
      <c r="U968" s="162"/>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row>
    <row r="969" spans="1:67" ht="29.25" hidden="1" customHeight="1">
      <c r="A969" s="216"/>
      <c r="B969" s="217"/>
      <c r="C969" s="174"/>
      <c r="D969" s="174"/>
      <c r="E969" s="175"/>
      <c r="F969" s="162"/>
      <c r="G969" s="218"/>
      <c r="H969" s="220"/>
      <c r="I969" s="176"/>
      <c r="J969" s="177"/>
      <c r="K969" s="177"/>
      <c r="L969" s="177"/>
      <c r="M969" s="220"/>
      <c r="N969" s="178"/>
      <c r="O969" s="176"/>
      <c r="P969" s="178"/>
      <c r="Q969" s="105"/>
      <c r="R969" s="219"/>
      <c r="S969" s="164"/>
      <c r="T969" s="164"/>
      <c r="U969" s="162"/>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row>
    <row r="970" spans="1:67" ht="29.25" hidden="1" customHeight="1">
      <c r="A970" s="216"/>
      <c r="B970" s="217"/>
      <c r="C970" s="174"/>
      <c r="D970" s="174"/>
      <c r="E970" s="175"/>
      <c r="F970" s="162"/>
      <c r="G970" s="218"/>
      <c r="H970" s="220"/>
      <c r="I970" s="176"/>
      <c r="J970" s="177"/>
      <c r="K970" s="177"/>
      <c r="L970" s="177"/>
      <c r="M970" s="220"/>
      <c r="N970" s="178"/>
      <c r="O970" s="176"/>
      <c r="P970" s="178"/>
      <c r="Q970" s="105"/>
      <c r="R970" s="219"/>
      <c r="S970" s="164"/>
      <c r="T970" s="164"/>
      <c r="U970" s="162"/>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row>
    <row r="971" spans="1:67" ht="29.25" hidden="1" customHeight="1">
      <c r="A971" s="216"/>
      <c r="B971" s="217"/>
      <c r="C971" s="174"/>
      <c r="D971" s="174"/>
      <c r="E971" s="175"/>
      <c r="F971" s="162"/>
      <c r="G971" s="218"/>
      <c r="H971" s="220"/>
      <c r="I971" s="176"/>
      <c r="J971" s="177"/>
      <c r="K971" s="177"/>
      <c r="L971" s="177"/>
      <c r="M971" s="220"/>
      <c r="N971" s="178"/>
      <c r="O971" s="176"/>
      <c r="P971" s="178"/>
      <c r="Q971" s="105"/>
      <c r="R971" s="219"/>
      <c r="S971" s="164"/>
      <c r="T971" s="164"/>
      <c r="U971" s="162"/>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row>
    <row r="972" spans="1:67" ht="29.25" hidden="1" customHeight="1">
      <c r="A972" s="216"/>
      <c r="B972" s="217"/>
      <c r="C972" s="174"/>
      <c r="D972" s="174"/>
      <c r="E972" s="175"/>
      <c r="F972" s="162"/>
      <c r="G972" s="218"/>
      <c r="H972" s="220"/>
      <c r="I972" s="176"/>
      <c r="J972" s="177"/>
      <c r="K972" s="177"/>
      <c r="L972" s="177"/>
      <c r="M972" s="220"/>
      <c r="N972" s="178"/>
      <c r="O972" s="176"/>
      <c r="P972" s="178"/>
      <c r="Q972" s="105"/>
      <c r="R972" s="219"/>
      <c r="S972" s="164"/>
      <c r="T972" s="164"/>
      <c r="U972" s="162"/>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row>
    <row r="973" spans="1:67" ht="29.25" hidden="1" customHeight="1">
      <c r="A973" s="216"/>
      <c r="B973" s="217"/>
      <c r="C973" s="174"/>
      <c r="D973" s="174"/>
      <c r="E973" s="175"/>
      <c r="F973" s="162"/>
      <c r="G973" s="218"/>
      <c r="H973" s="220"/>
      <c r="I973" s="176"/>
      <c r="J973" s="177"/>
      <c r="K973" s="177"/>
      <c r="L973" s="177"/>
      <c r="M973" s="220"/>
      <c r="N973" s="178"/>
      <c r="O973" s="176"/>
      <c r="P973" s="178"/>
      <c r="Q973" s="105"/>
      <c r="R973" s="219"/>
      <c r="S973" s="164"/>
      <c r="T973" s="164"/>
      <c r="U973" s="162"/>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row>
    <row r="974" spans="1:67" ht="29.25" hidden="1" customHeight="1">
      <c r="A974" s="216"/>
      <c r="B974" s="217"/>
      <c r="C974" s="174"/>
      <c r="D974" s="174"/>
      <c r="E974" s="175"/>
      <c r="F974" s="162"/>
      <c r="G974" s="218"/>
      <c r="H974" s="220"/>
      <c r="I974" s="176"/>
      <c r="J974" s="177"/>
      <c r="K974" s="177"/>
      <c r="L974" s="177"/>
      <c r="M974" s="220"/>
      <c r="N974" s="178"/>
      <c r="O974" s="176"/>
      <c r="P974" s="178"/>
      <c r="Q974" s="105"/>
      <c r="R974" s="219"/>
      <c r="S974" s="164"/>
      <c r="T974" s="164"/>
      <c r="U974" s="162"/>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row>
    <row r="975" spans="1:67" ht="29.25" hidden="1" customHeight="1">
      <c r="A975" s="216"/>
      <c r="B975" s="217"/>
      <c r="C975" s="174"/>
      <c r="D975" s="174"/>
      <c r="E975" s="175"/>
      <c r="F975" s="162"/>
      <c r="G975" s="218"/>
      <c r="H975" s="220"/>
      <c r="I975" s="176"/>
      <c r="J975" s="177"/>
      <c r="K975" s="177"/>
      <c r="L975" s="177"/>
      <c r="M975" s="220"/>
      <c r="N975" s="178"/>
      <c r="O975" s="176"/>
      <c r="P975" s="178"/>
      <c r="Q975" s="105"/>
      <c r="R975" s="219"/>
      <c r="S975" s="164"/>
      <c r="T975" s="164"/>
      <c r="U975" s="162"/>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row>
    <row r="976" spans="1:67" ht="29.25" hidden="1" customHeight="1">
      <c r="A976" s="216"/>
      <c r="B976" s="217"/>
      <c r="C976" s="174"/>
      <c r="D976" s="174"/>
      <c r="E976" s="175"/>
      <c r="F976" s="162"/>
      <c r="G976" s="218"/>
      <c r="H976" s="220"/>
      <c r="I976" s="176"/>
      <c r="J976" s="177"/>
      <c r="K976" s="177"/>
      <c r="L976" s="177"/>
      <c r="M976" s="220"/>
      <c r="N976" s="178"/>
      <c r="O976" s="176"/>
      <c r="P976" s="178"/>
      <c r="Q976" s="105"/>
      <c r="R976" s="219"/>
      <c r="S976" s="164"/>
      <c r="T976" s="164"/>
      <c r="U976" s="162"/>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row>
    <row r="977" spans="1:67" ht="29.25" hidden="1" customHeight="1">
      <c r="A977" s="216"/>
      <c r="B977" s="217"/>
      <c r="C977" s="174"/>
      <c r="D977" s="174"/>
      <c r="E977" s="175"/>
      <c r="F977" s="162"/>
      <c r="G977" s="218"/>
      <c r="H977" s="220"/>
      <c r="I977" s="176"/>
      <c r="J977" s="177"/>
      <c r="K977" s="177"/>
      <c r="L977" s="177"/>
      <c r="M977" s="220"/>
      <c r="N977" s="178"/>
      <c r="O977" s="176"/>
      <c r="P977" s="178"/>
      <c r="Q977" s="105"/>
      <c r="R977" s="219"/>
      <c r="S977" s="164"/>
      <c r="T977" s="164"/>
      <c r="U977" s="162"/>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row>
    <row r="978" spans="1:67" ht="29.25" hidden="1" customHeight="1">
      <c r="A978" s="216"/>
      <c r="B978" s="217"/>
      <c r="C978" s="174"/>
      <c r="D978" s="174"/>
      <c r="E978" s="175"/>
      <c r="F978" s="162"/>
      <c r="G978" s="218"/>
      <c r="H978" s="220"/>
      <c r="I978" s="176"/>
      <c r="J978" s="177"/>
      <c r="K978" s="177"/>
      <c r="L978" s="177"/>
      <c r="M978" s="220"/>
      <c r="N978" s="178"/>
      <c r="O978" s="176"/>
      <c r="P978" s="178"/>
      <c r="Q978" s="105"/>
      <c r="R978" s="219"/>
      <c r="S978" s="164"/>
      <c r="T978" s="164"/>
      <c r="U978" s="162"/>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row>
    <row r="979" spans="1:67" ht="29.25" hidden="1" customHeight="1">
      <c r="A979" s="216"/>
      <c r="B979" s="217"/>
      <c r="C979" s="174"/>
      <c r="D979" s="174"/>
      <c r="E979" s="175"/>
      <c r="F979" s="162"/>
      <c r="G979" s="218"/>
      <c r="H979" s="220"/>
      <c r="I979" s="176"/>
      <c r="J979" s="177"/>
      <c r="K979" s="177"/>
      <c r="L979" s="177"/>
      <c r="M979" s="220"/>
      <c r="N979" s="178"/>
      <c r="O979" s="176"/>
      <c r="P979" s="178"/>
      <c r="Q979" s="105"/>
      <c r="R979" s="219"/>
      <c r="S979" s="164"/>
      <c r="T979" s="164"/>
      <c r="U979" s="162"/>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row>
    <row r="980" spans="1:67" ht="29.25" hidden="1" customHeight="1">
      <c r="A980" s="216"/>
      <c r="B980" s="217"/>
      <c r="C980" s="174"/>
      <c r="D980" s="174"/>
      <c r="E980" s="175"/>
      <c r="F980" s="162"/>
      <c r="G980" s="218"/>
      <c r="H980" s="220"/>
      <c r="I980" s="176"/>
      <c r="J980" s="177"/>
      <c r="K980" s="177"/>
      <c r="L980" s="177"/>
      <c r="M980" s="220"/>
      <c r="N980" s="178"/>
      <c r="O980" s="176"/>
      <c r="P980" s="178"/>
      <c r="Q980" s="105"/>
      <c r="R980" s="219"/>
      <c r="S980" s="164"/>
      <c r="T980" s="164"/>
      <c r="U980" s="162"/>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row>
    <row r="981" spans="1:67" ht="29.25" hidden="1" customHeight="1">
      <c r="A981" s="216"/>
      <c r="B981" s="217"/>
      <c r="C981" s="174"/>
      <c r="D981" s="174"/>
      <c r="E981" s="175"/>
      <c r="F981" s="162"/>
      <c r="G981" s="218"/>
      <c r="H981" s="220"/>
      <c r="I981" s="176"/>
      <c r="J981" s="177"/>
      <c r="K981" s="177"/>
      <c r="L981" s="177"/>
      <c r="M981" s="220"/>
      <c r="N981" s="178"/>
      <c r="O981" s="176"/>
      <c r="P981" s="178"/>
      <c r="Q981" s="105"/>
      <c r="R981" s="219"/>
      <c r="S981" s="164"/>
      <c r="T981" s="164"/>
      <c r="U981" s="162"/>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row>
    <row r="982" spans="1:67" ht="29.25" hidden="1" customHeight="1">
      <c r="A982" s="216"/>
      <c r="B982" s="217"/>
      <c r="C982" s="174"/>
      <c r="D982" s="174"/>
      <c r="E982" s="175"/>
      <c r="F982" s="162"/>
      <c r="G982" s="218"/>
      <c r="H982" s="220"/>
      <c r="I982" s="176"/>
      <c r="J982" s="177"/>
      <c r="K982" s="177"/>
      <c r="L982" s="177"/>
      <c r="M982" s="220"/>
      <c r="N982" s="178"/>
      <c r="O982" s="176"/>
      <c r="P982" s="178"/>
      <c r="Q982" s="105"/>
      <c r="R982" s="219"/>
      <c r="S982" s="164"/>
      <c r="T982" s="164"/>
      <c r="U982" s="162"/>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row>
    <row r="983" spans="1:67" ht="29.25" hidden="1" customHeight="1">
      <c r="A983" s="216"/>
      <c r="B983" s="217"/>
      <c r="C983" s="174"/>
      <c r="D983" s="174"/>
      <c r="E983" s="175"/>
      <c r="F983" s="162"/>
      <c r="G983" s="218"/>
      <c r="H983" s="220"/>
      <c r="I983" s="176"/>
      <c r="J983" s="177"/>
      <c r="K983" s="177"/>
      <c r="L983" s="177"/>
      <c r="M983" s="220"/>
      <c r="N983" s="178"/>
      <c r="O983" s="176"/>
      <c r="P983" s="178"/>
      <c r="Q983" s="105"/>
      <c r="R983" s="219"/>
      <c r="S983" s="164"/>
      <c r="T983" s="164"/>
      <c r="U983" s="162"/>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row>
    <row r="984" spans="1:67" ht="29.25" hidden="1" customHeight="1">
      <c r="A984" s="216"/>
      <c r="B984" s="217"/>
      <c r="C984" s="174"/>
      <c r="D984" s="174"/>
      <c r="E984" s="175"/>
      <c r="F984" s="162"/>
      <c r="G984" s="218"/>
      <c r="H984" s="220"/>
      <c r="I984" s="176"/>
      <c r="J984" s="177"/>
      <c r="K984" s="177"/>
      <c r="L984" s="177"/>
      <c r="M984" s="220"/>
      <c r="N984" s="178"/>
      <c r="O984" s="176"/>
      <c r="P984" s="178"/>
      <c r="Q984" s="105"/>
      <c r="R984" s="219"/>
      <c r="S984" s="164"/>
      <c r="T984" s="164"/>
      <c r="U984" s="162"/>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row>
    <row r="985" spans="1:67" ht="29.25" hidden="1" customHeight="1">
      <c r="A985" s="216"/>
      <c r="B985" s="217"/>
      <c r="C985" s="174"/>
      <c r="D985" s="174"/>
      <c r="E985" s="175"/>
      <c r="F985" s="162"/>
      <c r="G985" s="218"/>
      <c r="H985" s="220"/>
      <c r="I985" s="176"/>
      <c r="J985" s="177"/>
      <c r="K985" s="177"/>
      <c r="L985" s="177"/>
      <c r="M985" s="220"/>
      <c r="N985" s="178"/>
      <c r="O985" s="176"/>
      <c r="P985" s="178"/>
      <c r="Q985" s="105"/>
      <c r="R985" s="219"/>
      <c r="S985" s="164"/>
      <c r="T985" s="164"/>
      <c r="U985" s="162"/>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row>
    <row r="986" spans="1:67" ht="29.25" hidden="1" customHeight="1">
      <c r="A986" s="216"/>
      <c r="B986" s="217"/>
      <c r="C986" s="174"/>
      <c r="D986" s="174"/>
      <c r="E986" s="175"/>
      <c r="F986" s="162"/>
      <c r="G986" s="218"/>
      <c r="H986" s="220"/>
      <c r="I986" s="176"/>
      <c r="J986" s="177"/>
      <c r="K986" s="177"/>
      <c r="L986" s="177"/>
      <c r="M986" s="220"/>
      <c r="N986" s="178"/>
      <c r="O986" s="176"/>
      <c r="P986" s="178"/>
      <c r="Q986" s="105"/>
      <c r="R986" s="219"/>
      <c r="S986" s="164"/>
      <c r="T986" s="164"/>
      <c r="U986" s="162"/>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row>
    <row r="987" spans="1:67" ht="29.25" hidden="1" customHeight="1">
      <c r="A987" s="216"/>
      <c r="B987" s="217"/>
      <c r="C987" s="174"/>
      <c r="D987" s="174"/>
      <c r="E987" s="175"/>
      <c r="F987" s="162"/>
      <c r="G987" s="218"/>
      <c r="H987" s="220"/>
      <c r="I987" s="176"/>
      <c r="J987" s="177"/>
      <c r="K987" s="177"/>
      <c r="L987" s="177"/>
      <c r="M987" s="220"/>
      <c r="N987" s="178"/>
      <c r="O987" s="176"/>
      <c r="P987" s="178"/>
      <c r="Q987" s="105"/>
      <c r="R987" s="219"/>
      <c r="S987" s="164"/>
      <c r="T987" s="164"/>
      <c r="U987" s="162"/>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row>
    <row r="988" spans="1:67" ht="29.25" hidden="1" customHeight="1">
      <c r="A988" s="216"/>
      <c r="B988" s="217"/>
      <c r="C988" s="174"/>
      <c r="D988" s="174"/>
      <c r="E988" s="175"/>
      <c r="F988" s="162"/>
      <c r="G988" s="218"/>
      <c r="H988" s="220"/>
      <c r="I988" s="176"/>
      <c r="J988" s="177"/>
      <c r="K988" s="177"/>
      <c r="L988" s="177"/>
      <c r="M988" s="220"/>
      <c r="N988" s="178"/>
      <c r="O988" s="176"/>
      <c r="P988" s="178"/>
      <c r="Q988" s="105"/>
      <c r="R988" s="219"/>
      <c r="S988" s="164"/>
      <c r="T988" s="164"/>
      <c r="U988" s="162"/>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row>
    <row r="989" spans="1:67" ht="29.25" hidden="1" customHeight="1">
      <c r="A989" s="216"/>
      <c r="B989" s="217"/>
      <c r="C989" s="174"/>
      <c r="D989" s="174"/>
      <c r="E989" s="175"/>
      <c r="F989" s="162"/>
      <c r="G989" s="218"/>
      <c r="H989" s="220"/>
      <c r="I989" s="176"/>
      <c r="J989" s="177"/>
      <c r="K989" s="177"/>
      <c r="L989" s="177"/>
      <c r="M989" s="220"/>
      <c r="N989" s="178"/>
      <c r="O989" s="176"/>
      <c r="P989" s="178"/>
      <c r="Q989" s="105"/>
      <c r="R989" s="219"/>
      <c r="S989" s="164"/>
      <c r="T989" s="164"/>
      <c r="U989" s="162"/>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row>
    <row r="990" spans="1:67" ht="29.25" hidden="1" customHeight="1">
      <c r="A990" s="216"/>
      <c r="B990" s="217"/>
      <c r="C990" s="174"/>
      <c r="D990" s="174"/>
      <c r="E990" s="175"/>
      <c r="F990" s="162"/>
      <c r="G990" s="218"/>
      <c r="H990" s="220"/>
      <c r="I990" s="176"/>
      <c r="J990" s="177"/>
      <c r="K990" s="177"/>
      <c r="L990" s="177"/>
      <c r="M990" s="220"/>
      <c r="N990" s="178"/>
      <c r="O990" s="176"/>
      <c r="P990" s="178"/>
      <c r="Q990" s="105"/>
      <c r="R990" s="219"/>
      <c r="S990" s="164"/>
      <c r="T990" s="164"/>
      <c r="U990" s="162"/>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row>
    <row r="991" spans="1:67" ht="29.25" hidden="1" customHeight="1">
      <c r="A991" s="216"/>
      <c r="B991" s="217"/>
      <c r="C991" s="174"/>
      <c r="D991" s="174"/>
      <c r="E991" s="175"/>
      <c r="F991" s="162"/>
      <c r="G991" s="218"/>
      <c r="H991" s="220"/>
      <c r="I991" s="176"/>
      <c r="J991" s="177"/>
      <c r="K991" s="177"/>
      <c r="L991" s="177"/>
      <c r="M991" s="220"/>
      <c r="N991" s="178"/>
      <c r="O991" s="176"/>
      <c r="P991" s="178"/>
      <c r="Q991" s="105"/>
      <c r="R991" s="219"/>
      <c r="S991" s="164"/>
      <c r="T991" s="164"/>
      <c r="U991" s="162"/>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row>
    <row r="992" spans="1:67" ht="29.25" hidden="1" customHeight="1">
      <c r="A992" s="216"/>
      <c r="B992" s="217"/>
      <c r="C992" s="174"/>
      <c r="D992" s="174"/>
      <c r="E992" s="175"/>
      <c r="F992" s="162"/>
      <c r="G992" s="218"/>
      <c r="H992" s="220"/>
      <c r="I992" s="176"/>
      <c r="J992" s="177"/>
      <c r="K992" s="177"/>
      <c r="L992" s="177"/>
      <c r="M992" s="220"/>
      <c r="N992" s="178"/>
      <c r="O992" s="176"/>
      <c r="P992" s="178"/>
      <c r="Q992" s="105"/>
      <c r="R992" s="219"/>
      <c r="S992" s="164"/>
      <c r="T992" s="164"/>
      <c r="U992" s="162"/>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row>
    <row r="993" spans="1:67" ht="29.25" hidden="1" customHeight="1">
      <c r="A993" s="216"/>
      <c r="B993" s="217"/>
      <c r="C993" s="174"/>
      <c r="D993" s="174"/>
      <c r="E993" s="175"/>
      <c r="F993" s="162"/>
      <c r="G993" s="218"/>
      <c r="H993" s="220"/>
      <c r="I993" s="176"/>
      <c r="J993" s="177"/>
      <c r="K993" s="177"/>
      <c r="L993" s="177"/>
      <c r="M993" s="220"/>
      <c r="N993" s="178"/>
      <c r="O993" s="176"/>
      <c r="P993" s="178"/>
      <c r="Q993" s="105"/>
      <c r="R993" s="219"/>
      <c r="S993" s="164"/>
      <c r="T993" s="164"/>
      <c r="U993" s="162"/>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row>
    <row r="994" spans="1:67" ht="29.25" hidden="1" customHeight="1">
      <c r="A994" s="216"/>
      <c r="B994" s="217"/>
      <c r="C994" s="174"/>
      <c r="D994" s="174"/>
      <c r="E994" s="175"/>
      <c r="F994" s="162"/>
      <c r="G994" s="218"/>
      <c r="H994" s="220"/>
      <c r="I994" s="176"/>
      <c r="J994" s="177"/>
      <c r="K994" s="177"/>
      <c r="L994" s="177"/>
      <c r="M994" s="220"/>
      <c r="N994" s="178"/>
      <c r="O994" s="176"/>
      <c r="P994" s="178"/>
      <c r="Q994" s="105"/>
      <c r="R994" s="219"/>
      <c r="S994" s="164"/>
      <c r="T994" s="164"/>
      <c r="U994" s="162"/>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row>
    <row r="995" spans="1:67" ht="29.25" hidden="1" customHeight="1">
      <c r="A995" s="216"/>
      <c r="B995" s="217"/>
      <c r="C995" s="174"/>
      <c r="D995" s="174"/>
      <c r="E995" s="175"/>
      <c r="F995" s="162"/>
      <c r="G995" s="218"/>
      <c r="H995" s="220"/>
      <c r="I995" s="176"/>
      <c r="J995" s="177"/>
      <c r="K995" s="177"/>
      <c r="L995" s="177"/>
      <c r="M995" s="220"/>
      <c r="N995" s="178"/>
      <c r="O995" s="176"/>
      <c r="P995" s="178"/>
      <c r="Q995" s="105"/>
      <c r="R995" s="219"/>
      <c r="S995" s="164"/>
      <c r="T995" s="164"/>
      <c r="U995" s="162"/>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row>
    <row r="996" spans="1:67" ht="29.25" hidden="1" customHeight="1">
      <c r="A996" s="216"/>
      <c r="B996" s="217"/>
      <c r="C996" s="174"/>
      <c r="D996" s="174"/>
      <c r="E996" s="175"/>
      <c r="F996" s="162"/>
      <c r="G996" s="218"/>
      <c r="H996" s="220"/>
      <c r="I996" s="176"/>
      <c r="J996" s="177"/>
      <c r="K996" s="177"/>
      <c r="L996" s="177"/>
      <c r="M996" s="220"/>
      <c r="N996" s="178"/>
      <c r="O996" s="176"/>
      <c r="P996" s="178"/>
      <c r="Q996" s="105"/>
      <c r="R996" s="219"/>
      <c r="S996" s="164"/>
      <c r="T996" s="164"/>
      <c r="U996" s="162"/>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row>
    <row r="997" spans="1:67" ht="29.25" hidden="1" customHeight="1">
      <c r="A997" s="216"/>
      <c r="B997" s="217"/>
      <c r="C997" s="174"/>
      <c r="D997" s="174"/>
      <c r="E997" s="175"/>
      <c r="F997" s="162"/>
      <c r="G997" s="218"/>
      <c r="H997" s="220"/>
      <c r="I997" s="176"/>
      <c r="J997" s="177"/>
      <c r="K997" s="177"/>
      <c r="L997" s="177"/>
      <c r="M997" s="220"/>
      <c r="N997" s="178"/>
      <c r="O997" s="176"/>
      <c r="P997" s="178"/>
      <c r="Q997" s="105"/>
      <c r="R997" s="219"/>
      <c r="S997" s="164"/>
      <c r="T997" s="164"/>
      <c r="U997" s="162"/>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row>
    <row r="998" spans="1:67" ht="29.25" hidden="1" customHeight="1">
      <c r="A998" s="216"/>
      <c r="B998" s="217"/>
      <c r="C998" s="174"/>
      <c r="D998" s="174"/>
      <c r="E998" s="175"/>
      <c r="F998" s="162"/>
      <c r="G998" s="218"/>
      <c r="H998" s="220"/>
      <c r="I998" s="176"/>
      <c r="J998" s="177"/>
      <c r="K998" s="177"/>
      <c r="L998" s="177"/>
      <c r="M998" s="220"/>
      <c r="N998" s="178"/>
      <c r="O998" s="176"/>
      <c r="P998" s="178"/>
      <c r="Q998" s="105"/>
      <c r="R998" s="219"/>
      <c r="S998" s="164"/>
      <c r="T998" s="164"/>
      <c r="U998" s="162"/>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row>
    <row r="999" spans="1:67" ht="29.25" hidden="1" customHeight="1">
      <c r="A999" s="216"/>
      <c r="B999" s="217"/>
      <c r="C999" s="174"/>
      <c r="D999" s="174"/>
      <c r="E999" s="175"/>
      <c r="F999" s="162"/>
      <c r="G999" s="218"/>
      <c r="H999" s="220"/>
      <c r="I999" s="176"/>
      <c r="J999" s="177"/>
      <c r="K999" s="177"/>
      <c r="L999" s="177"/>
      <c r="M999" s="220"/>
      <c r="N999" s="178"/>
      <c r="O999" s="176"/>
      <c r="P999" s="178"/>
      <c r="Q999" s="105"/>
      <c r="R999" s="219"/>
      <c r="S999" s="164"/>
      <c r="T999" s="164"/>
      <c r="U999" s="162"/>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row>
    <row r="1000" spans="1:67" ht="29.25" hidden="1" customHeight="1">
      <c r="A1000" s="216"/>
      <c r="B1000" s="217"/>
      <c r="C1000" s="174"/>
      <c r="D1000" s="174"/>
      <c r="E1000" s="175"/>
      <c r="F1000" s="162"/>
      <c r="G1000" s="218"/>
      <c r="H1000" s="220"/>
      <c r="I1000" s="176"/>
      <c r="J1000" s="177"/>
      <c r="K1000" s="177"/>
      <c r="L1000" s="177"/>
      <c r="M1000" s="220"/>
      <c r="N1000" s="178"/>
      <c r="O1000" s="176"/>
      <c r="P1000" s="178"/>
      <c r="Q1000" s="105"/>
      <c r="R1000" s="219"/>
      <c r="S1000" s="164"/>
      <c r="T1000" s="164"/>
      <c r="U1000" s="162"/>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row>
    <row r="1001" spans="1:67" ht="29.25" hidden="1" customHeight="1">
      <c r="A1001" s="216"/>
      <c r="B1001" s="217"/>
      <c r="C1001" s="174"/>
      <c r="D1001" s="174"/>
      <c r="E1001" s="175"/>
      <c r="F1001" s="162"/>
      <c r="G1001" s="218"/>
      <c r="H1001" s="220"/>
      <c r="I1001" s="176"/>
      <c r="J1001" s="177"/>
      <c r="K1001" s="177"/>
      <c r="L1001" s="177"/>
      <c r="M1001" s="220"/>
      <c r="N1001" s="178"/>
      <c r="O1001" s="176"/>
      <c r="P1001" s="178"/>
      <c r="Q1001" s="105"/>
      <c r="R1001" s="219"/>
      <c r="S1001" s="164"/>
      <c r="T1001" s="164"/>
      <c r="U1001" s="162"/>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row>
    <row r="1002" spans="1:67" ht="29.25" hidden="1" customHeight="1">
      <c r="A1002" s="216"/>
      <c r="B1002" s="217"/>
      <c r="C1002" s="174"/>
      <c r="D1002" s="174"/>
      <c r="E1002" s="175"/>
      <c r="F1002" s="162"/>
      <c r="G1002" s="218"/>
      <c r="H1002" s="220"/>
      <c r="I1002" s="176"/>
      <c r="J1002" s="177"/>
      <c r="K1002" s="177"/>
      <c r="L1002" s="177"/>
      <c r="M1002" s="220"/>
      <c r="N1002" s="178"/>
      <c r="O1002" s="176"/>
      <c r="P1002" s="178"/>
      <c r="Q1002" s="105"/>
      <c r="R1002" s="219"/>
      <c r="S1002" s="164"/>
      <c r="T1002" s="164"/>
      <c r="U1002" s="162"/>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row>
    <row r="1003" spans="1:67" ht="29.25" hidden="1" customHeight="1">
      <c r="A1003" s="216"/>
      <c r="B1003" s="217"/>
      <c r="C1003" s="174"/>
      <c r="D1003" s="174"/>
      <c r="E1003" s="175"/>
      <c r="F1003" s="162"/>
      <c r="G1003" s="218"/>
      <c r="H1003" s="220"/>
      <c r="I1003" s="176"/>
      <c r="J1003" s="177"/>
      <c r="K1003" s="177"/>
      <c r="L1003" s="177"/>
      <c r="M1003" s="220"/>
      <c r="N1003" s="178"/>
      <c r="O1003" s="176"/>
      <c r="P1003" s="178"/>
      <c r="Q1003" s="105"/>
      <c r="R1003" s="219"/>
      <c r="S1003" s="164"/>
      <c r="T1003" s="164"/>
      <c r="U1003" s="162"/>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row>
    <row r="1004" spans="1:67" ht="29.25" hidden="1" customHeight="1">
      <c r="A1004" s="216"/>
      <c r="B1004" s="217"/>
      <c r="C1004" s="174"/>
      <c r="D1004" s="174"/>
      <c r="E1004" s="175"/>
      <c r="F1004" s="162"/>
      <c r="G1004" s="218"/>
      <c r="H1004" s="220"/>
      <c r="I1004" s="176"/>
      <c r="J1004" s="177"/>
      <c r="K1004" s="177"/>
      <c r="L1004" s="177"/>
      <c r="M1004" s="220"/>
      <c r="N1004" s="178"/>
      <c r="O1004" s="176"/>
      <c r="P1004" s="178"/>
      <c r="Q1004" s="105"/>
      <c r="R1004" s="219"/>
      <c r="S1004" s="164"/>
      <c r="T1004" s="164"/>
      <c r="U1004" s="162"/>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row>
    <row r="1005" spans="1:67" ht="29.25" hidden="1" customHeight="1">
      <c r="A1005" s="216"/>
      <c r="B1005" s="217"/>
      <c r="C1005" s="174"/>
      <c r="D1005" s="174"/>
      <c r="E1005" s="175"/>
      <c r="F1005" s="162"/>
      <c r="G1005" s="218"/>
      <c r="H1005" s="220"/>
      <c r="I1005" s="176"/>
      <c r="J1005" s="177"/>
      <c r="K1005" s="177"/>
      <c r="L1005" s="177"/>
      <c r="M1005" s="220"/>
      <c r="N1005" s="178"/>
      <c r="O1005" s="176"/>
      <c r="P1005" s="178"/>
      <c r="Q1005" s="105"/>
      <c r="R1005" s="219"/>
      <c r="S1005" s="164"/>
      <c r="T1005" s="164"/>
      <c r="U1005" s="162"/>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row>
    <row r="1006" spans="1:67" ht="29.25" hidden="1" customHeight="1">
      <c r="A1006" s="216"/>
      <c r="B1006" s="217"/>
      <c r="C1006" s="174"/>
      <c r="D1006" s="174"/>
      <c r="E1006" s="175"/>
      <c r="F1006" s="162"/>
      <c r="G1006" s="218"/>
      <c r="H1006" s="220"/>
      <c r="I1006" s="176"/>
      <c r="J1006" s="177"/>
      <c r="K1006" s="177"/>
      <c r="L1006" s="177"/>
      <c r="M1006" s="220"/>
      <c r="N1006" s="178"/>
      <c r="O1006" s="176"/>
      <c r="P1006" s="178"/>
      <c r="Q1006" s="105"/>
      <c r="R1006" s="219"/>
      <c r="S1006" s="164"/>
      <c r="T1006" s="164"/>
      <c r="U1006" s="162"/>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row>
    <row r="1007" spans="1:67" ht="29.25" hidden="1" customHeight="1">
      <c r="A1007" s="216"/>
      <c r="B1007" s="217"/>
      <c r="C1007" s="174"/>
      <c r="D1007" s="174"/>
      <c r="E1007" s="175"/>
      <c r="F1007" s="162"/>
      <c r="G1007" s="218"/>
      <c r="H1007" s="220"/>
      <c r="I1007" s="176"/>
      <c r="J1007" s="177"/>
      <c r="K1007" s="177"/>
      <c r="L1007" s="177"/>
      <c r="M1007" s="220"/>
      <c r="N1007" s="178"/>
      <c r="O1007" s="176"/>
      <c r="P1007" s="178"/>
      <c r="Q1007" s="105"/>
      <c r="R1007" s="219"/>
      <c r="S1007" s="164"/>
      <c r="T1007" s="164"/>
      <c r="U1007" s="162"/>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row>
    <row r="1008" spans="1:67" ht="29.25" hidden="1" customHeight="1">
      <c r="A1008" s="216"/>
      <c r="B1008" s="217"/>
      <c r="C1008" s="174"/>
      <c r="D1008" s="174"/>
      <c r="E1008" s="175"/>
      <c r="F1008" s="162"/>
      <c r="G1008" s="218"/>
      <c r="H1008" s="220"/>
      <c r="I1008" s="176"/>
      <c r="J1008" s="177"/>
      <c r="K1008" s="177"/>
      <c r="L1008" s="177"/>
      <c r="M1008" s="220"/>
      <c r="N1008" s="178"/>
      <c r="O1008" s="176"/>
      <c r="P1008" s="178"/>
      <c r="Q1008" s="105"/>
      <c r="R1008" s="219"/>
      <c r="S1008" s="164"/>
      <c r="T1008" s="164"/>
      <c r="U1008" s="162"/>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row>
    <row r="1009" spans="1:67" ht="29.25" hidden="1" customHeight="1">
      <c r="A1009" s="216"/>
      <c r="B1009" s="217"/>
      <c r="C1009" s="174"/>
      <c r="D1009" s="174"/>
      <c r="E1009" s="175"/>
      <c r="F1009" s="162"/>
      <c r="G1009" s="218"/>
      <c r="H1009" s="220"/>
      <c r="I1009" s="176"/>
      <c r="J1009" s="177"/>
      <c r="K1009" s="177"/>
      <c r="L1009" s="177"/>
      <c r="M1009" s="220"/>
      <c r="N1009" s="178"/>
      <c r="O1009" s="176"/>
      <c r="P1009" s="178"/>
      <c r="Q1009" s="105"/>
      <c r="R1009" s="219"/>
      <c r="S1009" s="164"/>
      <c r="T1009" s="164"/>
      <c r="U1009" s="162"/>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row>
    <row r="1010" spans="1:67" ht="29.25" hidden="1" customHeight="1">
      <c r="A1010" s="216"/>
      <c r="B1010" s="217"/>
      <c r="C1010" s="174"/>
      <c r="D1010" s="174"/>
      <c r="E1010" s="175"/>
      <c r="F1010" s="162"/>
      <c r="G1010" s="218"/>
      <c r="H1010" s="220"/>
      <c r="I1010" s="176"/>
      <c r="J1010" s="177"/>
      <c r="K1010" s="177"/>
      <c r="L1010" s="177"/>
      <c r="M1010" s="220"/>
      <c r="N1010" s="178"/>
      <c r="O1010" s="176"/>
      <c r="P1010" s="178"/>
      <c r="Q1010" s="105"/>
      <c r="R1010" s="219"/>
      <c r="S1010" s="164"/>
      <c r="T1010" s="164"/>
      <c r="U1010" s="162"/>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row>
    <row r="1011" spans="1:67" ht="29.25" hidden="1" customHeight="1">
      <c r="A1011" s="216"/>
      <c r="B1011" s="217"/>
      <c r="C1011" s="174"/>
      <c r="D1011" s="174"/>
      <c r="E1011" s="175"/>
      <c r="F1011" s="162"/>
      <c r="G1011" s="218"/>
      <c r="H1011" s="220"/>
      <c r="I1011" s="176"/>
      <c r="J1011" s="177"/>
      <c r="K1011" s="177"/>
      <c r="L1011" s="177"/>
      <c r="M1011" s="220"/>
      <c r="N1011" s="178"/>
      <c r="O1011" s="176"/>
      <c r="P1011" s="178"/>
      <c r="Q1011" s="105"/>
      <c r="R1011" s="219"/>
      <c r="S1011" s="164"/>
      <c r="T1011" s="164"/>
      <c r="U1011" s="162"/>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row>
    <row r="1012" spans="1:67" ht="29.25" hidden="1" customHeight="1">
      <c r="A1012" s="216"/>
      <c r="B1012" s="217"/>
      <c r="C1012" s="174"/>
      <c r="D1012" s="174"/>
      <c r="E1012" s="175"/>
      <c r="F1012" s="162"/>
      <c r="G1012" s="218"/>
      <c r="H1012" s="220"/>
      <c r="I1012" s="176"/>
      <c r="J1012" s="177"/>
      <c r="K1012" s="177"/>
      <c r="L1012" s="177"/>
      <c r="M1012" s="220"/>
      <c r="N1012" s="178"/>
      <c r="O1012" s="176"/>
      <c r="P1012" s="178"/>
      <c r="Q1012" s="105"/>
      <c r="R1012" s="219"/>
      <c r="S1012" s="164"/>
      <c r="T1012" s="164"/>
      <c r="U1012" s="162"/>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row>
    <row r="1013" spans="1:67" ht="29.25" hidden="1" customHeight="1">
      <c r="A1013" s="216"/>
      <c r="B1013" s="217"/>
      <c r="C1013" s="174"/>
      <c r="D1013" s="174"/>
      <c r="E1013" s="175"/>
      <c r="F1013" s="162"/>
      <c r="G1013" s="218"/>
      <c r="H1013" s="220"/>
      <c r="I1013" s="176"/>
      <c r="J1013" s="177"/>
      <c r="K1013" s="177"/>
      <c r="L1013" s="177"/>
      <c r="M1013" s="220"/>
      <c r="N1013" s="178"/>
      <c r="O1013" s="176"/>
      <c r="P1013" s="178"/>
      <c r="Q1013" s="105"/>
      <c r="R1013" s="219"/>
      <c r="S1013" s="164"/>
      <c r="T1013" s="164"/>
      <c r="U1013" s="162"/>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row>
    <row r="1014" spans="1:67" ht="29.25" hidden="1" customHeight="1">
      <c r="A1014" s="216"/>
      <c r="B1014" s="217"/>
      <c r="C1014" s="174"/>
      <c r="D1014" s="174"/>
      <c r="E1014" s="175"/>
      <c r="F1014" s="162"/>
      <c r="G1014" s="218"/>
      <c r="H1014" s="220"/>
      <c r="I1014" s="176"/>
      <c r="J1014" s="177"/>
      <c r="K1014" s="177"/>
      <c r="L1014" s="177"/>
      <c r="M1014" s="220"/>
      <c r="N1014" s="178"/>
      <c r="O1014" s="176"/>
      <c r="P1014" s="178"/>
      <c r="Q1014" s="105"/>
      <c r="R1014" s="219"/>
      <c r="S1014" s="164"/>
      <c r="T1014" s="164"/>
      <c r="U1014" s="162"/>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row>
    <row r="1015" spans="1:67" ht="29.25" hidden="1" customHeight="1">
      <c r="A1015" s="216"/>
      <c r="B1015" s="217"/>
      <c r="C1015" s="174"/>
      <c r="D1015" s="174"/>
      <c r="E1015" s="175"/>
      <c r="F1015" s="162"/>
      <c r="G1015" s="218"/>
      <c r="H1015" s="220"/>
      <c r="I1015" s="176"/>
      <c r="J1015" s="177"/>
      <c r="K1015" s="177"/>
      <c r="L1015" s="177"/>
      <c r="M1015" s="220"/>
      <c r="N1015" s="178"/>
      <c r="O1015" s="176"/>
      <c r="P1015" s="178"/>
      <c r="Q1015" s="105"/>
      <c r="R1015" s="219"/>
      <c r="S1015" s="164"/>
      <c r="T1015" s="164"/>
      <c r="U1015" s="162"/>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row>
    <row r="1016" spans="1:67" ht="29.25" hidden="1" customHeight="1">
      <c r="A1016" s="216"/>
      <c r="B1016" s="217"/>
      <c r="C1016" s="174"/>
      <c r="D1016" s="174"/>
      <c r="E1016" s="175"/>
      <c r="F1016" s="162"/>
      <c r="G1016" s="218"/>
      <c r="H1016" s="220"/>
      <c r="I1016" s="176"/>
      <c r="J1016" s="177"/>
      <c r="K1016" s="177"/>
      <c r="L1016" s="177"/>
      <c r="M1016" s="220"/>
      <c r="N1016" s="178"/>
      <c r="O1016" s="176"/>
      <c r="P1016" s="178"/>
      <c r="Q1016" s="105"/>
      <c r="R1016" s="219"/>
      <c r="S1016" s="164"/>
      <c r="T1016" s="164"/>
      <c r="U1016" s="162"/>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row>
    <row r="1017" spans="1:67" ht="29.25" hidden="1" customHeight="1">
      <c r="A1017" s="216"/>
      <c r="B1017" s="217"/>
      <c r="C1017" s="174"/>
      <c r="D1017" s="174"/>
      <c r="E1017" s="175"/>
      <c r="F1017" s="162"/>
      <c r="G1017" s="218"/>
      <c r="H1017" s="220"/>
      <c r="I1017" s="176"/>
      <c r="J1017" s="177"/>
      <c r="K1017" s="177"/>
      <c r="L1017" s="177"/>
      <c r="M1017" s="220"/>
      <c r="N1017" s="178"/>
      <c r="O1017" s="176"/>
      <c r="P1017" s="178"/>
      <c r="Q1017" s="105"/>
      <c r="R1017" s="219"/>
      <c r="S1017" s="164"/>
      <c r="T1017" s="164"/>
      <c r="U1017" s="162"/>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row>
    <row r="1018" spans="1:67" ht="29.25" hidden="1" customHeight="1">
      <c r="A1018" s="216"/>
      <c r="B1018" s="217"/>
      <c r="C1018" s="174"/>
      <c r="D1018" s="174"/>
      <c r="E1018" s="175"/>
      <c r="F1018" s="162"/>
      <c r="G1018" s="218"/>
      <c r="H1018" s="220"/>
      <c r="I1018" s="176"/>
      <c r="J1018" s="177"/>
      <c r="K1018" s="177"/>
      <c r="L1018" s="177"/>
      <c r="M1018" s="220"/>
      <c r="N1018" s="178"/>
      <c r="O1018" s="176"/>
      <c r="P1018" s="178"/>
      <c r="Q1018" s="105"/>
      <c r="R1018" s="219"/>
      <c r="S1018" s="164"/>
      <c r="T1018" s="164"/>
      <c r="U1018" s="162"/>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row>
    <row r="1019" spans="1:67" ht="29.25" hidden="1" customHeight="1">
      <c r="A1019" s="216"/>
      <c r="B1019" s="217"/>
      <c r="C1019" s="174"/>
      <c r="D1019" s="174"/>
      <c r="E1019" s="175"/>
      <c r="F1019" s="162"/>
      <c r="G1019" s="218"/>
      <c r="H1019" s="220"/>
      <c r="I1019" s="176"/>
      <c r="J1019" s="177"/>
      <c r="K1019" s="177"/>
      <c r="L1019" s="177"/>
      <c r="M1019" s="220"/>
      <c r="N1019" s="178"/>
      <c r="O1019" s="176"/>
      <c r="P1019" s="178"/>
      <c r="Q1019" s="105"/>
      <c r="R1019" s="219"/>
      <c r="S1019" s="164"/>
      <c r="T1019" s="164"/>
      <c r="U1019" s="162"/>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row>
    <row r="1020" spans="1:67" ht="29.25" hidden="1" customHeight="1">
      <c r="A1020" s="216"/>
      <c r="B1020" s="217"/>
      <c r="C1020" s="174"/>
      <c r="D1020" s="174"/>
      <c r="E1020" s="175"/>
      <c r="F1020" s="162"/>
      <c r="G1020" s="218"/>
      <c r="H1020" s="220"/>
      <c r="I1020" s="176"/>
      <c r="J1020" s="177"/>
      <c r="K1020" s="177"/>
      <c r="L1020" s="177"/>
      <c r="M1020" s="220"/>
      <c r="N1020" s="178"/>
      <c r="O1020" s="176"/>
      <c r="P1020" s="178"/>
      <c r="Q1020" s="105"/>
      <c r="R1020" s="219"/>
      <c r="S1020" s="164"/>
      <c r="T1020" s="164"/>
      <c r="U1020" s="162"/>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row>
    <row r="1021" spans="1:67" ht="29.25" hidden="1" customHeight="1">
      <c r="A1021" s="216"/>
      <c r="B1021" s="217"/>
      <c r="C1021" s="174"/>
      <c r="D1021" s="174"/>
      <c r="E1021" s="175"/>
      <c r="F1021" s="162"/>
      <c r="G1021" s="218"/>
      <c r="H1021" s="220"/>
      <c r="I1021" s="176"/>
      <c r="J1021" s="177"/>
      <c r="K1021" s="177"/>
      <c r="L1021" s="177"/>
      <c r="M1021" s="220"/>
      <c r="N1021" s="178"/>
      <c r="O1021" s="176"/>
      <c r="P1021" s="178"/>
      <c r="Q1021" s="105"/>
      <c r="R1021" s="219"/>
      <c r="S1021" s="164"/>
      <c r="T1021" s="164"/>
      <c r="U1021" s="162"/>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row>
    <row r="1022" spans="1:67" ht="29.25" hidden="1" customHeight="1">
      <c r="A1022" s="216"/>
      <c r="B1022" s="217"/>
      <c r="C1022" s="174"/>
      <c r="D1022" s="174"/>
      <c r="E1022" s="175"/>
      <c r="F1022" s="162"/>
      <c r="G1022" s="218"/>
      <c r="H1022" s="220"/>
      <c r="I1022" s="176"/>
      <c r="J1022" s="177"/>
      <c r="K1022" s="177"/>
      <c r="L1022" s="177"/>
      <c r="M1022" s="220"/>
      <c r="N1022" s="178"/>
      <c r="O1022" s="176"/>
      <c r="P1022" s="178"/>
      <c r="Q1022" s="105"/>
      <c r="R1022" s="219"/>
      <c r="S1022" s="164"/>
      <c r="T1022" s="164"/>
      <c r="U1022" s="162"/>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row>
    <row r="1023" spans="1:67" ht="29.25" hidden="1" customHeight="1">
      <c r="A1023" s="216"/>
      <c r="B1023" s="217"/>
      <c r="C1023" s="174"/>
      <c r="D1023" s="174"/>
      <c r="E1023" s="175"/>
      <c r="F1023" s="162"/>
      <c r="G1023" s="218"/>
      <c r="H1023" s="220"/>
      <c r="I1023" s="176"/>
      <c r="J1023" s="177"/>
      <c r="K1023" s="177"/>
      <c r="L1023" s="177"/>
      <c r="M1023" s="220"/>
      <c r="N1023" s="178"/>
      <c r="O1023" s="176"/>
      <c r="P1023" s="178"/>
      <c r="Q1023" s="105"/>
      <c r="R1023" s="219"/>
      <c r="S1023" s="164"/>
      <c r="T1023" s="164"/>
      <c r="U1023" s="162"/>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row>
    <row r="1024" spans="1:67" ht="29.25" hidden="1" customHeight="1">
      <c r="A1024" s="216"/>
      <c r="B1024" s="217"/>
      <c r="C1024" s="174"/>
      <c r="D1024" s="174"/>
      <c r="E1024" s="175"/>
      <c r="F1024" s="162"/>
      <c r="G1024" s="218"/>
      <c r="H1024" s="220"/>
      <c r="I1024" s="176"/>
      <c r="J1024" s="177"/>
      <c r="K1024" s="177"/>
      <c r="L1024" s="177"/>
      <c r="M1024" s="220"/>
      <c r="N1024" s="178"/>
      <c r="O1024" s="176"/>
      <c r="P1024" s="178"/>
      <c r="Q1024" s="105"/>
      <c r="R1024" s="219"/>
      <c r="S1024" s="164"/>
      <c r="T1024" s="164"/>
      <c r="U1024" s="162"/>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row>
    <row r="1025" spans="1:67" ht="29.25" hidden="1" customHeight="1">
      <c r="A1025" s="216"/>
      <c r="B1025" s="217"/>
      <c r="C1025" s="174"/>
      <c r="D1025" s="174"/>
      <c r="E1025" s="175"/>
      <c r="F1025" s="162"/>
      <c r="G1025" s="218"/>
      <c r="H1025" s="220"/>
      <c r="I1025" s="176"/>
      <c r="J1025" s="177"/>
      <c r="K1025" s="177"/>
      <c r="L1025" s="177"/>
      <c r="M1025" s="220"/>
      <c r="N1025" s="178"/>
      <c r="O1025" s="176"/>
      <c r="P1025" s="178"/>
      <c r="Q1025" s="105"/>
      <c r="R1025" s="219"/>
      <c r="S1025" s="164"/>
      <c r="T1025" s="164"/>
      <c r="U1025" s="162"/>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row>
    <row r="1026" spans="1:67" ht="29.25" hidden="1" customHeight="1">
      <c r="A1026" s="216"/>
      <c r="B1026" s="217"/>
      <c r="C1026" s="174"/>
      <c r="D1026" s="174"/>
      <c r="E1026" s="175"/>
      <c r="F1026" s="162"/>
      <c r="G1026" s="218"/>
      <c r="H1026" s="220"/>
      <c r="I1026" s="176"/>
      <c r="J1026" s="177"/>
      <c r="K1026" s="177"/>
      <c r="L1026" s="177"/>
      <c r="M1026" s="220"/>
      <c r="N1026" s="178"/>
      <c r="O1026" s="176"/>
      <c r="P1026" s="178"/>
      <c r="Q1026" s="105"/>
      <c r="R1026" s="219"/>
      <c r="S1026" s="164"/>
      <c r="T1026" s="164"/>
      <c r="U1026" s="162"/>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row>
    <row r="1027" spans="1:67" ht="29.25" hidden="1" customHeight="1">
      <c r="A1027" s="216"/>
      <c r="B1027" s="217"/>
      <c r="C1027" s="174"/>
      <c r="D1027" s="174"/>
      <c r="E1027" s="175"/>
      <c r="F1027" s="162"/>
      <c r="G1027" s="218"/>
      <c r="H1027" s="220"/>
      <c r="I1027" s="176"/>
      <c r="J1027" s="177"/>
      <c r="K1027" s="177"/>
      <c r="L1027" s="177"/>
      <c r="M1027" s="220"/>
      <c r="N1027" s="178"/>
      <c r="O1027" s="176"/>
      <c r="P1027" s="178"/>
      <c r="Q1027" s="105"/>
      <c r="R1027" s="219"/>
      <c r="S1027" s="164"/>
      <c r="T1027" s="164"/>
      <c r="U1027" s="162"/>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row>
    <row r="1028" spans="1:67" ht="29.25" hidden="1" customHeight="1">
      <c r="A1028" s="216"/>
      <c r="B1028" s="217"/>
      <c r="C1028" s="174"/>
      <c r="D1028" s="174"/>
      <c r="E1028" s="175"/>
      <c r="F1028" s="162"/>
      <c r="G1028" s="218"/>
      <c r="H1028" s="220"/>
      <c r="I1028" s="176"/>
      <c r="J1028" s="177"/>
      <c r="K1028" s="177"/>
      <c r="L1028" s="177"/>
      <c r="M1028" s="220"/>
      <c r="N1028" s="178"/>
      <c r="O1028" s="176"/>
      <c r="P1028" s="178"/>
      <c r="Q1028" s="105"/>
      <c r="R1028" s="219"/>
      <c r="S1028" s="164"/>
      <c r="T1028" s="164"/>
      <c r="U1028" s="162"/>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row>
    <row r="1029" spans="1:67" ht="29.25" hidden="1" customHeight="1">
      <c r="A1029" s="216"/>
      <c r="B1029" s="217"/>
      <c r="C1029" s="174"/>
      <c r="D1029" s="174"/>
      <c r="E1029" s="175"/>
      <c r="F1029" s="162"/>
      <c r="G1029" s="218"/>
      <c r="H1029" s="220"/>
      <c r="I1029" s="176"/>
      <c r="J1029" s="177"/>
      <c r="K1029" s="177"/>
      <c r="L1029" s="177"/>
      <c r="M1029" s="220"/>
      <c r="N1029" s="178"/>
      <c r="O1029" s="176"/>
      <c r="P1029" s="178"/>
      <c r="Q1029" s="105"/>
      <c r="R1029" s="219"/>
      <c r="S1029" s="164"/>
      <c r="T1029" s="164"/>
      <c r="U1029" s="162"/>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row>
    <row r="1030" spans="1:67" ht="29.25" hidden="1" customHeight="1">
      <c r="A1030" s="216"/>
      <c r="B1030" s="217"/>
      <c r="C1030" s="174"/>
      <c r="D1030" s="174"/>
      <c r="E1030" s="175"/>
      <c r="F1030" s="162"/>
      <c r="G1030" s="218"/>
      <c r="H1030" s="220"/>
      <c r="I1030" s="176"/>
      <c r="J1030" s="177"/>
      <c r="K1030" s="177"/>
      <c r="L1030" s="177"/>
      <c r="M1030" s="220"/>
      <c r="N1030" s="178"/>
      <c r="O1030" s="176"/>
      <c r="P1030" s="178"/>
      <c r="Q1030" s="105"/>
      <c r="R1030" s="219"/>
      <c r="S1030" s="164"/>
      <c r="T1030" s="164"/>
      <c r="U1030" s="162"/>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row>
    <row r="1031" spans="1:67" ht="29.25" hidden="1" customHeight="1">
      <c r="A1031" s="216"/>
      <c r="B1031" s="217"/>
      <c r="C1031" s="174"/>
      <c r="D1031" s="174"/>
      <c r="E1031" s="175"/>
      <c r="F1031" s="162"/>
      <c r="G1031" s="218"/>
      <c r="H1031" s="220"/>
      <c r="I1031" s="176"/>
      <c r="J1031" s="177"/>
      <c r="K1031" s="177"/>
      <c r="L1031" s="177"/>
      <c r="M1031" s="220"/>
      <c r="N1031" s="178"/>
      <c r="O1031" s="176"/>
      <c r="P1031" s="178"/>
      <c r="Q1031" s="105"/>
      <c r="R1031" s="219"/>
      <c r="S1031" s="164"/>
      <c r="T1031" s="164"/>
      <c r="U1031" s="162"/>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row>
    <row r="1032" spans="1:67" ht="29.25" hidden="1" customHeight="1">
      <c r="A1032" s="216"/>
      <c r="B1032" s="217"/>
      <c r="C1032" s="174"/>
      <c r="D1032" s="174"/>
      <c r="E1032" s="175"/>
      <c r="F1032" s="162"/>
      <c r="G1032" s="218"/>
      <c r="H1032" s="220"/>
      <c r="I1032" s="176"/>
      <c r="J1032" s="177"/>
      <c r="K1032" s="177"/>
      <c r="L1032" s="177"/>
      <c r="M1032" s="220"/>
      <c r="N1032" s="178"/>
      <c r="O1032" s="176"/>
      <c r="P1032" s="178"/>
      <c r="Q1032" s="105"/>
      <c r="R1032" s="219"/>
      <c r="S1032" s="164"/>
      <c r="T1032" s="164"/>
      <c r="U1032" s="162"/>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row>
    <row r="1033" spans="1:67" ht="29.25" hidden="1" customHeight="1">
      <c r="A1033" s="216"/>
      <c r="B1033" s="217"/>
      <c r="C1033" s="174"/>
      <c r="D1033" s="174"/>
      <c r="E1033" s="175"/>
      <c r="F1033" s="162"/>
      <c r="G1033" s="218"/>
      <c r="H1033" s="220"/>
      <c r="I1033" s="176"/>
      <c r="J1033" s="177"/>
      <c r="K1033" s="177"/>
      <c r="L1033" s="177"/>
      <c r="M1033" s="220"/>
      <c r="N1033" s="178"/>
      <c r="O1033" s="176"/>
      <c r="P1033" s="178"/>
      <c r="Q1033" s="105"/>
      <c r="R1033" s="219"/>
      <c r="S1033" s="164"/>
      <c r="T1033" s="164"/>
      <c r="U1033" s="162"/>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row>
    <row r="1034" spans="1:67" ht="29.25" hidden="1" customHeight="1">
      <c r="A1034" s="216"/>
      <c r="B1034" s="217"/>
      <c r="C1034" s="174"/>
      <c r="D1034" s="174"/>
      <c r="E1034" s="175"/>
      <c r="F1034" s="162"/>
      <c r="G1034" s="218"/>
      <c r="H1034" s="220"/>
      <c r="I1034" s="176"/>
      <c r="J1034" s="177"/>
      <c r="K1034" s="177"/>
      <c r="L1034" s="177"/>
      <c r="M1034" s="220"/>
      <c r="N1034" s="178"/>
      <c r="O1034" s="176"/>
      <c r="P1034" s="178"/>
      <c r="Q1034" s="105"/>
      <c r="R1034" s="219"/>
      <c r="S1034" s="164"/>
      <c r="T1034" s="164"/>
      <c r="U1034" s="162"/>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row>
    <row r="1035" spans="1:67" ht="29.25" hidden="1" customHeight="1">
      <c r="A1035" s="216"/>
      <c r="B1035" s="217"/>
      <c r="C1035" s="174"/>
      <c r="D1035" s="174"/>
      <c r="E1035" s="175"/>
      <c r="F1035" s="162"/>
      <c r="G1035" s="218"/>
      <c r="H1035" s="220"/>
      <c r="I1035" s="176"/>
      <c r="J1035" s="177"/>
      <c r="K1035" s="177"/>
      <c r="L1035" s="177"/>
      <c r="M1035" s="220"/>
      <c r="N1035" s="178"/>
      <c r="O1035" s="176"/>
      <c r="P1035" s="178"/>
      <c r="Q1035" s="105"/>
      <c r="R1035" s="219"/>
      <c r="S1035" s="164"/>
      <c r="T1035" s="164"/>
      <c r="U1035" s="162"/>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row>
    <row r="1036" spans="1:67" ht="29.25" hidden="1" customHeight="1">
      <c r="A1036" s="216"/>
      <c r="B1036" s="217"/>
      <c r="C1036" s="174"/>
      <c r="D1036" s="174"/>
      <c r="E1036" s="175"/>
      <c r="F1036" s="162"/>
      <c r="G1036" s="218"/>
      <c r="H1036" s="220"/>
      <c r="I1036" s="176"/>
      <c r="J1036" s="177"/>
      <c r="K1036" s="177"/>
      <c r="L1036" s="177"/>
      <c r="M1036" s="220"/>
      <c r="N1036" s="178"/>
      <c r="O1036" s="176"/>
      <c r="P1036" s="178"/>
      <c r="Q1036" s="105"/>
      <c r="R1036" s="219"/>
      <c r="S1036" s="164"/>
      <c r="T1036" s="164"/>
      <c r="U1036" s="162"/>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row>
    <row r="1037" spans="1:67" ht="29.25" hidden="1" customHeight="1">
      <c r="A1037" s="216"/>
      <c r="B1037" s="217"/>
      <c r="C1037" s="174"/>
      <c r="D1037" s="174"/>
      <c r="E1037" s="175"/>
      <c r="F1037" s="162"/>
      <c r="G1037" s="218"/>
      <c r="H1037" s="220"/>
      <c r="I1037" s="176"/>
      <c r="J1037" s="177"/>
      <c r="K1037" s="177"/>
      <c r="L1037" s="177"/>
      <c r="M1037" s="220"/>
      <c r="N1037" s="178"/>
      <c r="O1037" s="176"/>
      <c r="P1037" s="178"/>
      <c r="Q1037" s="105"/>
      <c r="R1037" s="219"/>
      <c r="S1037" s="164"/>
      <c r="T1037" s="164"/>
      <c r="U1037" s="162"/>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row>
    <row r="1038" spans="1:67" ht="29.25" hidden="1" customHeight="1">
      <c r="A1038" s="216"/>
      <c r="B1038" s="217"/>
      <c r="C1038" s="174"/>
      <c r="D1038" s="174"/>
      <c r="E1038" s="175"/>
      <c r="F1038" s="162"/>
      <c r="G1038" s="218"/>
      <c r="H1038" s="220"/>
      <c r="I1038" s="176"/>
      <c r="J1038" s="177"/>
      <c r="K1038" s="177"/>
      <c r="L1038" s="177"/>
      <c r="M1038" s="220"/>
      <c r="N1038" s="178"/>
      <c r="O1038" s="176"/>
      <c r="P1038" s="178"/>
      <c r="Q1038" s="105"/>
      <c r="R1038" s="219"/>
      <c r="S1038" s="164"/>
      <c r="T1038" s="164"/>
      <c r="U1038" s="162"/>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row>
    <row r="1039" spans="1:67" ht="29.25" hidden="1" customHeight="1">
      <c r="A1039" s="216"/>
      <c r="B1039" s="217"/>
      <c r="C1039" s="174"/>
      <c r="D1039" s="174"/>
      <c r="E1039" s="175"/>
      <c r="F1039" s="162"/>
      <c r="G1039" s="218"/>
      <c r="H1039" s="220"/>
      <c r="I1039" s="176"/>
      <c r="J1039" s="177"/>
      <c r="K1039" s="177"/>
      <c r="L1039" s="177"/>
      <c r="M1039" s="220"/>
      <c r="N1039" s="178"/>
      <c r="O1039" s="176"/>
      <c r="P1039" s="178"/>
      <c r="Q1039" s="105"/>
      <c r="R1039" s="219"/>
      <c r="S1039" s="164"/>
      <c r="T1039" s="164"/>
      <c r="U1039" s="162"/>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row>
    <row r="1040" spans="1:67" ht="29.25" hidden="1" customHeight="1">
      <c r="A1040" s="216"/>
      <c r="B1040" s="217"/>
      <c r="C1040" s="174"/>
      <c r="D1040" s="174"/>
      <c r="E1040" s="175"/>
      <c r="F1040" s="162"/>
      <c r="G1040" s="218"/>
      <c r="H1040" s="220"/>
      <c r="I1040" s="176"/>
      <c r="J1040" s="177"/>
      <c r="K1040" s="177"/>
      <c r="L1040" s="177"/>
      <c r="M1040" s="220"/>
      <c r="N1040" s="178"/>
      <c r="O1040" s="176"/>
      <c r="P1040" s="178"/>
      <c r="Q1040" s="105"/>
      <c r="R1040" s="219"/>
      <c r="S1040" s="164"/>
      <c r="T1040" s="164"/>
      <c r="U1040" s="162"/>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row>
    <row r="1041" spans="1:67" ht="29.25" hidden="1" customHeight="1">
      <c r="A1041" s="216"/>
      <c r="B1041" s="217"/>
      <c r="C1041" s="174"/>
      <c r="D1041" s="174"/>
      <c r="E1041" s="175"/>
      <c r="F1041" s="162"/>
      <c r="G1041" s="218"/>
      <c r="H1041" s="220"/>
      <c r="I1041" s="176"/>
      <c r="J1041" s="177"/>
      <c r="K1041" s="177"/>
      <c r="L1041" s="177"/>
      <c r="M1041" s="220"/>
      <c r="N1041" s="178"/>
      <c r="O1041" s="176"/>
      <c r="P1041" s="178"/>
      <c r="Q1041" s="105"/>
      <c r="R1041" s="219"/>
      <c r="S1041" s="164"/>
      <c r="T1041" s="164"/>
      <c r="U1041" s="162"/>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row>
    <row r="1042" spans="1:67" ht="29.25" hidden="1" customHeight="1">
      <c r="A1042" s="216"/>
      <c r="B1042" s="217"/>
      <c r="C1042" s="174"/>
      <c r="D1042" s="174"/>
      <c r="E1042" s="175"/>
      <c r="F1042" s="162"/>
      <c r="G1042" s="218"/>
      <c r="H1042" s="220"/>
      <c r="I1042" s="176"/>
      <c r="J1042" s="177"/>
      <c r="K1042" s="177"/>
      <c r="L1042" s="177"/>
      <c r="M1042" s="220"/>
      <c r="N1042" s="178"/>
      <c r="O1042" s="176"/>
      <c r="P1042" s="178"/>
      <c r="Q1042" s="105"/>
      <c r="R1042" s="219"/>
      <c r="S1042" s="164"/>
      <c r="T1042" s="164"/>
      <c r="U1042" s="162"/>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row>
    <row r="1043" spans="1:67" ht="29.25" hidden="1" customHeight="1">
      <c r="A1043" s="216"/>
      <c r="B1043" s="217"/>
      <c r="C1043" s="174"/>
      <c r="D1043" s="174"/>
      <c r="E1043" s="175"/>
      <c r="F1043" s="162"/>
      <c r="G1043" s="218"/>
      <c r="H1043" s="220"/>
      <c r="I1043" s="176"/>
      <c r="J1043" s="177"/>
      <c r="K1043" s="177"/>
      <c r="L1043" s="177"/>
      <c r="M1043" s="220"/>
      <c r="N1043" s="178"/>
      <c r="O1043" s="176"/>
      <c r="P1043" s="178"/>
      <c r="Q1043" s="105"/>
      <c r="R1043" s="219"/>
      <c r="S1043" s="164"/>
      <c r="T1043" s="164"/>
      <c r="U1043" s="162"/>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row>
    <row r="1044" spans="1:67" ht="29.25" hidden="1" customHeight="1">
      <c r="A1044" s="216"/>
      <c r="B1044" s="217"/>
      <c r="C1044" s="174"/>
      <c r="D1044" s="174"/>
      <c r="E1044" s="175"/>
      <c r="F1044" s="162"/>
      <c r="G1044" s="218"/>
      <c r="H1044" s="220"/>
      <c r="I1044" s="176"/>
      <c r="J1044" s="177"/>
      <c r="K1044" s="177"/>
      <c r="L1044" s="177"/>
      <c r="M1044" s="220"/>
      <c r="N1044" s="178"/>
      <c r="O1044" s="176"/>
      <c r="P1044" s="178"/>
      <c r="Q1044" s="105"/>
      <c r="R1044" s="219"/>
      <c r="S1044" s="164"/>
      <c r="T1044" s="164"/>
      <c r="U1044" s="162"/>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row>
    <row r="1045" spans="1:67" ht="29.25" hidden="1" customHeight="1">
      <c r="A1045" s="216"/>
      <c r="B1045" s="217"/>
      <c r="C1045" s="174"/>
      <c r="D1045" s="174"/>
      <c r="E1045" s="175"/>
      <c r="F1045" s="162"/>
      <c r="G1045" s="218"/>
      <c r="H1045" s="220"/>
      <c r="I1045" s="176"/>
      <c r="J1045" s="177"/>
      <c r="K1045" s="177"/>
      <c r="L1045" s="177"/>
      <c r="M1045" s="220"/>
      <c r="N1045" s="178"/>
      <c r="O1045" s="176"/>
      <c r="P1045" s="178"/>
      <c r="Q1045" s="105"/>
      <c r="R1045" s="219"/>
      <c r="S1045" s="164"/>
      <c r="T1045" s="164"/>
      <c r="U1045" s="162"/>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row>
    <row r="1046" spans="1:67" ht="29.25" hidden="1" customHeight="1">
      <c r="A1046" s="216"/>
      <c r="B1046" s="217"/>
      <c r="C1046" s="174"/>
      <c r="D1046" s="174"/>
      <c r="E1046" s="175"/>
      <c r="F1046" s="162"/>
      <c r="G1046" s="218"/>
      <c r="H1046" s="220"/>
      <c r="I1046" s="176"/>
      <c r="J1046" s="177"/>
      <c r="K1046" s="177"/>
      <c r="L1046" s="177"/>
      <c r="M1046" s="220"/>
      <c r="N1046" s="178"/>
      <c r="O1046" s="176"/>
      <c r="P1046" s="178"/>
      <c r="Q1046" s="105"/>
      <c r="R1046" s="219"/>
      <c r="S1046" s="164"/>
      <c r="T1046" s="164"/>
      <c r="U1046" s="162"/>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row>
    <row r="1047" spans="1:67" ht="29.25" hidden="1" customHeight="1">
      <c r="A1047" s="216"/>
      <c r="B1047" s="217"/>
      <c r="C1047" s="174"/>
      <c r="D1047" s="174"/>
      <c r="E1047" s="175"/>
      <c r="F1047" s="162"/>
      <c r="G1047" s="218"/>
      <c r="H1047" s="220"/>
      <c r="I1047" s="176"/>
      <c r="J1047" s="177"/>
      <c r="K1047" s="177"/>
      <c r="L1047" s="177"/>
      <c r="M1047" s="220"/>
      <c r="N1047" s="178"/>
      <c r="O1047" s="176"/>
      <c r="P1047" s="178"/>
      <c r="Q1047" s="105"/>
      <c r="R1047" s="219"/>
      <c r="S1047" s="164"/>
      <c r="T1047" s="164"/>
      <c r="U1047" s="162"/>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row>
    <row r="1048" spans="1:67" ht="29.25" hidden="1" customHeight="1">
      <c r="A1048" s="216"/>
      <c r="B1048" s="217"/>
      <c r="C1048" s="174"/>
      <c r="D1048" s="174"/>
      <c r="E1048" s="175"/>
      <c r="F1048" s="162"/>
      <c r="G1048" s="218"/>
      <c r="H1048" s="220"/>
      <c r="I1048" s="176"/>
      <c r="J1048" s="177"/>
      <c r="K1048" s="177"/>
      <c r="L1048" s="177"/>
      <c r="M1048" s="220"/>
      <c r="N1048" s="178"/>
      <c r="O1048" s="176"/>
      <c r="P1048" s="178"/>
      <c r="Q1048" s="105"/>
      <c r="R1048" s="219"/>
      <c r="S1048" s="164"/>
      <c r="T1048" s="164"/>
      <c r="U1048" s="162"/>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row>
    <row r="1049" spans="1:67" ht="29.25" hidden="1" customHeight="1">
      <c r="A1049" s="216"/>
      <c r="B1049" s="217"/>
      <c r="C1049" s="174"/>
      <c r="D1049" s="174"/>
      <c r="E1049" s="175"/>
      <c r="F1049" s="162"/>
      <c r="G1049" s="218"/>
      <c r="H1049" s="220"/>
      <c r="I1049" s="176"/>
      <c r="J1049" s="177"/>
      <c r="K1049" s="177"/>
      <c r="L1049" s="177"/>
      <c r="M1049" s="220"/>
      <c r="N1049" s="178"/>
      <c r="O1049" s="176"/>
      <c r="P1049" s="178"/>
      <c r="Q1049" s="105"/>
      <c r="R1049" s="219"/>
      <c r="S1049" s="164"/>
      <c r="T1049" s="164"/>
      <c r="U1049" s="162"/>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row>
    <row r="1050" spans="1:67" ht="29.25" hidden="1" customHeight="1">
      <c r="A1050" s="216"/>
      <c r="B1050" s="217"/>
      <c r="C1050" s="174"/>
      <c r="D1050" s="174"/>
      <c r="E1050" s="175"/>
      <c r="F1050" s="162"/>
      <c r="G1050" s="218"/>
      <c r="H1050" s="220"/>
      <c r="I1050" s="176"/>
      <c r="J1050" s="177"/>
      <c r="K1050" s="177"/>
      <c r="L1050" s="177"/>
      <c r="M1050" s="220"/>
      <c r="N1050" s="178"/>
      <c r="O1050" s="176"/>
      <c r="P1050" s="178"/>
      <c r="Q1050" s="105"/>
      <c r="R1050" s="219"/>
      <c r="S1050" s="164"/>
      <c r="T1050" s="164"/>
      <c r="U1050" s="162"/>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row>
    <row r="1051" spans="1:67" ht="29.25" hidden="1" customHeight="1">
      <c r="A1051" s="216"/>
      <c r="B1051" s="217"/>
      <c r="C1051" s="174"/>
      <c r="D1051" s="174"/>
      <c r="E1051" s="175"/>
      <c r="F1051" s="162"/>
      <c r="G1051" s="218"/>
      <c r="H1051" s="220"/>
      <c r="I1051" s="176"/>
      <c r="J1051" s="177"/>
      <c r="K1051" s="177"/>
      <c r="L1051" s="177"/>
      <c r="M1051" s="220"/>
      <c r="N1051" s="178"/>
      <c r="O1051" s="176"/>
      <c r="P1051" s="178"/>
      <c r="Q1051" s="105"/>
      <c r="R1051" s="219"/>
      <c r="S1051" s="164"/>
      <c r="T1051" s="164"/>
      <c r="U1051" s="162"/>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row>
    <row r="1052" spans="1:67" ht="29.25" hidden="1" customHeight="1">
      <c r="A1052" s="216"/>
      <c r="B1052" s="217"/>
      <c r="C1052" s="174"/>
      <c r="D1052" s="174"/>
      <c r="E1052" s="175"/>
      <c r="F1052" s="162"/>
      <c r="G1052" s="218"/>
      <c r="H1052" s="220"/>
      <c r="I1052" s="176"/>
      <c r="J1052" s="177"/>
      <c r="K1052" s="177"/>
      <c r="L1052" s="177"/>
      <c r="M1052" s="220"/>
      <c r="N1052" s="178"/>
      <c r="O1052" s="176"/>
      <c r="P1052" s="178"/>
      <c r="Q1052" s="105"/>
      <c r="R1052" s="219"/>
      <c r="S1052" s="164"/>
      <c r="T1052" s="164"/>
      <c r="U1052" s="162"/>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row>
    <row r="1053" spans="1:67" ht="29.25" hidden="1" customHeight="1">
      <c r="A1053" s="216"/>
      <c r="B1053" s="217"/>
      <c r="C1053" s="174"/>
      <c r="D1053" s="174"/>
      <c r="E1053" s="175"/>
      <c r="F1053" s="162"/>
      <c r="G1053" s="218"/>
      <c r="H1053" s="220"/>
      <c r="I1053" s="176"/>
      <c r="J1053" s="177"/>
      <c r="K1053" s="177"/>
      <c r="L1053" s="177"/>
      <c r="M1053" s="220"/>
      <c r="N1053" s="178"/>
      <c r="O1053" s="176"/>
      <c r="P1053" s="178"/>
      <c r="Q1053" s="105"/>
      <c r="R1053" s="219"/>
      <c r="S1053" s="164"/>
      <c r="T1053" s="164"/>
      <c r="U1053" s="162"/>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row>
    <row r="1054" spans="1:67" ht="29.25" hidden="1" customHeight="1">
      <c r="A1054" s="216"/>
      <c r="B1054" s="217"/>
      <c r="C1054" s="174"/>
      <c r="D1054" s="174"/>
      <c r="E1054" s="175"/>
      <c r="F1054" s="162"/>
      <c r="G1054" s="218"/>
      <c r="H1054" s="220"/>
      <c r="I1054" s="176"/>
      <c r="J1054" s="177"/>
      <c r="K1054" s="177"/>
      <c r="L1054" s="177"/>
      <c r="M1054" s="220"/>
      <c r="N1054" s="178"/>
      <c r="O1054" s="176"/>
      <c r="P1054" s="178"/>
      <c r="Q1054" s="105"/>
      <c r="R1054" s="219"/>
      <c r="S1054" s="164"/>
      <c r="T1054" s="164"/>
      <c r="U1054" s="162"/>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row>
    <row r="1055" spans="1:67" ht="29.25" hidden="1" customHeight="1">
      <c r="A1055" s="216"/>
      <c r="B1055" s="217"/>
      <c r="C1055" s="174"/>
      <c r="D1055" s="174"/>
      <c r="E1055" s="175"/>
      <c r="F1055" s="162"/>
      <c r="G1055" s="218"/>
      <c r="H1055" s="220"/>
      <c r="I1055" s="176"/>
      <c r="J1055" s="177"/>
      <c r="K1055" s="177"/>
      <c r="L1055" s="177"/>
      <c r="M1055" s="220"/>
      <c r="N1055" s="178"/>
      <c r="O1055" s="176"/>
      <c r="P1055" s="178"/>
      <c r="Q1055" s="105"/>
      <c r="R1055" s="219"/>
      <c r="S1055" s="164"/>
      <c r="T1055" s="164"/>
      <c r="U1055" s="162"/>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row>
    <row r="1056" spans="1:67" ht="29.25" hidden="1" customHeight="1">
      <c r="A1056" s="216"/>
      <c r="B1056" s="217"/>
      <c r="C1056" s="174"/>
      <c r="D1056" s="174"/>
      <c r="E1056" s="175"/>
      <c r="F1056" s="162"/>
      <c r="G1056" s="218"/>
      <c r="H1056" s="220"/>
      <c r="I1056" s="176"/>
      <c r="J1056" s="177"/>
      <c r="K1056" s="177"/>
      <c r="L1056" s="177"/>
      <c r="M1056" s="220"/>
      <c r="N1056" s="178"/>
      <c r="O1056" s="176"/>
      <c r="P1056" s="178"/>
      <c r="Q1056" s="105"/>
      <c r="R1056" s="219"/>
      <c r="S1056" s="164"/>
      <c r="T1056" s="164"/>
      <c r="U1056" s="162"/>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row>
    <row r="1057" spans="1:67" ht="29.25" hidden="1" customHeight="1">
      <c r="A1057" s="216"/>
      <c r="B1057" s="217"/>
      <c r="C1057" s="174"/>
      <c r="D1057" s="174"/>
      <c r="E1057" s="175"/>
      <c r="F1057" s="162"/>
      <c r="G1057" s="218"/>
      <c r="H1057" s="220"/>
      <c r="I1057" s="176"/>
      <c r="J1057" s="177"/>
      <c r="K1057" s="177"/>
      <c r="L1057" s="177"/>
      <c r="M1057" s="220"/>
      <c r="N1057" s="178"/>
      <c r="O1057" s="176"/>
      <c r="P1057" s="178"/>
      <c r="Q1057" s="105"/>
      <c r="R1057" s="219"/>
      <c r="S1057" s="164"/>
      <c r="T1057" s="164"/>
      <c r="U1057" s="162"/>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row>
    <row r="1058" spans="1:67" ht="29.25" hidden="1" customHeight="1">
      <c r="A1058" s="216"/>
      <c r="B1058" s="217"/>
      <c r="C1058" s="174"/>
      <c r="D1058" s="174"/>
      <c r="E1058" s="175"/>
      <c r="F1058" s="162"/>
      <c r="G1058" s="218"/>
      <c r="H1058" s="220"/>
      <c r="I1058" s="176"/>
      <c r="J1058" s="177"/>
      <c r="K1058" s="177"/>
      <c r="L1058" s="177"/>
      <c r="M1058" s="220"/>
      <c r="N1058" s="178"/>
      <c r="O1058" s="176"/>
      <c r="P1058" s="178"/>
      <c r="Q1058" s="105"/>
      <c r="R1058" s="219"/>
      <c r="S1058" s="164"/>
      <c r="T1058" s="164"/>
      <c r="U1058" s="162"/>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row>
    <row r="1059" spans="1:67" ht="29.25" hidden="1" customHeight="1">
      <c r="A1059" s="216"/>
      <c r="B1059" s="217"/>
      <c r="C1059" s="174"/>
      <c r="D1059" s="174"/>
      <c r="E1059" s="175"/>
      <c r="F1059" s="162"/>
      <c r="G1059" s="218"/>
      <c r="H1059" s="220"/>
      <c r="I1059" s="176"/>
      <c r="J1059" s="177"/>
      <c r="K1059" s="177"/>
      <c r="L1059" s="177"/>
      <c r="M1059" s="220"/>
      <c r="N1059" s="178"/>
      <c r="O1059" s="176"/>
      <c r="P1059" s="178"/>
      <c r="Q1059" s="105"/>
      <c r="R1059" s="219"/>
      <c r="S1059" s="164"/>
      <c r="T1059" s="164"/>
      <c r="U1059" s="162"/>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row>
    <row r="1060" spans="1:67" ht="29.25" hidden="1" customHeight="1">
      <c r="A1060" s="216"/>
      <c r="B1060" s="217"/>
      <c r="C1060" s="174"/>
      <c r="D1060" s="174"/>
      <c r="E1060" s="175"/>
      <c r="F1060" s="162"/>
      <c r="G1060" s="218"/>
      <c r="H1060" s="220"/>
      <c r="I1060" s="176"/>
      <c r="J1060" s="177"/>
      <c r="K1060" s="177"/>
      <c r="L1060" s="177"/>
      <c r="M1060" s="220"/>
      <c r="N1060" s="178"/>
      <c r="O1060" s="176"/>
      <c r="P1060" s="178"/>
      <c r="Q1060" s="105"/>
      <c r="R1060" s="219"/>
      <c r="S1060" s="164"/>
      <c r="T1060" s="164"/>
      <c r="U1060" s="162"/>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row>
    <row r="1061" spans="1:67" ht="29.25" hidden="1" customHeight="1">
      <c r="A1061" s="216"/>
      <c r="B1061" s="217"/>
      <c r="C1061" s="174"/>
      <c r="D1061" s="174"/>
      <c r="E1061" s="175"/>
      <c r="F1061" s="162"/>
      <c r="G1061" s="218"/>
      <c r="H1061" s="220"/>
      <c r="I1061" s="176"/>
      <c r="J1061" s="177"/>
      <c r="K1061" s="177"/>
      <c r="L1061" s="177"/>
      <c r="M1061" s="220"/>
      <c r="N1061" s="178"/>
      <c r="O1061" s="176"/>
      <c r="P1061" s="178"/>
      <c r="Q1061" s="105"/>
      <c r="R1061" s="219"/>
      <c r="S1061" s="164"/>
      <c r="T1061" s="164"/>
      <c r="U1061" s="162"/>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row>
    <row r="1062" spans="1:67" ht="29.25" hidden="1" customHeight="1">
      <c r="A1062" s="216"/>
      <c r="B1062" s="217"/>
      <c r="C1062" s="174"/>
      <c r="D1062" s="174"/>
      <c r="E1062" s="175"/>
      <c r="F1062" s="162"/>
      <c r="G1062" s="218"/>
      <c r="H1062" s="220"/>
      <c r="I1062" s="176"/>
      <c r="J1062" s="177"/>
      <c r="K1062" s="177"/>
      <c r="L1062" s="177"/>
      <c r="M1062" s="220"/>
      <c r="N1062" s="178"/>
      <c r="O1062" s="176"/>
      <c r="P1062" s="178"/>
      <c r="Q1062" s="105"/>
      <c r="R1062" s="219"/>
      <c r="S1062" s="164"/>
      <c r="T1062" s="164"/>
      <c r="U1062" s="162"/>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row>
    <row r="1063" spans="1:67" ht="29.25" hidden="1" customHeight="1">
      <c r="A1063" s="216"/>
      <c r="B1063" s="217"/>
      <c r="C1063" s="174"/>
      <c r="D1063" s="174"/>
      <c r="E1063" s="175"/>
      <c r="F1063" s="162"/>
      <c r="G1063" s="218"/>
      <c r="H1063" s="220"/>
      <c r="I1063" s="176"/>
      <c r="J1063" s="177"/>
      <c r="K1063" s="177"/>
      <c r="L1063" s="177"/>
      <c r="M1063" s="220"/>
      <c r="N1063" s="178"/>
      <c r="O1063" s="176"/>
      <c r="P1063" s="178"/>
      <c r="Q1063" s="105"/>
      <c r="R1063" s="219"/>
      <c r="S1063" s="164"/>
      <c r="T1063" s="164"/>
      <c r="U1063" s="162"/>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row>
    <row r="1064" spans="1:67" ht="29.25" hidden="1" customHeight="1">
      <c r="A1064" s="216"/>
      <c r="B1064" s="217"/>
      <c r="C1064" s="174"/>
      <c r="D1064" s="174"/>
      <c r="E1064" s="175"/>
      <c r="F1064" s="162"/>
      <c r="G1064" s="218"/>
      <c r="H1064" s="220"/>
      <c r="I1064" s="176"/>
      <c r="J1064" s="177"/>
      <c r="K1064" s="177"/>
      <c r="L1064" s="177"/>
      <c r="M1064" s="220"/>
      <c r="N1064" s="178"/>
      <c r="O1064" s="176"/>
      <c r="P1064" s="178"/>
      <c r="Q1064" s="105"/>
      <c r="R1064" s="219"/>
      <c r="S1064" s="164"/>
      <c r="T1064" s="164"/>
      <c r="U1064" s="162"/>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row>
    <row r="1065" spans="1:67" ht="29.25" hidden="1" customHeight="1">
      <c r="A1065" s="216"/>
      <c r="B1065" s="217"/>
      <c r="C1065" s="174"/>
      <c r="D1065" s="174"/>
      <c r="E1065" s="175"/>
      <c r="F1065" s="162"/>
      <c r="G1065" s="218"/>
      <c r="H1065" s="220"/>
      <c r="I1065" s="176"/>
      <c r="J1065" s="177"/>
      <c r="K1065" s="177"/>
      <c r="L1065" s="177"/>
      <c r="M1065" s="220"/>
      <c r="N1065" s="178"/>
      <c r="O1065" s="176"/>
      <c r="P1065" s="178"/>
      <c r="Q1065" s="105"/>
      <c r="R1065" s="219"/>
      <c r="S1065" s="164"/>
      <c r="T1065" s="164"/>
      <c r="U1065" s="162"/>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row>
    <row r="1066" spans="1:67" ht="29.25" hidden="1" customHeight="1">
      <c r="A1066" s="216"/>
      <c r="B1066" s="217"/>
      <c r="C1066" s="174"/>
      <c r="D1066" s="174"/>
      <c r="E1066" s="175"/>
      <c r="F1066" s="162"/>
      <c r="G1066" s="218"/>
      <c r="H1066" s="220"/>
      <c r="I1066" s="176"/>
      <c r="J1066" s="177"/>
      <c r="K1066" s="177"/>
      <c r="L1066" s="177"/>
      <c r="M1066" s="220"/>
      <c r="N1066" s="178"/>
      <c r="O1066" s="176"/>
      <c r="P1066" s="178"/>
      <c r="Q1066" s="105"/>
      <c r="R1066" s="219"/>
      <c r="S1066" s="164"/>
      <c r="T1066" s="164"/>
      <c r="U1066" s="162"/>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row>
    <row r="1067" spans="1:67" ht="29.25" hidden="1" customHeight="1">
      <c r="A1067" s="216"/>
      <c r="B1067" s="217"/>
      <c r="C1067" s="174"/>
      <c r="D1067" s="174"/>
      <c r="E1067" s="175"/>
      <c r="F1067" s="162"/>
      <c r="G1067" s="218"/>
      <c r="H1067" s="220"/>
      <c r="I1067" s="176"/>
      <c r="J1067" s="177"/>
      <c r="K1067" s="177"/>
      <c r="L1067" s="177"/>
      <c r="M1067" s="220"/>
      <c r="N1067" s="178"/>
      <c r="O1067" s="176"/>
      <c r="P1067" s="178"/>
      <c r="Q1067" s="105"/>
      <c r="R1067" s="219"/>
      <c r="S1067" s="164"/>
      <c r="T1067" s="164"/>
      <c r="U1067" s="162"/>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row>
    <row r="1068" spans="1:67" ht="29.25" hidden="1" customHeight="1">
      <c r="A1068" s="216"/>
      <c r="B1068" s="217"/>
      <c r="C1068" s="174"/>
      <c r="D1068" s="174"/>
      <c r="E1068" s="175"/>
      <c r="F1068" s="162"/>
      <c r="G1068" s="218"/>
      <c r="H1068" s="220"/>
      <c r="I1068" s="176"/>
      <c r="J1068" s="177"/>
      <c r="K1068" s="177"/>
      <c r="L1068" s="177"/>
      <c r="M1068" s="220"/>
      <c r="N1068" s="178"/>
      <c r="O1068" s="176"/>
      <c r="P1068" s="178"/>
      <c r="Q1068" s="105"/>
      <c r="R1068" s="219"/>
      <c r="S1068" s="164"/>
      <c r="T1068" s="164"/>
      <c r="U1068" s="162"/>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row>
    <row r="1069" spans="1:67" ht="29.25" hidden="1" customHeight="1">
      <c r="A1069" s="216"/>
      <c r="B1069" s="217"/>
      <c r="C1069" s="174"/>
      <c r="D1069" s="174"/>
      <c r="E1069" s="175"/>
      <c r="F1069" s="162"/>
      <c r="G1069" s="218"/>
      <c r="H1069" s="220"/>
      <c r="I1069" s="176"/>
      <c r="J1069" s="177"/>
      <c r="K1069" s="177"/>
      <c r="L1069" s="177"/>
      <c r="M1069" s="220"/>
      <c r="N1069" s="178"/>
      <c r="O1069" s="176"/>
      <c r="P1069" s="178"/>
      <c r="Q1069" s="105"/>
      <c r="R1069" s="219"/>
      <c r="S1069" s="164"/>
      <c r="T1069" s="164"/>
      <c r="U1069" s="162"/>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row>
    <row r="1070" spans="1:67" ht="29.25" hidden="1" customHeight="1">
      <c r="A1070" s="216"/>
      <c r="B1070" s="217"/>
      <c r="C1070" s="174"/>
      <c r="D1070" s="174"/>
      <c r="E1070" s="175"/>
      <c r="F1070" s="162"/>
      <c r="G1070" s="218"/>
      <c r="H1070" s="220"/>
      <c r="I1070" s="176"/>
      <c r="J1070" s="177"/>
      <c r="K1070" s="177"/>
      <c r="L1070" s="177"/>
      <c r="M1070" s="220"/>
      <c r="N1070" s="178"/>
      <c r="O1070" s="176"/>
      <c r="P1070" s="178"/>
      <c r="Q1070" s="105"/>
      <c r="R1070" s="219"/>
      <c r="S1070" s="164"/>
      <c r="T1070" s="164"/>
      <c r="U1070" s="162"/>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row>
    <row r="1071" spans="1:67" ht="29.25" hidden="1" customHeight="1">
      <c r="A1071" s="216"/>
      <c r="B1071" s="217"/>
      <c r="C1071" s="174"/>
      <c r="D1071" s="174"/>
      <c r="E1071" s="175"/>
      <c r="F1071" s="162"/>
      <c r="G1071" s="218"/>
      <c r="H1071" s="220"/>
      <c r="I1071" s="176"/>
      <c r="J1071" s="177"/>
      <c r="K1071" s="177"/>
      <c r="L1071" s="177"/>
      <c r="M1071" s="220"/>
      <c r="N1071" s="178"/>
      <c r="O1071" s="176"/>
      <c r="P1071" s="178"/>
      <c r="Q1071" s="105"/>
      <c r="R1071" s="219"/>
      <c r="S1071" s="164"/>
      <c r="T1071" s="164"/>
      <c r="U1071" s="162"/>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row>
    <row r="1072" spans="1:67" ht="29.25" hidden="1" customHeight="1">
      <c r="A1072" s="216"/>
      <c r="B1072" s="217"/>
      <c r="C1072" s="174"/>
      <c r="D1072" s="174"/>
      <c r="E1072" s="175"/>
      <c r="F1072" s="162"/>
      <c r="G1072" s="218"/>
      <c r="H1072" s="220"/>
      <c r="I1072" s="176"/>
      <c r="J1072" s="177"/>
      <c r="K1072" s="177"/>
      <c r="L1072" s="177"/>
      <c r="M1072" s="220"/>
      <c r="N1072" s="178"/>
      <c r="O1072" s="176"/>
      <c r="P1072" s="178"/>
      <c r="Q1072" s="105"/>
      <c r="R1072" s="219"/>
      <c r="S1072" s="164"/>
      <c r="T1072" s="164"/>
      <c r="U1072" s="162"/>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row>
    <row r="1073" spans="1:67" ht="29.25" hidden="1" customHeight="1">
      <c r="A1073" s="216"/>
      <c r="B1073" s="217"/>
      <c r="C1073" s="174"/>
      <c r="D1073" s="174"/>
      <c r="E1073" s="175"/>
      <c r="F1073" s="162"/>
      <c r="G1073" s="218"/>
      <c r="H1073" s="220"/>
      <c r="I1073" s="176"/>
      <c r="J1073" s="177"/>
      <c r="K1073" s="177"/>
      <c r="L1073" s="177"/>
      <c r="M1073" s="220"/>
      <c r="N1073" s="178"/>
      <c r="O1073" s="176"/>
      <c r="P1073" s="178"/>
      <c r="Q1073" s="105"/>
      <c r="R1073" s="219"/>
      <c r="S1073" s="164"/>
      <c r="T1073" s="164"/>
      <c r="U1073" s="162"/>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row>
    <row r="1074" spans="1:67" ht="29.25" hidden="1" customHeight="1">
      <c r="A1074" s="216"/>
      <c r="B1074" s="217"/>
      <c r="C1074" s="174"/>
      <c r="D1074" s="174"/>
      <c r="E1074" s="175"/>
      <c r="F1074" s="162"/>
      <c r="G1074" s="218"/>
      <c r="H1074" s="220"/>
      <c r="I1074" s="176"/>
      <c r="J1074" s="177"/>
      <c r="K1074" s="177"/>
      <c r="L1074" s="177"/>
      <c r="M1074" s="220"/>
      <c r="N1074" s="178"/>
      <c r="O1074" s="176"/>
      <c r="P1074" s="178"/>
      <c r="Q1074" s="105"/>
      <c r="R1074" s="219"/>
      <c r="S1074" s="164"/>
      <c r="T1074" s="164"/>
      <c r="U1074" s="162"/>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row>
    <row r="1075" spans="1:67" ht="29.25" hidden="1" customHeight="1">
      <c r="A1075" s="216"/>
      <c r="B1075" s="217"/>
      <c r="C1075" s="174"/>
      <c r="D1075" s="174"/>
      <c r="E1075" s="175"/>
      <c r="F1075" s="162"/>
      <c r="G1075" s="218"/>
      <c r="H1075" s="220"/>
      <c r="I1075" s="176"/>
      <c r="J1075" s="177"/>
      <c r="K1075" s="177"/>
      <c r="L1075" s="177"/>
      <c r="M1075" s="220"/>
      <c r="N1075" s="178"/>
      <c r="O1075" s="176"/>
      <c r="P1075" s="178"/>
      <c r="Q1075" s="105"/>
      <c r="R1075" s="219"/>
      <c r="S1075" s="164"/>
      <c r="T1075" s="164"/>
      <c r="U1075" s="162"/>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row>
    <row r="1076" spans="1:67" ht="29.25" hidden="1" customHeight="1">
      <c r="A1076" s="216"/>
      <c r="B1076" s="217"/>
      <c r="C1076" s="174"/>
      <c r="D1076" s="174"/>
      <c r="E1076" s="175"/>
      <c r="F1076" s="162"/>
      <c r="G1076" s="218"/>
      <c r="H1076" s="220"/>
      <c r="I1076" s="176"/>
      <c r="J1076" s="177"/>
      <c r="K1076" s="177"/>
      <c r="L1076" s="177"/>
      <c r="M1076" s="220"/>
      <c r="N1076" s="178"/>
      <c r="O1076" s="176"/>
      <c r="P1076" s="178"/>
      <c r="Q1076" s="105"/>
      <c r="R1076" s="219"/>
      <c r="S1076" s="164"/>
      <c r="T1076" s="164"/>
      <c r="U1076" s="162"/>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row>
    <row r="1077" spans="1:67" ht="29.25" hidden="1" customHeight="1">
      <c r="A1077" s="216"/>
      <c r="B1077" s="217"/>
      <c r="C1077" s="174"/>
      <c r="D1077" s="174"/>
      <c r="E1077" s="175"/>
      <c r="F1077" s="162"/>
      <c r="G1077" s="218"/>
      <c r="H1077" s="220"/>
      <c r="I1077" s="176"/>
      <c r="J1077" s="177"/>
      <c r="K1077" s="177"/>
      <c r="L1077" s="177"/>
      <c r="M1077" s="220"/>
      <c r="N1077" s="178"/>
      <c r="O1077" s="176"/>
      <c r="P1077" s="178"/>
      <c r="Q1077" s="105"/>
      <c r="R1077" s="219"/>
      <c r="S1077" s="164"/>
      <c r="T1077" s="164"/>
      <c r="U1077" s="162"/>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row>
    <row r="1078" spans="1:67" ht="29.25" hidden="1" customHeight="1">
      <c r="A1078" s="216"/>
      <c r="B1078" s="217"/>
      <c r="C1078" s="174"/>
      <c r="D1078" s="174"/>
      <c r="E1078" s="175"/>
      <c r="F1078" s="162"/>
      <c r="G1078" s="218"/>
      <c r="H1078" s="220"/>
      <c r="I1078" s="176"/>
      <c r="J1078" s="177"/>
      <c r="K1078" s="177"/>
      <c r="L1078" s="177"/>
      <c r="M1078" s="220"/>
      <c r="N1078" s="178"/>
      <c r="O1078" s="176"/>
      <c r="P1078" s="178"/>
      <c r="Q1078" s="105"/>
      <c r="R1078" s="219"/>
      <c r="S1078" s="164"/>
      <c r="T1078" s="164"/>
      <c r="U1078" s="162"/>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row>
    <row r="1079" spans="1:67" ht="29.25" hidden="1" customHeight="1">
      <c r="A1079" s="216"/>
      <c r="B1079" s="217"/>
      <c r="C1079" s="174"/>
      <c r="D1079" s="174"/>
      <c r="E1079" s="175"/>
      <c r="F1079" s="162"/>
      <c r="G1079" s="218"/>
      <c r="H1079" s="220"/>
      <c r="I1079" s="176"/>
      <c r="J1079" s="177"/>
      <c r="K1079" s="177"/>
      <c r="L1079" s="177"/>
      <c r="M1079" s="220"/>
      <c r="N1079" s="178"/>
      <c r="O1079" s="176"/>
      <c r="P1079" s="178"/>
      <c r="Q1079" s="105"/>
      <c r="R1079" s="219"/>
      <c r="S1079" s="164"/>
      <c r="T1079" s="164"/>
      <c r="U1079" s="162"/>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row>
    <row r="1080" spans="1:67" ht="29.25" hidden="1" customHeight="1">
      <c r="A1080" s="216"/>
      <c r="B1080" s="217"/>
      <c r="C1080" s="174"/>
      <c r="D1080" s="174"/>
      <c r="E1080" s="175"/>
      <c r="F1080" s="162"/>
      <c r="G1080" s="218"/>
      <c r="H1080" s="220"/>
      <c r="I1080" s="176"/>
      <c r="J1080" s="177"/>
      <c r="K1080" s="177"/>
      <c r="L1080" s="177"/>
      <c r="M1080" s="220"/>
      <c r="N1080" s="178"/>
      <c r="O1080" s="176"/>
      <c r="P1080" s="178"/>
      <c r="Q1080" s="105"/>
      <c r="R1080" s="219"/>
      <c r="S1080" s="164"/>
      <c r="T1080" s="164"/>
      <c r="U1080" s="162"/>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row>
    <row r="1081" spans="1:67" ht="29.25" hidden="1" customHeight="1">
      <c r="A1081" s="216"/>
      <c r="B1081" s="217"/>
      <c r="C1081" s="174"/>
      <c r="D1081" s="174"/>
      <c r="E1081" s="175"/>
      <c r="F1081" s="162"/>
      <c r="G1081" s="218"/>
      <c r="H1081" s="220"/>
      <c r="I1081" s="176"/>
      <c r="J1081" s="177"/>
      <c r="K1081" s="177"/>
      <c r="L1081" s="177"/>
      <c r="M1081" s="220"/>
      <c r="N1081" s="178"/>
      <c r="O1081" s="176"/>
      <c r="P1081" s="178"/>
      <c r="Q1081" s="105"/>
      <c r="R1081" s="219"/>
      <c r="S1081" s="164"/>
      <c r="T1081" s="164"/>
      <c r="U1081" s="162"/>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row>
    <row r="1082" spans="1:67" ht="29.25" hidden="1" customHeight="1">
      <c r="A1082" s="216"/>
      <c r="B1082" s="217"/>
      <c r="C1082" s="174"/>
      <c r="D1082" s="174"/>
      <c r="E1082" s="175"/>
      <c r="F1082" s="162"/>
      <c r="G1082" s="218"/>
      <c r="H1082" s="220"/>
      <c r="I1082" s="176"/>
      <c r="J1082" s="177"/>
      <c r="K1082" s="177"/>
      <c r="L1082" s="177"/>
      <c r="M1082" s="220"/>
      <c r="N1082" s="178"/>
      <c r="O1082" s="176"/>
      <c r="P1082" s="178"/>
      <c r="Q1082" s="105"/>
      <c r="R1082" s="219"/>
      <c r="S1082" s="164"/>
      <c r="T1082" s="164"/>
      <c r="U1082" s="162"/>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row>
    <row r="1083" spans="1:67" ht="29.25" hidden="1" customHeight="1">
      <c r="A1083" s="216"/>
      <c r="B1083" s="217"/>
      <c r="C1083" s="174"/>
      <c r="D1083" s="174"/>
      <c r="E1083" s="175"/>
      <c r="F1083" s="162"/>
      <c r="G1083" s="218"/>
      <c r="H1083" s="220"/>
      <c r="I1083" s="176"/>
      <c r="J1083" s="177"/>
      <c r="K1083" s="177"/>
      <c r="L1083" s="177"/>
      <c r="M1083" s="220"/>
      <c r="N1083" s="178"/>
      <c r="O1083" s="176"/>
      <c r="P1083" s="178"/>
      <c r="Q1083" s="105"/>
      <c r="R1083" s="219"/>
      <c r="S1083" s="164"/>
      <c r="T1083" s="164"/>
      <c r="U1083" s="162"/>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row>
    <row r="1084" spans="1:67" ht="29.25" hidden="1" customHeight="1">
      <c r="A1084" s="216"/>
      <c r="B1084" s="217"/>
      <c r="C1084" s="174"/>
      <c r="D1084" s="174"/>
      <c r="E1084" s="175"/>
      <c r="F1084" s="162"/>
      <c r="G1084" s="218"/>
      <c r="H1084" s="220"/>
      <c r="I1084" s="176"/>
      <c r="J1084" s="177"/>
      <c r="K1084" s="177"/>
      <c r="L1084" s="177"/>
      <c r="M1084" s="220"/>
      <c r="N1084" s="178"/>
      <c r="O1084" s="176"/>
      <c r="P1084" s="178"/>
      <c r="Q1084" s="105"/>
      <c r="R1084" s="219"/>
      <c r="S1084" s="164"/>
      <c r="T1084" s="164"/>
      <c r="U1084" s="162"/>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row>
    <row r="1085" spans="1:67" ht="29.25" hidden="1" customHeight="1">
      <c r="A1085" s="216"/>
      <c r="B1085" s="217"/>
      <c r="C1085" s="174"/>
      <c r="D1085" s="174"/>
      <c r="E1085" s="175"/>
      <c r="F1085" s="162"/>
      <c r="G1085" s="218"/>
      <c r="H1085" s="220"/>
      <c r="I1085" s="176"/>
      <c r="J1085" s="177"/>
      <c r="K1085" s="177"/>
      <c r="L1085" s="177"/>
      <c r="M1085" s="220"/>
      <c r="N1085" s="178"/>
      <c r="O1085" s="176"/>
      <c r="P1085" s="178"/>
      <c r="Q1085" s="105"/>
      <c r="R1085" s="219"/>
      <c r="S1085" s="164"/>
      <c r="T1085" s="164"/>
      <c r="U1085" s="162"/>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row>
    <row r="1086" spans="1:67" ht="29.25" hidden="1" customHeight="1">
      <c r="A1086" s="216"/>
      <c r="B1086" s="217"/>
      <c r="C1086" s="174"/>
      <c r="D1086" s="174"/>
      <c r="E1086" s="175"/>
      <c r="F1086" s="162"/>
      <c r="G1086" s="218"/>
      <c r="H1086" s="220"/>
      <c r="I1086" s="176"/>
      <c r="J1086" s="177"/>
      <c r="K1086" s="177"/>
      <c r="L1086" s="177"/>
      <c r="M1086" s="220"/>
      <c r="N1086" s="178"/>
      <c r="O1086" s="176"/>
      <c r="P1086" s="178"/>
      <c r="Q1086" s="105"/>
      <c r="R1086" s="219"/>
      <c r="S1086" s="164"/>
      <c r="T1086" s="164"/>
      <c r="U1086" s="162"/>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row>
    <row r="1087" spans="1:67" ht="29.25" hidden="1" customHeight="1">
      <c r="A1087" s="216"/>
      <c r="B1087" s="217"/>
      <c r="C1087" s="174"/>
      <c r="D1087" s="174"/>
      <c r="E1087" s="175"/>
      <c r="F1087" s="162"/>
      <c r="G1087" s="218"/>
      <c r="H1087" s="220"/>
      <c r="I1087" s="176"/>
      <c r="J1087" s="177"/>
      <c r="K1087" s="177"/>
      <c r="L1087" s="177"/>
      <c r="M1087" s="220"/>
      <c r="N1087" s="178"/>
      <c r="O1087" s="176"/>
      <c r="P1087" s="178"/>
      <c r="Q1087" s="105"/>
      <c r="R1087" s="219"/>
      <c r="S1087" s="164"/>
      <c r="T1087" s="164"/>
      <c r="U1087" s="162"/>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row>
    <row r="1088" spans="1:67" ht="29.25" hidden="1" customHeight="1">
      <c r="A1088" s="216"/>
      <c r="B1088" s="217"/>
      <c r="C1088" s="174"/>
      <c r="D1088" s="174"/>
      <c r="E1088" s="175"/>
      <c r="F1088" s="162"/>
      <c r="G1088" s="218"/>
      <c r="H1088" s="220"/>
      <c r="I1088" s="176"/>
      <c r="J1088" s="177"/>
      <c r="K1088" s="177"/>
      <c r="L1088" s="177"/>
      <c r="M1088" s="220"/>
      <c r="N1088" s="178"/>
      <c r="O1088" s="176"/>
      <c r="P1088" s="178"/>
      <c r="Q1088" s="105"/>
      <c r="R1088" s="219"/>
      <c r="S1088" s="164"/>
      <c r="T1088" s="164"/>
      <c r="U1088" s="162"/>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row>
    <row r="1089" spans="1:67" ht="29.25" hidden="1" customHeight="1">
      <c r="A1089" s="216"/>
      <c r="B1089" s="217"/>
      <c r="C1089" s="174"/>
      <c r="D1089" s="174"/>
      <c r="E1089" s="175"/>
      <c r="F1089" s="162"/>
      <c r="G1089" s="218"/>
      <c r="H1089" s="220"/>
      <c r="I1089" s="176"/>
      <c r="J1089" s="177"/>
      <c r="K1089" s="177"/>
      <c r="L1089" s="177"/>
      <c r="M1089" s="220"/>
      <c r="N1089" s="178"/>
      <c r="O1089" s="176"/>
      <c r="P1089" s="178"/>
      <c r="Q1089" s="105"/>
      <c r="R1089" s="219"/>
      <c r="S1089" s="164"/>
      <c r="T1089" s="164"/>
      <c r="U1089" s="162"/>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row>
    <row r="1090" spans="1:67" ht="29.25" hidden="1" customHeight="1">
      <c r="A1090" s="216"/>
      <c r="B1090" s="217"/>
      <c r="C1090" s="174"/>
      <c r="D1090" s="174"/>
      <c r="E1090" s="175"/>
      <c r="F1090" s="162"/>
      <c r="G1090" s="218"/>
      <c r="H1090" s="220"/>
      <c r="I1090" s="176"/>
      <c r="J1090" s="177"/>
      <c r="K1090" s="177"/>
      <c r="L1090" s="177"/>
      <c r="M1090" s="220"/>
      <c r="N1090" s="178"/>
      <c r="O1090" s="176"/>
      <c r="P1090" s="178"/>
      <c r="Q1090" s="105"/>
      <c r="R1090" s="219"/>
      <c r="S1090" s="164"/>
      <c r="T1090" s="164"/>
      <c r="U1090" s="162"/>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row>
    <row r="1091" spans="1:67" ht="29.25" hidden="1" customHeight="1">
      <c r="A1091" s="216"/>
      <c r="B1091" s="217"/>
      <c r="C1091" s="174"/>
      <c r="D1091" s="174"/>
      <c r="E1091" s="175"/>
      <c r="F1091" s="162"/>
      <c r="G1091" s="218"/>
      <c r="H1091" s="220"/>
      <c r="I1091" s="176"/>
      <c r="J1091" s="177"/>
      <c r="K1091" s="177"/>
      <c r="L1091" s="177"/>
      <c r="M1091" s="220"/>
      <c r="N1091" s="178"/>
      <c r="O1091" s="176"/>
      <c r="P1091" s="178"/>
      <c r="Q1091" s="105"/>
      <c r="R1091" s="219"/>
      <c r="S1091" s="164"/>
      <c r="T1091" s="164"/>
      <c r="U1091" s="162"/>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row>
    <row r="1092" spans="1:67" ht="29.25" hidden="1" customHeight="1">
      <c r="A1092" s="216"/>
      <c r="B1092" s="217"/>
      <c r="C1092" s="174"/>
      <c r="D1092" s="174"/>
      <c r="E1092" s="175"/>
      <c r="F1092" s="162"/>
      <c r="G1092" s="218"/>
      <c r="H1092" s="220"/>
      <c r="I1092" s="176"/>
      <c r="J1092" s="177"/>
      <c r="K1092" s="177"/>
      <c r="L1092" s="177"/>
      <c r="M1092" s="220"/>
      <c r="N1092" s="178"/>
      <c r="O1092" s="176"/>
      <c r="P1092" s="178"/>
      <c r="Q1092" s="105"/>
      <c r="R1092" s="219"/>
      <c r="S1092" s="164"/>
      <c r="T1092" s="164"/>
      <c r="U1092" s="162"/>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row>
    <row r="1093" spans="1:67" ht="29.25" hidden="1" customHeight="1">
      <c r="A1093" s="216"/>
      <c r="B1093" s="217"/>
      <c r="C1093" s="174"/>
      <c r="D1093" s="174"/>
      <c r="E1093" s="175"/>
      <c r="F1093" s="162"/>
      <c r="G1093" s="218"/>
      <c r="H1093" s="220"/>
      <c r="I1093" s="176"/>
      <c r="J1093" s="177"/>
      <c r="K1093" s="177"/>
      <c r="L1093" s="177"/>
      <c r="M1093" s="220"/>
      <c r="N1093" s="178"/>
      <c r="O1093" s="176"/>
      <c r="P1093" s="178"/>
      <c r="Q1093" s="105"/>
      <c r="R1093" s="219"/>
      <c r="S1093" s="164"/>
      <c r="T1093" s="164"/>
      <c r="U1093" s="162"/>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row>
    <row r="1094" spans="1:67" ht="29.25" hidden="1" customHeight="1">
      <c r="A1094" s="216"/>
      <c r="B1094" s="217"/>
      <c r="C1094" s="174"/>
      <c r="D1094" s="174"/>
      <c r="E1094" s="175"/>
      <c r="F1094" s="162"/>
      <c r="G1094" s="218"/>
      <c r="H1094" s="220"/>
      <c r="I1094" s="176"/>
      <c r="J1094" s="177"/>
      <c r="K1094" s="177"/>
      <c r="L1094" s="177"/>
      <c r="M1094" s="220"/>
      <c r="N1094" s="178"/>
      <c r="O1094" s="176"/>
      <c r="P1094" s="178"/>
      <c r="Q1094" s="105"/>
      <c r="R1094" s="219"/>
      <c r="S1094" s="164"/>
      <c r="T1094" s="164"/>
      <c r="U1094" s="162"/>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row>
    <row r="1095" spans="1:67" ht="29.25" hidden="1" customHeight="1">
      <c r="A1095" s="216"/>
      <c r="B1095" s="217"/>
      <c r="C1095" s="174"/>
      <c r="D1095" s="174"/>
      <c r="E1095" s="175"/>
      <c r="F1095" s="162"/>
      <c r="G1095" s="218"/>
      <c r="H1095" s="220"/>
      <c r="I1095" s="176"/>
      <c r="J1095" s="177"/>
      <c r="K1095" s="177"/>
      <c r="L1095" s="177"/>
      <c r="M1095" s="220"/>
      <c r="N1095" s="178"/>
      <c r="O1095" s="176"/>
      <c r="P1095" s="178"/>
      <c r="Q1095" s="105"/>
      <c r="R1095" s="219"/>
      <c r="S1095" s="164"/>
      <c r="T1095" s="164"/>
      <c r="U1095" s="162"/>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row>
    <row r="1096" spans="1:67" ht="29.25" hidden="1" customHeight="1">
      <c r="A1096" s="216"/>
      <c r="B1096" s="217"/>
      <c r="C1096" s="174"/>
      <c r="D1096" s="174"/>
      <c r="E1096" s="175"/>
      <c r="F1096" s="162"/>
      <c r="G1096" s="218"/>
      <c r="H1096" s="220"/>
      <c r="I1096" s="176"/>
      <c r="J1096" s="177"/>
      <c r="K1096" s="177"/>
      <c r="L1096" s="177"/>
      <c r="M1096" s="220"/>
      <c r="N1096" s="178"/>
      <c r="O1096" s="176"/>
      <c r="P1096" s="178"/>
      <c r="Q1096" s="105"/>
      <c r="R1096" s="219"/>
      <c r="S1096" s="164"/>
      <c r="T1096" s="164"/>
      <c r="U1096" s="162"/>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row>
    <row r="1097" spans="1:67" ht="29.25" hidden="1" customHeight="1">
      <c r="A1097" s="216"/>
      <c r="B1097" s="217"/>
      <c r="C1097" s="174"/>
      <c r="D1097" s="174"/>
      <c r="E1097" s="175"/>
      <c r="F1097" s="162"/>
      <c r="G1097" s="218"/>
      <c r="H1097" s="220"/>
      <c r="I1097" s="176"/>
      <c r="J1097" s="177"/>
      <c r="K1097" s="177"/>
      <c r="L1097" s="177"/>
      <c r="M1097" s="220"/>
      <c r="N1097" s="178"/>
      <c r="O1097" s="176"/>
      <c r="P1097" s="178"/>
      <c r="Q1097" s="105"/>
      <c r="R1097" s="219"/>
      <c r="S1097" s="164"/>
      <c r="T1097" s="164"/>
      <c r="U1097" s="162"/>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row>
    <row r="1098" spans="1:67" ht="29.25" hidden="1" customHeight="1">
      <c r="A1098" s="216"/>
      <c r="B1098" s="217"/>
      <c r="C1098" s="174"/>
      <c r="D1098" s="174"/>
      <c r="E1098" s="175"/>
      <c r="F1098" s="162"/>
      <c r="G1098" s="218"/>
      <c r="H1098" s="220"/>
      <c r="I1098" s="176"/>
      <c r="J1098" s="177"/>
      <c r="K1098" s="177"/>
      <c r="L1098" s="177"/>
      <c r="M1098" s="220"/>
      <c r="N1098" s="178"/>
      <c r="O1098" s="176"/>
      <c r="P1098" s="178"/>
      <c r="Q1098" s="105"/>
      <c r="R1098" s="219"/>
      <c r="S1098" s="164"/>
      <c r="T1098" s="164"/>
      <c r="U1098" s="162"/>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row>
    <row r="1099" spans="1:67" ht="29.25" hidden="1" customHeight="1">
      <c r="A1099" s="216"/>
      <c r="B1099" s="217"/>
      <c r="C1099" s="174"/>
      <c r="D1099" s="174"/>
      <c r="E1099" s="175"/>
      <c r="F1099" s="162"/>
      <c r="G1099" s="218"/>
      <c r="H1099" s="220"/>
      <c r="I1099" s="176"/>
      <c r="J1099" s="177"/>
      <c r="K1099" s="177"/>
      <c r="L1099" s="177"/>
      <c r="M1099" s="220"/>
      <c r="N1099" s="178"/>
      <c r="O1099" s="176"/>
      <c r="P1099" s="178"/>
      <c r="Q1099" s="105"/>
      <c r="R1099" s="219"/>
      <c r="S1099" s="164"/>
      <c r="T1099" s="164"/>
      <c r="U1099" s="162"/>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row>
    <row r="1100" spans="1:67" ht="29.25" hidden="1" customHeight="1">
      <c r="A1100" s="216"/>
      <c r="B1100" s="217"/>
      <c r="C1100" s="174"/>
      <c r="D1100" s="174"/>
      <c r="E1100" s="175"/>
      <c r="F1100" s="162"/>
      <c r="G1100" s="218"/>
      <c r="H1100" s="220"/>
      <c r="I1100" s="176"/>
      <c r="J1100" s="177"/>
      <c r="K1100" s="177"/>
      <c r="L1100" s="177"/>
      <c r="M1100" s="220"/>
      <c r="N1100" s="178"/>
      <c r="O1100" s="176"/>
      <c r="P1100" s="178"/>
      <c r="Q1100" s="105"/>
      <c r="R1100" s="219"/>
      <c r="S1100" s="164"/>
      <c r="T1100" s="164"/>
      <c r="U1100" s="162"/>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row>
    <row r="1101" spans="1:67" ht="29.25" hidden="1" customHeight="1">
      <c r="A1101" s="216"/>
      <c r="B1101" s="217"/>
      <c r="C1101" s="174"/>
      <c r="D1101" s="174"/>
      <c r="E1101" s="175"/>
      <c r="F1101" s="162"/>
      <c r="G1101" s="218"/>
      <c r="H1101" s="220"/>
      <c r="I1101" s="176"/>
      <c r="J1101" s="177"/>
      <c r="K1101" s="177"/>
      <c r="L1101" s="177"/>
      <c r="M1101" s="220"/>
      <c r="N1101" s="178"/>
      <c r="O1101" s="176"/>
      <c r="P1101" s="178"/>
      <c r="Q1101" s="105"/>
      <c r="R1101" s="219"/>
      <c r="S1101" s="164"/>
      <c r="T1101" s="164"/>
      <c r="U1101" s="162"/>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row>
    <row r="1102" spans="1:67" ht="29.25" hidden="1" customHeight="1">
      <c r="A1102" s="216"/>
      <c r="B1102" s="217"/>
      <c r="C1102" s="174"/>
      <c r="D1102" s="174"/>
      <c r="E1102" s="175"/>
      <c r="F1102" s="162"/>
      <c r="G1102" s="218"/>
      <c r="H1102" s="220"/>
      <c r="I1102" s="176"/>
      <c r="J1102" s="177"/>
      <c r="K1102" s="177"/>
      <c r="L1102" s="177"/>
      <c r="M1102" s="220"/>
      <c r="N1102" s="178"/>
      <c r="O1102" s="176"/>
      <c r="P1102" s="178"/>
      <c r="Q1102" s="105"/>
      <c r="R1102" s="219"/>
      <c r="S1102" s="164"/>
      <c r="T1102" s="164"/>
      <c r="U1102" s="162"/>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row>
    <row r="1103" spans="1:67" ht="29.25" hidden="1" customHeight="1">
      <c r="A1103" s="216"/>
      <c r="B1103" s="217"/>
      <c r="C1103" s="174"/>
      <c r="D1103" s="174"/>
      <c r="E1103" s="175"/>
      <c r="F1103" s="162"/>
      <c r="G1103" s="218"/>
      <c r="H1103" s="220"/>
      <c r="I1103" s="176"/>
      <c r="J1103" s="177"/>
      <c r="K1103" s="177"/>
      <c r="L1103" s="177"/>
      <c r="M1103" s="220"/>
      <c r="N1103" s="178"/>
      <c r="O1103" s="176"/>
      <c r="P1103" s="178"/>
      <c r="Q1103" s="105"/>
      <c r="R1103" s="219"/>
      <c r="S1103" s="164"/>
      <c r="T1103" s="164"/>
      <c r="U1103" s="162"/>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row>
    <row r="1104" spans="1:67" ht="29.25" hidden="1" customHeight="1">
      <c r="A1104" s="216"/>
      <c r="B1104" s="217"/>
      <c r="C1104" s="174"/>
      <c r="D1104" s="174"/>
      <c r="E1104" s="175"/>
      <c r="F1104" s="162"/>
      <c r="G1104" s="218"/>
      <c r="H1104" s="220"/>
      <c r="I1104" s="176"/>
      <c r="J1104" s="177"/>
      <c r="K1104" s="177"/>
      <c r="L1104" s="177"/>
      <c r="M1104" s="220"/>
      <c r="N1104" s="178"/>
      <c r="O1104" s="176"/>
      <c r="P1104" s="178"/>
      <c r="Q1104" s="105"/>
      <c r="R1104" s="219"/>
      <c r="S1104" s="164"/>
      <c r="T1104" s="164"/>
      <c r="U1104" s="162"/>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row>
    <row r="1105" spans="1:67" ht="29.25" hidden="1" customHeight="1">
      <c r="A1105" s="216"/>
      <c r="B1105" s="217"/>
      <c r="C1105" s="174"/>
      <c r="D1105" s="174"/>
      <c r="E1105" s="175"/>
      <c r="F1105" s="162"/>
      <c r="G1105" s="218"/>
      <c r="H1105" s="220"/>
      <c r="I1105" s="176"/>
      <c r="J1105" s="177"/>
      <c r="K1105" s="177"/>
      <c r="L1105" s="177"/>
      <c r="M1105" s="220"/>
      <c r="N1105" s="178"/>
      <c r="O1105" s="176"/>
      <c r="P1105" s="178"/>
      <c r="Q1105" s="105"/>
      <c r="R1105" s="219"/>
      <c r="S1105" s="164"/>
      <c r="T1105" s="164"/>
      <c r="U1105" s="162"/>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row>
    <row r="1106" spans="1:67" ht="29.25" hidden="1" customHeight="1">
      <c r="A1106" s="216"/>
      <c r="B1106" s="217"/>
      <c r="C1106" s="174"/>
      <c r="D1106" s="174"/>
      <c r="E1106" s="175"/>
      <c r="F1106" s="162"/>
      <c r="G1106" s="218"/>
      <c r="H1106" s="220"/>
      <c r="I1106" s="176"/>
      <c r="J1106" s="177"/>
      <c r="K1106" s="177"/>
      <c r="L1106" s="177"/>
      <c r="M1106" s="220"/>
      <c r="N1106" s="178"/>
      <c r="O1106" s="176"/>
      <c r="P1106" s="178"/>
      <c r="Q1106" s="105"/>
      <c r="R1106" s="219"/>
      <c r="S1106" s="164"/>
      <c r="T1106" s="164"/>
      <c r="U1106" s="162"/>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row>
    <row r="1107" spans="1:67" ht="29.25" hidden="1" customHeight="1">
      <c r="A1107" s="216"/>
      <c r="B1107" s="217"/>
      <c r="C1107" s="174"/>
      <c r="D1107" s="174"/>
      <c r="E1107" s="175"/>
      <c r="F1107" s="162"/>
      <c r="G1107" s="218"/>
      <c r="H1107" s="220"/>
      <c r="I1107" s="176"/>
      <c r="J1107" s="177"/>
      <c r="K1107" s="177"/>
      <c r="L1107" s="177"/>
      <c r="M1107" s="220"/>
      <c r="N1107" s="178"/>
      <c r="O1107" s="176"/>
      <c r="P1107" s="178"/>
      <c r="Q1107" s="105"/>
      <c r="R1107" s="219"/>
      <c r="S1107" s="164"/>
      <c r="T1107" s="164"/>
      <c r="U1107" s="162"/>
      <c r="V1107" s="221"/>
      <c r="W1107" s="221"/>
      <c r="X1107" s="221"/>
      <c r="Y1107" s="22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row>
    <row r="1108" spans="1:67" ht="29.25" hidden="1" customHeight="1">
      <c r="A1108" s="216"/>
      <c r="B1108" s="217"/>
      <c r="C1108" s="174"/>
      <c r="D1108" s="174"/>
      <c r="E1108" s="175"/>
      <c r="F1108" s="162"/>
      <c r="G1108" s="218"/>
      <c r="H1108" s="220"/>
      <c r="I1108" s="176"/>
      <c r="J1108" s="177"/>
      <c r="K1108" s="177"/>
      <c r="L1108" s="177"/>
      <c r="M1108" s="220"/>
      <c r="N1108" s="178"/>
      <c r="O1108" s="176"/>
      <c r="P1108" s="178"/>
      <c r="Q1108" s="105"/>
      <c r="R1108" s="219"/>
      <c r="S1108" s="164"/>
      <c r="T1108" s="164"/>
      <c r="U1108" s="162"/>
      <c r="V1108" s="221"/>
      <c r="W1108" s="221"/>
      <c r="X1108" s="221"/>
      <c r="Y1108" s="22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row>
    <row r="1109" spans="1:67" ht="29.25" hidden="1" customHeight="1">
      <c r="A1109" s="216"/>
      <c r="B1109" s="217"/>
      <c r="C1109" s="174"/>
      <c r="D1109" s="174"/>
      <c r="E1109" s="175"/>
      <c r="F1109" s="162"/>
      <c r="G1109" s="218"/>
      <c r="H1109" s="220"/>
      <c r="I1109" s="176"/>
      <c r="J1109" s="177"/>
      <c r="K1109" s="177"/>
      <c r="L1109" s="177"/>
      <c r="M1109" s="220"/>
      <c r="N1109" s="178"/>
      <c r="O1109" s="176"/>
      <c r="P1109" s="178"/>
      <c r="Q1109" s="105"/>
      <c r="R1109" s="219"/>
      <c r="S1109" s="164"/>
      <c r="T1109" s="164"/>
      <c r="U1109" s="162"/>
      <c r="V1109" s="221"/>
      <c r="W1109" s="221"/>
      <c r="X1109" s="221"/>
      <c r="Y1109" s="22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row>
    <row r="1110" spans="1:67" ht="29.25" hidden="1" customHeight="1">
      <c r="A1110" s="216"/>
      <c r="B1110" s="217"/>
      <c r="C1110" s="174"/>
      <c r="D1110" s="174"/>
      <c r="E1110" s="175"/>
      <c r="F1110" s="162"/>
      <c r="G1110" s="218"/>
      <c r="H1110" s="220"/>
      <c r="I1110" s="176"/>
      <c r="J1110" s="177"/>
      <c r="K1110" s="177"/>
      <c r="L1110" s="177"/>
      <c r="M1110" s="220"/>
      <c r="N1110" s="178"/>
      <c r="O1110" s="176"/>
      <c r="P1110" s="178"/>
      <c r="Q1110" s="105"/>
      <c r="R1110" s="219"/>
      <c r="S1110" s="164"/>
      <c r="T1110" s="164"/>
      <c r="U1110" s="162"/>
      <c r="V1110" s="221"/>
      <c r="W1110" s="221"/>
      <c r="X1110" s="221"/>
      <c r="Y1110" s="22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row>
    <row r="1111" spans="1:67" ht="29.25" hidden="1" customHeight="1">
      <c r="A1111" s="216"/>
      <c r="B1111" s="217"/>
      <c r="C1111" s="174"/>
      <c r="D1111" s="174"/>
      <c r="E1111" s="175"/>
      <c r="F1111" s="162"/>
      <c r="G1111" s="218"/>
      <c r="H1111" s="220"/>
      <c r="I1111" s="176"/>
      <c r="J1111" s="177"/>
      <c r="K1111" s="177"/>
      <c r="L1111" s="177"/>
      <c r="M1111" s="220"/>
      <c r="N1111" s="178"/>
      <c r="O1111" s="176"/>
      <c r="P1111" s="178"/>
      <c r="Q1111" s="105"/>
      <c r="R1111" s="219"/>
      <c r="S1111" s="164"/>
      <c r="T1111" s="164"/>
      <c r="U1111" s="162"/>
      <c r="V1111" s="221"/>
      <c r="W1111" s="221"/>
      <c r="X1111" s="221"/>
      <c r="Y1111" s="22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row>
    <row r="1112" spans="1:67" ht="29.25" hidden="1" customHeight="1">
      <c r="A1112" s="216"/>
      <c r="B1112" s="217"/>
      <c r="C1112" s="174"/>
      <c r="D1112" s="174"/>
      <c r="E1112" s="175"/>
      <c r="F1112" s="162"/>
      <c r="G1112" s="218"/>
      <c r="H1112" s="220"/>
      <c r="I1112" s="176"/>
      <c r="J1112" s="177"/>
      <c r="K1112" s="177"/>
      <c r="L1112" s="177"/>
      <c r="M1112" s="220"/>
      <c r="N1112" s="178"/>
      <c r="O1112" s="176"/>
      <c r="P1112" s="178"/>
      <c r="Q1112" s="105"/>
      <c r="R1112" s="219"/>
      <c r="S1112" s="164"/>
      <c r="T1112" s="164"/>
      <c r="U1112" s="162"/>
      <c r="V1112" s="221"/>
      <c r="W1112" s="221"/>
      <c r="X1112" s="221"/>
      <c r="Y1112" s="22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row>
    <row r="1113" spans="1:67" ht="29.25" hidden="1" customHeight="1">
      <c r="A1113" s="216"/>
      <c r="B1113" s="217"/>
      <c r="C1113" s="174"/>
      <c r="D1113" s="174"/>
      <c r="E1113" s="175"/>
      <c r="F1113" s="162"/>
      <c r="G1113" s="218"/>
      <c r="H1113" s="220"/>
      <c r="I1113" s="176"/>
      <c r="J1113" s="177"/>
      <c r="K1113" s="177"/>
      <c r="L1113" s="177"/>
      <c r="M1113" s="220"/>
      <c r="N1113" s="178"/>
      <c r="O1113" s="176"/>
      <c r="P1113" s="178"/>
      <c r="Q1113" s="105"/>
      <c r="R1113" s="219"/>
      <c r="S1113" s="164"/>
      <c r="T1113" s="164"/>
      <c r="U1113" s="162"/>
      <c r="V1113" s="221"/>
      <c r="W1113" s="221"/>
      <c r="X1113" s="221"/>
      <c r="Y1113" s="22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row>
    <row r="1114" spans="1:67" ht="29.25" hidden="1" customHeight="1">
      <c r="A1114" s="216"/>
      <c r="B1114" s="217"/>
      <c r="C1114" s="174"/>
      <c r="D1114" s="174"/>
      <c r="E1114" s="175"/>
      <c r="F1114" s="162"/>
      <c r="G1114" s="218"/>
      <c r="H1114" s="220"/>
      <c r="I1114" s="176"/>
      <c r="J1114" s="177"/>
      <c r="K1114" s="177"/>
      <c r="L1114" s="177"/>
      <c r="M1114" s="220"/>
      <c r="N1114" s="178"/>
      <c r="O1114" s="176"/>
      <c r="P1114" s="178"/>
      <c r="Q1114" s="105"/>
      <c r="R1114" s="219"/>
      <c r="S1114" s="164"/>
      <c r="T1114" s="164"/>
      <c r="U1114" s="162"/>
      <c r="V1114" s="221"/>
      <c r="W1114" s="221"/>
      <c r="X1114" s="221"/>
      <c r="Y1114" s="22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row>
    <row r="1115" spans="1:67" ht="29.25" hidden="1" customHeight="1">
      <c r="A1115" s="216"/>
      <c r="B1115" s="217"/>
      <c r="C1115" s="174"/>
      <c r="D1115" s="174"/>
      <c r="E1115" s="175"/>
      <c r="F1115" s="162"/>
      <c r="G1115" s="218"/>
      <c r="H1115" s="220"/>
      <c r="I1115" s="176"/>
      <c r="J1115" s="177"/>
      <c r="K1115" s="177"/>
      <c r="L1115" s="177"/>
      <c r="M1115" s="220"/>
      <c r="N1115" s="178"/>
      <c r="O1115" s="176"/>
      <c r="P1115" s="178"/>
      <c r="Q1115" s="105"/>
      <c r="R1115" s="219"/>
      <c r="S1115" s="164"/>
      <c r="T1115" s="164"/>
      <c r="U1115" s="162"/>
      <c r="V1115" s="221"/>
      <c r="W1115" s="221"/>
      <c r="X1115" s="221"/>
      <c r="Y1115" s="22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row>
    <row r="1116" spans="1:67" ht="29.25" hidden="1" customHeight="1">
      <c r="A1116" s="216"/>
      <c r="B1116" s="217"/>
      <c r="C1116" s="174"/>
      <c r="D1116" s="174"/>
      <c r="E1116" s="175"/>
      <c r="F1116" s="162"/>
      <c r="G1116" s="218"/>
      <c r="H1116" s="220"/>
      <c r="I1116" s="176"/>
      <c r="J1116" s="177"/>
      <c r="K1116" s="177"/>
      <c r="L1116" s="177"/>
      <c r="M1116" s="220"/>
      <c r="N1116" s="178"/>
      <c r="O1116" s="176"/>
      <c r="P1116" s="178"/>
      <c r="Q1116" s="105"/>
      <c r="R1116" s="219"/>
      <c r="S1116" s="164"/>
      <c r="T1116" s="164"/>
      <c r="U1116" s="162"/>
      <c r="V1116" s="221"/>
      <c r="W1116" s="221"/>
      <c r="X1116" s="221"/>
      <c r="Y1116" s="22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row>
    <row r="1117" spans="1:67" ht="29.25" hidden="1" customHeight="1">
      <c r="A1117" s="216"/>
      <c r="B1117" s="217"/>
      <c r="C1117" s="174"/>
      <c r="D1117" s="174"/>
      <c r="E1117" s="175"/>
      <c r="F1117" s="162"/>
      <c r="G1117" s="218"/>
      <c r="H1117" s="220"/>
      <c r="I1117" s="176"/>
      <c r="J1117" s="177"/>
      <c r="K1117" s="177"/>
      <c r="L1117" s="177"/>
      <c r="M1117" s="220"/>
      <c r="N1117" s="178"/>
      <c r="O1117" s="176"/>
      <c r="P1117" s="178"/>
      <c r="Q1117" s="105"/>
      <c r="R1117" s="219"/>
      <c r="S1117" s="164"/>
      <c r="T1117" s="164"/>
      <c r="U1117" s="162"/>
      <c r="V1117" s="221"/>
      <c r="W1117" s="221"/>
      <c r="X1117" s="221"/>
      <c r="Y1117" s="22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row>
    <row r="1118" spans="1:67" ht="29.25" hidden="1" customHeight="1">
      <c r="A1118" s="216"/>
      <c r="B1118" s="217"/>
      <c r="C1118" s="174"/>
      <c r="D1118" s="174"/>
      <c r="E1118" s="175"/>
      <c r="F1118" s="162"/>
      <c r="G1118" s="218"/>
      <c r="H1118" s="220"/>
      <c r="I1118" s="176"/>
      <c r="J1118" s="177"/>
      <c r="K1118" s="177"/>
      <c r="L1118" s="177"/>
      <c r="M1118" s="220"/>
      <c r="N1118" s="178"/>
      <c r="O1118" s="176"/>
      <c r="P1118" s="178"/>
      <c r="Q1118" s="105"/>
      <c r="R1118" s="219"/>
      <c r="S1118" s="164"/>
      <c r="T1118" s="164"/>
      <c r="U1118" s="162"/>
      <c r="V1118" s="221"/>
      <c r="W1118" s="221"/>
      <c r="X1118" s="221"/>
      <c r="Y1118" s="22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row>
    <row r="1119" spans="1:67" ht="29.25" hidden="1" customHeight="1">
      <c r="A1119" s="216"/>
      <c r="B1119" s="217"/>
      <c r="C1119" s="174"/>
      <c r="D1119" s="174"/>
      <c r="E1119" s="175"/>
      <c r="F1119" s="162"/>
      <c r="G1119" s="218"/>
      <c r="H1119" s="220"/>
      <c r="I1119" s="176"/>
      <c r="J1119" s="177"/>
      <c r="K1119" s="177"/>
      <c r="L1119" s="177"/>
      <c r="M1119" s="220"/>
      <c r="N1119" s="178"/>
      <c r="O1119" s="176"/>
      <c r="P1119" s="178"/>
      <c r="Q1119" s="105"/>
      <c r="R1119" s="219"/>
      <c r="S1119" s="164"/>
      <c r="T1119" s="164"/>
      <c r="U1119" s="162"/>
      <c r="V1119" s="221"/>
      <c r="W1119" s="221"/>
      <c r="X1119" s="221"/>
      <c r="Y1119" s="22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row>
    <row r="1120" spans="1:67" ht="29.25" hidden="1" customHeight="1">
      <c r="A1120" s="216"/>
      <c r="B1120" s="217"/>
      <c r="C1120" s="174"/>
      <c r="D1120" s="174"/>
      <c r="E1120" s="175"/>
      <c r="F1120" s="162"/>
      <c r="G1120" s="218"/>
      <c r="H1120" s="220"/>
      <c r="I1120" s="176"/>
      <c r="J1120" s="177"/>
      <c r="K1120" s="177"/>
      <c r="L1120" s="177"/>
      <c r="M1120" s="220"/>
      <c r="N1120" s="178"/>
      <c r="O1120" s="176"/>
      <c r="P1120" s="178"/>
      <c r="Q1120" s="105"/>
      <c r="R1120" s="219"/>
      <c r="S1120" s="164"/>
      <c r="T1120" s="164"/>
      <c r="U1120" s="162"/>
      <c r="V1120" s="221"/>
      <c r="W1120" s="221"/>
      <c r="X1120" s="221"/>
      <c r="Y1120" s="22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row>
    <row r="1121" spans="1:67" ht="29.25" hidden="1" customHeight="1">
      <c r="A1121" s="216"/>
      <c r="B1121" s="217"/>
      <c r="C1121" s="174"/>
      <c r="D1121" s="174"/>
      <c r="E1121" s="175"/>
      <c r="F1121" s="162"/>
      <c r="G1121" s="218"/>
      <c r="H1121" s="220"/>
      <c r="I1121" s="176"/>
      <c r="J1121" s="177"/>
      <c r="K1121" s="177"/>
      <c r="L1121" s="177"/>
      <c r="M1121" s="220"/>
      <c r="N1121" s="178"/>
      <c r="O1121" s="176"/>
      <c r="P1121" s="178"/>
      <c r="Q1121" s="105"/>
      <c r="R1121" s="219"/>
      <c r="S1121" s="164"/>
      <c r="T1121" s="164"/>
      <c r="U1121" s="162"/>
      <c r="V1121" s="221"/>
      <c r="W1121" s="221"/>
      <c r="X1121" s="221"/>
      <c r="Y1121" s="22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row>
    <row r="1122" spans="1:67" ht="29.25" hidden="1" customHeight="1">
      <c r="A1122" s="216"/>
      <c r="B1122" s="217"/>
      <c r="C1122" s="174"/>
      <c r="D1122" s="174"/>
      <c r="E1122" s="175"/>
      <c r="F1122" s="162"/>
      <c r="G1122" s="218"/>
      <c r="H1122" s="220"/>
      <c r="I1122" s="176"/>
      <c r="J1122" s="177"/>
      <c r="K1122" s="177"/>
      <c r="L1122" s="177"/>
      <c r="M1122" s="220"/>
      <c r="N1122" s="178"/>
      <c r="O1122" s="176"/>
      <c r="P1122" s="178"/>
      <c r="Q1122" s="105"/>
      <c r="R1122" s="219"/>
      <c r="S1122" s="164"/>
      <c r="T1122" s="164"/>
      <c r="U1122" s="162"/>
      <c r="V1122" s="221"/>
      <c r="W1122" s="221"/>
      <c r="X1122" s="221"/>
      <c r="Y1122" s="22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row>
    <row r="1123" spans="1:67" ht="29.25" hidden="1" customHeight="1">
      <c r="A1123" s="216"/>
      <c r="B1123" s="217"/>
      <c r="C1123" s="174"/>
      <c r="D1123" s="174"/>
      <c r="E1123" s="175"/>
      <c r="F1123" s="162"/>
      <c r="G1123" s="218"/>
      <c r="H1123" s="220"/>
      <c r="I1123" s="176"/>
      <c r="J1123" s="177"/>
      <c r="K1123" s="177"/>
      <c r="L1123" s="177"/>
      <c r="M1123" s="220"/>
      <c r="N1123" s="178"/>
      <c r="O1123" s="176"/>
      <c r="P1123" s="178"/>
      <c r="Q1123" s="105"/>
      <c r="R1123" s="219"/>
      <c r="S1123" s="164"/>
      <c r="T1123" s="164"/>
      <c r="U1123" s="162"/>
      <c r="V1123" s="221"/>
      <c r="W1123" s="221"/>
      <c r="X1123" s="221"/>
      <c r="Y1123" s="22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row>
    <row r="1124" spans="1:67" ht="29.25" hidden="1" customHeight="1">
      <c r="A1124" s="216"/>
      <c r="B1124" s="217"/>
      <c r="C1124" s="174"/>
      <c r="D1124" s="174"/>
      <c r="E1124" s="175"/>
      <c r="F1124" s="162"/>
      <c r="G1124" s="218"/>
      <c r="H1124" s="220"/>
      <c r="I1124" s="176"/>
      <c r="J1124" s="177"/>
      <c r="K1124" s="177"/>
      <c r="L1124" s="177"/>
      <c r="M1124" s="220"/>
      <c r="N1124" s="178"/>
      <c r="O1124" s="176"/>
      <c r="P1124" s="178"/>
      <c r="Q1124" s="105"/>
      <c r="R1124" s="219"/>
      <c r="S1124" s="164"/>
      <c r="T1124" s="164"/>
      <c r="U1124" s="162"/>
      <c r="V1124" s="221"/>
      <c r="W1124" s="221"/>
      <c r="X1124" s="221"/>
      <c r="Y1124" s="22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row>
    <row r="1125" spans="1:67" ht="29.25" hidden="1" customHeight="1">
      <c r="A1125" s="216"/>
      <c r="B1125" s="217"/>
      <c r="C1125" s="174"/>
      <c r="D1125" s="174"/>
      <c r="E1125" s="175"/>
      <c r="F1125" s="162"/>
      <c r="G1125" s="218"/>
      <c r="H1125" s="220"/>
      <c r="I1125" s="176"/>
      <c r="J1125" s="177"/>
      <c r="K1125" s="177"/>
      <c r="L1125" s="177"/>
      <c r="M1125" s="220"/>
      <c r="N1125" s="178"/>
      <c r="O1125" s="176"/>
      <c r="P1125" s="178"/>
      <c r="Q1125" s="105"/>
      <c r="R1125" s="219"/>
      <c r="S1125" s="164"/>
      <c r="T1125" s="164"/>
      <c r="U1125" s="162"/>
      <c r="V1125" s="221"/>
      <c r="W1125" s="221"/>
      <c r="X1125" s="221"/>
      <c r="Y1125" s="22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row>
    <row r="1126" spans="1:67" ht="29.25" hidden="1" customHeight="1">
      <c r="A1126" s="216"/>
      <c r="B1126" s="217"/>
      <c r="C1126" s="174"/>
      <c r="D1126" s="174"/>
      <c r="E1126" s="175"/>
      <c r="F1126" s="162"/>
      <c r="G1126" s="218"/>
      <c r="H1126" s="220"/>
      <c r="I1126" s="176"/>
      <c r="J1126" s="177"/>
      <c r="K1126" s="177"/>
      <c r="L1126" s="177"/>
      <c r="M1126" s="220"/>
      <c r="N1126" s="178"/>
      <c r="O1126" s="176"/>
      <c r="P1126" s="178"/>
      <c r="Q1126" s="105"/>
      <c r="R1126" s="219"/>
      <c r="S1126" s="164"/>
      <c r="T1126" s="164"/>
      <c r="U1126" s="162"/>
      <c r="V1126" s="221"/>
      <c r="W1126" s="221"/>
      <c r="X1126" s="221"/>
      <c r="Y1126" s="22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row>
    <row r="1127" spans="1:67" ht="29.25" hidden="1" customHeight="1">
      <c r="A1127" s="216"/>
      <c r="B1127" s="217"/>
      <c r="C1127" s="174"/>
      <c r="D1127" s="174"/>
      <c r="E1127" s="175"/>
      <c r="F1127" s="162"/>
      <c r="G1127" s="218"/>
      <c r="H1127" s="220"/>
      <c r="I1127" s="176"/>
      <c r="J1127" s="177"/>
      <c r="K1127" s="177"/>
      <c r="L1127" s="177"/>
      <c r="M1127" s="220"/>
      <c r="N1127" s="178"/>
      <c r="O1127" s="176"/>
      <c r="P1127" s="178"/>
      <c r="Q1127" s="105"/>
      <c r="R1127" s="219"/>
      <c r="S1127" s="164"/>
      <c r="T1127" s="164"/>
      <c r="U1127" s="162"/>
      <c r="V1127" s="221"/>
      <c r="W1127" s="221"/>
      <c r="X1127" s="221"/>
      <c r="Y1127" s="22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row>
    <row r="1128" spans="1:67" ht="29.25" hidden="1" customHeight="1">
      <c r="A1128" s="216"/>
      <c r="B1128" s="217"/>
      <c r="C1128" s="174"/>
      <c r="D1128" s="174"/>
      <c r="E1128" s="175"/>
      <c r="F1128" s="162"/>
      <c r="G1128" s="218"/>
      <c r="H1128" s="220"/>
      <c r="I1128" s="176"/>
      <c r="J1128" s="177"/>
      <c r="K1128" s="177"/>
      <c r="L1128" s="177"/>
      <c r="M1128" s="220"/>
      <c r="N1128" s="178"/>
      <c r="O1128" s="176"/>
      <c r="P1128" s="178"/>
      <c r="Q1128" s="105"/>
      <c r="R1128" s="219"/>
      <c r="S1128" s="164"/>
      <c r="T1128" s="164"/>
      <c r="U1128" s="162"/>
      <c r="V1128" s="221"/>
      <c r="W1128" s="221"/>
      <c r="X1128" s="221"/>
      <c r="Y1128" s="22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row>
    <row r="1129" spans="1:67" ht="29.25" hidden="1" customHeight="1">
      <c r="A1129" s="216"/>
      <c r="B1129" s="217"/>
      <c r="C1129" s="174"/>
      <c r="D1129" s="174"/>
      <c r="E1129" s="175"/>
      <c r="F1129" s="162"/>
      <c r="G1129" s="218"/>
      <c r="H1129" s="220"/>
      <c r="I1129" s="176"/>
      <c r="J1129" s="177"/>
      <c r="K1129" s="177"/>
      <c r="L1129" s="177"/>
      <c r="M1129" s="220"/>
      <c r="N1129" s="178"/>
      <c r="O1129" s="176"/>
      <c r="P1129" s="178"/>
      <c r="Q1129" s="105"/>
      <c r="R1129" s="219"/>
      <c r="S1129" s="164"/>
      <c r="T1129" s="164"/>
      <c r="U1129" s="162"/>
      <c r="V1129" s="221"/>
      <c r="W1129" s="221"/>
      <c r="X1129" s="221"/>
      <c r="Y1129" s="22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row>
    <row r="1130" spans="1:67" ht="29.25" hidden="1" customHeight="1">
      <c r="A1130" s="216"/>
      <c r="B1130" s="217"/>
      <c r="C1130" s="174"/>
      <c r="D1130" s="174"/>
      <c r="E1130" s="175"/>
      <c r="F1130" s="162"/>
      <c r="G1130" s="218"/>
      <c r="H1130" s="220"/>
      <c r="I1130" s="176"/>
      <c r="J1130" s="177"/>
      <c r="K1130" s="177"/>
      <c r="L1130" s="177"/>
      <c r="M1130" s="220"/>
      <c r="N1130" s="178"/>
      <c r="O1130" s="176"/>
      <c r="P1130" s="178"/>
      <c r="Q1130" s="105"/>
      <c r="R1130" s="219"/>
      <c r="S1130" s="164"/>
      <c r="T1130" s="164"/>
      <c r="U1130" s="162"/>
      <c r="V1130" s="221"/>
      <c r="W1130" s="221"/>
      <c r="X1130" s="221"/>
      <c r="Y1130" s="22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row>
    <row r="1131" spans="1:67" ht="29.25" hidden="1" customHeight="1">
      <c r="A1131" s="216"/>
      <c r="B1131" s="217"/>
      <c r="C1131" s="174"/>
      <c r="D1131" s="174"/>
      <c r="E1131" s="175"/>
      <c r="F1131" s="162"/>
      <c r="G1131" s="218"/>
      <c r="H1131" s="220"/>
      <c r="I1131" s="176"/>
      <c r="J1131" s="177"/>
      <c r="K1131" s="177"/>
      <c r="L1131" s="177"/>
      <c r="M1131" s="220"/>
      <c r="N1131" s="178"/>
      <c r="O1131" s="176"/>
      <c r="P1131" s="178"/>
      <c r="Q1131" s="105"/>
      <c r="R1131" s="219"/>
      <c r="S1131" s="164"/>
      <c r="T1131" s="164"/>
      <c r="U1131" s="162"/>
      <c r="V1131" s="221"/>
      <c r="W1131" s="221"/>
      <c r="X1131" s="221"/>
      <c r="Y1131" s="22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row>
    <row r="1132" spans="1:67" ht="29.25" hidden="1" customHeight="1">
      <c r="A1132" s="216"/>
      <c r="B1132" s="217"/>
      <c r="C1132" s="174"/>
      <c r="D1132" s="222"/>
      <c r="E1132" s="175"/>
      <c r="F1132" s="162"/>
      <c r="G1132" s="218"/>
      <c r="H1132" s="220"/>
      <c r="I1132" s="176"/>
      <c r="J1132" s="177"/>
      <c r="K1132" s="177"/>
      <c r="L1132" s="177"/>
      <c r="M1132" s="220"/>
      <c r="N1132" s="178"/>
      <c r="O1132" s="176"/>
      <c r="P1132" s="178"/>
      <c r="Q1132" s="105"/>
      <c r="R1132" s="219"/>
      <c r="S1132" s="164"/>
      <c r="T1132" s="164"/>
      <c r="U1132" s="162"/>
      <c r="V1132" s="221"/>
      <c r="W1132" s="221"/>
      <c r="X1132" s="221"/>
      <c r="Y1132" s="22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row>
    <row r="1133" spans="1:67" ht="29.25" hidden="1" customHeight="1">
      <c r="A1133" s="216"/>
      <c r="B1133" s="217"/>
      <c r="C1133" s="174"/>
      <c r="D1133" s="223"/>
      <c r="E1133" s="175"/>
      <c r="F1133" s="162"/>
      <c r="G1133" s="218"/>
      <c r="H1133" s="220"/>
      <c r="I1133" s="176"/>
      <c r="J1133" s="177"/>
      <c r="K1133" s="177"/>
      <c r="L1133" s="177"/>
      <c r="M1133" s="220"/>
      <c r="N1133" s="178"/>
      <c r="O1133" s="176"/>
      <c r="P1133" s="178"/>
      <c r="Q1133" s="105"/>
      <c r="R1133" s="219"/>
      <c r="S1133" s="164"/>
      <c r="T1133" s="164"/>
      <c r="U1133" s="162"/>
      <c r="V1133" s="221"/>
      <c r="W1133" s="221"/>
      <c r="X1133" s="221"/>
      <c r="Y1133" s="22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row>
  </sheetData>
  <conditionalFormatting sqref="B2:B1133">
    <cfRule type="expression" dxfId="1" priority="1">
      <formula>COUNTIF($B$2:$B$1131,B2)&gt;1</formula>
    </cfRule>
  </conditionalFormatting>
  <dataValidations count="7">
    <dataValidation type="list" allowBlank="1" sqref="F2:F113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O2:P1133 I2:L1133">
      <formula1>OR(NOT(ISERROR(DATEVALUE(I2))), AND(ISNUMBER(I2), LEFT(CELL("format", I2))="D"))</formula1>
    </dataValidation>
    <dataValidation type="list" allowBlank="1" sqref="U2:U1133">
      <formula1>"Opción 1,Opción 2"</formula1>
    </dataValidation>
    <dataValidation type="custom" allowBlank="1" showDropDown="1" sqref="H2:H1133 M2:M1133">
      <formula1>AND(ISNUMBER(H2),(NOT(OR(NOT(ISERROR(DATEVALUE(H2))), AND(ISNUMBER(H2), LEFT(CELL("format", H2))="D")))))</formula1>
    </dataValidation>
    <dataValidation allowBlank="1" showDropDown="1" sqref="R2:R1133"/>
    <dataValidation type="list" allowBlank="1" showDropDown="1" sqref="B2:B1133">
      <formula1>"iNTERNO"</formula1>
    </dataValidation>
    <dataValidation type="list" allowBlank="1" showDropDown="1" sqref="C36:C37 C67:C69 C77:C78 C85:C86 C121 C124:C125 C215 C217:C218 C220:C233 C235:C256">
      <formula1>"iNTERNO"</formula1>
    </dataValidation>
  </dataValidations>
  <hyperlinks>
    <hyperlink ref="V14" r:id="rId1"/>
    <hyperlink ref="B23" r:id="rId2"/>
    <hyperlink ref="D59" r:id="rId3"/>
    <hyperlink ref="V84" r:id="rId4"/>
    <hyperlink ref="V87" r:id="rId5"/>
    <hyperlink ref="V89" r:id="rId6"/>
    <hyperlink ref="V91" r:id="rId7"/>
    <hyperlink ref="Q177" r:id="rId8"/>
    <hyperlink ref="D200" r:id="rId9"/>
    <hyperlink ref="V224" r:id="rId10"/>
    <hyperlink ref="V270" r:id="rId11"/>
    <hyperlink ref="D287" r:id="rId12"/>
  </hyperlinks>
  <pageMargins left="0.7" right="0.7" top="0.75" bottom="0.75" header="0" footer="0"/>
  <pageSetup orientation="portrait"/>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39"/>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8.777343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1546</v>
      </c>
      <c r="C1" s="3" t="s">
        <v>2</v>
      </c>
      <c r="D1" s="224" t="s">
        <v>1547</v>
      </c>
      <c r="E1" s="225" t="s">
        <v>1548</v>
      </c>
      <c r="F1" s="6" t="s">
        <v>5</v>
      </c>
      <c r="G1" s="7" t="s">
        <v>1549</v>
      </c>
      <c r="H1" s="8" t="s">
        <v>1550</v>
      </c>
      <c r="I1" s="9" t="s">
        <v>8</v>
      </c>
      <c r="J1" s="9" t="s">
        <v>9</v>
      </c>
      <c r="K1" s="10" t="s">
        <v>10</v>
      </c>
      <c r="L1" s="10" t="s">
        <v>11</v>
      </c>
      <c r="M1" s="9" t="s">
        <v>1551</v>
      </c>
      <c r="N1" s="226" t="s">
        <v>13</v>
      </c>
      <c r="O1" s="9" t="s">
        <v>14</v>
      </c>
      <c r="P1" s="9" t="s">
        <v>15</v>
      </c>
      <c r="Q1" s="12" t="s">
        <v>16</v>
      </c>
      <c r="R1" s="225" t="s">
        <v>1552</v>
      </c>
      <c r="S1" s="227" t="s">
        <v>1553</v>
      </c>
    </row>
    <row r="2" spans="1:19" ht="75.75" customHeight="1">
      <c r="A2" s="16" t="s">
        <v>1554</v>
      </c>
      <c r="B2" s="228" t="s">
        <v>1555</v>
      </c>
      <c r="C2" s="18" t="s">
        <v>1556</v>
      </c>
      <c r="D2" s="229"/>
      <c r="E2" s="230" t="s">
        <v>1557</v>
      </c>
      <c r="F2" s="20" t="s">
        <v>76</v>
      </c>
      <c r="G2" s="21">
        <v>100</v>
      </c>
      <c r="H2" s="231">
        <f>IF(OR(J2="",K2="",K2&lt;J2),0,NETWORKDAYS(J2,K2,fESTIVOS!$A$2:$A$53))</f>
        <v>90</v>
      </c>
      <c r="I2" s="202"/>
      <c r="J2" s="26">
        <v>45691</v>
      </c>
      <c r="K2" s="25">
        <v>45821</v>
      </c>
      <c r="L2" s="26">
        <v>45824</v>
      </c>
      <c r="M2" s="39">
        <f ca="1">IF(OR(J2="",AND(L2="",TODAY()&lt;J2),AND(L2&lt;&gt;"",L2&lt;J2)),0,
   IF(L2="",
      NETWORKDAYS(J2,TODAY(),fESTIVOS!$A$2:$A$53),
      NETWORKDAYS(J2,L2,fESTIVOS!$A$2:$A$53)
   )
)</f>
        <v>91</v>
      </c>
      <c r="N2" s="23"/>
      <c r="O2" s="23"/>
      <c r="P2" s="232">
        <v>45843</v>
      </c>
      <c r="Q2" s="233" t="s">
        <v>1558</v>
      </c>
      <c r="R2" s="234" t="s">
        <v>78</v>
      </c>
      <c r="S2" s="34"/>
    </row>
    <row r="3" spans="1:19" ht="75.75" customHeight="1">
      <c r="A3" s="16" t="s">
        <v>1554</v>
      </c>
      <c r="B3" s="228" t="s">
        <v>1559</v>
      </c>
      <c r="C3" s="18" t="s">
        <v>1560</v>
      </c>
      <c r="D3" s="229"/>
      <c r="E3" s="230" t="s">
        <v>1557</v>
      </c>
      <c r="F3" s="20" t="s">
        <v>76</v>
      </c>
      <c r="G3" s="21">
        <v>100</v>
      </c>
      <c r="H3" s="231">
        <f>IF(OR(J3="",K3="",K3&lt;J3),0,NETWORKDAYS(J3,K3,fESTIVOS!$A$2:$A$53))</f>
        <v>3</v>
      </c>
      <c r="I3" s="235">
        <v>45824</v>
      </c>
      <c r="J3" s="26">
        <v>45824</v>
      </c>
      <c r="K3" s="25">
        <v>45826</v>
      </c>
      <c r="L3" s="26">
        <v>45827</v>
      </c>
      <c r="M3" s="39">
        <f ca="1">IF(OR(J3="",AND(L3="",TODAY()&lt;J3),AND(L3&lt;&gt;"",L3&lt;J3)),0,
   IF(L3="",
      NETWORKDAYS(J3,TODAY(),fESTIVOS!$A$2:$A$53),
      NETWORKDAYS(J3,L3,fESTIVOS!$A$2:$A$53)
   )
)</f>
        <v>4</v>
      </c>
      <c r="N3" s="23"/>
      <c r="O3" s="23"/>
      <c r="P3" s="232">
        <v>45843</v>
      </c>
      <c r="Q3" s="87" t="s">
        <v>1561</v>
      </c>
      <c r="R3" s="234" t="s">
        <v>78</v>
      </c>
      <c r="S3" s="34"/>
    </row>
    <row r="4" spans="1:19" ht="154.5" customHeight="1">
      <c r="A4" s="16" t="s">
        <v>1554</v>
      </c>
      <c r="B4" s="228" t="s">
        <v>1562</v>
      </c>
      <c r="C4" s="189" t="s">
        <v>1563</v>
      </c>
      <c r="D4" s="236"/>
      <c r="E4" s="230" t="s">
        <v>1557</v>
      </c>
      <c r="F4" s="237" t="s">
        <v>76</v>
      </c>
      <c r="G4" s="21">
        <v>100</v>
      </c>
      <c r="H4" s="231">
        <f>IF(OR(J4="",K4="",K4&lt;J4),0,NETWORKDAYS(J4,K4,fESTIVOS!$A$2:$A$53))</f>
        <v>4</v>
      </c>
      <c r="I4" s="23"/>
      <c r="J4" s="26">
        <v>45827</v>
      </c>
      <c r="K4" s="25">
        <v>45833</v>
      </c>
      <c r="L4" s="26">
        <v>45841</v>
      </c>
      <c r="M4" s="39">
        <f ca="1">IF(OR(J4="",AND(L4="",TODAY()&lt;J4),AND(L4&lt;&gt;"",L4&lt;J4)),0,
   IF(L4="",
      NETWORKDAYS(J4,TODAY(),fESTIVOS!$A$2:$A$53),
      NETWORKDAYS(J4,L4,fESTIVOS!$A$2:$A$53)
   )
)</f>
        <v>9</v>
      </c>
      <c r="N4" s="23"/>
      <c r="O4" s="23"/>
      <c r="P4" s="232">
        <v>45843</v>
      </c>
      <c r="Q4" s="38" t="s">
        <v>1564</v>
      </c>
      <c r="R4" s="234" t="s">
        <v>78</v>
      </c>
      <c r="S4" s="41" t="s">
        <v>1565</v>
      </c>
    </row>
    <row r="5" spans="1:19" ht="29.25" customHeight="1">
      <c r="A5" s="16" t="s">
        <v>1554</v>
      </c>
      <c r="B5" s="228" t="s">
        <v>1566</v>
      </c>
      <c r="C5" s="189" t="s">
        <v>1567</v>
      </c>
      <c r="D5" s="229"/>
      <c r="E5" s="230" t="s">
        <v>1557</v>
      </c>
      <c r="F5" s="20" t="s">
        <v>76</v>
      </c>
      <c r="G5" s="21">
        <v>100</v>
      </c>
      <c r="H5" s="231">
        <f>IF(OR(J5="",K5="",K5&lt;J5),0,NETWORKDAYS(J5,K5,fESTIVOS!$A$2:$A$53))</f>
        <v>3</v>
      </c>
      <c r="I5" s="47">
        <v>45817</v>
      </c>
      <c r="J5" s="26">
        <v>45817</v>
      </c>
      <c r="K5" s="25">
        <v>45819</v>
      </c>
      <c r="L5" s="45">
        <v>45820</v>
      </c>
      <c r="M5" s="39">
        <f ca="1">IF(OR(J5="",AND(L5="",TODAY()&lt;J5),AND(L5&lt;&gt;"",L5&lt;J5)),0,
   IF(L5="",
      NETWORKDAYS(J5,TODAY(),fESTIVOS!$A$2:$A$53),
      NETWORKDAYS(J5,L5,fESTIVOS!$A$2:$A$53)
   )
)</f>
        <v>4</v>
      </c>
      <c r="N5" s="23"/>
      <c r="O5" s="23"/>
      <c r="P5" s="232">
        <v>45843</v>
      </c>
      <c r="Q5" s="38" t="s">
        <v>1568</v>
      </c>
      <c r="R5" s="234" t="s">
        <v>78</v>
      </c>
      <c r="S5" s="41" t="s">
        <v>1565</v>
      </c>
    </row>
    <row r="6" spans="1:19" ht="29.25" customHeight="1">
      <c r="A6" s="16" t="s">
        <v>1554</v>
      </c>
      <c r="B6" s="228" t="s">
        <v>1569</v>
      </c>
      <c r="C6" s="189" t="s">
        <v>1570</v>
      </c>
      <c r="D6" s="229"/>
      <c r="E6" s="230" t="s">
        <v>1557</v>
      </c>
      <c r="F6" s="20" t="s">
        <v>76</v>
      </c>
      <c r="G6" s="21">
        <v>100</v>
      </c>
      <c r="H6" s="231">
        <f>IF(OR(J6="",K6="",K6&lt;J6),0,NETWORKDAYS(J6,K6,fESTIVOS!$A$2:$A$53))</f>
        <v>2</v>
      </c>
      <c r="I6" s="47">
        <v>45817</v>
      </c>
      <c r="J6" s="26">
        <v>45841</v>
      </c>
      <c r="K6" s="25">
        <v>45842</v>
      </c>
      <c r="L6" s="26">
        <v>45842</v>
      </c>
      <c r="M6" s="39">
        <f ca="1">IF(OR(J6="",AND(L6="",TODAY()&lt;J6),AND(L6&lt;&gt;"",L6&lt;J6)),0,
   IF(L6="",
      NETWORKDAYS(J6,TODAY(),fESTIVOS!$A$2:$A$53),
      NETWORKDAYS(J6,L6,fESTIVOS!$A$2:$A$53)
   )
)</f>
        <v>2</v>
      </c>
      <c r="N6" s="23"/>
      <c r="O6" s="23"/>
      <c r="P6" s="232">
        <v>45852</v>
      </c>
      <c r="Q6" s="30" t="s">
        <v>1571</v>
      </c>
      <c r="R6" s="234" t="s">
        <v>78</v>
      </c>
      <c r="S6" s="34" t="s">
        <v>1572</v>
      </c>
    </row>
    <row r="7" spans="1:19" ht="29.25" customHeight="1">
      <c r="A7" s="16" t="s">
        <v>1554</v>
      </c>
      <c r="B7" s="238" t="s">
        <v>1573</v>
      </c>
      <c r="C7" s="239" t="s">
        <v>1574</v>
      </c>
      <c r="D7" s="229"/>
      <c r="E7" s="230" t="s">
        <v>1575</v>
      </c>
      <c r="F7" s="20" t="s">
        <v>76</v>
      </c>
      <c r="G7" s="21">
        <v>100</v>
      </c>
      <c r="H7" s="231">
        <f>IF(OR(J7="",K7="",K7&lt;J7),0,NETWORKDAYS(J7,K7,fESTIVOS!$A$2:$A$53))</f>
        <v>0</v>
      </c>
      <c r="I7" s="47">
        <v>45817</v>
      </c>
      <c r="J7" s="240">
        <v>45845</v>
      </c>
      <c r="K7" s="25"/>
      <c r="L7" s="26">
        <v>45847</v>
      </c>
      <c r="M7" s="39">
        <f ca="1">IF(OR(J7="",AND(L7="",TODAY()&lt;J7),AND(L7&lt;&gt;"",L7&lt;J7)),0,
   IF(L7="",
      NETWORKDAYS(J7,TODAY(),fESTIVOS!$A$2:$A$53),
      NETWORKDAYS(J7,L7,fESTIVOS!$A$2:$A$53)
   )
)</f>
        <v>3</v>
      </c>
      <c r="N7" s="23"/>
      <c r="O7" s="23"/>
      <c r="P7" s="232">
        <v>45852</v>
      </c>
      <c r="Q7" s="30" t="s">
        <v>1576</v>
      </c>
      <c r="R7" s="234" t="s">
        <v>78</v>
      </c>
      <c r="S7" s="41" t="s">
        <v>1577</v>
      </c>
    </row>
    <row r="8" spans="1:19" ht="29.25" customHeight="1">
      <c r="A8" s="16" t="s">
        <v>1554</v>
      </c>
      <c r="B8" s="241" t="s">
        <v>1578</v>
      </c>
      <c r="C8" s="242" t="s">
        <v>1579</v>
      </c>
      <c r="D8" s="229"/>
      <c r="E8" s="243" t="s">
        <v>1575</v>
      </c>
      <c r="F8" s="20" t="s">
        <v>76</v>
      </c>
      <c r="G8" s="59">
        <v>100</v>
      </c>
      <c r="H8" s="231">
        <f>IF(OR(J8="",K8="",K8&lt;J8),0,NETWORKDAYS(J8,K8,fESTIVOS!$A$2:$A$53))</f>
        <v>0</v>
      </c>
      <c r="I8" s="82">
        <v>45834</v>
      </c>
      <c r="J8" s="25">
        <v>45848</v>
      </c>
      <c r="K8" s="244"/>
      <c r="L8" s="25">
        <v>45822</v>
      </c>
      <c r="M8" s="39">
        <f ca="1">IF(OR(J8="",AND(L8="",TODAY()&lt;J8),AND(L8&lt;&gt;"",L8&lt;J8)),0,
   IF(L8="",
      NETWORKDAYS(J8,TODAY(),fESTIVOS!$A$2:$A$53),
      NETWORKDAYS(J8,L8,fESTIVOS!$A$2:$A$53)
   )
)</f>
        <v>0</v>
      </c>
      <c r="N8" s="245"/>
      <c r="O8" s="245"/>
      <c r="P8" s="232">
        <v>45852</v>
      </c>
      <c r="Q8" s="246" t="s">
        <v>1580</v>
      </c>
      <c r="R8" s="234" t="s">
        <v>78</v>
      </c>
      <c r="S8" s="50" t="s">
        <v>1581</v>
      </c>
    </row>
    <row r="9" spans="1:19" ht="29.25" customHeight="1">
      <c r="A9" s="16" t="s">
        <v>1554</v>
      </c>
      <c r="B9" s="241" t="s">
        <v>1582</v>
      </c>
      <c r="C9" s="242" t="s">
        <v>1583</v>
      </c>
      <c r="D9" s="229"/>
      <c r="E9" s="243" t="s">
        <v>1575</v>
      </c>
      <c r="F9" s="20" t="s">
        <v>76</v>
      </c>
      <c r="G9" s="59">
        <v>100</v>
      </c>
      <c r="H9" s="231">
        <f>IF(OR(J9="",K9="",K9&lt;J9),0,NETWORKDAYS(J9,K9,fESTIVOS!$A$2:$A$53))</f>
        <v>0</v>
      </c>
      <c r="I9" s="82">
        <v>45834</v>
      </c>
      <c r="J9" s="25">
        <v>45848</v>
      </c>
      <c r="K9" s="53"/>
      <c r="L9" s="25">
        <v>45848</v>
      </c>
      <c r="M9" s="39">
        <f ca="1">IF(OR(J9="",AND(L9="",TODAY()&lt;J9),AND(L9&lt;&gt;"",L9&lt;J9)),0,
   IF(L9="",
      NETWORKDAYS(J9,TODAY(),fESTIVOS!$A$2:$A$53),
      NETWORKDAYS(J9,L9,fESTIVOS!$A$2:$A$53)
   )
)</f>
        <v>1</v>
      </c>
      <c r="N9" s="245"/>
      <c r="O9" s="245"/>
      <c r="P9" s="29"/>
      <c r="Q9" s="246" t="s">
        <v>1584</v>
      </c>
      <c r="R9" s="234" t="s">
        <v>78</v>
      </c>
      <c r="S9" s="50" t="s">
        <v>1585</v>
      </c>
    </row>
    <row r="10" spans="1:19" ht="29.25" customHeight="1">
      <c r="A10" s="16" t="s">
        <v>1554</v>
      </c>
      <c r="B10" s="241" t="s">
        <v>1586</v>
      </c>
      <c r="C10" s="151" t="s">
        <v>1587</v>
      </c>
      <c r="D10" s="229"/>
      <c r="E10" s="243" t="s">
        <v>1575</v>
      </c>
      <c r="F10" s="20" t="s">
        <v>76</v>
      </c>
      <c r="G10" s="59">
        <v>100</v>
      </c>
      <c r="H10" s="231">
        <f>IF(OR(J10="",K10="",K10&lt;J10),0,NETWORKDAYS(J10,K10,fESTIVOS!$A$2:$A$53))</f>
        <v>0</v>
      </c>
      <c r="I10" s="82">
        <v>45834</v>
      </c>
      <c r="J10" s="25">
        <v>45854</v>
      </c>
      <c r="K10" s="70"/>
      <c r="L10" s="25">
        <v>45855</v>
      </c>
      <c r="M10" s="39">
        <f ca="1">IF(OR(J10="",AND(L10="",TODAY()&lt;J10),AND(L10&lt;&gt;"",L10&lt;J10)),0,
   IF(L10="",
      NETWORKDAYS(J10,TODAY(),fESTIVOS!$A$2:$A$53),
      NETWORKDAYS(J10,L10,fESTIVOS!$A$2:$A$53)
   )
)</f>
        <v>2</v>
      </c>
      <c r="N10" s="245"/>
      <c r="O10" s="245"/>
      <c r="P10" s="232">
        <v>45855</v>
      </c>
      <c r="Q10" s="246" t="s">
        <v>1588</v>
      </c>
      <c r="R10" s="234" t="s">
        <v>78</v>
      </c>
      <c r="S10" s="50" t="s">
        <v>1589</v>
      </c>
    </row>
    <row r="11" spans="1:19" ht="29.25" customHeight="1">
      <c r="A11" s="16" t="s">
        <v>1554</v>
      </c>
      <c r="B11" s="241" t="s">
        <v>1590</v>
      </c>
      <c r="C11" s="151" t="s">
        <v>1591</v>
      </c>
      <c r="D11" s="229"/>
      <c r="E11" s="243" t="s">
        <v>1575</v>
      </c>
      <c r="F11" s="20" t="s">
        <v>76</v>
      </c>
      <c r="G11" s="59">
        <v>100</v>
      </c>
      <c r="H11" s="231">
        <f>IF(OR(J11="",K11="",K11&lt;J11),0,NETWORKDAYS(J11,K11,fESTIVOS!$A$2:$A$53))</f>
        <v>0</v>
      </c>
      <c r="I11" s="82">
        <v>45834</v>
      </c>
      <c r="J11" s="25">
        <v>45848</v>
      </c>
      <c r="K11" s="70"/>
      <c r="L11" s="25">
        <v>45818</v>
      </c>
      <c r="M11" s="39">
        <f ca="1">IF(OR(J11="",AND(L11="",TODAY()&lt;J11),AND(L11&lt;&gt;"",L11&lt;J11)),0,
   IF(L11="",
      NETWORKDAYS(J11,TODAY(),fESTIVOS!$A$2:$A$53),
      NETWORKDAYS(J11,L11,fESTIVOS!$A$2:$A$53)
   )
)</f>
        <v>0</v>
      </c>
      <c r="N11" s="245"/>
      <c r="O11" s="245"/>
      <c r="P11" s="232">
        <v>45852</v>
      </c>
      <c r="Q11" s="246" t="s">
        <v>1592</v>
      </c>
      <c r="R11" s="234" t="s">
        <v>78</v>
      </c>
      <c r="S11" s="50" t="s">
        <v>1593</v>
      </c>
    </row>
    <row r="12" spans="1:19" ht="29.25" customHeight="1">
      <c r="A12" s="16" t="s">
        <v>1554</v>
      </c>
      <c r="B12" s="241" t="s">
        <v>1594</v>
      </c>
      <c r="C12" s="247" t="s">
        <v>1595</v>
      </c>
      <c r="D12" s="248"/>
      <c r="E12" s="249" t="s">
        <v>1575</v>
      </c>
      <c r="F12" s="117" t="s">
        <v>76</v>
      </c>
      <c r="G12" s="59">
        <v>100</v>
      </c>
      <c r="H12" s="231">
        <f>IF(OR(J12="",K12="",K12&lt;J12),0,NETWORKDAYS(J12,K12,fESTIVOS!$A$2:$A$53))</f>
        <v>0</v>
      </c>
      <c r="I12" s="82">
        <v>45853</v>
      </c>
      <c r="J12" s="25">
        <v>45853</v>
      </c>
      <c r="K12" s="70"/>
      <c r="L12" s="25">
        <v>45854</v>
      </c>
      <c r="M12" s="39">
        <f ca="1">IF(OR(J12="",AND(L12="",TODAY()&lt;J12),AND(L12&lt;&gt;"",L12&lt;J12)),0,
   IF(L12="",
      NETWORKDAYS(J12,TODAY(),fESTIVOS!$A$2:$A$53),
      NETWORKDAYS(J12,L12,fESTIVOS!$A$2:$A$53)
   )
)</f>
        <v>2</v>
      </c>
      <c r="N12" s="245"/>
      <c r="O12" s="245"/>
      <c r="P12" s="29"/>
      <c r="Q12" s="246" t="s">
        <v>1596</v>
      </c>
      <c r="R12" s="234" t="s">
        <v>78</v>
      </c>
      <c r="S12" s="250"/>
    </row>
    <row r="13" spans="1:19" ht="39" customHeight="1">
      <c r="A13" s="16" t="s">
        <v>1554</v>
      </c>
      <c r="B13" s="228" t="s">
        <v>1597</v>
      </c>
      <c r="C13" s="251" t="s">
        <v>1598</v>
      </c>
      <c r="D13" s="236"/>
      <c r="E13" s="230" t="s">
        <v>1557</v>
      </c>
      <c r="F13" s="20" t="s">
        <v>76</v>
      </c>
      <c r="G13" s="59">
        <v>100</v>
      </c>
      <c r="H13" s="231">
        <f>IF(OR(J13="",K13="",K13&lt;J13),0,NETWORKDAYS(J13,K13,fESTIVOS!$A$2:$A$53))</f>
        <v>2</v>
      </c>
      <c r="I13" s="82">
        <v>45855</v>
      </c>
      <c r="J13" s="61">
        <v>45855</v>
      </c>
      <c r="K13" s="61">
        <v>45857</v>
      </c>
      <c r="L13" s="61">
        <v>45862</v>
      </c>
      <c r="M13" s="39">
        <f ca="1">IF(OR(J13="",AND(L13="",TODAY()&lt;J13),AND(L13&lt;&gt;"",L13&lt;J13)),0,
   IF(L13="",
      NETWORKDAYS(J13,TODAY(),fESTIVOS!$A$2:$A$53),
      NETWORKDAYS(J13,L13,fESTIVOS!$A$2:$A$53)
   )
)</f>
        <v>6</v>
      </c>
      <c r="N13" s="60"/>
      <c r="O13" s="60"/>
      <c r="P13" s="62"/>
      <c r="Q13" s="64" t="s">
        <v>1599</v>
      </c>
      <c r="R13" s="234" t="s">
        <v>78</v>
      </c>
      <c r="S13" s="66" t="s">
        <v>1600</v>
      </c>
    </row>
    <row r="14" spans="1:19" ht="29.25" customHeight="1">
      <c r="A14" s="16" t="s">
        <v>1601</v>
      </c>
      <c r="B14" s="228" t="s">
        <v>1602</v>
      </c>
      <c r="C14" s="189" t="s">
        <v>1603</v>
      </c>
      <c r="D14" s="229"/>
      <c r="E14" s="230" t="s">
        <v>1557</v>
      </c>
      <c r="F14" s="20" t="s">
        <v>76</v>
      </c>
      <c r="G14" s="59">
        <v>100</v>
      </c>
      <c r="H14" s="231">
        <f>IF(OR(J14="",K14="",K14&lt;J14),0,NETWORKDAYS(J14,K14,fESTIVOS!$A$2:$A$53))</f>
        <v>26</v>
      </c>
      <c r="I14" s="60"/>
      <c r="J14" s="61">
        <v>45859</v>
      </c>
      <c r="K14" s="26">
        <v>45896</v>
      </c>
      <c r="L14" s="26">
        <v>45944</v>
      </c>
      <c r="M14" s="39">
        <f ca="1">IF(OR(J14="",AND(L14="",TODAY()&lt;J14),AND(L14&lt;&gt;"",L14&lt;J14)),0,
   IF(L14="",
      NETWORKDAYS(J14,TODAY(),fESTIVOS!$A$2:$A$53),
      NETWORKDAYS(J14,L14,fESTIVOS!$A$2:$A$53)
   )
)</f>
        <v>59</v>
      </c>
      <c r="N14" s="60"/>
      <c r="O14" s="60"/>
      <c r="P14" s="62"/>
      <c r="Q14" s="252" t="s">
        <v>1604</v>
      </c>
      <c r="R14" s="234" t="s">
        <v>78</v>
      </c>
      <c r="S14" s="253" t="s">
        <v>1605</v>
      </c>
    </row>
    <row r="15" spans="1:19" ht="29.25" customHeight="1">
      <c r="A15" s="16" t="s">
        <v>1554</v>
      </c>
      <c r="B15" s="228" t="s">
        <v>1606</v>
      </c>
      <c r="C15" s="189" t="s">
        <v>1607</v>
      </c>
      <c r="D15" s="229"/>
      <c r="E15" s="230" t="s">
        <v>1557</v>
      </c>
      <c r="F15" s="20" t="s">
        <v>76</v>
      </c>
      <c r="G15" s="59">
        <v>100</v>
      </c>
      <c r="H15" s="231">
        <f>IF(OR(J15="",K15="",K15&lt;J15),0,NETWORKDAYS(J15,K15,fESTIVOS!$A$2:$A$53))</f>
        <v>4</v>
      </c>
      <c r="I15" s="82">
        <v>45940</v>
      </c>
      <c r="J15" s="61">
        <v>45940</v>
      </c>
      <c r="K15" s="26">
        <v>45946</v>
      </c>
      <c r="L15" s="26">
        <v>45951</v>
      </c>
      <c r="M15" s="39">
        <f ca="1">IF(OR(J15="",AND(L15="",TODAY()&lt;J15),AND(L15&lt;&gt;"",L15&lt;J15)),0,
   IF(L15="",
      NETWORKDAYS(J15,TODAY(),fESTIVOS!$A$2:$A$53),
      NETWORKDAYS(J15,L15,fESTIVOS!$A$2:$A$53)
   )
)</f>
        <v>7</v>
      </c>
      <c r="N15" s="60"/>
      <c r="O15" s="60"/>
      <c r="P15" s="62"/>
      <c r="Q15" s="252" t="s">
        <v>1608</v>
      </c>
      <c r="R15" s="234" t="s">
        <v>78</v>
      </c>
      <c r="S15" s="253"/>
    </row>
    <row r="16" spans="1:19" ht="29.25" customHeight="1">
      <c r="A16" s="16" t="s">
        <v>1554</v>
      </c>
      <c r="B16" s="228" t="s">
        <v>1609</v>
      </c>
      <c r="C16" s="251" t="s">
        <v>1610</v>
      </c>
      <c r="D16" s="229"/>
      <c r="E16" s="254" t="s">
        <v>1557</v>
      </c>
      <c r="F16" s="20" t="s">
        <v>76</v>
      </c>
      <c r="G16" s="59">
        <v>100</v>
      </c>
      <c r="H16" s="231">
        <f>IF(OR(J16="",K16="",K16&lt;J16),0,NETWORKDAYS(J16,K16,fESTIVOS!$A$2:$A$53))</f>
        <v>0</v>
      </c>
      <c r="I16" s="82">
        <v>45855</v>
      </c>
      <c r="J16" s="61">
        <v>45855</v>
      </c>
      <c r="K16" s="24"/>
      <c r="L16" s="26">
        <v>45860</v>
      </c>
      <c r="M16" s="39">
        <f ca="1">IF(OR(J16="",AND(L16="",TODAY()&lt;J16),AND(L16&lt;&gt;"",L16&lt;J16)),0,
   IF(L16="",
      NETWORKDAYS(J16,TODAY(),fESTIVOS!$A$2:$A$53),
      NETWORKDAYS(J16,L16,fESTIVOS!$A$2:$A$53)
   )
)</f>
        <v>4</v>
      </c>
      <c r="N16" s="60"/>
      <c r="O16" s="60"/>
      <c r="P16" s="63">
        <v>45885</v>
      </c>
      <c r="Q16" s="78" t="s">
        <v>1611</v>
      </c>
      <c r="R16" s="234" t="s">
        <v>78</v>
      </c>
      <c r="S16" s="255"/>
    </row>
    <row r="17" spans="1:19" ht="29.25" customHeight="1">
      <c r="A17" s="256" t="s">
        <v>1612</v>
      </c>
      <c r="B17" s="228" t="s">
        <v>1613</v>
      </c>
      <c r="C17" s="251" t="s">
        <v>1614</v>
      </c>
      <c r="D17" s="229"/>
      <c r="E17" s="257" t="s">
        <v>1557</v>
      </c>
      <c r="F17" s="20" t="s">
        <v>76</v>
      </c>
      <c r="G17" s="59">
        <v>100</v>
      </c>
      <c r="H17" s="231">
        <f>IF(OR(J17="",K17="",K17&lt;J17),0,NETWORKDAYS(J17,K17,fESTIVOS!$A$2:$A$53))</f>
        <v>1</v>
      </c>
      <c r="I17" s="82">
        <v>45863</v>
      </c>
      <c r="J17" s="61">
        <v>45863</v>
      </c>
      <c r="K17" s="26">
        <v>45863</v>
      </c>
      <c r="L17" s="61">
        <v>45885</v>
      </c>
      <c r="M17" s="39">
        <f ca="1">IF(OR(J17="",AND(L17="",TODAY()&lt;J17),AND(L17&lt;&gt;"",L17&lt;J17)),0,
   IF(L17="",
      NETWORKDAYS(J17,TODAY(),fESTIVOS!$A$2:$A$53),
      NETWORKDAYS(J17,L17,fESTIVOS!$A$2:$A$53)
   )
)</f>
        <v>15</v>
      </c>
      <c r="N17" s="82"/>
      <c r="O17" s="82"/>
      <c r="P17" s="62"/>
      <c r="Q17" s="78" t="s">
        <v>1615</v>
      </c>
      <c r="R17" s="234" t="s">
        <v>78</v>
      </c>
      <c r="S17" s="79"/>
    </row>
    <row r="18" spans="1:19" ht="29.25" customHeight="1">
      <c r="A18" s="16" t="s">
        <v>1554</v>
      </c>
      <c r="B18" s="228" t="s">
        <v>1616</v>
      </c>
      <c r="C18" s="251" t="s">
        <v>1617</v>
      </c>
      <c r="D18" s="258"/>
      <c r="E18" s="257" t="s">
        <v>1557</v>
      </c>
      <c r="F18" s="86" t="s">
        <v>76</v>
      </c>
      <c r="G18" s="59">
        <v>100</v>
      </c>
      <c r="H18" s="231">
        <f>IF(OR(J18="",K18="",K18&lt;J18),0,NETWORKDAYS(J18,K18,fESTIVOS!$A$2:$A$53))</f>
        <v>2</v>
      </c>
      <c r="I18" s="82">
        <v>45863</v>
      </c>
      <c r="J18" s="61">
        <v>45866</v>
      </c>
      <c r="K18" s="61">
        <v>45867</v>
      </c>
      <c r="L18" s="61">
        <v>45870</v>
      </c>
      <c r="M18" s="39">
        <f ca="1">IF(OR(J18="",AND(L18="",TODAY()&lt;J18),AND(L18&lt;&gt;"",L18&lt;J18)),0,
   IF(L18="",
      NETWORKDAYS(J18,TODAY(),fESTIVOS!$A$2:$A$53),
      NETWORKDAYS(J18,L18,fESTIVOS!$A$2:$A$53)
   )
)</f>
        <v>5</v>
      </c>
      <c r="N18" s="82"/>
      <c r="O18" s="82"/>
      <c r="P18" s="63">
        <v>45885</v>
      </c>
      <c r="Q18" s="87" t="s">
        <v>1618</v>
      </c>
      <c r="R18" s="234" t="s">
        <v>78</v>
      </c>
      <c r="S18" s="88"/>
    </row>
    <row r="19" spans="1:19" ht="29.25" customHeight="1">
      <c r="A19" s="16" t="s">
        <v>1554</v>
      </c>
      <c r="B19" s="228" t="s">
        <v>1619</v>
      </c>
      <c r="C19" s="251" t="s">
        <v>1620</v>
      </c>
      <c r="D19" s="248"/>
      <c r="E19" s="257" t="s">
        <v>1621</v>
      </c>
      <c r="F19" s="117" t="s">
        <v>76</v>
      </c>
      <c r="G19" s="59">
        <v>100</v>
      </c>
      <c r="H19" s="231">
        <f>IF(OR(J19="",K19="",K19&lt;J19),0,NETWORKDAYS(J19,K19,fESTIVOS!$A$2:$A$53))</f>
        <v>1</v>
      </c>
      <c r="I19" s="82">
        <v>45870</v>
      </c>
      <c r="J19" s="61">
        <v>45870</v>
      </c>
      <c r="K19" s="61">
        <v>45870</v>
      </c>
      <c r="L19" s="61">
        <v>45877</v>
      </c>
      <c r="M19" s="39">
        <f ca="1">IF(OR(J19="",AND(L19="",TODAY()&lt;J19),AND(L19&lt;&gt;"",L19&lt;J19)),0,
   IF(L19="",
      NETWORKDAYS(J19,TODAY(),fESTIVOS!$A$2:$A$53),
      NETWORKDAYS(J19,L19,fESTIVOS!$A$2:$A$53)
   )
)</f>
        <v>5</v>
      </c>
      <c r="N19" s="60"/>
      <c r="O19" s="60"/>
      <c r="P19" s="62"/>
      <c r="Q19" s="64" t="s">
        <v>1622</v>
      </c>
      <c r="R19" s="234" t="s">
        <v>78</v>
      </c>
      <c r="S19" s="118"/>
    </row>
    <row r="20" spans="1:19" ht="29.25" customHeight="1">
      <c r="A20" s="16" t="s">
        <v>1554</v>
      </c>
      <c r="B20" s="228" t="s">
        <v>1623</v>
      </c>
      <c r="C20" s="251" t="s">
        <v>1624</v>
      </c>
      <c r="D20" s="229"/>
      <c r="E20" s="230" t="s">
        <v>1557</v>
      </c>
      <c r="F20" s="20" t="s">
        <v>76</v>
      </c>
      <c r="G20" s="59">
        <v>100</v>
      </c>
      <c r="H20" s="231">
        <f>IF(OR(J20="",K20="",K20&lt;J20),0,NETWORKDAYS(J20,K20,fESTIVOS!$A$2:$A$53))</f>
        <v>0</v>
      </c>
      <c r="I20" s="82">
        <v>45874</v>
      </c>
      <c r="J20" s="61">
        <v>45874</v>
      </c>
      <c r="K20" s="70"/>
      <c r="L20" s="61">
        <v>45882</v>
      </c>
      <c r="M20" s="39">
        <f ca="1">IF(OR(J20="",AND(L20="",TODAY()&lt;J20),AND(L20&lt;&gt;"",L20&lt;J20)),0,
   IF(L20="",
      NETWORKDAYS(J20,TODAY(),fESTIVOS!$A$2:$A$53),
      NETWORKDAYS(J20,L20,fESTIVOS!$A$2:$A$53)
   )
)</f>
        <v>6</v>
      </c>
      <c r="N20" s="60"/>
      <c r="O20" s="60"/>
      <c r="P20" s="63">
        <v>45885</v>
      </c>
      <c r="Q20" s="30" t="s">
        <v>1625</v>
      </c>
      <c r="R20" s="234" t="s">
        <v>78</v>
      </c>
      <c r="S20" s="34"/>
    </row>
    <row r="21" spans="1:19" ht="29.25" customHeight="1">
      <c r="A21" s="16" t="s">
        <v>1554</v>
      </c>
      <c r="B21" s="228" t="s">
        <v>1626</v>
      </c>
      <c r="C21" s="259" t="s">
        <v>1627</v>
      </c>
      <c r="D21" s="260"/>
      <c r="E21" s="230" t="s">
        <v>1557</v>
      </c>
      <c r="F21" s="133" t="s">
        <v>76</v>
      </c>
      <c r="G21" s="134">
        <v>100</v>
      </c>
      <c r="H21" s="231">
        <f>IF(OR(J21="",K21="",K21&lt;J21),0,NETWORKDAYS(J21,K21,fESTIVOS!$A$2:$A$53))</f>
        <v>0</v>
      </c>
      <c r="I21" s="135">
        <v>45883</v>
      </c>
      <c r="J21" s="61">
        <v>45883</v>
      </c>
      <c r="K21" s="61"/>
      <c r="L21" s="61">
        <v>45883</v>
      </c>
      <c r="M21" s="39">
        <f ca="1">IF(OR(J21="",AND(L21="",TODAY()&lt;J21),AND(L21&lt;&gt;"",L21&lt;J21)),0,
   IF(L21="",
      NETWORKDAYS(J21,TODAY(),fESTIVOS!$A$2:$A$53),
      NETWORKDAYS(J21,L21,fESTIVOS!$A$2:$A$53)
   )
)</f>
        <v>1</v>
      </c>
      <c r="N21" s="82"/>
      <c r="O21" s="82"/>
      <c r="P21" s="63">
        <v>45885</v>
      </c>
      <c r="Q21" s="30" t="s">
        <v>1628</v>
      </c>
      <c r="R21" s="234" t="s">
        <v>78</v>
      </c>
      <c r="S21" s="34"/>
    </row>
    <row r="22" spans="1:19" ht="29.25" customHeight="1">
      <c r="A22" s="16" t="s">
        <v>1554</v>
      </c>
      <c r="B22" s="228" t="s">
        <v>1629</v>
      </c>
      <c r="C22" s="259" t="s">
        <v>1630</v>
      </c>
      <c r="D22" s="261" t="s">
        <v>1631</v>
      </c>
      <c r="E22" s="230" t="s">
        <v>1557</v>
      </c>
      <c r="F22" s="133" t="s">
        <v>76</v>
      </c>
      <c r="G22" s="134">
        <v>100</v>
      </c>
      <c r="H22" s="231">
        <f>IF(OR(J22="",K22="",K22&lt;J22),0,NETWORKDAYS(J22,K22,fESTIVOS!$A$2:$A$53))</f>
        <v>0</v>
      </c>
      <c r="I22" s="135"/>
      <c r="J22" s="61">
        <v>45895</v>
      </c>
      <c r="K22" s="61"/>
      <c r="L22" s="61">
        <v>45895</v>
      </c>
      <c r="M22" s="39">
        <f ca="1">IF(OR(J22="",AND(L22="",TODAY()&lt;J22),AND(L22&lt;&gt;"",L22&lt;J22)),0,
   IF(L22="",
      NETWORKDAYS(J22,TODAY(),fESTIVOS!$A$2:$A$53),
      NETWORKDAYS(J22,L22,fESTIVOS!$A$2:$A$53)
   )
)</f>
        <v>1</v>
      </c>
      <c r="N22" s="82"/>
      <c r="O22" s="82"/>
      <c r="P22" s="63"/>
      <c r="Q22" s="30" t="s">
        <v>1632</v>
      </c>
      <c r="R22" s="234" t="s">
        <v>78</v>
      </c>
      <c r="S22" s="34"/>
    </row>
    <row r="23" spans="1:19" ht="29.25" customHeight="1">
      <c r="A23" s="16" t="s">
        <v>1554</v>
      </c>
      <c r="B23" s="228" t="s">
        <v>1633</v>
      </c>
      <c r="C23" s="251" t="s">
        <v>1620</v>
      </c>
      <c r="D23" s="262" t="s">
        <v>1634</v>
      </c>
      <c r="E23" s="230" t="s">
        <v>1621</v>
      </c>
      <c r="F23" s="86" t="s">
        <v>76</v>
      </c>
      <c r="G23" s="59">
        <v>100</v>
      </c>
      <c r="H23" s="231">
        <f>IF(OR(J23="",K23="",K23&lt;J23),0,NETWORKDAYS(J23,K23,fESTIVOS!$A$2:$A$53))</f>
        <v>5</v>
      </c>
      <c r="I23" s="82">
        <v>45884</v>
      </c>
      <c r="J23" s="61">
        <v>45884</v>
      </c>
      <c r="K23" s="61">
        <v>45891</v>
      </c>
      <c r="L23" s="61">
        <v>45947</v>
      </c>
      <c r="M23" s="39">
        <f ca="1">IF(OR(J23="",AND(L23="",TODAY()&lt;J23),AND(L23&lt;&gt;"",L23&lt;J23)),0,
   IF(L23="",
      NETWORKDAYS(J23,TODAY(),fESTIVOS!$A$2:$A$53),
      NETWORKDAYS(J23,L23,fESTIVOS!$A$2:$A$53)
   )
)</f>
        <v>44</v>
      </c>
      <c r="N23" s="82"/>
      <c r="O23" s="82"/>
      <c r="P23" s="63"/>
      <c r="Q23" s="34" t="s">
        <v>1635</v>
      </c>
      <c r="R23" s="234" t="s">
        <v>78</v>
      </c>
      <c r="S23" s="34"/>
    </row>
    <row r="24" spans="1:19" ht="29.25" customHeight="1">
      <c r="A24" s="16" t="s">
        <v>1554</v>
      </c>
      <c r="B24" s="228" t="s">
        <v>1636</v>
      </c>
      <c r="C24" s="251" t="s">
        <v>1637</v>
      </c>
      <c r="D24" s="262"/>
      <c r="E24" s="230" t="s">
        <v>1638</v>
      </c>
      <c r="F24" s="263" t="s">
        <v>76</v>
      </c>
      <c r="G24" s="59">
        <v>100</v>
      </c>
      <c r="H24" s="231">
        <f>IF(OR(J24="",K24="",K24&lt;J24),0,NETWORKDAYS(J24,K24,fESTIVOS!$A$2:$A$53))</f>
        <v>5</v>
      </c>
      <c r="I24" s="82">
        <v>45894</v>
      </c>
      <c r="J24" s="61">
        <v>45894</v>
      </c>
      <c r="K24" s="61">
        <v>45898</v>
      </c>
      <c r="L24" s="61">
        <v>45897</v>
      </c>
      <c r="M24" s="39">
        <f ca="1">IF(OR(J24="",AND(L24="",TODAY()&lt;J24),AND(L24&lt;&gt;"",L24&lt;J24)),0,
   IF(L24="",
      NETWORKDAYS(J24,TODAY(),fESTIVOS!$A$2:$A$53),
      NETWORKDAYS(J24,L24,fESTIVOS!$A$2:$A$53)
   )
)</f>
        <v>4</v>
      </c>
      <c r="N24" s="82"/>
      <c r="O24" s="82"/>
      <c r="P24" s="63"/>
      <c r="Q24" s="34" t="s">
        <v>1639</v>
      </c>
      <c r="R24" s="234" t="s">
        <v>78</v>
      </c>
      <c r="S24" s="34"/>
    </row>
    <row r="25" spans="1:19" ht="29.25" customHeight="1">
      <c r="A25" s="16" t="s">
        <v>1554</v>
      </c>
      <c r="B25" s="228" t="s">
        <v>1640</v>
      </c>
      <c r="C25" s="251" t="s">
        <v>1637</v>
      </c>
      <c r="D25" s="262"/>
      <c r="E25" s="230" t="s">
        <v>1638</v>
      </c>
      <c r="F25" s="263" t="s">
        <v>76</v>
      </c>
      <c r="G25" s="59">
        <v>100</v>
      </c>
      <c r="H25" s="231">
        <f>IF(OR(J25="",K25="",K25&lt;J25),0,NETWORKDAYS(J25,K25,fESTIVOS!$A$2:$A$53))</f>
        <v>5</v>
      </c>
      <c r="I25" s="82">
        <v>45894</v>
      </c>
      <c r="J25" s="61">
        <v>45894</v>
      </c>
      <c r="K25" s="61">
        <v>45898</v>
      </c>
      <c r="L25" s="61">
        <v>45897</v>
      </c>
      <c r="M25" s="39">
        <f ca="1">IF(OR(J25="",AND(L25="",TODAY()&lt;J25),AND(L25&lt;&gt;"",L25&lt;J25)),0,
   IF(L25="",
      NETWORKDAYS(J25,TODAY(),fESTIVOS!$A$2:$A$53),
      NETWORKDAYS(J25,L25,fESTIVOS!$A$2:$A$53)
   )
)</f>
        <v>4</v>
      </c>
      <c r="N25" s="82"/>
      <c r="O25" s="82"/>
      <c r="P25" s="63"/>
      <c r="Q25" s="34" t="s">
        <v>1641</v>
      </c>
      <c r="R25" s="234" t="s">
        <v>78</v>
      </c>
      <c r="S25" s="34"/>
    </row>
    <row r="26" spans="1:19" ht="29.25" customHeight="1">
      <c r="A26" s="16" t="s">
        <v>1554</v>
      </c>
      <c r="B26" s="228" t="s">
        <v>1642</v>
      </c>
      <c r="C26" s="251" t="s">
        <v>1637</v>
      </c>
      <c r="D26" s="262"/>
      <c r="E26" s="230" t="s">
        <v>1638</v>
      </c>
      <c r="F26" s="263" t="s">
        <v>76</v>
      </c>
      <c r="G26" s="59">
        <v>100</v>
      </c>
      <c r="H26" s="231">
        <f>IF(OR(J26="",K26="",K26&lt;J26),0,NETWORKDAYS(J26,K26,fESTIVOS!$A$2:$A$53))</f>
        <v>5</v>
      </c>
      <c r="I26" s="82">
        <v>45894</v>
      </c>
      <c r="J26" s="61">
        <v>45894</v>
      </c>
      <c r="K26" s="61">
        <v>45898</v>
      </c>
      <c r="L26" s="61">
        <v>45897</v>
      </c>
      <c r="M26" s="39">
        <f ca="1">IF(OR(J26="",AND(L26="",TODAY()&lt;J26),AND(L26&lt;&gt;"",L26&lt;J26)),0,
   IF(L26="",
      NETWORKDAYS(J26,TODAY(),fESTIVOS!$A$2:$A$53),
      NETWORKDAYS(J26,L26,fESTIVOS!$A$2:$A$53)
   )
)</f>
        <v>4</v>
      </c>
      <c r="N26" s="82"/>
      <c r="O26" s="82"/>
      <c r="P26" s="63"/>
      <c r="Q26" s="34" t="s">
        <v>1643</v>
      </c>
      <c r="R26" s="234" t="s">
        <v>78</v>
      </c>
      <c r="S26" s="34"/>
    </row>
    <row r="27" spans="1:19" ht="29.25" customHeight="1">
      <c r="A27" s="16" t="s">
        <v>1554</v>
      </c>
      <c r="B27" s="228" t="s">
        <v>1644</v>
      </c>
      <c r="C27" s="251" t="s">
        <v>1637</v>
      </c>
      <c r="D27" s="264"/>
      <c r="E27" s="230" t="s">
        <v>1638</v>
      </c>
      <c r="F27" s="263" t="s">
        <v>76</v>
      </c>
      <c r="G27" s="59">
        <v>100</v>
      </c>
      <c r="H27" s="231">
        <f>IF(OR(J27="",K27="",K27&lt;J27),0,NETWORKDAYS(J27,K27,fESTIVOS!$A$2:$A$53))</f>
        <v>5</v>
      </c>
      <c r="I27" s="82">
        <v>45894</v>
      </c>
      <c r="J27" s="61">
        <v>45894</v>
      </c>
      <c r="K27" s="61">
        <v>45898</v>
      </c>
      <c r="L27" s="61">
        <v>45897</v>
      </c>
      <c r="M27" s="39">
        <f ca="1">IF(OR(J27="",AND(L27="",TODAY()&lt;J27),AND(L27&lt;&gt;"",L27&lt;J27)),0,
   IF(L27="",
      NETWORKDAYS(J27,TODAY(),fESTIVOS!$A$2:$A$53),
      NETWORKDAYS(J27,L27,fESTIVOS!$A$2:$A$53)
   )
)</f>
        <v>4</v>
      </c>
      <c r="N27" s="82"/>
      <c r="O27" s="82"/>
      <c r="P27" s="63"/>
      <c r="Q27" s="34" t="s">
        <v>1645</v>
      </c>
      <c r="R27" s="234" t="s">
        <v>78</v>
      </c>
      <c r="S27" s="34"/>
    </row>
    <row r="28" spans="1:19" ht="29.25" customHeight="1">
      <c r="A28" s="16" t="s">
        <v>1554</v>
      </c>
      <c r="B28" s="228" t="s">
        <v>1646</v>
      </c>
      <c r="C28" s="251" t="s">
        <v>1647</v>
      </c>
      <c r="D28" s="262"/>
      <c r="E28" s="230" t="s">
        <v>1638</v>
      </c>
      <c r="F28" s="263" t="s">
        <v>76</v>
      </c>
      <c r="G28" s="59">
        <v>100</v>
      </c>
      <c r="H28" s="231">
        <f>IF(OR(J28="",K28="",K28&lt;J28),0,NETWORKDAYS(J28,K28,fESTIVOS!$A$2:$A$53))</f>
        <v>4</v>
      </c>
      <c r="I28" s="82">
        <v>45894</v>
      </c>
      <c r="J28" s="61">
        <v>45895</v>
      </c>
      <c r="K28" s="61">
        <v>45898</v>
      </c>
      <c r="L28" s="61">
        <v>45897</v>
      </c>
      <c r="M28" s="39">
        <f ca="1">IF(OR(J28="",AND(L28="",TODAY()&lt;J28),AND(L28&lt;&gt;"",L28&lt;J28)),0,
   IF(L28="",
      NETWORKDAYS(J28,TODAY(),fESTIVOS!$A$2:$A$53),
      NETWORKDAYS(J28,L28,fESTIVOS!$A$2:$A$53)
   )
)</f>
        <v>3</v>
      </c>
      <c r="N28" s="82"/>
      <c r="O28" s="82"/>
      <c r="P28" s="63"/>
      <c r="Q28" s="34" t="s">
        <v>1648</v>
      </c>
      <c r="R28" s="234" t="s">
        <v>78</v>
      </c>
      <c r="S28" s="34"/>
    </row>
    <row r="29" spans="1:19" ht="29.25" customHeight="1">
      <c r="A29" s="16" t="s">
        <v>1554</v>
      </c>
      <c r="B29" s="228" t="s">
        <v>1649</v>
      </c>
      <c r="C29" s="251" t="s">
        <v>1650</v>
      </c>
      <c r="D29" s="262"/>
      <c r="E29" s="230" t="s">
        <v>1638</v>
      </c>
      <c r="F29" s="263" t="s">
        <v>76</v>
      </c>
      <c r="G29" s="59">
        <v>100</v>
      </c>
      <c r="H29" s="231">
        <f>IF(OR(J29="",K29="",K29&lt;J29),0,NETWORKDAYS(J29,K29,fESTIVOS!$A$2:$A$53))</f>
        <v>4</v>
      </c>
      <c r="I29" s="82">
        <v>45894</v>
      </c>
      <c r="J29" s="61">
        <v>45895</v>
      </c>
      <c r="K29" s="61">
        <v>45898</v>
      </c>
      <c r="L29" s="61">
        <v>45897</v>
      </c>
      <c r="M29" s="39">
        <f ca="1">IF(OR(J29="",AND(L29="",TODAY()&lt;J29),AND(L29&lt;&gt;"",L29&lt;J29)),0,
   IF(L29="",
      NETWORKDAYS(J29,TODAY(),fESTIVOS!$A$2:$A$53),
      NETWORKDAYS(J29,L29,fESTIVOS!$A$2:$A$53)
   )
)</f>
        <v>3</v>
      </c>
      <c r="N29" s="82"/>
      <c r="O29" s="82"/>
      <c r="P29" s="63"/>
      <c r="Q29" s="34" t="s">
        <v>1651</v>
      </c>
      <c r="R29" s="234" t="s">
        <v>78</v>
      </c>
      <c r="S29" s="34"/>
    </row>
    <row r="30" spans="1:19" ht="29.25" customHeight="1">
      <c r="A30" s="16" t="s">
        <v>1554</v>
      </c>
      <c r="B30" s="228" t="s">
        <v>1652</v>
      </c>
      <c r="C30" s="251" t="s">
        <v>1650</v>
      </c>
      <c r="D30" s="262"/>
      <c r="E30" s="230" t="s">
        <v>1638</v>
      </c>
      <c r="F30" s="263" t="s">
        <v>76</v>
      </c>
      <c r="G30" s="59">
        <v>100</v>
      </c>
      <c r="H30" s="231">
        <f>IF(OR(J30="",K30="",K30&lt;J30),0,NETWORKDAYS(J30,K30,fESTIVOS!$A$2:$A$53))</f>
        <v>4</v>
      </c>
      <c r="I30" s="82">
        <v>45894</v>
      </c>
      <c r="J30" s="61">
        <v>45895</v>
      </c>
      <c r="K30" s="61">
        <v>45898</v>
      </c>
      <c r="L30" s="61">
        <v>45897</v>
      </c>
      <c r="M30" s="39">
        <f ca="1">IF(OR(J30="",AND(L30="",TODAY()&lt;J30),AND(L30&lt;&gt;"",L30&lt;J30)),0,
   IF(L30="",
      NETWORKDAYS(J30,TODAY(),fESTIVOS!$A$2:$A$53),
      NETWORKDAYS(J30,L30,fESTIVOS!$A$2:$A$53)
   )
)</f>
        <v>3</v>
      </c>
      <c r="N30" s="82"/>
      <c r="O30" s="82"/>
      <c r="P30" s="63"/>
      <c r="Q30" s="34" t="s">
        <v>1653</v>
      </c>
      <c r="R30" s="234" t="s">
        <v>78</v>
      </c>
      <c r="S30" s="34"/>
    </row>
    <row r="31" spans="1:19" ht="29.25" customHeight="1">
      <c r="A31" s="16" t="s">
        <v>1554</v>
      </c>
      <c r="B31" s="228" t="s">
        <v>1654</v>
      </c>
      <c r="C31" s="251" t="s">
        <v>1655</v>
      </c>
      <c r="D31" s="262"/>
      <c r="E31" s="230" t="s">
        <v>1557</v>
      </c>
      <c r="F31" s="263" t="s">
        <v>76</v>
      </c>
      <c r="G31" s="59">
        <v>100</v>
      </c>
      <c r="H31" s="231">
        <f>IF(OR(J31="",K31="",K31&lt;J31),0,NETWORKDAYS(J31,K31,fESTIVOS!$A$2:$A$53))</f>
        <v>4</v>
      </c>
      <c r="I31" s="82">
        <v>45894</v>
      </c>
      <c r="J31" s="61">
        <v>45895</v>
      </c>
      <c r="K31" s="61">
        <v>45898</v>
      </c>
      <c r="L31" s="61">
        <v>45897</v>
      </c>
      <c r="M31" s="39">
        <f ca="1">IF(OR(J31="",AND(L31="",TODAY()&lt;J31),AND(L31&lt;&gt;"",L31&lt;J31)),0,
   IF(L31="",
      NETWORKDAYS(J31,TODAY(),fESTIVOS!$A$2:$A$53),
      NETWORKDAYS(J31,L31,fESTIVOS!$A$2:$A$53)
   )
)</f>
        <v>3</v>
      </c>
      <c r="N31" s="82"/>
      <c r="O31" s="82"/>
      <c r="P31" s="63"/>
      <c r="Q31" s="34" t="s">
        <v>1656</v>
      </c>
      <c r="R31" s="234" t="s">
        <v>78</v>
      </c>
      <c r="S31" s="34"/>
    </row>
    <row r="32" spans="1:19" ht="29.25" customHeight="1">
      <c r="A32" s="16" t="s">
        <v>1554</v>
      </c>
      <c r="B32" s="228" t="s">
        <v>1657</v>
      </c>
      <c r="C32" s="251" t="s">
        <v>1655</v>
      </c>
      <c r="D32" s="262"/>
      <c r="E32" s="230" t="s">
        <v>1557</v>
      </c>
      <c r="F32" s="86" t="s">
        <v>76</v>
      </c>
      <c r="G32" s="59">
        <v>100</v>
      </c>
      <c r="H32" s="231">
        <f>IF(OR(J32="",K32="",K32&lt;J32),0,NETWORKDAYS(J32,K32,fESTIVOS!$A$2:$A$53))</f>
        <v>4</v>
      </c>
      <c r="I32" s="82">
        <v>45894</v>
      </c>
      <c r="J32" s="61">
        <v>45896</v>
      </c>
      <c r="K32" s="61">
        <v>45901</v>
      </c>
      <c r="L32" s="61">
        <v>45930</v>
      </c>
      <c r="M32" s="39">
        <f ca="1">IF(OR(J32="",AND(L32="",TODAY()&lt;J32),AND(L32&lt;&gt;"",L32&lt;J32)),0,
   IF(L32="",
      NETWORKDAYS(J32,TODAY(),fESTIVOS!$A$2:$A$53),
      NETWORKDAYS(J32,L32,fESTIVOS!$A$2:$A$53)
   )
)</f>
        <v>25</v>
      </c>
      <c r="N32" s="82"/>
      <c r="O32" s="82"/>
      <c r="P32" s="63"/>
      <c r="Q32" s="34" t="s">
        <v>1658</v>
      </c>
      <c r="R32" s="234" t="s">
        <v>78</v>
      </c>
      <c r="S32" s="34"/>
    </row>
    <row r="33" spans="1:19" ht="29.25" customHeight="1">
      <c r="A33" s="16" t="s">
        <v>1554</v>
      </c>
      <c r="B33" s="228" t="s">
        <v>1659</v>
      </c>
      <c r="C33" s="251" t="s">
        <v>1660</v>
      </c>
      <c r="D33" s="262"/>
      <c r="E33" s="230" t="s">
        <v>1557</v>
      </c>
      <c r="F33" s="86" t="s">
        <v>76</v>
      </c>
      <c r="G33" s="59">
        <v>100</v>
      </c>
      <c r="H33" s="231">
        <f>IF(OR(J33="",K33="",K33&lt;J33),0,NETWORKDAYS(J33,K33,fESTIVOS!$A$2:$A$53))</f>
        <v>0</v>
      </c>
      <c r="I33" s="82">
        <v>45894</v>
      </c>
      <c r="J33" s="61">
        <v>45930</v>
      </c>
      <c r="K33" s="61">
        <v>45901</v>
      </c>
      <c r="L33" s="61">
        <v>45930</v>
      </c>
      <c r="M33" s="39">
        <f ca="1">IF(OR(J33="",AND(L33="",TODAY()&lt;J33),AND(L33&lt;&gt;"",L33&lt;J33)),0,
   IF(L33="",
      NETWORKDAYS(J33,TODAY(),fESTIVOS!$A$2:$A$53),
      NETWORKDAYS(J33,L33,fESTIVOS!$A$2:$A$53)
   )
)</f>
        <v>1</v>
      </c>
      <c r="N33" s="82"/>
      <c r="O33" s="82"/>
      <c r="P33" s="63"/>
      <c r="Q33" s="34" t="s">
        <v>1661</v>
      </c>
      <c r="R33" s="234" t="s">
        <v>78</v>
      </c>
      <c r="S33" s="34"/>
    </row>
    <row r="34" spans="1:19" ht="29.25" customHeight="1">
      <c r="A34" s="16" t="s">
        <v>1554</v>
      </c>
      <c r="B34" s="228" t="s">
        <v>1662</v>
      </c>
      <c r="C34" s="251" t="s">
        <v>1663</v>
      </c>
      <c r="D34" s="262"/>
      <c r="E34" s="230" t="s">
        <v>1557</v>
      </c>
      <c r="F34" s="86" t="s">
        <v>76</v>
      </c>
      <c r="G34" s="59">
        <v>100</v>
      </c>
      <c r="H34" s="231">
        <f>IF(OR(J34="",K34="",K34&lt;J34),0,NETWORKDAYS(J34,K34,fESTIVOS!$A$2:$A$53))</f>
        <v>0</v>
      </c>
      <c r="I34" s="82">
        <v>45894</v>
      </c>
      <c r="J34" s="61">
        <v>45930</v>
      </c>
      <c r="K34" s="61">
        <v>45901</v>
      </c>
      <c r="L34" s="61">
        <v>45930</v>
      </c>
      <c r="M34" s="39">
        <f ca="1">IF(OR(J34="",AND(L34="",TODAY()&lt;J34),AND(L34&lt;&gt;"",L34&lt;J34)),0,
   IF(L34="",
      NETWORKDAYS(J34,TODAY(),fESTIVOS!$A$2:$A$53),
      NETWORKDAYS(J34,L34,fESTIVOS!$A$2:$A$53)
   )
)</f>
        <v>1</v>
      </c>
      <c r="N34" s="82"/>
      <c r="O34" s="82"/>
      <c r="P34" s="63"/>
      <c r="Q34" s="34" t="s">
        <v>1664</v>
      </c>
      <c r="R34" s="234" t="s">
        <v>78</v>
      </c>
      <c r="S34" s="34"/>
    </row>
    <row r="35" spans="1:19" ht="29.25" customHeight="1">
      <c r="A35" s="16" t="s">
        <v>1554</v>
      </c>
      <c r="B35" s="228" t="s">
        <v>1665</v>
      </c>
      <c r="C35" s="251" t="s">
        <v>1666</v>
      </c>
      <c r="D35" s="262"/>
      <c r="E35" s="230" t="s">
        <v>1557</v>
      </c>
      <c r="F35" s="86" t="s">
        <v>76</v>
      </c>
      <c r="G35" s="59">
        <v>100</v>
      </c>
      <c r="H35" s="231">
        <f>IF(OR(J35="",K35="",K35&lt;J35),0,NETWORKDAYS(J35,K35,fESTIVOS!$A$2:$A$53))</f>
        <v>0</v>
      </c>
      <c r="I35" s="82">
        <v>45894</v>
      </c>
      <c r="J35" s="61">
        <v>45947</v>
      </c>
      <c r="K35" s="61">
        <v>45901</v>
      </c>
      <c r="L35" s="61">
        <v>45947</v>
      </c>
      <c r="M35" s="39">
        <f ca="1">IF(OR(J35="",AND(L35="",TODAY()&lt;J35),AND(L35&lt;&gt;"",L35&lt;J35)),0,
   IF(L35="",
      NETWORKDAYS(J35,TODAY(),fESTIVOS!$A$2:$A$53),
      NETWORKDAYS(J35,L35,fESTIVOS!$A$2:$A$53)
   )
)</f>
        <v>1</v>
      </c>
      <c r="N35" s="82"/>
      <c r="O35" s="82"/>
      <c r="P35" s="63"/>
      <c r="Q35" s="34" t="s">
        <v>1667</v>
      </c>
      <c r="R35" s="234" t="s">
        <v>78</v>
      </c>
      <c r="S35" s="34"/>
    </row>
    <row r="36" spans="1:19" ht="29.25" customHeight="1">
      <c r="A36" s="16" t="s">
        <v>1554</v>
      </c>
      <c r="B36" s="228" t="s">
        <v>1668</v>
      </c>
      <c r="C36" s="251" t="s">
        <v>1669</v>
      </c>
      <c r="D36" s="262"/>
      <c r="E36" s="230" t="s">
        <v>1638</v>
      </c>
      <c r="F36" s="263" t="s">
        <v>76</v>
      </c>
      <c r="G36" s="59">
        <v>100</v>
      </c>
      <c r="H36" s="231">
        <f>IF(OR(J36="",K36="",K36&lt;J36),0,NETWORKDAYS(J36,K36,fESTIVOS!$A$2:$A$53))</f>
        <v>4</v>
      </c>
      <c r="I36" s="82">
        <v>45894</v>
      </c>
      <c r="J36" s="61">
        <v>45895</v>
      </c>
      <c r="K36" s="61">
        <v>45898</v>
      </c>
      <c r="L36" s="61">
        <v>45897</v>
      </c>
      <c r="M36" s="39">
        <f ca="1">IF(OR(J36="",AND(L36="",TODAY()&lt;J36),AND(L36&lt;&gt;"",L36&lt;J36)),0,
   IF(L36="",
      NETWORKDAYS(J36,TODAY(),fESTIVOS!$A$2:$A$53),
      NETWORKDAYS(J36,L36,fESTIVOS!$A$2:$A$53)
   )
)</f>
        <v>3</v>
      </c>
      <c r="N36" s="82"/>
      <c r="O36" s="82"/>
      <c r="P36" s="63"/>
      <c r="Q36" s="34" t="s">
        <v>1670</v>
      </c>
      <c r="R36" s="234" t="s">
        <v>78</v>
      </c>
      <c r="S36" s="34"/>
    </row>
    <row r="37" spans="1:19" ht="29.25" customHeight="1">
      <c r="A37" s="16" t="s">
        <v>1554</v>
      </c>
      <c r="B37" s="228" t="s">
        <v>1671</v>
      </c>
      <c r="C37" s="251" t="s">
        <v>1672</v>
      </c>
      <c r="D37" s="262"/>
      <c r="E37" s="230" t="s">
        <v>1557</v>
      </c>
      <c r="F37" s="86" t="s">
        <v>76</v>
      </c>
      <c r="G37" s="59">
        <v>100</v>
      </c>
      <c r="H37" s="231">
        <f>IF(OR(J37="",K37="",K37&lt;J37),0,NETWORKDAYS(J37,K37,fESTIVOS!$A$2:$A$53))</f>
        <v>0</v>
      </c>
      <c r="I37" s="82">
        <v>45894</v>
      </c>
      <c r="J37" s="61">
        <v>45930</v>
      </c>
      <c r="K37" s="61">
        <v>45902</v>
      </c>
      <c r="L37" s="61">
        <v>45930</v>
      </c>
      <c r="M37" s="39">
        <f ca="1">IF(OR(J37="",AND(L37="",TODAY()&lt;J37),AND(L37&lt;&gt;"",L37&lt;J37)),0,
   IF(L37="",
      NETWORKDAYS(J37,TODAY(),fESTIVOS!$A$2:$A$53),
      NETWORKDAYS(J37,L37,fESTIVOS!$A$2:$A$53)
   )
)</f>
        <v>1</v>
      </c>
      <c r="N37" s="265"/>
      <c r="O37" s="265"/>
      <c r="P37" s="63"/>
      <c r="Q37" s="34" t="s">
        <v>1673</v>
      </c>
      <c r="R37" s="234" t="s">
        <v>78</v>
      </c>
      <c r="S37" s="34"/>
    </row>
    <row r="38" spans="1:19" ht="29.25" customHeight="1">
      <c r="A38" s="16" t="s">
        <v>1554</v>
      </c>
      <c r="B38" s="228" t="s">
        <v>1674</v>
      </c>
      <c r="C38" s="251" t="s">
        <v>1675</v>
      </c>
      <c r="D38" s="262"/>
      <c r="E38" s="230" t="s">
        <v>1557</v>
      </c>
      <c r="F38" s="86" t="s">
        <v>76</v>
      </c>
      <c r="G38" s="59">
        <v>100</v>
      </c>
      <c r="H38" s="231">
        <f>IF(OR(J38="",K38="",K38&lt;J38),0,NETWORKDAYS(J38,K38,fESTIVOS!$A$2:$A$53))</f>
        <v>3</v>
      </c>
      <c r="I38" s="82">
        <v>45894</v>
      </c>
      <c r="J38" s="61">
        <v>45938</v>
      </c>
      <c r="K38" s="61">
        <v>45940</v>
      </c>
      <c r="L38" s="61">
        <v>45947</v>
      </c>
      <c r="M38" s="39">
        <f ca="1">IF(OR(J38="",AND(L38="",TODAY()&lt;J38),AND(L38&lt;&gt;"",L38&lt;J38)),0,
   IF(L38="",
      NETWORKDAYS(J38,TODAY(),fESTIVOS!$A$2:$A$53),
      NETWORKDAYS(J38,L38,fESTIVOS!$A$2:$A$53)
   )
)</f>
        <v>7</v>
      </c>
      <c r="N38" s="82"/>
      <c r="O38" s="82"/>
      <c r="P38" s="63"/>
      <c r="Q38" s="34" t="s">
        <v>1676</v>
      </c>
      <c r="R38" s="234" t="s">
        <v>78</v>
      </c>
      <c r="S38" s="34"/>
    </row>
    <row r="39" spans="1:19" ht="29.25" customHeight="1">
      <c r="A39" s="266" t="s">
        <v>1554</v>
      </c>
      <c r="B39" s="267" t="s">
        <v>1677</v>
      </c>
      <c r="C39" s="268" t="s">
        <v>1678</v>
      </c>
      <c r="D39" s="269" t="s">
        <v>1679</v>
      </c>
      <c r="E39" s="270" t="s">
        <v>1638</v>
      </c>
      <c r="F39" s="271" t="s">
        <v>76</v>
      </c>
      <c r="G39" s="272">
        <v>100</v>
      </c>
      <c r="H39" s="231">
        <f>IF(OR(J39="",K39="",K39&lt;J39),0,NETWORKDAYS(J39,K39,fESTIVOS!$A$2:$A$53))</f>
        <v>3</v>
      </c>
      <c r="I39" s="273">
        <v>45901</v>
      </c>
      <c r="J39" s="274">
        <v>45901</v>
      </c>
      <c r="K39" s="274">
        <v>45903</v>
      </c>
      <c r="L39" s="274">
        <v>45919</v>
      </c>
      <c r="M39" s="39">
        <f ca="1">IF(OR(J39="",AND(L39="",TODAY()&lt;J39),AND(L39&lt;&gt;"",L39&lt;J39)),0,
   IF(L39="",
      NETWORKDAYS(J39,TODAY(),fESTIVOS!$A$2:$A$53),
      NETWORKDAYS(J39,L39,fESTIVOS!$A$2:$A$53)
   )
)</f>
        <v>15</v>
      </c>
      <c r="N39" s="275"/>
      <c r="O39" s="275"/>
      <c r="P39" s="276"/>
      <c r="Q39" s="277" t="s">
        <v>1680</v>
      </c>
      <c r="R39" s="278" t="s">
        <v>78</v>
      </c>
      <c r="S39" s="279"/>
    </row>
    <row r="40" spans="1:19" ht="29.25" customHeight="1">
      <c r="A40" s="16" t="s">
        <v>1554</v>
      </c>
      <c r="B40" s="228" t="s">
        <v>1681</v>
      </c>
      <c r="C40" s="251" t="s">
        <v>1682</v>
      </c>
      <c r="D40" s="262" t="s">
        <v>1683</v>
      </c>
      <c r="E40" s="230" t="s">
        <v>1557</v>
      </c>
      <c r="F40" s="86" t="s">
        <v>76</v>
      </c>
      <c r="G40" s="59">
        <v>100</v>
      </c>
      <c r="H40" s="231">
        <f>IF(OR(J40="",K40="",K40&lt;J40),0,NETWORKDAYS(J40,K40,fESTIVOS!$A$2:$A$53))</f>
        <v>4</v>
      </c>
      <c r="I40" s="82">
        <v>45898</v>
      </c>
      <c r="J40" s="61">
        <v>45898</v>
      </c>
      <c r="K40" s="274">
        <v>45903</v>
      </c>
      <c r="L40" s="61">
        <v>45932</v>
      </c>
      <c r="M40" s="39">
        <f ca="1">IF(OR(J40="",AND(L40="",TODAY()&lt;J40),AND(L40&lt;&gt;"",L40&lt;J40)),0,
   IF(L40="",
      NETWORKDAYS(J40,TODAY(),fESTIVOS!$A$2:$A$53),
      NETWORKDAYS(J40,L40,fESTIVOS!$A$2:$A$53)
   )
)</f>
        <v>25</v>
      </c>
      <c r="N40" s="82"/>
      <c r="O40" s="82"/>
      <c r="P40" s="63"/>
      <c r="Q40" s="277" t="s">
        <v>1684</v>
      </c>
      <c r="R40" s="234" t="s">
        <v>78</v>
      </c>
      <c r="S40" s="34"/>
    </row>
    <row r="41" spans="1:19" ht="29.25" customHeight="1">
      <c r="A41" s="16" t="s">
        <v>1554</v>
      </c>
      <c r="B41" s="228" t="s">
        <v>1685</v>
      </c>
      <c r="C41" s="251" t="s">
        <v>1686</v>
      </c>
      <c r="D41" s="262" t="s">
        <v>1687</v>
      </c>
      <c r="E41" s="230" t="s">
        <v>1557</v>
      </c>
      <c r="F41" s="86" t="s">
        <v>76</v>
      </c>
      <c r="G41" s="59">
        <v>100</v>
      </c>
      <c r="H41" s="231">
        <f>IF(OR(J41="",K41="",K41&lt;J41),0,NETWORKDAYS(J41,K41,fESTIVOS!$A$2:$A$53))</f>
        <v>3</v>
      </c>
      <c r="I41" s="82">
        <v>45901</v>
      </c>
      <c r="J41" s="61">
        <v>45901</v>
      </c>
      <c r="K41" s="274">
        <v>45903</v>
      </c>
      <c r="L41" s="61">
        <v>45903</v>
      </c>
      <c r="M41" s="39">
        <f ca="1">IF(OR(J41="",AND(L41="",TODAY()&lt;J41),AND(L41&lt;&gt;"",L41&lt;J41)),0,
   IF(L41="",
      NETWORKDAYS(J41,TODAY(),fESTIVOS!$A$2:$A$53),
      NETWORKDAYS(J41,L41,fESTIVOS!$A$2:$A$53)
   )
)</f>
        <v>3</v>
      </c>
      <c r="N41" s="82"/>
      <c r="O41" s="82"/>
      <c r="P41" s="63"/>
      <c r="Q41" s="277" t="s">
        <v>1688</v>
      </c>
      <c r="R41" s="234" t="s">
        <v>78</v>
      </c>
      <c r="S41" s="34"/>
    </row>
    <row r="42" spans="1:19" ht="29.25" customHeight="1">
      <c r="A42" s="16" t="s">
        <v>1554</v>
      </c>
      <c r="B42" s="228" t="s">
        <v>1689</v>
      </c>
      <c r="C42" s="251" t="s">
        <v>1690</v>
      </c>
      <c r="D42" s="262"/>
      <c r="E42" s="267" t="s">
        <v>1621</v>
      </c>
      <c r="F42" s="86" t="s">
        <v>76</v>
      </c>
      <c r="G42" s="59">
        <v>100</v>
      </c>
      <c r="H42" s="231">
        <f>IF(OR(J42="",K42="",K42&lt;J42),0,NETWORKDAYS(J42,K42,fESTIVOS!$A$2:$A$53))</f>
        <v>1</v>
      </c>
      <c r="I42" s="82">
        <v>45902</v>
      </c>
      <c r="J42" s="61">
        <v>45903</v>
      </c>
      <c r="K42" s="274">
        <v>45903</v>
      </c>
      <c r="L42" s="61">
        <v>45903</v>
      </c>
      <c r="M42" s="39">
        <f ca="1">IF(OR(J42="",AND(L42="",TODAY()&lt;J42),AND(L42&lt;&gt;"",L42&lt;J42)),0,
   IF(L42="",
      NETWORKDAYS(J42,TODAY(),fESTIVOS!$A$2:$A$53),
      NETWORKDAYS(J42,L42,fESTIVOS!$A$2:$A$53)
   )
)</f>
        <v>1</v>
      </c>
      <c r="N42" s="82"/>
      <c r="O42" s="82"/>
      <c r="P42" s="63"/>
      <c r="Q42" s="277" t="s">
        <v>1691</v>
      </c>
      <c r="R42" s="234" t="s">
        <v>78</v>
      </c>
      <c r="S42" s="34"/>
    </row>
    <row r="43" spans="1:19" ht="29.25" customHeight="1">
      <c r="A43" s="266" t="s">
        <v>1554</v>
      </c>
      <c r="B43" s="267" t="s">
        <v>1692</v>
      </c>
      <c r="C43" s="268" t="s">
        <v>1693</v>
      </c>
      <c r="D43" s="280" t="s">
        <v>1694</v>
      </c>
      <c r="E43" s="270" t="s">
        <v>1557</v>
      </c>
      <c r="F43" s="271" t="s">
        <v>76</v>
      </c>
      <c r="G43" s="272">
        <v>100</v>
      </c>
      <c r="H43" s="231">
        <f>IF(OR(J43="",K43="",K43&lt;J43),0,NETWORKDAYS(J43,K43,fESTIVOS!$A$2:$A$53))</f>
        <v>3</v>
      </c>
      <c r="I43" s="273">
        <v>45903</v>
      </c>
      <c r="J43" s="274">
        <v>45903</v>
      </c>
      <c r="K43" s="281">
        <v>45905</v>
      </c>
      <c r="L43" s="274">
        <v>46041</v>
      </c>
      <c r="M43" s="39">
        <f ca="1">IF(OR(J43="",AND(L43="",TODAY()&lt;J43),AND(L43&lt;&gt;"",L43&lt;J43)),0,
   IF(L43="",
      NETWORKDAYS(J43,TODAY(),fESTIVOS!$A$2:$A$53),
      NETWORKDAYS(J43,L43,fESTIVOS!$A$2:$A$53)
   )
)</f>
        <v>92</v>
      </c>
      <c r="N43" s="275"/>
      <c r="O43" s="275"/>
      <c r="P43" s="276"/>
      <c r="Q43" s="282" t="s">
        <v>1695</v>
      </c>
      <c r="R43" s="278" t="s">
        <v>78</v>
      </c>
      <c r="S43" s="279"/>
    </row>
    <row r="44" spans="1:19" ht="29.25" customHeight="1">
      <c r="A44" s="266" t="s">
        <v>1554</v>
      </c>
      <c r="B44" s="228" t="s">
        <v>1696</v>
      </c>
      <c r="C44" s="268" t="s">
        <v>1697</v>
      </c>
      <c r="D44" s="283"/>
      <c r="E44" s="284" t="s">
        <v>1621</v>
      </c>
      <c r="F44" s="271" t="s">
        <v>76</v>
      </c>
      <c r="G44" s="272">
        <v>100</v>
      </c>
      <c r="H44" s="231">
        <f>IF(OR(J44="",K44="",K44&lt;J44),0,NETWORKDAYS(J44,K44,fESTIVOS!$A$2:$A$53))</f>
        <v>4</v>
      </c>
      <c r="I44" s="273">
        <v>45905</v>
      </c>
      <c r="J44" s="274">
        <v>45905</v>
      </c>
      <c r="K44" s="281">
        <v>45910</v>
      </c>
      <c r="L44" s="274">
        <v>45910</v>
      </c>
      <c r="M44" s="39">
        <f ca="1">IF(OR(J44="",AND(L44="",TODAY()&lt;J44),AND(L44&lt;&gt;"",L44&lt;J44)),0,
   IF(L44="",
      NETWORKDAYS(J44,TODAY(),fESTIVOS!$A$2:$A$53),
      NETWORKDAYS(J44,L44,fESTIVOS!$A$2:$A$53)
   )
)</f>
        <v>4</v>
      </c>
      <c r="N44" s="275"/>
      <c r="O44" s="275"/>
      <c r="P44" s="276"/>
      <c r="Q44" s="282" t="s">
        <v>1698</v>
      </c>
      <c r="R44" s="278" t="s">
        <v>78</v>
      </c>
      <c r="S44" s="279"/>
    </row>
    <row r="45" spans="1:19" ht="29.25" customHeight="1">
      <c r="A45" s="266" t="s">
        <v>1554</v>
      </c>
      <c r="B45" s="228" t="s">
        <v>1699</v>
      </c>
      <c r="C45" s="268" t="s">
        <v>1697</v>
      </c>
      <c r="D45" s="283"/>
      <c r="E45" s="284" t="s">
        <v>1621</v>
      </c>
      <c r="F45" s="271" t="s">
        <v>76</v>
      </c>
      <c r="G45" s="272">
        <v>100</v>
      </c>
      <c r="H45" s="231">
        <f>IF(OR(J45="",K45="",K45&lt;J45),0,NETWORKDAYS(J45,K45,fESTIVOS!$A$2:$A$53))</f>
        <v>4</v>
      </c>
      <c r="I45" s="273">
        <v>45905</v>
      </c>
      <c r="J45" s="274">
        <v>45905</v>
      </c>
      <c r="K45" s="281">
        <v>45910</v>
      </c>
      <c r="L45" s="274">
        <v>45910</v>
      </c>
      <c r="M45" s="39">
        <f ca="1">IF(OR(J45="",AND(L45="",TODAY()&lt;J45),AND(L45&lt;&gt;"",L45&lt;J45)),0,
   IF(L45="",
      NETWORKDAYS(J45,TODAY(),fESTIVOS!$A$2:$A$53),
      NETWORKDAYS(J45,L45,fESTIVOS!$A$2:$A$53)
   )
)</f>
        <v>4</v>
      </c>
      <c r="N45" s="275"/>
      <c r="O45" s="275"/>
      <c r="P45" s="276"/>
      <c r="Q45" s="282" t="s">
        <v>1698</v>
      </c>
      <c r="R45" s="278" t="s">
        <v>78</v>
      </c>
      <c r="S45" s="279"/>
    </row>
    <row r="46" spans="1:19" ht="29.25" customHeight="1">
      <c r="A46" s="16" t="s">
        <v>1601</v>
      </c>
      <c r="B46" s="228" t="s">
        <v>1700</v>
      </c>
      <c r="C46" s="251" t="s">
        <v>1701</v>
      </c>
      <c r="D46" s="258"/>
      <c r="E46" s="257" t="s">
        <v>1557</v>
      </c>
      <c r="F46" s="86" t="s">
        <v>76</v>
      </c>
      <c r="G46" s="59">
        <v>100</v>
      </c>
      <c r="H46" s="231">
        <f>IF(OR(J46="",K46="",K46&lt;J46),0,NETWORKDAYS(J46,K46,fESTIVOS!$A$2:$A$53))</f>
        <v>0</v>
      </c>
      <c r="I46" s="135">
        <v>45884</v>
      </c>
      <c r="J46" s="61">
        <v>45884</v>
      </c>
      <c r="K46" s="61"/>
      <c r="L46" s="61">
        <v>45888</v>
      </c>
      <c r="M46" s="39">
        <f ca="1">IF(OR(J46="",AND(L46="",TODAY()&lt;J46),AND(L46&lt;&gt;"",L46&lt;J46)),0,
   IF(L46="",
      NETWORKDAYS(J46,TODAY(),fESTIVOS!$A$2:$A$53),
      NETWORKDAYS(J46,L46,fESTIVOS!$A$2:$A$53)
   )
)</f>
        <v>2</v>
      </c>
      <c r="N46" s="82"/>
      <c r="O46" s="82"/>
      <c r="P46" s="101"/>
      <c r="Q46" s="34" t="s">
        <v>1702</v>
      </c>
      <c r="R46" s="234" t="s">
        <v>78</v>
      </c>
      <c r="S46" s="104"/>
    </row>
    <row r="47" spans="1:19" ht="29.25" customHeight="1">
      <c r="A47" s="16" t="s">
        <v>1554</v>
      </c>
      <c r="B47" s="228" t="s">
        <v>1703</v>
      </c>
      <c r="C47" s="251" t="s">
        <v>1704</v>
      </c>
      <c r="D47" s="258"/>
      <c r="E47" s="257" t="s">
        <v>1557</v>
      </c>
      <c r="F47" s="86" t="s">
        <v>76</v>
      </c>
      <c r="G47" s="59">
        <v>100</v>
      </c>
      <c r="H47" s="231">
        <f>IF(OR(J47="",K47="",K47&lt;J47),0,NETWORKDAYS(J47,K47,fESTIVOS!$A$2:$A$53))</f>
        <v>2</v>
      </c>
      <c r="I47" s="82">
        <v>45889</v>
      </c>
      <c r="J47" s="61">
        <v>45889</v>
      </c>
      <c r="K47" s="61">
        <v>45890</v>
      </c>
      <c r="L47" s="61">
        <v>45889</v>
      </c>
      <c r="M47" s="39">
        <f ca="1">IF(OR(J47="",AND(L47="",TODAY()&lt;J47),AND(L47&lt;&gt;"",L47&lt;J47)),0,
   IF(L47="",
      NETWORKDAYS(J47,TODAY(),fESTIVOS!$A$2:$A$53),
      NETWORKDAYS(J47,L47,fESTIVOS!$A$2:$A$53)
   )
)</f>
        <v>1</v>
      </c>
      <c r="N47" s="82"/>
      <c r="O47" s="82"/>
      <c r="P47" s="101"/>
      <c r="Q47" s="34" t="s">
        <v>1705</v>
      </c>
      <c r="R47" s="234" t="s">
        <v>78</v>
      </c>
      <c r="S47" s="104"/>
    </row>
    <row r="48" spans="1:19" ht="29.25" customHeight="1">
      <c r="A48" s="16" t="s">
        <v>1554</v>
      </c>
      <c r="B48" s="228" t="s">
        <v>1706</v>
      </c>
      <c r="C48" s="251" t="s">
        <v>1707</v>
      </c>
      <c r="D48" s="258"/>
      <c r="E48" s="257" t="s">
        <v>1557</v>
      </c>
      <c r="F48" s="86" t="s">
        <v>76</v>
      </c>
      <c r="G48" s="59">
        <v>100</v>
      </c>
      <c r="H48" s="231">
        <f>IF(OR(J48="",K48="",K48&lt;J48),0,NETWORKDAYS(J48,K48,fESTIVOS!$A$2:$A$53))</f>
        <v>2</v>
      </c>
      <c r="I48" s="82">
        <v>45889</v>
      </c>
      <c r="J48" s="61">
        <v>45889</v>
      </c>
      <c r="K48" s="61">
        <v>45890</v>
      </c>
      <c r="L48" s="61">
        <v>45889</v>
      </c>
      <c r="M48" s="39">
        <f ca="1">IF(OR(J48="",AND(L48="",TODAY()&lt;J48),AND(L48&lt;&gt;"",L48&lt;J48)),0,
   IF(L48="",
      NETWORKDAYS(J48,TODAY(),fESTIVOS!$A$2:$A$53),
      NETWORKDAYS(J48,L48,fESTIVOS!$A$2:$A$53)
   )
)</f>
        <v>1</v>
      </c>
      <c r="N48" s="82"/>
      <c r="O48" s="82"/>
      <c r="P48" s="101"/>
      <c r="Q48" s="34" t="s">
        <v>1708</v>
      </c>
      <c r="R48" s="234" t="s">
        <v>78</v>
      </c>
      <c r="S48" s="104"/>
    </row>
    <row r="49" spans="1:19" ht="29.25" customHeight="1">
      <c r="A49" s="16" t="s">
        <v>1554</v>
      </c>
      <c r="B49" s="228" t="s">
        <v>1709</v>
      </c>
      <c r="C49" s="251" t="s">
        <v>1710</v>
      </c>
      <c r="D49" s="258"/>
      <c r="E49" s="257" t="s">
        <v>1557</v>
      </c>
      <c r="F49" s="86" t="s">
        <v>76</v>
      </c>
      <c r="G49" s="59">
        <v>100</v>
      </c>
      <c r="H49" s="231">
        <f>IF(OR(J49="",K49="",K49&lt;J49),0,NETWORKDAYS(J49,K49,fESTIVOS!$A$2:$A$53))</f>
        <v>2</v>
      </c>
      <c r="I49" s="82">
        <v>45889</v>
      </c>
      <c r="J49" s="61">
        <v>45889</v>
      </c>
      <c r="K49" s="61">
        <v>45890</v>
      </c>
      <c r="L49" s="61">
        <v>45889</v>
      </c>
      <c r="M49" s="39">
        <f ca="1">IF(OR(J49="",AND(L49="",TODAY()&lt;J49),AND(L49&lt;&gt;"",L49&lt;J49)),0,
   IF(L49="",
      NETWORKDAYS(J49,TODAY(),fESTIVOS!$A$2:$A$53),
      NETWORKDAYS(J49,L49,fESTIVOS!$A$2:$A$53)
   )
)</f>
        <v>1</v>
      </c>
      <c r="N49" s="82"/>
      <c r="O49" s="82"/>
      <c r="P49" s="101"/>
      <c r="Q49" s="34" t="s">
        <v>1711</v>
      </c>
      <c r="R49" s="234" t="s">
        <v>78</v>
      </c>
      <c r="S49" s="104"/>
    </row>
    <row r="50" spans="1:19" ht="29.25" customHeight="1">
      <c r="A50" s="16" t="s">
        <v>1554</v>
      </c>
      <c r="B50" s="228" t="s">
        <v>1712</v>
      </c>
      <c r="C50" s="251" t="s">
        <v>1713</v>
      </c>
      <c r="D50" s="258"/>
      <c r="E50" s="257" t="s">
        <v>1557</v>
      </c>
      <c r="F50" s="86" t="s">
        <v>76</v>
      </c>
      <c r="G50" s="59">
        <v>100</v>
      </c>
      <c r="H50" s="231">
        <f>IF(OR(J50="",K50="",K50&lt;J50),0,NETWORKDAYS(J50,K50,fESTIVOS!$A$2:$A$53))</f>
        <v>2</v>
      </c>
      <c r="I50" s="82">
        <v>45889</v>
      </c>
      <c r="J50" s="61">
        <v>45889</v>
      </c>
      <c r="K50" s="61">
        <v>45890</v>
      </c>
      <c r="L50" s="61">
        <v>45889</v>
      </c>
      <c r="M50" s="39">
        <f ca="1">IF(OR(J50="",AND(L50="",TODAY()&lt;J50),AND(L50&lt;&gt;"",L50&lt;J50)),0,
   IF(L50="",
      NETWORKDAYS(J50,TODAY(),fESTIVOS!$A$2:$A$53),
      NETWORKDAYS(J50,L50,fESTIVOS!$A$2:$A$53)
   )
)</f>
        <v>1</v>
      </c>
      <c r="N50" s="82"/>
      <c r="O50" s="82"/>
      <c r="P50" s="101"/>
      <c r="Q50" s="34" t="s">
        <v>1714</v>
      </c>
      <c r="R50" s="234" t="s">
        <v>78</v>
      </c>
      <c r="S50" s="104"/>
    </row>
    <row r="51" spans="1:19" ht="29.25" customHeight="1">
      <c r="A51" s="16" t="s">
        <v>1554</v>
      </c>
      <c r="B51" s="267" t="s">
        <v>1715</v>
      </c>
      <c r="C51" s="285" t="s">
        <v>1713</v>
      </c>
      <c r="D51" s="286"/>
      <c r="E51" s="287" t="s">
        <v>1557</v>
      </c>
      <c r="F51" s="288" t="s">
        <v>76</v>
      </c>
      <c r="G51" s="289">
        <v>100</v>
      </c>
      <c r="H51" s="231">
        <f>IF(OR(J51="",K51="",K51&lt;J51),0,NETWORKDAYS(J51,K51,fESTIVOS!$A$2:$A$53))</f>
        <v>2</v>
      </c>
      <c r="I51" s="290">
        <v>45889</v>
      </c>
      <c r="J51" s="291">
        <v>45889</v>
      </c>
      <c r="K51" s="291">
        <v>45890</v>
      </c>
      <c r="L51" s="291">
        <v>45889</v>
      </c>
      <c r="M51" s="39">
        <f ca="1">IF(OR(J51="",AND(L51="",TODAY()&lt;J51),AND(L51&lt;&gt;"",L51&lt;J51)),0,
   IF(L51="",
      NETWORKDAYS(J51,TODAY(),fESTIVOS!$A$2:$A$53),
      NETWORKDAYS(J51,L51,fESTIVOS!$A$2:$A$53)
   )
)</f>
        <v>1</v>
      </c>
      <c r="N51" s="275"/>
      <c r="O51" s="275"/>
      <c r="P51" s="276"/>
      <c r="Q51" s="34" t="s">
        <v>1716</v>
      </c>
      <c r="R51" s="234" t="s">
        <v>78</v>
      </c>
      <c r="S51" s="292"/>
    </row>
    <row r="52" spans="1:19" ht="29.25" customHeight="1">
      <c r="A52" s="16" t="s">
        <v>1554</v>
      </c>
      <c r="B52" s="267" t="s">
        <v>1717</v>
      </c>
      <c r="C52" s="285" t="s">
        <v>1713</v>
      </c>
      <c r="D52" s="286"/>
      <c r="E52" s="293" t="s">
        <v>1557</v>
      </c>
      <c r="F52" s="288" t="s">
        <v>76</v>
      </c>
      <c r="G52" s="289">
        <v>100</v>
      </c>
      <c r="H52" s="231">
        <f>IF(OR(J52="",K52="",K52&lt;J52),0,NETWORKDAYS(J52,K52,fESTIVOS!$A$2:$A$53))</f>
        <v>2</v>
      </c>
      <c r="I52" s="290">
        <v>45889</v>
      </c>
      <c r="J52" s="291">
        <v>45889</v>
      </c>
      <c r="K52" s="291">
        <v>45890</v>
      </c>
      <c r="L52" s="291">
        <v>45889</v>
      </c>
      <c r="M52" s="39">
        <f ca="1">IF(OR(J52="",AND(L52="",TODAY()&lt;J52),AND(L52&lt;&gt;"",L52&lt;J52)),0,
   IF(L52="",
      NETWORKDAYS(J52,TODAY(),fESTIVOS!$A$2:$A$53),
      NETWORKDAYS(J52,L52,fESTIVOS!$A$2:$A$53)
   )
)</f>
        <v>1</v>
      </c>
      <c r="N52" s="275"/>
      <c r="O52" s="275"/>
      <c r="P52" s="276"/>
      <c r="Q52" s="34" t="s">
        <v>1718</v>
      </c>
      <c r="R52" s="234" t="s">
        <v>78</v>
      </c>
      <c r="S52" s="292"/>
    </row>
    <row r="53" spans="1:19" ht="29.25" customHeight="1">
      <c r="A53" s="16" t="s">
        <v>1554</v>
      </c>
      <c r="B53" s="228" t="s">
        <v>1719</v>
      </c>
      <c r="C53" s="251" t="s">
        <v>1720</v>
      </c>
      <c r="D53" s="286"/>
      <c r="E53" s="230" t="s">
        <v>1621</v>
      </c>
      <c r="F53" s="288" t="s">
        <v>76</v>
      </c>
      <c r="G53" s="289">
        <v>100</v>
      </c>
      <c r="H53" s="231">
        <f>IF(OR(J53="",K53="",K53&lt;J53),0,NETWORKDAYS(J53,K53,fESTIVOS!$A$2:$A$53))</f>
        <v>2</v>
      </c>
      <c r="I53" s="273">
        <v>45890</v>
      </c>
      <c r="J53" s="274">
        <v>45890</v>
      </c>
      <c r="K53" s="274">
        <v>45891</v>
      </c>
      <c r="L53" s="274">
        <v>45890</v>
      </c>
      <c r="M53" s="39">
        <f ca="1">IF(OR(J53="",AND(L53="",TODAY()&lt;J53),AND(L53&lt;&gt;"",L53&lt;J53)),0,
   IF(L53="",
      NETWORKDAYS(J53,TODAY(),fESTIVOS!$A$2:$A$53),
      NETWORKDAYS(J53,L53,fESTIVOS!$A$2:$A$53)
   )
)</f>
        <v>1</v>
      </c>
      <c r="N53" s="275"/>
      <c r="O53" s="275"/>
      <c r="P53" s="276"/>
      <c r="Q53" s="34" t="s">
        <v>1721</v>
      </c>
      <c r="R53" s="234" t="s">
        <v>78</v>
      </c>
      <c r="S53" s="292"/>
    </row>
    <row r="54" spans="1:19" ht="29.25" customHeight="1">
      <c r="A54" s="16" t="s">
        <v>1554</v>
      </c>
      <c r="B54" s="228" t="s">
        <v>1722</v>
      </c>
      <c r="C54" s="251" t="s">
        <v>1723</v>
      </c>
      <c r="D54" s="262" t="s">
        <v>1724</v>
      </c>
      <c r="E54" s="230" t="s">
        <v>1621</v>
      </c>
      <c r="F54" s="294" t="s">
        <v>76</v>
      </c>
      <c r="G54" s="295">
        <v>100</v>
      </c>
      <c r="H54" s="231">
        <f>IF(OR(J54="",K54="",K54&lt;J54),0,NETWORKDAYS(J54,K54,fESTIVOS!$A$2:$A$53))</f>
        <v>1</v>
      </c>
      <c r="I54" s="273">
        <v>45890</v>
      </c>
      <c r="J54" s="274">
        <v>45891</v>
      </c>
      <c r="K54" s="274">
        <v>45891</v>
      </c>
      <c r="L54" s="274">
        <v>45891</v>
      </c>
      <c r="M54" s="39">
        <f ca="1">IF(OR(J54="",AND(L54="",TODAY()&lt;J54),AND(L54&lt;&gt;"",L54&lt;J54)),0,
   IF(L54="",
      NETWORKDAYS(J54,TODAY(),fESTIVOS!$A$2:$A$53),
      NETWORKDAYS(J54,L54,fESTIVOS!$A$2:$A$53)
   )
)</f>
        <v>1</v>
      </c>
      <c r="N54" s="275"/>
      <c r="O54" s="275"/>
      <c r="P54" s="276"/>
      <c r="Q54" s="34" t="s">
        <v>1725</v>
      </c>
      <c r="R54" s="296" t="s">
        <v>78</v>
      </c>
      <c r="S54" s="292"/>
    </row>
    <row r="55" spans="1:19" ht="29.25" customHeight="1">
      <c r="A55" s="16" t="s">
        <v>1554</v>
      </c>
      <c r="B55" s="228" t="s">
        <v>1726</v>
      </c>
      <c r="C55" s="251" t="s">
        <v>1727</v>
      </c>
      <c r="D55" s="286"/>
      <c r="E55" s="230" t="s">
        <v>1621</v>
      </c>
      <c r="F55" s="297" t="s">
        <v>76</v>
      </c>
      <c r="G55" s="298">
        <v>100</v>
      </c>
      <c r="H55" s="231">
        <f>IF(OR(J55="",K55="",K55&lt;J55),0,NETWORKDAYS(J55,K55,fESTIVOS!$A$2:$A$53))</f>
        <v>2</v>
      </c>
      <c r="I55" s="273">
        <v>45890</v>
      </c>
      <c r="J55" s="274">
        <v>45890</v>
      </c>
      <c r="K55" s="274">
        <v>45891</v>
      </c>
      <c r="L55" s="274">
        <v>45890</v>
      </c>
      <c r="M55" s="39">
        <f ca="1">IF(OR(J55="",AND(L55="",TODAY()&lt;J55),AND(L55&lt;&gt;"",L55&lt;J55)),0,
   IF(L55="",
      NETWORKDAYS(J55,TODAY(),fESTIVOS!$A$2:$A$53),
      NETWORKDAYS(J55,L55,fESTIVOS!$A$2:$A$53)
   )
)</f>
        <v>1</v>
      </c>
      <c r="N55" s="275"/>
      <c r="O55" s="275"/>
      <c r="P55" s="276"/>
      <c r="Q55" s="34" t="s">
        <v>1728</v>
      </c>
      <c r="R55" s="296" t="s">
        <v>78</v>
      </c>
      <c r="S55" s="292"/>
    </row>
    <row r="56" spans="1:19" ht="29.25" customHeight="1">
      <c r="A56" s="16" t="s">
        <v>1554</v>
      </c>
      <c r="B56" s="228" t="s">
        <v>1729</v>
      </c>
      <c r="C56" s="251" t="s">
        <v>1730</v>
      </c>
      <c r="D56" s="269" t="s">
        <v>1731</v>
      </c>
      <c r="E56" s="230" t="s">
        <v>1621</v>
      </c>
      <c r="F56" s="294" t="s">
        <v>76</v>
      </c>
      <c r="G56" s="295">
        <v>100</v>
      </c>
      <c r="H56" s="231">
        <f>IF(OR(J56="",K56="",K56&lt;J56),0,NETWORKDAYS(J56,K56,fESTIVOS!$A$2:$A$53))</f>
        <v>2</v>
      </c>
      <c r="I56" s="273">
        <v>45890</v>
      </c>
      <c r="J56" s="274">
        <v>45890</v>
      </c>
      <c r="K56" s="274">
        <v>45892</v>
      </c>
      <c r="L56" s="274">
        <v>45892</v>
      </c>
      <c r="M56" s="39">
        <f ca="1">IF(OR(J56="",AND(L56="",TODAY()&lt;J56),AND(L56&lt;&gt;"",L56&lt;J56)),0,
   IF(L56="",
      NETWORKDAYS(J56,TODAY(),fESTIVOS!$A$2:$A$53),
      NETWORKDAYS(J56,L56,fESTIVOS!$A$2:$A$53)
   )
)</f>
        <v>2</v>
      </c>
      <c r="N56" s="275"/>
      <c r="O56" s="275"/>
      <c r="P56" s="276"/>
      <c r="Q56" s="34" t="s">
        <v>1732</v>
      </c>
      <c r="R56" s="296" t="s">
        <v>78</v>
      </c>
      <c r="S56" s="292"/>
    </row>
    <row r="57" spans="1:19" ht="29.25" customHeight="1">
      <c r="A57" s="266" t="s">
        <v>1554</v>
      </c>
      <c r="B57" s="228" t="s">
        <v>1733</v>
      </c>
      <c r="C57" s="268" t="s">
        <v>1734</v>
      </c>
      <c r="D57" s="280" t="s">
        <v>1735</v>
      </c>
      <c r="E57" s="284" t="s">
        <v>1621</v>
      </c>
      <c r="F57" s="271" t="s">
        <v>76</v>
      </c>
      <c r="G57" s="272">
        <v>100</v>
      </c>
      <c r="H57" s="231">
        <f>IF(OR(J57="",K57="",K57&lt;J57),0,NETWORKDAYS(J57,K57,fESTIVOS!$A$2:$A$53))</f>
        <v>3</v>
      </c>
      <c r="I57" s="273">
        <v>45910</v>
      </c>
      <c r="J57" s="274">
        <v>45910</v>
      </c>
      <c r="K57" s="281">
        <v>45912</v>
      </c>
      <c r="L57" s="274">
        <v>45937</v>
      </c>
      <c r="M57" s="39">
        <f ca="1">IF(OR(J57="",AND(L57="",TODAY()&lt;J57),AND(L57&lt;&gt;"",L57&lt;J57)),0,
   IF(L57="",
      NETWORKDAYS(J57,TODAY(),fESTIVOS!$A$2:$A$53),
      NETWORKDAYS(J57,L57,fESTIVOS!$A$2:$A$53)
   )
)</f>
        <v>20</v>
      </c>
      <c r="N57" s="275"/>
      <c r="O57" s="275"/>
      <c r="P57" s="276"/>
      <c r="Q57" s="282" t="s">
        <v>1736</v>
      </c>
      <c r="R57" s="278" t="s">
        <v>78</v>
      </c>
      <c r="S57" s="279"/>
    </row>
    <row r="58" spans="1:19" ht="29.25" customHeight="1">
      <c r="A58" s="266" t="s">
        <v>1554</v>
      </c>
      <c r="B58" s="228" t="s">
        <v>1737</v>
      </c>
      <c r="C58" s="268" t="s">
        <v>1738</v>
      </c>
      <c r="D58" s="280" t="s">
        <v>1739</v>
      </c>
      <c r="E58" s="284" t="s">
        <v>1621</v>
      </c>
      <c r="F58" s="271" t="s">
        <v>76</v>
      </c>
      <c r="G58" s="272">
        <v>100</v>
      </c>
      <c r="H58" s="231">
        <f>IF(OR(J58="",K58="",K58&lt;J58),0,NETWORKDAYS(J58,K58,fESTIVOS!$A$2:$A$53))</f>
        <v>2</v>
      </c>
      <c r="I58" s="273">
        <v>45912</v>
      </c>
      <c r="J58" s="274">
        <v>45912</v>
      </c>
      <c r="K58" s="281">
        <v>45915</v>
      </c>
      <c r="L58" s="274">
        <v>45937</v>
      </c>
      <c r="M58" s="39">
        <f ca="1">IF(OR(J58="",AND(L58="",TODAY()&lt;J58),AND(L58&lt;&gt;"",L58&lt;J58)),0,
   IF(L58="",
      NETWORKDAYS(J58,TODAY(),fESTIVOS!$A$2:$A$53),
      NETWORKDAYS(J58,L58,fESTIVOS!$A$2:$A$53)
   )
)</f>
        <v>18</v>
      </c>
      <c r="N58" s="275"/>
      <c r="O58" s="275"/>
      <c r="P58" s="276"/>
      <c r="Q58" s="282" t="s">
        <v>1740</v>
      </c>
      <c r="R58" s="278" t="s">
        <v>78</v>
      </c>
      <c r="S58" s="279"/>
    </row>
    <row r="59" spans="1:19" ht="29.25" customHeight="1">
      <c r="A59" s="299" t="s">
        <v>1554</v>
      </c>
      <c r="B59" s="267" t="s">
        <v>1741</v>
      </c>
      <c r="C59" s="300" t="s">
        <v>1742</v>
      </c>
      <c r="D59" s="280" t="s">
        <v>1743</v>
      </c>
      <c r="E59" s="270" t="s">
        <v>1621</v>
      </c>
      <c r="F59" s="301" t="s">
        <v>76</v>
      </c>
      <c r="G59" s="302">
        <v>100</v>
      </c>
      <c r="H59" s="231">
        <f>IF(OR(J59="",K59="",K59&lt;J59),0,NETWORKDAYS(J59,K59,fESTIVOS!$A$2:$A$53))</f>
        <v>2</v>
      </c>
      <c r="I59" s="273">
        <v>45912</v>
      </c>
      <c r="J59" s="274">
        <v>45912</v>
      </c>
      <c r="K59" s="281">
        <v>45915</v>
      </c>
      <c r="L59" s="274">
        <v>45937</v>
      </c>
      <c r="M59" s="39">
        <f ca="1">IF(OR(J59="",AND(L59="",TODAY()&lt;J59),AND(L59&lt;&gt;"",L59&lt;J59)),0,
   IF(L59="",
      NETWORKDAYS(J59,TODAY(),fESTIVOS!$A$2:$A$53),
      NETWORKDAYS(J59,L59,fESTIVOS!$A$2:$A$53)
   )
)</f>
        <v>18</v>
      </c>
      <c r="N59" s="303"/>
      <c r="O59" s="303"/>
      <c r="P59" s="304"/>
      <c r="Q59" s="282" t="s">
        <v>1744</v>
      </c>
      <c r="R59" s="278" t="s">
        <v>78</v>
      </c>
      <c r="S59" s="279"/>
    </row>
    <row r="60" spans="1:19" ht="29.25" customHeight="1">
      <c r="A60" s="299" t="s">
        <v>1554</v>
      </c>
      <c r="B60" s="284" t="s">
        <v>1745</v>
      </c>
      <c r="C60" s="300" t="s">
        <v>1746</v>
      </c>
      <c r="D60" s="305" t="s">
        <v>1747</v>
      </c>
      <c r="E60" s="270" t="s">
        <v>1621</v>
      </c>
      <c r="F60" s="301" t="s">
        <v>76</v>
      </c>
      <c r="G60" s="302">
        <v>100</v>
      </c>
      <c r="H60" s="231">
        <f>IF(OR(J60="",K60="",K60&lt;J60),0,NETWORKDAYS(J60,K60,fESTIVOS!$A$2:$A$53))</f>
        <v>3</v>
      </c>
      <c r="I60" s="306">
        <v>45917</v>
      </c>
      <c r="J60" s="281">
        <v>45917</v>
      </c>
      <c r="K60" s="281">
        <v>45919</v>
      </c>
      <c r="L60" s="274">
        <v>45937</v>
      </c>
      <c r="M60" s="39">
        <f ca="1">IF(OR(J60="",AND(L60="",TODAY()&lt;J60),AND(L60&lt;&gt;"",L60&lt;J60)),0,
   IF(L60="",
      NETWORKDAYS(J60,TODAY(),fESTIVOS!$A$2:$A$53),
      NETWORKDAYS(J60,L60,fESTIVOS!$A$2:$A$53)
   )
)</f>
        <v>15</v>
      </c>
      <c r="N60" s="303"/>
      <c r="O60" s="303"/>
      <c r="P60" s="304"/>
      <c r="Q60" s="282" t="s">
        <v>1748</v>
      </c>
      <c r="R60" s="278" t="s">
        <v>78</v>
      </c>
      <c r="S60" s="279"/>
    </row>
    <row r="61" spans="1:19" ht="29.25" customHeight="1">
      <c r="A61" s="299" t="s">
        <v>1554</v>
      </c>
      <c r="B61" s="284" t="s">
        <v>1749</v>
      </c>
      <c r="C61" s="300" t="s">
        <v>1750</v>
      </c>
      <c r="D61" s="305" t="s">
        <v>1751</v>
      </c>
      <c r="E61" s="270" t="s">
        <v>1621</v>
      </c>
      <c r="F61" s="301" t="s">
        <v>76</v>
      </c>
      <c r="G61" s="302">
        <v>100</v>
      </c>
      <c r="H61" s="231">
        <f>IF(OR(J61="",K61="",K61&lt;J61),0,NETWORKDAYS(J61,K61,fESTIVOS!$A$2:$A$53))</f>
        <v>3</v>
      </c>
      <c r="I61" s="306">
        <v>45917</v>
      </c>
      <c r="J61" s="281">
        <v>45917</v>
      </c>
      <c r="K61" s="281">
        <v>45919</v>
      </c>
      <c r="L61" s="274">
        <v>45937</v>
      </c>
      <c r="M61" s="39">
        <f ca="1">IF(OR(J61="",AND(L61="",TODAY()&lt;J61),AND(L61&lt;&gt;"",L61&lt;J61)),0,
   IF(L61="",
      NETWORKDAYS(J61,TODAY(),fESTIVOS!$A$2:$A$53),
      NETWORKDAYS(J61,L61,fESTIVOS!$A$2:$A$53)
   )
)</f>
        <v>15</v>
      </c>
      <c r="N61" s="303"/>
      <c r="O61" s="303"/>
      <c r="P61" s="304"/>
      <c r="Q61" s="282" t="s">
        <v>1752</v>
      </c>
      <c r="R61" s="278" t="s">
        <v>78</v>
      </c>
      <c r="S61" s="279"/>
    </row>
    <row r="62" spans="1:19" ht="39" customHeight="1">
      <c r="A62" s="16" t="s">
        <v>1554</v>
      </c>
      <c r="B62" s="228" t="s">
        <v>1753</v>
      </c>
      <c r="C62" s="251" t="s">
        <v>1754</v>
      </c>
      <c r="D62" s="307" t="s">
        <v>1755</v>
      </c>
      <c r="E62" s="230" t="s">
        <v>1557</v>
      </c>
      <c r="F62" s="20" t="s">
        <v>76</v>
      </c>
      <c r="G62" s="59">
        <v>100</v>
      </c>
      <c r="H62" s="231">
        <f>IF(OR(J62="",K62="",K62&lt;J62),0,NETWORKDAYS(J62,K62,fESTIVOS!$A$2:$A$53))</f>
        <v>1</v>
      </c>
      <c r="I62" s="82">
        <v>45919</v>
      </c>
      <c r="J62" s="61">
        <v>45919</v>
      </c>
      <c r="K62" s="61">
        <v>45919</v>
      </c>
      <c r="L62" s="61">
        <v>45919</v>
      </c>
      <c r="M62" s="39">
        <f ca="1">IF(OR(J62="",AND(L62="",TODAY()&lt;J62),AND(L62&lt;&gt;"",L62&lt;J62)),0,
   IF(L62="",
      NETWORKDAYS(J62,TODAY(),fESTIVOS!$A$2:$A$53),
      NETWORKDAYS(J62,L62,fESTIVOS!$A$2:$A$53)
   )
)</f>
        <v>1</v>
      </c>
      <c r="N62" s="60"/>
      <c r="O62" s="60"/>
      <c r="P62" s="62"/>
      <c r="Q62" s="282" t="s">
        <v>1756</v>
      </c>
      <c r="R62" s="234" t="s">
        <v>78</v>
      </c>
      <c r="S62" s="66"/>
    </row>
    <row r="63" spans="1:19" ht="29.25" customHeight="1">
      <c r="A63" s="299" t="s">
        <v>1554</v>
      </c>
      <c r="B63" s="284" t="s">
        <v>1757</v>
      </c>
      <c r="C63" s="300" t="s">
        <v>1758</v>
      </c>
      <c r="D63" s="305" t="s">
        <v>1759</v>
      </c>
      <c r="E63" s="270" t="s">
        <v>1621</v>
      </c>
      <c r="F63" s="301" t="s">
        <v>76</v>
      </c>
      <c r="G63" s="302">
        <v>100</v>
      </c>
      <c r="H63" s="231">
        <f>IF(OR(J63="",K63="",K63&lt;J63),0,NETWORKDAYS(J63,K63,fESTIVOS!$A$2:$A$53))</f>
        <v>0</v>
      </c>
      <c r="I63" s="306">
        <v>45922</v>
      </c>
      <c r="J63" s="281">
        <v>45922</v>
      </c>
      <c r="K63" s="281"/>
      <c r="L63" s="281">
        <v>45937</v>
      </c>
      <c r="M63" s="39">
        <f ca="1">IF(OR(J63="",AND(L63="",TODAY()&lt;J63),AND(L63&lt;&gt;"",L63&lt;J63)),0,
   IF(L63="",
      NETWORKDAYS(J63,TODAY(),fESTIVOS!$A$2:$A$53),
      NETWORKDAYS(J63,L63,fESTIVOS!$A$2:$A$53)
   )
)</f>
        <v>12</v>
      </c>
      <c r="N63" s="303"/>
      <c r="O63" s="303"/>
      <c r="P63" s="304"/>
      <c r="Q63" s="282" t="s">
        <v>1760</v>
      </c>
      <c r="R63" s="278" t="s">
        <v>78</v>
      </c>
      <c r="S63" s="279"/>
    </row>
    <row r="64" spans="1:19" ht="29.25" customHeight="1">
      <c r="A64" s="299" t="s">
        <v>1554</v>
      </c>
      <c r="B64" s="284" t="s">
        <v>1761</v>
      </c>
      <c r="C64" s="300" t="s">
        <v>1758</v>
      </c>
      <c r="D64" s="305" t="s">
        <v>1762</v>
      </c>
      <c r="E64" s="270" t="s">
        <v>1621</v>
      </c>
      <c r="F64" s="301" t="s">
        <v>76</v>
      </c>
      <c r="G64" s="302">
        <v>100</v>
      </c>
      <c r="H64" s="231">
        <f>IF(OR(J64="",K64="",K64&lt;J64),0,NETWORKDAYS(J64,K64,fESTIVOS!$A$2:$A$53))</f>
        <v>0</v>
      </c>
      <c r="I64" s="306">
        <v>45922</v>
      </c>
      <c r="J64" s="281">
        <v>45922</v>
      </c>
      <c r="K64" s="281"/>
      <c r="L64" s="281">
        <v>45937</v>
      </c>
      <c r="M64" s="39">
        <f ca="1">IF(OR(J64="",AND(L64="",TODAY()&lt;J64),AND(L64&lt;&gt;"",L64&lt;J64)),0,
   IF(L64="",
      NETWORKDAYS(J64,TODAY(),fESTIVOS!$A$2:$A$53),
      NETWORKDAYS(J64,L64,fESTIVOS!$A$2:$A$53)
   )
)</f>
        <v>12</v>
      </c>
      <c r="N64" s="303"/>
      <c r="O64" s="303"/>
      <c r="P64" s="304"/>
      <c r="Q64" s="282" t="s">
        <v>1763</v>
      </c>
      <c r="R64" s="278" t="s">
        <v>78</v>
      </c>
      <c r="S64" s="279"/>
    </row>
    <row r="65" spans="1:19" ht="29.25" customHeight="1">
      <c r="A65" s="299" t="s">
        <v>1554</v>
      </c>
      <c r="B65" s="284" t="s">
        <v>1764</v>
      </c>
      <c r="C65" s="300" t="s">
        <v>1765</v>
      </c>
      <c r="D65" s="305" t="s">
        <v>1766</v>
      </c>
      <c r="E65" s="270" t="s">
        <v>1621</v>
      </c>
      <c r="F65" s="301" t="s">
        <v>76</v>
      </c>
      <c r="G65" s="302">
        <v>100</v>
      </c>
      <c r="H65" s="231">
        <f>IF(OR(J65="",K65="",K65&lt;J65),0,NETWORKDAYS(J65,K65,fESTIVOS!$A$2:$A$53))</f>
        <v>1</v>
      </c>
      <c r="I65" s="306">
        <v>45925</v>
      </c>
      <c r="J65" s="281">
        <v>45925</v>
      </c>
      <c r="K65" s="281">
        <v>45925</v>
      </c>
      <c r="L65" s="281">
        <v>45925</v>
      </c>
      <c r="M65" s="39">
        <f ca="1">IF(OR(J65="",AND(L65="",TODAY()&lt;J65),AND(L65&lt;&gt;"",L65&lt;J65)),0,
   IF(L65="",
      NETWORKDAYS(J65,TODAY(),fESTIVOS!$A$2:$A$53),
      NETWORKDAYS(J65,L65,fESTIVOS!$A$2:$A$53)
   )
)</f>
        <v>1</v>
      </c>
      <c r="N65" s="303"/>
      <c r="O65" s="303"/>
      <c r="P65" s="304"/>
      <c r="Q65" s="282" t="s">
        <v>1767</v>
      </c>
      <c r="R65" s="278" t="s">
        <v>78</v>
      </c>
      <c r="S65" s="279"/>
    </row>
    <row r="66" spans="1:19" ht="29.25" customHeight="1">
      <c r="A66" s="266" t="s">
        <v>1554</v>
      </c>
      <c r="B66" s="267" t="s">
        <v>1768</v>
      </c>
      <c r="C66" s="268" t="s">
        <v>1769</v>
      </c>
      <c r="D66" s="269" t="s">
        <v>1770</v>
      </c>
      <c r="E66" s="270" t="s">
        <v>1638</v>
      </c>
      <c r="F66" s="271" t="s">
        <v>76</v>
      </c>
      <c r="G66" s="272">
        <v>100</v>
      </c>
      <c r="H66" s="231">
        <f>IF(OR(J66="",K66="",K66&lt;J66),0,NETWORKDAYS(J66,K66,fESTIVOS!$A$2:$A$53))</f>
        <v>1</v>
      </c>
      <c r="I66" s="273">
        <v>45931</v>
      </c>
      <c r="J66" s="274">
        <v>45932</v>
      </c>
      <c r="K66" s="274">
        <v>45932</v>
      </c>
      <c r="L66" s="274">
        <v>45932</v>
      </c>
      <c r="M66" s="39">
        <f ca="1">IF(OR(J66="",AND(L66="",TODAY()&lt;J66),AND(L66&lt;&gt;"",L66&lt;J66)),0,
   IF(L66="",
      NETWORKDAYS(J66,TODAY(),fESTIVOS!$A$2:$A$53),
      NETWORKDAYS(J66,L66,fESTIVOS!$A$2:$A$53)
   )
)</f>
        <v>1</v>
      </c>
      <c r="N66" s="275"/>
      <c r="O66" s="275"/>
      <c r="P66" s="276"/>
      <c r="Q66" s="277" t="s">
        <v>1771</v>
      </c>
      <c r="R66" s="278" t="s">
        <v>78</v>
      </c>
      <c r="S66" s="279"/>
    </row>
    <row r="67" spans="1:19" ht="29.25" customHeight="1">
      <c r="A67" s="266" t="s">
        <v>1554</v>
      </c>
      <c r="B67" s="267" t="s">
        <v>1772</v>
      </c>
      <c r="C67" s="268" t="s">
        <v>1773</v>
      </c>
      <c r="D67" s="280" t="s">
        <v>1774</v>
      </c>
      <c r="E67" s="270" t="s">
        <v>1557</v>
      </c>
      <c r="F67" s="271" t="s">
        <v>76</v>
      </c>
      <c r="G67" s="272">
        <v>100</v>
      </c>
      <c r="H67" s="231">
        <f>IF(OR(J67="",K67="",K67&lt;J67),0,NETWORKDAYS(J67,K67,fESTIVOS!$A$2:$A$53))</f>
        <v>0</v>
      </c>
      <c r="I67" s="273">
        <v>45932</v>
      </c>
      <c r="J67" s="274">
        <v>45934</v>
      </c>
      <c r="K67" s="274">
        <v>45934</v>
      </c>
      <c r="L67" s="274">
        <v>45934</v>
      </c>
      <c r="M67" s="39">
        <f ca="1">IF(OR(J67="",AND(L67="",TODAY()&lt;J67),AND(L67&lt;&gt;"",L67&lt;J67)),0,
   IF(L67="",
      NETWORKDAYS(J67,TODAY(),fESTIVOS!$A$2:$A$53),
      NETWORKDAYS(J67,L67,fESTIVOS!$A$2:$A$53)
   )
)</f>
        <v>0</v>
      </c>
      <c r="N67" s="275"/>
      <c r="O67" s="275"/>
      <c r="P67" s="276"/>
      <c r="Q67" s="282" t="s">
        <v>1775</v>
      </c>
      <c r="R67" s="278" t="s">
        <v>78</v>
      </c>
      <c r="S67" s="279"/>
    </row>
    <row r="68" spans="1:19" ht="29.25" customHeight="1">
      <c r="A68" s="266" t="s">
        <v>1554</v>
      </c>
      <c r="B68" s="267" t="s">
        <v>1776</v>
      </c>
      <c r="C68" s="268" t="s">
        <v>1777</v>
      </c>
      <c r="D68" s="280" t="s">
        <v>1778</v>
      </c>
      <c r="E68" s="270" t="s">
        <v>1557</v>
      </c>
      <c r="F68" s="271" t="s">
        <v>76</v>
      </c>
      <c r="G68" s="272">
        <v>100</v>
      </c>
      <c r="H68" s="231">
        <f>IF(OR(J68="",K68="",K68&lt;J68),0,NETWORKDAYS(J68,K68,fESTIVOS!$A$2:$A$53))</f>
        <v>0</v>
      </c>
      <c r="I68" s="273">
        <v>45932</v>
      </c>
      <c r="J68" s="274">
        <v>45934</v>
      </c>
      <c r="K68" s="274">
        <v>45934</v>
      </c>
      <c r="L68" s="274">
        <v>45934</v>
      </c>
      <c r="M68" s="39">
        <f ca="1">IF(OR(J68="",AND(L68="",TODAY()&lt;J68),AND(L68&lt;&gt;"",L68&lt;J68)),0,
   IF(L68="",
      NETWORKDAYS(J68,TODAY(),fESTIVOS!$A$2:$A$53),
      NETWORKDAYS(J68,L68,fESTIVOS!$A$2:$A$53)
   )
)</f>
        <v>0</v>
      </c>
      <c r="N68" s="275"/>
      <c r="O68" s="275"/>
      <c r="P68" s="276"/>
      <c r="Q68" s="282" t="s">
        <v>1779</v>
      </c>
      <c r="R68" s="278" t="s">
        <v>78</v>
      </c>
      <c r="S68" s="279"/>
    </row>
    <row r="69" spans="1:19" ht="29.25" customHeight="1">
      <c r="A69" s="16" t="s">
        <v>1554</v>
      </c>
      <c r="B69" s="228" t="s">
        <v>1780</v>
      </c>
      <c r="C69" s="251" t="s">
        <v>1730</v>
      </c>
      <c r="D69" s="269" t="s">
        <v>1781</v>
      </c>
      <c r="E69" s="230" t="s">
        <v>1621</v>
      </c>
      <c r="F69" s="294" t="s">
        <v>76</v>
      </c>
      <c r="G69" s="295">
        <v>100</v>
      </c>
      <c r="H69" s="231">
        <f>IF(OR(J69="",K69="",K69&lt;J69),0,NETWORKDAYS(J69,K69,fESTIVOS!$A$2:$A$53))</f>
        <v>0</v>
      </c>
      <c r="I69" s="273">
        <v>45932</v>
      </c>
      <c r="J69" s="274">
        <v>45934</v>
      </c>
      <c r="K69" s="274">
        <v>45934</v>
      </c>
      <c r="L69" s="274">
        <v>45934</v>
      </c>
      <c r="M69" s="39">
        <f ca="1">IF(OR(J69="",AND(L69="",TODAY()&lt;J69),AND(L69&lt;&gt;"",L69&lt;J69)),0,
   IF(L69="",
      NETWORKDAYS(J69,TODAY(),fESTIVOS!$A$2:$A$53),
      NETWORKDAYS(J69,L69,fESTIVOS!$A$2:$A$53)
   )
)</f>
        <v>0</v>
      </c>
      <c r="N69" s="275"/>
      <c r="O69" s="275"/>
      <c r="P69" s="276"/>
      <c r="Q69" s="34" t="s">
        <v>1782</v>
      </c>
      <c r="R69" s="296" t="s">
        <v>78</v>
      </c>
      <c r="S69" s="292"/>
    </row>
    <row r="70" spans="1:19" ht="29.25" customHeight="1">
      <c r="A70" s="266" t="s">
        <v>1554</v>
      </c>
      <c r="B70" s="267" t="s">
        <v>1783</v>
      </c>
      <c r="C70" s="268" t="s">
        <v>1784</v>
      </c>
      <c r="D70" s="280"/>
      <c r="E70" s="270" t="s">
        <v>1557</v>
      </c>
      <c r="F70" s="271" t="s">
        <v>76</v>
      </c>
      <c r="G70" s="272">
        <v>100</v>
      </c>
      <c r="H70" s="231">
        <f>IF(OR(J70="",K70="",K70&lt;J70),0,NETWORKDAYS(J70,K70,fESTIVOS!$A$2:$A$53))</f>
        <v>2</v>
      </c>
      <c r="I70" s="273">
        <v>45936</v>
      </c>
      <c r="J70" s="274">
        <v>45936</v>
      </c>
      <c r="K70" s="274">
        <v>45937</v>
      </c>
      <c r="L70" s="274">
        <v>45937</v>
      </c>
      <c r="M70" s="39">
        <f ca="1">IF(OR(J70="",AND(L70="",TODAY()&lt;J70),AND(L70&lt;&gt;"",L70&lt;J70)),0,
   IF(L70="",
      NETWORKDAYS(J70,TODAY(),fESTIVOS!$A$2:$A$53),
      NETWORKDAYS(J70,L70,fESTIVOS!$A$2:$A$53)
   )
)</f>
        <v>2</v>
      </c>
      <c r="N70" s="275"/>
      <c r="O70" s="275"/>
      <c r="P70" s="276"/>
      <c r="Q70" s="282" t="s">
        <v>1785</v>
      </c>
      <c r="R70" s="278" t="s">
        <v>78</v>
      </c>
      <c r="S70" s="279"/>
    </row>
    <row r="71" spans="1:19" ht="29.25" customHeight="1">
      <c r="A71" s="266" t="s">
        <v>1554</v>
      </c>
      <c r="B71" s="267" t="s">
        <v>1786</v>
      </c>
      <c r="C71" s="268" t="s">
        <v>1787</v>
      </c>
      <c r="D71" s="280" t="s">
        <v>1788</v>
      </c>
      <c r="E71" s="270" t="s">
        <v>1557</v>
      </c>
      <c r="F71" s="271" t="s">
        <v>76</v>
      </c>
      <c r="G71" s="272">
        <v>100</v>
      </c>
      <c r="H71" s="231">
        <f>IF(OR(J71="",K71="",K71&lt;J71),0,NETWORKDAYS(J71,K71,fESTIVOS!$A$2:$A$53))</f>
        <v>2</v>
      </c>
      <c r="I71" s="273">
        <v>45936</v>
      </c>
      <c r="J71" s="274">
        <v>45936</v>
      </c>
      <c r="K71" s="274">
        <v>45937</v>
      </c>
      <c r="L71" s="274">
        <v>45937</v>
      </c>
      <c r="M71" s="39">
        <f ca="1">IF(OR(J71="",AND(L71="",TODAY()&lt;J71),AND(L71&lt;&gt;"",L71&lt;J71)),0,
   IF(L71="",
      NETWORKDAYS(J71,TODAY(),fESTIVOS!$A$2:$A$53),
      NETWORKDAYS(J71,L71,fESTIVOS!$A$2:$A$53)
   )
)</f>
        <v>2</v>
      </c>
      <c r="N71" s="275"/>
      <c r="O71" s="275"/>
      <c r="P71" s="276"/>
      <c r="Q71" s="282" t="s">
        <v>1789</v>
      </c>
      <c r="R71" s="278" t="s">
        <v>78</v>
      </c>
      <c r="S71" s="279"/>
    </row>
    <row r="72" spans="1:19" ht="29.25" customHeight="1">
      <c r="A72" s="299" t="s">
        <v>1554</v>
      </c>
      <c r="B72" s="284" t="s">
        <v>1790</v>
      </c>
      <c r="C72" s="300" t="s">
        <v>1791</v>
      </c>
      <c r="D72" s="280" t="s">
        <v>1792</v>
      </c>
      <c r="E72" s="270" t="s">
        <v>1621</v>
      </c>
      <c r="F72" s="301" t="s">
        <v>76</v>
      </c>
      <c r="G72" s="302">
        <v>100</v>
      </c>
      <c r="H72" s="231">
        <f>IF(OR(J72="",K72="",K72&lt;J72),0,NETWORKDAYS(J72,K72,fESTIVOS!$A$2:$A$53))</f>
        <v>2</v>
      </c>
      <c r="I72" s="273">
        <v>45936</v>
      </c>
      <c r="J72" s="274">
        <v>45936</v>
      </c>
      <c r="K72" s="274">
        <v>45937</v>
      </c>
      <c r="L72" s="274">
        <v>45937</v>
      </c>
      <c r="M72" s="39">
        <f ca="1">IF(OR(J72="",AND(L72="",TODAY()&lt;J72),AND(L72&lt;&gt;"",L72&lt;J72)),0,
   IF(L72="",
      NETWORKDAYS(J72,TODAY(),fESTIVOS!$A$2:$A$53),
      NETWORKDAYS(J72,L72,fESTIVOS!$A$2:$A$53)
   )
)</f>
        <v>2</v>
      </c>
      <c r="N72" s="303"/>
      <c r="O72" s="303"/>
      <c r="P72" s="304"/>
      <c r="Q72" s="282" t="s">
        <v>1793</v>
      </c>
      <c r="R72" s="278" t="s">
        <v>78</v>
      </c>
      <c r="S72" s="279"/>
    </row>
    <row r="73" spans="1:19" ht="29.25" customHeight="1">
      <c r="A73" s="308" t="s">
        <v>1554</v>
      </c>
      <c r="B73" s="309" t="s">
        <v>1794</v>
      </c>
      <c r="C73" s="310" t="s">
        <v>1758</v>
      </c>
      <c r="D73" s="305" t="s">
        <v>1795</v>
      </c>
      <c r="E73" s="311" t="s">
        <v>1621</v>
      </c>
      <c r="F73" s="312" t="s">
        <v>76</v>
      </c>
      <c r="G73" s="295">
        <v>100</v>
      </c>
      <c r="H73" s="231">
        <f>IF(OR(J73="",K73="",K73&lt;J73),0,NETWORKDAYS(J73,K73,fESTIVOS!$A$2:$A$53))</f>
        <v>2</v>
      </c>
      <c r="I73" s="273">
        <v>45936</v>
      </c>
      <c r="J73" s="274">
        <v>45936</v>
      </c>
      <c r="K73" s="274">
        <v>45937</v>
      </c>
      <c r="L73" s="274">
        <v>45937</v>
      </c>
      <c r="M73" s="39">
        <f ca="1">IF(OR(J73="",AND(L73="",TODAY()&lt;J73),AND(L73&lt;&gt;"",L73&lt;J73)),0,
   IF(L73="",
      NETWORKDAYS(J73,TODAY(),fESTIVOS!$A$2:$A$53),
      NETWORKDAYS(J73,L73,fESTIVOS!$A$2:$A$53)
   )
)</f>
        <v>2</v>
      </c>
      <c r="N73" s="275"/>
      <c r="O73" s="275"/>
      <c r="P73" s="276"/>
      <c r="Q73" s="282" t="s">
        <v>1796</v>
      </c>
      <c r="R73" s="296" t="s">
        <v>78</v>
      </c>
      <c r="S73" s="313"/>
    </row>
    <row r="74" spans="1:19" ht="29.25" customHeight="1">
      <c r="A74" s="299" t="s">
        <v>1554</v>
      </c>
      <c r="B74" s="284" t="s">
        <v>1797</v>
      </c>
      <c r="C74" s="300" t="s">
        <v>1758</v>
      </c>
      <c r="D74" s="305" t="s">
        <v>1798</v>
      </c>
      <c r="E74" s="270" t="s">
        <v>1621</v>
      </c>
      <c r="F74" s="301" t="s">
        <v>76</v>
      </c>
      <c r="G74" s="302">
        <v>100</v>
      </c>
      <c r="H74" s="231">
        <f>IF(OR(J74="",K74="",K74&lt;J74),0,NETWORKDAYS(J74,K74,fESTIVOS!$A$2:$A$53))</f>
        <v>2</v>
      </c>
      <c r="I74" s="273">
        <v>45936</v>
      </c>
      <c r="J74" s="274">
        <v>45936</v>
      </c>
      <c r="K74" s="274">
        <v>45937</v>
      </c>
      <c r="L74" s="274">
        <v>45937</v>
      </c>
      <c r="M74" s="39">
        <f ca="1">IF(OR(J74="",AND(L74="",TODAY()&lt;J74),AND(L74&lt;&gt;"",L74&lt;J74)),0,
   IF(L74="",
      NETWORKDAYS(J74,TODAY(),fESTIVOS!$A$2:$A$53),
      NETWORKDAYS(J74,L74,fESTIVOS!$A$2:$A$53)
   )
)</f>
        <v>2</v>
      </c>
      <c r="N74" s="303"/>
      <c r="O74" s="303"/>
      <c r="P74" s="304"/>
      <c r="Q74" s="282" t="s">
        <v>1799</v>
      </c>
      <c r="R74" s="278" t="s">
        <v>78</v>
      </c>
      <c r="S74" s="279"/>
    </row>
    <row r="75" spans="1:19" ht="29.25" customHeight="1">
      <c r="A75" s="266" t="s">
        <v>1554</v>
      </c>
      <c r="B75" s="267" t="s">
        <v>1800</v>
      </c>
      <c r="C75" s="268" t="s">
        <v>1801</v>
      </c>
      <c r="D75" s="280" t="s">
        <v>1802</v>
      </c>
      <c r="E75" s="270" t="s">
        <v>1557</v>
      </c>
      <c r="F75" s="271" t="s">
        <v>76</v>
      </c>
      <c r="G75" s="272">
        <v>100</v>
      </c>
      <c r="H75" s="231">
        <f>IF(OR(J75="",K75="",K75&lt;J75),0,NETWORKDAYS(J75,K75,fESTIVOS!$A$2:$A$53))</f>
        <v>2</v>
      </c>
      <c r="I75" s="273">
        <v>45938</v>
      </c>
      <c r="J75" s="274">
        <v>45938</v>
      </c>
      <c r="K75" s="274">
        <v>45939</v>
      </c>
      <c r="L75" s="274">
        <v>45938</v>
      </c>
      <c r="M75" s="39">
        <f ca="1">IF(OR(J75="",AND(L75="",TODAY()&lt;J75),AND(L75&lt;&gt;"",L75&lt;J75)),0,
   IF(L75="",
      NETWORKDAYS(J75,TODAY(),fESTIVOS!$A$2:$A$53),
      NETWORKDAYS(J75,L75,fESTIVOS!$A$2:$A$53)
   )
)</f>
        <v>1</v>
      </c>
      <c r="N75" s="275"/>
      <c r="O75" s="275"/>
      <c r="P75" s="276"/>
      <c r="Q75" s="282" t="s">
        <v>1803</v>
      </c>
      <c r="R75" s="278" t="s">
        <v>78</v>
      </c>
      <c r="S75" s="279"/>
    </row>
    <row r="76" spans="1:19" ht="29.25" customHeight="1">
      <c r="A76" s="266" t="s">
        <v>1554</v>
      </c>
      <c r="B76" s="267" t="s">
        <v>1804</v>
      </c>
      <c r="C76" s="268" t="s">
        <v>1805</v>
      </c>
      <c r="D76" s="280" t="s">
        <v>1806</v>
      </c>
      <c r="E76" s="270" t="s">
        <v>1557</v>
      </c>
      <c r="F76" s="271" t="s">
        <v>76</v>
      </c>
      <c r="G76" s="272">
        <v>100</v>
      </c>
      <c r="H76" s="231">
        <f>IF(OR(J76="",K76="",K76&lt;J76),0,NETWORKDAYS(J76,K76,fESTIVOS!$A$2:$A$53))</f>
        <v>2</v>
      </c>
      <c r="I76" s="273">
        <v>45939</v>
      </c>
      <c r="J76" s="274">
        <v>45939</v>
      </c>
      <c r="K76" s="274">
        <v>45940</v>
      </c>
      <c r="L76" s="274">
        <v>45939</v>
      </c>
      <c r="M76" s="39">
        <f ca="1">IF(OR(J76="",AND(L76="",TODAY()&lt;J76),AND(L76&lt;&gt;"",L76&lt;J76)),0,
   IF(L76="",
      NETWORKDAYS(J76,TODAY(),fESTIVOS!$A$2:$A$53),
      NETWORKDAYS(J76,L76,fESTIVOS!$A$2:$A$53)
   )
)</f>
        <v>1</v>
      </c>
      <c r="N76" s="275"/>
      <c r="O76" s="275"/>
      <c r="P76" s="276"/>
      <c r="Q76" s="282" t="s">
        <v>1807</v>
      </c>
      <c r="R76" s="278" t="s">
        <v>78</v>
      </c>
      <c r="S76" s="279"/>
    </row>
    <row r="77" spans="1:19" ht="29.25" customHeight="1">
      <c r="A77" s="299" t="s">
        <v>1554</v>
      </c>
      <c r="B77" s="284" t="s">
        <v>1808</v>
      </c>
      <c r="C77" s="300" t="s">
        <v>1809</v>
      </c>
      <c r="D77" s="305" t="s">
        <v>1810</v>
      </c>
      <c r="E77" s="270" t="s">
        <v>1621</v>
      </c>
      <c r="F77" s="314" t="s">
        <v>76</v>
      </c>
      <c r="G77" s="315">
        <v>100</v>
      </c>
      <c r="H77" s="231">
        <f>IF(OR(J77="",K77="",K77&lt;J77),0,NETWORKDAYS(J77,K77,fESTIVOS!$A$2:$A$53))</f>
        <v>1</v>
      </c>
      <c r="I77" s="306">
        <v>45940</v>
      </c>
      <c r="J77" s="281">
        <v>45940</v>
      </c>
      <c r="K77" s="281">
        <v>45940</v>
      </c>
      <c r="L77" s="281">
        <v>45940</v>
      </c>
      <c r="M77" s="39">
        <f ca="1">IF(OR(J77="",AND(L77="",TODAY()&lt;J77),AND(L77&lt;&gt;"",L77&lt;J77)),0,
   IF(L77="",
      NETWORKDAYS(J77,TODAY(),fESTIVOS!$A$2:$A$53),
      NETWORKDAYS(J77,L77,fESTIVOS!$A$2:$A$53)
   )
)</f>
        <v>1</v>
      </c>
      <c r="N77" s="303"/>
      <c r="O77" s="303"/>
      <c r="P77" s="304"/>
      <c r="Q77" s="282" t="s">
        <v>1811</v>
      </c>
      <c r="R77" s="278" t="s">
        <v>78</v>
      </c>
      <c r="S77" s="279"/>
    </row>
    <row r="78" spans="1:19" ht="29.25" customHeight="1">
      <c r="A78" s="299" t="s">
        <v>1554</v>
      </c>
      <c r="B78" s="284" t="s">
        <v>1812</v>
      </c>
      <c r="C78" s="300" t="s">
        <v>1813</v>
      </c>
      <c r="D78" s="316" t="s">
        <v>1814</v>
      </c>
      <c r="E78" s="270" t="s">
        <v>1638</v>
      </c>
      <c r="F78" s="314" t="s">
        <v>76</v>
      </c>
      <c r="G78" s="315">
        <v>100</v>
      </c>
      <c r="H78" s="231">
        <f>IF(OR(J78="",K78="",K78&lt;J78),0,NETWORKDAYS(J78,K78,fESTIVOS!$A$2:$A$53))</f>
        <v>1</v>
      </c>
      <c r="I78" s="306">
        <v>45937</v>
      </c>
      <c r="J78" s="281">
        <v>45940</v>
      </c>
      <c r="K78" s="281">
        <v>45940</v>
      </c>
      <c r="L78" s="281">
        <v>45940</v>
      </c>
      <c r="M78" s="39">
        <f ca="1">IF(OR(J78="",AND(L78="",TODAY()&lt;J78),AND(L78&lt;&gt;"",L78&lt;J78)),0,
   IF(L78="",
      NETWORKDAYS(J78,TODAY(),fESTIVOS!$A$2:$A$53),
      NETWORKDAYS(J78,L78,fESTIVOS!$A$2:$A$53)
   )
)</f>
        <v>1</v>
      </c>
      <c r="N78" s="303"/>
      <c r="O78" s="303"/>
      <c r="P78" s="304"/>
      <c r="Q78" s="282" t="s">
        <v>1815</v>
      </c>
      <c r="R78" s="278" t="s">
        <v>78</v>
      </c>
      <c r="S78" s="279"/>
    </row>
    <row r="79" spans="1:19" ht="29.25" customHeight="1">
      <c r="A79" s="308" t="s">
        <v>1554</v>
      </c>
      <c r="B79" s="309" t="s">
        <v>1816</v>
      </c>
      <c r="C79" s="310" t="s">
        <v>1817</v>
      </c>
      <c r="D79" s="317" t="s">
        <v>1818</v>
      </c>
      <c r="E79" s="293" t="s">
        <v>1557</v>
      </c>
      <c r="F79" s="297" t="s">
        <v>76</v>
      </c>
      <c r="G79" s="315">
        <v>100</v>
      </c>
      <c r="H79" s="231">
        <f>IF(OR(J79="",K79="",K79&lt;J79),0,NETWORKDAYS(J79,K79,fESTIVOS!$A$2:$A$53))</f>
        <v>1</v>
      </c>
      <c r="I79" s="318">
        <v>45944</v>
      </c>
      <c r="J79" s="319">
        <v>45944</v>
      </c>
      <c r="K79" s="319">
        <v>45944</v>
      </c>
      <c r="L79" s="319">
        <v>45944</v>
      </c>
      <c r="M79" s="39">
        <f ca="1">IF(OR(J79="",AND(L79="",TODAY()&lt;J79),AND(L79&lt;&gt;"",L79&lt;J79)),0,
   IF(L79="",
      NETWORKDAYS(J79,TODAY(),fESTIVOS!$A$2:$A$53),
      NETWORKDAYS(J79,L79,fESTIVOS!$A$2:$A$53)
   )
)</f>
        <v>1</v>
      </c>
      <c r="N79" s="275"/>
      <c r="O79" s="275"/>
      <c r="P79" s="276"/>
      <c r="Q79" s="320" t="s">
        <v>1819</v>
      </c>
      <c r="R79" s="296" t="s">
        <v>78</v>
      </c>
      <c r="S79" s="292"/>
    </row>
    <row r="80" spans="1:19" ht="29.25" customHeight="1">
      <c r="A80" s="299" t="s">
        <v>1554</v>
      </c>
      <c r="B80" s="284" t="s">
        <v>1820</v>
      </c>
      <c r="C80" s="321" t="s">
        <v>1758</v>
      </c>
      <c r="D80" s="305" t="s">
        <v>1821</v>
      </c>
      <c r="E80" s="287" t="s">
        <v>1621</v>
      </c>
      <c r="F80" s="314" t="s">
        <v>76</v>
      </c>
      <c r="G80" s="315">
        <v>100</v>
      </c>
      <c r="H80" s="231">
        <f>IF(OR(J80="",K80="",K80&lt;J80),0,NETWORKDAYS(J80,K80,fESTIVOS!$A$2:$A$53))</f>
        <v>1</v>
      </c>
      <c r="I80" s="318">
        <v>45944</v>
      </c>
      <c r="J80" s="319">
        <v>45944</v>
      </c>
      <c r="K80" s="319">
        <v>45944</v>
      </c>
      <c r="L80" s="319">
        <v>45944</v>
      </c>
      <c r="M80" s="39">
        <f ca="1">IF(OR(J80="",AND(L80="",TODAY()&lt;J80),AND(L80&lt;&gt;"",L80&lt;J80)),0,
   IF(L80="",
      NETWORKDAYS(J80,TODAY(),fESTIVOS!$A$2:$A$53),
      NETWORKDAYS(J80,L80,fESTIVOS!$A$2:$A$53)
   )
)</f>
        <v>1</v>
      </c>
      <c r="N80" s="303"/>
      <c r="O80" s="303"/>
      <c r="P80" s="304"/>
      <c r="Q80" s="320" t="s">
        <v>1822</v>
      </c>
      <c r="R80" s="278" t="s">
        <v>78</v>
      </c>
      <c r="S80" s="322"/>
    </row>
    <row r="81" spans="1:19" ht="29.25" customHeight="1">
      <c r="A81" s="299" t="s">
        <v>1554</v>
      </c>
      <c r="B81" s="284" t="s">
        <v>1823</v>
      </c>
      <c r="C81" s="310" t="s">
        <v>1824</v>
      </c>
      <c r="D81" s="305" t="s">
        <v>1825</v>
      </c>
      <c r="E81" s="287" t="s">
        <v>1557</v>
      </c>
      <c r="F81" s="314" t="s">
        <v>76</v>
      </c>
      <c r="G81" s="315">
        <v>100</v>
      </c>
      <c r="H81" s="231">
        <f>IF(OR(J81="",K81="",K81&lt;J81),0,NETWORKDAYS(J81,K81,fESTIVOS!$A$2:$A$53))</f>
        <v>1</v>
      </c>
      <c r="I81" s="318">
        <v>45944</v>
      </c>
      <c r="J81" s="319">
        <v>45944</v>
      </c>
      <c r="K81" s="319">
        <v>45944</v>
      </c>
      <c r="L81" s="319">
        <v>45944</v>
      </c>
      <c r="M81" s="39">
        <f ca="1">IF(OR(J81="",AND(L81="",TODAY()&lt;J81),AND(L81&lt;&gt;"",L81&lt;J81)),0,
   IF(L81="",
      NETWORKDAYS(J81,TODAY(),fESTIVOS!$A$2:$A$53),
      NETWORKDAYS(J81,L81,fESTIVOS!$A$2:$A$53)
   )
)</f>
        <v>1</v>
      </c>
      <c r="N81" s="303"/>
      <c r="O81" s="303"/>
      <c r="P81" s="304"/>
      <c r="Q81" s="320" t="s">
        <v>1826</v>
      </c>
      <c r="R81" s="278" t="s">
        <v>78</v>
      </c>
      <c r="S81" s="322"/>
    </row>
    <row r="82" spans="1:19" ht="29.25" customHeight="1">
      <c r="A82" s="299" t="s">
        <v>1554</v>
      </c>
      <c r="B82" s="284" t="s">
        <v>1827</v>
      </c>
      <c r="C82" s="310" t="s">
        <v>1828</v>
      </c>
      <c r="D82" s="305" t="s">
        <v>1829</v>
      </c>
      <c r="E82" s="287" t="s">
        <v>1557</v>
      </c>
      <c r="F82" s="314" t="s">
        <v>76</v>
      </c>
      <c r="G82" s="315">
        <v>100</v>
      </c>
      <c r="H82" s="231">
        <f>IF(OR(J82="",K82="",K82&lt;J82),0,NETWORKDAYS(J82,K82,fESTIVOS!$A$2:$A$53))</f>
        <v>1</v>
      </c>
      <c r="I82" s="318">
        <v>45945</v>
      </c>
      <c r="J82" s="319">
        <v>45945</v>
      </c>
      <c r="K82" s="319">
        <v>45945</v>
      </c>
      <c r="L82" s="319">
        <v>45945</v>
      </c>
      <c r="M82" s="39">
        <f ca="1">IF(OR(J82="",AND(L82="",TODAY()&lt;J82),AND(L82&lt;&gt;"",L82&lt;J82)),0,
   IF(L82="",
      NETWORKDAYS(J82,TODAY(),fESTIVOS!$A$2:$A$53),
      NETWORKDAYS(J82,L82,fESTIVOS!$A$2:$A$53)
   )
)</f>
        <v>1</v>
      </c>
      <c r="N82" s="303"/>
      <c r="O82" s="303"/>
      <c r="P82" s="304"/>
      <c r="Q82" s="320" t="s">
        <v>1830</v>
      </c>
      <c r="R82" s="278" t="s">
        <v>78</v>
      </c>
      <c r="S82" s="322"/>
    </row>
    <row r="83" spans="1:19" ht="29.25" customHeight="1">
      <c r="A83" s="299" t="s">
        <v>1554</v>
      </c>
      <c r="B83" s="284" t="s">
        <v>1831</v>
      </c>
      <c r="C83" s="310" t="s">
        <v>1832</v>
      </c>
      <c r="D83" s="305" t="s">
        <v>1833</v>
      </c>
      <c r="E83" s="287" t="s">
        <v>1557</v>
      </c>
      <c r="F83" s="323" t="s">
        <v>76</v>
      </c>
      <c r="G83" s="302">
        <v>100</v>
      </c>
      <c r="H83" s="231">
        <f>IF(OR(J83="",K83="",K83&lt;J83),0,NETWORKDAYS(J83,K83,fESTIVOS!$A$2:$A$53))</f>
        <v>3</v>
      </c>
      <c r="I83" s="318">
        <v>45946</v>
      </c>
      <c r="J83" s="319">
        <v>45946</v>
      </c>
      <c r="K83" s="319">
        <v>45950</v>
      </c>
      <c r="L83" s="319">
        <v>45947</v>
      </c>
      <c r="M83" s="39">
        <f ca="1">IF(OR(J83="",AND(L83="",TODAY()&lt;J83),AND(L83&lt;&gt;"",L83&lt;J83)),0,
   IF(L83="",
      NETWORKDAYS(J83,TODAY(),fESTIVOS!$A$2:$A$53),
      NETWORKDAYS(J83,L83,fESTIVOS!$A$2:$A$53)
   )
)</f>
        <v>2</v>
      </c>
      <c r="N83" s="303"/>
      <c r="O83" s="303"/>
      <c r="P83" s="304"/>
      <c r="Q83" s="320" t="s">
        <v>1834</v>
      </c>
      <c r="R83" s="278" t="s">
        <v>78</v>
      </c>
      <c r="S83" s="322"/>
    </row>
    <row r="84" spans="1:19" ht="29.25" customHeight="1">
      <c r="A84" s="299" t="s">
        <v>1554</v>
      </c>
      <c r="B84" s="284" t="s">
        <v>1835</v>
      </c>
      <c r="C84" s="310" t="s">
        <v>1836</v>
      </c>
      <c r="D84" s="305" t="s">
        <v>1837</v>
      </c>
      <c r="E84" s="287" t="s">
        <v>1557</v>
      </c>
      <c r="F84" s="323" t="s">
        <v>76</v>
      </c>
      <c r="G84" s="302">
        <v>100</v>
      </c>
      <c r="H84" s="231">
        <f>IF(OR(J84="",K84="",K84&lt;J84),0,NETWORKDAYS(J84,K84,fESTIVOS!$A$2:$A$53))</f>
        <v>2</v>
      </c>
      <c r="I84" s="318">
        <v>45946</v>
      </c>
      <c r="J84" s="319">
        <v>45946</v>
      </c>
      <c r="K84" s="319">
        <v>45947</v>
      </c>
      <c r="L84" s="319">
        <v>45946</v>
      </c>
      <c r="M84" s="39">
        <f ca="1">IF(OR(J84="",AND(L84="",TODAY()&lt;J84),AND(L84&lt;&gt;"",L84&lt;J84)),0,
   IF(L84="",
      NETWORKDAYS(J84,TODAY(),fESTIVOS!$A$2:$A$53),
      NETWORKDAYS(J84,L84,fESTIVOS!$A$2:$A$53)
   )
)</f>
        <v>1</v>
      </c>
      <c r="N84" s="303"/>
      <c r="O84" s="303"/>
      <c r="P84" s="304"/>
      <c r="Q84" s="320" t="s">
        <v>1838</v>
      </c>
      <c r="R84" s="278" t="s">
        <v>78</v>
      </c>
      <c r="S84" s="322"/>
    </row>
    <row r="85" spans="1:19" ht="29.25" customHeight="1">
      <c r="A85" s="299" t="s">
        <v>1554</v>
      </c>
      <c r="B85" s="284" t="s">
        <v>1839</v>
      </c>
      <c r="C85" s="310" t="s">
        <v>1840</v>
      </c>
      <c r="D85" s="305" t="s">
        <v>1841</v>
      </c>
      <c r="E85" s="287" t="s">
        <v>1557</v>
      </c>
      <c r="F85" s="323" t="s">
        <v>76</v>
      </c>
      <c r="G85" s="302">
        <v>100</v>
      </c>
      <c r="H85" s="231">
        <f>IF(OR(J85="",K85="",K85&lt;J85),0,NETWORKDAYS(J85,K85,fESTIVOS!$A$2:$A$53))</f>
        <v>3</v>
      </c>
      <c r="I85" s="318">
        <v>45947</v>
      </c>
      <c r="J85" s="319">
        <v>45950</v>
      </c>
      <c r="K85" s="319">
        <v>45952</v>
      </c>
      <c r="L85" s="319">
        <v>45951</v>
      </c>
      <c r="M85" s="39">
        <f ca="1">IF(OR(J85="",AND(L85="",TODAY()&lt;J85),AND(L85&lt;&gt;"",L85&lt;J85)),0,
   IF(L85="",
      NETWORKDAYS(J85,TODAY(),fESTIVOS!$A$2:$A$53),
      NETWORKDAYS(J85,L85,fESTIVOS!$A$2:$A$53)
   )
)</f>
        <v>2</v>
      </c>
      <c r="N85" s="303"/>
      <c r="O85" s="303"/>
      <c r="P85" s="304"/>
      <c r="Q85" s="320" t="s">
        <v>1842</v>
      </c>
      <c r="R85" s="278" t="s">
        <v>78</v>
      </c>
      <c r="S85" s="322"/>
    </row>
    <row r="86" spans="1:19" ht="29.25" customHeight="1">
      <c r="A86" s="308" t="s">
        <v>1554</v>
      </c>
      <c r="B86" s="309" t="s">
        <v>1843</v>
      </c>
      <c r="C86" s="324" t="s">
        <v>1836</v>
      </c>
      <c r="D86" s="325" t="s">
        <v>1837</v>
      </c>
      <c r="E86" s="293" t="s">
        <v>1557</v>
      </c>
      <c r="F86" s="297" t="s">
        <v>76</v>
      </c>
      <c r="G86" s="298">
        <v>100</v>
      </c>
      <c r="H86" s="231">
        <f>IF(OR(J86="",K86="",K86&lt;J86),0,NETWORKDAYS(J86,K86,fESTIVOS!$A$2:$A$53))</f>
        <v>2</v>
      </c>
      <c r="I86" s="326">
        <v>45946</v>
      </c>
      <c r="J86" s="327">
        <v>45946</v>
      </c>
      <c r="K86" s="327">
        <v>45947</v>
      </c>
      <c r="L86" s="327">
        <v>45946</v>
      </c>
      <c r="M86" s="39">
        <f ca="1">IF(OR(J86="",AND(L86="",TODAY()&lt;J86),AND(L86&lt;&gt;"",L86&lt;J86)),0,
   IF(L86="",
      NETWORKDAYS(J86,TODAY(),fESTIVOS!$A$2:$A$53),
      NETWORKDAYS(J86,L86,fESTIVOS!$A$2:$A$53)
   )
)</f>
        <v>1</v>
      </c>
      <c r="N86" s="275"/>
      <c r="O86" s="275"/>
      <c r="P86" s="276"/>
      <c r="Q86" s="328" t="s">
        <v>1838</v>
      </c>
      <c r="R86" s="296" t="s">
        <v>78</v>
      </c>
      <c r="S86" s="292"/>
    </row>
    <row r="87" spans="1:19" ht="29.25" customHeight="1">
      <c r="A87" s="266" t="s">
        <v>1554</v>
      </c>
      <c r="B87" s="267" t="s">
        <v>1844</v>
      </c>
      <c r="C87" s="268" t="s">
        <v>1801</v>
      </c>
      <c r="D87" s="280" t="s">
        <v>1845</v>
      </c>
      <c r="E87" s="270" t="s">
        <v>1557</v>
      </c>
      <c r="F87" s="271" t="s">
        <v>76</v>
      </c>
      <c r="G87" s="272">
        <v>100</v>
      </c>
      <c r="H87" s="231">
        <f>IF(OR(J87="",K87="",K87&lt;J87),0,NETWORKDAYS(J87,K87,fESTIVOS!$A$2:$A$53))</f>
        <v>2</v>
      </c>
      <c r="I87" s="273">
        <v>45951</v>
      </c>
      <c r="J87" s="274">
        <v>45952</v>
      </c>
      <c r="K87" s="274">
        <v>45953</v>
      </c>
      <c r="L87" s="274">
        <v>45952</v>
      </c>
      <c r="M87" s="39">
        <f ca="1">IF(OR(J87="",AND(L87="",TODAY()&lt;J87),AND(L87&lt;&gt;"",L87&lt;J87)),0,
   IF(L87="",
      NETWORKDAYS(J87,TODAY(),fESTIVOS!$A$2:$A$53),
      NETWORKDAYS(J87,L87,fESTIVOS!$A$2:$A$53)
   )
)</f>
        <v>1</v>
      </c>
      <c r="N87" s="275"/>
      <c r="O87" s="275"/>
      <c r="P87" s="276"/>
      <c r="Q87" s="282" t="s">
        <v>1846</v>
      </c>
      <c r="R87" s="278" t="s">
        <v>78</v>
      </c>
      <c r="S87" s="279"/>
    </row>
    <row r="88" spans="1:19" ht="29.25" customHeight="1">
      <c r="A88" s="266" t="s">
        <v>1554</v>
      </c>
      <c r="B88" s="267" t="s">
        <v>1847</v>
      </c>
      <c r="C88" s="268" t="s">
        <v>1801</v>
      </c>
      <c r="D88" s="280" t="s">
        <v>1848</v>
      </c>
      <c r="E88" s="270" t="s">
        <v>1557</v>
      </c>
      <c r="F88" s="271" t="s">
        <v>76</v>
      </c>
      <c r="G88" s="272">
        <v>100</v>
      </c>
      <c r="H88" s="231">
        <f>IF(OR(J88="",K88="",K88&lt;J88),0,NETWORKDAYS(J88,K88,fESTIVOS!$A$2:$A$53))</f>
        <v>2</v>
      </c>
      <c r="I88" s="273">
        <v>45951</v>
      </c>
      <c r="J88" s="274">
        <v>45952</v>
      </c>
      <c r="K88" s="274">
        <v>45953</v>
      </c>
      <c r="L88" s="274">
        <v>45953</v>
      </c>
      <c r="M88" s="39">
        <f ca="1">IF(OR(J88="",AND(L88="",TODAY()&lt;J88),AND(L88&lt;&gt;"",L88&lt;J88)),0,
   IF(L88="",
      NETWORKDAYS(J88,TODAY(),fESTIVOS!$A$2:$A$53),
      NETWORKDAYS(J88,L88,fESTIVOS!$A$2:$A$53)
   )
)</f>
        <v>2</v>
      </c>
      <c r="N88" s="275"/>
      <c r="O88" s="275"/>
      <c r="P88" s="276"/>
      <c r="Q88" s="282" t="s">
        <v>1849</v>
      </c>
      <c r="R88" s="278" t="s">
        <v>78</v>
      </c>
      <c r="S88" s="279"/>
    </row>
    <row r="89" spans="1:19" ht="29.25" customHeight="1">
      <c r="A89" s="266" t="s">
        <v>1554</v>
      </c>
      <c r="B89" s="267" t="s">
        <v>1850</v>
      </c>
      <c r="C89" s="268" t="s">
        <v>1851</v>
      </c>
      <c r="D89" s="280" t="s">
        <v>1852</v>
      </c>
      <c r="E89" s="270" t="s">
        <v>1557</v>
      </c>
      <c r="F89" s="271" t="s">
        <v>76</v>
      </c>
      <c r="G89" s="272">
        <v>100</v>
      </c>
      <c r="H89" s="231">
        <f>IF(OR(J89="",K89="",K89&lt;J89),0,NETWORKDAYS(J89,K89,fESTIVOS!$A$2:$A$53))</f>
        <v>14</v>
      </c>
      <c r="I89" s="273">
        <v>45957</v>
      </c>
      <c r="J89" s="274">
        <v>45957</v>
      </c>
      <c r="K89" s="274">
        <v>45976</v>
      </c>
      <c r="L89" s="274">
        <v>45986</v>
      </c>
      <c r="M89" s="39">
        <f ca="1">IF(OR(J89="",AND(L89="",TODAY()&lt;J89),AND(L89&lt;&gt;"",L89&lt;J89)),0,
   IF(L89="",
      NETWORKDAYS(J89,TODAY(),fESTIVOS!$A$2:$A$53),
      NETWORKDAYS(J89,L89,fESTIVOS!$A$2:$A$53)
   )
)</f>
        <v>20</v>
      </c>
      <c r="N89" s="275"/>
      <c r="O89" s="275"/>
      <c r="P89" s="276"/>
      <c r="Q89" s="282" t="s">
        <v>1853</v>
      </c>
      <c r="R89" s="278" t="s">
        <v>78</v>
      </c>
      <c r="S89" s="279"/>
    </row>
    <row r="90" spans="1:19" ht="29.25" customHeight="1">
      <c r="A90" s="299" t="s">
        <v>1554</v>
      </c>
      <c r="B90" s="284" t="s">
        <v>1854</v>
      </c>
      <c r="C90" s="300" t="s">
        <v>1765</v>
      </c>
      <c r="D90" s="305" t="s">
        <v>1855</v>
      </c>
      <c r="E90" s="284" t="s">
        <v>1856</v>
      </c>
      <c r="F90" s="301" t="s">
        <v>76</v>
      </c>
      <c r="G90" s="302">
        <v>100</v>
      </c>
      <c r="H90" s="231">
        <f>IF(OR(J90="",K90="",K90&lt;J90),0,NETWORKDAYS(J90,K90,fESTIVOS!$A$2:$A$53))</f>
        <v>3</v>
      </c>
      <c r="I90" s="306">
        <v>45957</v>
      </c>
      <c r="J90" s="274">
        <v>45957</v>
      </c>
      <c r="K90" s="281">
        <v>45959</v>
      </c>
      <c r="L90" s="281">
        <v>45958</v>
      </c>
      <c r="M90" s="39">
        <f ca="1">IF(OR(J90="",AND(L90="",TODAY()&lt;J90),AND(L90&lt;&gt;"",L90&lt;J90)),0,
   IF(L90="",
      NETWORKDAYS(J90,TODAY(),fESTIVOS!$A$2:$A$53),
      NETWORKDAYS(J90,L90,fESTIVOS!$A$2:$A$53)
   )
)</f>
        <v>2</v>
      </c>
      <c r="N90" s="303"/>
      <c r="O90" s="303"/>
      <c r="P90" s="304"/>
      <c r="Q90" s="282" t="s">
        <v>1857</v>
      </c>
      <c r="R90" s="278" t="s">
        <v>78</v>
      </c>
      <c r="S90" s="279"/>
    </row>
    <row r="91" spans="1:19" ht="29.25" customHeight="1">
      <c r="A91" s="299" t="s">
        <v>1554</v>
      </c>
      <c r="B91" s="284" t="s">
        <v>1858</v>
      </c>
      <c r="C91" s="300" t="s">
        <v>1765</v>
      </c>
      <c r="D91" s="305"/>
      <c r="E91" s="284" t="s">
        <v>1575</v>
      </c>
      <c r="F91" s="301" t="s">
        <v>76</v>
      </c>
      <c r="G91" s="302">
        <v>100</v>
      </c>
      <c r="H91" s="231">
        <f>IF(OR(J91="",K91="",K91&lt;J91),0,NETWORKDAYS(J91,K91,fESTIVOS!$A$2:$A$53))</f>
        <v>1</v>
      </c>
      <c r="I91" s="306">
        <v>45961</v>
      </c>
      <c r="J91" s="281">
        <v>45961</v>
      </c>
      <c r="K91" s="281">
        <v>45961</v>
      </c>
      <c r="L91" s="281">
        <v>45961</v>
      </c>
      <c r="M91" s="39">
        <f ca="1">IF(OR(J91="",AND(L91="",TODAY()&lt;J91),AND(L91&lt;&gt;"",L91&lt;J91)),0,
   IF(L91="",
      NETWORKDAYS(J91,TODAY(),fESTIVOS!$A$2:$A$53),
      NETWORKDAYS(J91,L91,fESTIVOS!$A$2:$A$53)
   )
)</f>
        <v>1</v>
      </c>
      <c r="N91" s="303"/>
      <c r="O91" s="303"/>
      <c r="P91" s="304"/>
      <c r="Q91" s="282" t="s">
        <v>1859</v>
      </c>
      <c r="R91" s="278" t="s">
        <v>78</v>
      </c>
      <c r="S91" s="279"/>
    </row>
    <row r="92" spans="1:19" ht="29.25" customHeight="1">
      <c r="A92" s="299" t="s">
        <v>1554</v>
      </c>
      <c r="B92" s="284" t="s">
        <v>1860</v>
      </c>
      <c r="C92" s="300" t="s">
        <v>1861</v>
      </c>
      <c r="D92" s="316"/>
      <c r="E92" s="270" t="s">
        <v>1638</v>
      </c>
      <c r="F92" s="314" t="s">
        <v>76</v>
      </c>
      <c r="G92" s="315">
        <v>100</v>
      </c>
      <c r="H92" s="231">
        <f>IF(OR(J92="",K92="",K92&lt;J92),0,NETWORKDAYS(J92,K92,fESTIVOS!$A$2:$A$53))</f>
        <v>2</v>
      </c>
      <c r="I92" s="306">
        <v>45961</v>
      </c>
      <c r="J92" s="281">
        <v>45965</v>
      </c>
      <c r="K92" s="281">
        <v>45966</v>
      </c>
      <c r="L92" s="281">
        <v>45965</v>
      </c>
      <c r="M92" s="39">
        <f ca="1">IF(OR(J92="",AND(L92="",TODAY()&lt;J92),AND(L92&lt;&gt;"",L92&lt;J92)),0,
   IF(L92="",
      NETWORKDAYS(J92,TODAY(),fESTIVOS!$A$2:$A$53),
      NETWORKDAYS(J92,L92,fESTIVOS!$A$2:$A$53)
   )
)</f>
        <v>1</v>
      </c>
      <c r="N92" s="303"/>
      <c r="O92" s="303"/>
      <c r="P92" s="304"/>
      <c r="Q92" s="282" t="s">
        <v>1862</v>
      </c>
      <c r="R92" s="278" t="s">
        <v>78</v>
      </c>
      <c r="S92" s="279"/>
    </row>
    <row r="93" spans="1:19" ht="29.25" customHeight="1">
      <c r="A93" s="299" t="s">
        <v>1554</v>
      </c>
      <c r="B93" s="284" t="s">
        <v>1863</v>
      </c>
      <c r="C93" s="300" t="s">
        <v>1864</v>
      </c>
      <c r="D93" s="305"/>
      <c r="E93" s="287" t="s">
        <v>1621</v>
      </c>
      <c r="F93" s="314" t="s">
        <v>76</v>
      </c>
      <c r="G93" s="315">
        <v>100</v>
      </c>
      <c r="H93" s="231">
        <f>IF(OR(J93="",K93="",K93&lt;J93),0,NETWORKDAYS(J93,K93,fESTIVOS!$A$2:$A$53))</f>
        <v>1</v>
      </c>
      <c r="I93" s="318">
        <v>45965</v>
      </c>
      <c r="J93" s="319">
        <v>45966</v>
      </c>
      <c r="K93" s="319">
        <v>45966</v>
      </c>
      <c r="L93" s="319">
        <v>45966</v>
      </c>
      <c r="M93" s="39">
        <f ca="1">IF(OR(J93="",AND(L93="",TODAY()&lt;J93),AND(L93&lt;&gt;"",L93&lt;J93)),0,
   IF(L93="",
      NETWORKDAYS(J93,TODAY(),fESTIVOS!$A$2:$A$53),
      NETWORKDAYS(J93,L93,fESTIVOS!$A$2:$A$53)
   )
)</f>
        <v>1</v>
      </c>
      <c r="N93" s="303"/>
      <c r="O93" s="303"/>
      <c r="P93" s="304"/>
      <c r="Q93" s="282" t="s">
        <v>1865</v>
      </c>
      <c r="R93" s="278" t="s">
        <v>78</v>
      </c>
      <c r="S93" s="322"/>
    </row>
    <row r="94" spans="1:19" ht="29.25" customHeight="1">
      <c r="A94" s="299" t="s">
        <v>1554</v>
      </c>
      <c r="B94" s="284" t="s">
        <v>1866</v>
      </c>
      <c r="C94" s="300" t="s">
        <v>1864</v>
      </c>
      <c r="D94" s="305"/>
      <c r="E94" s="287" t="s">
        <v>1621</v>
      </c>
      <c r="F94" s="314" t="s">
        <v>76</v>
      </c>
      <c r="G94" s="315">
        <v>100</v>
      </c>
      <c r="H94" s="231">
        <f>IF(OR(J94="",K94="",K94&lt;J94),0,NETWORKDAYS(J94,K94,fESTIVOS!$A$2:$A$53))</f>
        <v>1</v>
      </c>
      <c r="I94" s="318">
        <v>45967</v>
      </c>
      <c r="J94" s="319">
        <v>45967</v>
      </c>
      <c r="K94" s="319">
        <v>45967</v>
      </c>
      <c r="L94" s="319">
        <v>45967</v>
      </c>
      <c r="M94" s="39">
        <f ca="1">IF(OR(J94="",AND(L94="",TODAY()&lt;J94),AND(L94&lt;&gt;"",L94&lt;J94)),0,
   IF(L94="",
      NETWORKDAYS(J94,TODAY(),fESTIVOS!$A$2:$A$53),
      NETWORKDAYS(J94,L94,fESTIVOS!$A$2:$A$53)
   )
)</f>
        <v>1</v>
      </c>
      <c r="N94" s="303"/>
      <c r="O94" s="303"/>
      <c r="P94" s="304"/>
      <c r="Q94" s="282" t="s">
        <v>1867</v>
      </c>
      <c r="R94" s="278" t="s">
        <v>78</v>
      </c>
      <c r="S94" s="322"/>
    </row>
    <row r="95" spans="1:19" ht="29.25" customHeight="1">
      <c r="A95" s="299" t="s">
        <v>1554</v>
      </c>
      <c r="B95" s="284" t="s">
        <v>1868</v>
      </c>
      <c r="C95" s="300" t="s">
        <v>1869</v>
      </c>
      <c r="D95" s="305"/>
      <c r="E95" s="287" t="s">
        <v>1621</v>
      </c>
      <c r="F95" s="314" t="s">
        <v>76</v>
      </c>
      <c r="G95" s="315">
        <v>100</v>
      </c>
      <c r="H95" s="231">
        <f>IF(OR(J95="",K95="",K95&lt;J95),0,NETWORKDAYS(J95,K95,fESTIVOS!$A$2:$A$53))</f>
        <v>1</v>
      </c>
      <c r="I95" s="318">
        <v>45967</v>
      </c>
      <c r="J95" s="319">
        <v>45967</v>
      </c>
      <c r="K95" s="319">
        <v>45967</v>
      </c>
      <c r="L95" s="319">
        <v>45967</v>
      </c>
      <c r="M95" s="39">
        <f ca="1">IF(OR(J95="",AND(L95="",TODAY()&lt;J95),AND(L95&lt;&gt;"",L95&lt;J95)),0,
   IF(L95="",
      NETWORKDAYS(J95,TODAY(),fESTIVOS!$A$2:$A$53),
      NETWORKDAYS(J95,L95,fESTIVOS!$A$2:$A$53)
   )
)</f>
        <v>1</v>
      </c>
      <c r="N95" s="303"/>
      <c r="O95" s="303"/>
      <c r="P95" s="304"/>
      <c r="Q95" s="282" t="s">
        <v>1870</v>
      </c>
      <c r="R95" s="278" t="s">
        <v>78</v>
      </c>
      <c r="S95" s="322"/>
    </row>
    <row r="96" spans="1:19" ht="29.25" customHeight="1">
      <c r="A96" s="299" t="s">
        <v>1554</v>
      </c>
      <c r="B96" s="284" t="s">
        <v>1871</v>
      </c>
      <c r="C96" s="300" t="s">
        <v>1861</v>
      </c>
      <c r="D96" s="316" t="s">
        <v>1872</v>
      </c>
      <c r="E96" s="270" t="s">
        <v>1638</v>
      </c>
      <c r="F96" s="314" t="s">
        <v>76</v>
      </c>
      <c r="G96" s="315">
        <v>100</v>
      </c>
      <c r="H96" s="231">
        <f>IF(OR(J96="",K96="",K96&lt;J96),0,NETWORKDAYS(J96,K96,fESTIVOS!$A$2:$A$53))</f>
        <v>1</v>
      </c>
      <c r="I96" s="306">
        <v>45968</v>
      </c>
      <c r="J96" s="281">
        <v>45968</v>
      </c>
      <c r="K96" s="281">
        <v>45968</v>
      </c>
      <c r="L96" s="281">
        <v>45968</v>
      </c>
      <c r="M96" s="39">
        <f ca="1">IF(OR(J96="",AND(L96="",TODAY()&lt;J96),AND(L96&lt;&gt;"",L96&lt;J96)),0,
   IF(L96="",
      NETWORKDAYS(J96,TODAY(),fESTIVOS!$A$2:$A$53),
      NETWORKDAYS(J96,L96,fESTIVOS!$A$2:$A$53)
   )
)</f>
        <v>1</v>
      </c>
      <c r="N96" s="303"/>
      <c r="O96" s="303"/>
      <c r="P96" s="304"/>
      <c r="Q96" s="282" t="s">
        <v>1873</v>
      </c>
      <c r="R96" s="278" t="s">
        <v>78</v>
      </c>
      <c r="S96" s="279"/>
    </row>
    <row r="97" spans="1:19" ht="29.25" customHeight="1">
      <c r="A97" s="299" t="s">
        <v>1554</v>
      </c>
      <c r="B97" s="284" t="s">
        <v>1874</v>
      </c>
      <c r="C97" s="300" t="s">
        <v>1765</v>
      </c>
      <c r="D97" s="305"/>
      <c r="E97" s="284" t="s">
        <v>1575</v>
      </c>
      <c r="F97" s="301" t="s">
        <v>76</v>
      </c>
      <c r="G97" s="302">
        <v>100</v>
      </c>
      <c r="H97" s="231">
        <f>IF(OR(J97="",K97="",K97&lt;J97),0,NETWORKDAYS(J97,K97,fESTIVOS!$A$2:$A$53))</f>
        <v>1</v>
      </c>
      <c r="I97" s="306">
        <v>45968</v>
      </c>
      <c r="J97" s="281">
        <v>45968</v>
      </c>
      <c r="K97" s="281">
        <v>45968</v>
      </c>
      <c r="L97" s="281">
        <v>45968</v>
      </c>
      <c r="M97" s="39">
        <f ca="1">IF(OR(J97="",AND(L97="",TODAY()&lt;J97),AND(L97&lt;&gt;"",L97&lt;J97)),0,
   IF(L97="",
      NETWORKDAYS(J97,TODAY(),fESTIVOS!$A$2:$A$53),
      NETWORKDAYS(J97,L97,fESTIVOS!$A$2:$A$53)
   )
)</f>
        <v>1</v>
      </c>
      <c r="N97" s="303"/>
      <c r="O97" s="303"/>
      <c r="P97" s="304"/>
      <c r="Q97" s="282" t="s">
        <v>1875</v>
      </c>
      <c r="R97" s="278" t="s">
        <v>78</v>
      </c>
      <c r="S97" s="279"/>
    </row>
    <row r="98" spans="1:19" ht="29.25" customHeight="1">
      <c r="A98" s="299" t="s">
        <v>1554</v>
      </c>
      <c r="B98" s="284" t="s">
        <v>1876</v>
      </c>
      <c r="C98" s="300" t="s">
        <v>1877</v>
      </c>
      <c r="D98" s="305" t="s">
        <v>1878</v>
      </c>
      <c r="E98" s="287" t="s">
        <v>1621</v>
      </c>
      <c r="F98" s="314" t="s">
        <v>76</v>
      </c>
      <c r="G98" s="315">
        <v>100</v>
      </c>
      <c r="H98" s="231">
        <f>IF(OR(J98="",K98="",K98&lt;J98),0,NETWORKDAYS(J98,K98,fESTIVOS!$A$2:$A$53))</f>
        <v>0</v>
      </c>
      <c r="I98" s="318">
        <v>45970</v>
      </c>
      <c r="J98" s="319">
        <v>45970</v>
      </c>
      <c r="K98" s="319">
        <v>45970</v>
      </c>
      <c r="L98" s="319">
        <v>45970</v>
      </c>
      <c r="M98" s="39">
        <f ca="1">IF(OR(J98="",AND(L98="",TODAY()&lt;J98),AND(L98&lt;&gt;"",L98&lt;J98)),0,
   IF(L98="",
      NETWORKDAYS(J98,TODAY(),fESTIVOS!$A$2:$A$53),
      NETWORKDAYS(J98,L98,fESTIVOS!$A$2:$A$53)
   )
)</f>
        <v>0</v>
      </c>
      <c r="N98" s="303"/>
      <c r="O98" s="303"/>
      <c r="P98" s="304"/>
      <c r="Q98" s="282" t="s">
        <v>1879</v>
      </c>
      <c r="R98" s="278" t="s">
        <v>78</v>
      </c>
      <c r="S98" s="322"/>
    </row>
    <row r="99" spans="1:19" ht="29.25" customHeight="1">
      <c r="A99" s="299" t="s">
        <v>1554</v>
      </c>
      <c r="B99" s="284" t="s">
        <v>1880</v>
      </c>
      <c r="C99" s="300" t="s">
        <v>1881</v>
      </c>
      <c r="D99" s="305" t="s">
        <v>1882</v>
      </c>
      <c r="E99" s="287" t="s">
        <v>1621</v>
      </c>
      <c r="F99" s="314" t="s">
        <v>76</v>
      </c>
      <c r="G99" s="315">
        <v>100</v>
      </c>
      <c r="H99" s="231">
        <f>IF(OR(J99="",K99="",K99&lt;J99),0,NETWORKDAYS(J99,K99,fESTIVOS!$A$2:$A$53))</f>
        <v>1</v>
      </c>
      <c r="I99" s="318">
        <v>45972</v>
      </c>
      <c r="J99" s="319">
        <v>45972</v>
      </c>
      <c r="K99" s="319">
        <v>45972</v>
      </c>
      <c r="L99" s="319">
        <v>45972</v>
      </c>
      <c r="M99" s="39">
        <f ca="1">IF(OR(J99="",AND(L99="",TODAY()&lt;J99),AND(L99&lt;&gt;"",L99&lt;J99)),0,
   IF(L99="",
      NETWORKDAYS(J99,TODAY(),fESTIVOS!$A$2:$A$53),
      NETWORKDAYS(J99,L99,fESTIVOS!$A$2:$A$53)
   )
)</f>
        <v>1</v>
      </c>
      <c r="N99" s="303"/>
      <c r="O99" s="303"/>
      <c r="P99" s="304"/>
      <c r="Q99" s="282" t="s">
        <v>1883</v>
      </c>
      <c r="R99" s="278" t="s">
        <v>78</v>
      </c>
      <c r="S99" s="322"/>
    </row>
    <row r="100" spans="1:19" ht="29.25" customHeight="1">
      <c r="A100" s="299" t="s">
        <v>1554</v>
      </c>
      <c r="B100" s="284" t="s">
        <v>1884</v>
      </c>
      <c r="C100" s="300" t="s">
        <v>1861</v>
      </c>
      <c r="D100" s="316" t="s">
        <v>1885</v>
      </c>
      <c r="E100" s="270" t="s">
        <v>1638</v>
      </c>
      <c r="F100" s="323" t="s">
        <v>76</v>
      </c>
      <c r="G100" s="302">
        <v>100</v>
      </c>
      <c r="H100" s="231">
        <f>IF(OR(J100="",K100="",K100&lt;J100),0,NETWORKDAYS(J100,K100,fESTIVOS!$A$2:$A$53))</f>
        <v>3</v>
      </c>
      <c r="I100" s="306">
        <v>45974</v>
      </c>
      <c r="J100" s="281">
        <v>45974</v>
      </c>
      <c r="K100" s="281">
        <v>45979</v>
      </c>
      <c r="L100" s="281">
        <v>46040</v>
      </c>
      <c r="M100" s="39">
        <f ca="1">IF(OR(J100="",AND(L100="",TODAY()&lt;J100),AND(L100&lt;&gt;"",L100&lt;J100)),0,
   IF(L100="",
      NETWORKDAYS(J100,TODAY(),fESTIVOS!$A$2:$A$53),
      NETWORKDAYS(J100,L100,fESTIVOS!$A$2:$A$53)
   )
)</f>
        <v>42</v>
      </c>
      <c r="N100" s="303"/>
      <c r="O100" s="303"/>
      <c r="P100" s="304"/>
      <c r="Q100" s="282" t="s">
        <v>1886</v>
      </c>
      <c r="R100" s="278" t="s">
        <v>78</v>
      </c>
      <c r="S100" s="279"/>
    </row>
    <row r="101" spans="1:19" ht="29.25" customHeight="1">
      <c r="A101" s="299" t="s">
        <v>1554</v>
      </c>
      <c r="B101" s="284" t="s">
        <v>1887</v>
      </c>
      <c r="C101" s="300" t="s">
        <v>1765</v>
      </c>
      <c r="D101" s="305" t="s">
        <v>1888</v>
      </c>
      <c r="E101" s="284" t="s">
        <v>1575</v>
      </c>
      <c r="F101" s="301" t="s">
        <v>76</v>
      </c>
      <c r="G101" s="302">
        <v>100</v>
      </c>
      <c r="H101" s="231">
        <f>IF(OR(J101="",K101="",K101&lt;J101),0,NETWORKDAYS(J101,K101,fESTIVOS!$A$2:$A$53))</f>
        <v>1</v>
      </c>
      <c r="I101" s="306">
        <v>45974</v>
      </c>
      <c r="J101" s="281">
        <v>45974</v>
      </c>
      <c r="K101" s="281">
        <v>45974</v>
      </c>
      <c r="L101" s="281">
        <v>45974</v>
      </c>
      <c r="M101" s="39">
        <f ca="1">IF(OR(J101="",AND(L101="",TODAY()&lt;J101),AND(L101&lt;&gt;"",L101&lt;J101)),0,
   IF(L101="",
      NETWORKDAYS(J101,TODAY(),fESTIVOS!$A$2:$A$53),
      NETWORKDAYS(J101,L101,fESTIVOS!$A$2:$A$53)
   )
)</f>
        <v>1</v>
      </c>
      <c r="N101" s="303"/>
      <c r="O101" s="303"/>
      <c r="P101" s="304"/>
      <c r="Q101" s="282" t="s">
        <v>1889</v>
      </c>
      <c r="R101" s="278" t="s">
        <v>78</v>
      </c>
      <c r="S101" s="279"/>
    </row>
    <row r="102" spans="1:19" ht="29.25" customHeight="1">
      <c r="A102" s="308" t="s">
        <v>1554</v>
      </c>
      <c r="B102" s="309" t="s">
        <v>1890</v>
      </c>
      <c r="C102" s="324" t="s">
        <v>1864</v>
      </c>
      <c r="D102" s="269" t="s">
        <v>1891</v>
      </c>
      <c r="E102" s="311" t="s">
        <v>1621</v>
      </c>
      <c r="F102" s="297" t="s">
        <v>76</v>
      </c>
      <c r="G102" s="298">
        <v>100</v>
      </c>
      <c r="H102" s="231">
        <f>IF(OR(J102="",K102="",K102&lt;J102),0,NETWORKDAYS(J102,K102,fESTIVOS!$A$2:$A$53))</f>
        <v>1</v>
      </c>
      <c r="I102" s="318">
        <v>45979</v>
      </c>
      <c r="J102" s="319">
        <v>45979</v>
      </c>
      <c r="K102" s="319">
        <v>45979</v>
      </c>
      <c r="L102" s="319">
        <v>45979</v>
      </c>
      <c r="M102" s="39">
        <f ca="1">IF(OR(J102="",AND(L102="",TODAY()&lt;J102),AND(L102&lt;&gt;"",L102&lt;J102)),0,
   IF(L102="",
      NETWORKDAYS(J102,TODAY(),fESTIVOS!$A$2:$A$53),
      NETWORKDAYS(J102,L102,fESTIVOS!$A$2:$A$53)
   )
)</f>
        <v>1</v>
      </c>
      <c r="N102" s="275"/>
      <c r="O102" s="275"/>
      <c r="P102" s="276"/>
      <c r="Q102" s="320" t="s">
        <v>1892</v>
      </c>
      <c r="R102" s="296" t="s">
        <v>78</v>
      </c>
      <c r="S102" s="313"/>
    </row>
    <row r="103" spans="1:19" ht="29.25" customHeight="1">
      <c r="A103" s="299" t="s">
        <v>1554</v>
      </c>
      <c r="B103" s="284" t="s">
        <v>1893</v>
      </c>
      <c r="C103" s="300" t="s">
        <v>1861</v>
      </c>
      <c r="D103" s="316" t="s">
        <v>1894</v>
      </c>
      <c r="E103" s="270" t="s">
        <v>1638</v>
      </c>
      <c r="F103" s="323" t="s">
        <v>76</v>
      </c>
      <c r="G103" s="302">
        <v>100</v>
      </c>
      <c r="H103" s="231">
        <f>IF(OR(J103="",K103="",K103&lt;J103),0,NETWORKDAYS(J103,K103,fESTIVOS!$A$2:$A$53))</f>
        <v>1</v>
      </c>
      <c r="I103" s="306">
        <v>45980</v>
      </c>
      <c r="J103" s="281">
        <v>45980</v>
      </c>
      <c r="K103" s="281">
        <v>45980</v>
      </c>
      <c r="L103" s="281">
        <v>45980</v>
      </c>
      <c r="M103" s="39">
        <f ca="1">IF(OR(J103="",AND(L103="",TODAY()&lt;J103),AND(L103&lt;&gt;"",L103&lt;J103)),0,
   IF(L103="",
      NETWORKDAYS(J103,TODAY(),fESTIVOS!$A$2:$A$53),
      NETWORKDAYS(J103,L103,fESTIVOS!$A$2:$A$53)
   )
)</f>
        <v>1</v>
      </c>
      <c r="N103" s="303"/>
      <c r="O103" s="303"/>
      <c r="P103" s="304"/>
      <c r="Q103" s="282" t="s">
        <v>1895</v>
      </c>
      <c r="R103" s="278" t="s">
        <v>78</v>
      </c>
      <c r="S103" s="279"/>
    </row>
    <row r="104" spans="1:19" ht="29.25" customHeight="1">
      <c r="A104" s="299" t="s">
        <v>1554</v>
      </c>
      <c r="B104" s="284" t="s">
        <v>1896</v>
      </c>
      <c r="C104" s="300" t="s">
        <v>1861</v>
      </c>
      <c r="D104" s="316" t="s">
        <v>1897</v>
      </c>
      <c r="E104" s="270" t="s">
        <v>1638</v>
      </c>
      <c r="F104" s="323" t="s">
        <v>76</v>
      </c>
      <c r="G104" s="302">
        <v>100</v>
      </c>
      <c r="H104" s="231">
        <f>IF(OR(J104="",K104="",K104&lt;J104),0,NETWORKDAYS(J104,K104,fESTIVOS!$A$2:$A$53))</f>
        <v>1</v>
      </c>
      <c r="I104" s="306">
        <v>45981</v>
      </c>
      <c r="J104" s="281">
        <v>45981</v>
      </c>
      <c r="K104" s="281">
        <v>45981</v>
      </c>
      <c r="L104" s="281">
        <v>45981</v>
      </c>
      <c r="M104" s="39">
        <f ca="1">IF(OR(J104="",AND(L104="",TODAY()&lt;J104),AND(L104&lt;&gt;"",L104&lt;J104)),0,
   IF(L104="",
      NETWORKDAYS(J104,TODAY(),fESTIVOS!$A$2:$A$53),
      NETWORKDAYS(J104,L104,fESTIVOS!$A$2:$A$53)
   )
)</f>
        <v>1</v>
      </c>
      <c r="N104" s="303"/>
      <c r="O104" s="303"/>
      <c r="P104" s="304"/>
      <c r="Q104" s="282" t="s">
        <v>1898</v>
      </c>
      <c r="R104" s="278" t="s">
        <v>78</v>
      </c>
      <c r="S104" s="279"/>
    </row>
    <row r="105" spans="1:19" ht="29.25" customHeight="1">
      <c r="A105" s="299" t="s">
        <v>1554</v>
      </c>
      <c r="B105" s="284" t="s">
        <v>1899</v>
      </c>
      <c r="C105" s="300" t="s">
        <v>1900</v>
      </c>
      <c r="D105" s="305" t="s">
        <v>1901</v>
      </c>
      <c r="E105" s="270" t="s">
        <v>1557</v>
      </c>
      <c r="F105" s="301" t="s">
        <v>501</v>
      </c>
      <c r="G105" s="302">
        <v>80</v>
      </c>
      <c r="H105" s="231">
        <f>IF(OR(J105="",K105="",K105&lt;J105),0,NETWORKDAYS(J105,K105,fESTIVOS!$A$2:$A$53))</f>
        <v>48</v>
      </c>
      <c r="I105" s="306">
        <v>45981</v>
      </c>
      <c r="J105" s="281">
        <v>45981</v>
      </c>
      <c r="K105" s="281">
        <v>46053</v>
      </c>
      <c r="L105" s="281"/>
      <c r="M105" s="39">
        <f ca="1">IF(OR(J105="",AND(L105="",TODAY()&lt;J105),AND(L105&lt;&gt;"",L105&lt;J105)),0,
   IF(L105="",
      NETWORKDAYS(J105,TODAY(),fESTIVOS!$A$2:$A$53),
      NETWORKDAYS(J105,L105,fESTIVOS!$A$2:$A$53)
   )
)</f>
        <v>46</v>
      </c>
      <c r="N105" s="303"/>
      <c r="O105" s="303"/>
      <c r="P105" s="304"/>
      <c r="Q105" s="282" t="s">
        <v>1902</v>
      </c>
      <c r="R105" s="278" t="s">
        <v>78</v>
      </c>
      <c r="S105" s="279"/>
    </row>
    <row r="106" spans="1:19" ht="29.25" customHeight="1">
      <c r="A106" s="308" t="s">
        <v>1554</v>
      </c>
      <c r="B106" s="309" t="s">
        <v>1903</v>
      </c>
      <c r="C106" s="310" t="s">
        <v>1904</v>
      </c>
      <c r="D106" s="269" t="s">
        <v>1905</v>
      </c>
      <c r="E106" s="311" t="s">
        <v>1621</v>
      </c>
      <c r="F106" s="297" t="s">
        <v>76</v>
      </c>
      <c r="G106" s="298">
        <v>100</v>
      </c>
      <c r="H106" s="231">
        <f>IF(OR(J106="",K106="",K106&lt;J106),0,NETWORKDAYS(J106,K106,fESTIVOS!$A$2:$A$53))</f>
        <v>1</v>
      </c>
      <c r="I106" s="318">
        <v>45982</v>
      </c>
      <c r="J106" s="319">
        <v>45982</v>
      </c>
      <c r="K106" s="319">
        <v>45982</v>
      </c>
      <c r="L106" s="319">
        <v>45982</v>
      </c>
      <c r="M106" s="39">
        <f ca="1">IF(OR(J106="",AND(L106="",TODAY()&lt;J106),AND(L106&lt;&gt;"",L106&lt;J106)),0,
   IF(L106="",
      NETWORKDAYS(J106,TODAY(),fESTIVOS!$A$2:$A$53),
      NETWORKDAYS(J106,L106,fESTIVOS!$A$2:$A$53)
   )
)</f>
        <v>1</v>
      </c>
      <c r="N106" s="275"/>
      <c r="O106" s="275"/>
      <c r="P106" s="276"/>
      <c r="Q106" s="320" t="s">
        <v>1906</v>
      </c>
      <c r="R106" s="296" t="s">
        <v>78</v>
      </c>
      <c r="S106" s="313"/>
    </row>
    <row r="107" spans="1:19" ht="29.25" customHeight="1">
      <c r="A107" s="308" t="s">
        <v>1554</v>
      </c>
      <c r="B107" s="309" t="s">
        <v>1907</v>
      </c>
      <c r="C107" s="324" t="s">
        <v>1864</v>
      </c>
      <c r="D107" s="269" t="s">
        <v>1891</v>
      </c>
      <c r="E107" s="311" t="s">
        <v>1621</v>
      </c>
      <c r="F107" s="297" t="s">
        <v>76</v>
      </c>
      <c r="G107" s="298">
        <v>100</v>
      </c>
      <c r="H107" s="231">
        <f>IF(OR(J107="",K107="",K107&lt;J107),0,NETWORKDAYS(J107,K107,fESTIVOS!$A$2:$A$53))</f>
        <v>1</v>
      </c>
      <c r="I107" s="318">
        <v>45981</v>
      </c>
      <c r="J107" s="319">
        <v>45981</v>
      </c>
      <c r="K107" s="319">
        <v>45981</v>
      </c>
      <c r="L107" s="319">
        <v>45981</v>
      </c>
      <c r="M107" s="39">
        <f ca="1">IF(OR(J107="",AND(L107="",TODAY()&lt;J107),AND(L107&lt;&gt;"",L107&lt;J107)),0,
   IF(L107="",
      NETWORKDAYS(J107,TODAY(),fESTIVOS!$A$2:$A$53),
      NETWORKDAYS(J107,L107,fESTIVOS!$A$2:$A$53)
   )
)</f>
        <v>1</v>
      </c>
      <c r="N107" s="275"/>
      <c r="O107" s="275"/>
      <c r="P107" s="276"/>
      <c r="Q107" s="320" t="s">
        <v>1908</v>
      </c>
      <c r="R107" s="296" t="s">
        <v>78</v>
      </c>
      <c r="S107" s="313"/>
    </row>
    <row r="108" spans="1:19" ht="29.25" customHeight="1">
      <c r="A108" s="308" t="s">
        <v>1554</v>
      </c>
      <c r="B108" s="309" t="s">
        <v>1909</v>
      </c>
      <c r="C108" s="310" t="s">
        <v>1910</v>
      </c>
      <c r="D108" s="269" t="s">
        <v>1911</v>
      </c>
      <c r="E108" s="311" t="s">
        <v>1621</v>
      </c>
      <c r="F108" s="294" t="s">
        <v>76</v>
      </c>
      <c r="G108" s="295">
        <v>100</v>
      </c>
      <c r="H108" s="231">
        <f>IF(OR(J108="",K108="",K108&lt;J108),0,NETWORKDAYS(J108,K108,fESTIVOS!$A$2:$A$53))</f>
        <v>2</v>
      </c>
      <c r="I108" s="318">
        <v>45986</v>
      </c>
      <c r="J108" s="319">
        <v>45986</v>
      </c>
      <c r="K108" s="319">
        <v>45987</v>
      </c>
      <c r="L108" s="319">
        <v>45986</v>
      </c>
      <c r="M108" s="39">
        <f ca="1">IF(OR(J108="",AND(L108="",TODAY()&lt;J108),AND(L108&lt;&gt;"",L108&lt;J108)),0,
   IF(L108="",
      NETWORKDAYS(J108,TODAY(),fESTIVOS!$A$2:$A$53),
      NETWORKDAYS(J108,L108,fESTIVOS!$A$2:$A$53)
   )
)</f>
        <v>1</v>
      </c>
      <c r="N108" s="275"/>
      <c r="O108" s="275"/>
      <c r="P108" s="276"/>
      <c r="Q108" s="320" t="s">
        <v>1912</v>
      </c>
      <c r="R108" s="296" t="s">
        <v>78</v>
      </c>
      <c r="S108" s="313"/>
    </row>
    <row r="109" spans="1:19" ht="29.25" customHeight="1">
      <c r="A109" s="308" t="s">
        <v>1554</v>
      </c>
      <c r="B109" s="284" t="s">
        <v>1913</v>
      </c>
      <c r="C109" s="268" t="s">
        <v>1914</v>
      </c>
      <c r="D109" s="280" t="s">
        <v>1915</v>
      </c>
      <c r="E109" s="270" t="s">
        <v>1557</v>
      </c>
      <c r="F109" s="294" t="s">
        <v>76</v>
      </c>
      <c r="G109" s="295">
        <v>100</v>
      </c>
      <c r="H109" s="231">
        <f>IF(OR(J109="",K109="",K109&lt;J109),0,NETWORKDAYS(J109,K109,fESTIVOS!$A$2:$A$53))</f>
        <v>2</v>
      </c>
      <c r="I109" s="318">
        <v>45987</v>
      </c>
      <c r="J109" s="319">
        <v>45987</v>
      </c>
      <c r="K109" s="319">
        <v>45988</v>
      </c>
      <c r="L109" s="319">
        <v>45995</v>
      </c>
      <c r="M109" s="39">
        <f ca="1">IF(OR(J109="",AND(L109="",TODAY()&lt;J109),AND(L109&lt;&gt;"",L109&lt;J109)),0,
   IF(L109="",
      NETWORKDAYS(J109,TODAY(),fESTIVOS!$A$2:$A$53),
      NETWORKDAYS(J109,L109,fESTIVOS!$A$2:$A$53)
   )
)</f>
        <v>7</v>
      </c>
      <c r="N109" s="275"/>
      <c r="O109" s="275"/>
      <c r="P109" s="276"/>
      <c r="Q109" s="320" t="s">
        <v>1916</v>
      </c>
      <c r="R109" s="296" t="s">
        <v>78</v>
      </c>
      <c r="S109" s="313"/>
    </row>
    <row r="110" spans="1:19" ht="29.25" customHeight="1">
      <c r="A110" s="308" t="s">
        <v>1554</v>
      </c>
      <c r="B110" s="309" t="s">
        <v>1917</v>
      </c>
      <c r="C110" s="310" t="s">
        <v>1918</v>
      </c>
      <c r="D110" s="269" t="s">
        <v>1919</v>
      </c>
      <c r="E110" s="311" t="s">
        <v>1621</v>
      </c>
      <c r="F110" s="294" t="s">
        <v>76</v>
      </c>
      <c r="G110" s="295">
        <v>100</v>
      </c>
      <c r="H110" s="231">
        <f>IF(OR(J110="",K110="",K110&lt;J110),0,NETWORKDAYS(J110,K110,fESTIVOS!$A$2:$A$53))</f>
        <v>31</v>
      </c>
      <c r="I110" s="318">
        <v>45989</v>
      </c>
      <c r="J110" s="319">
        <v>45989</v>
      </c>
      <c r="K110" s="319">
        <v>46037</v>
      </c>
      <c r="L110" s="319">
        <v>46037</v>
      </c>
      <c r="M110" s="39">
        <f ca="1">IF(OR(J110="",AND(L110="",TODAY()&lt;J110),AND(L110&lt;&gt;"",L110&lt;J110)),0,
   IF(L110="",
      NETWORKDAYS(J110,TODAY(),fESTIVOS!$A$2:$A$53),
      NETWORKDAYS(J110,L110,fESTIVOS!$A$2:$A$53)
   )
)</f>
        <v>31</v>
      </c>
      <c r="N110" s="275"/>
      <c r="O110" s="275"/>
      <c r="P110" s="276"/>
      <c r="Q110" s="320" t="s">
        <v>1920</v>
      </c>
      <c r="R110" s="296" t="s">
        <v>78</v>
      </c>
      <c r="S110" s="313"/>
    </row>
    <row r="111" spans="1:19" ht="29.25" customHeight="1">
      <c r="A111" s="299" t="s">
        <v>1554</v>
      </c>
      <c r="B111" s="284" t="s">
        <v>1921</v>
      </c>
      <c r="C111" s="300" t="s">
        <v>1922</v>
      </c>
      <c r="D111" s="316" t="s">
        <v>1923</v>
      </c>
      <c r="E111" s="270" t="s">
        <v>1638</v>
      </c>
      <c r="F111" s="323" t="s">
        <v>76</v>
      </c>
      <c r="G111" s="302">
        <v>100</v>
      </c>
      <c r="H111" s="231">
        <f>IF(OR(J111="",K111="",K111&lt;J111),0,NETWORKDAYS(J111,K111,fESTIVOS!$A$2:$A$53))</f>
        <v>5</v>
      </c>
      <c r="I111" s="306">
        <v>45992</v>
      </c>
      <c r="J111" s="281">
        <v>45992</v>
      </c>
      <c r="K111" s="281">
        <v>45996</v>
      </c>
      <c r="L111" s="281">
        <v>45994</v>
      </c>
      <c r="M111" s="39">
        <f ca="1">IF(OR(J111="",AND(L111="",TODAY()&lt;J111),AND(L111&lt;&gt;"",L111&lt;J111)),0,
   IF(L111="",
      NETWORKDAYS(J111,TODAY(),fESTIVOS!$A$2:$A$53),
      NETWORKDAYS(J111,L111,fESTIVOS!$A$2:$A$53)
   )
)</f>
        <v>3</v>
      </c>
      <c r="N111" s="303"/>
      <c r="O111" s="303"/>
      <c r="P111" s="304"/>
      <c r="Q111" s="282" t="s">
        <v>1924</v>
      </c>
      <c r="R111" s="278" t="s">
        <v>78</v>
      </c>
      <c r="S111" s="279"/>
    </row>
    <row r="112" spans="1:19" ht="29.25" customHeight="1">
      <c r="A112" s="308" t="s">
        <v>1554</v>
      </c>
      <c r="B112" s="309" t="s">
        <v>1925</v>
      </c>
      <c r="C112" s="310" t="s">
        <v>1926</v>
      </c>
      <c r="D112" s="269" t="s">
        <v>1919</v>
      </c>
      <c r="E112" s="311" t="s">
        <v>1621</v>
      </c>
      <c r="F112" s="294" t="s">
        <v>76</v>
      </c>
      <c r="G112" s="295">
        <v>100</v>
      </c>
      <c r="H112" s="231">
        <f>IF(OR(J112="",K112="",K112&lt;J112),0,NETWORKDAYS(J112,K112,fESTIVOS!$A$2:$A$53))</f>
        <v>1</v>
      </c>
      <c r="I112" s="318">
        <v>45994</v>
      </c>
      <c r="J112" s="319">
        <v>45994</v>
      </c>
      <c r="K112" s="319">
        <v>45994</v>
      </c>
      <c r="L112" s="319">
        <v>45994</v>
      </c>
      <c r="M112" s="39">
        <f ca="1">IF(OR(J112="",AND(L112="",TODAY()&lt;J112),AND(L112&lt;&gt;"",L112&lt;J112)),0,
   IF(L112="",
      NETWORKDAYS(J112,TODAY(),fESTIVOS!$A$2:$A$53),
      NETWORKDAYS(J112,L112,fESTIVOS!$A$2:$A$53)
   )
)</f>
        <v>1</v>
      </c>
      <c r="N112" s="275"/>
      <c r="O112" s="275"/>
      <c r="P112" s="276"/>
      <c r="Q112" s="320" t="s">
        <v>1927</v>
      </c>
      <c r="R112" s="296" t="s">
        <v>78</v>
      </c>
      <c r="S112" s="313"/>
    </row>
    <row r="113" spans="1:19" ht="29.25" customHeight="1">
      <c r="A113" s="308" t="s">
        <v>1554</v>
      </c>
      <c r="B113" s="284" t="s">
        <v>1928</v>
      </c>
      <c r="C113" s="268" t="s">
        <v>1929</v>
      </c>
      <c r="D113" s="280" t="s">
        <v>1930</v>
      </c>
      <c r="E113" s="270" t="s">
        <v>1557</v>
      </c>
      <c r="F113" s="294" t="s">
        <v>76</v>
      </c>
      <c r="G113" s="295">
        <v>100</v>
      </c>
      <c r="H113" s="231">
        <f>IF(OR(J113="",K113="",K113&lt;J113),0,NETWORKDAYS(J113,K113,fESTIVOS!$A$2:$A$53))</f>
        <v>1</v>
      </c>
      <c r="I113" s="318">
        <v>45994</v>
      </c>
      <c r="J113" s="319">
        <v>45994</v>
      </c>
      <c r="K113" s="319">
        <v>45994</v>
      </c>
      <c r="L113" s="319">
        <v>45994</v>
      </c>
      <c r="M113" s="39">
        <f ca="1">IF(OR(J113="",AND(L113="",TODAY()&lt;J113),AND(L113&lt;&gt;"",L113&lt;J113)),0,
   IF(L113="",
      NETWORKDAYS(J113,TODAY(),fESTIVOS!$A$2:$A$53),
      NETWORKDAYS(J113,L113,fESTIVOS!$A$2:$A$53)
   )
)</f>
        <v>1</v>
      </c>
      <c r="N113" s="275"/>
      <c r="O113" s="275"/>
      <c r="P113" s="276"/>
      <c r="Q113" s="320" t="s">
        <v>1931</v>
      </c>
      <c r="R113" s="296" t="s">
        <v>78</v>
      </c>
      <c r="S113" s="313"/>
    </row>
    <row r="114" spans="1:19" ht="29.25" customHeight="1">
      <c r="A114" s="299" t="s">
        <v>1554</v>
      </c>
      <c r="B114" s="284" t="s">
        <v>1932</v>
      </c>
      <c r="C114" s="300" t="s">
        <v>1933</v>
      </c>
      <c r="D114" s="316" t="s">
        <v>1934</v>
      </c>
      <c r="E114" s="270" t="s">
        <v>1638</v>
      </c>
      <c r="F114" s="323" t="s">
        <v>76</v>
      </c>
      <c r="G114" s="302">
        <v>100</v>
      </c>
      <c r="H114" s="231">
        <f>IF(OR(J114="",K114="",K114&lt;J114),0,NETWORKDAYS(J114,K114,fESTIVOS!$A$2:$A$53))</f>
        <v>2</v>
      </c>
      <c r="I114" s="306">
        <v>45995</v>
      </c>
      <c r="J114" s="281">
        <v>45995</v>
      </c>
      <c r="K114" s="281">
        <v>45996</v>
      </c>
      <c r="L114" s="281">
        <v>45996</v>
      </c>
      <c r="M114" s="39">
        <f ca="1">IF(OR(J114="",AND(L114="",TODAY()&lt;J114),AND(L114&lt;&gt;"",L114&lt;J114)),0,
   IF(L114="",
      NETWORKDAYS(J114,TODAY(),fESTIVOS!$A$2:$A$53),
      NETWORKDAYS(J114,L114,fESTIVOS!$A$2:$A$53)
   )
)</f>
        <v>2</v>
      </c>
      <c r="N114" s="303"/>
      <c r="O114" s="303"/>
      <c r="P114" s="304"/>
      <c r="Q114" s="282" t="s">
        <v>1935</v>
      </c>
      <c r="R114" s="278" t="s">
        <v>78</v>
      </c>
      <c r="S114" s="279"/>
    </row>
    <row r="115" spans="1:19" ht="29.25" customHeight="1">
      <c r="A115" s="308" t="s">
        <v>1554</v>
      </c>
      <c r="B115" s="284" t="s">
        <v>1936</v>
      </c>
      <c r="C115" s="268" t="s">
        <v>1937</v>
      </c>
      <c r="D115" s="280" t="s">
        <v>1938</v>
      </c>
      <c r="E115" s="270" t="s">
        <v>1557</v>
      </c>
      <c r="F115" s="294" t="s">
        <v>76</v>
      </c>
      <c r="G115" s="295">
        <v>100</v>
      </c>
      <c r="H115" s="231">
        <f>IF(OR(J115="",K115="",K115&lt;J115),0,NETWORKDAYS(J115,K115,fESTIVOS!$A$2:$A$53))</f>
        <v>1</v>
      </c>
      <c r="I115" s="318">
        <v>45996</v>
      </c>
      <c r="J115" s="319">
        <v>45996</v>
      </c>
      <c r="K115" s="319">
        <v>45996</v>
      </c>
      <c r="L115" s="319">
        <v>45996</v>
      </c>
      <c r="M115" s="39">
        <f ca="1">IF(OR(J115="",AND(L115="",TODAY()&lt;J115),AND(L115&lt;&gt;"",L115&lt;J115)),0,
   IF(L115="",
      NETWORKDAYS(J115,TODAY(),fESTIVOS!$A$2:$A$53),
      NETWORKDAYS(J115,L115,fESTIVOS!$A$2:$A$53)
   )
)</f>
        <v>1</v>
      </c>
      <c r="N115" s="275"/>
      <c r="O115" s="275"/>
      <c r="P115" s="276"/>
      <c r="Q115" s="320" t="s">
        <v>1939</v>
      </c>
      <c r="R115" s="296" t="s">
        <v>78</v>
      </c>
      <c r="S115" s="313"/>
    </row>
    <row r="116" spans="1:19" ht="29.25" customHeight="1">
      <c r="A116" s="299" t="s">
        <v>1554</v>
      </c>
      <c r="B116" s="284" t="s">
        <v>1940</v>
      </c>
      <c r="C116" s="300" t="s">
        <v>1941</v>
      </c>
      <c r="D116" s="316" t="s">
        <v>1942</v>
      </c>
      <c r="E116" s="270" t="s">
        <v>1638</v>
      </c>
      <c r="F116" s="323" t="s">
        <v>501</v>
      </c>
      <c r="G116" s="302">
        <v>30</v>
      </c>
      <c r="H116" s="231">
        <f>IF(OR(J116="",K116="",K116&lt;J116),0,NETWORKDAYS(J116,K116,fESTIVOS!$A$2:$A$53))</f>
        <v>0</v>
      </c>
      <c r="I116" s="306">
        <v>46001</v>
      </c>
      <c r="J116" s="281">
        <v>46001</v>
      </c>
      <c r="K116" s="281"/>
      <c r="L116" s="281"/>
      <c r="M116" s="39">
        <f ca="1">IF(OR(J116="",AND(L116="",TODAY()&lt;J116),AND(L116&lt;&gt;"",L116&lt;J116)),0,
   IF(L116="",
      NETWORKDAYS(J116,TODAY(),fESTIVOS!$A$2:$A$53),
      NETWORKDAYS(J116,L116,fESTIVOS!$A$2:$A$53)
   )
)</f>
        <v>33</v>
      </c>
      <c r="N116" s="303"/>
      <c r="O116" s="303"/>
      <c r="P116" s="304"/>
      <c r="Q116" s="282" t="s">
        <v>1943</v>
      </c>
      <c r="R116" s="278" t="s">
        <v>78</v>
      </c>
      <c r="S116" s="279"/>
    </row>
    <row r="117" spans="1:19" ht="29.25" customHeight="1">
      <c r="A117" s="308" t="s">
        <v>1554</v>
      </c>
      <c r="B117" s="284" t="s">
        <v>1944</v>
      </c>
      <c r="C117" s="268" t="s">
        <v>1914</v>
      </c>
      <c r="D117" s="280" t="s">
        <v>1945</v>
      </c>
      <c r="E117" s="270" t="s">
        <v>1557</v>
      </c>
      <c r="F117" s="294" t="s">
        <v>76</v>
      </c>
      <c r="G117" s="295">
        <v>100</v>
      </c>
      <c r="H117" s="231">
        <f>IF(OR(J117="",K117="",K117&lt;J117),0,NETWORKDAYS(J117,K117,fESTIVOS!$A$2:$A$53))</f>
        <v>26</v>
      </c>
      <c r="I117" s="306">
        <v>46001</v>
      </c>
      <c r="J117" s="281">
        <v>46001</v>
      </c>
      <c r="K117" s="319">
        <v>46041</v>
      </c>
      <c r="L117" s="319">
        <v>46045</v>
      </c>
      <c r="M117" s="39">
        <f ca="1">IF(OR(J117="",AND(L117="",TODAY()&lt;J117),AND(L117&lt;&gt;"",L117&lt;J117)),0,
   IF(L117="",
      NETWORKDAYS(J117,TODAY(),fESTIVOS!$A$2:$A$53),
      NETWORKDAYS(J117,L117,fESTIVOS!$A$2:$A$53)
   )
)</f>
        <v>30</v>
      </c>
      <c r="N117" s="275"/>
      <c r="O117" s="275"/>
      <c r="P117" s="276"/>
      <c r="Q117" s="320" t="s">
        <v>1946</v>
      </c>
      <c r="R117" s="296" t="s">
        <v>78</v>
      </c>
      <c r="S117" s="313"/>
    </row>
    <row r="118" spans="1:19" ht="29.25" customHeight="1">
      <c r="A118" s="308" t="s">
        <v>1554</v>
      </c>
      <c r="B118" s="284" t="s">
        <v>1947</v>
      </c>
      <c r="C118" s="268" t="s">
        <v>1948</v>
      </c>
      <c r="D118" s="280" t="s">
        <v>1949</v>
      </c>
      <c r="E118" s="270" t="s">
        <v>1557</v>
      </c>
      <c r="F118" s="294" t="s">
        <v>76</v>
      </c>
      <c r="G118" s="295">
        <v>100</v>
      </c>
      <c r="H118" s="231">
        <f>IF(OR(J118="",K118="",K118&lt;J118),0,NETWORKDAYS(J118,K118,fESTIVOS!$A$2:$A$53))</f>
        <v>26</v>
      </c>
      <c r="I118" s="306">
        <v>46003</v>
      </c>
      <c r="J118" s="281">
        <v>46003</v>
      </c>
      <c r="K118" s="319">
        <v>46043</v>
      </c>
      <c r="L118" s="319">
        <v>46043</v>
      </c>
      <c r="M118" s="39">
        <f ca="1">IF(OR(J118="",AND(L118="",TODAY()&lt;J118),AND(L118&lt;&gt;"",L118&lt;J118)),0,
   IF(L118="",
      NETWORKDAYS(J118,TODAY(),fESTIVOS!$A$2:$A$53),
      NETWORKDAYS(J118,L118,fESTIVOS!$A$2:$A$53)
   )
)</f>
        <v>26</v>
      </c>
      <c r="N118" s="275"/>
      <c r="O118" s="275"/>
      <c r="P118" s="276"/>
      <c r="Q118" s="320" t="s">
        <v>1950</v>
      </c>
      <c r="R118" s="296" t="s">
        <v>78</v>
      </c>
      <c r="S118" s="313"/>
    </row>
    <row r="119" spans="1:19" ht="29.25" customHeight="1">
      <c r="A119" s="299" t="s">
        <v>1554</v>
      </c>
      <c r="B119" s="284" t="s">
        <v>1951</v>
      </c>
      <c r="C119" s="268" t="s">
        <v>1952</v>
      </c>
      <c r="D119" s="280" t="s">
        <v>1953</v>
      </c>
      <c r="E119" s="270" t="s">
        <v>1557</v>
      </c>
      <c r="F119" s="323" t="s">
        <v>76</v>
      </c>
      <c r="G119" s="302">
        <v>100</v>
      </c>
      <c r="H119" s="231">
        <f>IF(OR(J119="",K119="",K119&lt;J119),0,NETWORKDAYS(J119,K119,fESTIVOS!$A$2:$A$53))</f>
        <v>22</v>
      </c>
      <c r="I119" s="306">
        <v>46009</v>
      </c>
      <c r="J119" s="281">
        <v>46009</v>
      </c>
      <c r="K119" s="281">
        <v>46043</v>
      </c>
      <c r="L119" s="281">
        <v>46043</v>
      </c>
      <c r="M119" s="39">
        <f ca="1">IF(OR(J119="",AND(L119="",TODAY()&lt;J119),AND(L119&lt;&gt;"",L119&lt;J119)),0,
   IF(L119="",
      NETWORKDAYS(J119,TODAY(),fESTIVOS!$A$2:$A$53),
      NETWORKDAYS(J119,L119,fESTIVOS!$A$2:$A$53)
   )
)</f>
        <v>22</v>
      </c>
      <c r="N119" s="303"/>
      <c r="O119" s="303"/>
      <c r="P119" s="304"/>
      <c r="Q119" s="282" t="s">
        <v>1954</v>
      </c>
      <c r="R119" s="278" t="s">
        <v>78</v>
      </c>
      <c r="S119" s="279"/>
    </row>
    <row r="120" spans="1:19" ht="29.25" customHeight="1">
      <c r="A120" s="299" t="s">
        <v>1554</v>
      </c>
      <c r="B120" s="284" t="s">
        <v>1955</v>
      </c>
      <c r="C120" s="268" t="s">
        <v>1956</v>
      </c>
      <c r="D120" s="280" t="s">
        <v>1957</v>
      </c>
      <c r="E120" s="270" t="s">
        <v>1557</v>
      </c>
      <c r="F120" s="323" t="s">
        <v>76</v>
      </c>
      <c r="G120" s="302">
        <v>100</v>
      </c>
      <c r="H120" s="231">
        <f>IF(OR(J120="",K120="",K120&lt;J120),0,NETWORKDAYS(J120,K120,fESTIVOS!$A$2:$A$53))</f>
        <v>9</v>
      </c>
      <c r="I120" s="306">
        <v>46035</v>
      </c>
      <c r="J120" s="281">
        <v>46035</v>
      </c>
      <c r="K120" s="281">
        <v>46045</v>
      </c>
      <c r="L120" s="281">
        <v>46044</v>
      </c>
      <c r="M120" s="39">
        <f ca="1">IF(OR(J120="",AND(L120="",TODAY()&lt;J120),AND(L120&lt;&gt;"",L120&lt;J120)),0,
   IF(L120="",
      NETWORKDAYS(J120,TODAY(),fESTIVOS!$A$2:$A$53),
      NETWORKDAYS(J120,L120,fESTIVOS!$A$2:$A$53)
   )
)</f>
        <v>8</v>
      </c>
      <c r="N120" s="303"/>
      <c r="O120" s="303"/>
      <c r="P120" s="304"/>
      <c r="Q120" s="282" t="s">
        <v>1958</v>
      </c>
      <c r="R120" s="278" t="s">
        <v>78</v>
      </c>
      <c r="S120" s="279"/>
    </row>
    <row r="121" spans="1:19" ht="29.25" customHeight="1">
      <c r="A121" s="308" t="s">
        <v>1554</v>
      </c>
      <c r="B121" s="309" t="s">
        <v>1959</v>
      </c>
      <c r="C121" s="310" t="s">
        <v>1960</v>
      </c>
      <c r="D121" s="317" t="s">
        <v>1961</v>
      </c>
      <c r="E121" s="309" t="s">
        <v>1621</v>
      </c>
      <c r="F121" s="312" t="s">
        <v>76</v>
      </c>
      <c r="G121" s="295">
        <v>100</v>
      </c>
      <c r="H121" s="231">
        <f>IF(OR(J121="",K121="",K121&lt;J121),0,NETWORKDAYS(J121,K121,fESTIVOS!$A$2:$A$53))</f>
        <v>1</v>
      </c>
      <c r="I121" s="318">
        <v>46041</v>
      </c>
      <c r="J121" s="319">
        <v>46041</v>
      </c>
      <c r="K121" s="319">
        <v>46041</v>
      </c>
      <c r="L121" s="319">
        <v>46041</v>
      </c>
      <c r="M121" s="39">
        <f ca="1">IF(OR(J121="",AND(L121="",TODAY()&lt;J121),AND(L121&lt;&gt;"",L121&lt;J121)),0,
   IF(L121="",
      NETWORKDAYS(J121,TODAY(),fESTIVOS!$A$2:$A$53),
      NETWORKDAYS(J121,L121,fESTIVOS!$A$2:$A$53)
   )
)</f>
        <v>1</v>
      </c>
      <c r="N121" s="275"/>
      <c r="O121" s="275"/>
      <c r="P121" s="276"/>
      <c r="Q121" s="320" t="s">
        <v>1962</v>
      </c>
      <c r="R121" s="296" t="s">
        <v>78</v>
      </c>
      <c r="S121" s="313"/>
    </row>
    <row r="122" spans="1:19" ht="29.25" customHeight="1">
      <c r="A122" s="329"/>
      <c r="B122" s="330"/>
      <c r="C122" s="331"/>
      <c r="D122" s="332"/>
      <c r="E122" s="333"/>
      <c r="F122" s="334"/>
      <c r="G122" s="335"/>
      <c r="H122" s="231">
        <f>IF(OR(J122="",K122="",K122&lt;J122),0,NETWORKDAYS(J122,K122,fESTIVOS!$A$2:$A$53))</f>
        <v>0</v>
      </c>
      <c r="I122" s="336"/>
      <c r="J122" s="337"/>
      <c r="K122" s="337"/>
      <c r="L122" s="337"/>
      <c r="M122" s="39">
        <f ca="1">IF(OR(J122="",AND(L122="",TODAY()&lt;J122),AND(L122&lt;&gt;"",L122&lt;J122)),0,
   IF(L122="",
      NETWORKDAYS(J122,TODAY(),fESTIVOS!$A$2:$A$53),
      NETWORKDAYS(J122,L122,fESTIVOS!$A$2:$A$53)
   )
)</f>
        <v>0</v>
      </c>
      <c r="N122" s="336"/>
      <c r="O122" s="336"/>
      <c r="P122" s="178"/>
      <c r="Q122" s="338"/>
      <c r="R122" s="339"/>
      <c r="S122" s="105"/>
    </row>
    <row r="123" spans="1:19" ht="29.25" customHeight="1">
      <c r="A123" s="329"/>
      <c r="B123" s="330"/>
      <c r="C123" s="331"/>
      <c r="D123" s="332"/>
      <c r="E123" s="333"/>
      <c r="F123" s="334"/>
      <c r="G123" s="335"/>
      <c r="H123" s="231">
        <f>IF(OR(J123="",K123="",K123&lt;J123),0,NETWORKDAYS(J123,K123,fESTIVOS!$A$2:$A$53))</f>
        <v>0</v>
      </c>
      <c r="I123" s="336"/>
      <c r="J123" s="337"/>
      <c r="K123" s="337"/>
      <c r="L123" s="337"/>
      <c r="M123" s="39">
        <f ca="1">IF(OR(J123="",AND(L123="",TODAY()&lt;J123),AND(L123&lt;&gt;"",L123&lt;J123)),0,
   IF(L123="",
      NETWORKDAYS(J123,TODAY(),fESTIVOS!$A$2:$A$53),
      NETWORKDAYS(J123,L123,fESTIVOS!$A$2:$A$53)
   )
)</f>
        <v>0</v>
      </c>
      <c r="N123" s="336"/>
      <c r="O123" s="336"/>
      <c r="P123" s="178"/>
      <c r="Q123" s="105"/>
      <c r="R123" s="339"/>
      <c r="S123" s="105"/>
    </row>
    <row r="124" spans="1:19" ht="29.25" customHeight="1">
      <c r="A124" s="329"/>
      <c r="B124" s="330"/>
      <c r="C124" s="331"/>
      <c r="D124" s="332"/>
      <c r="E124" s="333"/>
      <c r="F124" s="334"/>
      <c r="G124" s="335"/>
      <c r="H124" s="231">
        <f>IF(OR(J124="",K124="",K124&lt;J124),0,NETWORKDAYS(J124,K124,fESTIVOS!$A$2:$A$53))</f>
        <v>0</v>
      </c>
      <c r="I124" s="336"/>
      <c r="J124" s="337"/>
      <c r="K124" s="337"/>
      <c r="L124" s="337"/>
      <c r="M124" s="39">
        <f ca="1">IF(OR(J124="",AND(L124="",TODAY()&lt;J124),AND(L124&lt;&gt;"",L124&lt;J124)),0,
   IF(L124="",
      NETWORKDAYS(J124,TODAY(),fESTIVOS!$A$2:$A$53),
      NETWORKDAYS(J124,L124,fESTIVOS!$A$2:$A$53)
   )
)</f>
        <v>0</v>
      </c>
      <c r="N124" s="336"/>
      <c r="O124" s="336"/>
      <c r="P124" s="178"/>
      <c r="Q124" s="105"/>
      <c r="R124" s="339"/>
      <c r="S124" s="105"/>
    </row>
    <row r="125" spans="1:19" ht="29.25" customHeight="1">
      <c r="A125" s="329"/>
      <c r="B125" s="330"/>
      <c r="C125" s="331"/>
      <c r="D125" s="332"/>
      <c r="E125" s="333"/>
      <c r="F125" s="334"/>
      <c r="G125" s="335"/>
      <c r="H125" s="231">
        <f>IF(OR(J125="",K125="",K125&lt;J125),0,NETWORKDAYS(J125,K125,fESTIVOS!$A$2:$A$53))</f>
        <v>0</v>
      </c>
      <c r="I125" s="336"/>
      <c r="J125" s="337"/>
      <c r="K125" s="337"/>
      <c r="L125" s="337"/>
      <c r="M125" s="39">
        <f ca="1">IF(OR(J125="",AND(L125="",TODAY()&lt;J125),AND(L125&lt;&gt;"",L125&lt;J125)),0,
   IF(L125="",
      NETWORKDAYS(J125,TODAY(),fESTIVOS!$A$2:$A$53),
      NETWORKDAYS(J125,L125,fESTIVOS!$A$2:$A$53)
   )
)</f>
        <v>0</v>
      </c>
      <c r="N125" s="336"/>
      <c r="O125" s="336"/>
      <c r="P125" s="178"/>
      <c r="Q125" s="105"/>
      <c r="R125" s="339"/>
      <c r="S125" s="105"/>
    </row>
    <row r="126" spans="1:19" ht="29.25" customHeight="1">
      <c r="A126" s="329"/>
      <c r="B126" s="330"/>
      <c r="C126" s="331"/>
      <c r="D126" s="332"/>
      <c r="E126" s="333"/>
      <c r="F126" s="334"/>
      <c r="G126" s="335"/>
      <c r="H126" s="231">
        <f>IF(OR(J126="",K126="",K126&lt;J126),0,NETWORKDAYS(J126,K126,fESTIVOS!$A$2:$A$53))</f>
        <v>0</v>
      </c>
      <c r="I126" s="336"/>
      <c r="J126" s="337"/>
      <c r="K126" s="337"/>
      <c r="L126" s="337"/>
      <c r="M126" s="39">
        <f ca="1">IF(OR(J126="",AND(L126="",TODAY()&lt;J126),AND(L126&lt;&gt;"",L126&lt;J126)),0,
   IF(L126="",
      NETWORKDAYS(J126,TODAY(),fESTIVOS!$A$2:$A$53),
      NETWORKDAYS(J126,L126,fESTIVOS!$A$2:$A$53)
   )
)</f>
        <v>0</v>
      </c>
      <c r="N126" s="336"/>
      <c r="O126" s="336"/>
      <c r="P126" s="178"/>
      <c r="Q126" s="105"/>
      <c r="R126" s="339"/>
      <c r="S126" s="105"/>
    </row>
    <row r="127" spans="1:19" ht="29.25" customHeight="1">
      <c r="A127" s="329"/>
      <c r="B127" s="330"/>
      <c r="C127" s="331"/>
      <c r="D127" s="332"/>
      <c r="E127" s="333"/>
      <c r="F127" s="334"/>
      <c r="G127" s="335"/>
      <c r="H127" s="231">
        <f>IF(OR(J127="",K127="",K127&lt;J127),0,NETWORKDAYS(J127,K127,fESTIVOS!$A$2:$A$53))</f>
        <v>0</v>
      </c>
      <c r="I127" s="336"/>
      <c r="J127" s="337"/>
      <c r="K127" s="337"/>
      <c r="L127" s="337"/>
      <c r="M127" s="39">
        <f ca="1">IF(OR(J127="",AND(L127="",TODAY()&lt;J127),AND(L127&lt;&gt;"",L127&lt;J127)),0,
   IF(L127="",
      NETWORKDAYS(J127,TODAY(),fESTIVOS!$A$2:$A$53),
      NETWORKDAYS(J127,L127,fESTIVOS!$A$2:$A$53)
   )
)</f>
        <v>0</v>
      </c>
      <c r="N127" s="336"/>
      <c r="O127" s="336"/>
      <c r="P127" s="178"/>
      <c r="Q127" s="105"/>
      <c r="R127" s="339"/>
      <c r="S127" s="105"/>
    </row>
    <row r="128" spans="1:19" ht="29.25" customHeight="1">
      <c r="A128" s="329"/>
      <c r="B128" s="330"/>
      <c r="C128" s="331"/>
      <c r="D128" s="332"/>
      <c r="E128" s="333"/>
      <c r="F128" s="334"/>
      <c r="G128" s="335"/>
      <c r="H128" s="231">
        <f>IF(OR(J128="",K128="",K128&lt;J128),0,NETWORKDAYS(J128,K128,fESTIVOS!$A$2:$A$53))</f>
        <v>0</v>
      </c>
      <c r="I128" s="336"/>
      <c r="J128" s="337"/>
      <c r="K128" s="337"/>
      <c r="L128" s="337"/>
      <c r="M128" s="39">
        <f ca="1">IF(OR(J128="",AND(L128="",TODAY()&lt;J128),AND(L128&lt;&gt;"",L128&lt;J128)),0,
   IF(L128="",
      NETWORKDAYS(J128,TODAY(),fESTIVOS!$A$2:$A$53),
      NETWORKDAYS(J128,L128,fESTIVOS!$A$2:$A$53)
   )
)</f>
        <v>0</v>
      </c>
      <c r="N128" s="336"/>
      <c r="O128" s="336"/>
      <c r="P128" s="178"/>
      <c r="Q128" s="105"/>
      <c r="R128" s="339"/>
      <c r="S128" s="105"/>
    </row>
    <row r="129" spans="1:19" ht="29.25" customHeight="1">
      <c r="A129" s="329"/>
      <c r="B129" s="330"/>
      <c r="C129" s="331"/>
      <c r="D129" s="332"/>
      <c r="E129" s="333"/>
      <c r="F129" s="334"/>
      <c r="G129" s="335"/>
      <c r="H129" s="231">
        <f>IF(OR(J129="",K129="",K129&lt;J129),0,NETWORKDAYS(J129,K129,fESTIVOS!$A$2:$A$53))</f>
        <v>0</v>
      </c>
      <c r="I129" s="336"/>
      <c r="J129" s="337"/>
      <c r="K129" s="337"/>
      <c r="L129" s="337"/>
      <c r="M129" s="39">
        <f ca="1">IF(OR(J129="",AND(L129="",TODAY()&lt;J129),AND(L129&lt;&gt;"",L129&lt;J129)),0,
   IF(L129="",
      NETWORKDAYS(J129,TODAY(),fESTIVOS!$A$2:$A$53),
      NETWORKDAYS(J129,L129,fESTIVOS!$A$2:$A$53)
   )
)</f>
        <v>0</v>
      </c>
      <c r="N129" s="336"/>
      <c r="O129" s="336"/>
      <c r="P129" s="178"/>
      <c r="Q129" s="105"/>
      <c r="R129" s="339"/>
      <c r="S129" s="105"/>
    </row>
    <row r="130" spans="1:19" ht="29.25" customHeight="1">
      <c r="A130" s="329"/>
      <c r="B130" s="330"/>
      <c r="C130" s="331"/>
      <c r="D130" s="332"/>
      <c r="E130" s="333"/>
      <c r="F130" s="334"/>
      <c r="G130" s="335"/>
      <c r="H130" s="231">
        <f>IF(OR(J130="",K130="",K130&lt;J130),0,NETWORKDAYS(J130,K130,fESTIVOS!$A$2:$A$53))</f>
        <v>0</v>
      </c>
      <c r="I130" s="336"/>
      <c r="J130" s="337"/>
      <c r="K130" s="337"/>
      <c r="L130" s="337"/>
      <c r="M130" s="39">
        <f ca="1">IF(OR(J130="",AND(L130="",TODAY()&lt;J130),AND(L130&lt;&gt;"",L130&lt;J130)),0,
   IF(L130="",
      NETWORKDAYS(J130,TODAY(),fESTIVOS!$A$2:$A$53),
      NETWORKDAYS(J130,L130,fESTIVOS!$A$2:$A$53)
   )
)</f>
        <v>0</v>
      </c>
      <c r="N130" s="336"/>
      <c r="O130" s="336"/>
      <c r="P130" s="178"/>
      <c r="Q130" s="105"/>
      <c r="R130" s="339"/>
      <c r="S130" s="105"/>
    </row>
    <row r="131" spans="1:19" ht="29.25" customHeight="1">
      <c r="A131" s="329"/>
      <c r="B131" s="330"/>
      <c r="C131" s="331"/>
      <c r="D131" s="332"/>
      <c r="E131" s="333"/>
      <c r="F131" s="334"/>
      <c r="G131" s="335"/>
      <c r="H131" s="231">
        <f>IF(OR(J131="",K131="",K131&lt;J131),0,NETWORKDAYS(J131,K131,fESTIVOS!$A$2:$A$53))</f>
        <v>0</v>
      </c>
      <c r="I131" s="336"/>
      <c r="J131" s="337"/>
      <c r="K131" s="337"/>
      <c r="L131" s="337"/>
      <c r="M131" s="39">
        <f ca="1">IF(OR(J131="",AND(L131="",TODAY()&lt;J131),AND(L131&lt;&gt;"",L131&lt;J131)),0,
   IF(L131="",
      NETWORKDAYS(J131,TODAY(),fESTIVOS!$A$2:$A$53),
      NETWORKDAYS(J131,L131,fESTIVOS!$A$2:$A$53)
   )
)</f>
        <v>0</v>
      </c>
      <c r="N131" s="336"/>
      <c r="O131" s="336"/>
      <c r="P131" s="178"/>
      <c r="Q131" s="105"/>
      <c r="R131" s="339"/>
      <c r="S131" s="105"/>
    </row>
    <row r="132" spans="1:19" ht="29.25" customHeight="1">
      <c r="A132" s="329"/>
      <c r="B132" s="330"/>
      <c r="C132" s="331"/>
      <c r="D132" s="332"/>
      <c r="E132" s="333"/>
      <c r="F132" s="334"/>
      <c r="G132" s="335"/>
      <c r="H132" s="231">
        <f>IF(OR(J132="",K132="",K132&lt;J132),0,NETWORKDAYS(J132,K132,fESTIVOS!$A$2:$A$53))</f>
        <v>0</v>
      </c>
      <c r="I132" s="336"/>
      <c r="J132" s="337"/>
      <c r="K132" s="337"/>
      <c r="L132" s="337"/>
      <c r="M132" s="39">
        <f ca="1">IF(OR(J132="",AND(L132="",TODAY()&lt;J132),AND(L132&lt;&gt;"",L132&lt;J132)),0,
   IF(L132="",
      NETWORKDAYS(J132,TODAY(),fESTIVOS!$A$2:$A$53),
      NETWORKDAYS(J132,L132,fESTIVOS!$A$2:$A$53)
   )
)</f>
        <v>0</v>
      </c>
      <c r="N132" s="336"/>
      <c r="O132" s="336"/>
      <c r="P132" s="178"/>
      <c r="Q132" s="105"/>
      <c r="R132" s="339"/>
      <c r="S132" s="105"/>
    </row>
    <row r="133" spans="1:19" ht="29.25" customHeight="1">
      <c r="A133" s="329"/>
      <c r="B133" s="330"/>
      <c r="C133" s="331"/>
      <c r="D133" s="332"/>
      <c r="E133" s="333"/>
      <c r="F133" s="334"/>
      <c r="G133" s="335"/>
      <c r="H133" s="231">
        <f>IF(OR(J133="",K133="",K133&lt;J133),0,NETWORKDAYS(J133,K133,fESTIVOS!$A$2:$A$53))</f>
        <v>0</v>
      </c>
      <c r="I133" s="336"/>
      <c r="J133" s="337"/>
      <c r="K133" s="337"/>
      <c r="L133" s="337"/>
      <c r="M133" s="39">
        <f ca="1">IF(OR(J133="",AND(L133="",TODAY()&lt;J133),AND(L133&lt;&gt;"",L133&lt;J133)),0,
   IF(L133="",
      NETWORKDAYS(J133,TODAY(),fESTIVOS!$A$2:$A$53),
      NETWORKDAYS(J133,L133,fESTIVOS!$A$2:$A$53)
   )
)</f>
        <v>0</v>
      </c>
      <c r="N133" s="336"/>
      <c r="O133" s="336"/>
      <c r="P133" s="178"/>
      <c r="Q133" s="105"/>
      <c r="R133" s="339"/>
      <c r="S133" s="105"/>
    </row>
    <row r="134" spans="1:19" ht="29.25" customHeight="1">
      <c r="A134" s="216"/>
      <c r="B134" s="340"/>
      <c r="C134" s="341"/>
      <c r="D134" s="342"/>
      <c r="E134" s="333"/>
      <c r="F134" s="162"/>
      <c r="G134" s="218"/>
      <c r="H134" s="231">
        <f>IF(OR(J134="",K134="",K134&lt;J134),0,NETWORKDAYS(J134,K134,fESTIVOS!$A$2:$A$53))</f>
        <v>0</v>
      </c>
      <c r="I134" s="176"/>
      <c r="J134" s="177"/>
      <c r="K134" s="177"/>
      <c r="L134" s="177"/>
      <c r="M134" s="39">
        <f ca="1">IF(OR(J134="",AND(L134="",TODAY()&lt;J134),AND(L134&lt;&gt;"",L134&lt;J134)),0,
   IF(L134="",
      NETWORKDAYS(J134,TODAY(),fESTIVOS!$A$2:$A$53),
      NETWORKDAYS(J134,L134,fESTIVOS!$A$2:$A$53)
   )
)</f>
        <v>0</v>
      </c>
      <c r="N134" s="176"/>
      <c r="O134" s="176"/>
      <c r="P134" s="178"/>
      <c r="Q134" s="105"/>
      <c r="R134" s="339"/>
      <c r="S134" s="105"/>
    </row>
    <row r="135" spans="1:19" ht="29.25" customHeight="1">
      <c r="A135" s="216"/>
      <c r="B135" s="340"/>
      <c r="C135" s="341"/>
      <c r="D135" s="342"/>
      <c r="E135" s="343"/>
      <c r="F135" s="162"/>
      <c r="G135" s="218"/>
      <c r="H135" s="231">
        <f>IF(OR(J135="",K135="",K135&lt;J135),0,NETWORKDAYS(J135,K135,fESTIVOS!$A$2:$A$53))</f>
        <v>0</v>
      </c>
      <c r="I135" s="176"/>
      <c r="J135" s="177"/>
      <c r="K135" s="177"/>
      <c r="L135" s="177"/>
      <c r="M135" s="39">
        <f ca="1">IF(OR(J135="",AND(L135="",TODAY()&lt;J135),AND(L135&lt;&gt;"",L135&lt;J135)),0,
   IF(L135="",
      NETWORKDAYS(J135,TODAY(),fESTIVOS!$A$2:$A$53),
      NETWORKDAYS(J135,L135,fESTIVOS!$A$2:$A$53)
   )
)</f>
        <v>0</v>
      </c>
      <c r="N135" s="176"/>
      <c r="O135" s="176"/>
      <c r="P135" s="178"/>
      <c r="Q135" s="105"/>
      <c r="R135" s="344"/>
      <c r="S135" s="105"/>
    </row>
    <row r="136" spans="1:19" ht="29.25" customHeight="1">
      <c r="A136" s="216"/>
      <c r="B136" s="340"/>
      <c r="C136" s="341"/>
      <c r="D136" s="342"/>
      <c r="E136" s="333"/>
      <c r="F136" s="162"/>
      <c r="G136" s="218"/>
      <c r="H136" s="231">
        <f>IF(OR(J136="",K136="",K136&lt;J136),0,NETWORKDAYS(J136,K136,fESTIVOS!$A$2:$A$53))</f>
        <v>0</v>
      </c>
      <c r="I136" s="176"/>
      <c r="J136" s="177"/>
      <c r="K136" s="177"/>
      <c r="L136" s="177"/>
      <c r="M136" s="39">
        <f ca="1">IF(OR(J136="",AND(L136="",TODAY()&lt;J136),AND(L136&lt;&gt;"",L136&lt;J136)),0,
   IF(L136="",
      NETWORKDAYS(J136,TODAY(),fESTIVOS!$A$2:$A$53),
      NETWORKDAYS(J136,L136,fESTIVOS!$A$2:$A$53)
   )
)</f>
        <v>0</v>
      </c>
      <c r="N136" s="176"/>
      <c r="O136" s="176"/>
      <c r="P136" s="178"/>
      <c r="Q136" s="105"/>
      <c r="R136" s="339"/>
      <c r="S136" s="105"/>
    </row>
    <row r="137" spans="1:19" ht="29.25" customHeight="1">
      <c r="A137" s="216"/>
      <c r="B137" s="340"/>
      <c r="C137" s="341"/>
      <c r="D137" s="342"/>
      <c r="E137" s="343"/>
      <c r="F137" s="162"/>
      <c r="G137" s="218"/>
      <c r="H137" s="231">
        <f>IF(OR(J137="",K137="",K137&lt;J137),0,NETWORKDAYS(J137,K137,fESTIVOS!$A$2:$A$53))</f>
        <v>0</v>
      </c>
      <c r="I137" s="176"/>
      <c r="J137" s="177"/>
      <c r="K137" s="177"/>
      <c r="L137" s="177"/>
      <c r="M137" s="39">
        <f ca="1">IF(OR(J137="",AND(L137="",TODAY()&lt;J137),AND(L137&lt;&gt;"",L137&lt;J137)),0,
   IF(L137="",
      NETWORKDAYS(J137,TODAY(),fESTIVOS!$A$2:$A$53),
      NETWORKDAYS(J137,L137,fESTIVOS!$A$2:$A$53)
   )
)</f>
        <v>0</v>
      </c>
      <c r="N137" s="176"/>
      <c r="O137" s="176"/>
      <c r="P137" s="178"/>
      <c r="Q137" s="105"/>
      <c r="R137" s="344"/>
      <c r="S137" s="105"/>
    </row>
    <row r="138" spans="1:19" ht="29.25" customHeight="1">
      <c r="A138" s="216"/>
      <c r="B138" s="340"/>
      <c r="C138" s="341"/>
      <c r="D138" s="342"/>
      <c r="E138" s="333"/>
      <c r="F138" s="162"/>
      <c r="G138" s="218"/>
      <c r="H138" s="231">
        <f>IF(OR(J138="",K138="",K138&lt;J138),0,NETWORKDAYS(J138,K138,fESTIVOS!$A$2:$A$53))</f>
        <v>0</v>
      </c>
      <c r="I138" s="176"/>
      <c r="J138" s="177"/>
      <c r="K138" s="177"/>
      <c r="L138" s="177"/>
      <c r="M138" s="39">
        <f ca="1">IF(OR(J138="",AND(L138="",TODAY()&lt;J138),AND(L138&lt;&gt;"",L138&lt;J138)),0,
   IF(L138="",
      NETWORKDAYS(J138,TODAY(),fESTIVOS!$A$2:$A$53),
      NETWORKDAYS(J138,L138,fESTIVOS!$A$2:$A$53)
   )
)</f>
        <v>0</v>
      </c>
      <c r="N138" s="176"/>
      <c r="O138" s="176"/>
      <c r="P138" s="178"/>
      <c r="Q138" s="105"/>
      <c r="R138" s="339"/>
      <c r="S138" s="105"/>
    </row>
    <row r="139" spans="1:19" ht="29.25" customHeight="1">
      <c r="A139" s="216"/>
      <c r="B139" s="340"/>
      <c r="C139" s="341"/>
      <c r="D139" s="342"/>
      <c r="E139" s="343"/>
      <c r="F139" s="162"/>
      <c r="G139" s="218"/>
      <c r="H139" s="231">
        <f>IF(OR(J139="",K139="",K139&lt;J139),0,NETWORKDAYS(J139,K139,fESTIVOS!$A$2:$A$53))</f>
        <v>0</v>
      </c>
      <c r="I139" s="176"/>
      <c r="J139" s="177"/>
      <c r="K139" s="177"/>
      <c r="L139" s="177"/>
      <c r="M139" s="39">
        <f ca="1">IF(OR(J139="",AND(L139="",TODAY()&lt;J139),AND(L139&lt;&gt;"",L139&lt;J139)),0,
   IF(L139="",
      NETWORKDAYS(J139,TODAY(),fESTIVOS!$A$2:$A$53),
      NETWORKDAYS(J139,L139,fESTIVOS!$A$2:$A$53)
   )
)</f>
        <v>0</v>
      </c>
      <c r="N139" s="176"/>
      <c r="O139" s="176"/>
      <c r="P139" s="178"/>
      <c r="Q139" s="105"/>
      <c r="R139" s="344"/>
      <c r="S139" s="105"/>
    </row>
    <row r="140" spans="1:19" ht="29.25" customHeight="1">
      <c r="A140" s="216"/>
      <c r="B140" s="340"/>
      <c r="C140" s="341"/>
      <c r="D140" s="342"/>
      <c r="E140" s="333"/>
      <c r="F140" s="162"/>
      <c r="G140" s="218"/>
      <c r="H140" s="231">
        <f>IF(OR(J140="",K140="",K140&lt;J140),0,NETWORKDAYS(J140,K140,fESTIVOS!$A$2:$A$53))</f>
        <v>0</v>
      </c>
      <c r="I140" s="176"/>
      <c r="J140" s="177"/>
      <c r="K140" s="177"/>
      <c r="L140" s="177"/>
      <c r="M140" s="39">
        <f ca="1">IF(OR(J140="",AND(L140="",TODAY()&lt;J140),AND(L140&lt;&gt;"",L140&lt;J140)),0,
   IF(L140="",
      NETWORKDAYS(J140,TODAY(),fESTIVOS!$A$2:$A$53),
      NETWORKDAYS(J140,L140,fESTIVOS!$A$2:$A$53)
   )
)</f>
        <v>0</v>
      </c>
      <c r="N140" s="176"/>
      <c r="O140" s="176"/>
      <c r="P140" s="178"/>
      <c r="Q140" s="105"/>
      <c r="R140" s="339"/>
      <c r="S140" s="105"/>
    </row>
    <row r="141" spans="1:19" ht="29.25" customHeight="1">
      <c r="A141" s="216"/>
      <c r="B141" s="340"/>
      <c r="C141" s="341"/>
      <c r="D141" s="342"/>
      <c r="E141" s="343"/>
      <c r="F141" s="162"/>
      <c r="G141" s="218"/>
      <c r="H141" s="231">
        <f>IF(OR(J141="",K141="",K141&lt;J141),0,NETWORKDAYS(J141,K141,fESTIVOS!$A$2:$A$53))</f>
        <v>0</v>
      </c>
      <c r="I141" s="176"/>
      <c r="J141" s="177"/>
      <c r="K141" s="177"/>
      <c r="L141" s="177"/>
      <c r="M141" s="39">
        <f ca="1">IF(OR(J141="",AND(L141="",TODAY()&lt;J141),AND(L141&lt;&gt;"",L141&lt;J141)),0,
   IF(L141="",
      NETWORKDAYS(J141,TODAY(),fESTIVOS!$A$2:$A$53),
      NETWORKDAYS(J141,L141,fESTIVOS!$A$2:$A$53)
   )
)</f>
        <v>0</v>
      </c>
      <c r="N141" s="176"/>
      <c r="O141" s="176"/>
      <c r="P141" s="178"/>
      <c r="Q141" s="105"/>
      <c r="R141" s="344"/>
      <c r="S141" s="105"/>
    </row>
    <row r="142" spans="1:19" ht="29.25" customHeight="1">
      <c r="A142" s="216"/>
      <c r="B142" s="340"/>
      <c r="C142" s="341"/>
      <c r="D142" s="342"/>
      <c r="E142" s="333"/>
      <c r="F142" s="162"/>
      <c r="G142" s="218"/>
      <c r="H142" s="231">
        <f>IF(OR(J142="",K142="",K142&lt;J142),0,NETWORKDAYS(J142,K142,fESTIVOS!$A$2:$A$53))</f>
        <v>0</v>
      </c>
      <c r="I142" s="176"/>
      <c r="J142" s="177"/>
      <c r="K142" s="177"/>
      <c r="L142" s="177"/>
      <c r="M142" s="39">
        <f ca="1">IF(OR(J142="",AND(L142="",TODAY()&lt;J142),AND(L142&lt;&gt;"",L142&lt;J142)),0,
   IF(L142="",
      NETWORKDAYS(J142,TODAY(),fESTIVOS!$A$2:$A$53),
      NETWORKDAYS(J142,L142,fESTIVOS!$A$2:$A$53)
   )
)</f>
        <v>0</v>
      </c>
      <c r="N142" s="176"/>
      <c r="O142" s="176"/>
      <c r="P142" s="178"/>
      <c r="Q142" s="105"/>
      <c r="R142" s="339"/>
      <c r="S142" s="105"/>
    </row>
    <row r="143" spans="1:19" ht="29.25" customHeight="1">
      <c r="A143" s="216"/>
      <c r="B143" s="340"/>
      <c r="C143" s="341"/>
      <c r="D143" s="342"/>
      <c r="E143" s="343"/>
      <c r="F143" s="162"/>
      <c r="G143" s="218"/>
      <c r="H143" s="231">
        <f>IF(OR(J143="",K143="",K143&lt;J143),0,NETWORKDAYS(J143,K143,fESTIVOS!$A$2:$A$53))</f>
        <v>0</v>
      </c>
      <c r="I143" s="176"/>
      <c r="J143" s="177"/>
      <c r="K143" s="177"/>
      <c r="L143" s="177"/>
      <c r="M143" s="39">
        <f ca="1">IF(OR(J143="",AND(L143="",TODAY()&lt;J143),AND(L143&lt;&gt;"",L143&lt;J143)),0,
   IF(L143="",
      NETWORKDAYS(J143,TODAY(),fESTIVOS!$A$2:$A$53),
      NETWORKDAYS(J143,L143,fESTIVOS!$A$2:$A$53)
   )
)</f>
        <v>0</v>
      </c>
      <c r="N143" s="176"/>
      <c r="O143" s="176"/>
      <c r="P143" s="178"/>
      <c r="Q143" s="105"/>
      <c r="R143" s="344"/>
      <c r="S143" s="105"/>
    </row>
    <row r="144" spans="1:19" ht="29.25" customHeight="1">
      <c r="A144" s="216"/>
      <c r="B144" s="340"/>
      <c r="C144" s="341"/>
      <c r="D144" s="342"/>
      <c r="E144" s="333"/>
      <c r="F144" s="162"/>
      <c r="G144" s="218"/>
      <c r="H144" s="231">
        <f>IF(OR(J144="",K144="",K144&lt;J144),0,NETWORKDAYS(J144,K144,fESTIVOS!$A$2:$A$53))</f>
        <v>0</v>
      </c>
      <c r="I144" s="176"/>
      <c r="J144" s="177"/>
      <c r="K144" s="177"/>
      <c r="L144" s="177"/>
      <c r="M144" s="39">
        <f ca="1">IF(OR(J144="",AND(L144="",TODAY()&lt;J144),AND(L144&lt;&gt;"",L144&lt;J144)),0,
   IF(L144="",
      NETWORKDAYS(J144,TODAY(),fESTIVOS!$A$2:$A$53),
      NETWORKDAYS(J144,L144,fESTIVOS!$A$2:$A$53)
   )
)</f>
        <v>0</v>
      </c>
      <c r="N144" s="176"/>
      <c r="O144" s="176"/>
      <c r="P144" s="178"/>
      <c r="Q144" s="105"/>
      <c r="R144" s="339"/>
      <c r="S144" s="105"/>
    </row>
    <row r="145" spans="1:19" ht="29.25" customHeight="1">
      <c r="A145" s="216"/>
      <c r="B145" s="340"/>
      <c r="C145" s="341"/>
      <c r="D145" s="342"/>
      <c r="E145" s="343"/>
      <c r="F145" s="162"/>
      <c r="G145" s="218"/>
      <c r="H145" s="231">
        <f>IF(OR(J145="",K145="",K145&lt;J145),0,NETWORKDAYS(J145,K145,fESTIVOS!$A$2:$A$53))</f>
        <v>0</v>
      </c>
      <c r="I145" s="176"/>
      <c r="J145" s="177"/>
      <c r="K145" s="177"/>
      <c r="L145" s="177"/>
      <c r="M145" s="39">
        <f ca="1">IF(OR(J145="",AND(L145="",TODAY()&lt;J145),AND(L145&lt;&gt;"",L145&lt;J145)),0,
   IF(L145="",
      NETWORKDAYS(J145,TODAY(),fESTIVOS!$A$2:$A$53),
      NETWORKDAYS(J145,L145,fESTIVOS!$A$2:$A$53)
   )
)</f>
        <v>0</v>
      </c>
      <c r="N145" s="176"/>
      <c r="O145" s="176"/>
      <c r="P145" s="178"/>
      <c r="Q145" s="105"/>
      <c r="R145" s="344"/>
      <c r="S145" s="105"/>
    </row>
    <row r="146" spans="1:19" ht="29.25" customHeight="1">
      <c r="A146" s="216"/>
      <c r="B146" s="340"/>
      <c r="C146" s="341"/>
      <c r="D146" s="342"/>
      <c r="E146" s="333"/>
      <c r="F146" s="162"/>
      <c r="G146" s="218"/>
      <c r="H146" s="231">
        <f>IF(OR(J146="",K146="",K146&lt;J146),0,NETWORKDAYS(J146,K146,fESTIVOS!$A$2:$A$53))</f>
        <v>0</v>
      </c>
      <c r="I146" s="176"/>
      <c r="J146" s="177"/>
      <c r="K146" s="177"/>
      <c r="L146" s="177"/>
      <c r="M146" s="39">
        <f ca="1">IF(OR(J146="",AND(L146="",TODAY()&lt;J146),AND(L146&lt;&gt;"",L146&lt;J146)),0,
   IF(L146="",
      NETWORKDAYS(J146,TODAY(),fESTIVOS!$A$2:$A$53),
      NETWORKDAYS(J146,L146,fESTIVOS!$A$2:$A$53)
   )
)</f>
        <v>0</v>
      </c>
      <c r="N146" s="176"/>
      <c r="O146" s="176"/>
      <c r="P146" s="178"/>
      <c r="Q146" s="105"/>
      <c r="R146" s="339"/>
      <c r="S146" s="105"/>
    </row>
    <row r="147" spans="1:19" ht="29.25" customHeight="1">
      <c r="A147" s="216"/>
      <c r="B147" s="340"/>
      <c r="C147" s="341"/>
      <c r="D147" s="342"/>
      <c r="E147" s="343"/>
      <c r="F147" s="162"/>
      <c r="G147" s="218"/>
      <c r="H147" s="231">
        <f>IF(OR(J147="",K147="",K147&lt;J147),0,NETWORKDAYS(J147,K147,fESTIVOS!$A$2:$A$53))</f>
        <v>0</v>
      </c>
      <c r="I147" s="176"/>
      <c r="J147" s="177"/>
      <c r="K147" s="177"/>
      <c r="L147" s="177"/>
      <c r="M147" s="39">
        <f ca="1">IF(OR(J147="",AND(L147="",TODAY()&lt;J147),AND(L147&lt;&gt;"",L147&lt;J147)),0,
   IF(L147="",
      NETWORKDAYS(J147,TODAY(),fESTIVOS!$A$2:$A$53),
      NETWORKDAYS(J147,L147,fESTIVOS!$A$2:$A$53)
   )
)</f>
        <v>0</v>
      </c>
      <c r="N147" s="176"/>
      <c r="O147" s="176"/>
      <c r="P147" s="178"/>
      <c r="Q147" s="105"/>
      <c r="R147" s="344"/>
      <c r="S147" s="105"/>
    </row>
    <row r="148" spans="1:19" ht="29.25" customHeight="1">
      <c r="A148" s="216"/>
      <c r="B148" s="340"/>
      <c r="C148" s="341"/>
      <c r="D148" s="342"/>
      <c r="E148" s="333"/>
      <c r="F148" s="162"/>
      <c r="G148" s="218"/>
      <c r="H148" s="231">
        <f>IF(OR(J148="",K148="",K148&lt;J148),0,NETWORKDAYS(J148,K148,fESTIVOS!$A$2:$A$53))</f>
        <v>0</v>
      </c>
      <c r="I148" s="176"/>
      <c r="J148" s="177"/>
      <c r="K148" s="177"/>
      <c r="L148" s="177"/>
      <c r="M148" s="39">
        <f ca="1">IF(OR(J148="",AND(L148="",TODAY()&lt;J148),AND(L148&lt;&gt;"",L148&lt;J148)),0,
   IF(L148="",
      NETWORKDAYS(J148,TODAY(),fESTIVOS!$A$2:$A$53),
      NETWORKDAYS(J148,L148,fESTIVOS!$A$2:$A$53)
   )
)</f>
        <v>0</v>
      </c>
      <c r="N148" s="176"/>
      <c r="O148" s="176"/>
      <c r="P148" s="178"/>
      <c r="Q148" s="105"/>
      <c r="R148" s="339"/>
      <c r="S148" s="105"/>
    </row>
    <row r="149" spans="1:19" ht="29.25" customHeight="1">
      <c r="A149" s="216"/>
      <c r="B149" s="340"/>
      <c r="C149" s="341"/>
      <c r="D149" s="342"/>
      <c r="E149" s="343"/>
      <c r="F149" s="162"/>
      <c r="G149" s="218"/>
      <c r="H149" s="231">
        <f>IF(OR(J149="",K149="",K149&lt;J149),0,NETWORKDAYS(J149,K149,fESTIVOS!$A$2:$A$53))</f>
        <v>0</v>
      </c>
      <c r="I149" s="176"/>
      <c r="J149" s="177"/>
      <c r="K149" s="177"/>
      <c r="L149" s="177"/>
      <c r="M149" s="39">
        <f ca="1">IF(OR(J149="",AND(L149="",TODAY()&lt;J149),AND(L149&lt;&gt;"",L149&lt;J149)),0,
   IF(L149="",
      NETWORKDAYS(J149,TODAY(),fESTIVOS!$A$2:$A$53),
      NETWORKDAYS(J149,L149,fESTIVOS!$A$2:$A$53)
   )
)</f>
        <v>0</v>
      </c>
      <c r="N149" s="176"/>
      <c r="O149" s="176"/>
      <c r="P149" s="178"/>
      <c r="Q149" s="105"/>
      <c r="R149" s="344"/>
      <c r="S149" s="105"/>
    </row>
    <row r="150" spans="1:19" ht="29.25" customHeight="1">
      <c r="A150" s="216"/>
      <c r="B150" s="340"/>
      <c r="C150" s="341"/>
      <c r="D150" s="342"/>
      <c r="E150" s="333"/>
      <c r="F150" s="162"/>
      <c r="G150" s="218"/>
      <c r="H150" s="231">
        <f>IF(OR(J150="",K150="",K150&lt;J150),0,NETWORKDAYS(J150,K150,fESTIVOS!$A$2:$A$53))</f>
        <v>0</v>
      </c>
      <c r="I150" s="176"/>
      <c r="J150" s="177"/>
      <c r="K150" s="177"/>
      <c r="L150" s="177"/>
      <c r="M150" s="39">
        <f ca="1">IF(OR(J150="",AND(L150="",TODAY()&lt;J150),AND(L150&lt;&gt;"",L150&lt;J150)),0,
   IF(L150="",
      NETWORKDAYS(J150,TODAY(),fESTIVOS!$A$2:$A$53),
      NETWORKDAYS(J150,L150,fESTIVOS!$A$2:$A$53)
   )
)</f>
        <v>0</v>
      </c>
      <c r="N150" s="176"/>
      <c r="O150" s="176"/>
      <c r="P150" s="178"/>
      <c r="Q150" s="105"/>
      <c r="R150" s="339"/>
      <c r="S150" s="105"/>
    </row>
    <row r="151" spans="1:19" ht="29.25" customHeight="1">
      <c r="A151" s="216"/>
      <c r="B151" s="340"/>
      <c r="C151" s="341"/>
      <c r="D151" s="342"/>
      <c r="E151" s="343"/>
      <c r="F151" s="162"/>
      <c r="G151" s="218"/>
      <c r="H151" s="231">
        <f>IF(OR(J151="",K151="",K151&lt;J151),0,NETWORKDAYS(J151,K151,fESTIVOS!$A$2:$A$53))</f>
        <v>0</v>
      </c>
      <c r="I151" s="176"/>
      <c r="J151" s="177"/>
      <c r="K151" s="177"/>
      <c r="L151" s="177"/>
      <c r="M151" s="39">
        <f ca="1">IF(OR(J151="",AND(L151="",TODAY()&lt;J151),AND(L151&lt;&gt;"",L151&lt;J151)),0,
   IF(L151="",
      NETWORKDAYS(J151,TODAY(),fESTIVOS!$A$2:$A$53),
      NETWORKDAYS(J151,L151,fESTIVOS!$A$2:$A$53)
   )
)</f>
        <v>0</v>
      </c>
      <c r="N151" s="176"/>
      <c r="O151" s="176"/>
      <c r="P151" s="178"/>
      <c r="Q151" s="105"/>
      <c r="R151" s="344"/>
      <c r="S151" s="105"/>
    </row>
    <row r="152" spans="1:19" ht="29.25" customHeight="1">
      <c r="A152" s="216"/>
      <c r="B152" s="340"/>
      <c r="C152" s="341"/>
      <c r="D152" s="342"/>
      <c r="E152" s="333"/>
      <c r="F152" s="162"/>
      <c r="G152" s="218"/>
      <c r="H152" s="231">
        <f>IF(OR(J152="",K152="",K152&lt;J152),0,NETWORKDAYS(J152,K152,fESTIVOS!$A$2:$A$53))</f>
        <v>0</v>
      </c>
      <c r="I152" s="176"/>
      <c r="J152" s="177"/>
      <c r="K152" s="177"/>
      <c r="L152" s="177"/>
      <c r="M152" s="39">
        <f ca="1">IF(OR(J152="",AND(L152="",TODAY()&lt;J152),AND(L152&lt;&gt;"",L152&lt;J152)),0,
   IF(L152="",
      NETWORKDAYS(J152,TODAY(),fESTIVOS!$A$2:$A$53),
      NETWORKDAYS(J152,L152,fESTIVOS!$A$2:$A$53)
   )
)</f>
        <v>0</v>
      </c>
      <c r="N152" s="176"/>
      <c r="O152" s="176"/>
      <c r="P152" s="178"/>
      <c r="Q152" s="105"/>
      <c r="R152" s="339"/>
      <c r="S152" s="105"/>
    </row>
    <row r="153" spans="1:19" ht="29.25" customHeight="1">
      <c r="A153" s="216"/>
      <c r="B153" s="340"/>
      <c r="C153" s="341"/>
      <c r="D153" s="342"/>
      <c r="E153" s="343"/>
      <c r="F153" s="162"/>
      <c r="G153" s="218"/>
      <c r="H153" s="218"/>
      <c r="I153" s="176"/>
      <c r="J153" s="177"/>
      <c r="K153" s="177"/>
      <c r="L153" s="177"/>
      <c r="M153" s="165"/>
      <c r="N153" s="176"/>
      <c r="O153" s="176"/>
      <c r="P153" s="178"/>
      <c r="Q153" s="105"/>
      <c r="R153" s="344"/>
      <c r="S153" s="105"/>
    </row>
    <row r="154" spans="1:19" ht="29.25" customHeight="1">
      <c r="A154" s="216"/>
      <c r="B154" s="340"/>
      <c r="C154" s="341"/>
      <c r="D154" s="342"/>
      <c r="E154" s="333"/>
      <c r="F154" s="162"/>
      <c r="G154" s="218"/>
      <c r="H154" s="218"/>
      <c r="I154" s="176"/>
      <c r="J154" s="177"/>
      <c r="K154" s="177"/>
      <c r="L154" s="177"/>
      <c r="M154" s="165"/>
      <c r="N154" s="176"/>
      <c r="O154" s="176"/>
      <c r="P154" s="178"/>
      <c r="Q154" s="105"/>
      <c r="R154" s="339"/>
      <c r="S154" s="105"/>
    </row>
    <row r="155" spans="1:19" ht="29.25" customHeight="1">
      <c r="A155" s="216"/>
      <c r="B155" s="340"/>
      <c r="C155" s="341"/>
      <c r="D155" s="342"/>
      <c r="E155" s="343"/>
      <c r="F155" s="162"/>
      <c r="G155" s="218"/>
      <c r="H155" s="218"/>
      <c r="I155" s="176"/>
      <c r="J155" s="177"/>
      <c r="K155" s="177"/>
      <c r="L155" s="177"/>
      <c r="M155" s="165"/>
      <c r="N155" s="176"/>
      <c r="O155" s="176"/>
      <c r="P155" s="178"/>
      <c r="Q155" s="105"/>
      <c r="R155" s="344"/>
      <c r="S155" s="105"/>
    </row>
    <row r="156" spans="1:19" ht="29.25" customHeight="1">
      <c r="A156" s="216"/>
      <c r="B156" s="340"/>
      <c r="C156" s="341"/>
      <c r="D156" s="342"/>
      <c r="E156" s="333"/>
      <c r="F156" s="162"/>
      <c r="G156" s="218"/>
      <c r="H156" s="218"/>
      <c r="I156" s="176"/>
      <c r="J156" s="177"/>
      <c r="K156" s="177"/>
      <c r="L156" s="177"/>
      <c r="M156" s="165"/>
      <c r="N156" s="176"/>
      <c r="O156" s="176"/>
      <c r="P156" s="178"/>
      <c r="Q156" s="105"/>
      <c r="R156" s="339"/>
      <c r="S156" s="105"/>
    </row>
    <row r="157" spans="1:19" ht="29.25" customHeight="1">
      <c r="A157" s="216"/>
      <c r="B157" s="340"/>
      <c r="C157" s="341"/>
      <c r="D157" s="342"/>
      <c r="E157" s="343"/>
      <c r="F157" s="162"/>
      <c r="G157" s="218"/>
      <c r="H157" s="218"/>
      <c r="I157" s="176"/>
      <c r="J157" s="177"/>
      <c r="K157" s="177"/>
      <c r="L157" s="177"/>
      <c r="M157" s="165"/>
      <c r="N157" s="176"/>
      <c r="O157" s="176"/>
      <c r="P157" s="178"/>
      <c r="Q157" s="105"/>
      <c r="R157" s="344"/>
      <c r="S157" s="105"/>
    </row>
    <row r="158" spans="1:19" ht="29.25" customHeight="1">
      <c r="A158" s="216"/>
      <c r="B158" s="340"/>
      <c r="C158" s="341"/>
      <c r="D158" s="342"/>
      <c r="E158" s="333"/>
      <c r="F158" s="162"/>
      <c r="G158" s="218"/>
      <c r="H158" s="218"/>
      <c r="I158" s="176"/>
      <c r="J158" s="177"/>
      <c r="K158" s="177"/>
      <c r="L158" s="177"/>
      <c r="M158" s="165"/>
      <c r="N158" s="176"/>
      <c r="O158" s="176"/>
      <c r="P158" s="178"/>
      <c r="Q158" s="105"/>
      <c r="R158" s="339"/>
      <c r="S158" s="105"/>
    </row>
    <row r="159" spans="1:19" ht="29.25" customHeight="1">
      <c r="A159" s="216"/>
      <c r="B159" s="340"/>
      <c r="C159" s="341"/>
      <c r="D159" s="342"/>
      <c r="E159" s="343"/>
      <c r="F159" s="162"/>
      <c r="G159" s="218"/>
      <c r="H159" s="218"/>
      <c r="I159" s="176"/>
      <c r="J159" s="177"/>
      <c r="K159" s="177"/>
      <c r="L159" s="177"/>
      <c r="M159" s="165"/>
      <c r="N159" s="176"/>
      <c r="O159" s="176"/>
      <c r="P159" s="178"/>
      <c r="Q159" s="105"/>
      <c r="R159" s="344"/>
      <c r="S159" s="105"/>
    </row>
    <row r="160" spans="1:19" ht="29.25" customHeight="1">
      <c r="A160" s="216"/>
      <c r="B160" s="340"/>
      <c r="C160" s="341"/>
      <c r="D160" s="342"/>
      <c r="E160" s="333"/>
      <c r="F160" s="162"/>
      <c r="G160" s="218"/>
      <c r="H160" s="218"/>
      <c r="I160" s="176"/>
      <c r="J160" s="177"/>
      <c r="K160" s="177"/>
      <c r="L160" s="177"/>
      <c r="M160" s="165"/>
      <c r="N160" s="176"/>
      <c r="O160" s="176"/>
      <c r="P160" s="178"/>
      <c r="Q160" s="105"/>
      <c r="R160" s="339"/>
      <c r="S160" s="105"/>
    </row>
    <row r="161" spans="1:19" ht="29.25" customHeight="1">
      <c r="A161" s="216"/>
      <c r="B161" s="340"/>
      <c r="C161" s="341"/>
      <c r="D161" s="342"/>
      <c r="E161" s="343"/>
      <c r="F161" s="162"/>
      <c r="G161" s="218"/>
      <c r="H161" s="218"/>
      <c r="I161" s="176"/>
      <c r="J161" s="177"/>
      <c r="K161" s="177"/>
      <c r="L161" s="177"/>
      <c r="M161" s="165"/>
      <c r="N161" s="176"/>
      <c r="O161" s="176"/>
      <c r="P161" s="178"/>
      <c r="Q161" s="105"/>
      <c r="R161" s="344"/>
      <c r="S161" s="105"/>
    </row>
    <row r="162" spans="1:19" ht="29.25" customHeight="1">
      <c r="A162" s="216"/>
      <c r="B162" s="340"/>
      <c r="C162" s="341"/>
      <c r="D162" s="342"/>
      <c r="E162" s="333"/>
      <c r="F162" s="162"/>
      <c r="G162" s="218"/>
      <c r="H162" s="218"/>
      <c r="I162" s="176"/>
      <c r="J162" s="177"/>
      <c r="K162" s="177"/>
      <c r="L162" s="177"/>
      <c r="M162" s="165"/>
      <c r="N162" s="176"/>
      <c r="O162" s="176"/>
      <c r="P162" s="178"/>
      <c r="Q162" s="105"/>
      <c r="R162" s="339"/>
      <c r="S162" s="105"/>
    </row>
    <row r="163" spans="1:19" ht="29.25" customHeight="1">
      <c r="A163" s="216"/>
      <c r="B163" s="340"/>
      <c r="C163" s="341"/>
      <c r="D163" s="342"/>
      <c r="E163" s="343"/>
      <c r="F163" s="162"/>
      <c r="G163" s="218"/>
      <c r="H163" s="218"/>
      <c r="I163" s="176"/>
      <c r="J163" s="177"/>
      <c r="K163" s="177"/>
      <c r="L163" s="177"/>
      <c r="M163" s="165"/>
      <c r="N163" s="176"/>
      <c r="O163" s="176"/>
      <c r="P163" s="178"/>
      <c r="Q163" s="105"/>
      <c r="R163" s="344"/>
      <c r="S163" s="105"/>
    </row>
    <row r="164" spans="1:19" ht="29.25" customHeight="1">
      <c r="A164" s="216"/>
      <c r="B164" s="340"/>
      <c r="C164" s="341"/>
      <c r="D164" s="342"/>
      <c r="E164" s="333"/>
      <c r="F164" s="162"/>
      <c r="G164" s="218"/>
      <c r="H164" s="218"/>
      <c r="I164" s="176"/>
      <c r="J164" s="177"/>
      <c r="K164" s="177"/>
      <c r="L164" s="177"/>
      <c r="M164" s="165"/>
      <c r="N164" s="176"/>
      <c r="O164" s="176"/>
      <c r="P164" s="178"/>
      <c r="Q164" s="105"/>
      <c r="R164" s="339"/>
      <c r="S164" s="105"/>
    </row>
    <row r="165" spans="1:19" ht="29.25" customHeight="1">
      <c r="A165" s="216"/>
      <c r="B165" s="340"/>
      <c r="C165" s="341"/>
      <c r="D165" s="342"/>
      <c r="E165" s="343"/>
      <c r="F165" s="162"/>
      <c r="G165" s="218"/>
      <c r="H165" s="218"/>
      <c r="I165" s="176"/>
      <c r="J165" s="177"/>
      <c r="K165" s="177"/>
      <c r="L165" s="177"/>
      <c r="M165" s="165"/>
      <c r="N165" s="176"/>
      <c r="O165" s="176"/>
      <c r="P165" s="178"/>
      <c r="Q165" s="105"/>
      <c r="R165" s="344"/>
      <c r="S165" s="105"/>
    </row>
    <row r="166" spans="1:19" ht="29.25" customHeight="1">
      <c r="A166" s="216"/>
      <c r="B166" s="340"/>
      <c r="C166" s="341"/>
      <c r="D166" s="342"/>
      <c r="E166" s="333"/>
      <c r="F166" s="162"/>
      <c r="G166" s="218"/>
      <c r="H166" s="218"/>
      <c r="I166" s="176"/>
      <c r="J166" s="177"/>
      <c r="K166" s="177"/>
      <c r="L166" s="177"/>
      <c r="M166" s="165"/>
      <c r="N166" s="176"/>
      <c r="O166" s="176"/>
      <c r="P166" s="178"/>
      <c r="Q166" s="105"/>
      <c r="R166" s="339"/>
      <c r="S166" s="105"/>
    </row>
    <row r="167" spans="1:19" ht="29.25" customHeight="1">
      <c r="A167" s="216"/>
      <c r="B167" s="340"/>
      <c r="C167" s="341"/>
      <c r="D167" s="342"/>
      <c r="E167" s="343"/>
      <c r="F167" s="162"/>
      <c r="G167" s="218"/>
      <c r="H167" s="218"/>
      <c r="I167" s="176"/>
      <c r="J167" s="177"/>
      <c r="K167" s="177"/>
      <c r="L167" s="177"/>
      <c r="M167" s="165"/>
      <c r="N167" s="176"/>
      <c r="O167" s="176"/>
      <c r="P167" s="178"/>
      <c r="Q167" s="105"/>
      <c r="R167" s="344"/>
      <c r="S167" s="105"/>
    </row>
    <row r="168" spans="1:19" ht="29.25" customHeight="1">
      <c r="A168" s="216"/>
      <c r="B168" s="340"/>
      <c r="C168" s="341"/>
      <c r="D168" s="342"/>
      <c r="E168" s="333"/>
      <c r="F168" s="162"/>
      <c r="G168" s="218"/>
      <c r="H168" s="218"/>
      <c r="I168" s="176"/>
      <c r="J168" s="177"/>
      <c r="K168" s="177"/>
      <c r="L168" s="177"/>
      <c r="M168" s="165"/>
      <c r="N168" s="176"/>
      <c r="O168" s="176"/>
      <c r="P168" s="178"/>
      <c r="Q168" s="105"/>
      <c r="R168" s="339"/>
      <c r="S168" s="105"/>
    </row>
    <row r="169" spans="1:19" ht="29.25" customHeight="1">
      <c r="A169" s="216"/>
      <c r="B169" s="340"/>
      <c r="C169" s="341"/>
      <c r="D169" s="342"/>
      <c r="E169" s="343"/>
      <c r="F169" s="162"/>
      <c r="G169" s="218"/>
      <c r="H169" s="218"/>
      <c r="I169" s="176"/>
      <c r="J169" s="177"/>
      <c r="K169" s="177"/>
      <c r="L169" s="177"/>
      <c r="M169" s="165"/>
      <c r="N169" s="176"/>
      <c r="O169" s="176"/>
      <c r="P169" s="178"/>
      <c r="Q169" s="105"/>
      <c r="R169" s="344"/>
      <c r="S169" s="105"/>
    </row>
    <row r="170" spans="1:19" ht="29.25" customHeight="1">
      <c r="A170" s="216"/>
      <c r="B170" s="340"/>
      <c r="C170" s="341"/>
      <c r="D170" s="342"/>
      <c r="E170" s="333"/>
      <c r="F170" s="162"/>
      <c r="G170" s="218"/>
      <c r="H170" s="218"/>
      <c r="I170" s="176"/>
      <c r="J170" s="177"/>
      <c r="K170" s="177"/>
      <c r="L170" s="177"/>
      <c r="M170" s="165"/>
      <c r="N170" s="176"/>
      <c r="O170" s="176"/>
      <c r="P170" s="178"/>
      <c r="Q170" s="105"/>
      <c r="R170" s="339"/>
      <c r="S170" s="105"/>
    </row>
    <row r="171" spans="1:19" ht="29.25" customHeight="1">
      <c r="A171" s="216"/>
      <c r="B171" s="340"/>
      <c r="C171" s="341"/>
      <c r="D171" s="342"/>
      <c r="E171" s="343"/>
      <c r="F171" s="162"/>
      <c r="G171" s="218"/>
      <c r="H171" s="218"/>
      <c r="I171" s="176"/>
      <c r="J171" s="177"/>
      <c r="K171" s="177"/>
      <c r="L171" s="177"/>
      <c r="M171" s="165"/>
      <c r="N171" s="176"/>
      <c r="O171" s="176"/>
      <c r="P171" s="178"/>
      <c r="Q171" s="105"/>
      <c r="R171" s="344"/>
      <c r="S171" s="105"/>
    </row>
    <row r="172" spans="1:19" ht="29.25" customHeight="1">
      <c r="A172" s="216"/>
      <c r="B172" s="340"/>
      <c r="C172" s="341"/>
      <c r="D172" s="342"/>
      <c r="E172" s="333"/>
      <c r="F172" s="162"/>
      <c r="G172" s="218"/>
      <c r="H172" s="218"/>
      <c r="I172" s="176"/>
      <c r="J172" s="177"/>
      <c r="K172" s="177"/>
      <c r="L172" s="177"/>
      <c r="M172" s="165"/>
      <c r="N172" s="176"/>
      <c r="O172" s="176"/>
      <c r="P172" s="178"/>
      <c r="Q172" s="105"/>
      <c r="R172" s="339"/>
      <c r="S172" s="105"/>
    </row>
    <row r="173" spans="1:19" ht="29.25" customHeight="1">
      <c r="A173" s="216"/>
      <c r="B173" s="340"/>
      <c r="C173" s="341"/>
      <c r="D173" s="342"/>
      <c r="E173" s="343"/>
      <c r="F173" s="162"/>
      <c r="G173" s="218"/>
      <c r="H173" s="218"/>
      <c r="I173" s="176"/>
      <c r="J173" s="177"/>
      <c r="K173" s="177"/>
      <c r="L173" s="177"/>
      <c r="M173" s="165"/>
      <c r="N173" s="176"/>
      <c r="O173" s="176"/>
      <c r="P173" s="178"/>
      <c r="Q173" s="105"/>
      <c r="R173" s="344"/>
      <c r="S173" s="105"/>
    </row>
    <row r="174" spans="1:19" ht="29.25" customHeight="1">
      <c r="A174" s="216"/>
      <c r="B174" s="340"/>
      <c r="C174" s="341"/>
      <c r="D174" s="342"/>
      <c r="E174" s="333"/>
      <c r="F174" s="162"/>
      <c r="G174" s="218"/>
      <c r="H174" s="218"/>
      <c r="I174" s="176"/>
      <c r="J174" s="177"/>
      <c r="K174" s="177"/>
      <c r="L174" s="177"/>
      <c r="M174" s="165"/>
      <c r="N174" s="176"/>
      <c r="O174" s="176"/>
      <c r="P174" s="178"/>
      <c r="Q174" s="105"/>
      <c r="R174" s="339"/>
      <c r="S174" s="105"/>
    </row>
    <row r="175" spans="1:19" ht="29.25" customHeight="1">
      <c r="A175" s="216"/>
      <c r="B175" s="340"/>
      <c r="C175" s="341"/>
      <c r="D175" s="342"/>
      <c r="E175" s="343"/>
      <c r="F175" s="162"/>
      <c r="G175" s="218"/>
      <c r="H175" s="218"/>
      <c r="I175" s="176"/>
      <c r="J175" s="177"/>
      <c r="K175" s="177"/>
      <c r="L175" s="177"/>
      <c r="M175" s="165"/>
      <c r="N175" s="176"/>
      <c r="O175" s="176"/>
      <c r="P175" s="178"/>
      <c r="Q175" s="105"/>
      <c r="R175" s="344"/>
      <c r="S175" s="105"/>
    </row>
    <row r="176" spans="1:19" ht="29.25" customHeight="1">
      <c r="A176" s="216"/>
      <c r="B176" s="340"/>
      <c r="C176" s="341"/>
      <c r="D176" s="342"/>
      <c r="E176" s="333"/>
      <c r="F176" s="162"/>
      <c r="G176" s="218"/>
      <c r="H176" s="218"/>
      <c r="I176" s="176"/>
      <c r="J176" s="177"/>
      <c r="K176" s="177"/>
      <c r="L176" s="177"/>
      <c r="M176" s="165"/>
      <c r="N176" s="176"/>
      <c r="O176" s="176"/>
      <c r="P176" s="178"/>
      <c r="Q176" s="105"/>
      <c r="R176" s="339"/>
      <c r="S176" s="105"/>
    </row>
    <row r="177" spans="1:19" ht="29.25" customHeight="1">
      <c r="A177" s="216"/>
      <c r="B177" s="340"/>
      <c r="C177" s="341"/>
      <c r="D177" s="342"/>
      <c r="E177" s="343"/>
      <c r="F177" s="162"/>
      <c r="G177" s="218"/>
      <c r="H177" s="218"/>
      <c r="I177" s="176"/>
      <c r="J177" s="177"/>
      <c r="K177" s="177"/>
      <c r="L177" s="177"/>
      <c r="M177" s="165"/>
      <c r="N177" s="176"/>
      <c r="O177" s="176"/>
      <c r="P177" s="178"/>
      <c r="Q177" s="105"/>
      <c r="R177" s="344"/>
      <c r="S177" s="105"/>
    </row>
    <row r="178" spans="1:19" ht="29.25" customHeight="1">
      <c r="A178" s="216"/>
      <c r="B178" s="340"/>
      <c r="C178" s="341"/>
      <c r="D178" s="342"/>
      <c r="E178" s="333"/>
      <c r="F178" s="162"/>
      <c r="G178" s="218"/>
      <c r="H178" s="218"/>
      <c r="I178" s="176"/>
      <c r="J178" s="177"/>
      <c r="K178" s="177"/>
      <c r="L178" s="177"/>
      <c r="M178" s="165"/>
      <c r="N178" s="176"/>
      <c r="O178" s="176"/>
      <c r="P178" s="178"/>
      <c r="Q178" s="105"/>
      <c r="R178" s="339"/>
      <c r="S178" s="105"/>
    </row>
    <row r="179" spans="1:19" ht="29.25" customHeight="1">
      <c r="A179" s="216"/>
      <c r="B179" s="340"/>
      <c r="C179" s="341"/>
      <c r="D179" s="342"/>
      <c r="E179" s="343"/>
      <c r="F179" s="162"/>
      <c r="G179" s="218"/>
      <c r="H179" s="218"/>
      <c r="I179" s="176"/>
      <c r="J179" s="177"/>
      <c r="K179" s="177"/>
      <c r="L179" s="177"/>
      <c r="M179" s="165"/>
      <c r="N179" s="176"/>
      <c r="O179" s="176"/>
      <c r="P179" s="178"/>
      <c r="Q179" s="105"/>
      <c r="R179" s="344"/>
      <c r="S179" s="105"/>
    </row>
    <row r="180" spans="1:19" ht="29.25" customHeight="1">
      <c r="A180" s="216"/>
      <c r="B180" s="340"/>
      <c r="C180" s="341"/>
      <c r="D180" s="342"/>
      <c r="E180" s="333"/>
      <c r="F180" s="162"/>
      <c r="G180" s="218"/>
      <c r="H180" s="218"/>
      <c r="I180" s="176"/>
      <c r="J180" s="177"/>
      <c r="K180" s="177"/>
      <c r="L180" s="177"/>
      <c r="M180" s="165"/>
      <c r="N180" s="176"/>
      <c r="O180" s="176"/>
      <c r="P180" s="178"/>
      <c r="Q180" s="105"/>
      <c r="R180" s="339"/>
      <c r="S180" s="105"/>
    </row>
    <row r="181" spans="1:19" ht="29.25" customHeight="1">
      <c r="A181" s="216"/>
      <c r="B181" s="340"/>
      <c r="C181" s="341"/>
      <c r="D181" s="342"/>
      <c r="E181" s="343"/>
      <c r="F181" s="162"/>
      <c r="G181" s="218"/>
      <c r="H181" s="218"/>
      <c r="I181" s="176"/>
      <c r="J181" s="177"/>
      <c r="K181" s="177"/>
      <c r="L181" s="177"/>
      <c r="M181" s="165"/>
      <c r="N181" s="176"/>
      <c r="O181" s="176"/>
      <c r="P181" s="178"/>
      <c r="Q181" s="105"/>
      <c r="R181" s="344"/>
      <c r="S181" s="105"/>
    </row>
    <row r="182" spans="1:19" ht="29.25" customHeight="1">
      <c r="A182" s="216"/>
      <c r="B182" s="340"/>
      <c r="C182" s="341"/>
      <c r="D182" s="342"/>
      <c r="E182" s="333"/>
      <c r="F182" s="162"/>
      <c r="G182" s="218"/>
      <c r="H182" s="218"/>
      <c r="I182" s="176"/>
      <c r="J182" s="177"/>
      <c r="K182" s="177"/>
      <c r="L182" s="177"/>
      <c r="M182" s="165"/>
      <c r="N182" s="176"/>
      <c r="O182" s="176"/>
      <c r="P182" s="178"/>
      <c r="Q182" s="105"/>
      <c r="R182" s="339"/>
      <c r="S182" s="105"/>
    </row>
    <row r="183" spans="1:19" ht="29.25" customHeight="1">
      <c r="A183" s="216"/>
      <c r="B183" s="340"/>
      <c r="C183" s="341"/>
      <c r="D183" s="342"/>
      <c r="E183" s="343"/>
      <c r="F183" s="162"/>
      <c r="G183" s="218"/>
      <c r="H183" s="218"/>
      <c r="I183" s="176"/>
      <c r="J183" s="177"/>
      <c r="K183" s="177"/>
      <c r="L183" s="177"/>
      <c r="M183" s="165"/>
      <c r="N183" s="176"/>
      <c r="O183" s="176"/>
      <c r="P183" s="178"/>
      <c r="Q183" s="105"/>
      <c r="R183" s="344"/>
      <c r="S183" s="105"/>
    </row>
    <row r="184" spans="1:19" ht="29.25" customHeight="1">
      <c r="A184" s="216"/>
      <c r="B184" s="340"/>
      <c r="C184" s="341"/>
      <c r="D184" s="342"/>
      <c r="E184" s="333"/>
      <c r="F184" s="162"/>
      <c r="G184" s="218"/>
      <c r="H184" s="218"/>
      <c r="I184" s="176"/>
      <c r="J184" s="177"/>
      <c r="K184" s="177"/>
      <c r="L184" s="177"/>
      <c r="M184" s="165"/>
      <c r="N184" s="176"/>
      <c r="O184" s="176"/>
      <c r="P184" s="178"/>
      <c r="Q184" s="105"/>
      <c r="R184" s="339"/>
      <c r="S184" s="105"/>
    </row>
    <row r="185" spans="1:19" ht="29.25" customHeight="1">
      <c r="A185" s="216"/>
      <c r="B185" s="340"/>
      <c r="C185" s="341"/>
      <c r="D185" s="342"/>
      <c r="E185" s="343"/>
      <c r="F185" s="162"/>
      <c r="G185" s="218"/>
      <c r="H185" s="218"/>
      <c r="I185" s="176"/>
      <c r="J185" s="177"/>
      <c r="K185" s="177"/>
      <c r="L185" s="177"/>
      <c r="M185" s="165"/>
      <c r="N185" s="176"/>
      <c r="O185" s="176"/>
      <c r="P185" s="178"/>
      <c r="Q185" s="105"/>
      <c r="R185" s="344"/>
      <c r="S185" s="105"/>
    </row>
    <row r="186" spans="1:19" ht="29.25" customHeight="1">
      <c r="A186" s="216"/>
      <c r="B186" s="340"/>
      <c r="C186" s="341"/>
      <c r="D186" s="342"/>
      <c r="E186" s="333"/>
      <c r="F186" s="162"/>
      <c r="G186" s="218"/>
      <c r="H186" s="218"/>
      <c r="I186" s="176"/>
      <c r="J186" s="177"/>
      <c r="K186" s="177"/>
      <c r="L186" s="177"/>
      <c r="M186" s="165"/>
      <c r="N186" s="176"/>
      <c r="O186" s="176"/>
      <c r="P186" s="178"/>
      <c r="Q186" s="105"/>
      <c r="R186" s="339"/>
      <c r="S186" s="105"/>
    </row>
    <row r="187" spans="1:19" ht="29.25" customHeight="1">
      <c r="A187" s="216"/>
      <c r="B187" s="340"/>
      <c r="C187" s="341"/>
      <c r="D187" s="342"/>
      <c r="E187" s="343"/>
      <c r="F187" s="162"/>
      <c r="G187" s="218"/>
      <c r="H187" s="218"/>
      <c r="I187" s="176"/>
      <c r="J187" s="177"/>
      <c r="K187" s="177"/>
      <c r="L187" s="177"/>
      <c r="M187" s="165"/>
      <c r="N187" s="176"/>
      <c r="O187" s="176"/>
      <c r="P187" s="178"/>
      <c r="Q187" s="105"/>
      <c r="R187" s="344"/>
      <c r="S187" s="105"/>
    </row>
    <row r="188" spans="1:19" ht="29.25" customHeight="1">
      <c r="A188" s="216"/>
      <c r="B188" s="340"/>
      <c r="C188" s="341"/>
      <c r="D188" s="342"/>
      <c r="E188" s="333"/>
      <c r="F188" s="162"/>
      <c r="G188" s="218"/>
      <c r="H188" s="218"/>
      <c r="I188" s="176"/>
      <c r="J188" s="177"/>
      <c r="K188" s="177"/>
      <c r="L188" s="177"/>
      <c r="M188" s="165"/>
      <c r="N188" s="176"/>
      <c r="O188" s="176"/>
      <c r="P188" s="178"/>
      <c r="Q188" s="105"/>
      <c r="R188" s="339"/>
      <c r="S188" s="105"/>
    </row>
    <row r="189" spans="1:19" ht="29.25" customHeight="1">
      <c r="A189" s="216"/>
      <c r="B189" s="340"/>
      <c r="C189" s="341"/>
      <c r="D189" s="342"/>
      <c r="E189" s="343"/>
      <c r="F189" s="162"/>
      <c r="G189" s="218"/>
      <c r="H189" s="218"/>
      <c r="I189" s="176"/>
      <c r="J189" s="177"/>
      <c r="K189" s="177"/>
      <c r="L189" s="177"/>
      <c r="M189" s="165"/>
      <c r="N189" s="176"/>
      <c r="O189" s="176"/>
      <c r="P189" s="178"/>
      <c r="Q189" s="105"/>
      <c r="R189" s="344"/>
      <c r="S189" s="105"/>
    </row>
    <row r="190" spans="1:19" ht="29.25" customHeight="1">
      <c r="A190" s="216"/>
      <c r="B190" s="340"/>
      <c r="C190" s="341"/>
      <c r="D190" s="342"/>
      <c r="E190" s="333"/>
      <c r="F190" s="162"/>
      <c r="G190" s="218"/>
      <c r="H190" s="218"/>
      <c r="I190" s="176"/>
      <c r="J190" s="177"/>
      <c r="K190" s="177"/>
      <c r="L190" s="177"/>
      <c r="M190" s="165"/>
      <c r="N190" s="176"/>
      <c r="O190" s="176"/>
      <c r="P190" s="178"/>
      <c r="Q190" s="105"/>
      <c r="R190" s="339"/>
      <c r="S190" s="105"/>
    </row>
    <row r="191" spans="1:19" ht="29.25" customHeight="1">
      <c r="A191" s="216"/>
      <c r="B191" s="340"/>
      <c r="C191" s="341"/>
      <c r="D191" s="342"/>
      <c r="E191" s="343"/>
      <c r="F191" s="162"/>
      <c r="G191" s="218"/>
      <c r="H191" s="218"/>
      <c r="I191" s="176"/>
      <c r="J191" s="177"/>
      <c r="K191" s="177"/>
      <c r="L191" s="177"/>
      <c r="M191" s="165"/>
      <c r="N191" s="176"/>
      <c r="O191" s="176"/>
      <c r="P191" s="178"/>
      <c r="Q191" s="105"/>
      <c r="R191" s="344"/>
      <c r="S191" s="105"/>
    </row>
    <row r="192" spans="1:19" ht="29.25" customHeight="1">
      <c r="A192" s="216"/>
      <c r="B192" s="340"/>
      <c r="C192" s="341"/>
      <c r="D192" s="342"/>
      <c r="E192" s="333"/>
      <c r="F192" s="162"/>
      <c r="G192" s="218"/>
      <c r="H192" s="218"/>
      <c r="I192" s="176"/>
      <c r="J192" s="177"/>
      <c r="K192" s="177"/>
      <c r="L192" s="177"/>
      <c r="M192" s="165"/>
      <c r="N192" s="176"/>
      <c r="O192" s="176"/>
      <c r="P192" s="178"/>
      <c r="Q192" s="105"/>
      <c r="R192" s="339"/>
      <c r="S192" s="105"/>
    </row>
    <row r="193" spans="1:19" ht="29.25" customHeight="1">
      <c r="A193" s="216"/>
      <c r="B193" s="340"/>
      <c r="C193" s="341"/>
      <c r="D193" s="342"/>
      <c r="E193" s="343"/>
      <c r="F193" s="162"/>
      <c r="G193" s="218"/>
      <c r="H193" s="218"/>
      <c r="I193" s="176"/>
      <c r="J193" s="177"/>
      <c r="K193" s="177"/>
      <c r="L193" s="177"/>
      <c r="M193" s="165"/>
      <c r="N193" s="176"/>
      <c r="O193" s="176"/>
      <c r="P193" s="178"/>
      <c r="Q193" s="105"/>
      <c r="R193" s="344"/>
      <c r="S193" s="105"/>
    </row>
    <row r="194" spans="1:19" ht="29.25" customHeight="1">
      <c r="A194" s="216"/>
      <c r="B194" s="340"/>
      <c r="C194" s="341"/>
      <c r="D194" s="342"/>
      <c r="E194" s="333"/>
      <c r="F194" s="162"/>
      <c r="G194" s="218"/>
      <c r="H194" s="218"/>
      <c r="I194" s="176"/>
      <c r="J194" s="177"/>
      <c r="K194" s="177"/>
      <c r="L194" s="177"/>
      <c r="M194" s="165"/>
      <c r="N194" s="176"/>
      <c r="O194" s="176"/>
      <c r="P194" s="178"/>
      <c r="Q194" s="105"/>
      <c r="R194" s="339"/>
      <c r="S194" s="105"/>
    </row>
    <row r="195" spans="1:19" ht="29.25" customHeight="1">
      <c r="A195" s="216"/>
      <c r="B195" s="340"/>
      <c r="C195" s="341"/>
      <c r="D195" s="342"/>
      <c r="E195" s="343"/>
      <c r="F195" s="162"/>
      <c r="G195" s="218"/>
      <c r="H195" s="218"/>
      <c r="I195" s="176"/>
      <c r="J195" s="177"/>
      <c r="K195" s="177"/>
      <c r="L195" s="177"/>
      <c r="M195" s="165"/>
      <c r="N195" s="176"/>
      <c r="O195" s="176"/>
      <c r="P195" s="178"/>
      <c r="Q195" s="105"/>
      <c r="R195" s="344"/>
      <c r="S195" s="105"/>
    </row>
    <row r="196" spans="1:19" ht="29.25" customHeight="1">
      <c r="A196" s="216"/>
      <c r="B196" s="340"/>
      <c r="C196" s="341"/>
      <c r="D196" s="342"/>
      <c r="E196" s="333"/>
      <c r="F196" s="162"/>
      <c r="G196" s="218"/>
      <c r="H196" s="218"/>
      <c r="I196" s="176"/>
      <c r="J196" s="177"/>
      <c r="K196" s="177"/>
      <c r="L196" s="177"/>
      <c r="M196" s="165"/>
      <c r="N196" s="176"/>
      <c r="O196" s="176"/>
      <c r="P196" s="178"/>
      <c r="Q196" s="105"/>
      <c r="R196" s="339"/>
      <c r="S196" s="105"/>
    </row>
    <row r="197" spans="1:19" ht="29.25" customHeight="1">
      <c r="A197" s="216"/>
      <c r="B197" s="340"/>
      <c r="C197" s="341"/>
      <c r="D197" s="342"/>
      <c r="E197" s="343"/>
      <c r="F197" s="162"/>
      <c r="G197" s="218"/>
      <c r="H197" s="218"/>
      <c r="I197" s="176"/>
      <c r="J197" s="177"/>
      <c r="K197" s="177"/>
      <c r="L197" s="177"/>
      <c r="M197" s="165"/>
      <c r="N197" s="176"/>
      <c r="O197" s="176"/>
      <c r="P197" s="178"/>
      <c r="Q197" s="105"/>
      <c r="R197" s="344"/>
      <c r="S197" s="105"/>
    </row>
    <row r="198" spans="1:19" ht="29.25" customHeight="1">
      <c r="A198" s="216"/>
      <c r="B198" s="340"/>
      <c r="C198" s="341"/>
      <c r="D198" s="342"/>
      <c r="E198" s="333"/>
      <c r="F198" s="162"/>
      <c r="G198" s="218"/>
      <c r="H198" s="218"/>
      <c r="I198" s="176"/>
      <c r="J198" s="177"/>
      <c r="K198" s="177"/>
      <c r="L198" s="177"/>
      <c r="M198" s="165"/>
      <c r="N198" s="176"/>
      <c r="O198" s="176"/>
      <c r="P198" s="178"/>
      <c r="Q198" s="105"/>
      <c r="R198" s="339"/>
      <c r="S198" s="105"/>
    </row>
    <row r="199" spans="1:19" ht="29.25" customHeight="1">
      <c r="A199" s="216"/>
      <c r="B199" s="340"/>
      <c r="C199" s="341"/>
      <c r="D199" s="342"/>
      <c r="E199" s="343"/>
      <c r="F199" s="162"/>
      <c r="G199" s="218"/>
      <c r="H199" s="218"/>
      <c r="I199" s="176"/>
      <c r="J199" s="177"/>
      <c r="K199" s="177"/>
      <c r="L199" s="177"/>
      <c r="M199" s="165"/>
      <c r="N199" s="176"/>
      <c r="O199" s="176"/>
      <c r="P199" s="178"/>
      <c r="Q199" s="105"/>
      <c r="R199" s="344"/>
      <c r="S199" s="105"/>
    </row>
    <row r="200" spans="1:19" ht="29.25" customHeight="1">
      <c r="A200" s="216"/>
      <c r="B200" s="340"/>
      <c r="C200" s="341"/>
      <c r="D200" s="342"/>
      <c r="E200" s="333"/>
      <c r="F200" s="162"/>
      <c r="G200" s="218"/>
      <c r="H200" s="218"/>
      <c r="I200" s="176"/>
      <c r="J200" s="177"/>
      <c r="K200" s="177"/>
      <c r="L200" s="177"/>
      <c r="M200" s="165"/>
      <c r="N200" s="176"/>
      <c r="O200" s="176"/>
      <c r="P200" s="178"/>
      <c r="Q200" s="105"/>
      <c r="R200" s="339"/>
      <c r="S200" s="105"/>
    </row>
    <row r="201" spans="1:19" ht="29.25" customHeight="1">
      <c r="A201" s="216"/>
      <c r="B201" s="340"/>
      <c r="C201" s="341"/>
      <c r="D201" s="342"/>
      <c r="E201" s="343"/>
      <c r="F201" s="162"/>
      <c r="G201" s="218"/>
      <c r="H201" s="218"/>
      <c r="I201" s="176"/>
      <c r="J201" s="177"/>
      <c r="K201" s="177"/>
      <c r="L201" s="177"/>
      <c r="M201" s="165"/>
      <c r="N201" s="176"/>
      <c r="O201" s="176"/>
      <c r="P201" s="178"/>
      <c r="Q201" s="105"/>
      <c r="R201" s="344"/>
      <c r="S201" s="105"/>
    </row>
    <row r="202" spans="1:19" ht="29.25" customHeight="1">
      <c r="A202" s="216"/>
      <c r="B202" s="340"/>
      <c r="C202" s="341"/>
      <c r="D202" s="342"/>
      <c r="E202" s="333"/>
      <c r="F202" s="162"/>
      <c r="G202" s="218"/>
      <c r="H202" s="218"/>
      <c r="I202" s="176"/>
      <c r="J202" s="177"/>
      <c r="K202" s="177"/>
      <c r="L202" s="177"/>
      <c r="M202" s="165"/>
      <c r="N202" s="176"/>
      <c r="O202" s="176"/>
      <c r="P202" s="178"/>
      <c r="Q202" s="105"/>
      <c r="R202" s="339"/>
      <c r="S202" s="105"/>
    </row>
    <row r="203" spans="1:19" ht="29.25" customHeight="1">
      <c r="A203" s="216"/>
      <c r="B203" s="340"/>
      <c r="C203" s="341"/>
      <c r="D203" s="342"/>
      <c r="E203" s="343"/>
      <c r="F203" s="162"/>
      <c r="G203" s="218"/>
      <c r="H203" s="218"/>
      <c r="I203" s="176"/>
      <c r="J203" s="177"/>
      <c r="K203" s="177"/>
      <c r="L203" s="177"/>
      <c r="M203" s="165"/>
      <c r="N203" s="176"/>
      <c r="O203" s="176"/>
      <c r="P203" s="178"/>
      <c r="Q203" s="105"/>
      <c r="R203" s="344"/>
      <c r="S203" s="105"/>
    </row>
    <row r="204" spans="1:19" ht="29.25" customHeight="1">
      <c r="A204" s="216"/>
      <c r="B204" s="340"/>
      <c r="C204" s="341"/>
      <c r="D204" s="342"/>
      <c r="E204" s="333"/>
      <c r="F204" s="162"/>
      <c r="G204" s="218"/>
      <c r="H204" s="218"/>
      <c r="I204" s="176"/>
      <c r="J204" s="177"/>
      <c r="K204" s="177"/>
      <c r="L204" s="177"/>
      <c r="M204" s="165"/>
      <c r="N204" s="176"/>
      <c r="O204" s="176"/>
      <c r="P204" s="178"/>
      <c r="Q204" s="105"/>
      <c r="R204" s="339"/>
      <c r="S204" s="105"/>
    </row>
    <row r="205" spans="1:19" ht="29.25" customHeight="1">
      <c r="A205" s="216"/>
      <c r="B205" s="340"/>
      <c r="C205" s="341"/>
      <c r="D205" s="342"/>
      <c r="E205" s="343"/>
      <c r="F205" s="162"/>
      <c r="G205" s="218"/>
      <c r="H205" s="218"/>
      <c r="I205" s="176"/>
      <c r="J205" s="177"/>
      <c r="K205" s="177"/>
      <c r="L205" s="177"/>
      <c r="M205" s="165"/>
      <c r="N205" s="176"/>
      <c r="O205" s="176"/>
      <c r="P205" s="178"/>
      <c r="Q205" s="105"/>
      <c r="R205" s="344"/>
      <c r="S205" s="105"/>
    </row>
    <row r="206" spans="1:19" ht="29.25" customHeight="1">
      <c r="A206" s="216"/>
      <c r="B206" s="340"/>
      <c r="C206" s="341"/>
      <c r="D206" s="342"/>
      <c r="E206" s="333"/>
      <c r="F206" s="162"/>
      <c r="G206" s="218"/>
      <c r="H206" s="218"/>
      <c r="I206" s="176"/>
      <c r="J206" s="177"/>
      <c r="K206" s="177"/>
      <c r="L206" s="177"/>
      <c r="M206" s="165"/>
      <c r="N206" s="176"/>
      <c r="O206" s="176"/>
      <c r="P206" s="178"/>
      <c r="Q206" s="105"/>
      <c r="R206" s="339"/>
      <c r="S206" s="105"/>
    </row>
    <row r="207" spans="1:19" ht="29.25" customHeight="1">
      <c r="A207" s="216"/>
      <c r="B207" s="340"/>
      <c r="C207" s="341"/>
      <c r="D207" s="342"/>
      <c r="E207" s="343"/>
      <c r="F207" s="162"/>
      <c r="G207" s="218"/>
      <c r="H207" s="218"/>
      <c r="I207" s="176"/>
      <c r="J207" s="177"/>
      <c r="K207" s="177"/>
      <c r="L207" s="177"/>
      <c r="M207" s="165"/>
      <c r="N207" s="176"/>
      <c r="O207" s="176"/>
      <c r="P207" s="178"/>
      <c r="Q207" s="105"/>
      <c r="R207" s="344"/>
      <c r="S207" s="105"/>
    </row>
    <row r="208" spans="1:19" ht="29.25" customHeight="1">
      <c r="A208" s="216"/>
      <c r="B208" s="340"/>
      <c r="C208" s="341"/>
      <c r="D208" s="342"/>
      <c r="E208" s="333"/>
      <c r="F208" s="162"/>
      <c r="G208" s="218"/>
      <c r="H208" s="218"/>
      <c r="I208" s="176"/>
      <c r="J208" s="177"/>
      <c r="K208" s="177"/>
      <c r="L208" s="177"/>
      <c r="M208" s="165"/>
      <c r="N208" s="176"/>
      <c r="O208" s="176"/>
      <c r="P208" s="178"/>
      <c r="Q208" s="105"/>
      <c r="R208" s="339"/>
      <c r="S208" s="105"/>
    </row>
    <row r="209" spans="1:19" ht="29.25" customHeight="1">
      <c r="A209" s="216"/>
      <c r="B209" s="340"/>
      <c r="C209" s="341"/>
      <c r="D209" s="342"/>
      <c r="E209" s="343"/>
      <c r="F209" s="162"/>
      <c r="G209" s="218"/>
      <c r="H209" s="218"/>
      <c r="I209" s="176"/>
      <c r="J209" s="177"/>
      <c r="K209" s="177"/>
      <c r="L209" s="177"/>
      <c r="M209" s="165"/>
      <c r="N209" s="176"/>
      <c r="O209" s="176"/>
      <c r="P209" s="178"/>
      <c r="Q209" s="105"/>
      <c r="R209" s="344"/>
      <c r="S209" s="105"/>
    </row>
    <row r="210" spans="1:19" ht="29.25" customHeight="1">
      <c r="A210" s="216"/>
      <c r="B210" s="340"/>
      <c r="C210" s="341"/>
      <c r="D210" s="342"/>
      <c r="E210" s="333"/>
      <c r="F210" s="162"/>
      <c r="G210" s="218"/>
      <c r="H210" s="218"/>
      <c r="I210" s="176"/>
      <c r="J210" s="177"/>
      <c r="K210" s="177"/>
      <c r="L210" s="177"/>
      <c r="M210" s="165"/>
      <c r="N210" s="176"/>
      <c r="O210" s="176"/>
      <c r="P210" s="178"/>
      <c r="Q210" s="105"/>
      <c r="R210" s="339"/>
      <c r="S210" s="105"/>
    </row>
    <row r="211" spans="1:19" ht="29.25" customHeight="1">
      <c r="A211" s="216"/>
      <c r="B211" s="340"/>
      <c r="C211" s="341"/>
      <c r="D211" s="342"/>
      <c r="E211" s="343"/>
      <c r="F211" s="162"/>
      <c r="G211" s="218"/>
      <c r="H211" s="218"/>
      <c r="I211" s="176"/>
      <c r="J211" s="177"/>
      <c r="K211" s="177"/>
      <c r="L211" s="177"/>
      <c r="M211" s="165"/>
      <c r="N211" s="176"/>
      <c r="O211" s="176"/>
      <c r="P211" s="178"/>
      <c r="Q211" s="105"/>
      <c r="R211" s="344"/>
      <c r="S211" s="105"/>
    </row>
    <row r="212" spans="1:19" ht="29.25" customHeight="1">
      <c r="A212" s="216"/>
      <c r="B212" s="340"/>
      <c r="C212" s="341"/>
      <c r="D212" s="342"/>
      <c r="E212" s="333"/>
      <c r="F212" s="162"/>
      <c r="G212" s="218"/>
      <c r="H212" s="218"/>
      <c r="I212" s="176"/>
      <c r="J212" s="177"/>
      <c r="K212" s="177"/>
      <c r="L212" s="177"/>
      <c r="M212" s="165"/>
      <c r="N212" s="176"/>
      <c r="O212" s="176"/>
      <c r="P212" s="178"/>
      <c r="Q212" s="105"/>
      <c r="R212" s="339"/>
      <c r="S212" s="105"/>
    </row>
    <row r="213" spans="1:19" ht="29.25" customHeight="1">
      <c r="A213" s="216"/>
      <c r="B213" s="340"/>
      <c r="C213" s="341"/>
      <c r="D213" s="342"/>
      <c r="E213" s="343"/>
      <c r="F213" s="162"/>
      <c r="G213" s="218"/>
      <c r="H213" s="218"/>
      <c r="I213" s="176"/>
      <c r="J213" s="177"/>
      <c r="K213" s="177"/>
      <c r="L213" s="177"/>
      <c r="M213" s="165"/>
      <c r="N213" s="176"/>
      <c r="O213" s="176"/>
      <c r="P213" s="178"/>
      <c r="Q213" s="105"/>
      <c r="R213" s="344"/>
      <c r="S213" s="105"/>
    </row>
    <row r="214" spans="1:19" ht="29.25" customHeight="1">
      <c r="A214" s="216"/>
      <c r="B214" s="340"/>
      <c r="C214" s="341"/>
      <c r="D214" s="342"/>
      <c r="E214" s="333"/>
      <c r="F214" s="162"/>
      <c r="G214" s="218"/>
      <c r="H214" s="218"/>
      <c r="I214" s="176"/>
      <c r="J214" s="177"/>
      <c r="K214" s="177"/>
      <c r="L214" s="177"/>
      <c r="M214" s="165"/>
      <c r="N214" s="176"/>
      <c r="O214" s="176"/>
      <c r="P214" s="178"/>
      <c r="Q214" s="105"/>
      <c r="R214" s="339"/>
      <c r="S214" s="105"/>
    </row>
    <row r="215" spans="1:19" ht="29.25" customHeight="1">
      <c r="A215" s="216"/>
      <c r="B215" s="340"/>
      <c r="C215" s="341"/>
      <c r="D215" s="342"/>
      <c r="E215" s="343"/>
      <c r="F215" s="162"/>
      <c r="G215" s="218"/>
      <c r="H215" s="218"/>
      <c r="I215" s="176"/>
      <c r="J215" s="177"/>
      <c r="K215" s="177"/>
      <c r="L215" s="177"/>
      <c r="M215" s="165"/>
      <c r="N215" s="176"/>
      <c r="O215" s="176"/>
      <c r="P215" s="178"/>
      <c r="Q215" s="105"/>
      <c r="R215" s="344"/>
      <c r="S215" s="105"/>
    </row>
    <row r="216" spans="1:19" ht="29.25" customHeight="1">
      <c r="A216" s="216"/>
      <c r="B216" s="340"/>
      <c r="C216" s="341"/>
      <c r="D216" s="342"/>
      <c r="E216" s="333"/>
      <c r="F216" s="162"/>
      <c r="G216" s="218"/>
      <c r="H216" s="218"/>
      <c r="I216" s="176"/>
      <c r="J216" s="177"/>
      <c r="K216" s="177"/>
      <c r="L216" s="177"/>
      <c r="M216" s="165"/>
      <c r="N216" s="176"/>
      <c r="O216" s="176"/>
      <c r="P216" s="178"/>
      <c r="Q216" s="105"/>
      <c r="R216" s="339"/>
      <c r="S216" s="105"/>
    </row>
    <row r="217" spans="1:19" ht="29.25" customHeight="1">
      <c r="A217" s="216"/>
      <c r="B217" s="340"/>
      <c r="C217" s="341"/>
      <c r="D217" s="342"/>
      <c r="E217" s="343"/>
      <c r="F217" s="162"/>
      <c r="G217" s="218"/>
      <c r="H217" s="218"/>
      <c r="I217" s="176"/>
      <c r="J217" s="177"/>
      <c r="K217" s="177"/>
      <c r="L217" s="177"/>
      <c r="M217" s="165"/>
      <c r="N217" s="176"/>
      <c r="O217" s="176"/>
      <c r="P217" s="178"/>
      <c r="Q217" s="105"/>
      <c r="R217" s="344"/>
      <c r="S217" s="105"/>
    </row>
    <row r="218" spans="1:19" ht="29.25" customHeight="1">
      <c r="A218" s="216"/>
      <c r="B218" s="340"/>
      <c r="C218" s="341"/>
      <c r="D218" s="342"/>
      <c r="E218" s="333"/>
      <c r="F218" s="162"/>
      <c r="G218" s="218"/>
      <c r="H218" s="218"/>
      <c r="I218" s="176"/>
      <c r="J218" s="177"/>
      <c r="K218" s="177"/>
      <c r="L218" s="177"/>
      <c r="M218" s="165"/>
      <c r="N218" s="176"/>
      <c r="O218" s="176"/>
      <c r="P218" s="178"/>
      <c r="Q218" s="105"/>
      <c r="R218" s="339"/>
      <c r="S218" s="105"/>
    </row>
    <row r="219" spans="1:19" ht="29.25" customHeight="1">
      <c r="A219" s="216"/>
      <c r="B219" s="340"/>
      <c r="C219" s="341"/>
      <c r="D219" s="342"/>
      <c r="E219" s="343"/>
      <c r="F219" s="162"/>
      <c r="G219" s="218"/>
      <c r="H219" s="218"/>
      <c r="I219" s="176"/>
      <c r="J219" s="177"/>
      <c r="K219" s="177"/>
      <c r="L219" s="177"/>
      <c r="M219" s="165"/>
      <c r="N219" s="176"/>
      <c r="O219" s="176"/>
      <c r="P219" s="178"/>
      <c r="Q219" s="105"/>
      <c r="R219" s="344"/>
      <c r="S219" s="105"/>
    </row>
    <row r="220" spans="1:19" ht="29.25" customHeight="1">
      <c r="A220" s="216"/>
      <c r="B220" s="340"/>
      <c r="C220" s="341"/>
      <c r="D220" s="342"/>
      <c r="E220" s="333"/>
      <c r="F220" s="162"/>
      <c r="G220" s="218"/>
      <c r="H220" s="218"/>
      <c r="I220" s="176"/>
      <c r="J220" s="177"/>
      <c r="K220" s="177"/>
      <c r="L220" s="177"/>
      <c r="M220" s="165"/>
      <c r="N220" s="176"/>
      <c r="O220" s="176"/>
      <c r="P220" s="178"/>
      <c r="Q220" s="105"/>
      <c r="R220" s="339"/>
      <c r="S220" s="105"/>
    </row>
    <row r="221" spans="1:19" ht="29.25" customHeight="1">
      <c r="A221" s="216"/>
      <c r="B221" s="340"/>
      <c r="C221" s="341"/>
      <c r="D221" s="342"/>
      <c r="E221" s="343"/>
      <c r="F221" s="162"/>
      <c r="G221" s="218"/>
      <c r="H221" s="218"/>
      <c r="I221" s="176"/>
      <c r="J221" s="177"/>
      <c r="K221" s="177"/>
      <c r="L221" s="177"/>
      <c r="M221" s="165"/>
      <c r="N221" s="176"/>
      <c r="O221" s="176"/>
      <c r="P221" s="178"/>
      <c r="Q221" s="105"/>
      <c r="R221" s="344"/>
      <c r="S221" s="105"/>
    </row>
    <row r="222" spans="1:19" ht="29.25" customHeight="1">
      <c r="A222" s="216"/>
      <c r="B222" s="340"/>
      <c r="C222" s="341"/>
      <c r="D222" s="342"/>
      <c r="E222" s="333"/>
      <c r="F222" s="162"/>
      <c r="G222" s="218"/>
      <c r="H222" s="218"/>
      <c r="I222" s="176"/>
      <c r="J222" s="177"/>
      <c r="K222" s="177"/>
      <c r="L222" s="177"/>
      <c r="M222" s="165"/>
      <c r="N222" s="176"/>
      <c r="O222" s="176"/>
      <c r="P222" s="178"/>
      <c r="Q222" s="105"/>
      <c r="R222" s="339"/>
      <c r="S222" s="105"/>
    </row>
    <row r="223" spans="1:19" ht="29.25" customHeight="1">
      <c r="A223" s="216"/>
      <c r="B223" s="340"/>
      <c r="C223" s="341"/>
      <c r="D223" s="342"/>
      <c r="E223" s="343"/>
      <c r="F223" s="162"/>
      <c r="G223" s="218"/>
      <c r="H223" s="218"/>
      <c r="I223" s="176"/>
      <c r="J223" s="177"/>
      <c r="K223" s="177"/>
      <c r="L223" s="177"/>
      <c r="M223" s="165"/>
      <c r="N223" s="176"/>
      <c r="O223" s="176"/>
      <c r="P223" s="178"/>
      <c r="Q223" s="105"/>
      <c r="R223" s="344"/>
      <c r="S223" s="105"/>
    </row>
    <row r="224" spans="1:19" ht="29.25" customHeight="1">
      <c r="A224" s="216"/>
      <c r="B224" s="340"/>
      <c r="C224" s="341"/>
      <c r="D224" s="342"/>
      <c r="E224" s="333"/>
      <c r="F224" s="162"/>
      <c r="G224" s="218"/>
      <c r="H224" s="218"/>
      <c r="I224" s="176"/>
      <c r="J224" s="177"/>
      <c r="K224" s="177"/>
      <c r="L224" s="177"/>
      <c r="M224" s="165"/>
      <c r="N224" s="176"/>
      <c r="O224" s="176"/>
      <c r="P224" s="178"/>
      <c r="Q224" s="105"/>
      <c r="R224" s="339"/>
      <c r="S224" s="105"/>
    </row>
    <row r="225" spans="1:19" ht="29.25" customHeight="1">
      <c r="A225" s="216"/>
      <c r="B225" s="340"/>
      <c r="C225" s="341"/>
      <c r="D225" s="342"/>
      <c r="E225" s="343"/>
      <c r="F225" s="162"/>
      <c r="G225" s="218"/>
      <c r="H225" s="218"/>
      <c r="I225" s="176"/>
      <c r="J225" s="177"/>
      <c r="K225" s="177"/>
      <c r="L225" s="177"/>
      <c r="M225" s="165"/>
      <c r="N225" s="176"/>
      <c r="O225" s="176"/>
      <c r="P225" s="178"/>
      <c r="Q225" s="105"/>
      <c r="R225" s="344"/>
      <c r="S225" s="105"/>
    </row>
    <row r="226" spans="1:19" ht="29.25" customHeight="1">
      <c r="A226" s="216"/>
      <c r="B226" s="340"/>
      <c r="C226" s="341"/>
      <c r="D226" s="342"/>
      <c r="E226" s="333"/>
      <c r="F226" s="162"/>
      <c r="G226" s="218"/>
      <c r="H226" s="218"/>
      <c r="I226" s="176"/>
      <c r="J226" s="177"/>
      <c r="K226" s="177"/>
      <c r="L226" s="177"/>
      <c r="M226" s="165"/>
      <c r="N226" s="176"/>
      <c r="O226" s="176"/>
      <c r="P226" s="178"/>
      <c r="Q226" s="105"/>
      <c r="R226" s="339"/>
      <c r="S226" s="105"/>
    </row>
    <row r="227" spans="1:19" ht="29.25" customHeight="1">
      <c r="A227" s="216"/>
      <c r="B227" s="340"/>
      <c r="C227" s="341"/>
      <c r="D227" s="342"/>
      <c r="E227" s="343"/>
      <c r="F227" s="162"/>
      <c r="G227" s="218"/>
      <c r="H227" s="218"/>
      <c r="I227" s="176"/>
      <c r="J227" s="177"/>
      <c r="K227" s="177"/>
      <c r="L227" s="177"/>
      <c r="M227" s="165"/>
      <c r="N227" s="176"/>
      <c r="O227" s="176"/>
      <c r="P227" s="178"/>
      <c r="Q227" s="105"/>
      <c r="R227" s="344"/>
      <c r="S227" s="105"/>
    </row>
    <row r="228" spans="1:19" ht="29.25" customHeight="1">
      <c r="A228" s="216"/>
      <c r="B228" s="340"/>
      <c r="C228" s="341"/>
      <c r="D228" s="342"/>
      <c r="E228" s="333"/>
      <c r="F228" s="162"/>
      <c r="G228" s="218"/>
      <c r="H228" s="218"/>
      <c r="I228" s="176"/>
      <c r="J228" s="177"/>
      <c r="K228" s="177"/>
      <c r="L228" s="177"/>
      <c r="M228" s="165"/>
      <c r="N228" s="176"/>
      <c r="O228" s="176"/>
      <c r="P228" s="178"/>
      <c r="Q228" s="105"/>
      <c r="R228" s="339"/>
      <c r="S228" s="105"/>
    </row>
    <row r="229" spans="1:19" ht="29.25" customHeight="1">
      <c r="A229" s="216"/>
      <c r="B229" s="340"/>
      <c r="C229" s="341"/>
      <c r="D229" s="342"/>
      <c r="E229" s="343"/>
      <c r="F229" s="162"/>
      <c r="G229" s="218"/>
      <c r="H229" s="218"/>
      <c r="I229" s="176"/>
      <c r="J229" s="177"/>
      <c r="K229" s="177"/>
      <c r="L229" s="177"/>
      <c r="M229" s="165"/>
      <c r="N229" s="176"/>
      <c r="O229" s="176"/>
      <c r="P229" s="178"/>
      <c r="Q229" s="105"/>
      <c r="R229" s="344"/>
      <c r="S229" s="105"/>
    </row>
    <row r="230" spans="1:19" ht="29.25" customHeight="1">
      <c r="A230" s="216"/>
      <c r="B230" s="340"/>
      <c r="C230" s="341"/>
      <c r="D230" s="342"/>
      <c r="E230" s="333"/>
      <c r="F230" s="162"/>
      <c r="G230" s="218"/>
      <c r="H230" s="218"/>
      <c r="I230" s="176"/>
      <c r="J230" s="177"/>
      <c r="K230" s="177"/>
      <c r="L230" s="177"/>
      <c r="M230" s="165"/>
      <c r="N230" s="176"/>
      <c r="O230" s="176"/>
      <c r="P230" s="178"/>
      <c r="Q230" s="105"/>
      <c r="R230" s="339"/>
      <c r="S230" s="105"/>
    </row>
    <row r="231" spans="1:19" ht="29.25" customHeight="1">
      <c r="A231" s="216"/>
      <c r="B231" s="340"/>
      <c r="C231" s="341"/>
      <c r="D231" s="342"/>
      <c r="E231" s="343"/>
      <c r="F231" s="162"/>
      <c r="G231" s="218"/>
      <c r="H231" s="218"/>
      <c r="I231" s="176"/>
      <c r="J231" s="177"/>
      <c r="K231" s="177"/>
      <c r="L231" s="177"/>
      <c r="M231" s="165"/>
      <c r="N231" s="176"/>
      <c r="O231" s="176"/>
      <c r="P231" s="178"/>
      <c r="Q231" s="105"/>
      <c r="R231" s="344"/>
      <c r="S231" s="105"/>
    </row>
    <row r="232" spans="1:19" ht="29.25" customHeight="1">
      <c r="A232" s="216"/>
      <c r="B232" s="340"/>
      <c r="C232" s="341"/>
      <c r="D232" s="342"/>
      <c r="E232" s="333"/>
      <c r="F232" s="162"/>
      <c r="G232" s="218"/>
      <c r="H232" s="218"/>
      <c r="I232" s="176"/>
      <c r="J232" s="177"/>
      <c r="K232" s="177"/>
      <c r="L232" s="177"/>
      <c r="M232" s="165"/>
      <c r="N232" s="176"/>
      <c r="O232" s="176"/>
      <c r="P232" s="178"/>
      <c r="Q232" s="105"/>
      <c r="R232" s="339"/>
      <c r="S232" s="105"/>
    </row>
    <row r="233" spans="1:19" ht="29.25" customHeight="1">
      <c r="A233" s="216"/>
      <c r="B233" s="340"/>
      <c r="C233" s="341"/>
      <c r="D233" s="342"/>
      <c r="E233" s="343"/>
      <c r="F233" s="162"/>
      <c r="G233" s="218"/>
      <c r="H233" s="218"/>
      <c r="I233" s="176"/>
      <c r="J233" s="177"/>
      <c r="K233" s="177"/>
      <c r="L233" s="177"/>
      <c r="M233" s="165"/>
      <c r="N233" s="176"/>
      <c r="O233" s="176"/>
      <c r="P233" s="178"/>
      <c r="Q233" s="105"/>
      <c r="R233" s="344"/>
      <c r="S233" s="105"/>
    </row>
    <row r="234" spans="1:19" ht="29.25" customHeight="1">
      <c r="A234" s="216"/>
      <c r="B234" s="340"/>
      <c r="C234" s="341"/>
      <c r="D234" s="342"/>
      <c r="E234" s="333"/>
      <c r="F234" s="162"/>
      <c r="G234" s="218"/>
      <c r="H234" s="218"/>
      <c r="I234" s="176"/>
      <c r="J234" s="177"/>
      <c r="K234" s="177"/>
      <c r="L234" s="177"/>
      <c r="M234" s="165"/>
      <c r="N234" s="176"/>
      <c r="O234" s="176"/>
      <c r="P234" s="178"/>
      <c r="Q234" s="105"/>
      <c r="R234" s="339"/>
      <c r="S234" s="105"/>
    </row>
    <row r="235" spans="1:19" ht="29.25" customHeight="1">
      <c r="A235" s="216"/>
      <c r="B235" s="340"/>
      <c r="C235" s="341"/>
      <c r="D235" s="342"/>
      <c r="E235" s="343"/>
      <c r="F235" s="162"/>
      <c r="G235" s="218"/>
      <c r="H235" s="218"/>
      <c r="I235" s="176"/>
      <c r="J235" s="177"/>
      <c r="K235" s="177"/>
      <c r="L235" s="177"/>
      <c r="M235" s="165"/>
      <c r="N235" s="176"/>
      <c r="O235" s="176"/>
      <c r="P235" s="178"/>
      <c r="Q235" s="105"/>
      <c r="R235" s="344"/>
      <c r="S235" s="105"/>
    </row>
    <row r="236" spans="1:19" ht="29.25" customHeight="1">
      <c r="A236" s="216"/>
      <c r="B236" s="340"/>
      <c r="C236" s="341"/>
      <c r="D236" s="342"/>
      <c r="E236" s="333"/>
      <c r="F236" s="162"/>
      <c r="G236" s="218"/>
      <c r="H236" s="218"/>
      <c r="I236" s="176"/>
      <c r="J236" s="177"/>
      <c r="K236" s="177"/>
      <c r="L236" s="177"/>
      <c r="M236" s="165"/>
      <c r="N236" s="176"/>
      <c r="O236" s="176"/>
      <c r="P236" s="178"/>
      <c r="Q236" s="105"/>
      <c r="R236" s="339"/>
      <c r="S236" s="105"/>
    </row>
    <row r="237" spans="1:19" ht="29.25" customHeight="1">
      <c r="A237" s="216"/>
      <c r="B237" s="340"/>
      <c r="C237" s="341"/>
      <c r="D237" s="342"/>
      <c r="E237" s="343"/>
      <c r="F237" s="162"/>
      <c r="G237" s="218"/>
      <c r="H237" s="218"/>
      <c r="I237" s="176"/>
      <c r="J237" s="177"/>
      <c r="K237" s="177"/>
      <c r="L237" s="177"/>
      <c r="M237" s="165"/>
      <c r="N237" s="176"/>
      <c r="O237" s="176"/>
      <c r="P237" s="178"/>
      <c r="Q237" s="105"/>
      <c r="R237" s="344"/>
      <c r="S237" s="105"/>
    </row>
    <row r="238" spans="1:19" ht="29.25" customHeight="1">
      <c r="A238" s="216"/>
      <c r="B238" s="340"/>
      <c r="C238" s="341"/>
      <c r="D238" s="342"/>
      <c r="E238" s="333"/>
      <c r="F238" s="162"/>
      <c r="G238" s="218"/>
      <c r="H238" s="218"/>
      <c r="I238" s="176"/>
      <c r="J238" s="177"/>
      <c r="K238" s="177"/>
      <c r="L238" s="177"/>
      <c r="M238" s="165"/>
      <c r="N238" s="176"/>
      <c r="O238" s="176"/>
      <c r="P238" s="178"/>
      <c r="Q238" s="105"/>
      <c r="R238" s="339"/>
      <c r="S238" s="105"/>
    </row>
    <row r="239" spans="1:19" ht="29.25" customHeight="1">
      <c r="A239" s="216"/>
      <c r="B239" s="340"/>
      <c r="C239" s="341"/>
      <c r="D239" s="342"/>
      <c r="E239" s="343"/>
      <c r="F239" s="162"/>
      <c r="G239" s="218"/>
      <c r="H239" s="218"/>
      <c r="I239" s="176"/>
      <c r="J239" s="177"/>
      <c r="K239" s="177"/>
      <c r="L239" s="177"/>
      <c r="M239" s="165"/>
      <c r="N239" s="176"/>
      <c r="O239" s="176"/>
      <c r="P239" s="178"/>
      <c r="Q239" s="105"/>
      <c r="R239" s="344"/>
      <c r="S239" s="105"/>
    </row>
    <row r="240" spans="1:19" ht="29.25" customHeight="1">
      <c r="A240" s="216"/>
      <c r="B240" s="340"/>
      <c r="C240" s="341"/>
      <c r="D240" s="342"/>
      <c r="E240" s="333"/>
      <c r="F240" s="162"/>
      <c r="G240" s="218"/>
      <c r="H240" s="218"/>
      <c r="I240" s="176"/>
      <c r="J240" s="177"/>
      <c r="K240" s="177"/>
      <c r="L240" s="177"/>
      <c r="M240" s="165"/>
      <c r="N240" s="176"/>
      <c r="O240" s="176"/>
      <c r="P240" s="178"/>
      <c r="Q240" s="105"/>
      <c r="R240" s="339"/>
      <c r="S240" s="105"/>
    </row>
    <row r="241" spans="1:19" ht="29.25" customHeight="1">
      <c r="A241" s="216"/>
      <c r="B241" s="340"/>
      <c r="C241" s="341"/>
      <c r="D241" s="342"/>
      <c r="E241" s="343"/>
      <c r="F241" s="162"/>
      <c r="G241" s="218"/>
      <c r="H241" s="218"/>
      <c r="I241" s="176"/>
      <c r="J241" s="177"/>
      <c r="K241" s="177"/>
      <c r="L241" s="177"/>
      <c r="M241" s="165"/>
      <c r="N241" s="176"/>
      <c r="O241" s="176"/>
      <c r="P241" s="178"/>
      <c r="Q241" s="105"/>
      <c r="R241" s="344"/>
      <c r="S241" s="105"/>
    </row>
    <row r="242" spans="1:19" ht="29.25" customHeight="1">
      <c r="A242" s="216"/>
      <c r="B242" s="340"/>
      <c r="C242" s="341"/>
      <c r="D242" s="342"/>
      <c r="E242" s="333"/>
      <c r="F242" s="162"/>
      <c r="G242" s="218"/>
      <c r="H242" s="218"/>
      <c r="I242" s="176"/>
      <c r="J242" s="177"/>
      <c r="K242" s="177"/>
      <c r="L242" s="177"/>
      <c r="M242" s="165"/>
      <c r="N242" s="176"/>
      <c r="O242" s="176"/>
      <c r="P242" s="178"/>
      <c r="Q242" s="105"/>
      <c r="R242" s="339"/>
      <c r="S242" s="105"/>
    </row>
    <row r="243" spans="1:19" ht="29.25" customHeight="1">
      <c r="A243" s="216"/>
      <c r="B243" s="340"/>
      <c r="C243" s="341"/>
      <c r="D243" s="342"/>
      <c r="E243" s="343"/>
      <c r="F243" s="162"/>
      <c r="G243" s="218"/>
      <c r="H243" s="218"/>
      <c r="I243" s="176"/>
      <c r="J243" s="177"/>
      <c r="K243" s="177"/>
      <c r="L243" s="177"/>
      <c r="M243" s="165"/>
      <c r="N243" s="176"/>
      <c r="O243" s="176"/>
      <c r="P243" s="178"/>
      <c r="Q243" s="105"/>
      <c r="R243" s="344"/>
      <c r="S243" s="105"/>
    </row>
    <row r="244" spans="1:19" ht="29.25" customHeight="1">
      <c r="A244" s="216"/>
      <c r="B244" s="340"/>
      <c r="C244" s="341"/>
      <c r="D244" s="342"/>
      <c r="E244" s="333"/>
      <c r="F244" s="162"/>
      <c r="G244" s="218"/>
      <c r="H244" s="218"/>
      <c r="I244" s="176"/>
      <c r="J244" s="177"/>
      <c r="K244" s="177"/>
      <c r="L244" s="177"/>
      <c r="M244" s="165"/>
      <c r="N244" s="176"/>
      <c r="O244" s="176"/>
      <c r="P244" s="178"/>
      <c r="Q244" s="105"/>
      <c r="R244" s="339"/>
      <c r="S244" s="105"/>
    </row>
    <row r="245" spans="1:19" ht="29.25" customHeight="1">
      <c r="A245" s="216"/>
      <c r="B245" s="340"/>
      <c r="C245" s="341"/>
      <c r="D245" s="342"/>
      <c r="E245" s="343"/>
      <c r="F245" s="162"/>
      <c r="G245" s="218"/>
      <c r="H245" s="218"/>
      <c r="I245" s="176"/>
      <c r="J245" s="177"/>
      <c r="K245" s="177"/>
      <c r="L245" s="177"/>
      <c r="M245" s="165"/>
      <c r="N245" s="176"/>
      <c r="O245" s="176"/>
      <c r="P245" s="178"/>
      <c r="Q245" s="105"/>
      <c r="R245" s="344"/>
      <c r="S245" s="105"/>
    </row>
    <row r="246" spans="1:19" ht="29.25" customHeight="1">
      <c r="A246" s="216"/>
      <c r="B246" s="340"/>
      <c r="C246" s="341"/>
      <c r="D246" s="342"/>
      <c r="E246" s="333"/>
      <c r="F246" s="162"/>
      <c r="G246" s="218"/>
      <c r="H246" s="218"/>
      <c r="I246" s="176"/>
      <c r="J246" s="177"/>
      <c r="K246" s="177"/>
      <c r="L246" s="177"/>
      <c r="M246" s="165"/>
      <c r="N246" s="176"/>
      <c r="O246" s="176"/>
      <c r="P246" s="178"/>
      <c r="Q246" s="105"/>
      <c r="R246" s="339"/>
      <c r="S246" s="105"/>
    </row>
    <row r="247" spans="1:19" ht="29.25" customHeight="1">
      <c r="A247" s="216"/>
      <c r="B247" s="340"/>
      <c r="C247" s="341"/>
      <c r="D247" s="342"/>
      <c r="E247" s="343"/>
      <c r="F247" s="162"/>
      <c r="G247" s="218"/>
      <c r="H247" s="218"/>
      <c r="I247" s="176"/>
      <c r="J247" s="177"/>
      <c r="K247" s="177"/>
      <c r="L247" s="177"/>
      <c r="M247" s="165"/>
      <c r="N247" s="176"/>
      <c r="O247" s="176"/>
      <c r="P247" s="178"/>
      <c r="Q247" s="105"/>
      <c r="R247" s="344"/>
      <c r="S247" s="105"/>
    </row>
    <row r="248" spans="1:19" ht="29.25" customHeight="1">
      <c r="A248" s="216"/>
      <c r="B248" s="340"/>
      <c r="C248" s="341"/>
      <c r="D248" s="342"/>
      <c r="E248" s="333"/>
      <c r="F248" s="162"/>
      <c r="G248" s="218"/>
      <c r="H248" s="218"/>
      <c r="I248" s="176"/>
      <c r="J248" s="177"/>
      <c r="K248" s="177"/>
      <c r="L248" s="177"/>
      <c r="M248" s="165"/>
      <c r="N248" s="176"/>
      <c r="O248" s="176"/>
      <c r="P248" s="178"/>
      <c r="Q248" s="105"/>
      <c r="R248" s="339"/>
      <c r="S248" s="105"/>
    </row>
    <row r="249" spans="1:19" ht="29.25" customHeight="1">
      <c r="A249" s="216"/>
      <c r="B249" s="340"/>
      <c r="C249" s="341"/>
      <c r="D249" s="342"/>
      <c r="E249" s="343"/>
      <c r="F249" s="162"/>
      <c r="G249" s="218"/>
      <c r="H249" s="218"/>
      <c r="I249" s="176"/>
      <c r="J249" s="177"/>
      <c r="K249" s="177"/>
      <c r="L249" s="177"/>
      <c r="M249" s="165"/>
      <c r="N249" s="176"/>
      <c r="O249" s="176"/>
      <c r="P249" s="178"/>
      <c r="Q249" s="105"/>
      <c r="R249" s="344"/>
      <c r="S249" s="105"/>
    </row>
    <row r="250" spans="1:19" ht="29.25" customHeight="1">
      <c r="A250" s="216"/>
      <c r="B250" s="340"/>
      <c r="C250" s="341"/>
      <c r="D250" s="342"/>
      <c r="E250" s="333"/>
      <c r="F250" s="162"/>
      <c r="G250" s="218"/>
      <c r="H250" s="218"/>
      <c r="I250" s="176"/>
      <c r="J250" s="177"/>
      <c r="K250" s="177"/>
      <c r="L250" s="177"/>
      <c r="M250" s="165"/>
      <c r="N250" s="176"/>
      <c r="O250" s="176"/>
      <c r="P250" s="178"/>
      <c r="Q250" s="105"/>
      <c r="R250" s="339"/>
      <c r="S250" s="105"/>
    </row>
    <row r="251" spans="1:19" ht="29.25" customHeight="1">
      <c r="A251" s="216"/>
      <c r="B251" s="340"/>
      <c r="C251" s="341"/>
      <c r="D251" s="342"/>
      <c r="E251" s="343"/>
      <c r="F251" s="162"/>
      <c r="G251" s="218"/>
      <c r="H251" s="218"/>
      <c r="I251" s="176"/>
      <c r="J251" s="177"/>
      <c r="K251" s="177"/>
      <c r="L251" s="177"/>
      <c r="M251" s="165"/>
      <c r="N251" s="176"/>
      <c r="O251" s="176"/>
      <c r="P251" s="178"/>
      <c r="Q251" s="105"/>
      <c r="R251" s="344"/>
      <c r="S251" s="105"/>
    </row>
    <row r="252" spans="1:19" ht="29.25" customHeight="1">
      <c r="A252" s="216"/>
      <c r="B252" s="340"/>
      <c r="C252" s="341"/>
      <c r="D252" s="342"/>
      <c r="E252" s="333"/>
      <c r="F252" s="162"/>
      <c r="G252" s="218"/>
      <c r="H252" s="218"/>
      <c r="I252" s="176"/>
      <c r="J252" s="177"/>
      <c r="K252" s="177"/>
      <c r="L252" s="177"/>
      <c r="M252" s="165"/>
      <c r="N252" s="176"/>
      <c r="O252" s="176"/>
      <c r="P252" s="178"/>
      <c r="Q252" s="105"/>
      <c r="R252" s="339"/>
      <c r="S252" s="105"/>
    </row>
    <row r="253" spans="1:19" ht="29.25" customHeight="1">
      <c r="A253" s="216"/>
      <c r="B253" s="340"/>
      <c r="C253" s="341"/>
      <c r="D253" s="342"/>
      <c r="E253" s="343"/>
      <c r="F253" s="162"/>
      <c r="G253" s="218"/>
      <c r="H253" s="218"/>
      <c r="I253" s="176"/>
      <c r="J253" s="177"/>
      <c r="K253" s="177"/>
      <c r="L253" s="177"/>
      <c r="M253" s="165"/>
      <c r="N253" s="176"/>
      <c r="O253" s="176"/>
      <c r="P253" s="178"/>
      <c r="Q253" s="105"/>
      <c r="R253" s="344"/>
      <c r="S253" s="105"/>
    </row>
    <row r="254" spans="1:19" ht="29.25" customHeight="1">
      <c r="A254" s="216"/>
      <c r="B254" s="340"/>
      <c r="C254" s="341"/>
      <c r="D254" s="342"/>
      <c r="E254" s="333"/>
      <c r="F254" s="162"/>
      <c r="G254" s="218"/>
      <c r="H254" s="218"/>
      <c r="I254" s="176"/>
      <c r="J254" s="177"/>
      <c r="K254" s="177"/>
      <c r="L254" s="177"/>
      <c r="M254" s="165"/>
      <c r="N254" s="176"/>
      <c r="O254" s="176"/>
      <c r="P254" s="178"/>
      <c r="Q254" s="105"/>
      <c r="R254" s="339"/>
      <c r="S254" s="105"/>
    </row>
    <row r="255" spans="1:19" ht="29.25" customHeight="1">
      <c r="A255" s="216"/>
      <c r="B255" s="340"/>
      <c r="C255" s="341"/>
      <c r="D255" s="342"/>
      <c r="E255" s="343"/>
      <c r="F255" s="162"/>
      <c r="G255" s="218"/>
      <c r="H255" s="218"/>
      <c r="I255" s="176"/>
      <c r="J255" s="177"/>
      <c r="K255" s="177"/>
      <c r="L255" s="177"/>
      <c r="M255" s="165"/>
      <c r="N255" s="176"/>
      <c r="O255" s="176"/>
      <c r="P255" s="178"/>
      <c r="Q255" s="105"/>
      <c r="R255" s="344"/>
      <c r="S255" s="105"/>
    </row>
    <row r="256" spans="1:19" ht="29.25" customHeight="1">
      <c r="A256" s="216"/>
      <c r="B256" s="340"/>
      <c r="C256" s="341"/>
      <c r="D256" s="342"/>
      <c r="E256" s="333"/>
      <c r="F256" s="162"/>
      <c r="G256" s="218"/>
      <c r="H256" s="218"/>
      <c r="I256" s="176"/>
      <c r="J256" s="177"/>
      <c r="K256" s="177"/>
      <c r="L256" s="177"/>
      <c r="M256" s="165"/>
      <c r="N256" s="176"/>
      <c r="O256" s="176"/>
      <c r="P256" s="178"/>
      <c r="Q256" s="105"/>
      <c r="R256" s="339"/>
      <c r="S256" s="105"/>
    </row>
    <row r="257" spans="1:19" ht="29.25" customHeight="1">
      <c r="A257" s="216"/>
      <c r="B257" s="340"/>
      <c r="C257" s="341"/>
      <c r="D257" s="342"/>
      <c r="E257" s="343"/>
      <c r="F257" s="162"/>
      <c r="G257" s="218"/>
      <c r="H257" s="218"/>
      <c r="I257" s="176"/>
      <c r="J257" s="177"/>
      <c r="K257" s="177"/>
      <c r="L257" s="177"/>
      <c r="M257" s="165"/>
      <c r="N257" s="176"/>
      <c r="O257" s="176"/>
      <c r="P257" s="178"/>
      <c r="Q257" s="105"/>
      <c r="R257" s="344"/>
      <c r="S257" s="105"/>
    </row>
    <row r="258" spans="1:19" ht="29.25" customHeight="1">
      <c r="A258" s="216"/>
      <c r="B258" s="340"/>
      <c r="C258" s="341"/>
      <c r="D258" s="342"/>
      <c r="E258" s="333"/>
      <c r="F258" s="162"/>
      <c r="G258" s="218"/>
      <c r="H258" s="218"/>
      <c r="I258" s="176"/>
      <c r="J258" s="177"/>
      <c r="K258" s="177"/>
      <c r="L258" s="177"/>
      <c r="M258" s="165"/>
      <c r="N258" s="176"/>
      <c r="O258" s="176"/>
      <c r="P258" s="178"/>
      <c r="Q258" s="105"/>
      <c r="R258" s="339"/>
      <c r="S258" s="105"/>
    </row>
    <row r="259" spans="1:19" ht="29.25" customHeight="1">
      <c r="A259" s="216"/>
      <c r="B259" s="340"/>
      <c r="C259" s="341"/>
      <c r="D259" s="342"/>
      <c r="E259" s="343"/>
      <c r="F259" s="162"/>
      <c r="G259" s="218"/>
      <c r="H259" s="218"/>
      <c r="I259" s="176"/>
      <c r="J259" s="177"/>
      <c r="K259" s="177"/>
      <c r="L259" s="177"/>
      <c r="M259" s="165"/>
      <c r="N259" s="176"/>
      <c r="O259" s="176"/>
      <c r="P259" s="178"/>
      <c r="Q259" s="105"/>
      <c r="R259" s="344"/>
      <c r="S259" s="105"/>
    </row>
    <row r="260" spans="1:19" ht="29.25" customHeight="1">
      <c r="A260" s="216"/>
      <c r="B260" s="340"/>
      <c r="C260" s="341"/>
      <c r="D260" s="342"/>
      <c r="E260" s="333"/>
      <c r="F260" s="162"/>
      <c r="G260" s="218"/>
      <c r="H260" s="218"/>
      <c r="I260" s="176"/>
      <c r="J260" s="177"/>
      <c r="K260" s="177"/>
      <c r="L260" s="177"/>
      <c r="M260" s="165"/>
      <c r="N260" s="176"/>
      <c r="O260" s="176"/>
      <c r="P260" s="178"/>
      <c r="Q260" s="105"/>
      <c r="R260" s="339"/>
      <c r="S260" s="105"/>
    </row>
    <row r="261" spans="1:19" ht="29.25" customHeight="1">
      <c r="A261" s="216"/>
      <c r="B261" s="340"/>
      <c r="C261" s="341"/>
      <c r="D261" s="342"/>
      <c r="E261" s="343"/>
      <c r="F261" s="162"/>
      <c r="G261" s="218"/>
      <c r="H261" s="218"/>
      <c r="I261" s="176"/>
      <c r="J261" s="177"/>
      <c r="K261" s="177"/>
      <c r="L261" s="177"/>
      <c r="M261" s="165"/>
      <c r="N261" s="176"/>
      <c r="O261" s="176"/>
      <c r="P261" s="178"/>
      <c r="Q261" s="105"/>
      <c r="R261" s="344"/>
      <c r="S261" s="105"/>
    </row>
    <row r="262" spans="1:19" ht="29.25" customHeight="1">
      <c r="A262" s="216"/>
      <c r="B262" s="340"/>
      <c r="C262" s="341"/>
      <c r="D262" s="342"/>
      <c r="E262" s="333"/>
      <c r="F262" s="162"/>
      <c r="G262" s="218"/>
      <c r="H262" s="218"/>
      <c r="I262" s="176"/>
      <c r="J262" s="177"/>
      <c r="K262" s="177"/>
      <c r="L262" s="177"/>
      <c r="M262" s="165"/>
      <c r="N262" s="176"/>
      <c r="O262" s="176"/>
      <c r="P262" s="178"/>
      <c r="Q262" s="105"/>
      <c r="R262" s="339"/>
      <c r="S262" s="105"/>
    </row>
    <row r="263" spans="1:19" ht="29.25" customHeight="1">
      <c r="A263" s="216"/>
      <c r="B263" s="340"/>
      <c r="C263" s="341"/>
      <c r="D263" s="342"/>
      <c r="E263" s="343"/>
      <c r="F263" s="162"/>
      <c r="G263" s="218"/>
      <c r="H263" s="218"/>
      <c r="I263" s="176"/>
      <c r="J263" s="177"/>
      <c r="K263" s="177"/>
      <c r="L263" s="177"/>
      <c r="M263" s="165"/>
      <c r="N263" s="176"/>
      <c r="O263" s="176"/>
      <c r="P263" s="178"/>
      <c r="Q263" s="105"/>
      <c r="R263" s="344"/>
      <c r="S263" s="105"/>
    </row>
    <row r="264" spans="1:19" ht="29.25" customHeight="1">
      <c r="A264" s="216"/>
      <c r="B264" s="340"/>
      <c r="C264" s="341"/>
      <c r="D264" s="342"/>
      <c r="E264" s="333"/>
      <c r="F264" s="162"/>
      <c r="G264" s="218"/>
      <c r="H264" s="218"/>
      <c r="I264" s="176"/>
      <c r="J264" s="177"/>
      <c r="K264" s="177"/>
      <c r="L264" s="177"/>
      <c r="M264" s="165"/>
      <c r="N264" s="176"/>
      <c r="O264" s="176"/>
      <c r="P264" s="178"/>
      <c r="Q264" s="105"/>
      <c r="R264" s="339"/>
      <c r="S264" s="105"/>
    </row>
    <row r="265" spans="1:19" ht="29.25" customHeight="1">
      <c r="A265" s="216"/>
      <c r="B265" s="340"/>
      <c r="C265" s="341"/>
      <c r="D265" s="342"/>
      <c r="E265" s="343"/>
      <c r="F265" s="162"/>
      <c r="G265" s="218"/>
      <c r="H265" s="218"/>
      <c r="I265" s="176"/>
      <c r="J265" s="177"/>
      <c r="K265" s="177"/>
      <c r="L265" s="177"/>
      <c r="M265" s="165"/>
      <c r="N265" s="176"/>
      <c r="O265" s="176"/>
      <c r="P265" s="178"/>
      <c r="Q265" s="105"/>
      <c r="R265" s="344"/>
      <c r="S265" s="105"/>
    </row>
    <row r="266" spans="1:19" ht="29.25" customHeight="1">
      <c r="A266" s="216"/>
      <c r="B266" s="340"/>
      <c r="C266" s="341"/>
      <c r="D266" s="342"/>
      <c r="E266" s="333"/>
      <c r="F266" s="162"/>
      <c r="G266" s="218"/>
      <c r="H266" s="218"/>
      <c r="I266" s="176"/>
      <c r="J266" s="177"/>
      <c r="K266" s="177"/>
      <c r="L266" s="177"/>
      <c r="M266" s="165"/>
      <c r="N266" s="176"/>
      <c r="O266" s="176"/>
      <c r="P266" s="178"/>
      <c r="Q266" s="105"/>
      <c r="R266" s="339"/>
      <c r="S266" s="105"/>
    </row>
    <row r="267" spans="1:19" ht="29.25" customHeight="1">
      <c r="A267" s="216"/>
      <c r="B267" s="340"/>
      <c r="C267" s="341"/>
      <c r="D267" s="342"/>
      <c r="E267" s="343"/>
      <c r="F267" s="162"/>
      <c r="G267" s="218"/>
      <c r="H267" s="218"/>
      <c r="I267" s="176"/>
      <c r="J267" s="177"/>
      <c r="K267" s="177"/>
      <c r="L267" s="177"/>
      <c r="M267" s="165"/>
      <c r="N267" s="176"/>
      <c r="O267" s="176"/>
      <c r="P267" s="178"/>
      <c r="Q267" s="105"/>
      <c r="R267" s="344"/>
      <c r="S267" s="105"/>
    </row>
    <row r="268" spans="1:19" ht="29.25" customHeight="1">
      <c r="A268" s="216"/>
      <c r="B268" s="340"/>
      <c r="C268" s="341"/>
      <c r="D268" s="342"/>
      <c r="E268" s="333"/>
      <c r="F268" s="162"/>
      <c r="G268" s="218"/>
      <c r="H268" s="218"/>
      <c r="I268" s="176"/>
      <c r="J268" s="177"/>
      <c r="K268" s="177"/>
      <c r="L268" s="177"/>
      <c r="M268" s="165"/>
      <c r="N268" s="176"/>
      <c r="O268" s="176"/>
      <c r="P268" s="178"/>
      <c r="Q268" s="105"/>
      <c r="R268" s="339"/>
      <c r="S268" s="105"/>
    </row>
    <row r="269" spans="1:19" ht="29.25" customHeight="1">
      <c r="A269" s="216"/>
      <c r="B269" s="340"/>
      <c r="C269" s="341"/>
      <c r="D269" s="342"/>
      <c r="E269" s="343"/>
      <c r="F269" s="162"/>
      <c r="G269" s="218"/>
      <c r="H269" s="218"/>
      <c r="I269" s="176"/>
      <c r="J269" s="177"/>
      <c r="K269" s="177"/>
      <c r="L269" s="177"/>
      <c r="M269" s="165"/>
      <c r="N269" s="176"/>
      <c r="O269" s="176"/>
      <c r="P269" s="178"/>
      <c r="Q269" s="105"/>
      <c r="R269" s="344"/>
      <c r="S269" s="105"/>
    </row>
    <row r="270" spans="1:19" ht="29.25" customHeight="1">
      <c r="A270" s="216"/>
      <c r="B270" s="340"/>
      <c r="C270" s="341"/>
      <c r="D270" s="342"/>
      <c r="E270" s="333"/>
      <c r="F270" s="162"/>
      <c r="G270" s="218"/>
      <c r="H270" s="218"/>
      <c r="I270" s="176"/>
      <c r="J270" s="177"/>
      <c r="K270" s="177"/>
      <c r="L270" s="177"/>
      <c r="M270" s="165"/>
      <c r="N270" s="176"/>
      <c r="O270" s="176"/>
      <c r="P270" s="178"/>
      <c r="Q270" s="105"/>
      <c r="R270" s="339"/>
      <c r="S270" s="105"/>
    </row>
    <row r="271" spans="1:19" ht="29.25" customHeight="1">
      <c r="A271" s="216"/>
      <c r="B271" s="340"/>
      <c r="C271" s="341"/>
      <c r="D271" s="342"/>
      <c r="E271" s="343"/>
      <c r="F271" s="162"/>
      <c r="G271" s="218"/>
      <c r="H271" s="218"/>
      <c r="I271" s="176"/>
      <c r="J271" s="177"/>
      <c r="K271" s="177"/>
      <c r="L271" s="177"/>
      <c r="M271" s="165"/>
      <c r="N271" s="176"/>
      <c r="O271" s="176"/>
      <c r="P271" s="178"/>
      <c r="Q271" s="105"/>
      <c r="R271" s="344"/>
      <c r="S271" s="105"/>
    </row>
    <row r="272" spans="1:19" ht="29.25" customHeight="1">
      <c r="A272" s="216"/>
      <c r="B272" s="340"/>
      <c r="C272" s="341"/>
      <c r="D272" s="342"/>
      <c r="E272" s="333"/>
      <c r="F272" s="162"/>
      <c r="G272" s="218"/>
      <c r="H272" s="218"/>
      <c r="I272" s="176"/>
      <c r="J272" s="177"/>
      <c r="K272" s="177"/>
      <c r="L272" s="177"/>
      <c r="M272" s="165"/>
      <c r="N272" s="176"/>
      <c r="O272" s="176"/>
      <c r="P272" s="178"/>
      <c r="Q272" s="105"/>
      <c r="R272" s="339"/>
      <c r="S272" s="105"/>
    </row>
    <row r="273" spans="1:19" ht="29.25" customHeight="1">
      <c r="A273" s="216"/>
      <c r="B273" s="340"/>
      <c r="C273" s="341"/>
      <c r="D273" s="342"/>
      <c r="E273" s="343"/>
      <c r="F273" s="162"/>
      <c r="G273" s="218"/>
      <c r="H273" s="218"/>
      <c r="I273" s="176"/>
      <c r="J273" s="177"/>
      <c r="K273" s="177"/>
      <c r="L273" s="177"/>
      <c r="M273" s="165"/>
      <c r="N273" s="176"/>
      <c r="O273" s="176"/>
      <c r="P273" s="178"/>
      <c r="Q273" s="105"/>
      <c r="R273" s="344"/>
      <c r="S273" s="105"/>
    </row>
    <row r="274" spans="1:19" ht="29.25" customHeight="1">
      <c r="A274" s="216"/>
      <c r="B274" s="340"/>
      <c r="C274" s="341"/>
      <c r="D274" s="342"/>
      <c r="E274" s="333"/>
      <c r="F274" s="162"/>
      <c r="G274" s="218"/>
      <c r="H274" s="218"/>
      <c r="I274" s="176"/>
      <c r="J274" s="177"/>
      <c r="K274" s="177"/>
      <c r="L274" s="177"/>
      <c r="M274" s="165"/>
      <c r="N274" s="176"/>
      <c r="O274" s="176"/>
      <c r="P274" s="178"/>
      <c r="Q274" s="105"/>
      <c r="R274" s="339"/>
      <c r="S274" s="105"/>
    </row>
    <row r="275" spans="1:19" ht="29.25" customHeight="1">
      <c r="A275" s="216"/>
      <c r="B275" s="340"/>
      <c r="C275" s="341"/>
      <c r="D275" s="342"/>
      <c r="E275" s="343"/>
      <c r="F275" s="162"/>
      <c r="G275" s="218"/>
      <c r="H275" s="218"/>
      <c r="I275" s="176"/>
      <c r="J275" s="177"/>
      <c r="K275" s="177"/>
      <c r="L275" s="177"/>
      <c r="M275" s="165"/>
      <c r="N275" s="176"/>
      <c r="O275" s="176"/>
      <c r="P275" s="178"/>
      <c r="Q275" s="105"/>
      <c r="R275" s="344"/>
      <c r="S275" s="105"/>
    </row>
    <row r="276" spans="1:19" ht="29.25" customHeight="1">
      <c r="A276" s="216"/>
      <c r="B276" s="340"/>
      <c r="C276" s="341"/>
      <c r="D276" s="342"/>
      <c r="E276" s="333"/>
      <c r="F276" s="162"/>
      <c r="G276" s="218"/>
      <c r="H276" s="218"/>
      <c r="I276" s="176"/>
      <c r="J276" s="177"/>
      <c r="K276" s="177"/>
      <c r="L276" s="177"/>
      <c r="M276" s="165"/>
      <c r="N276" s="176"/>
      <c r="O276" s="176"/>
      <c r="P276" s="178"/>
      <c r="Q276" s="105"/>
      <c r="R276" s="339"/>
      <c r="S276" s="105"/>
    </row>
    <row r="277" spans="1:19" ht="29.25" customHeight="1">
      <c r="A277" s="216"/>
      <c r="B277" s="340"/>
      <c r="C277" s="341"/>
      <c r="D277" s="342"/>
      <c r="E277" s="343"/>
      <c r="F277" s="162"/>
      <c r="G277" s="218"/>
      <c r="H277" s="218"/>
      <c r="I277" s="176"/>
      <c r="J277" s="177"/>
      <c r="K277" s="177"/>
      <c r="L277" s="177"/>
      <c r="M277" s="165"/>
      <c r="N277" s="176"/>
      <c r="O277" s="176"/>
      <c r="P277" s="178"/>
      <c r="Q277" s="105"/>
      <c r="R277" s="344"/>
      <c r="S277" s="105"/>
    </row>
    <row r="278" spans="1:19" ht="29.25" customHeight="1">
      <c r="A278" s="216"/>
      <c r="B278" s="340"/>
      <c r="C278" s="341"/>
      <c r="D278" s="342"/>
      <c r="E278" s="333"/>
      <c r="F278" s="162"/>
      <c r="G278" s="218"/>
      <c r="H278" s="218"/>
      <c r="I278" s="176"/>
      <c r="J278" s="177"/>
      <c r="K278" s="177"/>
      <c r="L278" s="177"/>
      <c r="M278" s="165"/>
      <c r="N278" s="176"/>
      <c r="O278" s="176"/>
      <c r="P278" s="178"/>
      <c r="Q278" s="105"/>
      <c r="R278" s="339"/>
      <c r="S278" s="105"/>
    </row>
    <row r="279" spans="1:19" ht="29.25" customHeight="1">
      <c r="A279" s="216"/>
      <c r="B279" s="340"/>
      <c r="C279" s="341"/>
      <c r="D279" s="342"/>
      <c r="E279" s="343"/>
      <c r="F279" s="162"/>
      <c r="G279" s="218"/>
      <c r="H279" s="218"/>
      <c r="I279" s="176"/>
      <c r="J279" s="177"/>
      <c r="K279" s="177"/>
      <c r="L279" s="177"/>
      <c r="M279" s="165"/>
      <c r="N279" s="176"/>
      <c r="O279" s="176"/>
      <c r="P279" s="178"/>
      <c r="Q279" s="105"/>
      <c r="R279" s="344"/>
      <c r="S279" s="105"/>
    </row>
    <row r="280" spans="1:19" ht="29.25" customHeight="1">
      <c r="A280" s="216"/>
      <c r="B280" s="340"/>
      <c r="C280" s="341"/>
      <c r="D280" s="342"/>
      <c r="E280" s="333"/>
      <c r="F280" s="162"/>
      <c r="G280" s="218"/>
      <c r="H280" s="218"/>
      <c r="I280" s="176"/>
      <c r="J280" s="177"/>
      <c r="K280" s="177"/>
      <c r="L280" s="177"/>
      <c r="M280" s="165"/>
      <c r="N280" s="176"/>
      <c r="O280" s="176"/>
      <c r="P280" s="178"/>
      <c r="Q280" s="105"/>
      <c r="R280" s="339"/>
      <c r="S280" s="105"/>
    </row>
    <row r="281" spans="1:19" ht="29.25" customHeight="1">
      <c r="A281" s="216"/>
      <c r="B281" s="340"/>
      <c r="C281" s="341"/>
      <c r="D281" s="342"/>
      <c r="E281" s="343"/>
      <c r="F281" s="162"/>
      <c r="G281" s="218"/>
      <c r="H281" s="218"/>
      <c r="I281" s="176"/>
      <c r="J281" s="177"/>
      <c r="K281" s="177"/>
      <c r="L281" s="177"/>
      <c r="M281" s="165"/>
      <c r="N281" s="176"/>
      <c r="O281" s="176"/>
      <c r="P281" s="178"/>
      <c r="Q281" s="105"/>
      <c r="R281" s="344"/>
      <c r="S281" s="105"/>
    </row>
    <row r="282" spans="1:19" ht="29.25" customHeight="1">
      <c r="A282" s="216"/>
      <c r="B282" s="340"/>
      <c r="C282" s="341"/>
      <c r="D282" s="342"/>
      <c r="E282" s="333"/>
      <c r="F282" s="162"/>
      <c r="G282" s="218"/>
      <c r="H282" s="218"/>
      <c r="I282" s="176"/>
      <c r="J282" s="177"/>
      <c r="K282" s="177"/>
      <c r="L282" s="177"/>
      <c r="M282" s="165"/>
      <c r="N282" s="176"/>
      <c r="O282" s="176"/>
      <c r="P282" s="178"/>
      <c r="Q282" s="105"/>
      <c r="R282" s="339"/>
      <c r="S282" s="105"/>
    </row>
    <row r="283" spans="1:19" ht="29.25" customHeight="1">
      <c r="A283" s="216"/>
      <c r="B283" s="340"/>
      <c r="C283" s="341"/>
      <c r="D283" s="342"/>
      <c r="E283" s="343"/>
      <c r="F283" s="162"/>
      <c r="G283" s="218"/>
      <c r="H283" s="218"/>
      <c r="I283" s="176"/>
      <c r="J283" s="177"/>
      <c r="K283" s="177"/>
      <c r="L283" s="177"/>
      <c r="M283" s="165"/>
      <c r="N283" s="176"/>
      <c r="O283" s="176"/>
      <c r="P283" s="178"/>
      <c r="Q283" s="105"/>
      <c r="R283" s="344"/>
      <c r="S283" s="105"/>
    </row>
    <row r="284" spans="1:19" ht="29.25" customHeight="1">
      <c r="A284" s="216"/>
      <c r="B284" s="340"/>
      <c r="C284" s="341"/>
      <c r="D284" s="342"/>
      <c r="E284" s="333"/>
      <c r="F284" s="162"/>
      <c r="G284" s="218"/>
      <c r="H284" s="218"/>
      <c r="I284" s="176"/>
      <c r="J284" s="177"/>
      <c r="K284" s="177"/>
      <c r="L284" s="177"/>
      <c r="M284" s="165"/>
      <c r="N284" s="176"/>
      <c r="O284" s="176"/>
      <c r="P284" s="178"/>
      <c r="Q284" s="105"/>
      <c r="R284" s="339"/>
      <c r="S284" s="105"/>
    </row>
    <row r="285" spans="1:19" ht="29.25" customHeight="1">
      <c r="A285" s="216"/>
      <c r="B285" s="340"/>
      <c r="C285" s="341"/>
      <c r="D285" s="342"/>
      <c r="E285" s="343"/>
      <c r="F285" s="162"/>
      <c r="G285" s="218"/>
      <c r="H285" s="218"/>
      <c r="I285" s="176"/>
      <c r="J285" s="177"/>
      <c r="K285" s="177"/>
      <c r="L285" s="177"/>
      <c r="M285" s="165"/>
      <c r="N285" s="176"/>
      <c r="O285" s="176"/>
      <c r="P285" s="178"/>
      <c r="Q285" s="105"/>
      <c r="R285" s="344"/>
      <c r="S285" s="105"/>
    </row>
    <row r="286" spans="1:19" ht="29.25" customHeight="1">
      <c r="A286" s="216"/>
      <c r="B286" s="340"/>
      <c r="C286" s="341"/>
      <c r="D286" s="342"/>
      <c r="E286" s="333"/>
      <c r="F286" s="162"/>
      <c r="G286" s="218"/>
      <c r="H286" s="218"/>
      <c r="I286" s="176"/>
      <c r="J286" s="177"/>
      <c r="K286" s="177"/>
      <c r="L286" s="177"/>
      <c r="M286" s="165"/>
      <c r="N286" s="176"/>
      <c r="O286" s="176"/>
      <c r="P286" s="178"/>
      <c r="Q286" s="105"/>
      <c r="R286" s="339"/>
      <c r="S286" s="105"/>
    </row>
    <row r="287" spans="1:19" ht="29.25" customHeight="1">
      <c r="A287" s="216"/>
      <c r="B287" s="340"/>
      <c r="C287" s="341"/>
      <c r="D287" s="342"/>
      <c r="E287" s="343"/>
      <c r="F287" s="162"/>
      <c r="G287" s="218"/>
      <c r="H287" s="218"/>
      <c r="I287" s="176"/>
      <c r="J287" s="177"/>
      <c r="K287" s="177"/>
      <c r="L287" s="177"/>
      <c r="M287" s="165"/>
      <c r="N287" s="176"/>
      <c r="O287" s="176"/>
      <c r="P287" s="178"/>
      <c r="Q287" s="105"/>
      <c r="R287" s="344"/>
      <c r="S287" s="105"/>
    </row>
    <row r="288" spans="1:19" ht="29.25" customHeight="1">
      <c r="A288" s="216"/>
      <c r="B288" s="340"/>
      <c r="C288" s="341"/>
      <c r="D288" s="342"/>
      <c r="E288" s="333"/>
      <c r="F288" s="162"/>
      <c r="G288" s="218"/>
      <c r="H288" s="218"/>
      <c r="I288" s="176"/>
      <c r="J288" s="177"/>
      <c r="K288" s="177"/>
      <c r="L288" s="177"/>
      <c r="M288" s="165"/>
      <c r="N288" s="176"/>
      <c r="O288" s="176"/>
      <c r="P288" s="178"/>
      <c r="Q288" s="105"/>
      <c r="R288" s="339"/>
      <c r="S288" s="105"/>
    </row>
    <row r="289" spans="1:19" ht="29.25" customHeight="1">
      <c r="A289" s="216"/>
      <c r="B289" s="340"/>
      <c r="C289" s="341"/>
      <c r="D289" s="342"/>
      <c r="E289" s="343"/>
      <c r="F289" s="162"/>
      <c r="G289" s="218"/>
      <c r="H289" s="218"/>
      <c r="I289" s="176"/>
      <c r="J289" s="177"/>
      <c r="K289" s="177"/>
      <c r="L289" s="177"/>
      <c r="M289" s="165"/>
      <c r="N289" s="176"/>
      <c r="O289" s="176"/>
      <c r="P289" s="178"/>
      <c r="Q289" s="105"/>
      <c r="R289" s="344"/>
      <c r="S289" s="105"/>
    </row>
    <row r="290" spans="1:19" ht="29.25" customHeight="1">
      <c r="A290" s="216"/>
      <c r="B290" s="340"/>
      <c r="C290" s="341"/>
      <c r="D290" s="342"/>
      <c r="E290" s="333"/>
      <c r="F290" s="162"/>
      <c r="G290" s="218"/>
      <c r="H290" s="218"/>
      <c r="I290" s="176"/>
      <c r="J290" s="177"/>
      <c r="K290" s="177"/>
      <c r="L290" s="177"/>
      <c r="M290" s="165"/>
      <c r="N290" s="176"/>
      <c r="O290" s="176"/>
      <c r="P290" s="178"/>
      <c r="Q290" s="105"/>
      <c r="R290" s="339"/>
      <c r="S290" s="105"/>
    </row>
    <row r="291" spans="1:19" ht="29.25" customHeight="1">
      <c r="A291" s="216"/>
      <c r="B291" s="340"/>
      <c r="C291" s="341"/>
      <c r="D291" s="342"/>
      <c r="E291" s="343"/>
      <c r="F291" s="162"/>
      <c r="G291" s="218"/>
      <c r="H291" s="218"/>
      <c r="I291" s="176"/>
      <c r="J291" s="177"/>
      <c r="K291" s="177"/>
      <c r="L291" s="177"/>
      <c r="M291" s="165"/>
      <c r="N291" s="176"/>
      <c r="O291" s="176"/>
      <c r="P291" s="178"/>
      <c r="Q291" s="105"/>
      <c r="R291" s="344"/>
      <c r="S291" s="105"/>
    </row>
    <row r="292" spans="1:19" ht="29.25" customHeight="1">
      <c r="A292" s="216"/>
      <c r="B292" s="340"/>
      <c r="C292" s="341"/>
      <c r="D292" s="342"/>
      <c r="E292" s="333"/>
      <c r="F292" s="162"/>
      <c r="G292" s="218"/>
      <c r="H292" s="218"/>
      <c r="I292" s="176"/>
      <c r="J292" s="177"/>
      <c r="K292" s="177"/>
      <c r="L292" s="177"/>
      <c r="M292" s="165"/>
      <c r="N292" s="176"/>
      <c r="O292" s="176"/>
      <c r="P292" s="178"/>
      <c r="Q292" s="105"/>
      <c r="R292" s="339"/>
      <c r="S292" s="105"/>
    </row>
    <row r="293" spans="1:19" ht="29.25" customHeight="1">
      <c r="A293" s="216"/>
      <c r="B293" s="340"/>
      <c r="C293" s="341"/>
      <c r="D293" s="342"/>
      <c r="E293" s="343"/>
      <c r="F293" s="162"/>
      <c r="G293" s="218"/>
      <c r="H293" s="218"/>
      <c r="I293" s="176"/>
      <c r="J293" s="177"/>
      <c r="K293" s="177"/>
      <c r="L293" s="177"/>
      <c r="M293" s="165"/>
      <c r="N293" s="176"/>
      <c r="O293" s="176"/>
      <c r="P293" s="178"/>
      <c r="Q293" s="105"/>
      <c r="R293" s="344"/>
      <c r="S293" s="105"/>
    </row>
    <row r="294" spans="1:19" ht="29.25" customHeight="1">
      <c r="A294" s="216"/>
      <c r="B294" s="340"/>
      <c r="C294" s="341"/>
      <c r="D294" s="342"/>
      <c r="E294" s="333"/>
      <c r="F294" s="162"/>
      <c r="G294" s="218"/>
      <c r="H294" s="218"/>
      <c r="I294" s="176"/>
      <c r="J294" s="177"/>
      <c r="K294" s="177"/>
      <c r="L294" s="177"/>
      <c r="M294" s="165"/>
      <c r="N294" s="176"/>
      <c r="O294" s="176"/>
      <c r="P294" s="178"/>
      <c r="Q294" s="105"/>
      <c r="R294" s="339"/>
      <c r="S294" s="105"/>
    </row>
    <row r="295" spans="1:19" ht="29.25" customHeight="1">
      <c r="A295" s="216"/>
      <c r="B295" s="340"/>
      <c r="C295" s="341"/>
      <c r="D295" s="342"/>
      <c r="E295" s="343"/>
      <c r="F295" s="162"/>
      <c r="G295" s="218"/>
      <c r="H295" s="218"/>
      <c r="I295" s="176"/>
      <c r="J295" s="177"/>
      <c r="K295" s="177"/>
      <c r="L295" s="177"/>
      <c r="M295" s="165"/>
      <c r="N295" s="176"/>
      <c r="O295" s="176"/>
      <c r="P295" s="178"/>
      <c r="Q295" s="105"/>
      <c r="R295" s="344"/>
      <c r="S295" s="105"/>
    </row>
    <row r="296" spans="1:19" ht="29.25" customHeight="1">
      <c r="A296" s="216"/>
      <c r="B296" s="340"/>
      <c r="C296" s="341"/>
      <c r="D296" s="342"/>
      <c r="E296" s="333"/>
      <c r="F296" s="162"/>
      <c r="G296" s="218"/>
      <c r="H296" s="218"/>
      <c r="I296" s="176"/>
      <c r="J296" s="177"/>
      <c r="K296" s="177"/>
      <c r="L296" s="177"/>
      <c r="M296" s="165"/>
      <c r="N296" s="176"/>
      <c r="O296" s="176"/>
      <c r="P296" s="178"/>
      <c r="Q296" s="105"/>
      <c r="R296" s="339"/>
      <c r="S296" s="105"/>
    </row>
    <row r="297" spans="1:19" ht="29.25" customHeight="1">
      <c r="A297" s="216"/>
      <c r="B297" s="340"/>
      <c r="C297" s="341"/>
      <c r="D297" s="342"/>
      <c r="E297" s="343"/>
      <c r="F297" s="162"/>
      <c r="G297" s="218"/>
      <c r="H297" s="218"/>
      <c r="I297" s="176"/>
      <c r="J297" s="177"/>
      <c r="K297" s="177"/>
      <c r="L297" s="177"/>
      <c r="M297" s="165"/>
      <c r="N297" s="176"/>
      <c r="O297" s="176"/>
      <c r="P297" s="178"/>
      <c r="Q297" s="105"/>
      <c r="R297" s="344"/>
      <c r="S297" s="105"/>
    </row>
    <row r="298" spans="1:19" ht="29.25" customHeight="1">
      <c r="A298" s="216"/>
      <c r="B298" s="340"/>
      <c r="C298" s="341"/>
      <c r="D298" s="342"/>
      <c r="E298" s="333"/>
      <c r="F298" s="162"/>
      <c r="G298" s="218"/>
      <c r="H298" s="218"/>
      <c r="I298" s="176"/>
      <c r="J298" s="177"/>
      <c r="K298" s="177"/>
      <c r="L298" s="177"/>
      <c r="M298" s="165"/>
      <c r="N298" s="176"/>
      <c r="O298" s="176"/>
      <c r="P298" s="178"/>
      <c r="Q298" s="105"/>
      <c r="R298" s="339"/>
      <c r="S298" s="105"/>
    </row>
    <row r="299" spans="1:19" ht="29.25" customHeight="1">
      <c r="A299" s="216"/>
      <c r="B299" s="340"/>
      <c r="C299" s="341"/>
      <c r="D299" s="342"/>
      <c r="E299" s="343"/>
      <c r="F299" s="162"/>
      <c r="G299" s="218"/>
      <c r="H299" s="218"/>
      <c r="I299" s="176"/>
      <c r="J299" s="177"/>
      <c r="K299" s="177"/>
      <c r="L299" s="177"/>
      <c r="M299" s="165"/>
      <c r="N299" s="176"/>
      <c r="O299" s="176"/>
      <c r="P299" s="178"/>
      <c r="Q299" s="105"/>
      <c r="R299" s="344"/>
      <c r="S299" s="105"/>
    </row>
    <row r="300" spans="1:19" ht="29.25" customHeight="1">
      <c r="A300" s="216"/>
      <c r="B300" s="340"/>
      <c r="C300" s="341"/>
      <c r="D300" s="342"/>
      <c r="E300" s="333"/>
      <c r="F300" s="162"/>
      <c r="G300" s="218"/>
      <c r="H300" s="218"/>
      <c r="I300" s="176"/>
      <c r="J300" s="177"/>
      <c r="K300" s="177"/>
      <c r="L300" s="177"/>
      <c r="M300" s="165"/>
      <c r="N300" s="176"/>
      <c r="O300" s="176"/>
      <c r="P300" s="178"/>
      <c r="Q300" s="105"/>
      <c r="R300" s="339"/>
      <c r="S300" s="105"/>
    </row>
    <row r="301" spans="1:19" ht="29.25" customHeight="1">
      <c r="A301" s="216"/>
      <c r="B301" s="340"/>
      <c r="C301" s="341"/>
      <c r="D301" s="342"/>
      <c r="E301" s="343"/>
      <c r="F301" s="162"/>
      <c r="G301" s="218"/>
      <c r="H301" s="218"/>
      <c r="I301" s="176"/>
      <c r="J301" s="177"/>
      <c r="K301" s="177"/>
      <c r="L301" s="177"/>
      <c r="M301" s="165"/>
      <c r="N301" s="176"/>
      <c r="O301" s="176"/>
      <c r="P301" s="178"/>
      <c r="Q301" s="105"/>
      <c r="R301" s="344"/>
      <c r="S301" s="105"/>
    </row>
    <row r="302" spans="1:19" ht="29.25" customHeight="1">
      <c r="A302" s="216"/>
      <c r="B302" s="340"/>
      <c r="C302" s="341"/>
      <c r="D302" s="342"/>
      <c r="E302" s="333"/>
      <c r="F302" s="162"/>
      <c r="G302" s="218"/>
      <c r="H302" s="218"/>
      <c r="I302" s="176"/>
      <c r="J302" s="177"/>
      <c r="K302" s="177"/>
      <c r="L302" s="177"/>
      <c r="M302" s="165"/>
      <c r="N302" s="176"/>
      <c r="O302" s="176"/>
      <c r="P302" s="178"/>
      <c r="Q302" s="105"/>
      <c r="R302" s="339"/>
      <c r="S302" s="105"/>
    </row>
    <row r="303" spans="1:19" ht="29.25" customHeight="1">
      <c r="A303" s="216"/>
      <c r="B303" s="340"/>
      <c r="C303" s="341"/>
      <c r="D303" s="342"/>
      <c r="E303" s="343"/>
      <c r="F303" s="162"/>
      <c r="G303" s="218"/>
      <c r="H303" s="218"/>
      <c r="I303" s="176"/>
      <c r="J303" s="177"/>
      <c r="K303" s="177"/>
      <c r="L303" s="177"/>
      <c r="M303" s="165"/>
      <c r="N303" s="176"/>
      <c r="O303" s="176"/>
      <c r="P303" s="178"/>
      <c r="Q303" s="105"/>
      <c r="R303" s="344"/>
      <c r="S303" s="105"/>
    </row>
    <row r="304" spans="1:19" ht="29.25" customHeight="1">
      <c r="A304" s="216"/>
      <c r="B304" s="340"/>
      <c r="C304" s="341"/>
      <c r="D304" s="342"/>
      <c r="E304" s="333"/>
      <c r="F304" s="162"/>
      <c r="G304" s="218"/>
      <c r="H304" s="218"/>
      <c r="I304" s="176"/>
      <c r="J304" s="177"/>
      <c r="K304" s="177"/>
      <c r="L304" s="177"/>
      <c r="M304" s="165"/>
      <c r="N304" s="176"/>
      <c r="O304" s="176"/>
      <c r="P304" s="178"/>
      <c r="Q304" s="105"/>
      <c r="R304" s="339"/>
      <c r="S304" s="105"/>
    </row>
    <row r="305" spans="1:19" ht="29.25" customHeight="1">
      <c r="A305" s="216"/>
      <c r="B305" s="340"/>
      <c r="C305" s="341"/>
      <c r="D305" s="342"/>
      <c r="E305" s="343"/>
      <c r="F305" s="162"/>
      <c r="G305" s="218"/>
      <c r="H305" s="218"/>
      <c r="I305" s="176"/>
      <c r="J305" s="177"/>
      <c r="K305" s="177"/>
      <c r="L305" s="177"/>
      <c r="M305" s="165"/>
      <c r="N305" s="176"/>
      <c r="O305" s="176"/>
      <c r="P305" s="178"/>
      <c r="Q305" s="105"/>
      <c r="R305" s="344"/>
      <c r="S305" s="105"/>
    </row>
    <row r="306" spans="1:19" ht="29.25" customHeight="1">
      <c r="A306" s="216"/>
      <c r="B306" s="340"/>
      <c r="C306" s="341"/>
      <c r="D306" s="342"/>
      <c r="E306" s="333"/>
      <c r="F306" s="162"/>
      <c r="G306" s="218"/>
      <c r="H306" s="218"/>
      <c r="I306" s="176"/>
      <c r="J306" s="177"/>
      <c r="K306" s="177"/>
      <c r="L306" s="177"/>
      <c r="M306" s="165"/>
      <c r="N306" s="176"/>
      <c r="O306" s="176"/>
      <c r="P306" s="178"/>
      <c r="Q306" s="105"/>
      <c r="R306" s="339"/>
      <c r="S306" s="105"/>
    </row>
    <row r="307" spans="1:19" ht="29.25" customHeight="1">
      <c r="A307" s="216"/>
      <c r="B307" s="340"/>
      <c r="C307" s="341"/>
      <c r="D307" s="342"/>
      <c r="E307" s="343"/>
      <c r="F307" s="162"/>
      <c r="G307" s="218"/>
      <c r="H307" s="218"/>
      <c r="I307" s="176"/>
      <c r="J307" s="177"/>
      <c r="K307" s="177"/>
      <c r="L307" s="177"/>
      <c r="M307" s="165"/>
      <c r="N307" s="176"/>
      <c r="O307" s="176"/>
      <c r="P307" s="178"/>
      <c r="Q307" s="105"/>
      <c r="R307" s="344"/>
      <c r="S307" s="105"/>
    </row>
    <row r="308" spans="1:19" ht="29.25" customHeight="1">
      <c r="A308" s="216"/>
      <c r="B308" s="340"/>
      <c r="C308" s="341"/>
      <c r="D308" s="342"/>
      <c r="E308" s="333"/>
      <c r="F308" s="162"/>
      <c r="G308" s="218"/>
      <c r="H308" s="218"/>
      <c r="I308" s="176"/>
      <c r="J308" s="177"/>
      <c r="K308" s="177"/>
      <c r="L308" s="177"/>
      <c r="M308" s="165"/>
      <c r="N308" s="176"/>
      <c r="O308" s="176"/>
      <c r="P308" s="178"/>
      <c r="Q308" s="105"/>
      <c r="R308" s="339"/>
      <c r="S308" s="105"/>
    </row>
    <row r="309" spans="1:19" ht="29.25" customHeight="1">
      <c r="A309" s="216"/>
      <c r="B309" s="340"/>
      <c r="C309" s="341"/>
      <c r="D309" s="342"/>
      <c r="E309" s="343"/>
      <c r="F309" s="162"/>
      <c r="G309" s="218"/>
      <c r="H309" s="218"/>
      <c r="I309" s="176"/>
      <c r="J309" s="177"/>
      <c r="K309" s="177"/>
      <c r="L309" s="177"/>
      <c r="M309" s="165"/>
      <c r="N309" s="176"/>
      <c r="O309" s="176"/>
      <c r="P309" s="178"/>
      <c r="Q309" s="105"/>
      <c r="R309" s="344"/>
      <c r="S309" s="105"/>
    </row>
    <row r="310" spans="1:19" ht="29.25" customHeight="1">
      <c r="A310" s="216"/>
      <c r="B310" s="340"/>
      <c r="C310" s="341"/>
      <c r="D310" s="342"/>
      <c r="E310" s="333"/>
      <c r="F310" s="162"/>
      <c r="G310" s="218"/>
      <c r="H310" s="218"/>
      <c r="I310" s="176"/>
      <c r="J310" s="177"/>
      <c r="K310" s="177"/>
      <c r="L310" s="177"/>
      <c r="M310" s="165"/>
      <c r="N310" s="176"/>
      <c r="O310" s="176"/>
      <c r="P310" s="178"/>
      <c r="Q310" s="105"/>
      <c r="R310" s="339"/>
      <c r="S310" s="105"/>
    </row>
    <row r="311" spans="1:19" ht="29.25" customHeight="1">
      <c r="A311" s="216"/>
      <c r="B311" s="340"/>
      <c r="C311" s="341"/>
      <c r="D311" s="342"/>
      <c r="E311" s="343"/>
      <c r="F311" s="162"/>
      <c r="G311" s="218"/>
      <c r="H311" s="218"/>
      <c r="I311" s="176"/>
      <c r="J311" s="177"/>
      <c r="K311" s="177"/>
      <c r="L311" s="177"/>
      <c r="M311" s="165"/>
      <c r="N311" s="176"/>
      <c r="O311" s="176"/>
      <c r="P311" s="178"/>
      <c r="Q311" s="105"/>
      <c r="R311" s="344"/>
      <c r="S311" s="105"/>
    </row>
    <row r="312" spans="1:19" ht="29.25" customHeight="1">
      <c r="A312" s="216"/>
      <c r="B312" s="340"/>
      <c r="C312" s="341"/>
      <c r="D312" s="342"/>
      <c r="E312" s="333"/>
      <c r="F312" s="162"/>
      <c r="G312" s="218"/>
      <c r="H312" s="218"/>
      <c r="I312" s="176"/>
      <c r="J312" s="177"/>
      <c r="K312" s="177"/>
      <c r="L312" s="177"/>
      <c r="M312" s="165"/>
      <c r="N312" s="176"/>
      <c r="O312" s="176"/>
      <c r="P312" s="178"/>
      <c r="Q312" s="105"/>
      <c r="R312" s="339"/>
      <c r="S312" s="105"/>
    </row>
    <row r="313" spans="1:19" ht="29.25" customHeight="1">
      <c r="A313" s="216"/>
      <c r="B313" s="340"/>
      <c r="C313" s="341"/>
      <c r="D313" s="342"/>
      <c r="E313" s="343"/>
      <c r="F313" s="162"/>
      <c r="G313" s="218"/>
      <c r="H313" s="218"/>
      <c r="I313" s="176"/>
      <c r="J313" s="177"/>
      <c r="K313" s="177"/>
      <c r="L313" s="177"/>
      <c r="M313" s="165"/>
      <c r="N313" s="176"/>
      <c r="O313" s="176"/>
      <c r="P313" s="178"/>
      <c r="Q313" s="105"/>
      <c r="R313" s="344"/>
      <c r="S313" s="105"/>
    </row>
    <row r="314" spans="1:19" ht="29.25" customHeight="1">
      <c r="A314" s="216"/>
      <c r="B314" s="340"/>
      <c r="C314" s="341"/>
      <c r="D314" s="342"/>
      <c r="E314" s="333"/>
      <c r="F314" s="162"/>
      <c r="G314" s="218"/>
      <c r="H314" s="218"/>
      <c r="I314" s="176"/>
      <c r="J314" s="177"/>
      <c r="K314" s="177"/>
      <c r="L314" s="177"/>
      <c r="M314" s="165"/>
      <c r="N314" s="176"/>
      <c r="O314" s="176"/>
      <c r="P314" s="178"/>
      <c r="Q314" s="105"/>
      <c r="R314" s="339"/>
      <c r="S314" s="105"/>
    </row>
    <row r="315" spans="1:19" ht="29.25" customHeight="1">
      <c r="A315" s="216"/>
      <c r="B315" s="340"/>
      <c r="C315" s="341"/>
      <c r="D315" s="342"/>
      <c r="E315" s="343"/>
      <c r="F315" s="162"/>
      <c r="G315" s="218"/>
      <c r="H315" s="218"/>
      <c r="I315" s="176"/>
      <c r="J315" s="177"/>
      <c r="K315" s="177"/>
      <c r="L315" s="177"/>
      <c r="M315" s="165"/>
      <c r="N315" s="176"/>
      <c r="O315" s="176"/>
      <c r="P315" s="178"/>
      <c r="Q315" s="105"/>
      <c r="R315" s="344"/>
      <c r="S315" s="105"/>
    </row>
    <row r="316" spans="1:19" ht="29.25" customHeight="1">
      <c r="A316" s="216"/>
      <c r="B316" s="340"/>
      <c r="C316" s="341"/>
      <c r="D316" s="342"/>
      <c r="E316" s="333"/>
      <c r="F316" s="162"/>
      <c r="G316" s="218"/>
      <c r="H316" s="218"/>
      <c r="I316" s="176"/>
      <c r="J316" s="177"/>
      <c r="K316" s="177"/>
      <c r="L316" s="177"/>
      <c r="M316" s="165"/>
      <c r="N316" s="176"/>
      <c r="O316" s="176"/>
      <c r="P316" s="178"/>
      <c r="Q316" s="105"/>
      <c r="R316" s="339"/>
      <c r="S316" s="105"/>
    </row>
    <row r="317" spans="1:19" ht="29.25" customHeight="1">
      <c r="A317" s="216"/>
      <c r="B317" s="340"/>
      <c r="C317" s="341"/>
      <c r="D317" s="342"/>
      <c r="E317" s="343"/>
      <c r="F317" s="162"/>
      <c r="G317" s="218"/>
      <c r="H317" s="218"/>
      <c r="I317" s="176"/>
      <c r="J317" s="177"/>
      <c r="K317" s="177"/>
      <c r="L317" s="177"/>
      <c r="M317" s="165"/>
      <c r="N317" s="176"/>
      <c r="O317" s="176"/>
      <c r="P317" s="178"/>
      <c r="Q317" s="105"/>
      <c r="R317" s="344"/>
      <c r="S317" s="105"/>
    </row>
    <row r="318" spans="1:19" ht="29.25" customHeight="1">
      <c r="A318" s="216"/>
      <c r="B318" s="340"/>
      <c r="C318" s="341"/>
      <c r="D318" s="342"/>
      <c r="E318" s="333"/>
      <c r="F318" s="162"/>
      <c r="G318" s="218"/>
      <c r="H318" s="218"/>
      <c r="I318" s="176"/>
      <c r="J318" s="177"/>
      <c r="K318" s="177"/>
      <c r="L318" s="177"/>
      <c r="M318" s="165"/>
      <c r="N318" s="176"/>
      <c r="O318" s="176"/>
      <c r="P318" s="178"/>
      <c r="Q318" s="105"/>
      <c r="R318" s="339"/>
      <c r="S318" s="105"/>
    </row>
    <row r="319" spans="1:19" ht="29.25" customHeight="1">
      <c r="A319" s="216"/>
      <c r="B319" s="340"/>
      <c r="C319" s="341"/>
      <c r="D319" s="342"/>
      <c r="E319" s="343"/>
      <c r="F319" s="162"/>
      <c r="G319" s="218"/>
      <c r="H319" s="218"/>
      <c r="I319" s="176"/>
      <c r="J319" s="177"/>
      <c r="K319" s="177"/>
      <c r="L319" s="177"/>
      <c r="M319" s="165"/>
      <c r="N319" s="176"/>
      <c r="O319" s="176"/>
      <c r="P319" s="178"/>
      <c r="Q319" s="105"/>
      <c r="R319" s="344"/>
      <c r="S319" s="105"/>
    </row>
    <row r="320" spans="1:19" ht="29.25" customHeight="1">
      <c r="A320" s="216"/>
      <c r="B320" s="340"/>
      <c r="C320" s="341"/>
      <c r="D320" s="342"/>
      <c r="E320" s="333"/>
      <c r="F320" s="162"/>
      <c r="G320" s="218"/>
      <c r="H320" s="218"/>
      <c r="I320" s="176"/>
      <c r="J320" s="177"/>
      <c r="K320" s="177"/>
      <c r="L320" s="177"/>
      <c r="M320" s="165"/>
      <c r="N320" s="176"/>
      <c r="O320" s="176"/>
      <c r="P320" s="178"/>
      <c r="Q320" s="105"/>
      <c r="R320" s="339"/>
      <c r="S320" s="105"/>
    </row>
    <row r="321" spans="1:19" ht="29.25" customHeight="1">
      <c r="A321" s="216"/>
      <c r="B321" s="340"/>
      <c r="C321" s="341"/>
      <c r="D321" s="342"/>
      <c r="E321" s="343"/>
      <c r="F321" s="162"/>
      <c r="G321" s="218"/>
      <c r="H321" s="218"/>
      <c r="I321" s="176"/>
      <c r="J321" s="177"/>
      <c r="K321" s="177"/>
      <c r="L321" s="177"/>
      <c r="M321" s="165"/>
      <c r="N321" s="176"/>
      <c r="O321" s="176"/>
      <c r="P321" s="178"/>
      <c r="Q321" s="105"/>
      <c r="R321" s="344"/>
      <c r="S321" s="105"/>
    </row>
    <row r="322" spans="1:19" ht="29.25" customHeight="1">
      <c r="A322" s="216"/>
      <c r="B322" s="340"/>
      <c r="C322" s="341"/>
      <c r="D322" s="342"/>
      <c r="E322" s="333"/>
      <c r="F322" s="162"/>
      <c r="G322" s="218"/>
      <c r="H322" s="218"/>
      <c r="I322" s="176"/>
      <c r="J322" s="177"/>
      <c r="K322" s="177"/>
      <c r="L322" s="177"/>
      <c r="M322" s="165"/>
      <c r="N322" s="176"/>
      <c r="O322" s="176"/>
      <c r="P322" s="178"/>
      <c r="Q322" s="105"/>
      <c r="R322" s="339"/>
      <c r="S322" s="105"/>
    </row>
    <row r="323" spans="1:19" ht="29.25" customHeight="1">
      <c r="A323" s="216"/>
      <c r="B323" s="340"/>
      <c r="C323" s="341"/>
      <c r="D323" s="342"/>
      <c r="E323" s="343"/>
      <c r="F323" s="162"/>
      <c r="G323" s="218"/>
      <c r="H323" s="218"/>
      <c r="I323" s="176"/>
      <c r="J323" s="177"/>
      <c r="K323" s="177"/>
      <c r="L323" s="177"/>
      <c r="M323" s="165"/>
      <c r="N323" s="176"/>
      <c r="O323" s="176"/>
      <c r="P323" s="178"/>
      <c r="Q323" s="105"/>
      <c r="R323" s="344"/>
      <c r="S323" s="105"/>
    </row>
    <row r="324" spans="1:19" ht="29.25" customHeight="1">
      <c r="A324" s="216"/>
      <c r="B324" s="340"/>
      <c r="C324" s="341"/>
      <c r="D324" s="342"/>
      <c r="E324" s="333"/>
      <c r="F324" s="162"/>
      <c r="G324" s="218"/>
      <c r="H324" s="218"/>
      <c r="I324" s="176"/>
      <c r="J324" s="177"/>
      <c r="K324" s="177"/>
      <c r="L324" s="177"/>
      <c r="M324" s="165"/>
      <c r="N324" s="176"/>
      <c r="O324" s="176"/>
      <c r="P324" s="178"/>
      <c r="Q324" s="105"/>
      <c r="R324" s="339"/>
      <c r="S324" s="105"/>
    </row>
    <row r="325" spans="1:19" ht="29.25" customHeight="1">
      <c r="A325" s="216"/>
      <c r="B325" s="340"/>
      <c r="C325" s="341"/>
      <c r="D325" s="342"/>
      <c r="E325" s="343"/>
      <c r="F325" s="162"/>
      <c r="G325" s="218"/>
      <c r="H325" s="218"/>
      <c r="I325" s="176"/>
      <c r="J325" s="177"/>
      <c r="K325" s="177"/>
      <c r="L325" s="177"/>
      <c r="M325" s="165"/>
      <c r="N325" s="176"/>
      <c r="O325" s="176"/>
      <c r="P325" s="178"/>
      <c r="Q325" s="105"/>
      <c r="R325" s="344"/>
      <c r="S325" s="105"/>
    </row>
    <row r="326" spans="1:19" ht="29.25" customHeight="1">
      <c r="A326" s="216"/>
      <c r="B326" s="340"/>
      <c r="C326" s="341"/>
      <c r="D326" s="342"/>
      <c r="E326" s="333"/>
      <c r="F326" s="162"/>
      <c r="G326" s="218"/>
      <c r="H326" s="218"/>
      <c r="I326" s="176"/>
      <c r="J326" s="177"/>
      <c r="K326" s="177"/>
      <c r="L326" s="177"/>
      <c r="M326" s="165"/>
      <c r="N326" s="176"/>
      <c r="O326" s="176"/>
      <c r="P326" s="178"/>
      <c r="Q326" s="105"/>
      <c r="R326" s="339"/>
      <c r="S326" s="105"/>
    </row>
    <row r="327" spans="1:19" ht="29.25" customHeight="1">
      <c r="A327" s="216"/>
      <c r="B327" s="340"/>
      <c r="C327" s="341"/>
      <c r="D327" s="342"/>
      <c r="E327" s="343"/>
      <c r="F327" s="162"/>
      <c r="G327" s="218"/>
      <c r="H327" s="218"/>
      <c r="I327" s="176"/>
      <c r="J327" s="177"/>
      <c r="K327" s="177"/>
      <c r="L327" s="177"/>
      <c r="M327" s="165"/>
      <c r="N327" s="176"/>
      <c r="O327" s="176"/>
      <c r="P327" s="178"/>
      <c r="Q327" s="105"/>
      <c r="R327" s="344"/>
      <c r="S327" s="105"/>
    </row>
    <row r="328" spans="1:19" ht="29.25" customHeight="1">
      <c r="A328" s="216"/>
      <c r="B328" s="340"/>
      <c r="C328" s="341"/>
      <c r="D328" s="342"/>
      <c r="E328" s="333"/>
      <c r="F328" s="162"/>
      <c r="G328" s="218"/>
      <c r="H328" s="218"/>
      <c r="I328" s="176"/>
      <c r="J328" s="177"/>
      <c r="K328" s="177"/>
      <c r="L328" s="177"/>
      <c r="M328" s="165"/>
      <c r="N328" s="176"/>
      <c r="O328" s="176"/>
      <c r="P328" s="178"/>
      <c r="Q328" s="105"/>
      <c r="R328" s="339"/>
      <c r="S328" s="105"/>
    </row>
    <row r="329" spans="1:19" ht="29.25" customHeight="1">
      <c r="A329" s="216"/>
      <c r="B329" s="340"/>
      <c r="C329" s="341"/>
      <c r="D329" s="342"/>
      <c r="E329" s="343"/>
      <c r="F329" s="162"/>
      <c r="G329" s="218"/>
      <c r="H329" s="218"/>
      <c r="I329" s="176"/>
      <c r="J329" s="177"/>
      <c r="K329" s="177"/>
      <c r="L329" s="177"/>
      <c r="M329" s="165"/>
      <c r="N329" s="176"/>
      <c r="O329" s="176"/>
      <c r="P329" s="178"/>
      <c r="Q329" s="105"/>
      <c r="R329" s="344"/>
      <c r="S329" s="105"/>
    </row>
    <row r="330" spans="1:19" ht="29.25" customHeight="1">
      <c r="A330" s="216"/>
      <c r="B330" s="340"/>
      <c r="C330" s="341"/>
      <c r="D330" s="342"/>
      <c r="E330" s="333"/>
      <c r="F330" s="162"/>
      <c r="G330" s="218"/>
      <c r="H330" s="218"/>
      <c r="I330" s="176"/>
      <c r="J330" s="177"/>
      <c r="K330" s="177"/>
      <c r="L330" s="177"/>
      <c r="M330" s="165"/>
      <c r="N330" s="176"/>
      <c r="O330" s="176"/>
      <c r="P330" s="178"/>
      <c r="Q330" s="105"/>
      <c r="R330" s="339"/>
      <c r="S330" s="105"/>
    </row>
    <row r="331" spans="1:19" ht="29.25" customHeight="1">
      <c r="A331" s="216"/>
      <c r="B331" s="340"/>
      <c r="C331" s="341"/>
      <c r="D331" s="342"/>
      <c r="E331" s="343"/>
      <c r="F331" s="162"/>
      <c r="G331" s="218"/>
      <c r="H331" s="218"/>
      <c r="I331" s="176"/>
      <c r="J331" s="177"/>
      <c r="K331" s="177"/>
      <c r="L331" s="177"/>
      <c r="M331" s="165"/>
      <c r="N331" s="176"/>
      <c r="O331" s="176"/>
      <c r="P331" s="178"/>
      <c r="Q331" s="105"/>
      <c r="R331" s="344"/>
      <c r="S331" s="105"/>
    </row>
    <row r="332" spans="1:19" ht="29.25" customHeight="1">
      <c r="A332" s="216"/>
      <c r="B332" s="340"/>
      <c r="C332" s="341"/>
      <c r="D332" s="342"/>
      <c r="E332" s="333"/>
      <c r="F332" s="162"/>
      <c r="G332" s="218"/>
      <c r="H332" s="218"/>
      <c r="I332" s="176"/>
      <c r="J332" s="177"/>
      <c r="K332" s="177"/>
      <c r="L332" s="177"/>
      <c r="M332" s="165"/>
      <c r="N332" s="176"/>
      <c r="O332" s="176"/>
      <c r="P332" s="178"/>
      <c r="Q332" s="105"/>
      <c r="R332" s="339"/>
      <c r="S332" s="105"/>
    </row>
    <row r="333" spans="1:19" ht="29.25" customHeight="1">
      <c r="A333" s="216"/>
      <c r="B333" s="340"/>
      <c r="C333" s="341"/>
      <c r="D333" s="342"/>
      <c r="E333" s="343"/>
      <c r="F333" s="162"/>
      <c r="G333" s="218"/>
      <c r="H333" s="218"/>
      <c r="I333" s="176"/>
      <c r="J333" s="177"/>
      <c r="K333" s="177"/>
      <c r="L333" s="177"/>
      <c r="M333" s="165"/>
      <c r="N333" s="176"/>
      <c r="O333" s="176"/>
      <c r="P333" s="178"/>
      <c r="Q333" s="105"/>
      <c r="R333" s="344"/>
      <c r="S333" s="105"/>
    </row>
    <row r="334" spans="1:19" ht="29.25" customHeight="1">
      <c r="A334" s="216"/>
      <c r="B334" s="340"/>
      <c r="C334" s="341"/>
      <c r="D334" s="342"/>
      <c r="E334" s="333"/>
      <c r="F334" s="162"/>
      <c r="G334" s="218"/>
      <c r="H334" s="218"/>
      <c r="I334" s="176"/>
      <c r="J334" s="177"/>
      <c r="K334" s="177"/>
      <c r="L334" s="177"/>
      <c r="M334" s="165"/>
      <c r="N334" s="176"/>
      <c r="O334" s="176"/>
      <c r="P334" s="178"/>
      <c r="Q334" s="105"/>
      <c r="R334" s="339"/>
      <c r="S334" s="105"/>
    </row>
    <row r="335" spans="1:19" ht="29.25" customHeight="1">
      <c r="A335" s="216"/>
      <c r="B335" s="340"/>
      <c r="C335" s="341"/>
      <c r="D335" s="342"/>
      <c r="E335" s="343"/>
      <c r="F335" s="162"/>
      <c r="G335" s="218"/>
      <c r="H335" s="218"/>
      <c r="I335" s="176"/>
      <c r="J335" s="177"/>
      <c r="K335" s="177"/>
      <c r="L335" s="177"/>
      <c r="M335" s="165"/>
      <c r="N335" s="176"/>
      <c r="O335" s="176"/>
      <c r="P335" s="178"/>
      <c r="Q335" s="105"/>
      <c r="R335" s="344"/>
      <c r="S335" s="105"/>
    </row>
    <row r="336" spans="1:19" ht="29.25" customHeight="1">
      <c r="A336" s="216"/>
      <c r="B336" s="340"/>
      <c r="C336" s="341"/>
      <c r="D336" s="342"/>
      <c r="E336" s="333"/>
      <c r="F336" s="162"/>
      <c r="G336" s="218"/>
      <c r="H336" s="218"/>
      <c r="I336" s="176"/>
      <c r="J336" s="177"/>
      <c r="K336" s="177"/>
      <c r="L336" s="177"/>
      <c r="M336" s="165"/>
      <c r="N336" s="176"/>
      <c r="O336" s="176"/>
      <c r="P336" s="178"/>
      <c r="Q336" s="105"/>
      <c r="R336" s="339"/>
      <c r="S336" s="105"/>
    </row>
    <row r="337" spans="1:19" ht="29.25" customHeight="1">
      <c r="A337" s="216"/>
      <c r="B337" s="340"/>
      <c r="C337" s="341"/>
      <c r="D337" s="342"/>
      <c r="E337" s="343"/>
      <c r="F337" s="162"/>
      <c r="G337" s="218"/>
      <c r="H337" s="218"/>
      <c r="I337" s="176"/>
      <c r="J337" s="177"/>
      <c r="K337" s="177"/>
      <c r="L337" s="177"/>
      <c r="M337" s="165"/>
      <c r="N337" s="176"/>
      <c r="O337" s="176"/>
      <c r="P337" s="178"/>
      <c r="Q337" s="105"/>
      <c r="R337" s="344"/>
      <c r="S337" s="105"/>
    </row>
    <row r="338" spans="1:19" ht="29.25" customHeight="1">
      <c r="A338" s="216"/>
      <c r="B338" s="340"/>
      <c r="C338" s="341"/>
      <c r="D338" s="342"/>
      <c r="E338" s="333"/>
      <c r="F338" s="162"/>
      <c r="G338" s="218"/>
      <c r="H338" s="218"/>
      <c r="I338" s="176"/>
      <c r="J338" s="177"/>
      <c r="K338" s="177"/>
      <c r="L338" s="177"/>
      <c r="M338" s="165"/>
      <c r="N338" s="176"/>
      <c r="O338" s="176"/>
      <c r="P338" s="178"/>
      <c r="Q338" s="105"/>
      <c r="R338" s="339"/>
      <c r="S338" s="105"/>
    </row>
    <row r="339" spans="1:19" ht="29.25" customHeight="1">
      <c r="A339" s="216"/>
      <c r="B339" s="340"/>
      <c r="C339" s="341"/>
      <c r="D339" s="342"/>
      <c r="E339" s="343"/>
      <c r="F339" s="162"/>
      <c r="G339" s="218"/>
      <c r="H339" s="218"/>
      <c r="I339" s="176"/>
      <c r="J339" s="177"/>
      <c r="K339" s="177"/>
      <c r="L339" s="177"/>
      <c r="M339" s="165"/>
      <c r="N339" s="176"/>
      <c r="O339" s="176"/>
      <c r="P339" s="178"/>
      <c r="Q339" s="105"/>
      <c r="R339" s="344"/>
      <c r="S339" s="105"/>
    </row>
    <row r="340" spans="1:19" ht="29.25" customHeight="1">
      <c r="A340" s="216"/>
      <c r="B340" s="340"/>
      <c r="C340" s="341"/>
      <c r="D340" s="342"/>
      <c r="E340" s="333"/>
      <c r="F340" s="162"/>
      <c r="G340" s="218"/>
      <c r="H340" s="218"/>
      <c r="I340" s="176"/>
      <c r="J340" s="177"/>
      <c r="K340" s="177"/>
      <c r="L340" s="177"/>
      <c r="M340" s="165"/>
      <c r="N340" s="176"/>
      <c r="O340" s="176"/>
      <c r="P340" s="178"/>
      <c r="Q340" s="105"/>
      <c r="R340" s="339"/>
      <c r="S340" s="105"/>
    </row>
    <row r="341" spans="1:19" ht="29.25" customHeight="1">
      <c r="A341" s="216"/>
      <c r="B341" s="340"/>
      <c r="C341" s="341"/>
      <c r="D341" s="342"/>
      <c r="E341" s="343"/>
      <c r="F341" s="162"/>
      <c r="G341" s="218"/>
      <c r="H341" s="218"/>
      <c r="I341" s="176"/>
      <c r="J341" s="177"/>
      <c r="K341" s="177"/>
      <c r="L341" s="177"/>
      <c r="M341" s="165"/>
      <c r="N341" s="176"/>
      <c r="O341" s="176"/>
      <c r="P341" s="178"/>
      <c r="Q341" s="105"/>
      <c r="R341" s="344"/>
      <c r="S341" s="105"/>
    </row>
    <row r="342" spans="1:19" ht="29.25" customHeight="1">
      <c r="A342" s="216"/>
      <c r="B342" s="340"/>
      <c r="C342" s="341"/>
      <c r="D342" s="342"/>
      <c r="E342" s="333"/>
      <c r="F342" s="162"/>
      <c r="G342" s="218"/>
      <c r="H342" s="218"/>
      <c r="I342" s="176"/>
      <c r="J342" s="177"/>
      <c r="K342" s="177"/>
      <c r="L342" s="177"/>
      <c r="M342" s="165"/>
      <c r="N342" s="176"/>
      <c r="O342" s="176"/>
      <c r="P342" s="178"/>
      <c r="Q342" s="105"/>
      <c r="R342" s="339"/>
      <c r="S342" s="105"/>
    </row>
    <row r="343" spans="1:19" ht="29.25" customHeight="1">
      <c r="A343" s="216"/>
      <c r="B343" s="340"/>
      <c r="C343" s="341"/>
      <c r="D343" s="342"/>
      <c r="E343" s="343"/>
      <c r="F343" s="162"/>
      <c r="G343" s="218"/>
      <c r="H343" s="218"/>
      <c r="I343" s="176"/>
      <c r="J343" s="177"/>
      <c r="K343" s="177"/>
      <c r="L343" s="177"/>
      <c r="M343" s="165"/>
      <c r="N343" s="176"/>
      <c r="O343" s="176"/>
      <c r="P343" s="178"/>
      <c r="Q343" s="105"/>
      <c r="R343" s="344"/>
      <c r="S343" s="105"/>
    </row>
    <row r="344" spans="1:19" ht="29.25" customHeight="1">
      <c r="A344" s="216"/>
      <c r="B344" s="340"/>
      <c r="C344" s="341"/>
      <c r="D344" s="342"/>
      <c r="E344" s="333"/>
      <c r="F344" s="162"/>
      <c r="G344" s="218"/>
      <c r="H344" s="218"/>
      <c r="I344" s="176"/>
      <c r="J344" s="177"/>
      <c r="K344" s="177"/>
      <c r="L344" s="177"/>
      <c r="M344" s="165"/>
      <c r="N344" s="176"/>
      <c r="O344" s="176"/>
      <c r="P344" s="178"/>
      <c r="Q344" s="105"/>
      <c r="R344" s="339"/>
      <c r="S344" s="105"/>
    </row>
    <row r="345" spans="1:19" ht="29.25" customHeight="1">
      <c r="A345" s="216"/>
      <c r="B345" s="340"/>
      <c r="C345" s="341"/>
      <c r="D345" s="342"/>
      <c r="E345" s="343"/>
      <c r="F345" s="162"/>
      <c r="G345" s="218"/>
      <c r="H345" s="218"/>
      <c r="I345" s="176"/>
      <c r="J345" s="177"/>
      <c r="K345" s="177"/>
      <c r="L345" s="177"/>
      <c r="M345" s="165"/>
      <c r="N345" s="176"/>
      <c r="O345" s="176"/>
      <c r="P345" s="178"/>
      <c r="Q345" s="105"/>
      <c r="R345" s="344"/>
      <c r="S345" s="105"/>
    </row>
    <row r="346" spans="1:19" ht="29.25" customHeight="1">
      <c r="A346" s="216"/>
      <c r="B346" s="340"/>
      <c r="C346" s="341"/>
      <c r="D346" s="342"/>
      <c r="E346" s="333"/>
      <c r="F346" s="162"/>
      <c r="G346" s="218"/>
      <c r="H346" s="218"/>
      <c r="I346" s="176"/>
      <c r="J346" s="177"/>
      <c r="K346" s="177"/>
      <c r="L346" s="177"/>
      <c r="M346" s="165"/>
      <c r="N346" s="176"/>
      <c r="O346" s="176"/>
      <c r="P346" s="178"/>
      <c r="Q346" s="105"/>
      <c r="R346" s="339"/>
      <c r="S346" s="105"/>
    </row>
    <row r="347" spans="1:19" ht="29.25" customHeight="1">
      <c r="A347" s="216"/>
      <c r="B347" s="340"/>
      <c r="C347" s="341"/>
      <c r="D347" s="342"/>
      <c r="E347" s="343"/>
      <c r="F347" s="162"/>
      <c r="G347" s="218"/>
      <c r="H347" s="218"/>
      <c r="I347" s="176"/>
      <c r="J347" s="177"/>
      <c r="K347" s="177"/>
      <c r="L347" s="177"/>
      <c r="M347" s="165"/>
      <c r="N347" s="176"/>
      <c r="O347" s="176"/>
      <c r="P347" s="178"/>
      <c r="Q347" s="105"/>
      <c r="R347" s="344"/>
      <c r="S347" s="105"/>
    </row>
    <row r="348" spans="1:19" ht="29.25" customHeight="1">
      <c r="A348" s="216"/>
      <c r="B348" s="340"/>
      <c r="C348" s="341"/>
      <c r="D348" s="342"/>
      <c r="E348" s="333"/>
      <c r="F348" s="162"/>
      <c r="G348" s="218"/>
      <c r="H348" s="218"/>
      <c r="I348" s="176"/>
      <c r="J348" s="177"/>
      <c r="K348" s="177"/>
      <c r="L348" s="177"/>
      <c r="M348" s="165"/>
      <c r="N348" s="176"/>
      <c r="O348" s="176"/>
      <c r="P348" s="178"/>
      <c r="Q348" s="105"/>
      <c r="R348" s="339"/>
      <c r="S348" s="105"/>
    </row>
    <row r="349" spans="1:19" ht="29.25" customHeight="1">
      <c r="A349" s="216"/>
      <c r="B349" s="340"/>
      <c r="C349" s="341"/>
      <c r="D349" s="342"/>
      <c r="E349" s="343"/>
      <c r="F349" s="162"/>
      <c r="G349" s="218"/>
      <c r="H349" s="218"/>
      <c r="I349" s="176"/>
      <c r="J349" s="177"/>
      <c r="K349" s="177"/>
      <c r="L349" s="177"/>
      <c r="M349" s="165"/>
      <c r="N349" s="176"/>
      <c r="O349" s="176"/>
      <c r="P349" s="178"/>
      <c r="Q349" s="105"/>
      <c r="R349" s="344"/>
      <c r="S349" s="105"/>
    </row>
    <row r="350" spans="1:19" ht="29.25" customHeight="1">
      <c r="A350" s="216"/>
      <c r="B350" s="340"/>
      <c r="C350" s="341"/>
      <c r="D350" s="342"/>
      <c r="E350" s="333"/>
      <c r="F350" s="162"/>
      <c r="G350" s="218"/>
      <c r="H350" s="218"/>
      <c r="I350" s="176"/>
      <c r="J350" s="177"/>
      <c r="K350" s="177"/>
      <c r="L350" s="177"/>
      <c r="M350" s="165"/>
      <c r="N350" s="176"/>
      <c r="O350" s="176"/>
      <c r="P350" s="178"/>
      <c r="Q350" s="105"/>
      <c r="R350" s="339"/>
      <c r="S350" s="105"/>
    </row>
    <row r="351" spans="1:19" ht="29.25" customHeight="1">
      <c r="A351" s="216"/>
      <c r="B351" s="340"/>
      <c r="C351" s="341"/>
      <c r="D351" s="342"/>
      <c r="E351" s="343"/>
      <c r="F351" s="162"/>
      <c r="G351" s="218"/>
      <c r="H351" s="218"/>
      <c r="I351" s="176"/>
      <c r="J351" s="177"/>
      <c r="K351" s="177"/>
      <c r="L351" s="177"/>
      <c r="M351" s="165"/>
      <c r="N351" s="176"/>
      <c r="O351" s="176"/>
      <c r="P351" s="178"/>
      <c r="Q351" s="105"/>
      <c r="R351" s="344"/>
      <c r="S351" s="105"/>
    </row>
    <row r="352" spans="1:19" ht="29.25" customHeight="1">
      <c r="A352" s="216"/>
      <c r="B352" s="340"/>
      <c r="C352" s="341"/>
      <c r="D352" s="342"/>
      <c r="E352" s="333"/>
      <c r="F352" s="162"/>
      <c r="G352" s="218"/>
      <c r="H352" s="218"/>
      <c r="I352" s="176"/>
      <c r="J352" s="177"/>
      <c r="K352" s="177"/>
      <c r="L352" s="177"/>
      <c r="M352" s="165"/>
      <c r="N352" s="176"/>
      <c r="O352" s="176"/>
      <c r="P352" s="178"/>
      <c r="Q352" s="105"/>
      <c r="R352" s="339"/>
      <c r="S352" s="105"/>
    </row>
    <row r="353" spans="1:19" ht="29.25" customHeight="1">
      <c r="A353" s="216"/>
      <c r="B353" s="340"/>
      <c r="C353" s="341"/>
      <c r="D353" s="342"/>
      <c r="E353" s="343"/>
      <c r="F353" s="162"/>
      <c r="G353" s="218"/>
      <c r="H353" s="218"/>
      <c r="I353" s="176"/>
      <c r="J353" s="177"/>
      <c r="K353" s="177"/>
      <c r="L353" s="177"/>
      <c r="M353" s="165"/>
      <c r="N353" s="176"/>
      <c r="O353" s="176"/>
      <c r="P353" s="178"/>
      <c r="Q353" s="105"/>
      <c r="R353" s="344"/>
      <c r="S353" s="105"/>
    </row>
    <row r="354" spans="1:19" ht="29.25" customHeight="1">
      <c r="A354" s="216"/>
      <c r="B354" s="340"/>
      <c r="C354" s="341"/>
      <c r="D354" s="342"/>
      <c r="E354" s="333"/>
      <c r="F354" s="162"/>
      <c r="G354" s="218"/>
      <c r="H354" s="218"/>
      <c r="I354" s="176"/>
      <c r="J354" s="177"/>
      <c r="K354" s="177"/>
      <c r="L354" s="177"/>
      <c r="M354" s="165"/>
      <c r="N354" s="176"/>
      <c r="O354" s="176"/>
      <c r="P354" s="178"/>
      <c r="Q354" s="105"/>
      <c r="R354" s="339"/>
      <c r="S354" s="105"/>
    </row>
    <row r="355" spans="1:19" ht="29.25" customHeight="1">
      <c r="A355" s="216"/>
      <c r="B355" s="340"/>
      <c r="C355" s="341"/>
      <c r="D355" s="342"/>
      <c r="E355" s="343"/>
      <c r="F355" s="162"/>
      <c r="G355" s="218"/>
      <c r="H355" s="218"/>
      <c r="I355" s="176"/>
      <c r="J355" s="177"/>
      <c r="K355" s="177"/>
      <c r="L355" s="177"/>
      <c r="M355" s="165"/>
      <c r="N355" s="176"/>
      <c r="O355" s="176"/>
      <c r="P355" s="178"/>
      <c r="Q355" s="105"/>
      <c r="R355" s="344"/>
      <c r="S355" s="105"/>
    </row>
    <row r="356" spans="1:19" ht="29.25" customHeight="1">
      <c r="A356" s="216"/>
      <c r="B356" s="340"/>
      <c r="C356" s="341"/>
      <c r="D356" s="342"/>
      <c r="E356" s="333"/>
      <c r="F356" s="162"/>
      <c r="G356" s="218"/>
      <c r="H356" s="218"/>
      <c r="I356" s="176"/>
      <c r="J356" s="177"/>
      <c r="K356" s="177"/>
      <c r="L356" s="177"/>
      <c r="M356" s="165"/>
      <c r="N356" s="176"/>
      <c r="O356" s="176"/>
      <c r="P356" s="178"/>
      <c r="Q356" s="105"/>
      <c r="R356" s="339"/>
      <c r="S356" s="105"/>
    </row>
    <row r="357" spans="1:19" ht="29.25" customHeight="1">
      <c r="A357" s="216"/>
      <c r="B357" s="340"/>
      <c r="C357" s="341"/>
      <c r="D357" s="342"/>
      <c r="E357" s="343"/>
      <c r="F357" s="162"/>
      <c r="G357" s="218"/>
      <c r="H357" s="218"/>
      <c r="I357" s="176"/>
      <c r="J357" s="177"/>
      <c r="K357" s="177"/>
      <c r="L357" s="177"/>
      <c r="M357" s="165"/>
      <c r="N357" s="176"/>
      <c r="O357" s="176"/>
      <c r="P357" s="178"/>
      <c r="Q357" s="105"/>
      <c r="R357" s="344"/>
      <c r="S357" s="105"/>
    </row>
    <row r="358" spans="1:19" ht="29.25" customHeight="1">
      <c r="A358" s="216"/>
      <c r="B358" s="340"/>
      <c r="C358" s="341"/>
      <c r="D358" s="342"/>
      <c r="E358" s="333"/>
      <c r="F358" s="162"/>
      <c r="G358" s="218"/>
      <c r="H358" s="218"/>
      <c r="I358" s="176"/>
      <c r="J358" s="177"/>
      <c r="K358" s="177"/>
      <c r="L358" s="177"/>
      <c r="M358" s="165"/>
      <c r="N358" s="176"/>
      <c r="O358" s="176"/>
      <c r="P358" s="178"/>
      <c r="Q358" s="105"/>
      <c r="R358" s="339"/>
      <c r="S358" s="105"/>
    </row>
    <row r="359" spans="1:19" ht="29.25" customHeight="1">
      <c r="A359" s="216"/>
      <c r="B359" s="340"/>
      <c r="C359" s="341"/>
      <c r="D359" s="342"/>
      <c r="E359" s="343"/>
      <c r="F359" s="162"/>
      <c r="G359" s="218"/>
      <c r="H359" s="218"/>
      <c r="I359" s="176"/>
      <c r="J359" s="177"/>
      <c r="K359" s="177"/>
      <c r="L359" s="177"/>
      <c r="M359" s="165"/>
      <c r="N359" s="176"/>
      <c r="O359" s="176"/>
      <c r="P359" s="178"/>
      <c r="Q359" s="105"/>
      <c r="R359" s="344"/>
      <c r="S359" s="105"/>
    </row>
    <row r="360" spans="1:19" ht="29.25" customHeight="1">
      <c r="A360" s="216"/>
      <c r="B360" s="340"/>
      <c r="C360" s="341"/>
      <c r="D360" s="342"/>
      <c r="E360" s="333"/>
      <c r="F360" s="162"/>
      <c r="G360" s="218"/>
      <c r="H360" s="218"/>
      <c r="I360" s="176"/>
      <c r="J360" s="177"/>
      <c r="K360" s="177"/>
      <c r="L360" s="177"/>
      <c r="M360" s="165"/>
      <c r="N360" s="176"/>
      <c r="O360" s="176"/>
      <c r="P360" s="178"/>
      <c r="Q360" s="105"/>
      <c r="R360" s="339"/>
      <c r="S360" s="105"/>
    </row>
    <row r="361" spans="1:19" ht="29.25" customHeight="1">
      <c r="A361" s="216"/>
      <c r="B361" s="340"/>
      <c r="C361" s="341"/>
      <c r="D361" s="342"/>
      <c r="E361" s="343"/>
      <c r="F361" s="162"/>
      <c r="G361" s="218"/>
      <c r="H361" s="218"/>
      <c r="I361" s="176"/>
      <c r="J361" s="177"/>
      <c r="K361" s="177"/>
      <c r="L361" s="177"/>
      <c r="M361" s="165"/>
      <c r="N361" s="176"/>
      <c r="O361" s="176"/>
      <c r="P361" s="178"/>
      <c r="Q361" s="105"/>
      <c r="R361" s="344"/>
      <c r="S361" s="105"/>
    </row>
    <row r="362" spans="1:19" ht="29.25" customHeight="1">
      <c r="A362" s="216"/>
      <c r="B362" s="340"/>
      <c r="C362" s="341"/>
      <c r="D362" s="342"/>
      <c r="E362" s="333"/>
      <c r="F362" s="162"/>
      <c r="G362" s="218"/>
      <c r="H362" s="218"/>
      <c r="I362" s="176"/>
      <c r="J362" s="177"/>
      <c r="K362" s="177"/>
      <c r="L362" s="177"/>
      <c r="M362" s="165"/>
      <c r="N362" s="176"/>
      <c r="O362" s="176"/>
      <c r="P362" s="178"/>
      <c r="Q362" s="105"/>
      <c r="R362" s="339"/>
      <c r="S362" s="105"/>
    </row>
    <row r="363" spans="1:19" ht="29.25" customHeight="1">
      <c r="A363" s="216"/>
      <c r="B363" s="340"/>
      <c r="C363" s="341"/>
      <c r="D363" s="342"/>
      <c r="E363" s="343"/>
      <c r="F363" s="162"/>
      <c r="G363" s="218"/>
      <c r="H363" s="218"/>
      <c r="I363" s="176"/>
      <c r="J363" s="177"/>
      <c r="K363" s="177"/>
      <c r="L363" s="177"/>
      <c r="M363" s="165"/>
      <c r="N363" s="176"/>
      <c r="O363" s="176"/>
      <c r="P363" s="178"/>
      <c r="Q363" s="105"/>
      <c r="R363" s="344"/>
      <c r="S363" s="105"/>
    </row>
    <row r="364" spans="1:19" ht="29.25" customHeight="1">
      <c r="A364" s="216"/>
      <c r="B364" s="340"/>
      <c r="C364" s="341"/>
      <c r="D364" s="342"/>
      <c r="E364" s="333"/>
      <c r="F364" s="162"/>
      <c r="G364" s="218"/>
      <c r="H364" s="218"/>
      <c r="I364" s="176"/>
      <c r="J364" s="177"/>
      <c r="K364" s="177"/>
      <c r="L364" s="177"/>
      <c r="M364" s="165"/>
      <c r="N364" s="176"/>
      <c r="O364" s="176"/>
      <c r="P364" s="178"/>
      <c r="Q364" s="105"/>
      <c r="R364" s="339"/>
      <c r="S364" s="105"/>
    </row>
    <row r="365" spans="1:19" ht="29.25" customHeight="1">
      <c r="A365" s="216"/>
      <c r="B365" s="340"/>
      <c r="C365" s="341"/>
      <c r="D365" s="342"/>
      <c r="E365" s="343"/>
      <c r="F365" s="162"/>
      <c r="G365" s="218"/>
      <c r="H365" s="218"/>
      <c r="I365" s="176"/>
      <c r="J365" s="177"/>
      <c r="K365" s="177"/>
      <c r="L365" s="177"/>
      <c r="M365" s="165"/>
      <c r="N365" s="176"/>
      <c r="O365" s="176"/>
      <c r="P365" s="178"/>
      <c r="Q365" s="105"/>
      <c r="R365" s="344"/>
      <c r="S365" s="105"/>
    </row>
    <row r="366" spans="1:19" ht="29.25" customHeight="1">
      <c r="A366" s="216"/>
      <c r="B366" s="340"/>
      <c r="C366" s="341"/>
      <c r="D366" s="342"/>
      <c r="E366" s="333"/>
      <c r="F366" s="162"/>
      <c r="G366" s="218"/>
      <c r="H366" s="218"/>
      <c r="I366" s="176"/>
      <c r="J366" s="177"/>
      <c r="K366" s="177"/>
      <c r="L366" s="177"/>
      <c r="M366" s="165"/>
      <c r="N366" s="176"/>
      <c r="O366" s="176"/>
      <c r="P366" s="178"/>
      <c r="Q366" s="105"/>
      <c r="R366" s="339"/>
      <c r="S366" s="105"/>
    </row>
    <row r="367" spans="1:19" ht="29.25" customHeight="1">
      <c r="A367" s="216"/>
      <c r="B367" s="340"/>
      <c r="C367" s="341"/>
      <c r="D367" s="342"/>
      <c r="E367" s="343"/>
      <c r="F367" s="162"/>
      <c r="G367" s="218"/>
      <c r="H367" s="218"/>
      <c r="I367" s="176"/>
      <c r="J367" s="177"/>
      <c r="K367" s="177"/>
      <c r="L367" s="177"/>
      <c r="M367" s="165"/>
      <c r="N367" s="176"/>
      <c r="O367" s="176"/>
      <c r="P367" s="178"/>
      <c r="Q367" s="105"/>
      <c r="R367" s="344"/>
      <c r="S367" s="105"/>
    </row>
    <row r="368" spans="1:19" ht="29.25" customHeight="1">
      <c r="A368" s="216"/>
      <c r="B368" s="340"/>
      <c r="C368" s="341"/>
      <c r="D368" s="342"/>
      <c r="E368" s="333"/>
      <c r="F368" s="162"/>
      <c r="G368" s="218"/>
      <c r="H368" s="218"/>
      <c r="I368" s="176"/>
      <c r="J368" s="177"/>
      <c r="K368" s="177"/>
      <c r="L368" s="177"/>
      <c r="M368" s="165"/>
      <c r="N368" s="176"/>
      <c r="O368" s="176"/>
      <c r="P368" s="178"/>
      <c r="Q368" s="105"/>
      <c r="R368" s="339"/>
      <c r="S368" s="105"/>
    </row>
    <row r="369" spans="1:19" ht="29.25" customHeight="1">
      <c r="A369" s="216"/>
      <c r="B369" s="340"/>
      <c r="C369" s="341"/>
      <c r="D369" s="342"/>
      <c r="E369" s="343"/>
      <c r="F369" s="162"/>
      <c r="G369" s="218"/>
      <c r="H369" s="218"/>
      <c r="I369" s="176"/>
      <c r="J369" s="177"/>
      <c r="K369" s="177"/>
      <c r="L369" s="177"/>
      <c r="M369" s="165"/>
      <c r="N369" s="176"/>
      <c r="O369" s="176"/>
      <c r="P369" s="178"/>
      <c r="Q369" s="105"/>
      <c r="R369" s="344"/>
      <c r="S369" s="105"/>
    </row>
    <row r="370" spans="1:19" ht="29.25" customHeight="1">
      <c r="A370" s="216"/>
      <c r="B370" s="340"/>
      <c r="C370" s="341"/>
      <c r="D370" s="342"/>
      <c r="E370" s="333"/>
      <c r="F370" s="162"/>
      <c r="G370" s="218"/>
      <c r="H370" s="218"/>
      <c r="I370" s="176"/>
      <c r="J370" s="177"/>
      <c r="K370" s="177"/>
      <c r="L370" s="177"/>
      <c r="M370" s="165"/>
      <c r="N370" s="176"/>
      <c r="O370" s="176"/>
      <c r="P370" s="178"/>
      <c r="Q370" s="105"/>
      <c r="R370" s="339"/>
      <c r="S370" s="105"/>
    </row>
    <row r="371" spans="1:19" ht="29.25" customHeight="1">
      <c r="A371" s="216"/>
      <c r="B371" s="340"/>
      <c r="C371" s="341"/>
      <c r="D371" s="342"/>
      <c r="E371" s="343"/>
      <c r="F371" s="162"/>
      <c r="G371" s="218"/>
      <c r="H371" s="218"/>
      <c r="I371" s="176"/>
      <c r="J371" s="177"/>
      <c r="K371" s="177"/>
      <c r="L371" s="177"/>
      <c r="M371" s="165"/>
      <c r="N371" s="176"/>
      <c r="O371" s="176"/>
      <c r="P371" s="178"/>
      <c r="Q371" s="105"/>
      <c r="R371" s="344"/>
      <c r="S371" s="105"/>
    </row>
    <row r="372" spans="1:19" ht="29.25" customHeight="1">
      <c r="A372" s="216"/>
      <c r="B372" s="340"/>
      <c r="C372" s="341"/>
      <c r="D372" s="342"/>
      <c r="E372" s="333"/>
      <c r="F372" s="162"/>
      <c r="G372" s="218"/>
      <c r="H372" s="218"/>
      <c r="I372" s="176"/>
      <c r="J372" s="177"/>
      <c r="K372" s="177"/>
      <c r="L372" s="177"/>
      <c r="M372" s="165"/>
      <c r="N372" s="176"/>
      <c r="O372" s="176"/>
      <c r="P372" s="178"/>
      <c r="Q372" s="105"/>
      <c r="R372" s="339"/>
      <c r="S372" s="105"/>
    </row>
    <row r="373" spans="1:19" ht="29.25" customHeight="1">
      <c r="A373" s="216"/>
      <c r="B373" s="340"/>
      <c r="C373" s="341"/>
      <c r="D373" s="342"/>
      <c r="E373" s="343"/>
      <c r="F373" s="162"/>
      <c r="G373" s="218"/>
      <c r="H373" s="218"/>
      <c r="I373" s="176"/>
      <c r="J373" s="177"/>
      <c r="K373" s="177"/>
      <c r="L373" s="177"/>
      <c r="M373" s="165"/>
      <c r="N373" s="176"/>
      <c r="O373" s="176"/>
      <c r="P373" s="178"/>
      <c r="Q373" s="105"/>
      <c r="R373" s="344"/>
      <c r="S373" s="105"/>
    </row>
    <row r="374" spans="1:19" ht="29.25" customHeight="1">
      <c r="A374" s="216"/>
      <c r="B374" s="340"/>
      <c r="C374" s="341"/>
      <c r="D374" s="342"/>
      <c r="E374" s="333"/>
      <c r="F374" s="162"/>
      <c r="G374" s="218"/>
      <c r="H374" s="218"/>
      <c r="I374" s="176"/>
      <c r="J374" s="177"/>
      <c r="K374" s="177"/>
      <c r="L374" s="177"/>
      <c r="M374" s="165"/>
      <c r="N374" s="176"/>
      <c r="O374" s="176"/>
      <c r="P374" s="178"/>
      <c r="Q374" s="105"/>
      <c r="R374" s="339"/>
      <c r="S374" s="105"/>
    </row>
    <row r="375" spans="1:19" ht="29.25" customHeight="1">
      <c r="A375" s="216"/>
      <c r="B375" s="340"/>
      <c r="C375" s="341"/>
      <c r="D375" s="342"/>
      <c r="E375" s="343"/>
      <c r="F375" s="162"/>
      <c r="G375" s="218"/>
      <c r="H375" s="218"/>
      <c r="I375" s="176"/>
      <c r="J375" s="177"/>
      <c r="K375" s="177"/>
      <c r="L375" s="177"/>
      <c r="M375" s="165"/>
      <c r="N375" s="176"/>
      <c r="O375" s="176"/>
      <c r="P375" s="178"/>
      <c r="Q375" s="105"/>
      <c r="R375" s="344"/>
      <c r="S375" s="105"/>
    </row>
    <row r="376" spans="1:19" ht="29.25" customHeight="1">
      <c r="A376" s="216"/>
      <c r="B376" s="340"/>
      <c r="C376" s="341"/>
      <c r="D376" s="342"/>
      <c r="E376" s="333"/>
      <c r="F376" s="162"/>
      <c r="G376" s="218"/>
      <c r="H376" s="218"/>
      <c r="I376" s="176"/>
      <c r="J376" s="177"/>
      <c r="K376" s="177"/>
      <c r="L376" s="177"/>
      <c r="M376" s="165"/>
      <c r="N376" s="176"/>
      <c r="O376" s="176"/>
      <c r="P376" s="178"/>
      <c r="Q376" s="105"/>
      <c r="R376" s="339"/>
      <c r="S376" s="105"/>
    </row>
    <row r="377" spans="1:19" ht="29.25" customHeight="1">
      <c r="A377" s="216"/>
      <c r="B377" s="340"/>
      <c r="C377" s="341"/>
      <c r="D377" s="342"/>
      <c r="E377" s="343"/>
      <c r="F377" s="162"/>
      <c r="G377" s="218"/>
      <c r="H377" s="218"/>
      <c r="I377" s="176"/>
      <c r="J377" s="177"/>
      <c r="K377" s="177"/>
      <c r="L377" s="177"/>
      <c r="M377" s="165"/>
      <c r="N377" s="176"/>
      <c r="O377" s="176"/>
      <c r="P377" s="178"/>
      <c r="Q377" s="105"/>
      <c r="R377" s="344"/>
      <c r="S377" s="105"/>
    </row>
    <row r="378" spans="1:19" ht="29.25" customHeight="1">
      <c r="A378" s="216"/>
      <c r="B378" s="340"/>
      <c r="C378" s="341"/>
      <c r="D378" s="342"/>
      <c r="E378" s="333"/>
      <c r="F378" s="162"/>
      <c r="G378" s="218"/>
      <c r="H378" s="218"/>
      <c r="I378" s="176"/>
      <c r="J378" s="177"/>
      <c r="K378" s="177"/>
      <c r="L378" s="177"/>
      <c r="M378" s="165"/>
      <c r="N378" s="176"/>
      <c r="O378" s="176"/>
      <c r="P378" s="178"/>
      <c r="Q378" s="105"/>
      <c r="R378" s="339"/>
      <c r="S378" s="105"/>
    </row>
    <row r="379" spans="1:19" ht="29.25" customHeight="1">
      <c r="A379" s="216"/>
      <c r="B379" s="340"/>
      <c r="C379" s="341"/>
      <c r="D379" s="342"/>
      <c r="E379" s="343"/>
      <c r="F379" s="162"/>
      <c r="G379" s="218"/>
      <c r="H379" s="218"/>
      <c r="I379" s="176"/>
      <c r="J379" s="177"/>
      <c r="K379" s="177"/>
      <c r="L379" s="177"/>
      <c r="M379" s="165"/>
      <c r="N379" s="176"/>
      <c r="O379" s="176"/>
      <c r="P379" s="178"/>
      <c r="Q379" s="105"/>
      <c r="R379" s="344"/>
      <c r="S379" s="105"/>
    </row>
    <row r="380" spans="1:19" ht="29.25" customHeight="1">
      <c r="A380" s="216"/>
      <c r="B380" s="340"/>
      <c r="C380" s="341"/>
      <c r="D380" s="342"/>
      <c r="E380" s="333"/>
      <c r="F380" s="162"/>
      <c r="G380" s="218"/>
      <c r="H380" s="218"/>
      <c r="I380" s="176"/>
      <c r="J380" s="177"/>
      <c r="K380" s="177"/>
      <c r="L380" s="177"/>
      <c r="M380" s="165"/>
      <c r="N380" s="176"/>
      <c r="O380" s="176"/>
      <c r="P380" s="178"/>
      <c r="Q380" s="105"/>
      <c r="R380" s="339"/>
      <c r="S380" s="105"/>
    </row>
    <row r="381" spans="1:19" ht="29.25" customHeight="1">
      <c r="A381" s="216"/>
      <c r="B381" s="340"/>
      <c r="C381" s="341"/>
      <c r="D381" s="342"/>
      <c r="E381" s="343"/>
      <c r="F381" s="162"/>
      <c r="G381" s="218"/>
      <c r="H381" s="218"/>
      <c r="I381" s="176"/>
      <c r="J381" s="177"/>
      <c r="K381" s="177"/>
      <c r="L381" s="177"/>
      <c r="M381" s="165"/>
      <c r="N381" s="176"/>
      <c r="O381" s="176"/>
      <c r="P381" s="178"/>
      <c r="Q381" s="105"/>
      <c r="R381" s="344"/>
      <c r="S381" s="105"/>
    </row>
    <row r="382" spans="1:19" ht="29.25" customHeight="1">
      <c r="A382" s="216"/>
      <c r="B382" s="340"/>
      <c r="C382" s="341"/>
      <c r="D382" s="342"/>
      <c r="E382" s="333"/>
      <c r="F382" s="162"/>
      <c r="G382" s="218"/>
      <c r="H382" s="218"/>
      <c r="I382" s="176"/>
      <c r="J382" s="177"/>
      <c r="K382" s="177"/>
      <c r="L382" s="177"/>
      <c r="M382" s="165"/>
      <c r="N382" s="176"/>
      <c r="O382" s="176"/>
      <c r="P382" s="178"/>
      <c r="Q382" s="105"/>
      <c r="R382" s="339"/>
      <c r="S382" s="105"/>
    </row>
    <row r="383" spans="1:19" ht="29.25" customHeight="1">
      <c r="A383" s="216"/>
      <c r="B383" s="340"/>
      <c r="C383" s="341"/>
      <c r="D383" s="342"/>
      <c r="E383" s="343"/>
      <c r="F383" s="162"/>
      <c r="G383" s="218"/>
      <c r="H383" s="218"/>
      <c r="I383" s="176"/>
      <c r="J383" s="177"/>
      <c r="K383" s="177"/>
      <c r="L383" s="177"/>
      <c r="M383" s="165"/>
      <c r="N383" s="176"/>
      <c r="O383" s="176"/>
      <c r="P383" s="178"/>
      <c r="Q383" s="105"/>
      <c r="R383" s="344"/>
      <c r="S383" s="105"/>
    </row>
    <row r="384" spans="1:19" ht="29.25" customHeight="1">
      <c r="A384" s="216"/>
      <c r="B384" s="340"/>
      <c r="C384" s="341"/>
      <c r="D384" s="342"/>
      <c r="E384" s="333"/>
      <c r="F384" s="162"/>
      <c r="G384" s="218"/>
      <c r="H384" s="218"/>
      <c r="I384" s="176"/>
      <c r="J384" s="177"/>
      <c r="K384" s="177"/>
      <c r="L384" s="177"/>
      <c r="M384" s="165"/>
      <c r="N384" s="176"/>
      <c r="O384" s="176"/>
      <c r="P384" s="178"/>
      <c r="Q384" s="105"/>
      <c r="R384" s="339"/>
      <c r="S384" s="105"/>
    </row>
    <row r="385" spans="1:19" ht="29.25" customHeight="1">
      <c r="A385" s="216"/>
      <c r="B385" s="340"/>
      <c r="C385" s="341"/>
      <c r="D385" s="342"/>
      <c r="E385" s="343"/>
      <c r="F385" s="162"/>
      <c r="G385" s="218"/>
      <c r="H385" s="218"/>
      <c r="I385" s="176"/>
      <c r="J385" s="177"/>
      <c r="K385" s="177"/>
      <c r="L385" s="177"/>
      <c r="M385" s="165"/>
      <c r="N385" s="176"/>
      <c r="O385" s="176"/>
      <c r="P385" s="178"/>
      <c r="Q385" s="105"/>
      <c r="R385" s="344"/>
      <c r="S385" s="105"/>
    </row>
    <row r="386" spans="1:19" ht="29.25" customHeight="1">
      <c r="A386" s="216"/>
      <c r="B386" s="340"/>
      <c r="C386" s="341"/>
      <c r="D386" s="342"/>
      <c r="E386" s="333"/>
      <c r="F386" s="162"/>
      <c r="G386" s="218"/>
      <c r="H386" s="218"/>
      <c r="I386" s="176"/>
      <c r="J386" s="177"/>
      <c r="K386" s="177"/>
      <c r="L386" s="177"/>
      <c r="M386" s="165"/>
      <c r="N386" s="176"/>
      <c r="O386" s="176"/>
      <c r="P386" s="178"/>
      <c r="Q386" s="105"/>
      <c r="R386" s="339"/>
      <c r="S386" s="105"/>
    </row>
    <row r="387" spans="1:19" ht="29.25" customHeight="1">
      <c r="A387" s="216"/>
      <c r="B387" s="340"/>
      <c r="C387" s="341"/>
      <c r="D387" s="342"/>
      <c r="E387" s="343"/>
      <c r="F387" s="162"/>
      <c r="G387" s="218"/>
      <c r="H387" s="218"/>
      <c r="I387" s="176"/>
      <c r="J387" s="177"/>
      <c r="K387" s="177"/>
      <c r="L387" s="177"/>
      <c r="M387" s="165"/>
      <c r="N387" s="176"/>
      <c r="O387" s="176"/>
      <c r="P387" s="178"/>
      <c r="Q387" s="105"/>
      <c r="R387" s="344"/>
      <c r="S387" s="105"/>
    </row>
    <row r="388" spans="1:19" ht="29.25" customHeight="1">
      <c r="A388" s="216"/>
      <c r="B388" s="340"/>
      <c r="C388" s="341"/>
      <c r="D388" s="342"/>
      <c r="E388" s="333"/>
      <c r="F388" s="162"/>
      <c r="G388" s="218"/>
      <c r="H388" s="218"/>
      <c r="I388" s="176"/>
      <c r="J388" s="177"/>
      <c r="K388" s="177"/>
      <c r="L388" s="177"/>
      <c r="M388" s="165"/>
      <c r="N388" s="176"/>
      <c r="O388" s="176"/>
      <c r="P388" s="178"/>
      <c r="Q388" s="105"/>
      <c r="R388" s="339"/>
      <c r="S388" s="105"/>
    </row>
    <row r="389" spans="1:19" ht="29.25" customHeight="1">
      <c r="A389" s="216"/>
      <c r="B389" s="340"/>
      <c r="C389" s="341"/>
      <c r="D389" s="342"/>
      <c r="E389" s="343"/>
      <c r="F389" s="162"/>
      <c r="G389" s="218"/>
      <c r="H389" s="218"/>
      <c r="I389" s="176"/>
      <c r="J389" s="177"/>
      <c r="K389" s="177"/>
      <c r="L389" s="177"/>
      <c r="M389" s="165"/>
      <c r="N389" s="176"/>
      <c r="O389" s="176"/>
      <c r="P389" s="178"/>
      <c r="Q389" s="105"/>
      <c r="R389" s="344"/>
      <c r="S389" s="105"/>
    </row>
    <row r="390" spans="1:19" ht="29.25" customHeight="1">
      <c r="A390" s="216"/>
      <c r="B390" s="340"/>
      <c r="C390" s="341"/>
      <c r="D390" s="342"/>
      <c r="E390" s="333"/>
      <c r="F390" s="162"/>
      <c r="G390" s="218"/>
      <c r="H390" s="218"/>
      <c r="I390" s="176"/>
      <c r="J390" s="177"/>
      <c r="K390" s="177"/>
      <c r="L390" s="177"/>
      <c r="M390" s="165"/>
      <c r="N390" s="176"/>
      <c r="O390" s="176"/>
      <c r="P390" s="178"/>
      <c r="Q390" s="105"/>
      <c r="R390" s="339"/>
      <c r="S390" s="105"/>
    </row>
    <row r="391" spans="1:19" ht="29.25" customHeight="1">
      <c r="A391" s="216"/>
      <c r="B391" s="340"/>
      <c r="C391" s="341"/>
      <c r="D391" s="342"/>
      <c r="E391" s="343"/>
      <c r="F391" s="162"/>
      <c r="G391" s="218"/>
      <c r="H391" s="218"/>
      <c r="I391" s="176"/>
      <c r="J391" s="177"/>
      <c r="K391" s="177"/>
      <c r="L391" s="177"/>
      <c r="M391" s="165"/>
      <c r="N391" s="176"/>
      <c r="O391" s="176"/>
      <c r="P391" s="178"/>
      <c r="Q391" s="105"/>
      <c r="R391" s="344"/>
      <c r="S391" s="105"/>
    </row>
    <row r="392" spans="1:19" ht="29.25" customHeight="1">
      <c r="A392" s="216"/>
      <c r="B392" s="340"/>
      <c r="C392" s="341"/>
      <c r="D392" s="342"/>
      <c r="E392" s="333"/>
      <c r="F392" s="162"/>
      <c r="G392" s="218"/>
      <c r="H392" s="218"/>
      <c r="I392" s="176"/>
      <c r="J392" s="177"/>
      <c r="K392" s="177"/>
      <c r="L392" s="177"/>
      <c r="M392" s="165"/>
      <c r="N392" s="176"/>
      <c r="O392" s="176"/>
      <c r="P392" s="178"/>
      <c r="Q392" s="105"/>
      <c r="R392" s="339"/>
      <c r="S392" s="105"/>
    </row>
    <row r="393" spans="1:19" ht="29.25" customHeight="1">
      <c r="A393" s="216"/>
      <c r="B393" s="340"/>
      <c r="C393" s="341"/>
      <c r="D393" s="342"/>
      <c r="E393" s="343"/>
      <c r="F393" s="162"/>
      <c r="G393" s="218"/>
      <c r="H393" s="218"/>
      <c r="I393" s="176"/>
      <c r="J393" s="177"/>
      <c r="K393" s="177"/>
      <c r="L393" s="177"/>
      <c r="M393" s="165"/>
      <c r="N393" s="176"/>
      <c r="O393" s="176"/>
      <c r="P393" s="178"/>
      <c r="Q393" s="105"/>
      <c r="R393" s="344"/>
      <c r="S393" s="105"/>
    </row>
    <row r="394" spans="1:19" ht="29.25" customHeight="1">
      <c r="A394" s="216"/>
      <c r="B394" s="340"/>
      <c r="C394" s="341"/>
      <c r="D394" s="342"/>
      <c r="E394" s="333"/>
      <c r="F394" s="162"/>
      <c r="G394" s="218"/>
      <c r="H394" s="218"/>
      <c r="I394" s="176"/>
      <c r="J394" s="177"/>
      <c r="K394" s="177"/>
      <c r="L394" s="177"/>
      <c r="M394" s="165"/>
      <c r="N394" s="176"/>
      <c r="O394" s="176"/>
      <c r="P394" s="178"/>
      <c r="Q394" s="105"/>
      <c r="R394" s="339"/>
      <c r="S394" s="105"/>
    </row>
    <row r="395" spans="1:19" ht="29.25" customHeight="1">
      <c r="A395" s="216"/>
      <c r="B395" s="340"/>
      <c r="C395" s="341"/>
      <c r="D395" s="342"/>
      <c r="E395" s="343"/>
      <c r="F395" s="162"/>
      <c r="G395" s="218"/>
      <c r="H395" s="218"/>
      <c r="I395" s="176"/>
      <c r="J395" s="177"/>
      <c r="K395" s="177"/>
      <c r="L395" s="177"/>
      <c r="M395" s="165"/>
      <c r="N395" s="176"/>
      <c r="O395" s="176"/>
      <c r="P395" s="178"/>
      <c r="Q395" s="105"/>
      <c r="R395" s="344"/>
      <c r="S395" s="105"/>
    </row>
    <row r="396" spans="1:19" ht="29.25" customHeight="1">
      <c r="A396" s="216"/>
      <c r="B396" s="340"/>
      <c r="C396" s="341"/>
      <c r="D396" s="342"/>
      <c r="E396" s="333"/>
      <c r="F396" s="162"/>
      <c r="G396" s="218"/>
      <c r="H396" s="218"/>
      <c r="I396" s="176"/>
      <c r="J396" s="177"/>
      <c r="K396" s="177"/>
      <c r="L396" s="177"/>
      <c r="M396" s="165"/>
      <c r="N396" s="176"/>
      <c r="O396" s="176"/>
      <c r="P396" s="178"/>
      <c r="Q396" s="105"/>
      <c r="R396" s="339"/>
      <c r="S396" s="105"/>
    </row>
    <row r="397" spans="1:19" ht="29.25" customHeight="1">
      <c r="A397" s="216"/>
      <c r="B397" s="340"/>
      <c r="C397" s="341"/>
      <c r="D397" s="342"/>
      <c r="E397" s="343"/>
      <c r="F397" s="162"/>
      <c r="G397" s="218"/>
      <c r="H397" s="218"/>
      <c r="I397" s="176"/>
      <c r="J397" s="177"/>
      <c r="K397" s="177"/>
      <c r="L397" s="177"/>
      <c r="M397" s="165"/>
      <c r="N397" s="176"/>
      <c r="O397" s="176"/>
      <c r="P397" s="178"/>
      <c r="Q397" s="105"/>
      <c r="R397" s="344"/>
      <c r="S397" s="105"/>
    </row>
    <row r="398" spans="1:19" ht="29.25" customHeight="1">
      <c r="A398" s="216"/>
      <c r="B398" s="340"/>
      <c r="C398" s="341"/>
      <c r="D398" s="342"/>
      <c r="E398" s="333"/>
      <c r="F398" s="162"/>
      <c r="G398" s="218"/>
      <c r="H398" s="218"/>
      <c r="I398" s="176"/>
      <c r="J398" s="177"/>
      <c r="K398" s="177"/>
      <c r="L398" s="177"/>
      <c r="M398" s="165"/>
      <c r="N398" s="176"/>
      <c r="O398" s="176"/>
      <c r="P398" s="178"/>
      <c r="Q398" s="105"/>
      <c r="R398" s="339"/>
      <c r="S398" s="105"/>
    </row>
    <row r="399" spans="1:19" ht="29.25" customHeight="1">
      <c r="A399" s="216"/>
      <c r="B399" s="340"/>
      <c r="C399" s="341"/>
      <c r="D399" s="342"/>
      <c r="E399" s="343"/>
      <c r="F399" s="162"/>
      <c r="G399" s="218"/>
      <c r="H399" s="218"/>
      <c r="I399" s="176"/>
      <c r="J399" s="177"/>
      <c r="K399" s="177"/>
      <c r="L399" s="177"/>
      <c r="M399" s="165"/>
      <c r="N399" s="176"/>
      <c r="O399" s="176"/>
      <c r="P399" s="178"/>
      <c r="Q399" s="105"/>
      <c r="R399" s="344"/>
      <c r="S399" s="105"/>
    </row>
    <row r="400" spans="1:19" ht="29.25" customHeight="1">
      <c r="A400" s="216"/>
      <c r="B400" s="340"/>
      <c r="C400" s="341"/>
      <c r="D400" s="342"/>
      <c r="E400" s="333"/>
      <c r="F400" s="162"/>
      <c r="G400" s="218"/>
      <c r="H400" s="218"/>
      <c r="I400" s="176"/>
      <c r="J400" s="177"/>
      <c r="K400" s="177"/>
      <c r="L400" s="177"/>
      <c r="M400" s="165"/>
      <c r="N400" s="176"/>
      <c r="O400" s="176"/>
      <c r="P400" s="178"/>
      <c r="Q400" s="105"/>
      <c r="R400" s="339"/>
      <c r="S400" s="105"/>
    </row>
    <row r="401" spans="1:19" ht="29.25" customHeight="1">
      <c r="A401" s="216"/>
      <c r="B401" s="340"/>
      <c r="C401" s="341"/>
      <c r="D401" s="342"/>
      <c r="E401" s="343"/>
      <c r="F401" s="162"/>
      <c r="G401" s="218"/>
      <c r="H401" s="218"/>
      <c r="I401" s="176"/>
      <c r="J401" s="177"/>
      <c r="K401" s="177"/>
      <c r="L401" s="177"/>
      <c r="M401" s="165"/>
      <c r="N401" s="176"/>
      <c r="O401" s="176"/>
      <c r="P401" s="178"/>
      <c r="Q401" s="105"/>
      <c r="R401" s="344"/>
      <c r="S401" s="105"/>
    </row>
    <row r="402" spans="1:19" ht="29.25" customHeight="1">
      <c r="A402" s="216"/>
      <c r="B402" s="340"/>
      <c r="C402" s="341"/>
      <c r="D402" s="342"/>
      <c r="E402" s="333"/>
      <c r="F402" s="162"/>
      <c r="G402" s="218"/>
      <c r="H402" s="218"/>
      <c r="I402" s="176"/>
      <c r="J402" s="177"/>
      <c r="K402" s="177"/>
      <c r="L402" s="177"/>
      <c r="M402" s="165"/>
      <c r="N402" s="176"/>
      <c r="O402" s="176"/>
      <c r="P402" s="178"/>
      <c r="Q402" s="105"/>
      <c r="R402" s="339"/>
      <c r="S402" s="105"/>
    </row>
    <row r="403" spans="1:19" ht="29.25" customHeight="1">
      <c r="A403" s="216"/>
      <c r="B403" s="340"/>
      <c r="C403" s="341"/>
      <c r="D403" s="342"/>
      <c r="E403" s="343"/>
      <c r="F403" s="162"/>
      <c r="G403" s="218"/>
      <c r="H403" s="218"/>
      <c r="I403" s="176"/>
      <c r="J403" s="177"/>
      <c r="K403" s="177"/>
      <c r="L403" s="177"/>
      <c r="M403" s="165"/>
      <c r="N403" s="176"/>
      <c r="O403" s="176"/>
      <c r="P403" s="178"/>
      <c r="Q403" s="105"/>
      <c r="R403" s="344"/>
      <c r="S403" s="105"/>
    </row>
    <row r="404" spans="1:19" ht="29.25" customHeight="1">
      <c r="A404" s="216"/>
      <c r="B404" s="340"/>
      <c r="C404" s="341"/>
      <c r="D404" s="342"/>
      <c r="E404" s="333"/>
      <c r="F404" s="162"/>
      <c r="G404" s="218"/>
      <c r="H404" s="218"/>
      <c r="I404" s="176"/>
      <c r="J404" s="177"/>
      <c r="K404" s="177"/>
      <c r="L404" s="177"/>
      <c r="M404" s="165"/>
      <c r="N404" s="176"/>
      <c r="O404" s="176"/>
      <c r="P404" s="178"/>
      <c r="Q404" s="105"/>
      <c r="R404" s="339"/>
      <c r="S404" s="105"/>
    </row>
    <row r="405" spans="1:19" ht="29.25" customHeight="1">
      <c r="A405" s="216"/>
      <c r="B405" s="340"/>
      <c r="C405" s="341"/>
      <c r="D405" s="342"/>
      <c r="E405" s="343"/>
      <c r="F405" s="162"/>
      <c r="G405" s="218"/>
      <c r="H405" s="218"/>
      <c r="I405" s="176"/>
      <c r="J405" s="177"/>
      <c r="K405" s="177"/>
      <c r="L405" s="177"/>
      <c r="M405" s="165"/>
      <c r="N405" s="176"/>
      <c r="O405" s="176"/>
      <c r="P405" s="178"/>
      <c r="Q405" s="105"/>
      <c r="R405" s="344"/>
      <c r="S405" s="105"/>
    </row>
    <row r="406" spans="1:19" ht="29.25" customHeight="1">
      <c r="A406" s="216"/>
      <c r="B406" s="340"/>
      <c r="C406" s="341"/>
      <c r="D406" s="342"/>
      <c r="E406" s="333"/>
      <c r="F406" s="162"/>
      <c r="G406" s="218"/>
      <c r="H406" s="218"/>
      <c r="I406" s="176"/>
      <c r="J406" s="177"/>
      <c r="K406" s="177"/>
      <c r="L406" s="177"/>
      <c r="M406" s="165"/>
      <c r="N406" s="176"/>
      <c r="O406" s="176"/>
      <c r="P406" s="178"/>
      <c r="Q406" s="105"/>
      <c r="R406" s="339"/>
      <c r="S406" s="105"/>
    </row>
    <row r="407" spans="1:19" ht="29.25" customHeight="1">
      <c r="A407" s="216"/>
      <c r="B407" s="340"/>
      <c r="C407" s="341"/>
      <c r="D407" s="342"/>
      <c r="E407" s="343"/>
      <c r="F407" s="162"/>
      <c r="G407" s="218"/>
      <c r="H407" s="218"/>
      <c r="I407" s="176"/>
      <c r="J407" s="177"/>
      <c r="K407" s="177"/>
      <c r="L407" s="177"/>
      <c r="M407" s="165"/>
      <c r="N407" s="176"/>
      <c r="O407" s="176"/>
      <c r="P407" s="178"/>
      <c r="Q407" s="105"/>
      <c r="R407" s="344"/>
      <c r="S407" s="105"/>
    </row>
    <row r="408" spans="1:19" ht="29.25" customHeight="1">
      <c r="A408" s="216"/>
      <c r="B408" s="340"/>
      <c r="C408" s="341"/>
      <c r="D408" s="342"/>
      <c r="E408" s="333"/>
      <c r="F408" s="162"/>
      <c r="G408" s="218"/>
      <c r="H408" s="218"/>
      <c r="I408" s="176"/>
      <c r="J408" s="177"/>
      <c r="K408" s="177"/>
      <c r="L408" s="177"/>
      <c r="M408" s="165"/>
      <c r="N408" s="176"/>
      <c r="O408" s="176"/>
      <c r="P408" s="178"/>
      <c r="Q408" s="105"/>
      <c r="R408" s="339"/>
      <c r="S408" s="105"/>
    </row>
    <row r="409" spans="1:19" ht="29.25" customHeight="1">
      <c r="A409" s="216"/>
      <c r="B409" s="340"/>
      <c r="C409" s="341"/>
      <c r="D409" s="342"/>
      <c r="E409" s="343"/>
      <c r="F409" s="162"/>
      <c r="G409" s="218"/>
      <c r="H409" s="218"/>
      <c r="I409" s="176"/>
      <c r="J409" s="177"/>
      <c r="K409" s="177"/>
      <c r="L409" s="177"/>
      <c r="M409" s="165"/>
      <c r="N409" s="176"/>
      <c r="O409" s="176"/>
      <c r="P409" s="178"/>
      <c r="Q409" s="105"/>
      <c r="R409" s="344"/>
      <c r="S409" s="105"/>
    </row>
    <row r="410" spans="1:19" ht="29.25" customHeight="1">
      <c r="A410" s="216"/>
      <c r="B410" s="340"/>
      <c r="C410" s="341"/>
      <c r="D410" s="342"/>
      <c r="E410" s="333"/>
      <c r="F410" s="162"/>
      <c r="G410" s="218"/>
      <c r="H410" s="218"/>
      <c r="I410" s="176"/>
      <c r="J410" s="177"/>
      <c r="K410" s="177"/>
      <c r="L410" s="177"/>
      <c r="M410" s="165"/>
      <c r="N410" s="176"/>
      <c r="O410" s="176"/>
      <c r="P410" s="178"/>
      <c r="Q410" s="105"/>
      <c r="R410" s="339"/>
      <c r="S410" s="105"/>
    </row>
    <row r="411" spans="1:19" ht="29.25" customHeight="1">
      <c r="A411" s="216"/>
      <c r="B411" s="340"/>
      <c r="C411" s="341"/>
      <c r="D411" s="342"/>
      <c r="E411" s="343"/>
      <c r="F411" s="162"/>
      <c r="G411" s="218"/>
      <c r="H411" s="218"/>
      <c r="I411" s="176"/>
      <c r="J411" s="177"/>
      <c r="K411" s="177"/>
      <c r="L411" s="177"/>
      <c r="M411" s="165"/>
      <c r="N411" s="176"/>
      <c r="O411" s="176"/>
      <c r="P411" s="178"/>
      <c r="Q411" s="105"/>
      <c r="R411" s="344"/>
      <c r="S411" s="105"/>
    </row>
    <row r="412" spans="1:19" ht="29.25" customHeight="1">
      <c r="A412" s="216"/>
      <c r="B412" s="340"/>
      <c r="C412" s="341"/>
      <c r="D412" s="342"/>
      <c r="E412" s="333"/>
      <c r="F412" s="162"/>
      <c r="G412" s="218"/>
      <c r="H412" s="218"/>
      <c r="I412" s="176"/>
      <c r="J412" s="177"/>
      <c r="K412" s="177"/>
      <c r="L412" s="177"/>
      <c r="M412" s="165"/>
      <c r="N412" s="176"/>
      <c r="O412" s="176"/>
      <c r="P412" s="178"/>
      <c r="Q412" s="105"/>
      <c r="R412" s="339"/>
      <c r="S412" s="105"/>
    </row>
    <row r="413" spans="1:19" ht="29.25" customHeight="1">
      <c r="A413" s="216"/>
      <c r="B413" s="340"/>
      <c r="C413" s="341"/>
      <c r="D413" s="342"/>
      <c r="E413" s="343"/>
      <c r="F413" s="162"/>
      <c r="G413" s="218"/>
      <c r="H413" s="218"/>
      <c r="I413" s="176"/>
      <c r="J413" s="177"/>
      <c r="K413" s="177"/>
      <c r="L413" s="177"/>
      <c r="M413" s="165"/>
      <c r="N413" s="176"/>
      <c r="O413" s="176"/>
      <c r="P413" s="178"/>
      <c r="Q413" s="105"/>
      <c r="R413" s="344"/>
      <c r="S413" s="105"/>
    </row>
    <row r="414" spans="1:19" ht="29.25" customHeight="1">
      <c r="A414" s="216"/>
      <c r="B414" s="340"/>
      <c r="C414" s="341"/>
      <c r="D414" s="342"/>
      <c r="E414" s="333"/>
      <c r="F414" s="162"/>
      <c r="G414" s="218"/>
      <c r="H414" s="218"/>
      <c r="I414" s="176"/>
      <c r="J414" s="177"/>
      <c r="K414" s="177"/>
      <c r="L414" s="177"/>
      <c r="M414" s="165"/>
      <c r="N414" s="176"/>
      <c r="O414" s="176"/>
      <c r="P414" s="178"/>
      <c r="Q414" s="105"/>
      <c r="R414" s="339"/>
      <c r="S414" s="105"/>
    </row>
    <row r="415" spans="1:19" ht="29.25" customHeight="1">
      <c r="A415" s="216"/>
      <c r="B415" s="340"/>
      <c r="C415" s="341"/>
      <c r="D415" s="342"/>
      <c r="E415" s="343"/>
      <c r="F415" s="162"/>
      <c r="G415" s="218"/>
      <c r="H415" s="218"/>
      <c r="I415" s="176"/>
      <c r="J415" s="177"/>
      <c r="K415" s="177"/>
      <c r="L415" s="177"/>
      <c r="M415" s="165"/>
      <c r="N415" s="176"/>
      <c r="O415" s="176"/>
      <c r="P415" s="178"/>
      <c r="Q415" s="105"/>
      <c r="R415" s="344"/>
      <c r="S415" s="105"/>
    </row>
    <row r="416" spans="1:19" ht="29.25" customHeight="1">
      <c r="A416" s="216"/>
      <c r="B416" s="340"/>
      <c r="C416" s="341"/>
      <c r="D416" s="342"/>
      <c r="E416" s="333"/>
      <c r="F416" s="162"/>
      <c r="G416" s="218"/>
      <c r="H416" s="218"/>
      <c r="I416" s="176"/>
      <c r="J416" s="177"/>
      <c r="K416" s="177"/>
      <c r="L416" s="177"/>
      <c r="M416" s="165"/>
      <c r="N416" s="176"/>
      <c r="O416" s="176"/>
      <c r="P416" s="178"/>
      <c r="Q416" s="105"/>
      <c r="R416" s="339"/>
      <c r="S416" s="105"/>
    </row>
    <row r="417" spans="1:19" ht="29.25" customHeight="1">
      <c r="A417" s="216"/>
      <c r="B417" s="340"/>
      <c r="C417" s="341"/>
      <c r="D417" s="342"/>
      <c r="E417" s="343"/>
      <c r="F417" s="162"/>
      <c r="G417" s="218"/>
      <c r="H417" s="218"/>
      <c r="I417" s="176"/>
      <c r="J417" s="177"/>
      <c r="K417" s="177"/>
      <c r="L417" s="177"/>
      <c r="M417" s="165"/>
      <c r="N417" s="176"/>
      <c r="O417" s="176"/>
      <c r="P417" s="178"/>
      <c r="Q417" s="105"/>
      <c r="R417" s="344"/>
      <c r="S417" s="105"/>
    </row>
    <row r="418" spans="1:19" ht="29.25" customHeight="1">
      <c r="A418" s="216"/>
      <c r="B418" s="340"/>
      <c r="C418" s="341"/>
      <c r="D418" s="342"/>
      <c r="E418" s="333"/>
      <c r="F418" s="162"/>
      <c r="G418" s="218"/>
      <c r="H418" s="218"/>
      <c r="I418" s="176"/>
      <c r="J418" s="177"/>
      <c r="K418" s="177"/>
      <c r="L418" s="177"/>
      <c r="M418" s="165"/>
      <c r="N418" s="176"/>
      <c r="O418" s="176"/>
      <c r="P418" s="178"/>
      <c r="Q418" s="105"/>
      <c r="R418" s="339"/>
      <c r="S418" s="105"/>
    </row>
    <row r="419" spans="1:19" ht="29.25" customHeight="1">
      <c r="A419" s="216"/>
      <c r="B419" s="340"/>
      <c r="C419" s="341"/>
      <c r="D419" s="342"/>
      <c r="E419" s="343"/>
      <c r="F419" s="162"/>
      <c r="G419" s="218"/>
      <c r="H419" s="218"/>
      <c r="I419" s="176"/>
      <c r="J419" s="177"/>
      <c r="K419" s="177"/>
      <c r="L419" s="177"/>
      <c r="M419" s="165"/>
      <c r="N419" s="176"/>
      <c r="O419" s="176"/>
      <c r="P419" s="178"/>
      <c r="Q419" s="105"/>
      <c r="R419" s="344"/>
      <c r="S419" s="105"/>
    </row>
    <row r="420" spans="1:19" ht="29.25" customHeight="1">
      <c r="A420" s="216"/>
      <c r="B420" s="340"/>
      <c r="C420" s="341"/>
      <c r="D420" s="342"/>
      <c r="E420" s="333"/>
      <c r="F420" s="162"/>
      <c r="G420" s="218"/>
      <c r="H420" s="218"/>
      <c r="I420" s="176"/>
      <c r="J420" s="177"/>
      <c r="K420" s="177"/>
      <c r="L420" s="177"/>
      <c r="M420" s="165"/>
      <c r="N420" s="176"/>
      <c r="O420" s="176"/>
      <c r="P420" s="178"/>
      <c r="Q420" s="105"/>
      <c r="R420" s="339"/>
      <c r="S420" s="105"/>
    </row>
    <row r="421" spans="1:19" ht="29.25" customHeight="1">
      <c r="A421" s="216"/>
      <c r="B421" s="340"/>
      <c r="C421" s="341"/>
      <c r="D421" s="342"/>
      <c r="E421" s="343"/>
      <c r="F421" s="162"/>
      <c r="G421" s="218"/>
      <c r="H421" s="218"/>
      <c r="I421" s="176"/>
      <c r="J421" s="177"/>
      <c r="K421" s="177"/>
      <c r="L421" s="177"/>
      <c r="M421" s="165"/>
      <c r="N421" s="176"/>
      <c r="O421" s="176"/>
      <c r="P421" s="178"/>
      <c r="Q421" s="105"/>
      <c r="R421" s="344"/>
      <c r="S421" s="105"/>
    </row>
    <row r="422" spans="1:19" ht="29.25" customHeight="1">
      <c r="A422" s="216"/>
      <c r="B422" s="340"/>
      <c r="C422" s="341"/>
      <c r="D422" s="342"/>
      <c r="E422" s="333"/>
      <c r="F422" s="162"/>
      <c r="G422" s="218"/>
      <c r="H422" s="218"/>
      <c r="I422" s="176"/>
      <c r="J422" s="177"/>
      <c r="K422" s="177"/>
      <c r="L422" s="177"/>
      <c r="M422" s="165"/>
      <c r="N422" s="176"/>
      <c r="O422" s="176"/>
      <c r="P422" s="178"/>
      <c r="Q422" s="105"/>
      <c r="R422" s="339"/>
      <c r="S422" s="105"/>
    </row>
    <row r="423" spans="1:19" ht="29.25" customHeight="1">
      <c r="A423" s="216"/>
      <c r="B423" s="340"/>
      <c r="C423" s="341"/>
      <c r="D423" s="342"/>
      <c r="E423" s="343"/>
      <c r="F423" s="162"/>
      <c r="G423" s="218"/>
      <c r="H423" s="218"/>
      <c r="I423" s="176"/>
      <c r="J423" s="177"/>
      <c r="K423" s="177"/>
      <c r="L423" s="177"/>
      <c r="M423" s="165"/>
      <c r="N423" s="176"/>
      <c r="O423" s="176"/>
      <c r="P423" s="178"/>
      <c r="Q423" s="105"/>
      <c r="R423" s="344"/>
      <c r="S423" s="105"/>
    </row>
    <row r="424" spans="1:19" ht="29.25" customHeight="1">
      <c r="A424" s="216"/>
      <c r="B424" s="340"/>
      <c r="C424" s="341"/>
      <c r="D424" s="342"/>
      <c r="E424" s="333"/>
      <c r="F424" s="162"/>
      <c r="G424" s="218"/>
      <c r="H424" s="218"/>
      <c r="I424" s="176"/>
      <c r="J424" s="177"/>
      <c r="K424" s="177"/>
      <c r="L424" s="177"/>
      <c r="M424" s="165"/>
      <c r="N424" s="176"/>
      <c r="O424" s="176"/>
      <c r="P424" s="178"/>
      <c r="Q424" s="105"/>
      <c r="R424" s="339"/>
      <c r="S424" s="105"/>
    </row>
    <row r="425" spans="1:19" ht="29.25" customHeight="1">
      <c r="A425" s="216"/>
      <c r="B425" s="340"/>
      <c r="C425" s="341"/>
      <c r="D425" s="342"/>
      <c r="E425" s="343"/>
      <c r="F425" s="162"/>
      <c r="G425" s="218"/>
      <c r="H425" s="218"/>
      <c r="I425" s="176"/>
      <c r="J425" s="177"/>
      <c r="K425" s="177"/>
      <c r="L425" s="177"/>
      <c r="M425" s="165"/>
      <c r="N425" s="176"/>
      <c r="O425" s="176"/>
      <c r="P425" s="178"/>
      <c r="Q425" s="105"/>
      <c r="R425" s="344"/>
      <c r="S425" s="105"/>
    </row>
    <row r="426" spans="1:19" ht="29.25" customHeight="1">
      <c r="A426" s="216"/>
      <c r="B426" s="340"/>
      <c r="C426" s="341"/>
      <c r="D426" s="342"/>
      <c r="E426" s="333"/>
      <c r="F426" s="162"/>
      <c r="G426" s="218"/>
      <c r="H426" s="218"/>
      <c r="I426" s="176"/>
      <c r="J426" s="177"/>
      <c r="K426" s="177"/>
      <c r="L426" s="177"/>
      <c r="M426" s="165"/>
      <c r="N426" s="176"/>
      <c r="O426" s="176"/>
      <c r="P426" s="178"/>
      <c r="Q426" s="105"/>
      <c r="R426" s="339"/>
      <c r="S426" s="105"/>
    </row>
    <row r="427" spans="1:19" ht="29.25" customHeight="1">
      <c r="A427" s="216"/>
      <c r="B427" s="340"/>
      <c r="C427" s="341"/>
      <c r="D427" s="342"/>
      <c r="E427" s="343"/>
      <c r="F427" s="162"/>
      <c r="G427" s="218"/>
      <c r="H427" s="218"/>
      <c r="I427" s="176"/>
      <c r="J427" s="177"/>
      <c r="K427" s="177"/>
      <c r="L427" s="177"/>
      <c r="M427" s="165"/>
      <c r="N427" s="176"/>
      <c r="O427" s="176"/>
      <c r="P427" s="178"/>
      <c r="Q427" s="105"/>
      <c r="R427" s="344"/>
      <c r="S427" s="105"/>
    </row>
    <row r="428" spans="1:19" ht="29.25" customHeight="1">
      <c r="A428" s="216"/>
      <c r="B428" s="340"/>
      <c r="C428" s="341"/>
      <c r="D428" s="342"/>
      <c r="E428" s="333"/>
      <c r="F428" s="162"/>
      <c r="G428" s="218"/>
      <c r="H428" s="218"/>
      <c r="I428" s="176"/>
      <c r="J428" s="177"/>
      <c r="K428" s="177"/>
      <c r="L428" s="177"/>
      <c r="M428" s="165"/>
      <c r="N428" s="176"/>
      <c r="O428" s="176"/>
      <c r="P428" s="178"/>
      <c r="Q428" s="105"/>
      <c r="R428" s="339"/>
      <c r="S428" s="105"/>
    </row>
    <row r="429" spans="1:19" ht="29.25" customHeight="1">
      <c r="A429" s="216"/>
      <c r="B429" s="340"/>
      <c r="C429" s="341"/>
      <c r="D429" s="342"/>
      <c r="E429" s="343"/>
      <c r="F429" s="162"/>
      <c r="G429" s="218"/>
      <c r="H429" s="218"/>
      <c r="I429" s="176"/>
      <c r="J429" s="177"/>
      <c r="K429" s="177"/>
      <c r="L429" s="177"/>
      <c r="M429" s="165"/>
      <c r="N429" s="176"/>
      <c r="O429" s="176"/>
      <c r="P429" s="178"/>
      <c r="Q429" s="105"/>
      <c r="R429" s="344"/>
      <c r="S429" s="105"/>
    </row>
    <row r="430" spans="1:19" ht="29.25" customHeight="1">
      <c r="A430" s="216"/>
      <c r="B430" s="340"/>
      <c r="C430" s="341"/>
      <c r="D430" s="342"/>
      <c r="E430" s="333"/>
      <c r="F430" s="162"/>
      <c r="G430" s="218"/>
      <c r="H430" s="218"/>
      <c r="I430" s="176"/>
      <c r="J430" s="177"/>
      <c r="K430" s="177"/>
      <c r="L430" s="177"/>
      <c r="M430" s="165"/>
      <c r="N430" s="176"/>
      <c r="O430" s="176"/>
      <c r="P430" s="178"/>
      <c r="Q430" s="105"/>
      <c r="R430" s="339"/>
      <c r="S430" s="105"/>
    </row>
    <row r="431" spans="1:19" ht="29.25" customHeight="1">
      <c r="A431" s="216"/>
      <c r="B431" s="340"/>
      <c r="C431" s="341"/>
      <c r="D431" s="342"/>
      <c r="E431" s="343"/>
      <c r="F431" s="162"/>
      <c r="G431" s="218"/>
      <c r="H431" s="218"/>
      <c r="I431" s="176"/>
      <c r="J431" s="177"/>
      <c r="K431" s="177"/>
      <c r="L431" s="177"/>
      <c r="M431" s="165"/>
      <c r="N431" s="176"/>
      <c r="O431" s="176"/>
      <c r="P431" s="178"/>
      <c r="Q431" s="105"/>
      <c r="R431" s="344"/>
      <c r="S431" s="105"/>
    </row>
    <row r="432" spans="1:19" ht="29.25" customHeight="1">
      <c r="A432" s="216"/>
      <c r="B432" s="340"/>
      <c r="C432" s="341"/>
      <c r="D432" s="342"/>
      <c r="E432" s="333"/>
      <c r="F432" s="162"/>
      <c r="G432" s="218"/>
      <c r="H432" s="218"/>
      <c r="I432" s="176"/>
      <c r="J432" s="177"/>
      <c r="K432" s="177"/>
      <c r="L432" s="177"/>
      <c r="M432" s="165"/>
      <c r="N432" s="176"/>
      <c r="O432" s="176"/>
      <c r="P432" s="178"/>
      <c r="Q432" s="105"/>
      <c r="R432" s="339"/>
      <c r="S432" s="105"/>
    </row>
    <row r="433" spans="1:19" ht="29.25" customHeight="1">
      <c r="A433" s="216"/>
      <c r="B433" s="340"/>
      <c r="C433" s="341"/>
      <c r="D433" s="342"/>
      <c r="E433" s="343"/>
      <c r="F433" s="162"/>
      <c r="G433" s="218"/>
      <c r="H433" s="218"/>
      <c r="I433" s="176"/>
      <c r="J433" s="177"/>
      <c r="K433" s="177"/>
      <c r="L433" s="177"/>
      <c r="M433" s="165"/>
      <c r="N433" s="176"/>
      <c r="O433" s="176"/>
      <c r="P433" s="178"/>
      <c r="Q433" s="105"/>
      <c r="R433" s="344"/>
      <c r="S433" s="105"/>
    </row>
    <row r="434" spans="1:19" ht="29.25" customHeight="1">
      <c r="A434" s="216"/>
      <c r="B434" s="340"/>
      <c r="C434" s="341"/>
      <c r="D434" s="342"/>
      <c r="E434" s="333"/>
      <c r="F434" s="162"/>
      <c r="G434" s="218"/>
      <c r="H434" s="218"/>
      <c r="I434" s="176"/>
      <c r="J434" s="177"/>
      <c r="K434" s="177"/>
      <c r="L434" s="177"/>
      <c r="M434" s="165"/>
      <c r="N434" s="176"/>
      <c r="O434" s="176"/>
      <c r="P434" s="178"/>
      <c r="Q434" s="105"/>
      <c r="R434" s="339"/>
      <c r="S434" s="105"/>
    </row>
    <row r="435" spans="1:19" ht="29.25" customHeight="1">
      <c r="A435" s="216"/>
      <c r="B435" s="340"/>
      <c r="C435" s="341"/>
      <c r="D435" s="342"/>
      <c r="E435" s="343"/>
      <c r="F435" s="162"/>
      <c r="G435" s="218"/>
      <c r="H435" s="218"/>
      <c r="I435" s="176"/>
      <c r="J435" s="177"/>
      <c r="K435" s="177"/>
      <c r="L435" s="177"/>
      <c r="M435" s="165"/>
      <c r="N435" s="176"/>
      <c r="O435" s="176"/>
      <c r="P435" s="178"/>
      <c r="Q435" s="105"/>
      <c r="R435" s="344"/>
      <c r="S435" s="105"/>
    </row>
    <row r="436" spans="1:19" ht="29.25" customHeight="1">
      <c r="A436" s="216"/>
      <c r="B436" s="340"/>
      <c r="C436" s="341"/>
      <c r="D436" s="342"/>
      <c r="E436" s="333"/>
      <c r="F436" s="162"/>
      <c r="G436" s="218"/>
      <c r="H436" s="218"/>
      <c r="I436" s="176"/>
      <c r="J436" s="177"/>
      <c r="K436" s="177"/>
      <c r="L436" s="177"/>
      <c r="M436" s="165"/>
      <c r="N436" s="176"/>
      <c r="O436" s="176"/>
      <c r="P436" s="178"/>
      <c r="Q436" s="105"/>
      <c r="R436" s="339"/>
      <c r="S436" s="105"/>
    </row>
    <row r="437" spans="1:19" ht="29.25" customHeight="1">
      <c r="A437" s="216"/>
      <c r="B437" s="340"/>
      <c r="C437" s="341"/>
      <c r="D437" s="342"/>
      <c r="E437" s="343"/>
      <c r="F437" s="162"/>
      <c r="G437" s="218"/>
      <c r="H437" s="218"/>
      <c r="I437" s="176"/>
      <c r="J437" s="177"/>
      <c r="K437" s="177"/>
      <c r="L437" s="177"/>
      <c r="M437" s="165"/>
      <c r="N437" s="176"/>
      <c r="O437" s="176"/>
      <c r="P437" s="178"/>
      <c r="Q437" s="105"/>
      <c r="R437" s="344"/>
      <c r="S437" s="105"/>
    </row>
    <row r="438" spans="1:19" ht="29.25" customHeight="1">
      <c r="A438" s="216"/>
      <c r="B438" s="340"/>
      <c r="C438" s="341"/>
      <c r="D438" s="342"/>
      <c r="E438" s="333"/>
      <c r="F438" s="162"/>
      <c r="G438" s="218"/>
      <c r="H438" s="218"/>
      <c r="I438" s="176"/>
      <c r="J438" s="177"/>
      <c r="K438" s="177"/>
      <c r="L438" s="177"/>
      <c r="M438" s="165"/>
      <c r="N438" s="176"/>
      <c r="O438" s="176"/>
      <c r="P438" s="178"/>
      <c r="Q438" s="105"/>
      <c r="R438" s="339"/>
      <c r="S438" s="105"/>
    </row>
    <row r="439" spans="1:19" ht="29.25" customHeight="1">
      <c r="A439" s="216"/>
      <c r="B439" s="340"/>
      <c r="C439" s="341"/>
      <c r="D439" s="342"/>
      <c r="E439" s="343"/>
      <c r="F439" s="162"/>
      <c r="G439" s="218"/>
      <c r="H439" s="218"/>
      <c r="I439" s="176"/>
      <c r="J439" s="177"/>
      <c r="K439" s="177"/>
      <c r="L439" s="177"/>
      <c r="M439" s="165"/>
      <c r="N439" s="176"/>
      <c r="O439" s="176"/>
      <c r="P439" s="178"/>
      <c r="Q439" s="105"/>
      <c r="R439" s="344"/>
      <c r="S439" s="105"/>
    </row>
    <row r="440" spans="1:19" ht="29.25" customHeight="1">
      <c r="A440" s="216"/>
      <c r="B440" s="340"/>
      <c r="C440" s="341"/>
      <c r="D440" s="342"/>
      <c r="E440" s="333"/>
      <c r="F440" s="162"/>
      <c r="G440" s="218"/>
      <c r="H440" s="218"/>
      <c r="I440" s="176"/>
      <c r="J440" s="177"/>
      <c r="K440" s="177"/>
      <c r="L440" s="177"/>
      <c r="M440" s="165"/>
      <c r="N440" s="176"/>
      <c r="O440" s="176"/>
      <c r="P440" s="178"/>
      <c r="Q440" s="105"/>
      <c r="R440" s="339"/>
      <c r="S440" s="105"/>
    </row>
    <row r="441" spans="1:19" ht="29.25" customHeight="1">
      <c r="A441" s="216"/>
      <c r="B441" s="340"/>
      <c r="C441" s="341"/>
      <c r="D441" s="342"/>
      <c r="E441" s="343"/>
      <c r="F441" s="162"/>
      <c r="G441" s="218"/>
      <c r="H441" s="218"/>
      <c r="I441" s="176"/>
      <c r="J441" s="177"/>
      <c r="K441" s="177"/>
      <c r="L441" s="177"/>
      <c r="M441" s="165"/>
      <c r="N441" s="176"/>
      <c r="O441" s="176"/>
      <c r="P441" s="178"/>
      <c r="Q441" s="105"/>
      <c r="R441" s="344"/>
      <c r="S441" s="105"/>
    </row>
    <row r="442" spans="1:19" ht="29.25" customHeight="1">
      <c r="A442" s="216"/>
      <c r="B442" s="340"/>
      <c r="C442" s="341"/>
      <c r="D442" s="342"/>
      <c r="E442" s="333"/>
      <c r="F442" s="162"/>
      <c r="G442" s="218"/>
      <c r="H442" s="218"/>
      <c r="I442" s="176"/>
      <c r="J442" s="177"/>
      <c r="K442" s="177"/>
      <c r="L442" s="177"/>
      <c r="M442" s="165"/>
      <c r="N442" s="176"/>
      <c r="O442" s="176"/>
      <c r="P442" s="178"/>
      <c r="Q442" s="105"/>
      <c r="R442" s="339"/>
      <c r="S442" s="105"/>
    </row>
    <row r="443" spans="1:19" ht="29.25" customHeight="1">
      <c r="A443" s="216"/>
      <c r="B443" s="340"/>
      <c r="C443" s="341"/>
      <c r="D443" s="342"/>
      <c r="E443" s="343"/>
      <c r="F443" s="162"/>
      <c r="G443" s="218"/>
      <c r="H443" s="218"/>
      <c r="I443" s="176"/>
      <c r="J443" s="177"/>
      <c r="K443" s="177"/>
      <c r="L443" s="177"/>
      <c r="M443" s="165"/>
      <c r="N443" s="176"/>
      <c r="O443" s="176"/>
      <c r="P443" s="178"/>
      <c r="Q443" s="105"/>
      <c r="R443" s="344"/>
      <c r="S443" s="105"/>
    </row>
    <row r="444" spans="1:19" ht="29.25" customHeight="1">
      <c r="A444" s="216"/>
      <c r="B444" s="340"/>
      <c r="C444" s="341"/>
      <c r="D444" s="342"/>
      <c r="E444" s="333"/>
      <c r="F444" s="162"/>
      <c r="G444" s="218"/>
      <c r="H444" s="218"/>
      <c r="I444" s="176"/>
      <c r="J444" s="177"/>
      <c r="K444" s="177"/>
      <c r="L444" s="177"/>
      <c r="M444" s="165"/>
      <c r="N444" s="176"/>
      <c r="O444" s="176"/>
      <c r="P444" s="178"/>
      <c r="Q444" s="105"/>
      <c r="R444" s="339"/>
      <c r="S444" s="105"/>
    </row>
    <row r="445" spans="1:19" ht="29.25" customHeight="1">
      <c r="A445" s="216"/>
      <c r="B445" s="340"/>
      <c r="C445" s="341"/>
      <c r="D445" s="342"/>
      <c r="E445" s="343"/>
      <c r="F445" s="162"/>
      <c r="G445" s="218"/>
      <c r="H445" s="218"/>
      <c r="I445" s="176"/>
      <c r="J445" s="177"/>
      <c r="K445" s="177"/>
      <c r="L445" s="177"/>
      <c r="M445" s="165"/>
      <c r="N445" s="176"/>
      <c r="O445" s="176"/>
      <c r="P445" s="178"/>
      <c r="Q445" s="105"/>
      <c r="R445" s="344"/>
      <c r="S445" s="105"/>
    </row>
    <row r="446" spans="1:19" ht="29.25" customHeight="1">
      <c r="A446" s="216"/>
      <c r="B446" s="340"/>
      <c r="C446" s="341"/>
      <c r="D446" s="342"/>
      <c r="E446" s="333"/>
      <c r="F446" s="162"/>
      <c r="G446" s="218"/>
      <c r="H446" s="218"/>
      <c r="I446" s="176"/>
      <c r="J446" s="177"/>
      <c r="K446" s="177"/>
      <c r="L446" s="177"/>
      <c r="M446" s="165"/>
      <c r="N446" s="176"/>
      <c r="O446" s="176"/>
      <c r="P446" s="178"/>
      <c r="Q446" s="105"/>
      <c r="R446" s="339"/>
      <c r="S446" s="105"/>
    </row>
    <row r="447" spans="1:19" ht="29.25" customHeight="1">
      <c r="A447" s="216"/>
      <c r="B447" s="340"/>
      <c r="C447" s="341"/>
      <c r="D447" s="342"/>
      <c r="E447" s="343"/>
      <c r="F447" s="162"/>
      <c r="G447" s="218"/>
      <c r="H447" s="218"/>
      <c r="I447" s="176"/>
      <c r="J447" s="177"/>
      <c r="K447" s="177"/>
      <c r="L447" s="177"/>
      <c r="M447" s="165"/>
      <c r="N447" s="176"/>
      <c r="O447" s="176"/>
      <c r="P447" s="178"/>
      <c r="Q447" s="105"/>
      <c r="R447" s="344"/>
      <c r="S447" s="105"/>
    </row>
    <row r="448" spans="1:19" ht="29.25" customHeight="1">
      <c r="A448" s="216"/>
      <c r="B448" s="340"/>
      <c r="C448" s="341"/>
      <c r="D448" s="342"/>
      <c r="E448" s="333"/>
      <c r="F448" s="162"/>
      <c r="G448" s="218"/>
      <c r="H448" s="218"/>
      <c r="I448" s="176"/>
      <c r="J448" s="177"/>
      <c r="K448" s="177"/>
      <c r="L448" s="177"/>
      <c r="M448" s="165"/>
      <c r="N448" s="176"/>
      <c r="O448" s="176"/>
      <c r="P448" s="178"/>
      <c r="Q448" s="105"/>
      <c r="R448" s="339"/>
      <c r="S448" s="105"/>
    </row>
    <row r="449" spans="1:19" ht="29.25" customHeight="1">
      <c r="A449" s="216"/>
      <c r="B449" s="340"/>
      <c r="C449" s="341"/>
      <c r="D449" s="342"/>
      <c r="E449" s="343"/>
      <c r="F449" s="162"/>
      <c r="G449" s="218"/>
      <c r="H449" s="218"/>
      <c r="I449" s="176"/>
      <c r="J449" s="177"/>
      <c r="K449" s="177"/>
      <c r="L449" s="177"/>
      <c r="M449" s="165"/>
      <c r="N449" s="176"/>
      <c r="O449" s="176"/>
      <c r="P449" s="178"/>
      <c r="Q449" s="105"/>
      <c r="R449" s="344"/>
      <c r="S449" s="105"/>
    </row>
    <row r="450" spans="1:19" ht="29.25" customHeight="1">
      <c r="A450" s="216"/>
      <c r="B450" s="340"/>
      <c r="C450" s="341"/>
      <c r="D450" s="342"/>
      <c r="E450" s="333"/>
      <c r="F450" s="162"/>
      <c r="G450" s="218"/>
      <c r="H450" s="218"/>
      <c r="I450" s="176"/>
      <c r="J450" s="177"/>
      <c r="K450" s="177"/>
      <c r="L450" s="177"/>
      <c r="M450" s="165"/>
      <c r="N450" s="176"/>
      <c r="O450" s="176"/>
      <c r="P450" s="178"/>
      <c r="Q450" s="105"/>
      <c r="R450" s="339"/>
      <c r="S450" s="105"/>
    </row>
    <row r="451" spans="1:19" ht="29.25" customHeight="1">
      <c r="A451" s="216"/>
      <c r="B451" s="340"/>
      <c r="C451" s="341"/>
      <c r="D451" s="342"/>
      <c r="E451" s="343"/>
      <c r="F451" s="162"/>
      <c r="G451" s="218"/>
      <c r="H451" s="218"/>
      <c r="I451" s="176"/>
      <c r="J451" s="177"/>
      <c r="K451" s="177"/>
      <c r="L451" s="177"/>
      <c r="M451" s="165"/>
      <c r="N451" s="176"/>
      <c r="O451" s="176"/>
      <c r="P451" s="178"/>
      <c r="Q451" s="105"/>
      <c r="R451" s="344"/>
      <c r="S451" s="105"/>
    </row>
    <row r="452" spans="1:19" ht="29.25" customHeight="1">
      <c r="A452" s="216"/>
      <c r="B452" s="340"/>
      <c r="C452" s="341"/>
      <c r="D452" s="342"/>
      <c r="E452" s="333"/>
      <c r="F452" s="162"/>
      <c r="G452" s="218"/>
      <c r="H452" s="218"/>
      <c r="I452" s="176"/>
      <c r="J452" s="177"/>
      <c r="K452" s="177"/>
      <c r="L452" s="177"/>
      <c r="M452" s="165"/>
      <c r="N452" s="176"/>
      <c r="O452" s="176"/>
      <c r="P452" s="178"/>
      <c r="Q452" s="105"/>
      <c r="R452" s="339"/>
      <c r="S452" s="105"/>
    </row>
    <row r="453" spans="1:19" ht="29.25" customHeight="1">
      <c r="A453" s="216"/>
      <c r="B453" s="340"/>
      <c r="C453" s="341"/>
      <c r="D453" s="342"/>
      <c r="E453" s="343"/>
      <c r="F453" s="162"/>
      <c r="G453" s="218"/>
      <c r="H453" s="218"/>
      <c r="I453" s="176"/>
      <c r="J453" s="177"/>
      <c r="K453" s="177"/>
      <c r="L453" s="177"/>
      <c r="M453" s="165"/>
      <c r="N453" s="176"/>
      <c r="O453" s="176"/>
      <c r="P453" s="178"/>
      <c r="Q453" s="105"/>
      <c r="R453" s="344"/>
      <c r="S453" s="105"/>
    </row>
    <row r="454" spans="1:19" ht="29.25" customHeight="1">
      <c r="A454" s="216"/>
      <c r="B454" s="340"/>
      <c r="C454" s="341"/>
      <c r="D454" s="342"/>
      <c r="E454" s="333"/>
      <c r="F454" s="162"/>
      <c r="G454" s="218"/>
      <c r="H454" s="218"/>
      <c r="I454" s="176"/>
      <c r="J454" s="177"/>
      <c r="K454" s="177"/>
      <c r="L454" s="177"/>
      <c r="M454" s="165"/>
      <c r="N454" s="176"/>
      <c r="O454" s="176"/>
      <c r="P454" s="178"/>
      <c r="Q454" s="105"/>
      <c r="R454" s="339"/>
      <c r="S454" s="105"/>
    </row>
    <row r="455" spans="1:19" ht="29.25" customHeight="1">
      <c r="A455" s="216"/>
      <c r="B455" s="340"/>
      <c r="C455" s="341"/>
      <c r="D455" s="342"/>
      <c r="E455" s="343"/>
      <c r="F455" s="162"/>
      <c r="G455" s="218"/>
      <c r="H455" s="218"/>
      <c r="I455" s="176"/>
      <c r="J455" s="177"/>
      <c r="K455" s="177"/>
      <c r="L455" s="177"/>
      <c r="M455" s="165"/>
      <c r="N455" s="176"/>
      <c r="O455" s="176"/>
      <c r="P455" s="178"/>
      <c r="Q455" s="105"/>
      <c r="R455" s="344"/>
      <c r="S455" s="105"/>
    </row>
    <row r="456" spans="1:19" ht="29.25" customHeight="1">
      <c r="A456" s="216"/>
      <c r="B456" s="340"/>
      <c r="C456" s="341"/>
      <c r="D456" s="342"/>
      <c r="E456" s="333"/>
      <c r="F456" s="162"/>
      <c r="G456" s="218"/>
      <c r="H456" s="218"/>
      <c r="I456" s="176"/>
      <c r="J456" s="177"/>
      <c r="K456" s="177"/>
      <c r="L456" s="177"/>
      <c r="M456" s="165"/>
      <c r="N456" s="176"/>
      <c r="O456" s="176"/>
      <c r="P456" s="178"/>
      <c r="Q456" s="105"/>
      <c r="R456" s="339"/>
      <c r="S456" s="105"/>
    </row>
    <row r="457" spans="1:19" ht="29.25" customHeight="1">
      <c r="A457" s="216"/>
      <c r="B457" s="340"/>
      <c r="C457" s="341"/>
      <c r="D457" s="342"/>
      <c r="E457" s="343"/>
      <c r="F457" s="162"/>
      <c r="G457" s="218"/>
      <c r="H457" s="218"/>
      <c r="I457" s="176"/>
      <c r="J457" s="177"/>
      <c r="K457" s="177"/>
      <c r="L457" s="177"/>
      <c r="M457" s="165"/>
      <c r="N457" s="176"/>
      <c r="O457" s="176"/>
      <c r="P457" s="178"/>
      <c r="Q457" s="105"/>
      <c r="R457" s="344"/>
      <c r="S457" s="105"/>
    </row>
    <row r="458" spans="1:19" ht="29.25" customHeight="1">
      <c r="A458" s="216"/>
      <c r="B458" s="340"/>
      <c r="C458" s="341"/>
      <c r="D458" s="342"/>
      <c r="E458" s="333"/>
      <c r="F458" s="162"/>
      <c r="G458" s="218"/>
      <c r="H458" s="218"/>
      <c r="I458" s="176"/>
      <c r="J458" s="177"/>
      <c r="K458" s="177"/>
      <c r="L458" s="177"/>
      <c r="M458" s="165"/>
      <c r="N458" s="176"/>
      <c r="O458" s="176"/>
      <c r="P458" s="178"/>
      <c r="Q458" s="105"/>
      <c r="R458" s="339"/>
      <c r="S458" s="105"/>
    </row>
    <row r="459" spans="1:19" ht="29.25" customHeight="1">
      <c r="A459" s="216"/>
      <c r="B459" s="340"/>
      <c r="C459" s="341"/>
      <c r="D459" s="342"/>
      <c r="E459" s="343"/>
      <c r="F459" s="162"/>
      <c r="G459" s="218"/>
      <c r="H459" s="218"/>
      <c r="I459" s="176"/>
      <c r="J459" s="177"/>
      <c r="K459" s="177"/>
      <c r="L459" s="177"/>
      <c r="M459" s="165"/>
      <c r="N459" s="176"/>
      <c r="O459" s="176"/>
      <c r="P459" s="178"/>
      <c r="Q459" s="105"/>
      <c r="R459" s="344"/>
      <c r="S459" s="105"/>
    </row>
    <row r="460" spans="1:19" ht="29.25" customHeight="1">
      <c r="A460" s="216"/>
      <c r="B460" s="340"/>
      <c r="C460" s="341"/>
      <c r="D460" s="342"/>
      <c r="E460" s="333"/>
      <c r="F460" s="162"/>
      <c r="G460" s="218"/>
      <c r="H460" s="218"/>
      <c r="I460" s="176"/>
      <c r="J460" s="177"/>
      <c r="K460" s="177"/>
      <c r="L460" s="177"/>
      <c r="M460" s="165"/>
      <c r="N460" s="176"/>
      <c r="O460" s="176"/>
      <c r="P460" s="178"/>
      <c r="Q460" s="105"/>
      <c r="R460" s="339"/>
      <c r="S460" s="105"/>
    </row>
    <row r="461" spans="1:19" ht="29.25" customHeight="1">
      <c r="A461" s="216"/>
      <c r="B461" s="340"/>
      <c r="C461" s="341"/>
      <c r="D461" s="342"/>
      <c r="E461" s="343"/>
      <c r="F461" s="162"/>
      <c r="G461" s="218"/>
      <c r="H461" s="218"/>
      <c r="I461" s="176"/>
      <c r="J461" s="177"/>
      <c r="K461" s="177"/>
      <c r="L461" s="177"/>
      <c r="M461" s="165"/>
      <c r="N461" s="176"/>
      <c r="O461" s="176"/>
      <c r="P461" s="178"/>
      <c r="Q461" s="105"/>
      <c r="R461" s="344"/>
      <c r="S461" s="105"/>
    </row>
    <row r="462" spans="1:19" ht="29.25" customHeight="1">
      <c r="A462" s="216"/>
      <c r="B462" s="340"/>
      <c r="C462" s="341"/>
      <c r="D462" s="342"/>
      <c r="E462" s="333"/>
      <c r="F462" s="162"/>
      <c r="G462" s="218"/>
      <c r="H462" s="218"/>
      <c r="I462" s="176"/>
      <c r="J462" s="177"/>
      <c r="K462" s="177"/>
      <c r="L462" s="177"/>
      <c r="M462" s="165"/>
      <c r="N462" s="176"/>
      <c r="O462" s="176"/>
      <c r="P462" s="178"/>
      <c r="Q462" s="105"/>
      <c r="R462" s="339"/>
      <c r="S462" s="105"/>
    </row>
    <row r="463" spans="1:19" ht="29.25" customHeight="1">
      <c r="A463" s="216"/>
      <c r="B463" s="340"/>
      <c r="C463" s="341"/>
      <c r="D463" s="342"/>
      <c r="E463" s="343"/>
      <c r="F463" s="162"/>
      <c r="G463" s="218"/>
      <c r="H463" s="218"/>
      <c r="I463" s="176"/>
      <c r="J463" s="177"/>
      <c r="K463" s="177"/>
      <c r="L463" s="177"/>
      <c r="M463" s="165"/>
      <c r="N463" s="176"/>
      <c r="O463" s="176"/>
      <c r="P463" s="178"/>
      <c r="Q463" s="105"/>
      <c r="R463" s="344"/>
      <c r="S463" s="105"/>
    </row>
    <row r="464" spans="1:19" ht="29.25" customHeight="1">
      <c r="A464" s="216"/>
      <c r="B464" s="340"/>
      <c r="C464" s="341"/>
      <c r="D464" s="342"/>
      <c r="E464" s="333"/>
      <c r="F464" s="162"/>
      <c r="G464" s="218"/>
      <c r="H464" s="218"/>
      <c r="I464" s="176"/>
      <c r="J464" s="177"/>
      <c r="K464" s="177"/>
      <c r="L464" s="177"/>
      <c r="M464" s="165"/>
      <c r="N464" s="176"/>
      <c r="O464" s="176"/>
      <c r="P464" s="178"/>
      <c r="Q464" s="105"/>
      <c r="R464" s="339"/>
      <c r="S464" s="105"/>
    </row>
    <row r="465" spans="1:19" ht="29.25" customHeight="1">
      <c r="A465" s="216"/>
      <c r="B465" s="340"/>
      <c r="C465" s="341"/>
      <c r="D465" s="342"/>
      <c r="E465" s="343"/>
      <c r="F465" s="162"/>
      <c r="G465" s="218"/>
      <c r="H465" s="218"/>
      <c r="I465" s="176"/>
      <c r="J465" s="177"/>
      <c r="K465" s="177"/>
      <c r="L465" s="177"/>
      <c r="M465" s="165"/>
      <c r="N465" s="176"/>
      <c r="O465" s="176"/>
      <c r="P465" s="178"/>
      <c r="Q465" s="105"/>
      <c r="R465" s="344"/>
      <c r="S465" s="105"/>
    </row>
    <row r="466" spans="1:19" ht="29.25" customHeight="1">
      <c r="A466" s="216"/>
      <c r="B466" s="340"/>
      <c r="C466" s="341"/>
      <c r="D466" s="342"/>
      <c r="E466" s="333"/>
      <c r="F466" s="162"/>
      <c r="G466" s="218"/>
      <c r="H466" s="218"/>
      <c r="I466" s="176"/>
      <c r="J466" s="177"/>
      <c r="K466" s="177"/>
      <c r="L466" s="177"/>
      <c r="M466" s="165"/>
      <c r="N466" s="176"/>
      <c r="O466" s="176"/>
      <c r="P466" s="178"/>
      <c r="Q466" s="105"/>
      <c r="R466" s="339"/>
      <c r="S466" s="105"/>
    </row>
    <row r="467" spans="1:19" ht="29.25" customHeight="1">
      <c r="A467" s="216"/>
      <c r="B467" s="340"/>
      <c r="C467" s="341"/>
      <c r="D467" s="342"/>
      <c r="E467" s="343"/>
      <c r="F467" s="162"/>
      <c r="G467" s="218"/>
      <c r="H467" s="218"/>
      <c r="I467" s="176"/>
      <c r="J467" s="177"/>
      <c r="K467" s="177"/>
      <c r="L467" s="177"/>
      <c r="M467" s="165"/>
      <c r="N467" s="176"/>
      <c r="O467" s="176"/>
      <c r="P467" s="178"/>
      <c r="Q467" s="105"/>
      <c r="R467" s="344"/>
      <c r="S467" s="105"/>
    </row>
    <row r="468" spans="1:19" ht="29.25" customHeight="1">
      <c r="A468" s="216"/>
      <c r="B468" s="340"/>
      <c r="C468" s="341"/>
      <c r="D468" s="342"/>
      <c r="E468" s="333"/>
      <c r="F468" s="162"/>
      <c r="G468" s="218"/>
      <c r="H468" s="218"/>
      <c r="I468" s="176"/>
      <c r="J468" s="177"/>
      <c r="K468" s="177"/>
      <c r="L468" s="177"/>
      <c r="M468" s="165"/>
      <c r="N468" s="176"/>
      <c r="O468" s="176"/>
      <c r="P468" s="178"/>
      <c r="Q468" s="105"/>
      <c r="R468" s="339"/>
      <c r="S468" s="105"/>
    </row>
    <row r="469" spans="1:19" ht="29.25" customHeight="1">
      <c r="A469" s="216"/>
      <c r="B469" s="340"/>
      <c r="C469" s="341"/>
      <c r="D469" s="342"/>
      <c r="E469" s="343"/>
      <c r="F469" s="162"/>
      <c r="G469" s="218"/>
      <c r="H469" s="218"/>
      <c r="I469" s="176"/>
      <c r="J469" s="177"/>
      <c r="K469" s="177"/>
      <c r="L469" s="177"/>
      <c r="M469" s="165"/>
      <c r="N469" s="176"/>
      <c r="O469" s="176"/>
      <c r="P469" s="178"/>
      <c r="Q469" s="105"/>
      <c r="R469" s="344"/>
      <c r="S469" s="105"/>
    </row>
    <row r="470" spans="1:19" ht="29.25" customHeight="1">
      <c r="A470" s="216"/>
      <c r="B470" s="340"/>
      <c r="C470" s="341"/>
      <c r="D470" s="342"/>
      <c r="E470" s="333"/>
      <c r="F470" s="162"/>
      <c r="G470" s="218"/>
      <c r="H470" s="218"/>
      <c r="I470" s="176"/>
      <c r="J470" s="177"/>
      <c r="K470" s="177"/>
      <c r="L470" s="177"/>
      <c r="M470" s="165"/>
      <c r="N470" s="176"/>
      <c r="O470" s="176"/>
      <c r="P470" s="178"/>
      <c r="Q470" s="105"/>
      <c r="R470" s="339"/>
      <c r="S470" s="105"/>
    </row>
    <row r="471" spans="1:19" ht="29.25" customHeight="1">
      <c r="A471" s="216"/>
      <c r="B471" s="340"/>
      <c r="C471" s="341"/>
      <c r="D471" s="342"/>
      <c r="E471" s="343"/>
      <c r="F471" s="162"/>
      <c r="G471" s="218"/>
      <c r="H471" s="218"/>
      <c r="I471" s="176"/>
      <c r="J471" s="177"/>
      <c r="K471" s="177"/>
      <c r="L471" s="177"/>
      <c r="M471" s="165"/>
      <c r="N471" s="176"/>
      <c r="O471" s="176"/>
      <c r="P471" s="178"/>
      <c r="Q471" s="105"/>
      <c r="R471" s="344"/>
      <c r="S471" s="105"/>
    </row>
    <row r="472" spans="1:19" ht="29.25" customHeight="1">
      <c r="A472" s="216"/>
      <c r="B472" s="340"/>
      <c r="C472" s="341"/>
      <c r="D472" s="342"/>
      <c r="E472" s="333"/>
      <c r="F472" s="162"/>
      <c r="G472" s="218"/>
      <c r="H472" s="218"/>
      <c r="I472" s="176"/>
      <c r="J472" s="177"/>
      <c r="K472" s="177"/>
      <c r="L472" s="177"/>
      <c r="M472" s="165"/>
      <c r="N472" s="176"/>
      <c r="O472" s="176"/>
      <c r="P472" s="178"/>
      <c r="Q472" s="105"/>
      <c r="R472" s="339"/>
      <c r="S472" s="105"/>
    </row>
    <row r="473" spans="1:19" ht="29.25" customHeight="1">
      <c r="A473" s="216"/>
      <c r="B473" s="340"/>
      <c r="C473" s="341"/>
      <c r="D473" s="342"/>
      <c r="E473" s="343"/>
      <c r="F473" s="162"/>
      <c r="G473" s="218"/>
      <c r="H473" s="218"/>
      <c r="I473" s="176"/>
      <c r="J473" s="177"/>
      <c r="K473" s="177"/>
      <c r="L473" s="177"/>
      <c r="M473" s="165"/>
      <c r="N473" s="176"/>
      <c r="O473" s="176"/>
      <c r="P473" s="178"/>
      <c r="Q473" s="105"/>
      <c r="R473" s="344"/>
      <c r="S473" s="105"/>
    </row>
    <row r="474" spans="1:19" ht="29.25" customHeight="1">
      <c r="A474" s="216"/>
      <c r="B474" s="340"/>
      <c r="C474" s="341"/>
      <c r="D474" s="342"/>
      <c r="E474" s="333"/>
      <c r="F474" s="162"/>
      <c r="G474" s="218"/>
      <c r="H474" s="218"/>
      <c r="I474" s="176"/>
      <c r="J474" s="177"/>
      <c r="K474" s="177"/>
      <c r="L474" s="177"/>
      <c r="M474" s="165"/>
      <c r="N474" s="176"/>
      <c r="O474" s="176"/>
      <c r="P474" s="178"/>
      <c r="Q474" s="105"/>
      <c r="R474" s="339"/>
      <c r="S474" s="105"/>
    </row>
    <row r="475" spans="1:19" ht="29.25" customHeight="1">
      <c r="A475" s="216"/>
      <c r="B475" s="340"/>
      <c r="C475" s="341"/>
      <c r="D475" s="342"/>
      <c r="E475" s="343"/>
      <c r="F475" s="162"/>
      <c r="G475" s="218"/>
      <c r="H475" s="218"/>
      <c r="I475" s="176"/>
      <c r="J475" s="177"/>
      <c r="K475" s="177"/>
      <c r="L475" s="177"/>
      <c r="M475" s="165"/>
      <c r="N475" s="176"/>
      <c r="O475" s="176"/>
      <c r="P475" s="178"/>
      <c r="Q475" s="105"/>
      <c r="R475" s="344"/>
      <c r="S475" s="105"/>
    </row>
    <row r="476" spans="1:19" ht="29.25" customHeight="1">
      <c r="A476" s="216"/>
      <c r="B476" s="340"/>
      <c r="C476" s="341"/>
      <c r="D476" s="342"/>
      <c r="E476" s="333"/>
      <c r="F476" s="162"/>
      <c r="G476" s="218"/>
      <c r="H476" s="218"/>
      <c r="I476" s="176"/>
      <c r="J476" s="177"/>
      <c r="K476" s="177"/>
      <c r="L476" s="177"/>
      <c r="M476" s="165"/>
      <c r="N476" s="176"/>
      <c r="O476" s="176"/>
      <c r="P476" s="178"/>
      <c r="Q476" s="105"/>
      <c r="R476" s="339"/>
      <c r="S476" s="105"/>
    </row>
    <row r="477" spans="1:19" ht="29.25" customHeight="1">
      <c r="A477" s="216"/>
      <c r="B477" s="340"/>
      <c r="C477" s="341"/>
      <c r="D477" s="342"/>
      <c r="E477" s="343"/>
      <c r="F477" s="162"/>
      <c r="G477" s="218"/>
      <c r="H477" s="218"/>
      <c r="I477" s="176"/>
      <c r="J477" s="177"/>
      <c r="K477" s="177"/>
      <c r="L477" s="177"/>
      <c r="M477" s="165"/>
      <c r="N477" s="176"/>
      <c r="O477" s="176"/>
      <c r="P477" s="178"/>
      <c r="Q477" s="105"/>
      <c r="R477" s="344"/>
      <c r="S477" s="105"/>
    </row>
    <row r="478" spans="1:19" ht="29.25" customHeight="1">
      <c r="A478" s="216"/>
      <c r="B478" s="340"/>
      <c r="C478" s="341"/>
      <c r="D478" s="342"/>
      <c r="E478" s="333"/>
      <c r="F478" s="162"/>
      <c r="G478" s="218"/>
      <c r="H478" s="218"/>
      <c r="I478" s="176"/>
      <c r="J478" s="177"/>
      <c r="K478" s="177"/>
      <c r="L478" s="177"/>
      <c r="M478" s="165"/>
      <c r="N478" s="176"/>
      <c r="O478" s="176"/>
      <c r="P478" s="178"/>
      <c r="Q478" s="105"/>
      <c r="R478" s="339"/>
      <c r="S478" s="105"/>
    </row>
    <row r="479" spans="1:19" ht="29.25" customHeight="1">
      <c r="A479" s="216"/>
      <c r="B479" s="340"/>
      <c r="C479" s="341"/>
      <c r="D479" s="342"/>
      <c r="E479" s="343"/>
      <c r="F479" s="162"/>
      <c r="G479" s="218"/>
      <c r="H479" s="218"/>
      <c r="I479" s="176"/>
      <c r="J479" s="177"/>
      <c r="K479" s="177"/>
      <c r="L479" s="177"/>
      <c r="M479" s="165"/>
      <c r="N479" s="176"/>
      <c r="O479" s="176"/>
      <c r="P479" s="178"/>
      <c r="Q479" s="105"/>
      <c r="R479" s="344"/>
      <c r="S479" s="105"/>
    </row>
    <row r="480" spans="1:19" ht="29.25" customHeight="1">
      <c r="A480" s="216"/>
      <c r="B480" s="340"/>
      <c r="C480" s="341"/>
      <c r="D480" s="342"/>
      <c r="E480" s="333"/>
      <c r="F480" s="162"/>
      <c r="G480" s="218"/>
      <c r="H480" s="218"/>
      <c r="I480" s="176"/>
      <c r="J480" s="177"/>
      <c r="K480" s="177"/>
      <c r="L480" s="177"/>
      <c r="M480" s="165"/>
      <c r="N480" s="176"/>
      <c r="O480" s="176"/>
      <c r="P480" s="178"/>
      <c r="Q480" s="105"/>
      <c r="R480" s="339"/>
      <c r="S480" s="105"/>
    </row>
    <row r="481" spans="1:19" ht="29.25" customHeight="1">
      <c r="A481" s="216"/>
      <c r="B481" s="340"/>
      <c r="C481" s="341"/>
      <c r="D481" s="342"/>
      <c r="E481" s="343"/>
      <c r="F481" s="162"/>
      <c r="G481" s="218"/>
      <c r="H481" s="218"/>
      <c r="I481" s="176"/>
      <c r="J481" s="177"/>
      <c r="K481" s="177"/>
      <c r="L481" s="177"/>
      <c r="M481" s="165"/>
      <c r="N481" s="176"/>
      <c r="O481" s="176"/>
      <c r="P481" s="178"/>
      <c r="Q481" s="105"/>
      <c r="R481" s="344"/>
      <c r="S481" s="105"/>
    </row>
    <row r="482" spans="1:19" ht="29.25" customHeight="1">
      <c r="A482" s="216"/>
      <c r="B482" s="340"/>
      <c r="C482" s="341"/>
      <c r="D482" s="342"/>
      <c r="E482" s="333"/>
      <c r="F482" s="162"/>
      <c r="G482" s="218"/>
      <c r="H482" s="218"/>
      <c r="I482" s="176"/>
      <c r="J482" s="177"/>
      <c r="K482" s="177"/>
      <c r="L482" s="177"/>
      <c r="M482" s="165"/>
      <c r="N482" s="176"/>
      <c r="O482" s="176"/>
      <c r="P482" s="178"/>
      <c r="Q482" s="105"/>
      <c r="R482" s="339"/>
      <c r="S482" s="105"/>
    </row>
    <row r="483" spans="1:19" ht="29.25" customHeight="1">
      <c r="A483" s="216"/>
      <c r="B483" s="340"/>
      <c r="C483" s="341"/>
      <c r="D483" s="342"/>
      <c r="E483" s="343"/>
      <c r="F483" s="162"/>
      <c r="G483" s="218"/>
      <c r="H483" s="218"/>
      <c r="I483" s="176"/>
      <c r="J483" s="177"/>
      <c r="K483" s="177"/>
      <c r="L483" s="177"/>
      <c r="M483" s="165"/>
      <c r="N483" s="176"/>
      <c r="O483" s="176"/>
      <c r="P483" s="178"/>
      <c r="Q483" s="105"/>
      <c r="R483" s="344"/>
      <c r="S483" s="105"/>
    </row>
    <row r="484" spans="1:19" ht="29.25" customHeight="1">
      <c r="A484" s="216"/>
      <c r="B484" s="340"/>
      <c r="C484" s="341"/>
      <c r="D484" s="342"/>
      <c r="E484" s="333"/>
      <c r="F484" s="162"/>
      <c r="G484" s="218"/>
      <c r="H484" s="218"/>
      <c r="I484" s="176"/>
      <c r="J484" s="177"/>
      <c r="K484" s="177"/>
      <c r="L484" s="177"/>
      <c r="M484" s="165"/>
      <c r="N484" s="176"/>
      <c r="O484" s="176"/>
      <c r="P484" s="178"/>
      <c r="Q484" s="105"/>
      <c r="R484" s="339"/>
      <c r="S484" s="105"/>
    </row>
    <row r="485" spans="1:19" ht="29.25" customHeight="1">
      <c r="A485" s="216"/>
      <c r="B485" s="340"/>
      <c r="C485" s="341"/>
      <c r="D485" s="342"/>
      <c r="E485" s="343"/>
      <c r="F485" s="162"/>
      <c r="G485" s="218"/>
      <c r="H485" s="218"/>
      <c r="I485" s="176"/>
      <c r="J485" s="177"/>
      <c r="K485" s="177"/>
      <c r="L485" s="177"/>
      <c r="M485" s="165"/>
      <c r="N485" s="176"/>
      <c r="O485" s="176"/>
      <c r="P485" s="178"/>
      <c r="Q485" s="105"/>
      <c r="R485" s="344"/>
      <c r="S485" s="105"/>
    </row>
    <row r="486" spans="1:19" ht="29.25" customHeight="1">
      <c r="A486" s="216"/>
      <c r="B486" s="340"/>
      <c r="C486" s="341"/>
      <c r="D486" s="342"/>
      <c r="E486" s="333"/>
      <c r="F486" s="162"/>
      <c r="G486" s="218"/>
      <c r="H486" s="218"/>
      <c r="I486" s="176"/>
      <c r="J486" s="177"/>
      <c r="K486" s="177"/>
      <c r="L486" s="177"/>
      <c r="M486" s="165"/>
      <c r="N486" s="176"/>
      <c r="O486" s="176"/>
      <c r="P486" s="178"/>
      <c r="Q486" s="105"/>
      <c r="R486" s="339"/>
      <c r="S486" s="105"/>
    </row>
    <row r="487" spans="1:19" ht="29.25" customHeight="1">
      <c r="A487" s="216"/>
      <c r="B487" s="340"/>
      <c r="C487" s="341"/>
      <c r="D487" s="342"/>
      <c r="E487" s="343"/>
      <c r="F487" s="162"/>
      <c r="G487" s="218"/>
      <c r="H487" s="218"/>
      <c r="I487" s="176"/>
      <c r="J487" s="177"/>
      <c r="K487" s="177"/>
      <c r="L487" s="177"/>
      <c r="M487" s="165"/>
      <c r="N487" s="176"/>
      <c r="O487" s="176"/>
      <c r="P487" s="178"/>
      <c r="Q487" s="105"/>
      <c r="R487" s="344"/>
      <c r="S487" s="105"/>
    </row>
    <row r="488" spans="1:19" ht="29.25" customHeight="1">
      <c r="A488" s="216"/>
      <c r="B488" s="340"/>
      <c r="C488" s="341"/>
      <c r="D488" s="342"/>
      <c r="E488" s="333"/>
      <c r="F488" s="162"/>
      <c r="G488" s="218"/>
      <c r="H488" s="218"/>
      <c r="I488" s="176"/>
      <c r="J488" s="177"/>
      <c r="K488" s="177"/>
      <c r="L488" s="177"/>
      <c r="M488" s="165"/>
      <c r="N488" s="176"/>
      <c r="O488" s="176"/>
      <c r="P488" s="178"/>
      <c r="Q488" s="105"/>
      <c r="R488" s="339"/>
      <c r="S488" s="105"/>
    </row>
    <row r="489" spans="1:19" ht="29.25" customHeight="1">
      <c r="A489" s="216"/>
      <c r="B489" s="340"/>
      <c r="C489" s="341"/>
      <c r="D489" s="342"/>
      <c r="E489" s="343"/>
      <c r="F489" s="162"/>
      <c r="G489" s="218"/>
      <c r="H489" s="218"/>
      <c r="I489" s="176"/>
      <c r="J489" s="177"/>
      <c r="K489" s="177"/>
      <c r="L489" s="177"/>
      <c r="M489" s="165"/>
      <c r="N489" s="176"/>
      <c r="O489" s="176"/>
      <c r="P489" s="178"/>
      <c r="Q489" s="105"/>
      <c r="R489" s="344"/>
      <c r="S489" s="105"/>
    </row>
    <row r="490" spans="1:19" ht="29.25" customHeight="1">
      <c r="A490" s="216"/>
      <c r="B490" s="340"/>
      <c r="C490" s="341"/>
      <c r="D490" s="342"/>
      <c r="E490" s="333"/>
      <c r="F490" s="162"/>
      <c r="G490" s="218"/>
      <c r="H490" s="218"/>
      <c r="I490" s="176"/>
      <c r="J490" s="177"/>
      <c r="K490" s="177"/>
      <c r="L490" s="177"/>
      <c r="M490" s="165"/>
      <c r="N490" s="176"/>
      <c r="O490" s="176"/>
      <c r="P490" s="178"/>
      <c r="Q490" s="105"/>
      <c r="R490" s="339"/>
      <c r="S490" s="105"/>
    </row>
    <row r="491" spans="1:19" ht="29.25" customHeight="1">
      <c r="A491" s="216"/>
      <c r="B491" s="340"/>
      <c r="C491" s="341"/>
      <c r="D491" s="342"/>
      <c r="E491" s="343"/>
      <c r="F491" s="162"/>
      <c r="G491" s="218"/>
      <c r="H491" s="218"/>
      <c r="I491" s="176"/>
      <c r="J491" s="177"/>
      <c r="K491" s="177"/>
      <c r="L491" s="177"/>
      <c r="M491" s="165"/>
      <c r="N491" s="176"/>
      <c r="O491" s="176"/>
      <c r="P491" s="178"/>
      <c r="Q491" s="105"/>
      <c r="R491" s="344"/>
      <c r="S491" s="105"/>
    </row>
    <row r="492" spans="1:19" ht="29.25" customHeight="1">
      <c r="A492" s="216"/>
      <c r="B492" s="340"/>
      <c r="C492" s="341"/>
      <c r="D492" s="342"/>
      <c r="E492" s="333"/>
      <c r="F492" s="162"/>
      <c r="G492" s="218"/>
      <c r="H492" s="218"/>
      <c r="I492" s="176"/>
      <c r="J492" s="177"/>
      <c r="K492" s="177"/>
      <c r="L492" s="177"/>
      <c r="M492" s="165"/>
      <c r="N492" s="176"/>
      <c r="O492" s="176"/>
      <c r="P492" s="178"/>
      <c r="Q492" s="105"/>
      <c r="R492" s="339"/>
      <c r="S492" s="105"/>
    </row>
    <row r="493" spans="1:19" ht="29.25" customHeight="1">
      <c r="A493" s="216"/>
      <c r="B493" s="340"/>
      <c r="C493" s="341"/>
      <c r="D493" s="342"/>
      <c r="E493" s="343"/>
      <c r="F493" s="162"/>
      <c r="G493" s="218"/>
      <c r="H493" s="218"/>
      <c r="I493" s="176"/>
      <c r="J493" s="177"/>
      <c r="K493" s="177"/>
      <c r="L493" s="177"/>
      <c r="M493" s="165"/>
      <c r="N493" s="176"/>
      <c r="O493" s="176"/>
      <c r="P493" s="178"/>
      <c r="Q493" s="105"/>
      <c r="R493" s="344"/>
      <c r="S493" s="105"/>
    </row>
    <row r="494" spans="1:19" ht="29.25" customHeight="1">
      <c r="A494" s="216"/>
      <c r="B494" s="340"/>
      <c r="C494" s="341"/>
      <c r="D494" s="342"/>
      <c r="E494" s="333"/>
      <c r="F494" s="162"/>
      <c r="G494" s="218"/>
      <c r="H494" s="218"/>
      <c r="I494" s="176"/>
      <c r="J494" s="177"/>
      <c r="K494" s="177"/>
      <c r="L494" s="177"/>
      <c r="M494" s="165"/>
      <c r="N494" s="176"/>
      <c r="O494" s="176"/>
      <c r="P494" s="178"/>
      <c r="Q494" s="105"/>
      <c r="R494" s="339"/>
      <c r="S494" s="105"/>
    </row>
    <row r="495" spans="1:19" ht="29.25" customHeight="1">
      <c r="A495" s="216"/>
      <c r="B495" s="340"/>
      <c r="C495" s="341"/>
      <c r="D495" s="342"/>
      <c r="E495" s="343"/>
      <c r="F495" s="162"/>
      <c r="G495" s="218"/>
      <c r="H495" s="218"/>
      <c r="I495" s="176"/>
      <c r="J495" s="177"/>
      <c r="K495" s="177"/>
      <c r="L495" s="177"/>
      <c r="M495" s="165"/>
      <c r="N495" s="176"/>
      <c r="O495" s="176"/>
      <c r="P495" s="178"/>
      <c r="Q495" s="105"/>
      <c r="R495" s="344"/>
      <c r="S495" s="105"/>
    </row>
    <row r="496" spans="1:19" ht="29.25" customHeight="1">
      <c r="A496" s="216"/>
      <c r="B496" s="340"/>
      <c r="C496" s="341"/>
      <c r="D496" s="342"/>
      <c r="E496" s="333"/>
      <c r="F496" s="162"/>
      <c r="G496" s="218"/>
      <c r="H496" s="218"/>
      <c r="I496" s="176"/>
      <c r="J496" s="177"/>
      <c r="K496" s="177"/>
      <c r="L496" s="177"/>
      <c r="M496" s="165"/>
      <c r="N496" s="176"/>
      <c r="O496" s="176"/>
      <c r="P496" s="178"/>
      <c r="Q496" s="105"/>
      <c r="R496" s="339"/>
      <c r="S496" s="105"/>
    </row>
    <row r="497" spans="1:19" ht="29.25" customHeight="1">
      <c r="A497" s="216"/>
      <c r="B497" s="340"/>
      <c r="C497" s="341"/>
      <c r="D497" s="342"/>
      <c r="E497" s="343"/>
      <c r="F497" s="162"/>
      <c r="G497" s="218"/>
      <c r="H497" s="218"/>
      <c r="I497" s="176"/>
      <c r="J497" s="177"/>
      <c r="K497" s="177"/>
      <c r="L497" s="177"/>
      <c r="M497" s="165"/>
      <c r="N497" s="176"/>
      <c r="O497" s="176"/>
      <c r="P497" s="178"/>
      <c r="Q497" s="105"/>
      <c r="R497" s="344"/>
      <c r="S497" s="105"/>
    </row>
    <row r="498" spans="1:19" ht="29.25" customHeight="1">
      <c r="A498" s="216"/>
      <c r="B498" s="340"/>
      <c r="C498" s="341"/>
      <c r="D498" s="342"/>
      <c r="E498" s="333"/>
      <c r="F498" s="162"/>
      <c r="G498" s="218"/>
      <c r="H498" s="218"/>
      <c r="I498" s="176"/>
      <c r="J498" s="177"/>
      <c r="K498" s="177"/>
      <c r="L498" s="177"/>
      <c r="M498" s="165"/>
      <c r="N498" s="176"/>
      <c r="O498" s="176"/>
      <c r="P498" s="178"/>
      <c r="Q498" s="105"/>
      <c r="R498" s="339"/>
      <c r="S498" s="105"/>
    </row>
    <row r="499" spans="1:19" ht="29.25" customHeight="1">
      <c r="A499" s="216"/>
      <c r="B499" s="340"/>
      <c r="C499" s="341"/>
      <c r="D499" s="342"/>
      <c r="E499" s="343"/>
      <c r="F499" s="162"/>
      <c r="G499" s="218"/>
      <c r="H499" s="218"/>
      <c r="I499" s="176"/>
      <c r="J499" s="177"/>
      <c r="K499" s="177"/>
      <c r="L499" s="177"/>
      <c r="M499" s="165"/>
      <c r="N499" s="176"/>
      <c r="O499" s="176"/>
      <c r="P499" s="178"/>
      <c r="Q499" s="105"/>
      <c r="R499" s="344"/>
      <c r="S499" s="105"/>
    </row>
    <row r="500" spans="1:19" ht="29.25" customHeight="1">
      <c r="A500" s="216"/>
      <c r="B500" s="340"/>
      <c r="C500" s="341"/>
      <c r="D500" s="342"/>
      <c r="E500" s="333"/>
      <c r="F500" s="162"/>
      <c r="G500" s="218"/>
      <c r="H500" s="218"/>
      <c r="I500" s="176"/>
      <c r="J500" s="177"/>
      <c r="K500" s="177"/>
      <c r="L500" s="177"/>
      <c r="M500" s="165"/>
      <c r="N500" s="176"/>
      <c r="O500" s="176"/>
      <c r="P500" s="178"/>
      <c r="Q500" s="105"/>
      <c r="R500" s="339"/>
      <c r="S500" s="105"/>
    </row>
    <row r="501" spans="1:19" ht="29.25" customHeight="1">
      <c r="A501" s="216"/>
      <c r="B501" s="340"/>
      <c r="C501" s="341"/>
      <c r="D501" s="342"/>
      <c r="E501" s="343"/>
      <c r="F501" s="162"/>
      <c r="G501" s="218"/>
      <c r="H501" s="218"/>
      <c r="I501" s="176"/>
      <c r="J501" s="177"/>
      <c r="K501" s="177"/>
      <c r="L501" s="177"/>
      <c r="M501" s="165"/>
      <c r="N501" s="176"/>
      <c r="O501" s="176"/>
      <c r="P501" s="178"/>
      <c r="Q501" s="105"/>
      <c r="R501" s="344"/>
      <c r="S501" s="105"/>
    </row>
    <row r="502" spans="1:19" ht="29.25" customHeight="1">
      <c r="A502" s="216"/>
      <c r="B502" s="340"/>
      <c r="C502" s="341"/>
      <c r="D502" s="342"/>
      <c r="E502" s="333"/>
      <c r="F502" s="162"/>
      <c r="G502" s="218"/>
      <c r="H502" s="218"/>
      <c r="I502" s="176"/>
      <c r="J502" s="177"/>
      <c r="K502" s="177"/>
      <c r="L502" s="177"/>
      <c r="M502" s="165"/>
      <c r="N502" s="176"/>
      <c r="O502" s="176"/>
      <c r="P502" s="178"/>
      <c r="Q502" s="105"/>
      <c r="R502" s="339"/>
      <c r="S502" s="105"/>
    </row>
    <row r="503" spans="1:19" ht="29.25" customHeight="1">
      <c r="A503" s="216"/>
      <c r="B503" s="340"/>
      <c r="C503" s="341"/>
      <c r="D503" s="342"/>
      <c r="E503" s="343"/>
      <c r="F503" s="162"/>
      <c r="G503" s="218"/>
      <c r="H503" s="218"/>
      <c r="I503" s="176"/>
      <c r="J503" s="177"/>
      <c r="K503" s="177"/>
      <c r="L503" s="177"/>
      <c r="M503" s="165"/>
      <c r="N503" s="176"/>
      <c r="O503" s="176"/>
      <c r="P503" s="178"/>
      <c r="Q503" s="105"/>
      <c r="R503" s="344"/>
      <c r="S503" s="105"/>
    </row>
    <row r="504" spans="1:19" ht="29.25" customHeight="1">
      <c r="A504" s="216"/>
      <c r="B504" s="340"/>
      <c r="C504" s="341"/>
      <c r="D504" s="342"/>
      <c r="E504" s="333"/>
      <c r="F504" s="162"/>
      <c r="G504" s="218"/>
      <c r="H504" s="218"/>
      <c r="I504" s="176"/>
      <c r="J504" s="177"/>
      <c r="K504" s="177"/>
      <c r="L504" s="177"/>
      <c r="M504" s="165"/>
      <c r="N504" s="176"/>
      <c r="O504" s="176"/>
      <c r="P504" s="178"/>
      <c r="Q504" s="105"/>
      <c r="R504" s="339"/>
      <c r="S504" s="105"/>
    </row>
    <row r="505" spans="1:19" ht="29.25" customHeight="1">
      <c r="A505" s="216"/>
      <c r="B505" s="340"/>
      <c r="C505" s="341"/>
      <c r="D505" s="342"/>
      <c r="E505" s="343"/>
      <c r="F505" s="162"/>
      <c r="G505" s="218"/>
      <c r="H505" s="218"/>
      <c r="I505" s="176"/>
      <c r="J505" s="177"/>
      <c r="K505" s="177"/>
      <c r="L505" s="177"/>
      <c r="M505" s="165"/>
      <c r="N505" s="176"/>
      <c r="O505" s="176"/>
      <c r="P505" s="178"/>
      <c r="Q505" s="105"/>
      <c r="R505" s="344"/>
      <c r="S505" s="105"/>
    </row>
    <row r="506" spans="1:19" ht="29.25" customHeight="1">
      <c r="A506" s="216"/>
      <c r="B506" s="340"/>
      <c r="C506" s="341"/>
      <c r="D506" s="342"/>
      <c r="E506" s="333"/>
      <c r="F506" s="162"/>
      <c r="G506" s="218"/>
      <c r="H506" s="218"/>
      <c r="I506" s="176"/>
      <c r="J506" s="177"/>
      <c r="K506" s="177"/>
      <c r="L506" s="177"/>
      <c r="M506" s="165"/>
      <c r="N506" s="176"/>
      <c r="O506" s="176"/>
      <c r="P506" s="178"/>
      <c r="Q506" s="105"/>
      <c r="R506" s="339"/>
      <c r="S506" s="105"/>
    </row>
    <row r="507" spans="1:19" ht="29.25" customHeight="1">
      <c r="A507" s="216"/>
      <c r="B507" s="340"/>
      <c r="C507" s="341"/>
      <c r="D507" s="342"/>
      <c r="E507" s="343"/>
      <c r="F507" s="162"/>
      <c r="G507" s="218"/>
      <c r="H507" s="218"/>
      <c r="I507" s="176"/>
      <c r="J507" s="177"/>
      <c r="K507" s="177"/>
      <c r="L507" s="177"/>
      <c r="M507" s="165"/>
      <c r="N507" s="176"/>
      <c r="O507" s="176"/>
      <c r="P507" s="178"/>
      <c r="Q507" s="105"/>
      <c r="R507" s="344"/>
      <c r="S507" s="105"/>
    </row>
    <row r="508" spans="1:19" ht="29.25" customHeight="1">
      <c r="A508" s="216"/>
      <c r="B508" s="340"/>
      <c r="C508" s="341"/>
      <c r="D508" s="342"/>
      <c r="E508" s="333"/>
      <c r="F508" s="162"/>
      <c r="G508" s="218"/>
      <c r="H508" s="218"/>
      <c r="I508" s="176"/>
      <c r="J508" s="177"/>
      <c r="K508" s="177"/>
      <c r="L508" s="177"/>
      <c r="M508" s="165"/>
      <c r="N508" s="176"/>
      <c r="O508" s="176"/>
      <c r="P508" s="178"/>
      <c r="Q508" s="105"/>
      <c r="R508" s="339"/>
      <c r="S508" s="105"/>
    </row>
    <row r="509" spans="1:19" ht="29.25" customHeight="1">
      <c r="A509" s="216"/>
      <c r="B509" s="340"/>
      <c r="C509" s="341"/>
      <c r="D509" s="342"/>
      <c r="E509" s="343"/>
      <c r="F509" s="162"/>
      <c r="G509" s="218"/>
      <c r="H509" s="218"/>
      <c r="I509" s="176"/>
      <c r="J509" s="177"/>
      <c r="K509" s="177"/>
      <c r="L509" s="177"/>
      <c r="M509" s="165"/>
      <c r="N509" s="176"/>
      <c r="O509" s="176"/>
      <c r="P509" s="178"/>
      <c r="Q509" s="105"/>
      <c r="R509" s="344"/>
      <c r="S509" s="105"/>
    </row>
    <row r="510" spans="1:19" ht="29.25" customHeight="1">
      <c r="A510" s="216"/>
      <c r="B510" s="340"/>
      <c r="C510" s="341"/>
      <c r="D510" s="342"/>
      <c r="E510" s="333"/>
      <c r="F510" s="162"/>
      <c r="G510" s="218"/>
      <c r="H510" s="218"/>
      <c r="I510" s="176"/>
      <c r="J510" s="177"/>
      <c r="K510" s="177"/>
      <c r="L510" s="177"/>
      <c r="M510" s="165"/>
      <c r="N510" s="176"/>
      <c r="O510" s="176"/>
      <c r="P510" s="178"/>
      <c r="Q510" s="105"/>
      <c r="R510" s="339"/>
      <c r="S510" s="105"/>
    </row>
    <row r="511" spans="1:19" ht="29.25" customHeight="1">
      <c r="A511" s="216"/>
      <c r="B511" s="340"/>
      <c r="C511" s="341"/>
      <c r="D511" s="342"/>
      <c r="E511" s="343"/>
      <c r="F511" s="162"/>
      <c r="G511" s="218"/>
      <c r="H511" s="218"/>
      <c r="I511" s="176"/>
      <c r="J511" s="177"/>
      <c r="K511" s="177"/>
      <c r="L511" s="177"/>
      <c r="M511" s="165"/>
      <c r="N511" s="176"/>
      <c r="O511" s="176"/>
      <c r="P511" s="178"/>
      <c r="Q511" s="105"/>
      <c r="R511" s="344"/>
      <c r="S511" s="105"/>
    </row>
    <row r="512" spans="1:19" ht="29.25" customHeight="1">
      <c r="A512" s="216"/>
      <c r="B512" s="340"/>
      <c r="C512" s="341"/>
      <c r="D512" s="342"/>
      <c r="E512" s="333"/>
      <c r="F512" s="162"/>
      <c r="G512" s="218"/>
      <c r="H512" s="218"/>
      <c r="I512" s="176"/>
      <c r="J512" s="177"/>
      <c r="K512" s="177"/>
      <c r="L512" s="177"/>
      <c r="M512" s="165"/>
      <c r="N512" s="176"/>
      <c r="O512" s="176"/>
      <c r="P512" s="178"/>
      <c r="Q512" s="105"/>
      <c r="R512" s="339"/>
      <c r="S512" s="105"/>
    </row>
    <row r="513" spans="1:19" ht="29.25" customHeight="1">
      <c r="A513" s="216"/>
      <c r="B513" s="340"/>
      <c r="C513" s="341"/>
      <c r="D513" s="342"/>
      <c r="E513" s="343"/>
      <c r="F513" s="162"/>
      <c r="G513" s="218"/>
      <c r="H513" s="218"/>
      <c r="I513" s="176"/>
      <c r="J513" s="177"/>
      <c r="K513" s="177"/>
      <c r="L513" s="177"/>
      <c r="M513" s="165"/>
      <c r="N513" s="176"/>
      <c r="O513" s="176"/>
      <c r="P513" s="178"/>
      <c r="Q513" s="105"/>
      <c r="R513" s="344"/>
      <c r="S513" s="105"/>
    </row>
    <row r="514" spans="1:19" ht="29.25" customHeight="1">
      <c r="A514" s="216"/>
      <c r="B514" s="340"/>
      <c r="C514" s="341"/>
      <c r="D514" s="342"/>
      <c r="E514" s="333"/>
      <c r="F514" s="162"/>
      <c r="G514" s="218"/>
      <c r="H514" s="218"/>
      <c r="I514" s="176"/>
      <c r="J514" s="177"/>
      <c r="K514" s="177"/>
      <c r="L514" s="177"/>
      <c r="M514" s="165"/>
      <c r="N514" s="176"/>
      <c r="O514" s="176"/>
      <c r="P514" s="178"/>
      <c r="Q514" s="105"/>
      <c r="R514" s="339"/>
      <c r="S514" s="105"/>
    </row>
    <row r="515" spans="1:19" ht="29.25" customHeight="1">
      <c r="A515" s="216"/>
      <c r="B515" s="340"/>
      <c r="C515" s="341"/>
      <c r="D515" s="342"/>
      <c r="E515" s="343"/>
      <c r="F515" s="162"/>
      <c r="G515" s="218"/>
      <c r="H515" s="218"/>
      <c r="I515" s="176"/>
      <c r="J515" s="177"/>
      <c r="K515" s="177"/>
      <c r="L515" s="177"/>
      <c r="M515" s="165"/>
      <c r="N515" s="176"/>
      <c r="O515" s="176"/>
      <c r="P515" s="178"/>
      <c r="Q515" s="105"/>
      <c r="R515" s="344"/>
      <c r="S515" s="105"/>
    </row>
    <row r="516" spans="1:19" ht="29.25" customHeight="1">
      <c r="A516" s="216"/>
      <c r="B516" s="340"/>
      <c r="C516" s="341"/>
      <c r="D516" s="342"/>
      <c r="E516" s="333"/>
      <c r="F516" s="162"/>
      <c r="G516" s="218"/>
      <c r="H516" s="218"/>
      <c r="I516" s="176"/>
      <c r="J516" s="177"/>
      <c r="K516" s="177"/>
      <c r="L516" s="177"/>
      <c r="M516" s="165"/>
      <c r="N516" s="176"/>
      <c r="O516" s="176"/>
      <c r="P516" s="178"/>
      <c r="Q516" s="105"/>
      <c r="R516" s="339"/>
      <c r="S516" s="105"/>
    </row>
    <row r="517" spans="1:19" ht="29.25" customHeight="1">
      <c r="A517" s="216"/>
      <c r="B517" s="340"/>
      <c r="C517" s="341"/>
      <c r="D517" s="342"/>
      <c r="E517" s="343"/>
      <c r="F517" s="162"/>
      <c r="G517" s="218"/>
      <c r="H517" s="218"/>
      <c r="I517" s="176"/>
      <c r="J517" s="177"/>
      <c r="K517" s="177"/>
      <c r="L517" s="177"/>
      <c r="M517" s="165"/>
      <c r="N517" s="176"/>
      <c r="O517" s="176"/>
      <c r="P517" s="178"/>
      <c r="Q517" s="105"/>
      <c r="R517" s="344"/>
      <c r="S517" s="105"/>
    </row>
    <row r="518" spans="1:19" ht="29.25" customHeight="1">
      <c r="A518" s="216"/>
      <c r="B518" s="340"/>
      <c r="C518" s="341"/>
      <c r="D518" s="342"/>
      <c r="E518" s="333"/>
      <c r="F518" s="162"/>
      <c r="G518" s="218"/>
      <c r="H518" s="218"/>
      <c r="I518" s="176"/>
      <c r="J518" s="177"/>
      <c r="K518" s="177"/>
      <c r="L518" s="177"/>
      <c r="M518" s="165"/>
      <c r="N518" s="176"/>
      <c r="O518" s="176"/>
      <c r="P518" s="178"/>
      <c r="Q518" s="105"/>
      <c r="R518" s="339"/>
      <c r="S518" s="105"/>
    </row>
    <row r="519" spans="1:19" ht="29.25" customHeight="1">
      <c r="A519" s="216"/>
      <c r="B519" s="340"/>
      <c r="C519" s="341"/>
      <c r="D519" s="342"/>
      <c r="E519" s="343"/>
      <c r="F519" s="162"/>
      <c r="G519" s="218"/>
      <c r="H519" s="218"/>
      <c r="I519" s="176"/>
      <c r="J519" s="177"/>
      <c r="K519" s="177"/>
      <c r="L519" s="177"/>
      <c r="M519" s="165"/>
      <c r="N519" s="176"/>
      <c r="O519" s="176"/>
      <c r="P519" s="178"/>
      <c r="Q519" s="105"/>
      <c r="R519" s="344"/>
      <c r="S519" s="105"/>
    </row>
    <row r="520" spans="1:19" ht="29.25" customHeight="1">
      <c r="A520" s="216"/>
      <c r="B520" s="340"/>
      <c r="C520" s="341"/>
      <c r="D520" s="342"/>
      <c r="E520" s="333"/>
      <c r="F520" s="162"/>
      <c r="G520" s="218"/>
      <c r="H520" s="218"/>
      <c r="I520" s="176"/>
      <c r="J520" s="177"/>
      <c r="K520" s="177"/>
      <c r="L520" s="177"/>
      <c r="M520" s="165"/>
      <c r="N520" s="176"/>
      <c r="O520" s="176"/>
      <c r="P520" s="178"/>
      <c r="Q520" s="105"/>
      <c r="R520" s="339"/>
      <c r="S520" s="105"/>
    </row>
    <row r="521" spans="1:19" ht="29.25" customHeight="1">
      <c r="A521" s="216"/>
      <c r="B521" s="340"/>
      <c r="C521" s="341"/>
      <c r="D521" s="342"/>
      <c r="E521" s="343"/>
      <c r="F521" s="162"/>
      <c r="G521" s="218"/>
      <c r="H521" s="218"/>
      <c r="I521" s="176"/>
      <c r="J521" s="177"/>
      <c r="K521" s="177"/>
      <c r="L521" s="177"/>
      <c r="M521" s="165"/>
      <c r="N521" s="176"/>
      <c r="O521" s="176"/>
      <c r="P521" s="178"/>
      <c r="Q521" s="105"/>
      <c r="R521" s="344"/>
      <c r="S521" s="105"/>
    </row>
    <row r="522" spans="1:19" ht="29.25" customHeight="1">
      <c r="A522" s="216"/>
      <c r="B522" s="340"/>
      <c r="C522" s="341"/>
      <c r="D522" s="342"/>
      <c r="E522" s="333"/>
      <c r="F522" s="162"/>
      <c r="G522" s="218"/>
      <c r="H522" s="218"/>
      <c r="I522" s="176"/>
      <c r="J522" s="177"/>
      <c r="K522" s="177"/>
      <c r="L522" s="177"/>
      <c r="M522" s="165"/>
      <c r="N522" s="176"/>
      <c r="O522" s="176"/>
      <c r="P522" s="178"/>
      <c r="Q522" s="105"/>
      <c r="R522" s="339"/>
      <c r="S522" s="105"/>
    </row>
    <row r="523" spans="1:19" ht="29.25" customHeight="1">
      <c r="A523" s="216"/>
      <c r="B523" s="340"/>
      <c r="C523" s="341"/>
      <c r="D523" s="342"/>
      <c r="E523" s="343"/>
      <c r="F523" s="162"/>
      <c r="G523" s="218"/>
      <c r="H523" s="218"/>
      <c r="I523" s="176"/>
      <c r="J523" s="177"/>
      <c r="K523" s="177"/>
      <c r="L523" s="177"/>
      <c r="M523" s="165"/>
      <c r="N523" s="176"/>
      <c r="O523" s="176"/>
      <c r="P523" s="178"/>
      <c r="Q523" s="105"/>
      <c r="R523" s="344"/>
      <c r="S523" s="105"/>
    </row>
    <row r="524" spans="1:19" ht="29.25" customHeight="1">
      <c r="A524" s="216"/>
      <c r="B524" s="340"/>
      <c r="C524" s="341"/>
      <c r="D524" s="342"/>
      <c r="E524" s="333"/>
      <c r="F524" s="162"/>
      <c r="G524" s="218"/>
      <c r="H524" s="218"/>
      <c r="I524" s="176"/>
      <c r="J524" s="177"/>
      <c r="K524" s="177"/>
      <c r="L524" s="177"/>
      <c r="M524" s="165"/>
      <c r="N524" s="176"/>
      <c r="O524" s="176"/>
      <c r="P524" s="178"/>
      <c r="Q524" s="105"/>
      <c r="R524" s="339"/>
      <c r="S524" s="105"/>
    </row>
    <row r="525" spans="1:19" ht="29.25" customHeight="1">
      <c r="A525" s="216"/>
      <c r="B525" s="340"/>
      <c r="C525" s="341"/>
      <c r="D525" s="342"/>
      <c r="E525" s="343"/>
      <c r="F525" s="162"/>
      <c r="G525" s="218"/>
      <c r="H525" s="218"/>
      <c r="I525" s="176"/>
      <c r="J525" s="177"/>
      <c r="K525" s="177"/>
      <c r="L525" s="177"/>
      <c r="M525" s="165"/>
      <c r="N525" s="176"/>
      <c r="O525" s="176"/>
      <c r="P525" s="178"/>
      <c r="Q525" s="105"/>
      <c r="R525" s="344"/>
      <c r="S525" s="105"/>
    </row>
    <row r="526" spans="1:19" ht="29.25" customHeight="1">
      <c r="A526" s="216"/>
      <c r="B526" s="340"/>
      <c r="C526" s="341"/>
      <c r="D526" s="342"/>
      <c r="E526" s="333"/>
      <c r="F526" s="162"/>
      <c r="G526" s="218"/>
      <c r="H526" s="218"/>
      <c r="I526" s="176"/>
      <c r="J526" s="177"/>
      <c r="K526" s="177"/>
      <c r="L526" s="177"/>
      <c r="M526" s="165"/>
      <c r="N526" s="176"/>
      <c r="O526" s="176"/>
      <c r="P526" s="178"/>
      <c r="Q526" s="105"/>
      <c r="R526" s="339"/>
      <c r="S526" s="105"/>
    </row>
    <row r="527" spans="1:19" ht="29.25" customHeight="1">
      <c r="A527" s="216"/>
      <c r="B527" s="340"/>
      <c r="C527" s="341"/>
      <c r="D527" s="342"/>
      <c r="E527" s="343"/>
      <c r="F527" s="162"/>
      <c r="G527" s="218"/>
      <c r="H527" s="218"/>
      <c r="I527" s="176"/>
      <c r="J527" s="177"/>
      <c r="K527" s="177"/>
      <c r="L527" s="177"/>
      <c r="M527" s="165"/>
      <c r="N527" s="176"/>
      <c r="O527" s="176"/>
      <c r="P527" s="178"/>
      <c r="Q527" s="105"/>
      <c r="R527" s="344"/>
      <c r="S527" s="105"/>
    </row>
    <row r="528" spans="1:19" ht="29.25" customHeight="1">
      <c r="A528" s="216"/>
      <c r="B528" s="340"/>
      <c r="C528" s="341"/>
      <c r="D528" s="342"/>
      <c r="E528" s="333"/>
      <c r="F528" s="162"/>
      <c r="G528" s="218"/>
      <c r="H528" s="218"/>
      <c r="I528" s="176"/>
      <c r="J528" s="177"/>
      <c r="K528" s="177"/>
      <c r="L528" s="177"/>
      <c r="M528" s="165"/>
      <c r="N528" s="176"/>
      <c r="O528" s="176"/>
      <c r="P528" s="178"/>
      <c r="Q528" s="105"/>
      <c r="R528" s="339"/>
      <c r="S528" s="105"/>
    </row>
    <row r="529" spans="1:19" ht="29.25" customHeight="1">
      <c r="A529" s="216"/>
      <c r="B529" s="340"/>
      <c r="C529" s="341"/>
      <c r="D529" s="342"/>
      <c r="E529" s="343"/>
      <c r="F529" s="162"/>
      <c r="G529" s="218"/>
      <c r="H529" s="218"/>
      <c r="I529" s="176"/>
      <c r="J529" s="177"/>
      <c r="K529" s="177"/>
      <c r="L529" s="177"/>
      <c r="M529" s="165"/>
      <c r="N529" s="176"/>
      <c r="O529" s="176"/>
      <c r="P529" s="178"/>
      <c r="Q529" s="105"/>
      <c r="R529" s="344"/>
      <c r="S529" s="105"/>
    </row>
    <row r="530" spans="1:19" ht="29.25" customHeight="1">
      <c r="A530" s="216"/>
      <c r="B530" s="340"/>
      <c r="C530" s="341"/>
      <c r="D530" s="342"/>
      <c r="E530" s="333"/>
      <c r="F530" s="162"/>
      <c r="G530" s="218"/>
      <c r="H530" s="218"/>
      <c r="I530" s="176"/>
      <c r="J530" s="177"/>
      <c r="K530" s="177"/>
      <c r="L530" s="177"/>
      <c r="M530" s="165"/>
      <c r="N530" s="176"/>
      <c r="O530" s="176"/>
      <c r="P530" s="178"/>
      <c r="Q530" s="105"/>
      <c r="R530" s="339"/>
      <c r="S530" s="105"/>
    </row>
    <row r="531" spans="1:19" ht="29.25" customHeight="1">
      <c r="A531" s="216"/>
      <c r="B531" s="340"/>
      <c r="C531" s="341"/>
      <c r="D531" s="342"/>
      <c r="E531" s="343"/>
      <c r="F531" s="162"/>
      <c r="G531" s="218"/>
      <c r="H531" s="218"/>
      <c r="I531" s="176"/>
      <c r="J531" s="177"/>
      <c r="K531" s="177"/>
      <c r="L531" s="177"/>
      <c r="M531" s="165"/>
      <c r="N531" s="176"/>
      <c r="O531" s="176"/>
      <c r="P531" s="178"/>
      <c r="Q531" s="105"/>
      <c r="R531" s="344"/>
      <c r="S531" s="105"/>
    </row>
    <row r="532" spans="1:19" ht="29.25" customHeight="1">
      <c r="A532" s="216"/>
      <c r="B532" s="340"/>
      <c r="C532" s="341"/>
      <c r="D532" s="342"/>
      <c r="E532" s="333"/>
      <c r="F532" s="162"/>
      <c r="G532" s="218"/>
      <c r="H532" s="218"/>
      <c r="I532" s="176"/>
      <c r="J532" s="177"/>
      <c r="K532" s="177"/>
      <c r="L532" s="177"/>
      <c r="M532" s="165"/>
      <c r="N532" s="176"/>
      <c r="O532" s="176"/>
      <c r="P532" s="178"/>
      <c r="Q532" s="105"/>
      <c r="R532" s="339"/>
      <c r="S532" s="105"/>
    </row>
    <row r="533" spans="1:19" ht="29.25" customHeight="1">
      <c r="A533" s="216"/>
      <c r="B533" s="340"/>
      <c r="C533" s="341"/>
      <c r="D533" s="342"/>
      <c r="E533" s="343"/>
      <c r="F533" s="162"/>
      <c r="G533" s="218"/>
      <c r="H533" s="218"/>
      <c r="I533" s="176"/>
      <c r="J533" s="177"/>
      <c r="K533" s="177"/>
      <c r="L533" s="177"/>
      <c r="M533" s="165"/>
      <c r="N533" s="176"/>
      <c r="O533" s="176"/>
      <c r="P533" s="178"/>
      <c r="Q533" s="105"/>
      <c r="R533" s="344"/>
      <c r="S533" s="105"/>
    </row>
    <row r="534" spans="1:19" ht="29.25" customHeight="1">
      <c r="A534" s="216"/>
      <c r="B534" s="340"/>
      <c r="C534" s="341"/>
      <c r="D534" s="342"/>
      <c r="E534" s="333"/>
      <c r="F534" s="162"/>
      <c r="G534" s="218"/>
      <c r="H534" s="218"/>
      <c r="I534" s="176"/>
      <c r="J534" s="177"/>
      <c r="K534" s="177"/>
      <c r="L534" s="177"/>
      <c r="M534" s="165"/>
      <c r="N534" s="176"/>
      <c r="O534" s="176"/>
      <c r="P534" s="178"/>
      <c r="Q534" s="105"/>
      <c r="R534" s="339"/>
      <c r="S534" s="105"/>
    </row>
    <row r="535" spans="1:19" ht="29.25" customHeight="1">
      <c r="A535" s="216"/>
      <c r="B535" s="340"/>
      <c r="C535" s="341"/>
      <c r="D535" s="342"/>
      <c r="E535" s="343"/>
      <c r="F535" s="162"/>
      <c r="G535" s="218"/>
      <c r="H535" s="218"/>
      <c r="I535" s="176"/>
      <c r="J535" s="177"/>
      <c r="K535" s="177"/>
      <c r="L535" s="177"/>
      <c r="M535" s="165"/>
      <c r="N535" s="176"/>
      <c r="O535" s="176"/>
      <c r="P535" s="178"/>
      <c r="Q535" s="105"/>
      <c r="R535" s="344"/>
      <c r="S535" s="105"/>
    </row>
    <row r="536" spans="1:19" ht="29.25" customHeight="1">
      <c r="A536" s="216"/>
      <c r="B536" s="340"/>
      <c r="C536" s="341"/>
      <c r="D536" s="342"/>
      <c r="E536" s="333"/>
      <c r="F536" s="162"/>
      <c r="G536" s="218"/>
      <c r="H536" s="218"/>
      <c r="I536" s="176"/>
      <c r="J536" s="177"/>
      <c r="K536" s="177"/>
      <c r="L536" s="177"/>
      <c r="M536" s="165"/>
      <c r="N536" s="176"/>
      <c r="O536" s="176"/>
      <c r="P536" s="178"/>
      <c r="Q536" s="105"/>
      <c r="R536" s="339"/>
      <c r="S536" s="105"/>
    </row>
    <row r="537" spans="1:19" ht="29.25" customHeight="1">
      <c r="A537" s="216"/>
      <c r="B537" s="340"/>
      <c r="C537" s="341"/>
      <c r="D537" s="342"/>
      <c r="E537" s="343"/>
      <c r="F537" s="162"/>
      <c r="G537" s="218"/>
      <c r="H537" s="218"/>
      <c r="I537" s="176"/>
      <c r="J537" s="177"/>
      <c r="K537" s="177"/>
      <c r="L537" s="177"/>
      <c r="M537" s="165"/>
      <c r="N537" s="176"/>
      <c r="O537" s="176"/>
      <c r="P537" s="178"/>
      <c r="Q537" s="105"/>
      <c r="R537" s="344"/>
      <c r="S537" s="105"/>
    </row>
    <row r="538" spans="1:19" ht="29.25" customHeight="1">
      <c r="A538" s="216"/>
      <c r="B538" s="340"/>
      <c r="C538" s="341"/>
      <c r="D538" s="342"/>
      <c r="E538" s="333"/>
      <c r="F538" s="162"/>
      <c r="G538" s="218"/>
      <c r="H538" s="218"/>
      <c r="I538" s="176"/>
      <c r="J538" s="177"/>
      <c r="K538" s="177"/>
      <c r="L538" s="177"/>
      <c r="M538" s="165"/>
      <c r="N538" s="176"/>
      <c r="O538" s="176"/>
      <c r="P538" s="178"/>
      <c r="Q538" s="105"/>
      <c r="R538" s="339"/>
      <c r="S538" s="105"/>
    </row>
    <row r="539" spans="1:19" ht="29.25" customHeight="1">
      <c r="A539" s="216"/>
      <c r="B539" s="340"/>
      <c r="C539" s="341"/>
      <c r="D539" s="342"/>
      <c r="E539" s="343"/>
      <c r="F539" s="162"/>
      <c r="G539" s="218"/>
      <c r="H539" s="218"/>
      <c r="I539" s="176"/>
      <c r="J539" s="177"/>
      <c r="K539" s="177"/>
      <c r="L539" s="177"/>
      <c r="M539" s="165"/>
      <c r="N539" s="176"/>
      <c r="O539" s="176"/>
      <c r="P539" s="178"/>
      <c r="Q539" s="105"/>
      <c r="R539" s="344"/>
      <c r="S539" s="105"/>
    </row>
    <row r="540" spans="1:19" ht="29.25" customHeight="1">
      <c r="A540" s="216"/>
      <c r="B540" s="340"/>
      <c r="C540" s="341"/>
      <c r="D540" s="342"/>
      <c r="E540" s="333"/>
      <c r="F540" s="162"/>
      <c r="G540" s="218"/>
      <c r="H540" s="218"/>
      <c r="I540" s="176"/>
      <c r="J540" s="177"/>
      <c r="K540" s="177"/>
      <c r="L540" s="177"/>
      <c r="M540" s="165"/>
      <c r="N540" s="176"/>
      <c r="O540" s="176"/>
      <c r="P540" s="178"/>
      <c r="Q540" s="105"/>
      <c r="R540" s="339"/>
      <c r="S540" s="105"/>
    </row>
    <row r="541" spans="1:19" ht="29.25" customHeight="1">
      <c r="A541" s="216"/>
      <c r="B541" s="340"/>
      <c r="C541" s="341"/>
      <c r="D541" s="342"/>
      <c r="E541" s="343"/>
      <c r="F541" s="162"/>
      <c r="G541" s="218"/>
      <c r="H541" s="218"/>
      <c r="I541" s="176"/>
      <c r="J541" s="177"/>
      <c r="K541" s="177"/>
      <c r="L541" s="177"/>
      <c r="M541" s="165"/>
      <c r="N541" s="176"/>
      <c r="O541" s="176"/>
      <c r="P541" s="178"/>
      <c r="Q541" s="105"/>
      <c r="R541" s="344"/>
      <c r="S541" s="105"/>
    </row>
    <row r="542" spans="1:19" ht="29.25" customHeight="1">
      <c r="A542" s="216"/>
      <c r="B542" s="340"/>
      <c r="C542" s="341"/>
      <c r="D542" s="342"/>
      <c r="E542" s="333"/>
      <c r="F542" s="162"/>
      <c r="G542" s="218"/>
      <c r="H542" s="218"/>
      <c r="I542" s="176"/>
      <c r="J542" s="177"/>
      <c r="K542" s="177"/>
      <c r="L542" s="177"/>
      <c r="M542" s="165"/>
      <c r="N542" s="176"/>
      <c r="O542" s="176"/>
      <c r="P542" s="178"/>
      <c r="Q542" s="105"/>
      <c r="R542" s="339"/>
      <c r="S542" s="105"/>
    </row>
    <row r="543" spans="1:19" ht="29.25" customHeight="1">
      <c r="A543" s="216"/>
      <c r="B543" s="340"/>
      <c r="C543" s="341"/>
      <c r="D543" s="342"/>
      <c r="E543" s="343"/>
      <c r="F543" s="162"/>
      <c r="G543" s="218"/>
      <c r="H543" s="218"/>
      <c r="I543" s="176"/>
      <c r="J543" s="177"/>
      <c r="K543" s="177"/>
      <c r="L543" s="177"/>
      <c r="M543" s="165"/>
      <c r="N543" s="176"/>
      <c r="O543" s="176"/>
      <c r="P543" s="178"/>
      <c r="Q543" s="105"/>
      <c r="R543" s="344"/>
      <c r="S543" s="105"/>
    </row>
    <row r="544" spans="1:19" ht="29.25" customHeight="1">
      <c r="A544" s="216"/>
      <c r="B544" s="340"/>
      <c r="C544" s="341"/>
      <c r="D544" s="342"/>
      <c r="E544" s="333"/>
      <c r="F544" s="162"/>
      <c r="G544" s="218"/>
      <c r="H544" s="218"/>
      <c r="I544" s="176"/>
      <c r="J544" s="177"/>
      <c r="K544" s="177"/>
      <c r="L544" s="177"/>
      <c r="M544" s="165"/>
      <c r="N544" s="176"/>
      <c r="O544" s="176"/>
      <c r="P544" s="178"/>
      <c r="Q544" s="105"/>
      <c r="R544" s="339"/>
      <c r="S544" s="105"/>
    </row>
    <row r="545" spans="1:19" ht="29.25" customHeight="1">
      <c r="A545" s="216"/>
      <c r="B545" s="340"/>
      <c r="C545" s="341"/>
      <c r="D545" s="342"/>
      <c r="E545" s="343"/>
      <c r="F545" s="162"/>
      <c r="G545" s="218"/>
      <c r="H545" s="218"/>
      <c r="I545" s="176"/>
      <c r="J545" s="177"/>
      <c r="K545" s="177"/>
      <c r="L545" s="177"/>
      <c r="M545" s="165"/>
      <c r="N545" s="176"/>
      <c r="O545" s="176"/>
      <c r="P545" s="178"/>
      <c r="Q545" s="105"/>
      <c r="R545" s="344"/>
      <c r="S545" s="105"/>
    </row>
    <row r="546" spans="1:19" ht="29.25" customHeight="1">
      <c r="A546" s="216"/>
      <c r="B546" s="340"/>
      <c r="C546" s="341"/>
      <c r="D546" s="342"/>
      <c r="E546" s="333"/>
      <c r="F546" s="162"/>
      <c r="G546" s="218"/>
      <c r="H546" s="218"/>
      <c r="I546" s="176"/>
      <c r="J546" s="177"/>
      <c r="K546" s="177"/>
      <c r="L546" s="177"/>
      <c r="M546" s="165"/>
      <c r="N546" s="176"/>
      <c r="O546" s="176"/>
      <c r="P546" s="178"/>
      <c r="Q546" s="105"/>
      <c r="R546" s="339"/>
      <c r="S546" s="105"/>
    </row>
    <row r="547" spans="1:19" ht="29.25" customHeight="1">
      <c r="A547" s="216"/>
      <c r="B547" s="340"/>
      <c r="C547" s="341"/>
      <c r="D547" s="342"/>
      <c r="E547" s="343"/>
      <c r="F547" s="162"/>
      <c r="G547" s="218"/>
      <c r="H547" s="218"/>
      <c r="I547" s="176"/>
      <c r="J547" s="177"/>
      <c r="K547" s="177"/>
      <c r="L547" s="177"/>
      <c r="M547" s="165"/>
      <c r="N547" s="176"/>
      <c r="O547" s="176"/>
      <c r="P547" s="178"/>
      <c r="Q547" s="105"/>
      <c r="R547" s="344"/>
      <c r="S547" s="105"/>
    </row>
    <row r="548" spans="1:19" ht="29.25" customHeight="1">
      <c r="A548" s="216"/>
      <c r="B548" s="340"/>
      <c r="C548" s="341"/>
      <c r="D548" s="342"/>
      <c r="E548" s="333"/>
      <c r="F548" s="162"/>
      <c r="G548" s="218"/>
      <c r="H548" s="218"/>
      <c r="I548" s="176"/>
      <c r="J548" s="177"/>
      <c r="K548" s="177"/>
      <c r="L548" s="177"/>
      <c r="M548" s="165"/>
      <c r="N548" s="176"/>
      <c r="O548" s="176"/>
      <c r="P548" s="178"/>
      <c r="Q548" s="105"/>
      <c r="R548" s="339"/>
      <c r="S548" s="105"/>
    </row>
    <row r="549" spans="1:19" ht="29.25" customHeight="1">
      <c r="A549" s="216"/>
      <c r="B549" s="340"/>
      <c r="C549" s="341"/>
      <c r="D549" s="342"/>
      <c r="E549" s="343"/>
      <c r="F549" s="162"/>
      <c r="G549" s="218"/>
      <c r="H549" s="218"/>
      <c r="I549" s="176"/>
      <c r="J549" s="177"/>
      <c r="K549" s="177"/>
      <c r="L549" s="177"/>
      <c r="M549" s="165"/>
      <c r="N549" s="176"/>
      <c r="O549" s="176"/>
      <c r="P549" s="178"/>
      <c r="Q549" s="105"/>
      <c r="R549" s="344"/>
      <c r="S549" s="105"/>
    </row>
    <row r="550" spans="1:19" ht="29.25" customHeight="1">
      <c r="A550" s="216"/>
      <c r="B550" s="340"/>
      <c r="C550" s="341"/>
      <c r="D550" s="342"/>
      <c r="E550" s="333"/>
      <c r="F550" s="162"/>
      <c r="G550" s="218"/>
      <c r="H550" s="218"/>
      <c r="I550" s="176"/>
      <c r="J550" s="177"/>
      <c r="K550" s="177"/>
      <c r="L550" s="177"/>
      <c r="M550" s="165"/>
      <c r="N550" s="176"/>
      <c r="O550" s="176"/>
      <c r="P550" s="178"/>
      <c r="Q550" s="105"/>
      <c r="R550" s="339"/>
      <c r="S550" s="105"/>
    </row>
    <row r="551" spans="1:19" ht="29.25" customHeight="1">
      <c r="A551" s="216"/>
      <c r="B551" s="340"/>
      <c r="C551" s="341"/>
      <c r="D551" s="342"/>
      <c r="E551" s="343"/>
      <c r="F551" s="162"/>
      <c r="G551" s="218"/>
      <c r="H551" s="218"/>
      <c r="I551" s="176"/>
      <c r="J551" s="177"/>
      <c r="K551" s="177"/>
      <c r="L551" s="177"/>
      <c r="M551" s="165"/>
      <c r="N551" s="176"/>
      <c r="O551" s="176"/>
      <c r="P551" s="178"/>
      <c r="Q551" s="105"/>
      <c r="R551" s="344"/>
      <c r="S551" s="105"/>
    </row>
    <row r="552" spans="1:19" ht="29.25" customHeight="1">
      <c r="A552" s="216"/>
      <c r="B552" s="340"/>
      <c r="C552" s="341"/>
      <c r="D552" s="342"/>
      <c r="E552" s="333"/>
      <c r="F552" s="162"/>
      <c r="G552" s="218"/>
      <c r="H552" s="218"/>
      <c r="I552" s="176"/>
      <c r="J552" s="177"/>
      <c r="K552" s="177"/>
      <c r="L552" s="177"/>
      <c r="M552" s="165"/>
      <c r="N552" s="176"/>
      <c r="O552" s="176"/>
      <c r="P552" s="178"/>
      <c r="Q552" s="105"/>
      <c r="R552" s="339"/>
      <c r="S552" s="105"/>
    </row>
    <row r="553" spans="1:19" ht="29.25" customHeight="1">
      <c r="A553" s="216"/>
      <c r="B553" s="340"/>
      <c r="C553" s="341"/>
      <c r="D553" s="342"/>
      <c r="E553" s="343"/>
      <c r="F553" s="162"/>
      <c r="G553" s="218"/>
      <c r="H553" s="218"/>
      <c r="I553" s="176"/>
      <c r="J553" s="177"/>
      <c r="K553" s="177"/>
      <c r="L553" s="177"/>
      <c r="M553" s="165"/>
      <c r="N553" s="176"/>
      <c r="O553" s="176"/>
      <c r="P553" s="178"/>
      <c r="Q553" s="105"/>
      <c r="R553" s="344"/>
      <c r="S553" s="105"/>
    </row>
    <row r="554" spans="1:19" ht="29.25" customHeight="1">
      <c r="A554" s="216"/>
      <c r="B554" s="340"/>
      <c r="C554" s="341"/>
      <c r="D554" s="342"/>
      <c r="E554" s="333"/>
      <c r="F554" s="162"/>
      <c r="G554" s="218"/>
      <c r="H554" s="218"/>
      <c r="I554" s="176"/>
      <c r="J554" s="177"/>
      <c r="K554" s="177"/>
      <c r="L554" s="177"/>
      <c r="M554" s="165"/>
      <c r="N554" s="176"/>
      <c r="O554" s="176"/>
      <c r="P554" s="178"/>
      <c r="Q554" s="105"/>
      <c r="R554" s="339"/>
      <c r="S554" s="105"/>
    </row>
    <row r="555" spans="1:19" ht="29.25" customHeight="1">
      <c r="A555" s="216"/>
      <c r="B555" s="340"/>
      <c r="C555" s="341"/>
      <c r="D555" s="342"/>
      <c r="E555" s="343"/>
      <c r="F555" s="162"/>
      <c r="G555" s="218"/>
      <c r="H555" s="218"/>
      <c r="I555" s="176"/>
      <c r="J555" s="177"/>
      <c r="K555" s="177"/>
      <c r="L555" s="177"/>
      <c r="M555" s="165"/>
      <c r="N555" s="176"/>
      <c r="O555" s="176"/>
      <c r="P555" s="178"/>
      <c r="Q555" s="105"/>
      <c r="R555" s="344"/>
      <c r="S555" s="105"/>
    </row>
    <row r="556" spans="1:19" ht="29.25" customHeight="1">
      <c r="A556" s="216"/>
      <c r="B556" s="340"/>
      <c r="C556" s="341"/>
      <c r="D556" s="342"/>
      <c r="E556" s="333"/>
      <c r="F556" s="162"/>
      <c r="G556" s="218"/>
      <c r="H556" s="218"/>
      <c r="I556" s="176"/>
      <c r="J556" s="177"/>
      <c r="K556" s="177"/>
      <c r="L556" s="177"/>
      <c r="M556" s="165"/>
      <c r="N556" s="176"/>
      <c r="O556" s="176"/>
      <c r="P556" s="178"/>
      <c r="Q556" s="105"/>
      <c r="R556" s="339"/>
      <c r="S556" s="105"/>
    </row>
    <row r="557" spans="1:19" ht="29.25" customHeight="1">
      <c r="A557" s="216"/>
      <c r="B557" s="340"/>
      <c r="C557" s="341"/>
      <c r="D557" s="342"/>
      <c r="E557" s="343"/>
      <c r="F557" s="162"/>
      <c r="G557" s="218"/>
      <c r="H557" s="218"/>
      <c r="I557" s="176"/>
      <c r="J557" s="177"/>
      <c r="K557" s="177"/>
      <c r="L557" s="177"/>
      <c r="M557" s="165"/>
      <c r="N557" s="176"/>
      <c r="O557" s="176"/>
      <c r="P557" s="178"/>
      <c r="Q557" s="105"/>
      <c r="R557" s="344"/>
      <c r="S557" s="105"/>
    </row>
    <row r="558" spans="1:19" ht="29.25" customHeight="1">
      <c r="A558" s="216"/>
      <c r="B558" s="340"/>
      <c r="C558" s="341"/>
      <c r="D558" s="342"/>
      <c r="E558" s="333"/>
      <c r="F558" s="162"/>
      <c r="G558" s="218"/>
      <c r="H558" s="218"/>
      <c r="I558" s="176"/>
      <c r="J558" s="177"/>
      <c r="K558" s="177"/>
      <c r="L558" s="177"/>
      <c r="M558" s="165"/>
      <c r="N558" s="176"/>
      <c r="O558" s="176"/>
      <c r="P558" s="178"/>
      <c r="Q558" s="105"/>
      <c r="R558" s="339"/>
      <c r="S558" s="105"/>
    </row>
    <row r="559" spans="1:19" ht="29.25" customHeight="1">
      <c r="A559" s="216"/>
      <c r="B559" s="340"/>
      <c r="C559" s="341"/>
      <c r="D559" s="342"/>
      <c r="E559" s="343"/>
      <c r="F559" s="162"/>
      <c r="G559" s="218"/>
      <c r="H559" s="218"/>
      <c r="I559" s="176"/>
      <c r="J559" s="177"/>
      <c r="K559" s="177"/>
      <c r="L559" s="177"/>
      <c r="M559" s="165"/>
      <c r="N559" s="176"/>
      <c r="O559" s="176"/>
      <c r="P559" s="178"/>
      <c r="Q559" s="105"/>
      <c r="R559" s="344"/>
      <c r="S559" s="105"/>
    </row>
    <row r="560" spans="1:19" ht="29.25" customHeight="1">
      <c r="A560" s="216"/>
      <c r="B560" s="340"/>
      <c r="C560" s="341"/>
      <c r="D560" s="342"/>
      <c r="E560" s="333"/>
      <c r="F560" s="162"/>
      <c r="G560" s="218"/>
      <c r="H560" s="218"/>
      <c r="I560" s="176"/>
      <c r="J560" s="177"/>
      <c r="K560" s="177"/>
      <c r="L560" s="177"/>
      <c r="M560" s="165"/>
      <c r="N560" s="176"/>
      <c r="O560" s="176"/>
      <c r="P560" s="178"/>
      <c r="Q560" s="105"/>
      <c r="R560" s="339"/>
      <c r="S560" s="105"/>
    </row>
    <row r="561" spans="1:19" ht="29.25" customHeight="1">
      <c r="A561" s="216"/>
      <c r="B561" s="340"/>
      <c r="C561" s="341"/>
      <c r="D561" s="342"/>
      <c r="E561" s="343"/>
      <c r="F561" s="162"/>
      <c r="G561" s="218"/>
      <c r="H561" s="218"/>
      <c r="I561" s="176"/>
      <c r="J561" s="177"/>
      <c r="K561" s="177"/>
      <c r="L561" s="177"/>
      <c r="M561" s="165"/>
      <c r="N561" s="176"/>
      <c r="O561" s="176"/>
      <c r="P561" s="178"/>
      <c r="Q561" s="105"/>
      <c r="R561" s="344"/>
      <c r="S561" s="105"/>
    </row>
    <row r="562" spans="1:19" ht="29.25" customHeight="1">
      <c r="A562" s="216"/>
      <c r="B562" s="340"/>
      <c r="C562" s="341"/>
      <c r="D562" s="342"/>
      <c r="E562" s="333"/>
      <c r="F562" s="162"/>
      <c r="G562" s="218"/>
      <c r="H562" s="218"/>
      <c r="I562" s="176"/>
      <c r="J562" s="177"/>
      <c r="K562" s="177"/>
      <c r="L562" s="177"/>
      <c r="M562" s="165"/>
      <c r="N562" s="176"/>
      <c r="O562" s="176"/>
      <c r="P562" s="178"/>
      <c r="Q562" s="105"/>
      <c r="R562" s="339"/>
      <c r="S562" s="105"/>
    </row>
    <row r="563" spans="1:19" ht="29.25" customHeight="1">
      <c r="A563" s="216"/>
      <c r="B563" s="340"/>
      <c r="C563" s="341"/>
      <c r="D563" s="342"/>
      <c r="E563" s="343"/>
      <c r="F563" s="162"/>
      <c r="G563" s="218"/>
      <c r="H563" s="218"/>
      <c r="I563" s="176"/>
      <c r="J563" s="177"/>
      <c r="K563" s="177"/>
      <c r="L563" s="177"/>
      <c r="M563" s="165"/>
      <c r="N563" s="176"/>
      <c r="O563" s="176"/>
      <c r="P563" s="178"/>
      <c r="Q563" s="105"/>
      <c r="R563" s="344"/>
      <c r="S563" s="105"/>
    </row>
    <row r="564" spans="1:19" ht="29.25" customHeight="1">
      <c r="A564" s="216"/>
      <c r="B564" s="340"/>
      <c r="C564" s="341"/>
      <c r="D564" s="342"/>
      <c r="E564" s="333"/>
      <c r="F564" s="162"/>
      <c r="G564" s="218"/>
      <c r="H564" s="218"/>
      <c r="I564" s="176"/>
      <c r="J564" s="177"/>
      <c r="K564" s="177"/>
      <c r="L564" s="177"/>
      <c r="M564" s="165"/>
      <c r="N564" s="176"/>
      <c r="O564" s="176"/>
      <c r="P564" s="178"/>
      <c r="Q564" s="105"/>
      <c r="R564" s="339"/>
      <c r="S564" s="105"/>
    </row>
    <row r="565" spans="1:19" ht="29.25" customHeight="1">
      <c r="A565" s="216"/>
      <c r="B565" s="340"/>
      <c r="C565" s="341"/>
      <c r="D565" s="342"/>
      <c r="E565" s="343"/>
      <c r="F565" s="162"/>
      <c r="G565" s="218"/>
      <c r="H565" s="218"/>
      <c r="I565" s="176"/>
      <c r="J565" s="177"/>
      <c r="K565" s="177"/>
      <c r="L565" s="177"/>
      <c r="M565" s="165"/>
      <c r="N565" s="176"/>
      <c r="O565" s="176"/>
      <c r="P565" s="178"/>
      <c r="Q565" s="105"/>
      <c r="R565" s="344"/>
      <c r="S565" s="105"/>
    </row>
    <row r="566" spans="1:19" ht="29.25" customHeight="1">
      <c r="A566" s="216"/>
      <c r="B566" s="340"/>
      <c r="C566" s="341"/>
      <c r="D566" s="342"/>
      <c r="E566" s="333"/>
      <c r="F566" s="162"/>
      <c r="G566" s="218"/>
      <c r="H566" s="218"/>
      <c r="I566" s="176"/>
      <c r="J566" s="177"/>
      <c r="K566" s="177"/>
      <c r="L566" s="177"/>
      <c r="M566" s="165"/>
      <c r="N566" s="176"/>
      <c r="O566" s="176"/>
      <c r="P566" s="178"/>
      <c r="Q566" s="105"/>
      <c r="R566" s="339"/>
      <c r="S566" s="105"/>
    </row>
    <row r="567" spans="1:19" ht="29.25" customHeight="1">
      <c r="A567" s="216"/>
      <c r="B567" s="340"/>
      <c r="C567" s="341"/>
      <c r="D567" s="342"/>
      <c r="E567" s="343"/>
      <c r="F567" s="162"/>
      <c r="G567" s="218"/>
      <c r="H567" s="218"/>
      <c r="I567" s="176"/>
      <c r="J567" s="177"/>
      <c r="K567" s="177"/>
      <c r="L567" s="177"/>
      <c r="M567" s="165"/>
      <c r="N567" s="176"/>
      <c r="O567" s="176"/>
      <c r="P567" s="178"/>
      <c r="Q567" s="105"/>
      <c r="R567" s="344"/>
      <c r="S567" s="105"/>
    </row>
    <row r="568" spans="1:19" ht="29.25" customHeight="1">
      <c r="A568" s="216"/>
      <c r="B568" s="340"/>
      <c r="C568" s="341"/>
      <c r="D568" s="342"/>
      <c r="E568" s="333"/>
      <c r="F568" s="162"/>
      <c r="G568" s="218"/>
      <c r="H568" s="218"/>
      <c r="I568" s="176"/>
      <c r="J568" s="177"/>
      <c r="K568" s="177"/>
      <c r="L568" s="177"/>
      <c r="M568" s="165"/>
      <c r="N568" s="176"/>
      <c r="O568" s="176"/>
      <c r="P568" s="178"/>
      <c r="Q568" s="105"/>
      <c r="R568" s="339"/>
      <c r="S568" s="105"/>
    </row>
    <row r="569" spans="1:19" ht="29.25" customHeight="1">
      <c r="A569" s="216"/>
      <c r="B569" s="340"/>
      <c r="C569" s="341"/>
      <c r="D569" s="342"/>
      <c r="E569" s="343"/>
      <c r="F569" s="162"/>
      <c r="G569" s="218"/>
      <c r="H569" s="218"/>
      <c r="I569" s="176"/>
      <c r="J569" s="177"/>
      <c r="K569" s="177"/>
      <c r="L569" s="177"/>
      <c r="M569" s="165"/>
      <c r="N569" s="176"/>
      <c r="O569" s="176"/>
      <c r="P569" s="178"/>
      <c r="Q569" s="105"/>
      <c r="R569" s="344"/>
      <c r="S569" s="105"/>
    </row>
    <row r="570" spans="1:19" ht="29.25" customHeight="1">
      <c r="A570" s="216"/>
      <c r="B570" s="340"/>
      <c r="C570" s="341"/>
      <c r="D570" s="342"/>
      <c r="E570" s="333"/>
      <c r="F570" s="162"/>
      <c r="G570" s="218"/>
      <c r="H570" s="218"/>
      <c r="I570" s="176"/>
      <c r="J570" s="177"/>
      <c r="K570" s="177"/>
      <c r="L570" s="177"/>
      <c r="M570" s="165"/>
      <c r="N570" s="176"/>
      <c r="O570" s="176"/>
      <c r="P570" s="178"/>
      <c r="Q570" s="105"/>
      <c r="R570" s="339"/>
      <c r="S570" s="105"/>
    </row>
    <row r="571" spans="1:19" ht="29.25" customHeight="1">
      <c r="A571" s="216"/>
      <c r="B571" s="340"/>
      <c r="C571" s="341"/>
      <c r="D571" s="342"/>
      <c r="E571" s="343"/>
      <c r="F571" s="162"/>
      <c r="G571" s="218"/>
      <c r="H571" s="218"/>
      <c r="I571" s="176"/>
      <c r="J571" s="177"/>
      <c r="K571" s="177"/>
      <c r="L571" s="177"/>
      <c r="M571" s="165"/>
      <c r="N571" s="176"/>
      <c r="O571" s="176"/>
      <c r="P571" s="178"/>
      <c r="Q571" s="105"/>
      <c r="R571" s="344"/>
      <c r="S571" s="105"/>
    </row>
    <row r="572" spans="1:19" ht="29.25" customHeight="1">
      <c r="A572" s="216"/>
      <c r="B572" s="340"/>
      <c r="C572" s="341"/>
      <c r="D572" s="342"/>
      <c r="E572" s="333"/>
      <c r="F572" s="162"/>
      <c r="G572" s="218"/>
      <c r="H572" s="218"/>
      <c r="I572" s="176"/>
      <c r="J572" s="177"/>
      <c r="K572" s="177"/>
      <c r="L572" s="177"/>
      <c r="M572" s="165"/>
      <c r="N572" s="176"/>
      <c r="O572" s="176"/>
      <c r="P572" s="178"/>
      <c r="Q572" s="105"/>
      <c r="R572" s="339"/>
      <c r="S572" s="105"/>
    </row>
    <row r="573" spans="1:19" ht="29.25" customHeight="1">
      <c r="A573" s="216"/>
      <c r="B573" s="340"/>
      <c r="C573" s="341"/>
      <c r="D573" s="342"/>
      <c r="E573" s="343"/>
      <c r="F573" s="162"/>
      <c r="G573" s="218"/>
      <c r="H573" s="218"/>
      <c r="I573" s="176"/>
      <c r="J573" s="177"/>
      <c r="K573" s="177"/>
      <c r="L573" s="177"/>
      <c r="M573" s="165"/>
      <c r="N573" s="176"/>
      <c r="O573" s="176"/>
      <c r="P573" s="178"/>
      <c r="Q573" s="105"/>
      <c r="R573" s="344"/>
      <c r="S573" s="105"/>
    </row>
    <row r="574" spans="1:19" ht="29.25" customHeight="1">
      <c r="A574" s="216"/>
      <c r="B574" s="340"/>
      <c r="C574" s="341"/>
      <c r="D574" s="342"/>
      <c r="E574" s="333"/>
      <c r="F574" s="162"/>
      <c r="G574" s="218"/>
      <c r="H574" s="218"/>
      <c r="I574" s="176"/>
      <c r="J574" s="177"/>
      <c r="K574" s="177"/>
      <c r="L574" s="177"/>
      <c r="M574" s="165"/>
      <c r="N574" s="176"/>
      <c r="O574" s="176"/>
      <c r="P574" s="178"/>
      <c r="Q574" s="105"/>
      <c r="R574" s="339"/>
      <c r="S574" s="105"/>
    </row>
    <row r="575" spans="1:19" ht="29.25" customHeight="1">
      <c r="A575" s="216"/>
      <c r="B575" s="340"/>
      <c r="C575" s="341"/>
      <c r="D575" s="342"/>
      <c r="E575" s="343"/>
      <c r="F575" s="162"/>
      <c r="G575" s="218"/>
      <c r="H575" s="218"/>
      <c r="I575" s="176"/>
      <c r="J575" s="177"/>
      <c r="K575" s="177"/>
      <c r="L575" s="177"/>
      <c r="M575" s="165"/>
      <c r="N575" s="176"/>
      <c r="O575" s="176"/>
      <c r="P575" s="178"/>
      <c r="Q575" s="105"/>
      <c r="R575" s="344"/>
      <c r="S575" s="105"/>
    </row>
    <row r="576" spans="1:19" ht="29.25" customHeight="1">
      <c r="A576" s="216"/>
      <c r="B576" s="340"/>
      <c r="C576" s="341"/>
      <c r="D576" s="342"/>
      <c r="E576" s="333"/>
      <c r="F576" s="162"/>
      <c r="G576" s="218"/>
      <c r="H576" s="218"/>
      <c r="I576" s="176"/>
      <c r="J576" s="177"/>
      <c r="K576" s="177"/>
      <c r="L576" s="177"/>
      <c r="M576" s="165"/>
      <c r="N576" s="176"/>
      <c r="O576" s="176"/>
      <c r="P576" s="178"/>
      <c r="Q576" s="105"/>
      <c r="R576" s="339"/>
      <c r="S576" s="105"/>
    </row>
    <row r="577" spans="1:19" ht="29.25" customHeight="1">
      <c r="A577" s="216"/>
      <c r="B577" s="340"/>
      <c r="C577" s="341"/>
      <c r="D577" s="342"/>
      <c r="E577" s="343"/>
      <c r="F577" s="162"/>
      <c r="G577" s="218"/>
      <c r="H577" s="218"/>
      <c r="I577" s="176"/>
      <c r="J577" s="177"/>
      <c r="K577" s="177"/>
      <c r="L577" s="177"/>
      <c r="M577" s="165"/>
      <c r="N577" s="176"/>
      <c r="O577" s="176"/>
      <c r="P577" s="178"/>
      <c r="Q577" s="105"/>
      <c r="R577" s="344"/>
      <c r="S577" s="105"/>
    </row>
    <row r="578" spans="1:19" ht="29.25" customHeight="1">
      <c r="A578" s="216"/>
      <c r="B578" s="340"/>
      <c r="C578" s="341"/>
      <c r="D578" s="342"/>
      <c r="E578" s="333"/>
      <c r="F578" s="162"/>
      <c r="G578" s="218"/>
      <c r="H578" s="218"/>
      <c r="I578" s="176"/>
      <c r="J578" s="177"/>
      <c r="K578" s="177"/>
      <c r="L578" s="177"/>
      <c r="M578" s="165"/>
      <c r="N578" s="176"/>
      <c r="O578" s="176"/>
      <c r="P578" s="178"/>
      <c r="Q578" s="105"/>
      <c r="R578" s="339"/>
      <c r="S578" s="105"/>
    </row>
    <row r="579" spans="1:19" ht="29.25" customHeight="1">
      <c r="A579" s="216"/>
      <c r="B579" s="340"/>
      <c r="C579" s="341"/>
      <c r="D579" s="342"/>
      <c r="E579" s="343"/>
      <c r="F579" s="162"/>
      <c r="G579" s="218"/>
      <c r="H579" s="218"/>
      <c r="I579" s="176"/>
      <c r="J579" s="177"/>
      <c r="K579" s="177"/>
      <c r="L579" s="177"/>
      <c r="M579" s="165"/>
      <c r="N579" s="176"/>
      <c r="O579" s="176"/>
      <c r="P579" s="178"/>
      <c r="Q579" s="105"/>
      <c r="R579" s="344"/>
      <c r="S579" s="105"/>
    </row>
    <row r="580" spans="1:19" ht="29.25" customHeight="1">
      <c r="A580" s="216"/>
      <c r="B580" s="340"/>
      <c r="C580" s="341"/>
      <c r="D580" s="342"/>
      <c r="E580" s="333"/>
      <c r="F580" s="162"/>
      <c r="G580" s="218"/>
      <c r="H580" s="218"/>
      <c r="I580" s="176"/>
      <c r="J580" s="177"/>
      <c r="K580" s="177"/>
      <c r="L580" s="177"/>
      <c r="M580" s="165"/>
      <c r="N580" s="176"/>
      <c r="O580" s="176"/>
      <c r="P580" s="178"/>
      <c r="Q580" s="105"/>
      <c r="R580" s="339"/>
      <c r="S580" s="105"/>
    </row>
    <row r="581" spans="1:19" ht="29.25" customHeight="1">
      <c r="A581" s="216"/>
      <c r="B581" s="340"/>
      <c r="C581" s="341"/>
      <c r="D581" s="342"/>
      <c r="E581" s="343"/>
      <c r="F581" s="162"/>
      <c r="G581" s="218"/>
      <c r="H581" s="218"/>
      <c r="I581" s="176"/>
      <c r="J581" s="177"/>
      <c r="K581" s="177"/>
      <c r="L581" s="177"/>
      <c r="M581" s="165"/>
      <c r="N581" s="176"/>
      <c r="O581" s="176"/>
      <c r="P581" s="178"/>
      <c r="Q581" s="105"/>
      <c r="R581" s="344"/>
      <c r="S581" s="105"/>
    </row>
    <row r="582" spans="1:19" ht="29.25" customHeight="1">
      <c r="A582" s="216"/>
      <c r="B582" s="340"/>
      <c r="C582" s="341"/>
      <c r="D582" s="342"/>
      <c r="E582" s="333"/>
      <c r="F582" s="162"/>
      <c r="G582" s="218"/>
      <c r="H582" s="218"/>
      <c r="I582" s="176"/>
      <c r="J582" s="177"/>
      <c r="K582" s="177"/>
      <c r="L582" s="177"/>
      <c r="M582" s="165"/>
      <c r="N582" s="176"/>
      <c r="O582" s="176"/>
      <c r="P582" s="178"/>
      <c r="Q582" s="105"/>
      <c r="R582" s="339"/>
      <c r="S582" s="105"/>
    </row>
    <row r="583" spans="1:19" ht="29.25" customHeight="1">
      <c r="A583" s="216"/>
      <c r="B583" s="340"/>
      <c r="C583" s="341"/>
      <c r="D583" s="342"/>
      <c r="E583" s="343"/>
      <c r="F583" s="162"/>
      <c r="G583" s="218"/>
      <c r="H583" s="218"/>
      <c r="I583" s="176"/>
      <c r="J583" s="177"/>
      <c r="K583" s="177"/>
      <c r="L583" s="177"/>
      <c r="M583" s="165"/>
      <c r="N583" s="176"/>
      <c r="O583" s="176"/>
      <c r="P583" s="178"/>
      <c r="Q583" s="105"/>
      <c r="R583" s="344"/>
      <c r="S583" s="105"/>
    </row>
    <row r="584" spans="1:19" ht="29.25" customHeight="1">
      <c r="A584" s="216"/>
      <c r="B584" s="340"/>
      <c r="C584" s="341"/>
      <c r="D584" s="342"/>
      <c r="E584" s="333"/>
      <c r="F584" s="162"/>
      <c r="G584" s="218"/>
      <c r="H584" s="218"/>
      <c r="I584" s="176"/>
      <c r="J584" s="177"/>
      <c r="K584" s="177"/>
      <c r="L584" s="177"/>
      <c r="M584" s="165"/>
      <c r="N584" s="176"/>
      <c r="O584" s="176"/>
      <c r="P584" s="178"/>
      <c r="Q584" s="105"/>
      <c r="R584" s="339"/>
      <c r="S584" s="105"/>
    </row>
    <row r="585" spans="1:19" ht="29.25" customHeight="1">
      <c r="A585" s="216"/>
      <c r="B585" s="340"/>
      <c r="C585" s="341"/>
      <c r="D585" s="342"/>
      <c r="E585" s="343"/>
      <c r="F585" s="162"/>
      <c r="G585" s="218"/>
      <c r="H585" s="218"/>
      <c r="I585" s="176"/>
      <c r="J585" s="177"/>
      <c r="K585" s="177"/>
      <c r="L585" s="177"/>
      <c r="M585" s="165"/>
      <c r="N585" s="176"/>
      <c r="O585" s="176"/>
      <c r="P585" s="178"/>
      <c r="Q585" s="105"/>
      <c r="R585" s="344"/>
      <c r="S585" s="105"/>
    </row>
    <row r="586" spans="1:19" ht="29.25" customHeight="1">
      <c r="A586" s="216"/>
      <c r="B586" s="340"/>
      <c r="C586" s="341"/>
      <c r="D586" s="342"/>
      <c r="E586" s="333"/>
      <c r="F586" s="162"/>
      <c r="G586" s="218"/>
      <c r="H586" s="218"/>
      <c r="I586" s="176"/>
      <c r="J586" s="177"/>
      <c r="K586" s="177"/>
      <c r="L586" s="177"/>
      <c r="M586" s="165"/>
      <c r="N586" s="176"/>
      <c r="O586" s="176"/>
      <c r="P586" s="178"/>
      <c r="Q586" s="105"/>
      <c r="R586" s="339"/>
      <c r="S586" s="105"/>
    </row>
    <row r="587" spans="1:19" ht="29.25" customHeight="1">
      <c r="A587" s="216"/>
      <c r="B587" s="340"/>
      <c r="C587" s="341"/>
      <c r="D587" s="342"/>
      <c r="E587" s="343"/>
      <c r="F587" s="162"/>
      <c r="G587" s="218"/>
      <c r="H587" s="218"/>
      <c r="I587" s="176"/>
      <c r="J587" s="177"/>
      <c r="K587" s="177"/>
      <c r="L587" s="177"/>
      <c r="M587" s="165"/>
      <c r="N587" s="176"/>
      <c r="O587" s="176"/>
      <c r="P587" s="178"/>
      <c r="Q587" s="105"/>
      <c r="R587" s="344"/>
      <c r="S587" s="105"/>
    </row>
    <row r="588" spans="1:19" ht="29.25" customHeight="1">
      <c r="A588" s="216"/>
      <c r="B588" s="340"/>
      <c r="C588" s="341"/>
      <c r="D588" s="342"/>
      <c r="E588" s="333"/>
      <c r="F588" s="162"/>
      <c r="G588" s="218"/>
      <c r="H588" s="218"/>
      <c r="I588" s="176"/>
      <c r="J588" s="177"/>
      <c r="K588" s="177"/>
      <c r="L588" s="177"/>
      <c r="M588" s="165"/>
      <c r="N588" s="176"/>
      <c r="O588" s="176"/>
      <c r="P588" s="178"/>
      <c r="Q588" s="105"/>
      <c r="R588" s="339"/>
      <c r="S588" s="105"/>
    </row>
    <row r="589" spans="1:19" ht="29.25" customHeight="1">
      <c r="A589" s="216"/>
      <c r="B589" s="340"/>
      <c r="C589" s="341"/>
      <c r="D589" s="342"/>
      <c r="E589" s="343"/>
      <c r="F589" s="162"/>
      <c r="G589" s="218"/>
      <c r="H589" s="218"/>
      <c r="I589" s="176"/>
      <c r="J589" s="177"/>
      <c r="K589" s="177"/>
      <c r="L589" s="177"/>
      <c r="M589" s="165"/>
      <c r="N589" s="176"/>
      <c r="O589" s="176"/>
      <c r="P589" s="178"/>
      <c r="Q589" s="105"/>
      <c r="R589" s="344"/>
      <c r="S589" s="105"/>
    </row>
    <row r="590" spans="1:19" ht="29.25" customHeight="1">
      <c r="A590" s="216"/>
      <c r="B590" s="340"/>
      <c r="C590" s="341"/>
      <c r="D590" s="342"/>
      <c r="E590" s="333"/>
      <c r="F590" s="162"/>
      <c r="G590" s="218"/>
      <c r="H590" s="218"/>
      <c r="I590" s="176"/>
      <c r="J590" s="177"/>
      <c r="K590" s="177"/>
      <c r="L590" s="177"/>
      <c r="M590" s="165"/>
      <c r="N590" s="176"/>
      <c r="O590" s="176"/>
      <c r="P590" s="178"/>
      <c r="Q590" s="105"/>
      <c r="R590" s="339"/>
      <c r="S590" s="105"/>
    </row>
    <row r="591" spans="1:19" ht="29.25" customHeight="1">
      <c r="A591" s="216"/>
      <c r="B591" s="340"/>
      <c r="C591" s="341"/>
      <c r="D591" s="342"/>
      <c r="E591" s="343"/>
      <c r="F591" s="162"/>
      <c r="G591" s="218"/>
      <c r="H591" s="218"/>
      <c r="I591" s="176"/>
      <c r="J591" s="177"/>
      <c r="K591" s="177"/>
      <c r="L591" s="177"/>
      <c r="M591" s="165"/>
      <c r="N591" s="176"/>
      <c r="O591" s="176"/>
      <c r="P591" s="178"/>
      <c r="Q591" s="105"/>
      <c r="R591" s="344"/>
      <c r="S591" s="105"/>
    </row>
    <row r="592" spans="1:19" ht="29.25" customHeight="1">
      <c r="A592" s="216"/>
      <c r="B592" s="340"/>
      <c r="C592" s="341"/>
      <c r="D592" s="342"/>
      <c r="E592" s="333"/>
      <c r="F592" s="162"/>
      <c r="G592" s="218"/>
      <c r="H592" s="218"/>
      <c r="I592" s="176"/>
      <c r="J592" s="177"/>
      <c r="K592" s="177"/>
      <c r="L592" s="177"/>
      <c r="M592" s="165"/>
      <c r="N592" s="176"/>
      <c r="O592" s="176"/>
      <c r="P592" s="178"/>
      <c r="Q592" s="105"/>
      <c r="R592" s="339"/>
      <c r="S592" s="105"/>
    </row>
    <row r="593" spans="1:19" ht="29.25" customHeight="1">
      <c r="A593" s="216"/>
      <c r="B593" s="340"/>
      <c r="C593" s="341"/>
      <c r="D593" s="342"/>
      <c r="E593" s="343"/>
      <c r="F593" s="162"/>
      <c r="G593" s="218"/>
      <c r="H593" s="218"/>
      <c r="I593" s="176"/>
      <c r="J593" s="177"/>
      <c r="K593" s="177"/>
      <c r="L593" s="177"/>
      <c r="M593" s="165"/>
      <c r="N593" s="176"/>
      <c r="O593" s="176"/>
      <c r="P593" s="178"/>
      <c r="Q593" s="105"/>
      <c r="R593" s="344"/>
      <c r="S593" s="105"/>
    </row>
    <row r="594" spans="1:19" ht="29.25" customHeight="1">
      <c r="A594" s="216"/>
      <c r="B594" s="340"/>
      <c r="C594" s="341"/>
      <c r="D594" s="342"/>
      <c r="E594" s="333"/>
      <c r="F594" s="162"/>
      <c r="G594" s="218"/>
      <c r="H594" s="218"/>
      <c r="I594" s="176"/>
      <c r="J594" s="177"/>
      <c r="K594" s="177"/>
      <c r="L594" s="177"/>
      <c r="M594" s="165"/>
      <c r="N594" s="176"/>
      <c r="O594" s="176"/>
      <c r="P594" s="178"/>
      <c r="Q594" s="105"/>
      <c r="R594" s="339"/>
      <c r="S594" s="105"/>
    </row>
    <row r="595" spans="1:19" ht="29.25" customHeight="1">
      <c r="A595" s="216"/>
      <c r="B595" s="340"/>
      <c r="C595" s="341"/>
      <c r="D595" s="342"/>
      <c r="E595" s="343"/>
      <c r="F595" s="162"/>
      <c r="G595" s="218"/>
      <c r="H595" s="218"/>
      <c r="I595" s="176"/>
      <c r="J595" s="177"/>
      <c r="K595" s="177"/>
      <c r="L595" s="177"/>
      <c r="M595" s="165"/>
      <c r="N595" s="176"/>
      <c r="O595" s="176"/>
      <c r="P595" s="178"/>
      <c r="Q595" s="105"/>
      <c r="R595" s="344"/>
      <c r="S595" s="105"/>
    </row>
    <row r="596" spans="1:19" ht="29.25" customHeight="1">
      <c r="A596" s="216"/>
      <c r="B596" s="340"/>
      <c r="C596" s="341"/>
      <c r="D596" s="342"/>
      <c r="E596" s="333"/>
      <c r="F596" s="162"/>
      <c r="G596" s="218"/>
      <c r="H596" s="218"/>
      <c r="I596" s="176"/>
      <c r="J596" s="177"/>
      <c r="K596" s="177"/>
      <c r="L596" s="177"/>
      <c r="M596" s="165"/>
      <c r="N596" s="176"/>
      <c r="O596" s="176"/>
      <c r="P596" s="178"/>
      <c r="Q596" s="105"/>
      <c r="R596" s="339"/>
      <c r="S596" s="105"/>
    </row>
    <row r="597" spans="1:19" ht="29.25" customHeight="1">
      <c r="A597" s="216"/>
      <c r="B597" s="340"/>
      <c r="C597" s="341"/>
      <c r="D597" s="342"/>
      <c r="E597" s="343"/>
      <c r="F597" s="162"/>
      <c r="G597" s="218"/>
      <c r="H597" s="218"/>
      <c r="I597" s="176"/>
      <c r="J597" s="177"/>
      <c r="K597" s="177"/>
      <c r="L597" s="177"/>
      <c r="M597" s="165"/>
      <c r="N597" s="176"/>
      <c r="O597" s="176"/>
      <c r="P597" s="178"/>
      <c r="Q597" s="105"/>
      <c r="R597" s="344"/>
      <c r="S597" s="105"/>
    </row>
    <row r="598" spans="1:19" ht="29.25" customHeight="1">
      <c r="A598" s="216"/>
      <c r="B598" s="340"/>
      <c r="C598" s="341"/>
      <c r="D598" s="342"/>
      <c r="E598" s="333"/>
      <c r="F598" s="162"/>
      <c r="G598" s="218"/>
      <c r="H598" s="218"/>
      <c r="I598" s="176"/>
      <c r="J598" s="177"/>
      <c r="K598" s="177"/>
      <c r="L598" s="177"/>
      <c r="M598" s="165"/>
      <c r="N598" s="176"/>
      <c r="O598" s="176"/>
      <c r="P598" s="178"/>
      <c r="Q598" s="105"/>
      <c r="R598" s="339"/>
      <c r="S598" s="105"/>
    </row>
    <row r="599" spans="1:19" ht="29.25" customHeight="1">
      <c r="A599" s="216"/>
      <c r="B599" s="340"/>
      <c r="C599" s="341"/>
      <c r="D599" s="342"/>
      <c r="E599" s="343"/>
      <c r="F599" s="162"/>
      <c r="G599" s="218"/>
      <c r="H599" s="218"/>
      <c r="I599" s="176"/>
      <c r="J599" s="177"/>
      <c r="K599" s="177"/>
      <c r="L599" s="177"/>
      <c r="M599" s="165"/>
      <c r="N599" s="176"/>
      <c r="O599" s="176"/>
      <c r="P599" s="178"/>
      <c r="Q599" s="105"/>
      <c r="R599" s="344"/>
      <c r="S599" s="105"/>
    </row>
    <row r="600" spans="1:19" ht="29.25" customHeight="1">
      <c r="A600" s="216"/>
      <c r="B600" s="340"/>
      <c r="C600" s="341"/>
      <c r="D600" s="342"/>
      <c r="E600" s="333"/>
      <c r="F600" s="162"/>
      <c r="G600" s="218"/>
      <c r="H600" s="218"/>
      <c r="I600" s="176"/>
      <c r="J600" s="177"/>
      <c r="K600" s="177"/>
      <c r="L600" s="177"/>
      <c r="M600" s="165"/>
      <c r="N600" s="176"/>
      <c r="O600" s="176"/>
      <c r="P600" s="178"/>
      <c r="Q600" s="105"/>
      <c r="R600" s="339"/>
      <c r="S600" s="105"/>
    </row>
    <row r="601" spans="1:19" ht="29.25" customHeight="1">
      <c r="A601" s="216"/>
      <c r="B601" s="340"/>
      <c r="C601" s="341"/>
      <c r="D601" s="342"/>
      <c r="E601" s="343"/>
      <c r="F601" s="162"/>
      <c r="G601" s="218"/>
      <c r="H601" s="218"/>
      <c r="I601" s="176"/>
      <c r="J601" s="177"/>
      <c r="K601" s="177"/>
      <c r="L601" s="177"/>
      <c r="M601" s="165"/>
      <c r="N601" s="176"/>
      <c r="O601" s="176"/>
      <c r="P601" s="178"/>
      <c r="Q601" s="105"/>
      <c r="R601" s="344"/>
      <c r="S601" s="105"/>
    </row>
    <row r="602" spans="1:19" ht="29.25" customHeight="1">
      <c r="A602" s="216"/>
      <c r="B602" s="340"/>
      <c r="C602" s="341"/>
      <c r="D602" s="342"/>
      <c r="E602" s="333"/>
      <c r="F602" s="162"/>
      <c r="G602" s="218"/>
      <c r="H602" s="218"/>
      <c r="I602" s="176"/>
      <c r="J602" s="177"/>
      <c r="K602" s="177"/>
      <c r="L602" s="177"/>
      <c r="M602" s="165"/>
      <c r="N602" s="176"/>
      <c r="O602" s="176"/>
      <c r="P602" s="178"/>
      <c r="Q602" s="105"/>
      <c r="R602" s="339"/>
      <c r="S602" s="105"/>
    </row>
    <row r="603" spans="1:19" ht="29.25" customHeight="1">
      <c r="A603" s="216"/>
      <c r="B603" s="340"/>
      <c r="C603" s="341"/>
      <c r="D603" s="342"/>
      <c r="E603" s="343"/>
      <c r="F603" s="162"/>
      <c r="G603" s="218"/>
      <c r="H603" s="218"/>
      <c r="I603" s="176"/>
      <c r="J603" s="177"/>
      <c r="K603" s="177"/>
      <c r="L603" s="177"/>
      <c r="M603" s="165"/>
      <c r="N603" s="176"/>
      <c r="O603" s="176"/>
      <c r="P603" s="178"/>
      <c r="Q603" s="105"/>
      <c r="R603" s="344"/>
      <c r="S603" s="105"/>
    </row>
    <row r="604" spans="1:19" ht="29.25" customHeight="1">
      <c r="A604" s="216"/>
      <c r="B604" s="340"/>
      <c r="C604" s="341"/>
      <c r="D604" s="342"/>
      <c r="E604" s="333"/>
      <c r="F604" s="162"/>
      <c r="G604" s="218"/>
      <c r="H604" s="218"/>
      <c r="I604" s="176"/>
      <c r="J604" s="177"/>
      <c r="K604" s="177"/>
      <c r="L604" s="177"/>
      <c r="M604" s="165"/>
      <c r="N604" s="176"/>
      <c r="O604" s="176"/>
      <c r="P604" s="178"/>
      <c r="Q604" s="105"/>
      <c r="R604" s="339"/>
      <c r="S604" s="105"/>
    </row>
    <row r="605" spans="1:19" ht="29.25" customHeight="1">
      <c r="A605" s="216"/>
      <c r="B605" s="340"/>
      <c r="C605" s="341"/>
      <c r="D605" s="342"/>
      <c r="E605" s="343"/>
      <c r="F605" s="162"/>
      <c r="G605" s="218"/>
      <c r="H605" s="218"/>
      <c r="I605" s="176"/>
      <c r="J605" s="177"/>
      <c r="K605" s="177"/>
      <c r="L605" s="177"/>
      <c r="M605" s="165"/>
      <c r="N605" s="176"/>
      <c r="O605" s="176"/>
      <c r="P605" s="178"/>
      <c r="Q605" s="105"/>
      <c r="R605" s="344"/>
      <c r="S605" s="105"/>
    </row>
    <row r="606" spans="1:19" ht="29.25" customHeight="1">
      <c r="A606" s="216"/>
      <c r="B606" s="340"/>
      <c r="C606" s="341"/>
      <c r="D606" s="342"/>
      <c r="E606" s="333"/>
      <c r="F606" s="162"/>
      <c r="G606" s="218"/>
      <c r="H606" s="218"/>
      <c r="I606" s="176"/>
      <c r="J606" s="177"/>
      <c r="K606" s="177"/>
      <c r="L606" s="177"/>
      <c r="M606" s="165"/>
      <c r="N606" s="176"/>
      <c r="O606" s="176"/>
      <c r="P606" s="178"/>
      <c r="Q606" s="105"/>
      <c r="R606" s="339"/>
      <c r="S606" s="105"/>
    </row>
    <row r="607" spans="1:19" ht="29.25" customHeight="1">
      <c r="A607" s="216"/>
      <c r="B607" s="340"/>
      <c r="C607" s="341"/>
      <c r="D607" s="342"/>
      <c r="E607" s="343"/>
      <c r="F607" s="162"/>
      <c r="G607" s="218"/>
      <c r="H607" s="218"/>
      <c r="I607" s="176"/>
      <c r="J607" s="177"/>
      <c r="K607" s="177"/>
      <c r="L607" s="177"/>
      <c r="M607" s="165"/>
      <c r="N607" s="176"/>
      <c r="O607" s="176"/>
      <c r="P607" s="178"/>
      <c r="Q607" s="105"/>
      <c r="R607" s="344"/>
      <c r="S607" s="105"/>
    </row>
    <row r="608" spans="1:19" ht="29.25" customHeight="1">
      <c r="A608" s="216"/>
      <c r="B608" s="340"/>
      <c r="C608" s="341"/>
      <c r="D608" s="342"/>
      <c r="E608" s="333"/>
      <c r="F608" s="162"/>
      <c r="G608" s="218"/>
      <c r="H608" s="218"/>
      <c r="I608" s="176"/>
      <c r="J608" s="177"/>
      <c r="K608" s="177"/>
      <c r="L608" s="177"/>
      <c r="M608" s="165"/>
      <c r="N608" s="176"/>
      <c r="O608" s="176"/>
      <c r="P608" s="178"/>
      <c r="Q608" s="105"/>
      <c r="R608" s="339"/>
      <c r="S608" s="105"/>
    </row>
    <row r="609" spans="1:19" ht="29.25" customHeight="1">
      <c r="A609" s="216"/>
      <c r="B609" s="340"/>
      <c r="C609" s="341"/>
      <c r="D609" s="342"/>
      <c r="E609" s="343"/>
      <c r="F609" s="162"/>
      <c r="G609" s="218"/>
      <c r="H609" s="218"/>
      <c r="I609" s="176"/>
      <c r="J609" s="177"/>
      <c r="K609" s="177"/>
      <c r="L609" s="177"/>
      <c r="M609" s="165"/>
      <c r="N609" s="176"/>
      <c r="O609" s="176"/>
      <c r="P609" s="178"/>
      <c r="Q609" s="105"/>
      <c r="R609" s="344"/>
      <c r="S609" s="105"/>
    </row>
    <row r="610" spans="1:19" ht="29.25" customHeight="1">
      <c r="A610" s="216"/>
      <c r="B610" s="340"/>
      <c r="C610" s="341"/>
      <c r="D610" s="342"/>
      <c r="E610" s="333"/>
      <c r="F610" s="162"/>
      <c r="G610" s="218"/>
      <c r="H610" s="218"/>
      <c r="I610" s="176"/>
      <c r="J610" s="177"/>
      <c r="K610" s="177"/>
      <c r="L610" s="177"/>
      <c r="M610" s="165"/>
      <c r="N610" s="176"/>
      <c r="O610" s="176"/>
      <c r="P610" s="178"/>
      <c r="Q610" s="105"/>
      <c r="R610" s="339"/>
      <c r="S610" s="105"/>
    </row>
    <row r="611" spans="1:19" ht="29.25" customHeight="1">
      <c r="A611" s="216"/>
      <c r="B611" s="340"/>
      <c r="C611" s="341"/>
      <c r="D611" s="342"/>
      <c r="E611" s="343"/>
      <c r="F611" s="162"/>
      <c r="G611" s="218"/>
      <c r="H611" s="218"/>
      <c r="I611" s="176"/>
      <c r="J611" s="177"/>
      <c r="K611" s="177"/>
      <c r="L611" s="177"/>
      <c r="M611" s="165"/>
      <c r="N611" s="176"/>
      <c r="O611" s="176"/>
      <c r="P611" s="178"/>
      <c r="Q611" s="105"/>
      <c r="R611" s="344"/>
      <c r="S611" s="105"/>
    </row>
    <row r="612" spans="1:19" ht="29.25" customHeight="1">
      <c r="A612" s="216"/>
      <c r="B612" s="340"/>
      <c r="C612" s="341"/>
      <c r="D612" s="342"/>
      <c r="E612" s="333"/>
      <c r="F612" s="162"/>
      <c r="G612" s="218"/>
      <c r="H612" s="218"/>
      <c r="I612" s="176"/>
      <c r="J612" s="177"/>
      <c r="K612" s="177"/>
      <c r="L612" s="177"/>
      <c r="M612" s="165"/>
      <c r="N612" s="176"/>
      <c r="O612" s="176"/>
      <c r="P612" s="178"/>
      <c r="Q612" s="105"/>
      <c r="R612" s="339"/>
      <c r="S612" s="105"/>
    </row>
    <row r="613" spans="1:19" ht="29.25" customHeight="1">
      <c r="A613" s="216"/>
      <c r="B613" s="340"/>
      <c r="C613" s="341"/>
      <c r="D613" s="342"/>
      <c r="E613" s="343"/>
      <c r="F613" s="162"/>
      <c r="G613" s="218"/>
      <c r="H613" s="218"/>
      <c r="I613" s="176"/>
      <c r="J613" s="177"/>
      <c r="K613" s="177"/>
      <c r="L613" s="177"/>
      <c r="M613" s="165"/>
      <c r="N613" s="176"/>
      <c r="O613" s="176"/>
      <c r="P613" s="178"/>
      <c r="Q613" s="105"/>
      <c r="R613" s="344"/>
      <c r="S613" s="105"/>
    </row>
    <row r="614" spans="1:19" ht="29.25" customHeight="1">
      <c r="A614" s="216"/>
      <c r="B614" s="340"/>
      <c r="C614" s="341"/>
      <c r="D614" s="342"/>
      <c r="E614" s="333"/>
      <c r="F614" s="162"/>
      <c r="G614" s="218"/>
      <c r="H614" s="218"/>
      <c r="I614" s="176"/>
      <c r="J614" s="177"/>
      <c r="K614" s="177"/>
      <c r="L614" s="177"/>
      <c r="M614" s="165"/>
      <c r="N614" s="176"/>
      <c r="O614" s="176"/>
      <c r="P614" s="178"/>
      <c r="Q614" s="105"/>
      <c r="R614" s="339"/>
      <c r="S614" s="105"/>
    </row>
    <row r="615" spans="1:19" ht="29.25" customHeight="1">
      <c r="A615" s="216"/>
      <c r="B615" s="340"/>
      <c r="C615" s="341"/>
      <c r="D615" s="342"/>
      <c r="E615" s="343"/>
      <c r="F615" s="162"/>
      <c r="G615" s="218"/>
      <c r="H615" s="218"/>
      <c r="I615" s="176"/>
      <c r="J615" s="177"/>
      <c r="K615" s="177"/>
      <c r="L615" s="177"/>
      <c r="M615" s="165"/>
      <c r="N615" s="176"/>
      <c r="O615" s="176"/>
      <c r="P615" s="178"/>
      <c r="Q615" s="105"/>
      <c r="R615" s="344"/>
      <c r="S615" s="105"/>
    </row>
    <row r="616" spans="1:19" ht="29.25" customHeight="1">
      <c r="A616" s="216"/>
      <c r="B616" s="340"/>
      <c r="C616" s="341"/>
      <c r="D616" s="342"/>
      <c r="E616" s="333"/>
      <c r="F616" s="162"/>
      <c r="G616" s="218"/>
      <c r="H616" s="218"/>
      <c r="I616" s="176"/>
      <c r="J616" s="177"/>
      <c r="K616" s="177"/>
      <c r="L616" s="177"/>
      <c r="M616" s="165"/>
      <c r="N616" s="176"/>
      <c r="O616" s="176"/>
      <c r="P616" s="178"/>
      <c r="Q616" s="105"/>
      <c r="R616" s="339"/>
      <c r="S616" s="105"/>
    </row>
    <row r="617" spans="1:19" ht="29.25" customHeight="1">
      <c r="A617" s="216"/>
      <c r="B617" s="340"/>
      <c r="C617" s="341"/>
      <c r="D617" s="342"/>
      <c r="E617" s="343"/>
      <c r="F617" s="162"/>
      <c r="G617" s="218"/>
      <c r="H617" s="218"/>
      <c r="I617" s="176"/>
      <c r="J617" s="177"/>
      <c r="K617" s="177"/>
      <c r="L617" s="177"/>
      <c r="M617" s="165"/>
      <c r="N617" s="176"/>
      <c r="O617" s="176"/>
      <c r="P617" s="178"/>
      <c r="Q617" s="105"/>
      <c r="R617" s="344"/>
      <c r="S617" s="105"/>
    </row>
    <row r="618" spans="1:19" ht="29.25" customHeight="1">
      <c r="A618" s="216"/>
      <c r="B618" s="340"/>
      <c r="C618" s="341"/>
      <c r="D618" s="342"/>
      <c r="E618" s="333"/>
      <c r="F618" s="162"/>
      <c r="G618" s="218"/>
      <c r="H618" s="218"/>
      <c r="I618" s="176"/>
      <c r="J618" s="177"/>
      <c r="K618" s="177"/>
      <c r="L618" s="177"/>
      <c r="M618" s="165"/>
      <c r="N618" s="176"/>
      <c r="O618" s="176"/>
      <c r="P618" s="178"/>
      <c r="Q618" s="105"/>
      <c r="R618" s="339"/>
      <c r="S618" s="105"/>
    </row>
    <row r="619" spans="1:19" ht="29.25" customHeight="1">
      <c r="A619" s="216"/>
      <c r="B619" s="340"/>
      <c r="C619" s="341"/>
      <c r="D619" s="342"/>
      <c r="E619" s="343"/>
      <c r="F619" s="162"/>
      <c r="G619" s="218"/>
      <c r="H619" s="218"/>
      <c r="I619" s="176"/>
      <c r="J619" s="177"/>
      <c r="K619" s="177"/>
      <c r="L619" s="177"/>
      <c r="M619" s="165"/>
      <c r="N619" s="176"/>
      <c r="O619" s="176"/>
      <c r="P619" s="178"/>
      <c r="Q619" s="105"/>
      <c r="R619" s="344"/>
      <c r="S619" s="105"/>
    </row>
    <row r="620" spans="1:19" ht="29.25" customHeight="1">
      <c r="A620" s="216"/>
      <c r="B620" s="340"/>
      <c r="C620" s="341"/>
      <c r="D620" s="342"/>
      <c r="E620" s="333"/>
      <c r="F620" s="162"/>
      <c r="G620" s="218"/>
      <c r="H620" s="218"/>
      <c r="I620" s="176"/>
      <c r="J620" s="177"/>
      <c r="K620" s="177"/>
      <c r="L620" s="177"/>
      <c r="M620" s="165"/>
      <c r="N620" s="176"/>
      <c r="O620" s="176"/>
      <c r="P620" s="178"/>
      <c r="Q620" s="105"/>
      <c r="R620" s="339"/>
      <c r="S620" s="105"/>
    </row>
    <row r="621" spans="1:19" ht="29.25" customHeight="1">
      <c r="A621" s="216"/>
      <c r="B621" s="340"/>
      <c r="C621" s="341"/>
      <c r="D621" s="342"/>
      <c r="E621" s="343"/>
      <c r="F621" s="162"/>
      <c r="G621" s="218"/>
      <c r="H621" s="218"/>
      <c r="I621" s="176"/>
      <c r="J621" s="177"/>
      <c r="K621" s="177"/>
      <c r="L621" s="177"/>
      <c r="M621" s="165"/>
      <c r="N621" s="176"/>
      <c r="O621" s="176"/>
      <c r="P621" s="178"/>
      <c r="Q621" s="105"/>
      <c r="R621" s="344"/>
      <c r="S621" s="105"/>
    </row>
    <row r="622" spans="1:19" ht="29.25" customHeight="1">
      <c r="A622" s="216"/>
      <c r="B622" s="340"/>
      <c r="C622" s="341"/>
      <c r="D622" s="342"/>
      <c r="E622" s="333"/>
      <c r="F622" s="162"/>
      <c r="G622" s="218"/>
      <c r="H622" s="218"/>
      <c r="I622" s="176"/>
      <c r="J622" s="177"/>
      <c r="K622" s="177"/>
      <c r="L622" s="177"/>
      <c r="M622" s="165"/>
      <c r="N622" s="176"/>
      <c r="O622" s="176"/>
      <c r="P622" s="178"/>
      <c r="Q622" s="105"/>
      <c r="R622" s="339"/>
      <c r="S622" s="105"/>
    </row>
    <row r="623" spans="1:19" ht="29.25" customHeight="1">
      <c r="A623" s="216"/>
      <c r="B623" s="340"/>
      <c r="C623" s="341"/>
      <c r="D623" s="342"/>
      <c r="E623" s="343"/>
      <c r="F623" s="162"/>
      <c r="G623" s="218"/>
      <c r="H623" s="218"/>
      <c r="I623" s="176"/>
      <c r="J623" s="177"/>
      <c r="K623" s="177"/>
      <c r="L623" s="177"/>
      <c r="M623" s="165"/>
      <c r="N623" s="176"/>
      <c r="O623" s="176"/>
      <c r="P623" s="178"/>
      <c r="Q623" s="105"/>
      <c r="R623" s="344"/>
      <c r="S623" s="105"/>
    </row>
    <row r="624" spans="1:19" ht="29.25" customHeight="1">
      <c r="A624" s="216"/>
      <c r="B624" s="340"/>
      <c r="C624" s="341"/>
      <c r="D624" s="342"/>
      <c r="E624" s="333"/>
      <c r="F624" s="162"/>
      <c r="G624" s="218"/>
      <c r="H624" s="218"/>
      <c r="I624" s="176"/>
      <c r="J624" s="177"/>
      <c r="K624" s="177"/>
      <c r="L624" s="177"/>
      <c r="M624" s="165"/>
      <c r="N624" s="176"/>
      <c r="O624" s="176"/>
      <c r="P624" s="178"/>
      <c r="Q624" s="105"/>
      <c r="R624" s="339"/>
      <c r="S624" s="105"/>
    </row>
    <row r="625" spans="1:19" ht="29.25" customHeight="1">
      <c r="A625" s="216"/>
      <c r="B625" s="340"/>
      <c r="C625" s="341"/>
      <c r="D625" s="342"/>
      <c r="E625" s="343"/>
      <c r="F625" s="162"/>
      <c r="G625" s="218"/>
      <c r="H625" s="218"/>
      <c r="I625" s="176"/>
      <c r="J625" s="177"/>
      <c r="K625" s="177"/>
      <c r="L625" s="177"/>
      <c r="M625" s="165"/>
      <c r="N625" s="176"/>
      <c r="O625" s="176"/>
      <c r="P625" s="178"/>
      <c r="Q625" s="105"/>
      <c r="R625" s="344"/>
      <c r="S625" s="105"/>
    </row>
    <row r="626" spans="1:19" ht="29.25" customHeight="1">
      <c r="A626" s="216"/>
      <c r="B626" s="340"/>
      <c r="C626" s="341"/>
      <c r="D626" s="342"/>
      <c r="E626" s="333"/>
      <c r="F626" s="162"/>
      <c r="G626" s="218"/>
      <c r="H626" s="218"/>
      <c r="I626" s="176"/>
      <c r="J626" s="177"/>
      <c r="K626" s="177"/>
      <c r="L626" s="177"/>
      <c r="M626" s="165"/>
      <c r="N626" s="176"/>
      <c r="O626" s="176"/>
      <c r="P626" s="178"/>
      <c r="Q626" s="105"/>
      <c r="R626" s="339"/>
      <c r="S626" s="105"/>
    </row>
    <row r="627" spans="1:19" ht="29.25" customHeight="1">
      <c r="A627" s="216"/>
      <c r="B627" s="340"/>
      <c r="C627" s="341"/>
      <c r="D627" s="342"/>
      <c r="E627" s="343"/>
      <c r="F627" s="162"/>
      <c r="G627" s="218"/>
      <c r="H627" s="218"/>
      <c r="I627" s="176"/>
      <c r="J627" s="177"/>
      <c r="K627" s="177"/>
      <c r="L627" s="177"/>
      <c r="M627" s="165"/>
      <c r="N627" s="176"/>
      <c r="O627" s="176"/>
      <c r="P627" s="178"/>
      <c r="Q627" s="105"/>
      <c r="R627" s="344"/>
      <c r="S627" s="105"/>
    </row>
    <row r="628" spans="1:19" ht="29.25" customHeight="1">
      <c r="A628" s="216"/>
      <c r="B628" s="340"/>
      <c r="C628" s="341"/>
      <c r="D628" s="342"/>
      <c r="E628" s="333"/>
      <c r="F628" s="162"/>
      <c r="G628" s="218"/>
      <c r="H628" s="218"/>
      <c r="I628" s="176"/>
      <c r="J628" s="177"/>
      <c r="K628" s="177"/>
      <c r="L628" s="177"/>
      <c r="M628" s="165"/>
      <c r="N628" s="176"/>
      <c r="O628" s="176"/>
      <c r="P628" s="178"/>
      <c r="Q628" s="105"/>
      <c r="R628" s="339"/>
      <c r="S628" s="105"/>
    </row>
    <row r="629" spans="1:19" ht="29.25" customHeight="1">
      <c r="A629" s="216"/>
      <c r="B629" s="340"/>
      <c r="C629" s="341"/>
      <c r="D629" s="342"/>
      <c r="E629" s="343"/>
      <c r="F629" s="162"/>
      <c r="G629" s="218"/>
      <c r="H629" s="218"/>
      <c r="I629" s="176"/>
      <c r="J629" s="177"/>
      <c r="K629" s="177"/>
      <c r="L629" s="177"/>
      <c r="M629" s="165"/>
      <c r="N629" s="176"/>
      <c r="O629" s="176"/>
      <c r="P629" s="178"/>
      <c r="Q629" s="105"/>
      <c r="R629" s="344"/>
      <c r="S629" s="105"/>
    </row>
    <row r="630" spans="1:19" ht="29.25" customHeight="1">
      <c r="A630" s="216"/>
      <c r="B630" s="340"/>
      <c r="C630" s="341"/>
      <c r="D630" s="342"/>
      <c r="E630" s="333"/>
      <c r="F630" s="162"/>
      <c r="G630" s="218"/>
      <c r="H630" s="218"/>
      <c r="I630" s="176"/>
      <c r="J630" s="177"/>
      <c r="K630" s="177"/>
      <c r="L630" s="177"/>
      <c r="M630" s="165"/>
      <c r="N630" s="176"/>
      <c r="O630" s="176"/>
      <c r="P630" s="178"/>
      <c r="Q630" s="105"/>
      <c r="R630" s="339"/>
      <c r="S630" s="105"/>
    </row>
    <row r="631" spans="1:19" ht="29.25" customHeight="1">
      <c r="A631" s="216"/>
      <c r="B631" s="340"/>
      <c r="C631" s="341"/>
      <c r="D631" s="342"/>
      <c r="E631" s="343"/>
      <c r="F631" s="162"/>
      <c r="G631" s="218"/>
      <c r="H631" s="218"/>
      <c r="I631" s="176"/>
      <c r="J631" s="177"/>
      <c r="K631" s="177"/>
      <c r="L631" s="177"/>
      <c r="M631" s="165"/>
      <c r="N631" s="176"/>
      <c r="O631" s="176"/>
      <c r="P631" s="178"/>
      <c r="Q631" s="105"/>
      <c r="R631" s="344"/>
      <c r="S631" s="105"/>
    </row>
    <row r="632" spans="1:19" ht="29.25" customHeight="1">
      <c r="A632" s="216"/>
      <c r="B632" s="340"/>
      <c r="C632" s="341"/>
      <c r="D632" s="342"/>
      <c r="E632" s="333"/>
      <c r="F632" s="162"/>
      <c r="G632" s="218"/>
      <c r="H632" s="218"/>
      <c r="I632" s="176"/>
      <c r="J632" s="177"/>
      <c r="K632" s="177"/>
      <c r="L632" s="177"/>
      <c r="M632" s="165"/>
      <c r="N632" s="176"/>
      <c r="O632" s="176"/>
      <c r="P632" s="178"/>
      <c r="Q632" s="105"/>
      <c r="R632" s="339"/>
      <c r="S632" s="105"/>
    </row>
    <row r="633" spans="1:19" ht="29.25" customHeight="1">
      <c r="A633" s="216"/>
      <c r="B633" s="340"/>
      <c r="C633" s="341"/>
      <c r="D633" s="342"/>
      <c r="E633" s="343"/>
      <c r="F633" s="162"/>
      <c r="G633" s="218"/>
      <c r="H633" s="218"/>
      <c r="I633" s="176"/>
      <c r="J633" s="177"/>
      <c r="K633" s="177"/>
      <c r="L633" s="177"/>
      <c r="M633" s="165"/>
      <c r="N633" s="176"/>
      <c r="O633" s="176"/>
      <c r="P633" s="178"/>
      <c r="Q633" s="105"/>
      <c r="R633" s="344"/>
      <c r="S633" s="105"/>
    </row>
    <row r="634" spans="1:19" ht="29.25" customHeight="1">
      <c r="A634" s="216"/>
      <c r="B634" s="340"/>
      <c r="C634" s="341"/>
      <c r="D634" s="342"/>
      <c r="E634" s="333"/>
      <c r="F634" s="162"/>
      <c r="G634" s="218"/>
      <c r="H634" s="218"/>
      <c r="I634" s="176"/>
      <c r="J634" s="177"/>
      <c r="K634" s="177"/>
      <c r="L634" s="177"/>
      <c r="M634" s="165"/>
      <c r="N634" s="176"/>
      <c r="O634" s="176"/>
      <c r="P634" s="178"/>
      <c r="Q634" s="105"/>
      <c r="R634" s="339"/>
      <c r="S634" s="105"/>
    </row>
    <row r="635" spans="1:19" ht="29.25" customHeight="1">
      <c r="A635" s="216"/>
      <c r="B635" s="340"/>
      <c r="C635" s="341"/>
      <c r="D635" s="342"/>
      <c r="E635" s="343"/>
      <c r="F635" s="162"/>
      <c r="G635" s="218"/>
      <c r="H635" s="218"/>
      <c r="I635" s="176"/>
      <c r="J635" s="177"/>
      <c r="K635" s="177"/>
      <c r="L635" s="177"/>
      <c r="M635" s="165"/>
      <c r="N635" s="176"/>
      <c r="O635" s="176"/>
      <c r="P635" s="178"/>
      <c r="Q635" s="105"/>
      <c r="R635" s="344"/>
      <c r="S635" s="105"/>
    </row>
    <row r="636" spans="1:19" ht="29.25" customHeight="1">
      <c r="A636" s="216"/>
      <c r="B636" s="340"/>
      <c r="C636" s="341"/>
      <c r="D636" s="342"/>
      <c r="E636" s="333"/>
      <c r="F636" s="162"/>
      <c r="G636" s="218"/>
      <c r="H636" s="218"/>
      <c r="I636" s="176"/>
      <c r="J636" s="177"/>
      <c r="K636" s="177"/>
      <c r="L636" s="177"/>
      <c r="M636" s="165"/>
      <c r="N636" s="176"/>
      <c r="O636" s="176"/>
      <c r="P636" s="178"/>
      <c r="Q636" s="105"/>
      <c r="R636" s="339"/>
      <c r="S636" s="105"/>
    </row>
    <row r="637" spans="1:19" ht="29.25" customHeight="1">
      <c r="A637" s="216"/>
      <c r="B637" s="340"/>
      <c r="C637" s="341"/>
      <c r="D637" s="342"/>
      <c r="E637" s="343"/>
      <c r="F637" s="162"/>
      <c r="G637" s="218"/>
      <c r="H637" s="218"/>
      <c r="I637" s="176"/>
      <c r="J637" s="177"/>
      <c r="K637" s="177"/>
      <c r="L637" s="177"/>
      <c r="M637" s="165"/>
      <c r="N637" s="176"/>
      <c r="O637" s="176"/>
      <c r="P637" s="178"/>
      <c r="Q637" s="105"/>
      <c r="R637" s="344"/>
      <c r="S637" s="105"/>
    </row>
    <row r="638" spans="1:19" ht="29.25" customHeight="1">
      <c r="A638" s="216"/>
      <c r="B638" s="340"/>
      <c r="C638" s="341"/>
      <c r="D638" s="342"/>
      <c r="E638" s="333"/>
      <c r="F638" s="162"/>
      <c r="G638" s="218"/>
      <c r="H638" s="218"/>
      <c r="I638" s="176"/>
      <c r="J638" s="177"/>
      <c r="K638" s="177"/>
      <c r="L638" s="177"/>
      <c r="M638" s="165"/>
      <c r="N638" s="176"/>
      <c r="O638" s="176"/>
      <c r="P638" s="178"/>
      <c r="Q638" s="105"/>
      <c r="R638" s="339"/>
      <c r="S638" s="105"/>
    </row>
    <row r="639" spans="1:19" ht="29.25" customHeight="1">
      <c r="A639" s="216"/>
      <c r="B639" s="340"/>
      <c r="C639" s="341"/>
      <c r="D639" s="342"/>
      <c r="E639" s="343"/>
      <c r="F639" s="162"/>
      <c r="G639" s="218"/>
      <c r="H639" s="218"/>
      <c r="I639" s="176"/>
      <c r="J639" s="177"/>
      <c r="K639" s="177"/>
      <c r="L639" s="177"/>
      <c r="M639" s="165"/>
      <c r="N639" s="176"/>
      <c r="O639" s="176"/>
      <c r="P639" s="178"/>
      <c r="Q639" s="105"/>
      <c r="R639" s="344"/>
      <c r="S639" s="105"/>
    </row>
    <row r="640" spans="1:19" ht="29.25" customHeight="1">
      <c r="A640" s="216"/>
      <c r="B640" s="340"/>
      <c r="C640" s="341"/>
      <c r="D640" s="342"/>
      <c r="E640" s="333"/>
      <c r="F640" s="162"/>
      <c r="G640" s="218"/>
      <c r="H640" s="218"/>
      <c r="I640" s="176"/>
      <c r="J640" s="177"/>
      <c r="K640" s="177"/>
      <c r="L640" s="177"/>
      <c r="M640" s="165"/>
      <c r="N640" s="176"/>
      <c r="O640" s="176"/>
      <c r="P640" s="178"/>
      <c r="Q640" s="105"/>
      <c r="R640" s="339"/>
      <c r="S640" s="105"/>
    </row>
    <row r="641" spans="1:19" ht="29.25" customHeight="1">
      <c r="A641" s="216"/>
      <c r="B641" s="340"/>
      <c r="C641" s="341"/>
      <c r="D641" s="342"/>
      <c r="E641" s="343"/>
      <c r="F641" s="162"/>
      <c r="G641" s="218"/>
      <c r="H641" s="218"/>
      <c r="I641" s="176"/>
      <c r="J641" s="177"/>
      <c r="K641" s="177"/>
      <c r="L641" s="177"/>
      <c r="M641" s="165"/>
      <c r="N641" s="176"/>
      <c r="O641" s="176"/>
      <c r="P641" s="178"/>
      <c r="Q641" s="105"/>
      <c r="R641" s="344"/>
      <c r="S641" s="105"/>
    </row>
    <row r="642" spans="1:19" ht="29.25" customHeight="1">
      <c r="A642" s="216"/>
      <c r="B642" s="340"/>
      <c r="C642" s="341"/>
      <c r="D642" s="342"/>
      <c r="E642" s="333"/>
      <c r="F642" s="162"/>
      <c r="G642" s="218"/>
      <c r="H642" s="218"/>
      <c r="I642" s="176"/>
      <c r="J642" s="177"/>
      <c r="K642" s="177"/>
      <c r="L642" s="177"/>
      <c r="M642" s="165"/>
      <c r="N642" s="176"/>
      <c r="O642" s="176"/>
      <c r="P642" s="178"/>
      <c r="Q642" s="105"/>
      <c r="R642" s="339"/>
      <c r="S642" s="105"/>
    </row>
    <row r="643" spans="1:19" ht="29.25" customHeight="1">
      <c r="A643" s="216"/>
      <c r="B643" s="340"/>
      <c r="C643" s="341"/>
      <c r="D643" s="342"/>
      <c r="E643" s="343"/>
      <c r="F643" s="162"/>
      <c r="G643" s="218"/>
      <c r="H643" s="218"/>
      <c r="I643" s="176"/>
      <c r="J643" s="177"/>
      <c r="K643" s="177"/>
      <c r="L643" s="177"/>
      <c r="M643" s="165"/>
      <c r="N643" s="176"/>
      <c r="O643" s="176"/>
      <c r="P643" s="178"/>
      <c r="Q643" s="105"/>
      <c r="R643" s="344"/>
      <c r="S643" s="105"/>
    </row>
    <row r="644" spans="1:19" ht="29.25" customHeight="1">
      <c r="A644" s="216"/>
      <c r="B644" s="340"/>
      <c r="C644" s="341"/>
      <c r="D644" s="342"/>
      <c r="E644" s="333"/>
      <c r="F644" s="162"/>
      <c r="G644" s="218"/>
      <c r="H644" s="218"/>
      <c r="I644" s="176"/>
      <c r="J644" s="177"/>
      <c r="K644" s="177"/>
      <c r="L644" s="177"/>
      <c r="M644" s="165"/>
      <c r="N644" s="176"/>
      <c r="O644" s="176"/>
      <c r="P644" s="178"/>
      <c r="Q644" s="105"/>
      <c r="R644" s="339"/>
      <c r="S644" s="105"/>
    </row>
    <row r="645" spans="1:19" ht="29.25" customHeight="1">
      <c r="A645" s="216"/>
      <c r="B645" s="340"/>
      <c r="C645" s="341"/>
      <c r="D645" s="342"/>
      <c r="E645" s="343"/>
      <c r="F645" s="162"/>
      <c r="G645" s="218"/>
      <c r="H645" s="218"/>
      <c r="I645" s="176"/>
      <c r="J645" s="177"/>
      <c r="K645" s="177"/>
      <c r="L645" s="177"/>
      <c r="M645" s="165"/>
      <c r="N645" s="176"/>
      <c r="O645" s="176"/>
      <c r="P645" s="178"/>
      <c r="Q645" s="105"/>
      <c r="R645" s="344"/>
      <c r="S645" s="105"/>
    </row>
    <row r="646" spans="1:19" ht="29.25" customHeight="1">
      <c r="A646" s="216"/>
      <c r="B646" s="340"/>
      <c r="C646" s="341"/>
      <c r="D646" s="342"/>
      <c r="E646" s="333"/>
      <c r="F646" s="162"/>
      <c r="G646" s="218"/>
      <c r="H646" s="218"/>
      <c r="I646" s="176"/>
      <c r="J646" s="177"/>
      <c r="K646" s="177"/>
      <c r="L646" s="177"/>
      <c r="M646" s="165"/>
      <c r="N646" s="176"/>
      <c r="O646" s="176"/>
      <c r="P646" s="178"/>
      <c r="Q646" s="105"/>
      <c r="R646" s="339"/>
      <c r="S646" s="105"/>
    </row>
    <row r="647" spans="1:19" ht="29.25" customHeight="1">
      <c r="A647" s="216"/>
      <c r="B647" s="340"/>
      <c r="C647" s="341"/>
      <c r="D647" s="342"/>
      <c r="E647" s="343"/>
      <c r="F647" s="162"/>
      <c r="G647" s="218"/>
      <c r="H647" s="218"/>
      <c r="I647" s="176"/>
      <c r="J647" s="177"/>
      <c r="K647" s="177"/>
      <c r="L647" s="177"/>
      <c r="M647" s="165"/>
      <c r="N647" s="176"/>
      <c r="O647" s="176"/>
      <c r="P647" s="178"/>
      <c r="Q647" s="105"/>
      <c r="R647" s="344"/>
      <c r="S647" s="105"/>
    </row>
    <row r="648" spans="1:19" ht="29.25" customHeight="1">
      <c r="A648" s="216"/>
      <c r="B648" s="340"/>
      <c r="C648" s="341"/>
      <c r="D648" s="342"/>
      <c r="E648" s="333"/>
      <c r="F648" s="162"/>
      <c r="G648" s="218"/>
      <c r="H648" s="218"/>
      <c r="I648" s="176"/>
      <c r="J648" s="177"/>
      <c r="K648" s="177"/>
      <c r="L648" s="177"/>
      <c r="M648" s="165"/>
      <c r="N648" s="176"/>
      <c r="O648" s="176"/>
      <c r="P648" s="178"/>
      <c r="Q648" s="105"/>
      <c r="R648" s="339"/>
      <c r="S648" s="105"/>
    </row>
    <row r="649" spans="1:19" ht="29.25" customHeight="1">
      <c r="A649" s="216"/>
      <c r="B649" s="340"/>
      <c r="C649" s="341"/>
      <c r="D649" s="342"/>
      <c r="E649" s="343"/>
      <c r="F649" s="162"/>
      <c r="G649" s="218"/>
      <c r="H649" s="218"/>
      <c r="I649" s="176"/>
      <c r="J649" s="177"/>
      <c r="K649" s="177"/>
      <c r="L649" s="177"/>
      <c r="M649" s="165"/>
      <c r="N649" s="176"/>
      <c r="O649" s="176"/>
      <c r="P649" s="178"/>
      <c r="Q649" s="105"/>
      <c r="R649" s="344"/>
      <c r="S649" s="105"/>
    </row>
    <row r="650" spans="1:19" ht="29.25" customHeight="1">
      <c r="A650" s="216"/>
      <c r="B650" s="340"/>
      <c r="C650" s="341"/>
      <c r="D650" s="342"/>
      <c r="E650" s="333"/>
      <c r="F650" s="162"/>
      <c r="G650" s="218"/>
      <c r="H650" s="218"/>
      <c r="I650" s="176"/>
      <c r="J650" s="177"/>
      <c r="K650" s="177"/>
      <c r="L650" s="177"/>
      <c r="M650" s="165"/>
      <c r="N650" s="176"/>
      <c r="O650" s="176"/>
      <c r="P650" s="178"/>
      <c r="Q650" s="105"/>
      <c r="R650" s="339"/>
      <c r="S650" s="105"/>
    </row>
    <row r="651" spans="1:19" ht="29.25" customHeight="1">
      <c r="A651" s="216"/>
      <c r="B651" s="340"/>
      <c r="C651" s="341"/>
      <c r="D651" s="342"/>
      <c r="E651" s="343"/>
      <c r="F651" s="162"/>
      <c r="G651" s="218"/>
      <c r="H651" s="218"/>
      <c r="I651" s="176"/>
      <c r="J651" s="177"/>
      <c r="K651" s="177"/>
      <c r="L651" s="177"/>
      <c r="M651" s="165"/>
      <c r="N651" s="176"/>
      <c r="O651" s="176"/>
      <c r="P651" s="178"/>
      <c r="Q651" s="105"/>
      <c r="R651" s="344"/>
      <c r="S651" s="105"/>
    </row>
    <row r="652" spans="1:19" ht="29.25" customHeight="1">
      <c r="A652" s="216"/>
      <c r="B652" s="340"/>
      <c r="C652" s="341"/>
      <c r="D652" s="342"/>
      <c r="E652" s="333"/>
      <c r="F652" s="162"/>
      <c r="G652" s="218"/>
      <c r="H652" s="218"/>
      <c r="I652" s="176"/>
      <c r="J652" s="177"/>
      <c r="K652" s="177"/>
      <c r="L652" s="177"/>
      <c r="M652" s="165"/>
      <c r="N652" s="176"/>
      <c r="O652" s="176"/>
      <c r="P652" s="178"/>
      <c r="Q652" s="105"/>
      <c r="R652" s="339"/>
      <c r="S652" s="105"/>
    </row>
    <row r="653" spans="1:19" ht="29.25" customHeight="1">
      <c r="A653" s="216"/>
      <c r="B653" s="340"/>
      <c r="C653" s="341"/>
      <c r="D653" s="342"/>
      <c r="E653" s="343"/>
      <c r="F653" s="162"/>
      <c r="G653" s="218"/>
      <c r="H653" s="218"/>
      <c r="I653" s="176"/>
      <c r="J653" s="177"/>
      <c r="K653" s="177"/>
      <c r="L653" s="177"/>
      <c r="M653" s="165"/>
      <c r="N653" s="176"/>
      <c r="O653" s="176"/>
      <c r="P653" s="178"/>
      <c r="Q653" s="105"/>
      <c r="R653" s="344"/>
      <c r="S653" s="105"/>
    </row>
    <row r="654" spans="1:19" ht="29.25" customHeight="1">
      <c r="A654" s="216"/>
      <c r="B654" s="340"/>
      <c r="C654" s="341"/>
      <c r="D654" s="342"/>
      <c r="E654" s="333"/>
      <c r="F654" s="162"/>
      <c r="G654" s="218"/>
      <c r="H654" s="218"/>
      <c r="I654" s="176"/>
      <c r="J654" s="177"/>
      <c r="K654" s="177"/>
      <c r="L654" s="177"/>
      <c r="M654" s="165"/>
      <c r="N654" s="176"/>
      <c r="O654" s="176"/>
      <c r="P654" s="178"/>
      <c r="Q654" s="105"/>
      <c r="R654" s="339"/>
      <c r="S654" s="105"/>
    </row>
    <row r="655" spans="1:19" ht="29.25" customHeight="1">
      <c r="A655" s="216"/>
      <c r="B655" s="340"/>
      <c r="C655" s="341"/>
      <c r="D655" s="342"/>
      <c r="E655" s="343"/>
      <c r="F655" s="162"/>
      <c r="G655" s="218"/>
      <c r="H655" s="218"/>
      <c r="I655" s="176"/>
      <c r="J655" s="177"/>
      <c r="K655" s="177"/>
      <c r="L655" s="177"/>
      <c r="M655" s="165"/>
      <c r="N655" s="176"/>
      <c r="O655" s="176"/>
      <c r="P655" s="178"/>
      <c r="Q655" s="105"/>
      <c r="R655" s="344"/>
      <c r="S655" s="105"/>
    </row>
    <row r="656" spans="1:19" ht="29.25" customHeight="1">
      <c r="A656" s="216"/>
      <c r="B656" s="340"/>
      <c r="C656" s="341"/>
      <c r="D656" s="342"/>
      <c r="E656" s="333"/>
      <c r="F656" s="162"/>
      <c r="G656" s="218"/>
      <c r="H656" s="218"/>
      <c r="I656" s="176"/>
      <c r="J656" s="177"/>
      <c r="K656" s="177"/>
      <c r="L656" s="177"/>
      <c r="M656" s="165"/>
      <c r="N656" s="176"/>
      <c r="O656" s="176"/>
      <c r="P656" s="178"/>
      <c r="Q656" s="105"/>
      <c r="R656" s="339"/>
      <c r="S656" s="105"/>
    </row>
    <row r="657" spans="1:19" ht="29.25" customHeight="1">
      <c r="A657" s="216"/>
      <c r="B657" s="340"/>
      <c r="C657" s="341"/>
      <c r="D657" s="342"/>
      <c r="E657" s="343"/>
      <c r="F657" s="162"/>
      <c r="G657" s="218"/>
      <c r="H657" s="218"/>
      <c r="I657" s="176"/>
      <c r="J657" s="177"/>
      <c r="K657" s="177"/>
      <c r="L657" s="177"/>
      <c r="M657" s="165"/>
      <c r="N657" s="176"/>
      <c r="O657" s="176"/>
      <c r="P657" s="178"/>
      <c r="Q657" s="105"/>
      <c r="R657" s="344"/>
      <c r="S657" s="105"/>
    </row>
    <row r="658" spans="1:19" ht="29.25" customHeight="1">
      <c r="A658" s="216"/>
      <c r="B658" s="340"/>
      <c r="C658" s="341"/>
      <c r="D658" s="342"/>
      <c r="E658" s="333"/>
      <c r="F658" s="162"/>
      <c r="G658" s="218"/>
      <c r="H658" s="218"/>
      <c r="I658" s="176"/>
      <c r="J658" s="177"/>
      <c r="K658" s="177"/>
      <c r="L658" s="177"/>
      <c r="M658" s="165"/>
      <c r="N658" s="176"/>
      <c r="O658" s="176"/>
      <c r="P658" s="178"/>
      <c r="Q658" s="105"/>
      <c r="R658" s="339"/>
      <c r="S658" s="105"/>
    </row>
    <row r="659" spans="1:19" ht="29.25" customHeight="1">
      <c r="A659" s="216"/>
      <c r="B659" s="340"/>
      <c r="C659" s="341"/>
      <c r="D659" s="342"/>
      <c r="E659" s="343"/>
      <c r="F659" s="162"/>
      <c r="G659" s="218"/>
      <c r="H659" s="218"/>
      <c r="I659" s="176"/>
      <c r="J659" s="177"/>
      <c r="K659" s="177"/>
      <c r="L659" s="177"/>
      <c r="M659" s="165"/>
      <c r="N659" s="176"/>
      <c r="O659" s="176"/>
      <c r="P659" s="178"/>
      <c r="Q659" s="105"/>
      <c r="R659" s="344"/>
      <c r="S659" s="105"/>
    </row>
    <row r="660" spans="1:19" ht="29.25" customHeight="1">
      <c r="A660" s="216"/>
      <c r="B660" s="340"/>
      <c r="C660" s="341"/>
      <c r="D660" s="342"/>
      <c r="E660" s="333"/>
      <c r="F660" s="162"/>
      <c r="G660" s="218"/>
      <c r="H660" s="218"/>
      <c r="I660" s="176"/>
      <c r="J660" s="177"/>
      <c r="K660" s="177"/>
      <c r="L660" s="177"/>
      <c r="M660" s="165"/>
      <c r="N660" s="176"/>
      <c r="O660" s="176"/>
      <c r="P660" s="178"/>
      <c r="Q660" s="105"/>
      <c r="R660" s="339"/>
      <c r="S660" s="105"/>
    </row>
    <row r="661" spans="1:19" ht="29.25" customHeight="1">
      <c r="A661" s="216"/>
      <c r="B661" s="340"/>
      <c r="C661" s="341"/>
      <c r="D661" s="342"/>
      <c r="E661" s="343"/>
      <c r="F661" s="162"/>
      <c r="G661" s="218"/>
      <c r="H661" s="218"/>
      <c r="I661" s="176"/>
      <c r="J661" s="177"/>
      <c r="K661" s="177"/>
      <c r="L661" s="177"/>
      <c r="M661" s="165"/>
      <c r="N661" s="176"/>
      <c r="O661" s="176"/>
      <c r="P661" s="178"/>
      <c r="Q661" s="105"/>
      <c r="R661" s="344"/>
      <c r="S661" s="105"/>
    </row>
    <row r="662" spans="1:19" ht="29.25" customHeight="1">
      <c r="A662" s="216"/>
      <c r="B662" s="340"/>
      <c r="C662" s="341"/>
      <c r="D662" s="342"/>
      <c r="E662" s="333"/>
      <c r="F662" s="162"/>
      <c r="G662" s="218"/>
      <c r="H662" s="218"/>
      <c r="I662" s="176"/>
      <c r="J662" s="177"/>
      <c r="K662" s="177"/>
      <c r="L662" s="177"/>
      <c r="M662" s="165"/>
      <c r="N662" s="176"/>
      <c r="O662" s="176"/>
      <c r="P662" s="178"/>
      <c r="Q662" s="105"/>
      <c r="R662" s="339"/>
      <c r="S662" s="105"/>
    </row>
    <row r="663" spans="1:19" ht="29.25" customHeight="1">
      <c r="A663" s="216"/>
      <c r="B663" s="340"/>
      <c r="C663" s="341"/>
      <c r="D663" s="342"/>
      <c r="E663" s="343"/>
      <c r="F663" s="162"/>
      <c r="G663" s="218"/>
      <c r="H663" s="218"/>
      <c r="I663" s="176"/>
      <c r="J663" s="177"/>
      <c r="K663" s="177"/>
      <c r="L663" s="177"/>
      <c r="M663" s="165"/>
      <c r="N663" s="176"/>
      <c r="O663" s="176"/>
      <c r="P663" s="178"/>
      <c r="Q663" s="105"/>
      <c r="R663" s="344"/>
      <c r="S663" s="105"/>
    </row>
    <row r="664" spans="1:19" ht="29.25" customHeight="1">
      <c r="A664" s="216"/>
      <c r="B664" s="340"/>
      <c r="C664" s="341"/>
      <c r="D664" s="342"/>
      <c r="E664" s="333"/>
      <c r="F664" s="162"/>
      <c r="G664" s="218"/>
      <c r="H664" s="218"/>
      <c r="I664" s="176"/>
      <c r="J664" s="177"/>
      <c r="K664" s="177"/>
      <c r="L664" s="177"/>
      <c r="M664" s="165"/>
      <c r="N664" s="176"/>
      <c r="O664" s="176"/>
      <c r="P664" s="178"/>
      <c r="Q664" s="105"/>
      <c r="R664" s="339"/>
      <c r="S664" s="105"/>
    </row>
    <row r="665" spans="1:19" ht="29.25" customHeight="1">
      <c r="A665" s="216"/>
      <c r="B665" s="340"/>
      <c r="C665" s="341"/>
      <c r="D665" s="342"/>
      <c r="E665" s="343"/>
      <c r="F665" s="162"/>
      <c r="G665" s="218"/>
      <c r="H665" s="218"/>
      <c r="I665" s="176"/>
      <c r="J665" s="177"/>
      <c r="K665" s="177"/>
      <c r="L665" s="177"/>
      <c r="M665" s="165"/>
      <c r="N665" s="176"/>
      <c r="O665" s="176"/>
      <c r="P665" s="178"/>
      <c r="Q665" s="105"/>
      <c r="R665" s="344"/>
      <c r="S665" s="105"/>
    </row>
    <row r="666" spans="1:19" ht="29.25" customHeight="1">
      <c r="A666" s="216"/>
      <c r="B666" s="340"/>
      <c r="C666" s="341"/>
      <c r="D666" s="342"/>
      <c r="E666" s="333"/>
      <c r="F666" s="162"/>
      <c r="G666" s="218"/>
      <c r="H666" s="218"/>
      <c r="I666" s="176"/>
      <c r="J666" s="177"/>
      <c r="K666" s="177"/>
      <c r="L666" s="177"/>
      <c r="M666" s="165"/>
      <c r="N666" s="176"/>
      <c r="O666" s="176"/>
      <c r="P666" s="178"/>
      <c r="Q666" s="105"/>
      <c r="R666" s="339"/>
      <c r="S666" s="105"/>
    </row>
    <row r="667" spans="1:19" ht="29.25" customHeight="1">
      <c r="A667" s="216"/>
      <c r="B667" s="340"/>
      <c r="C667" s="341"/>
      <c r="D667" s="342"/>
      <c r="E667" s="343"/>
      <c r="F667" s="162"/>
      <c r="G667" s="218"/>
      <c r="H667" s="218"/>
      <c r="I667" s="176"/>
      <c r="J667" s="177"/>
      <c r="K667" s="177"/>
      <c r="L667" s="177"/>
      <c r="M667" s="165"/>
      <c r="N667" s="176"/>
      <c r="O667" s="176"/>
      <c r="P667" s="178"/>
      <c r="Q667" s="105"/>
      <c r="R667" s="344"/>
      <c r="S667" s="105"/>
    </row>
    <row r="668" spans="1:19" ht="29.25" customHeight="1">
      <c r="A668" s="216"/>
      <c r="B668" s="340"/>
      <c r="C668" s="341"/>
      <c r="D668" s="342"/>
      <c r="E668" s="333"/>
      <c r="F668" s="162"/>
      <c r="G668" s="218"/>
      <c r="H668" s="218"/>
      <c r="I668" s="176"/>
      <c r="J668" s="177"/>
      <c r="K668" s="177"/>
      <c r="L668" s="177"/>
      <c r="M668" s="165"/>
      <c r="N668" s="176"/>
      <c r="O668" s="176"/>
      <c r="P668" s="178"/>
      <c r="Q668" s="105"/>
      <c r="R668" s="339"/>
      <c r="S668" s="105"/>
    </row>
    <row r="669" spans="1:19" ht="29.25" customHeight="1">
      <c r="A669" s="216"/>
      <c r="B669" s="340"/>
      <c r="C669" s="341"/>
      <c r="D669" s="342"/>
      <c r="E669" s="343"/>
      <c r="F669" s="162"/>
      <c r="G669" s="218"/>
      <c r="H669" s="218"/>
      <c r="I669" s="176"/>
      <c r="J669" s="177"/>
      <c r="K669" s="177"/>
      <c r="L669" s="177"/>
      <c r="M669" s="165"/>
      <c r="N669" s="176"/>
      <c r="O669" s="176"/>
      <c r="P669" s="178"/>
      <c r="Q669" s="105"/>
      <c r="R669" s="344"/>
      <c r="S669" s="105"/>
    </row>
    <row r="670" spans="1:19" ht="29.25" customHeight="1">
      <c r="A670" s="216"/>
      <c r="B670" s="340"/>
      <c r="C670" s="341"/>
      <c r="D670" s="342"/>
      <c r="E670" s="333"/>
      <c r="F670" s="162"/>
      <c r="G670" s="218"/>
      <c r="H670" s="218"/>
      <c r="I670" s="176"/>
      <c r="J670" s="177"/>
      <c r="K670" s="177"/>
      <c r="L670" s="177"/>
      <c r="M670" s="165"/>
      <c r="N670" s="176"/>
      <c r="O670" s="176"/>
      <c r="P670" s="178"/>
      <c r="Q670" s="105"/>
      <c r="R670" s="339"/>
      <c r="S670" s="105"/>
    </row>
    <row r="671" spans="1:19" ht="29.25" customHeight="1">
      <c r="A671" s="216"/>
      <c r="B671" s="340"/>
      <c r="C671" s="341"/>
      <c r="D671" s="342"/>
      <c r="E671" s="343"/>
      <c r="F671" s="162"/>
      <c r="G671" s="218"/>
      <c r="H671" s="218"/>
      <c r="I671" s="176"/>
      <c r="J671" s="177"/>
      <c r="K671" s="177"/>
      <c r="L671" s="177"/>
      <c r="M671" s="165"/>
      <c r="N671" s="176"/>
      <c r="O671" s="176"/>
      <c r="P671" s="178"/>
      <c r="Q671" s="105"/>
      <c r="R671" s="344"/>
      <c r="S671" s="105"/>
    </row>
    <row r="672" spans="1:19" ht="29.25" customHeight="1">
      <c r="A672" s="216"/>
      <c r="B672" s="340"/>
      <c r="C672" s="341"/>
      <c r="D672" s="342"/>
      <c r="E672" s="333"/>
      <c r="F672" s="162"/>
      <c r="G672" s="218"/>
      <c r="H672" s="218"/>
      <c r="I672" s="176"/>
      <c r="J672" s="177"/>
      <c r="K672" s="177"/>
      <c r="L672" s="177"/>
      <c r="M672" s="165"/>
      <c r="N672" s="176"/>
      <c r="O672" s="176"/>
      <c r="P672" s="178"/>
      <c r="Q672" s="105"/>
      <c r="R672" s="339"/>
      <c r="S672" s="105"/>
    </row>
    <row r="673" spans="1:19" ht="29.25" customHeight="1">
      <c r="A673" s="216"/>
      <c r="B673" s="340"/>
      <c r="C673" s="341"/>
      <c r="D673" s="342"/>
      <c r="E673" s="343"/>
      <c r="F673" s="162"/>
      <c r="G673" s="218"/>
      <c r="H673" s="218"/>
      <c r="I673" s="176"/>
      <c r="J673" s="177"/>
      <c r="K673" s="177"/>
      <c r="L673" s="177"/>
      <c r="M673" s="165"/>
      <c r="N673" s="176"/>
      <c r="O673" s="176"/>
      <c r="P673" s="178"/>
      <c r="Q673" s="105"/>
      <c r="R673" s="344"/>
      <c r="S673" s="105"/>
    </row>
    <row r="674" spans="1:19" ht="29.25" customHeight="1">
      <c r="A674" s="216"/>
      <c r="B674" s="340"/>
      <c r="C674" s="341"/>
      <c r="D674" s="342"/>
      <c r="E674" s="333"/>
      <c r="F674" s="162"/>
      <c r="G674" s="218"/>
      <c r="H674" s="218"/>
      <c r="I674" s="176"/>
      <c r="J674" s="177"/>
      <c r="K674" s="177"/>
      <c r="L674" s="177"/>
      <c r="M674" s="165"/>
      <c r="N674" s="176"/>
      <c r="O674" s="176"/>
      <c r="P674" s="178"/>
      <c r="Q674" s="105"/>
      <c r="R674" s="339"/>
      <c r="S674" s="105"/>
    </row>
    <row r="675" spans="1:19" ht="29.25" customHeight="1">
      <c r="A675" s="216"/>
      <c r="B675" s="340"/>
      <c r="C675" s="341"/>
      <c r="D675" s="342"/>
      <c r="E675" s="343"/>
      <c r="F675" s="162"/>
      <c r="G675" s="218"/>
      <c r="H675" s="218"/>
      <c r="I675" s="176"/>
      <c r="J675" s="177"/>
      <c r="K675" s="177"/>
      <c r="L675" s="177"/>
      <c r="M675" s="165"/>
      <c r="N675" s="176"/>
      <c r="O675" s="176"/>
      <c r="P675" s="178"/>
      <c r="Q675" s="105"/>
      <c r="R675" s="344"/>
      <c r="S675" s="105"/>
    </row>
    <row r="676" spans="1:19" ht="29.25" customHeight="1">
      <c r="A676" s="216"/>
      <c r="B676" s="340"/>
      <c r="C676" s="341"/>
      <c r="D676" s="342"/>
      <c r="E676" s="333"/>
      <c r="F676" s="162"/>
      <c r="G676" s="218"/>
      <c r="H676" s="218"/>
      <c r="I676" s="176"/>
      <c r="J676" s="177"/>
      <c r="K676" s="177"/>
      <c r="L676" s="177"/>
      <c r="M676" s="165"/>
      <c r="N676" s="176"/>
      <c r="O676" s="176"/>
      <c r="P676" s="178"/>
      <c r="Q676" s="105"/>
      <c r="R676" s="339"/>
      <c r="S676" s="105"/>
    </row>
    <row r="677" spans="1:19" ht="29.25" customHeight="1">
      <c r="A677" s="216"/>
      <c r="B677" s="340"/>
      <c r="C677" s="341"/>
      <c r="D677" s="342"/>
      <c r="E677" s="343"/>
      <c r="F677" s="162"/>
      <c r="G677" s="218"/>
      <c r="H677" s="218"/>
      <c r="I677" s="176"/>
      <c r="J677" s="177"/>
      <c r="K677" s="177"/>
      <c r="L677" s="177"/>
      <c r="M677" s="165"/>
      <c r="N677" s="176"/>
      <c r="O677" s="176"/>
      <c r="P677" s="178"/>
      <c r="Q677" s="105"/>
      <c r="R677" s="344"/>
      <c r="S677" s="105"/>
    </row>
    <row r="678" spans="1:19" ht="29.25" customHeight="1">
      <c r="A678" s="216"/>
      <c r="B678" s="340"/>
      <c r="C678" s="341"/>
      <c r="D678" s="342"/>
      <c r="E678" s="333"/>
      <c r="F678" s="162"/>
      <c r="G678" s="218"/>
      <c r="H678" s="218"/>
      <c r="I678" s="176"/>
      <c r="J678" s="177"/>
      <c r="K678" s="177"/>
      <c r="L678" s="177"/>
      <c r="M678" s="165"/>
      <c r="N678" s="176"/>
      <c r="O678" s="176"/>
      <c r="P678" s="178"/>
      <c r="Q678" s="105"/>
      <c r="R678" s="339"/>
      <c r="S678" s="105"/>
    </row>
    <row r="679" spans="1:19" ht="29.25" customHeight="1">
      <c r="A679" s="216"/>
      <c r="B679" s="340"/>
      <c r="C679" s="341"/>
      <c r="D679" s="342"/>
      <c r="E679" s="343"/>
      <c r="F679" s="162"/>
      <c r="G679" s="218"/>
      <c r="H679" s="218"/>
      <c r="I679" s="176"/>
      <c r="J679" s="177"/>
      <c r="K679" s="177"/>
      <c r="L679" s="177"/>
      <c r="M679" s="165"/>
      <c r="N679" s="176"/>
      <c r="O679" s="176"/>
      <c r="P679" s="178"/>
      <c r="Q679" s="105"/>
      <c r="R679" s="344"/>
      <c r="S679" s="105"/>
    </row>
    <row r="680" spans="1:19" ht="29.25" customHeight="1">
      <c r="A680" s="216"/>
      <c r="B680" s="340"/>
      <c r="C680" s="341"/>
      <c r="D680" s="342"/>
      <c r="E680" s="333"/>
      <c r="F680" s="162"/>
      <c r="G680" s="218"/>
      <c r="H680" s="218"/>
      <c r="I680" s="176"/>
      <c r="J680" s="177"/>
      <c r="K680" s="177"/>
      <c r="L680" s="177"/>
      <c r="M680" s="165"/>
      <c r="N680" s="176"/>
      <c r="O680" s="176"/>
      <c r="P680" s="178"/>
      <c r="Q680" s="105"/>
      <c r="R680" s="339"/>
      <c r="S680" s="105"/>
    </row>
    <row r="681" spans="1:19" ht="29.25" customHeight="1">
      <c r="A681" s="216"/>
      <c r="B681" s="340"/>
      <c r="C681" s="341"/>
      <c r="D681" s="342"/>
      <c r="E681" s="343"/>
      <c r="F681" s="162"/>
      <c r="G681" s="218"/>
      <c r="H681" s="218"/>
      <c r="I681" s="176"/>
      <c r="J681" s="177"/>
      <c r="K681" s="177"/>
      <c r="L681" s="177"/>
      <c r="M681" s="165"/>
      <c r="N681" s="176"/>
      <c r="O681" s="176"/>
      <c r="P681" s="178"/>
      <c r="Q681" s="105"/>
      <c r="R681" s="344"/>
      <c r="S681" s="105"/>
    </row>
    <row r="682" spans="1:19" ht="29.25" customHeight="1">
      <c r="A682" s="216"/>
      <c r="B682" s="340"/>
      <c r="C682" s="341"/>
      <c r="D682" s="342"/>
      <c r="E682" s="333"/>
      <c r="F682" s="162"/>
      <c r="G682" s="218"/>
      <c r="H682" s="218"/>
      <c r="I682" s="176"/>
      <c r="J682" s="177"/>
      <c r="K682" s="177"/>
      <c r="L682" s="177"/>
      <c r="M682" s="165"/>
      <c r="N682" s="176"/>
      <c r="O682" s="176"/>
      <c r="P682" s="178"/>
      <c r="Q682" s="105"/>
      <c r="R682" s="339"/>
      <c r="S682" s="105"/>
    </row>
    <row r="683" spans="1:19" ht="29.25" customHeight="1">
      <c r="A683" s="216"/>
      <c r="B683" s="340"/>
      <c r="C683" s="341"/>
      <c r="D683" s="342"/>
      <c r="E683" s="343"/>
      <c r="F683" s="162"/>
      <c r="G683" s="218"/>
      <c r="H683" s="218"/>
      <c r="I683" s="176"/>
      <c r="J683" s="177"/>
      <c r="K683" s="177"/>
      <c r="L683" s="177"/>
      <c r="M683" s="165"/>
      <c r="N683" s="176"/>
      <c r="O683" s="176"/>
      <c r="P683" s="178"/>
      <c r="Q683" s="105"/>
      <c r="R683" s="344"/>
      <c r="S683" s="105"/>
    </row>
    <row r="684" spans="1:19" ht="29.25" customHeight="1">
      <c r="A684" s="216"/>
      <c r="B684" s="340"/>
      <c r="C684" s="341"/>
      <c r="D684" s="342"/>
      <c r="E684" s="333"/>
      <c r="F684" s="162"/>
      <c r="G684" s="218"/>
      <c r="H684" s="218"/>
      <c r="I684" s="176"/>
      <c r="J684" s="177"/>
      <c r="K684" s="177"/>
      <c r="L684" s="177"/>
      <c r="M684" s="165"/>
      <c r="N684" s="176"/>
      <c r="O684" s="176"/>
      <c r="P684" s="178"/>
      <c r="Q684" s="105"/>
      <c r="R684" s="339"/>
      <c r="S684" s="105"/>
    </row>
    <row r="685" spans="1:19" ht="29.25" customHeight="1">
      <c r="A685" s="216"/>
      <c r="B685" s="340"/>
      <c r="C685" s="341"/>
      <c r="D685" s="342"/>
      <c r="E685" s="343"/>
      <c r="F685" s="162"/>
      <c r="G685" s="218"/>
      <c r="H685" s="218"/>
      <c r="I685" s="176"/>
      <c r="J685" s="177"/>
      <c r="K685" s="177"/>
      <c r="L685" s="177"/>
      <c r="M685" s="165"/>
      <c r="N685" s="176"/>
      <c r="O685" s="176"/>
      <c r="P685" s="178"/>
      <c r="Q685" s="105"/>
      <c r="R685" s="344"/>
      <c r="S685" s="105"/>
    </row>
    <row r="686" spans="1:19" ht="29.25" customHeight="1">
      <c r="A686" s="216"/>
      <c r="B686" s="340"/>
      <c r="C686" s="341"/>
      <c r="D686" s="342"/>
      <c r="E686" s="333"/>
      <c r="F686" s="162"/>
      <c r="G686" s="218"/>
      <c r="H686" s="218"/>
      <c r="I686" s="176"/>
      <c r="J686" s="177"/>
      <c r="K686" s="177"/>
      <c r="L686" s="177"/>
      <c r="M686" s="165"/>
      <c r="N686" s="176"/>
      <c r="O686" s="176"/>
      <c r="P686" s="178"/>
      <c r="Q686" s="105"/>
      <c r="R686" s="339"/>
      <c r="S686" s="105"/>
    </row>
    <row r="687" spans="1:19" ht="29.25" customHeight="1">
      <c r="A687" s="216"/>
      <c r="B687" s="340"/>
      <c r="C687" s="341"/>
      <c r="D687" s="342"/>
      <c r="E687" s="343"/>
      <c r="F687" s="162"/>
      <c r="G687" s="218"/>
      <c r="H687" s="218"/>
      <c r="I687" s="176"/>
      <c r="J687" s="177"/>
      <c r="K687" s="177"/>
      <c r="L687" s="177"/>
      <c r="M687" s="165"/>
      <c r="N687" s="176"/>
      <c r="O687" s="176"/>
      <c r="P687" s="178"/>
      <c r="Q687" s="105"/>
      <c r="R687" s="344"/>
      <c r="S687" s="105"/>
    </row>
    <row r="688" spans="1:19" ht="29.25" customHeight="1">
      <c r="A688" s="216"/>
      <c r="B688" s="340"/>
      <c r="C688" s="341"/>
      <c r="D688" s="342"/>
      <c r="E688" s="333"/>
      <c r="F688" s="162"/>
      <c r="G688" s="218"/>
      <c r="H688" s="218"/>
      <c r="I688" s="176"/>
      <c r="J688" s="177"/>
      <c r="K688" s="177"/>
      <c r="L688" s="177"/>
      <c r="M688" s="165"/>
      <c r="N688" s="176"/>
      <c r="O688" s="176"/>
      <c r="P688" s="178"/>
      <c r="Q688" s="105"/>
      <c r="R688" s="339"/>
      <c r="S688" s="105"/>
    </row>
    <row r="689" spans="1:19" ht="29.25" customHeight="1">
      <c r="A689" s="216"/>
      <c r="B689" s="340"/>
      <c r="C689" s="341"/>
      <c r="D689" s="342"/>
      <c r="E689" s="343"/>
      <c r="F689" s="162"/>
      <c r="G689" s="218"/>
      <c r="H689" s="218"/>
      <c r="I689" s="176"/>
      <c r="J689" s="177"/>
      <c r="K689" s="177"/>
      <c r="L689" s="177"/>
      <c r="M689" s="165"/>
      <c r="N689" s="176"/>
      <c r="O689" s="176"/>
      <c r="P689" s="178"/>
      <c r="Q689" s="105"/>
      <c r="R689" s="344"/>
      <c r="S689" s="105"/>
    </row>
    <row r="690" spans="1:19" ht="29.25" customHeight="1">
      <c r="A690" s="216"/>
      <c r="B690" s="340"/>
      <c r="C690" s="341"/>
      <c r="D690" s="342"/>
      <c r="E690" s="333"/>
      <c r="F690" s="162"/>
      <c r="G690" s="218"/>
      <c r="H690" s="218"/>
      <c r="I690" s="176"/>
      <c r="J690" s="177"/>
      <c r="K690" s="177"/>
      <c r="L690" s="177"/>
      <c r="M690" s="165"/>
      <c r="N690" s="176"/>
      <c r="O690" s="176"/>
      <c r="P690" s="178"/>
      <c r="Q690" s="105"/>
      <c r="R690" s="339"/>
      <c r="S690" s="105"/>
    </row>
    <row r="691" spans="1:19" ht="29.25" customHeight="1">
      <c r="A691" s="216"/>
      <c r="B691" s="340"/>
      <c r="C691" s="341"/>
      <c r="D691" s="342"/>
      <c r="E691" s="343"/>
      <c r="F691" s="162"/>
      <c r="G691" s="218"/>
      <c r="H691" s="218"/>
      <c r="I691" s="176"/>
      <c r="J691" s="177"/>
      <c r="K691" s="177"/>
      <c r="L691" s="177"/>
      <c r="M691" s="165"/>
      <c r="N691" s="176"/>
      <c r="O691" s="176"/>
      <c r="P691" s="178"/>
      <c r="Q691" s="105"/>
      <c r="R691" s="344"/>
      <c r="S691" s="105"/>
    </row>
    <row r="692" spans="1:19" ht="29.25" customHeight="1">
      <c r="A692" s="216"/>
      <c r="B692" s="340"/>
      <c r="C692" s="341"/>
      <c r="D692" s="342"/>
      <c r="E692" s="333"/>
      <c r="F692" s="162"/>
      <c r="G692" s="218"/>
      <c r="H692" s="218"/>
      <c r="I692" s="176"/>
      <c r="J692" s="177"/>
      <c r="K692" s="177"/>
      <c r="L692" s="177"/>
      <c r="M692" s="165"/>
      <c r="N692" s="176"/>
      <c r="O692" s="176"/>
      <c r="P692" s="178"/>
      <c r="Q692" s="105"/>
      <c r="R692" s="339"/>
      <c r="S692" s="105"/>
    </row>
    <row r="693" spans="1:19" ht="29.25" customHeight="1">
      <c r="A693" s="216"/>
      <c r="B693" s="340"/>
      <c r="C693" s="341"/>
      <c r="D693" s="342"/>
      <c r="E693" s="343"/>
      <c r="F693" s="162"/>
      <c r="G693" s="218"/>
      <c r="H693" s="218"/>
      <c r="I693" s="176"/>
      <c r="J693" s="177"/>
      <c r="K693" s="177"/>
      <c r="L693" s="177"/>
      <c r="M693" s="165"/>
      <c r="N693" s="176"/>
      <c r="O693" s="176"/>
      <c r="P693" s="178"/>
      <c r="Q693" s="105"/>
      <c r="R693" s="344"/>
      <c r="S693" s="105"/>
    </row>
    <row r="694" spans="1:19" ht="29.25" customHeight="1">
      <c r="A694" s="216"/>
      <c r="B694" s="340"/>
      <c r="C694" s="341"/>
      <c r="D694" s="342"/>
      <c r="E694" s="333"/>
      <c r="F694" s="162"/>
      <c r="G694" s="218"/>
      <c r="H694" s="218"/>
      <c r="I694" s="176"/>
      <c r="J694" s="177"/>
      <c r="K694" s="177"/>
      <c r="L694" s="177"/>
      <c r="M694" s="165"/>
      <c r="N694" s="176"/>
      <c r="O694" s="176"/>
      <c r="P694" s="178"/>
      <c r="Q694" s="105"/>
      <c r="R694" s="339"/>
      <c r="S694" s="105"/>
    </row>
    <row r="695" spans="1:19" ht="29.25" customHeight="1">
      <c r="A695" s="216"/>
      <c r="B695" s="340"/>
      <c r="C695" s="341"/>
      <c r="D695" s="342"/>
      <c r="E695" s="343"/>
      <c r="F695" s="162"/>
      <c r="G695" s="218"/>
      <c r="H695" s="218"/>
      <c r="I695" s="176"/>
      <c r="J695" s="177"/>
      <c r="K695" s="177"/>
      <c r="L695" s="177"/>
      <c r="M695" s="165"/>
      <c r="N695" s="176"/>
      <c r="O695" s="176"/>
      <c r="P695" s="178"/>
      <c r="Q695" s="105"/>
      <c r="R695" s="344"/>
      <c r="S695" s="105"/>
    </row>
    <row r="696" spans="1:19" ht="29.25" customHeight="1">
      <c r="A696" s="216"/>
      <c r="B696" s="340"/>
      <c r="C696" s="341"/>
      <c r="D696" s="342"/>
      <c r="E696" s="333"/>
      <c r="F696" s="162"/>
      <c r="G696" s="218"/>
      <c r="H696" s="218"/>
      <c r="I696" s="176"/>
      <c r="J696" s="177"/>
      <c r="K696" s="177"/>
      <c r="L696" s="177"/>
      <c r="M696" s="165"/>
      <c r="N696" s="176"/>
      <c r="O696" s="176"/>
      <c r="P696" s="178"/>
      <c r="Q696" s="105"/>
      <c r="R696" s="339"/>
      <c r="S696" s="105"/>
    </row>
    <row r="697" spans="1:19" ht="29.25" customHeight="1">
      <c r="A697" s="216"/>
      <c r="B697" s="340"/>
      <c r="C697" s="341"/>
      <c r="D697" s="342"/>
      <c r="E697" s="343"/>
      <c r="F697" s="162"/>
      <c r="G697" s="218"/>
      <c r="H697" s="218"/>
      <c r="I697" s="176"/>
      <c r="J697" s="177"/>
      <c r="K697" s="177"/>
      <c r="L697" s="177"/>
      <c r="M697" s="165"/>
      <c r="N697" s="176"/>
      <c r="O697" s="176"/>
      <c r="P697" s="178"/>
      <c r="Q697" s="105"/>
      <c r="R697" s="344"/>
      <c r="S697" s="105"/>
    </row>
    <row r="698" spans="1:19" ht="29.25" customHeight="1">
      <c r="A698" s="216"/>
      <c r="B698" s="340"/>
      <c r="C698" s="341"/>
      <c r="D698" s="342"/>
      <c r="E698" s="333"/>
      <c r="F698" s="162"/>
      <c r="G698" s="218"/>
      <c r="H698" s="218"/>
      <c r="I698" s="176"/>
      <c r="J698" s="177"/>
      <c r="K698" s="177"/>
      <c r="L698" s="177"/>
      <c r="M698" s="165"/>
      <c r="N698" s="176"/>
      <c r="O698" s="176"/>
      <c r="P698" s="178"/>
      <c r="Q698" s="105"/>
      <c r="R698" s="339"/>
      <c r="S698" s="105"/>
    </row>
    <row r="699" spans="1:19" ht="29.25" customHeight="1">
      <c r="A699" s="216"/>
      <c r="B699" s="340"/>
      <c r="C699" s="341"/>
      <c r="D699" s="342"/>
      <c r="E699" s="343"/>
      <c r="F699" s="162"/>
      <c r="G699" s="218"/>
      <c r="H699" s="218"/>
      <c r="I699" s="176"/>
      <c r="J699" s="177"/>
      <c r="K699" s="177"/>
      <c r="L699" s="177"/>
      <c r="M699" s="165"/>
      <c r="N699" s="176"/>
      <c r="O699" s="176"/>
      <c r="P699" s="178"/>
      <c r="Q699" s="105"/>
      <c r="R699" s="344"/>
      <c r="S699" s="105"/>
    </row>
    <row r="700" spans="1:19" ht="29.25" customHeight="1">
      <c r="A700" s="216"/>
      <c r="B700" s="340"/>
      <c r="C700" s="341"/>
      <c r="D700" s="342"/>
      <c r="E700" s="333"/>
      <c r="F700" s="162"/>
      <c r="G700" s="218"/>
      <c r="H700" s="218"/>
      <c r="I700" s="176"/>
      <c r="J700" s="177"/>
      <c r="K700" s="177"/>
      <c r="L700" s="177"/>
      <c r="M700" s="165"/>
      <c r="N700" s="176"/>
      <c r="O700" s="176"/>
      <c r="P700" s="178"/>
      <c r="Q700" s="105"/>
      <c r="R700" s="339"/>
      <c r="S700" s="105"/>
    </row>
    <row r="701" spans="1:19" ht="29.25" customHeight="1">
      <c r="A701" s="216"/>
      <c r="B701" s="340"/>
      <c r="C701" s="341"/>
      <c r="D701" s="342"/>
      <c r="E701" s="343"/>
      <c r="F701" s="162"/>
      <c r="G701" s="218"/>
      <c r="H701" s="218"/>
      <c r="I701" s="176"/>
      <c r="J701" s="177"/>
      <c r="K701" s="177"/>
      <c r="L701" s="177"/>
      <c r="M701" s="165"/>
      <c r="N701" s="176"/>
      <c r="O701" s="176"/>
      <c r="P701" s="178"/>
      <c r="Q701" s="105"/>
      <c r="R701" s="344"/>
      <c r="S701" s="105"/>
    </row>
    <row r="702" spans="1:19" ht="29.25" customHeight="1">
      <c r="A702" s="216"/>
      <c r="B702" s="340"/>
      <c r="C702" s="341"/>
      <c r="D702" s="342"/>
      <c r="E702" s="333"/>
      <c r="F702" s="162"/>
      <c r="G702" s="218"/>
      <c r="H702" s="218"/>
      <c r="I702" s="176"/>
      <c r="J702" s="177"/>
      <c r="K702" s="177"/>
      <c r="L702" s="177"/>
      <c r="M702" s="165"/>
      <c r="N702" s="176"/>
      <c r="O702" s="176"/>
      <c r="P702" s="178"/>
      <c r="Q702" s="105"/>
      <c r="R702" s="339"/>
      <c r="S702" s="105"/>
    </row>
    <row r="703" spans="1:19" ht="29.25" customHeight="1">
      <c r="A703" s="216"/>
      <c r="B703" s="340"/>
      <c r="C703" s="341"/>
      <c r="D703" s="342"/>
      <c r="E703" s="343"/>
      <c r="F703" s="162"/>
      <c r="G703" s="218"/>
      <c r="H703" s="218"/>
      <c r="I703" s="176"/>
      <c r="J703" s="177"/>
      <c r="K703" s="177"/>
      <c r="L703" s="177"/>
      <c r="M703" s="165"/>
      <c r="N703" s="176"/>
      <c r="O703" s="176"/>
      <c r="P703" s="178"/>
      <c r="Q703" s="105"/>
      <c r="R703" s="344"/>
      <c r="S703" s="105"/>
    </row>
    <row r="704" spans="1:19" ht="29.25" customHeight="1">
      <c r="A704" s="216"/>
      <c r="B704" s="340"/>
      <c r="C704" s="341"/>
      <c r="D704" s="342"/>
      <c r="E704" s="333"/>
      <c r="F704" s="162"/>
      <c r="G704" s="218"/>
      <c r="H704" s="218"/>
      <c r="I704" s="176"/>
      <c r="J704" s="177"/>
      <c r="K704" s="177"/>
      <c r="L704" s="177"/>
      <c r="M704" s="165"/>
      <c r="N704" s="176"/>
      <c r="O704" s="176"/>
      <c r="P704" s="178"/>
      <c r="Q704" s="105"/>
      <c r="R704" s="339"/>
      <c r="S704" s="105"/>
    </row>
    <row r="705" spans="1:19" ht="29.25" customHeight="1">
      <c r="A705" s="216"/>
      <c r="B705" s="340"/>
      <c r="C705" s="341"/>
      <c r="D705" s="342"/>
      <c r="E705" s="343"/>
      <c r="F705" s="162"/>
      <c r="G705" s="218"/>
      <c r="H705" s="218"/>
      <c r="I705" s="176"/>
      <c r="J705" s="177"/>
      <c r="K705" s="177"/>
      <c r="L705" s="177"/>
      <c r="M705" s="165"/>
      <c r="N705" s="176"/>
      <c r="O705" s="176"/>
      <c r="P705" s="178"/>
      <c r="Q705" s="105"/>
      <c r="R705" s="344"/>
      <c r="S705" s="105"/>
    </row>
    <row r="706" spans="1:19" ht="29.25" customHeight="1">
      <c r="A706" s="216"/>
      <c r="B706" s="340"/>
      <c r="C706" s="341"/>
      <c r="D706" s="342"/>
      <c r="E706" s="333"/>
      <c r="F706" s="162"/>
      <c r="G706" s="218"/>
      <c r="H706" s="218"/>
      <c r="I706" s="176"/>
      <c r="J706" s="177"/>
      <c r="K706" s="177"/>
      <c r="L706" s="177"/>
      <c r="M706" s="165"/>
      <c r="N706" s="176"/>
      <c r="O706" s="176"/>
      <c r="P706" s="178"/>
      <c r="Q706" s="105"/>
      <c r="R706" s="339"/>
      <c r="S706" s="105"/>
    </row>
    <row r="707" spans="1:19" ht="29.25" customHeight="1">
      <c r="A707" s="216"/>
      <c r="B707" s="340"/>
      <c r="C707" s="341"/>
      <c r="D707" s="342"/>
      <c r="E707" s="343"/>
      <c r="F707" s="162"/>
      <c r="G707" s="218"/>
      <c r="H707" s="218"/>
      <c r="I707" s="176"/>
      <c r="J707" s="177"/>
      <c r="K707" s="177"/>
      <c r="L707" s="177"/>
      <c r="M707" s="165"/>
      <c r="N707" s="176"/>
      <c r="O707" s="176"/>
      <c r="P707" s="178"/>
      <c r="Q707" s="105"/>
      <c r="R707" s="344"/>
      <c r="S707" s="105"/>
    </row>
    <row r="708" spans="1:19" ht="29.25" customHeight="1">
      <c r="A708" s="216"/>
      <c r="B708" s="340"/>
      <c r="C708" s="341"/>
      <c r="D708" s="342"/>
      <c r="E708" s="333"/>
      <c r="F708" s="162"/>
      <c r="G708" s="218"/>
      <c r="H708" s="218"/>
      <c r="I708" s="176"/>
      <c r="J708" s="177"/>
      <c r="K708" s="177"/>
      <c r="L708" s="177"/>
      <c r="M708" s="165"/>
      <c r="N708" s="176"/>
      <c r="O708" s="176"/>
      <c r="P708" s="178"/>
      <c r="Q708" s="105"/>
      <c r="R708" s="339"/>
      <c r="S708" s="105"/>
    </row>
    <row r="709" spans="1:19" ht="29.25" customHeight="1">
      <c r="A709" s="216"/>
      <c r="B709" s="340"/>
      <c r="C709" s="341"/>
      <c r="D709" s="342"/>
      <c r="E709" s="343"/>
      <c r="F709" s="162"/>
      <c r="G709" s="218"/>
      <c r="H709" s="218"/>
      <c r="I709" s="176"/>
      <c r="J709" s="177"/>
      <c r="K709" s="177"/>
      <c r="L709" s="177"/>
      <c r="M709" s="165"/>
      <c r="N709" s="176"/>
      <c r="O709" s="176"/>
      <c r="P709" s="178"/>
      <c r="Q709" s="105"/>
      <c r="R709" s="344"/>
      <c r="S709" s="105"/>
    </row>
    <row r="710" spans="1:19" ht="29.25" customHeight="1">
      <c r="A710" s="216"/>
      <c r="B710" s="340"/>
      <c r="C710" s="341"/>
      <c r="D710" s="342"/>
      <c r="E710" s="333"/>
      <c r="F710" s="162"/>
      <c r="G710" s="218"/>
      <c r="H710" s="218"/>
      <c r="I710" s="176"/>
      <c r="J710" s="177"/>
      <c r="K710" s="177"/>
      <c r="L710" s="177"/>
      <c r="M710" s="165"/>
      <c r="N710" s="176"/>
      <c r="O710" s="176"/>
      <c r="P710" s="178"/>
      <c r="Q710" s="105"/>
      <c r="R710" s="339"/>
      <c r="S710" s="105"/>
    </row>
    <row r="711" spans="1:19" ht="29.25" customHeight="1">
      <c r="A711" s="216"/>
      <c r="B711" s="340"/>
      <c r="C711" s="341"/>
      <c r="D711" s="342"/>
      <c r="E711" s="343"/>
      <c r="F711" s="162"/>
      <c r="G711" s="218"/>
      <c r="H711" s="218"/>
      <c r="I711" s="176"/>
      <c r="J711" s="177"/>
      <c r="K711" s="177"/>
      <c r="L711" s="177"/>
      <c r="M711" s="165"/>
      <c r="N711" s="176"/>
      <c r="O711" s="176"/>
      <c r="P711" s="178"/>
      <c r="Q711" s="105"/>
      <c r="R711" s="344"/>
      <c r="S711" s="105"/>
    </row>
    <row r="712" spans="1:19" ht="29.25" customHeight="1">
      <c r="A712" s="216"/>
      <c r="B712" s="340"/>
      <c r="C712" s="341"/>
      <c r="D712" s="342"/>
      <c r="E712" s="333"/>
      <c r="F712" s="162"/>
      <c r="G712" s="218"/>
      <c r="H712" s="218"/>
      <c r="I712" s="176"/>
      <c r="J712" s="177"/>
      <c r="K712" s="177"/>
      <c r="L712" s="177"/>
      <c r="M712" s="165"/>
      <c r="N712" s="176"/>
      <c r="O712" s="176"/>
      <c r="P712" s="178"/>
      <c r="Q712" s="105"/>
      <c r="R712" s="339"/>
      <c r="S712" s="105"/>
    </row>
    <row r="713" spans="1:19" ht="29.25" customHeight="1">
      <c r="A713" s="216"/>
      <c r="B713" s="340"/>
      <c r="C713" s="341"/>
      <c r="D713" s="342"/>
      <c r="E713" s="343"/>
      <c r="F713" s="162"/>
      <c r="G713" s="218"/>
      <c r="H713" s="218"/>
      <c r="I713" s="176"/>
      <c r="J713" s="177"/>
      <c r="K713" s="177"/>
      <c r="L713" s="177"/>
      <c r="M713" s="165"/>
      <c r="N713" s="176"/>
      <c r="O713" s="176"/>
      <c r="P713" s="178"/>
      <c r="Q713" s="105"/>
      <c r="R713" s="344"/>
      <c r="S713" s="105"/>
    </row>
    <row r="714" spans="1:19" ht="29.25" customHeight="1">
      <c r="A714" s="216"/>
      <c r="B714" s="340"/>
      <c r="C714" s="341"/>
      <c r="D714" s="342"/>
      <c r="E714" s="333"/>
      <c r="F714" s="162"/>
      <c r="G714" s="218"/>
      <c r="H714" s="218"/>
      <c r="I714" s="176"/>
      <c r="J714" s="177"/>
      <c r="K714" s="177"/>
      <c r="L714" s="177"/>
      <c r="M714" s="165"/>
      <c r="N714" s="176"/>
      <c r="O714" s="176"/>
      <c r="P714" s="178"/>
      <c r="Q714" s="105"/>
      <c r="R714" s="339"/>
      <c r="S714" s="105"/>
    </row>
    <row r="715" spans="1:19" ht="29.25" customHeight="1">
      <c r="A715" s="216"/>
      <c r="B715" s="340"/>
      <c r="C715" s="341"/>
      <c r="D715" s="342"/>
      <c r="E715" s="343"/>
      <c r="F715" s="162"/>
      <c r="G715" s="218"/>
      <c r="H715" s="218"/>
      <c r="I715" s="176"/>
      <c r="J715" s="177"/>
      <c r="K715" s="177"/>
      <c r="L715" s="177"/>
      <c r="M715" s="165"/>
      <c r="N715" s="176"/>
      <c r="O715" s="176"/>
      <c r="P715" s="178"/>
      <c r="Q715" s="105"/>
      <c r="R715" s="344"/>
      <c r="S715" s="105"/>
    </row>
    <row r="716" spans="1:19" ht="29.25" customHeight="1">
      <c r="A716" s="216"/>
      <c r="B716" s="340"/>
      <c r="C716" s="341"/>
      <c r="D716" s="342"/>
      <c r="E716" s="333"/>
      <c r="F716" s="162"/>
      <c r="G716" s="218"/>
      <c r="H716" s="218"/>
      <c r="I716" s="176"/>
      <c r="J716" s="177"/>
      <c r="K716" s="177"/>
      <c r="L716" s="177"/>
      <c r="M716" s="165"/>
      <c r="N716" s="176"/>
      <c r="O716" s="176"/>
      <c r="P716" s="178"/>
      <c r="Q716" s="105"/>
      <c r="R716" s="339"/>
      <c r="S716" s="105"/>
    </row>
    <row r="717" spans="1:19" ht="29.25" customHeight="1">
      <c r="A717" s="216"/>
      <c r="B717" s="340"/>
      <c r="C717" s="341"/>
      <c r="D717" s="342"/>
      <c r="E717" s="343"/>
      <c r="F717" s="162"/>
      <c r="G717" s="218"/>
      <c r="H717" s="218"/>
      <c r="I717" s="176"/>
      <c r="J717" s="177"/>
      <c r="K717" s="177"/>
      <c r="L717" s="177"/>
      <c r="M717" s="165"/>
      <c r="N717" s="176"/>
      <c r="O717" s="176"/>
      <c r="P717" s="178"/>
      <c r="Q717" s="105"/>
      <c r="R717" s="344"/>
      <c r="S717" s="105"/>
    </row>
    <row r="718" spans="1:19" ht="29.25" customHeight="1">
      <c r="A718" s="216"/>
      <c r="B718" s="340"/>
      <c r="C718" s="341"/>
      <c r="D718" s="342"/>
      <c r="E718" s="333"/>
      <c r="F718" s="162"/>
      <c r="G718" s="218"/>
      <c r="H718" s="218"/>
      <c r="I718" s="176"/>
      <c r="J718" s="177"/>
      <c r="K718" s="177"/>
      <c r="L718" s="177"/>
      <c r="M718" s="165"/>
      <c r="N718" s="176"/>
      <c r="O718" s="176"/>
      <c r="P718" s="178"/>
      <c r="Q718" s="105"/>
      <c r="R718" s="339"/>
      <c r="S718" s="105"/>
    </row>
    <row r="719" spans="1:19" ht="29.25" customHeight="1">
      <c r="A719" s="216"/>
      <c r="B719" s="340"/>
      <c r="C719" s="341"/>
      <c r="D719" s="342"/>
      <c r="E719" s="343"/>
      <c r="F719" s="162"/>
      <c r="G719" s="218"/>
      <c r="H719" s="218"/>
      <c r="I719" s="176"/>
      <c r="J719" s="177"/>
      <c r="K719" s="177"/>
      <c r="L719" s="177"/>
      <c r="M719" s="165"/>
      <c r="N719" s="176"/>
      <c r="O719" s="176"/>
      <c r="P719" s="178"/>
      <c r="Q719" s="105"/>
      <c r="R719" s="344"/>
      <c r="S719" s="105"/>
    </row>
    <row r="720" spans="1:19" ht="29.25" customHeight="1">
      <c r="A720" s="216"/>
      <c r="B720" s="340"/>
      <c r="C720" s="341"/>
      <c r="D720" s="342"/>
      <c r="E720" s="333"/>
      <c r="F720" s="162"/>
      <c r="G720" s="218"/>
      <c r="H720" s="218"/>
      <c r="I720" s="176"/>
      <c r="J720" s="177"/>
      <c r="K720" s="177"/>
      <c r="L720" s="177"/>
      <c r="M720" s="165"/>
      <c r="N720" s="176"/>
      <c r="O720" s="176"/>
      <c r="P720" s="178"/>
      <c r="Q720" s="105"/>
      <c r="R720" s="339"/>
      <c r="S720" s="105"/>
    </row>
    <row r="721" spans="1:19" ht="29.25" customHeight="1">
      <c r="A721" s="216"/>
      <c r="B721" s="340"/>
      <c r="C721" s="341"/>
      <c r="D721" s="342"/>
      <c r="E721" s="343"/>
      <c r="F721" s="162"/>
      <c r="G721" s="218"/>
      <c r="H721" s="218"/>
      <c r="I721" s="176"/>
      <c r="J721" s="177"/>
      <c r="K721" s="177"/>
      <c r="L721" s="177"/>
      <c r="M721" s="165"/>
      <c r="N721" s="176"/>
      <c r="O721" s="176"/>
      <c r="P721" s="178"/>
      <c r="Q721" s="105"/>
      <c r="R721" s="344"/>
      <c r="S721" s="105"/>
    </row>
    <row r="722" spans="1:19" ht="29.25" customHeight="1">
      <c r="A722" s="216"/>
      <c r="B722" s="340"/>
      <c r="C722" s="341"/>
      <c r="D722" s="342"/>
      <c r="E722" s="333"/>
      <c r="F722" s="162"/>
      <c r="G722" s="218"/>
      <c r="H722" s="218"/>
      <c r="I722" s="176"/>
      <c r="J722" s="177"/>
      <c r="K722" s="177"/>
      <c r="L722" s="177"/>
      <c r="M722" s="165"/>
      <c r="N722" s="176"/>
      <c r="O722" s="176"/>
      <c r="P722" s="178"/>
      <c r="Q722" s="105"/>
      <c r="R722" s="339"/>
      <c r="S722" s="105"/>
    </row>
    <row r="723" spans="1:19" ht="29.25" customHeight="1">
      <c r="A723" s="216"/>
      <c r="B723" s="340"/>
      <c r="C723" s="341"/>
      <c r="D723" s="342"/>
      <c r="E723" s="343"/>
      <c r="F723" s="162"/>
      <c r="G723" s="218"/>
      <c r="H723" s="218"/>
      <c r="I723" s="176"/>
      <c r="J723" s="177"/>
      <c r="K723" s="177"/>
      <c r="L723" s="177"/>
      <c r="M723" s="165"/>
      <c r="N723" s="176"/>
      <c r="O723" s="176"/>
      <c r="P723" s="178"/>
      <c r="Q723" s="105"/>
      <c r="R723" s="344"/>
      <c r="S723" s="105"/>
    </row>
    <row r="724" spans="1:19" ht="29.25" customHeight="1">
      <c r="A724" s="216"/>
      <c r="B724" s="340"/>
      <c r="C724" s="341"/>
      <c r="D724" s="342"/>
      <c r="E724" s="333"/>
      <c r="F724" s="162"/>
      <c r="G724" s="218"/>
      <c r="H724" s="218"/>
      <c r="I724" s="176"/>
      <c r="J724" s="177"/>
      <c r="K724" s="177"/>
      <c r="L724" s="177"/>
      <c r="M724" s="165"/>
      <c r="N724" s="176"/>
      <c r="O724" s="176"/>
      <c r="P724" s="178"/>
      <c r="Q724" s="105"/>
      <c r="R724" s="339"/>
      <c r="S724" s="105"/>
    </row>
    <row r="725" spans="1:19" ht="29.25" customHeight="1">
      <c r="A725" s="216"/>
      <c r="B725" s="340"/>
      <c r="C725" s="341"/>
      <c r="D725" s="342"/>
      <c r="E725" s="343"/>
      <c r="F725" s="162"/>
      <c r="G725" s="218"/>
      <c r="H725" s="218"/>
      <c r="I725" s="176"/>
      <c r="J725" s="177"/>
      <c r="K725" s="177"/>
      <c r="L725" s="177"/>
      <c r="M725" s="165"/>
      <c r="N725" s="176"/>
      <c r="O725" s="176"/>
      <c r="P725" s="178"/>
      <c r="Q725" s="105"/>
      <c r="R725" s="344"/>
      <c r="S725" s="105"/>
    </row>
    <row r="726" spans="1:19" ht="29.25" customHeight="1">
      <c r="A726" s="216"/>
      <c r="B726" s="340"/>
      <c r="C726" s="341"/>
      <c r="D726" s="342"/>
      <c r="E726" s="333"/>
      <c r="F726" s="162"/>
      <c r="G726" s="218"/>
      <c r="H726" s="218"/>
      <c r="I726" s="176"/>
      <c r="J726" s="177"/>
      <c r="K726" s="177"/>
      <c r="L726" s="177"/>
      <c r="M726" s="165"/>
      <c r="N726" s="176"/>
      <c r="O726" s="176"/>
      <c r="P726" s="178"/>
      <c r="Q726" s="105"/>
      <c r="R726" s="339"/>
      <c r="S726" s="105"/>
    </row>
    <row r="727" spans="1:19" ht="29.25" customHeight="1">
      <c r="A727" s="216"/>
      <c r="B727" s="340"/>
      <c r="C727" s="341"/>
      <c r="D727" s="342"/>
      <c r="E727" s="343"/>
      <c r="F727" s="162"/>
      <c r="G727" s="218"/>
      <c r="H727" s="218"/>
      <c r="I727" s="176"/>
      <c r="J727" s="177"/>
      <c r="K727" s="177"/>
      <c r="L727" s="177"/>
      <c r="M727" s="165"/>
      <c r="N727" s="176"/>
      <c r="O727" s="176"/>
      <c r="P727" s="178"/>
      <c r="Q727" s="105"/>
      <c r="R727" s="344"/>
      <c r="S727" s="105"/>
    </row>
    <row r="728" spans="1:19" ht="29.25" customHeight="1">
      <c r="A728" s="216"/>
      <c r="B728" s="340"/>
      <c r="C728" s="341"/>
      <c r="D728" s="342"/>
      <c r="E728" s="333"/>
      <c r="F728" s="162"/>
      <c r="G728" s="218"/>
      <c r="H728" s="218"/>
      <c r="I728" s="176"/>
      <c r="J728" s="177"/>
      <c r="K728" s="177"/>
      <c r="L728" s="177"/>
      <c r="M728" s="165"/>
      <c r="N728" s="176"/>
      <c r="O728" s="176"/>
      <c r="P728" s="178"/>
      <c r="Q728" s="105"/>
      <c r="R728" s="339"/>
      <c r="S728" s="105"/>
    </row>
    <row r="729" spans="1:19" ht="29.25" customHeight="1">
      <c r="A729" s="216"/>
      <c r="B729" s="340"/>
      <c r="C729" s="341"/>
      <c r="D729" s="342"/>
      <c r="E729" s="343"/>
      <c r="F729" s="162"/>
      <c r="G729" s="218"/>
      <c r="H729" s="218"/>
      <c r="I729" s="176"/>
      <c r="J729" s="177"/>
      <c r="K729" s="177"/>
      <c r="L729" s="177"/>
      <c r="M729" s="165"/>
      <c r="N729" s="176"/>
      <c r="O729" s="176"/>
      <c r="P729" s="178"/>
      <c r="Q729" s="105"/>
      <c r="R729" s="344"/>
      <c r="S729" s="105"/>
    </row>
    <row r="730" spans="1:19" ht="29.25" customHeight="1">
      <c r="A730" s="216"/>
      <c r="B730" s="340"/>
      <c r="C730" s="341"/>
      <c r="D730" s="342"/>
      <c r="E730" s="333"/>
      <c r="F730" s="162"/>
      <c r="G730" s="218"/>
      <c r="H730" s="218"/>
      <c r="I730" s="176"/>
      <c r="J730" s="177"/>
      <c r="K730" s="177"/>
      <c r="L730" s="177"/>
      <c r="M730" s="165"/>
      <c r="N730" s="176"/>
      <c r="O730" s="176"/>
      <c r="P730" s="178"/>
      <c r="Q730" s="105"/>
      <c r="R730" s="339"/>
      <c r="S730" s="105"/>
    </row>
    <row r="731" spans="1:19" ht="29.25" customHeight="1">
      <c r="A731" s="216"/>
      <c r="B731" s="340"/>
      <c r="C731" s="341"/>
      <c r="D731" s="342"/>
      <c r="E731" s="343"/>
      <c r="F731" s="162"/>
      <c r="G731" s="218"/>
      <c r="H731" s="218"/>
      <c r="I731" s="176"/>
      <c r="J731" s="177"/>
      <c r="K731" s="177"/>
      <c r="L731" s="177"/>
      <c r="M731" s="165"/>
      <c r="N731" s="176"/>
      <c r="O731" s="176"/>
      <c r="P731" s="178"/>
      <c r="Q731" s="105"/>
      <c r="R731" s="344"/>
      <c r="S731" s="105"/>
    </row>
    <row r="732" spans="1:19" ht="29.25" customHeight="1">
      <c r="A732" s="216"/>
      <c r="B732" s="340"/>
      <c r="C732" s="341"/>
      <c r="D732" s="342"/>
      <c r="E732" s="333"/>
      <c r="F732" s="162"/>
      <c r="G732" s="218"/>
      <c r="H732" s="218"/>
      <c r="I732" s="176"/>
      <c r="J732" s="177"/>
      <c r="K732" s="177"/>
      <c r="L732" s="177"/>
      <c r="M732" s="165"/>
      <c r="N732" s="176"/>
      <c r="O732" s="176"/>
      <c r="P732" s="178"/>
      <c r="Q732" s="105"/>
      <c r="R732" s="339"/>
      <c r="S732" s="105"/>
    </row>
    <row r="733" spans="1:19" ht="29.25" customHeight="1">
      <c r="A733" s="216"/>
      <c r="B733" s="340"/>
      <c r="C733" s="341"/>
      <c r="D733" s="342"/>
      <c r="E733" s="343"/>
      <c r="F733" s="162"/>
      <c r="G733" s="218"/>
      <c r="H733" s="218"/>
      <c r="I733" s="176"/>
      <c r="J733" s="177"/>
      <c r="K733" s="177"/>
      <c r="L733" s="177"/>
      <c r="M733" s="165"/>
      <c r="N733" s="176"/>
      <c r="O733" s="176"/>
      <c r="P733" s="178"/>
      <c r="Q733" s="105"/>
      <c r="R733" s="344"/>
      <c r="S733" s="105"/>
    </row>
    <row r="734" spans="1:19" ht="29.25" customHeight="1">
      <c r="A734" s="216"/>
      <c r="B734" s="340"/>
      <c r="C734" s="341"/>
      <c r="D734" s="342"/>
      <c r="E734" s="333"/>
      <c r="F734" s="162"/>
      <c r="G734" s="218"/>
      <c r="H734" s="218"/>
      <c r="I734" s="176"/>
      <c r="J734" s="177"/>
      <c r="K734" s="177"/>
      <c r="L734" s="177"/>
      <c r="M734" s="165"/>
      <c r="N734" s="176"/>
      <c r="O734" s="176"/>
      <c r="P734" s="178"/>
      <c r="Q734" s="105"/>
      <c r="R734" s="339"/>
      <c r="S734" s="105"/>
    </row>
    <row r="735" spans="1:19" ht="29.25" customHeight="1">
      <c r="A735" s="216"/>
      <c r="B735" s="340"/>
      <c r="C735" s="341"/>
      <c r="D735" s="342"/>
      <c r="E735" s="343"/>
      <c r="F735" s="162"/>
      <c r="G735" s="218"/>
      <c r="H735" s="218"/>
      <c r="I735" s="176"/>
      <c r="J735" s="177"/>
      <c r="K735" s="177"/>
      <c r="L735" s="177"/>
      <c r="M735" s="165"/>
      <c r="N735" s="176"/>
      <c r="O735" s="176"/>
      <c r="P735" s="178"/>
      <c r="Q735" s="105"/>
      <c r="R735" s="344"/>
      <c r="S735" s="105"/>
    </row>
    <row r="736" spans="1:19" ht="29.25" customHeight="1">
      <c r="A736" s="216"/>
      <c r="B736" s="340"/>
      <c r="C736" s="341"/>
      <c r="D736" s="342"/>
      <c r="E736" s="333"/>
      <c r="F736" s="162"/>
      <c r="G736" s="218"/>
      <c r="H736" s="218"/>
      <c r="I736" s="176"/>
      <c r="J736" s="177"/>
      <c r="K736" s="177"/>
      <c r="L736" s="177"/>
      <c r="M736" s="165"/>
      <c r="N736" s="176"/>
      <c r="O736" s="176"/>
      <c r="P736" s="178"/>
      <c r="Q736" s="105"/>
      <c r="R736" s="339"/>
      <c r="S736" s="105"/>
    </row>
    <row r="737" spans="1:19" ht="29.25" customHeight="1">
      <c r="A737" s="216"/>
      <c r="B737" s="340"/>
      <c r="C737" s="341"/>
      <c r="D737" s="342"/>
      <c r="E737" s="343"/>
      <c r="F737" s="162"/>
      <c r="G737" s="218"/>
      <c r="H737" s="218"/>
      <c r="I737" s="176"/>
      <c r="J737" s="177"/>
      <c r="K737" s="177"/>
      <c r="L737" s="177"/>
      <c r="M737" s="165"/>
      <c r="N737" s="176"/>
      <c r="O737" s="176"/>
      <c r="P737" s="178"/>
      <c r="Q737" s="105"/>
      <c r="R737" s="344"/>
      <c r="S737" s="105"/>
    </row>
    <row r="738" spans="1:19" ht="29.25" customHeight="1">
      <c r="A738" s="216"/>
      <c r="B738" s="340"/>
      <c r="C738" s="341"/>
      <c r="D738" s="342"/>
      <c r="E738" s="333"/>
      <c r="F738" s="162"/>
      <c r="G738" s="218"/>
      <c r="H738" s="218"/>
      <c r="I738" s="176"/>
      <c r="J738" s="177"/>
      <c r="K738" s="177"/>
      <c r="L738" s="177"/>
      <c r="M738" s="165"/>
      <c r="N738" s="176"/>
      <c r="O738" s="176"/>
      <c r="P738" s="178"/>
      <c r="Q738" s="105"/>
      <c r="R738" s="339"/>
      <c r="S738" s="105"/>
    </row>
    <row r="739" spans="1:19" ht="29.25" customHeight="1">
      <c r="A739" s="216"/>
      <c r="B739" s="340"/>
      <c r="C739" s="341"/>
      <c r="D739" s="342"/>
      <c r="E739" s="343"/>
      <c r="F739" s="162"/>
      <c r="G739" s="218"/>
      <c r="H739" s="218"/>
      <c r="I739" s="176"/>
      <c r="J739" s="177"/>
      <c r="K739" s="177"/>
      <c r="L739" s="177"/>
      <c r="M739" s="165"/>
      <c r="N739" s="176"/>
      <c r="O739" s="176"/>
      <c r="P739" s="178"/>
      <c r="Q739" s="105"/>
      <c r="R739" s="344"/>
      <c r="S739" s="105"/>
    </row>
    <row r="740" spans="1:19" ht="29.25" customHeight="1">
      <c r="A740" s="216"/>
      <c r="B740" s="340"/>
      <c r="C740" s="341"/>
      <c r="D740" s="342"/>
      <c r="E740" s="333"/>
      <c r="F740" s="162"/>
      <c r="G740" s="218"/>
      <c r="H740" s="218"/>
      <c r="I740" s="176"/>
      <c r="J740" s="177"/>
      <c r="K740" s="177"/>
      <c r="L740" s="177"/>
      <c r="M740" s="165"/>
      <c r="N740" s="176"/>
      <c r="O740" s="176"/>
      <c r="P740" s="178"/>
      <c r="Q740" s="105"/>
      <c r="R740" s="339"/>
      <c r="S740" s="105"/>
    </row>
    <row r="741" spans="1:19" ht="29.25" customHeight="1">
      <c r="A741" s="216"/>
      <c r="B741" s="340"/>
      <c r="C741" s="341"/>
      <c r="D741" s="342"/>
      <c r="E741" s="343"/>
      <c r="F741" s="162"/>
      <c r="G741" s="218"/>
      <c r="H741" s="218"/>
      <c r="I741" s="176"/>
      <c r="J741" s="177"/>
      <c r="K741" s="177"/>
      <c r="L741" s="177"/>
      <c r="M741" s="165"/>
      <c r="N741" s="176"/>
      <c r="O741" s="176"/>
      <c r="P741" s="178"/>
      <c r="Q741" s="105"/>
      <c r="R741" s="344"/>
      <c r="S741" s="105"/>
    </row>
    <row r="742" spans="1:19" ht="29.25" customHeight="1">
      <c r="A742" s="216"/>
      <c r="B742" s="340"/>
      <c r="C742" s="341"/>
      <c r="D742" s="342"/>
      <c r="E742" s="333"/>
      <c r="F742" s="162"/>
      <c r="G742" s="218"/>
      <c r="H742" s="218"/>
      <c r="I742" s="176"/>
      <c r="J742" s="177"/>
      <c r="K742" s="177"/>
      <c r="L742" s="177"/>
      <c r="M742" s="165"/>
      <c r="N742" s="176"/>
      <c r="O742" s="176"/>
      <c r="P742" s="178"/>
      <c r="Q742" s="105"/>
      <c r="R742" s="339"/>
      <c r="S742" s="105"/>
    </row>
    <row r="743" spans="1:19" ht="29.25" customHeight="1">
      <c r="A743" s="216"/>
      <c r="B743" s="340"/>
      <c r="C743" s="341"/>
      <c r="D743" s="342"/>
      <c r="E743" s="343"/>
      <c r="F743" s="162"/>
      <c r="G743" s="218"/>
      <c r="H743" s="218"/>
      <c r="I743" s="176"/>
      <c r="J743" s="177"/>
      <c r="K743" s="177"/>
      <c r="L743" s="177"/>
      <c r="M743" s="165"/>
      <c r="N743" s="176"/>
      <c r="O743" s="176"/>
      <c r="P743" s="178"/>
      <c r="Q743" s="105"/>
      <c r="R743" s="344"/>
      <c r="S743" s="105"/>
    </row>
    <row r="744" spans="1:19" ht="29.25" customHeight="1">
      <c r="A744" s="216"/>
      <c r="B744" s="340"/>
      <c r="C744" s="341"/>
      <c r="D744" s="342"/>
      <c r="E744" s="333"/>
      <c r="F744" s="162"/>
      <c r="G744" s="218"/>
      <c r="H744" s="218"/>
      <c r="I744" s="176"/>
      <c r="J744" s="177"/>
      <c r="K744" s="177"/>
      <c r="L744" s="177"/>
      <c r="M744" s="165"/>
      <c r="N744" s="176"/>
      <c r="O744" s="176"/>
      <c r="P744" s="178"/>
      <c r="Q744" s="105"/>
      <c r="R744" s="339"/>
      <c r="S744" s="105"/>
    </row>
    <row r="745" spans="1:19" ht="29.25" customHeight="1">
      <c r="A745" s="216"/>
      <c r="B745" s="340"/>
      <c r="C745" s="341"/>
      <c r="D745" s="342"/>
      <c r="E745" s="343"/>
      <c r="F745" s="162"/>
      <c r="G745" s="218"/>
      <c r="H745" s="218"/>
      <c r="I745" s="176"/>
      <c r="J745" s="177"/>
      <c r="K745" s="177"/>
      <c r="L745" s="177"/>
      <c r="M745" s="165"/>
      <c r="N745" s="176"/>
      <c r="O745" s="176"/>
      <c r="P745" s="178"/>
      <c r="Q745" s="105"/>
      <c r="R745" s="344"/>
      <c r="S745" s="105"/>
    </row>
    <row r="746" spans="1:19" ht="29.25" customHeight="1">
      <c r="A746" s="216"/>
      <c r="B746" s="340"/>
      <c r="C746" s="341"/>
      <c r="D746" s="342"/>
      <c r="E746" s="333"/>
      <c r="F746" s="162"/>
      <c r="G746" s="218"/>
      <c r="H746" s="218"/>
      <c r="I746" s="176"/>
      <c r="J746" s="177"/>
      <c r="K746" s="177"/>
      <c r="L746" s="177"/>
      <c r="M746" s="165"/>
      <c r="N746" s="176"/>
      <c r="O746" s="176"/>
      <c r="P746" s="178"/>
      <c r="Q746" s="105"/>
      <c r="R746" s="339"/>
      <c r="S746" s="105"/>
    </row>
    <row r="747" spans="1:19" ht="29.25" customHeight="1">
      <c r="A747" s="216"/>
      <c r="B747" s="340"/>
      <c r="C747" s="341"/>
      <c r="D747" s="342"/>
      <c r="E747" s="343"/>
      <c r="F747" s="162"/>
      <c r="G747" s="218"/>
      <c r="H747" s="218"/>
      <c r="I747" s="176"/>
      <c r="J747" s="177"/>
      <c r="K747" s="177"/>
      <c r="L747" s="177"/>
      <c r="M747" s="165"/>
      <c r="N747" s="176"/>
      <c r="O747" s="176"/>
      <c r="P747" s="178"/>
      <c r="Q747" s="105"/>
      <c r="R747" s="344"/>
      <c r="S747" s="105"/>
    </row>
    <row r="748" spans="1:19" ht="29.25" customHeight="1">
      <c r="A748" s="216"/>
      <c r="B748" s="340"/>
      <c r="C748" s="341"/>
      <c r="D748" s="342"/>
      <c r="E748" s="333"/>
      <c r="F748" s="162"/>
      <c r="G748" s="218"/>
      <c r="H748" s="218"/>
      <c r="I748" s="176"/>
      <c r="J748" s="177"/>
      <c r="K748" s="177"/>
      <c r="L748" s="177"/>
      <c r="M748" s="165"/>
      <c r="N748" s="176"/>
      <c r="O748" s="176"/>
      <c r="P748" s="178"/>
      <c r="Q748" s="105"/>
      <c r="R748" s="339"/>
      <c r="S748" s="105"/>
    </row>
    <row r="749" spans="1:19" ht="29.25" customHeight="1">
      <c r="A749" s="216"/>
      <c r="B749" s="340"/>
      <c r="C749" s="341"/>
      <c r="D749" s="342"/>
      <c r="E749" s="343"/>
      <c r="F749" s="162"/>
      <c r="G749" s="218"/>
      <c r="H749" s="218"/>
      <c r="I749" s="176"/>
      <c r="J749" s="177"/>
      <c r="K749" s="177"/>
      <c r="L749" s="177"/>
      <c r="M749" s="165"/>
      <c r="N749" s="176"/>
      <c r="O749" s="176"/>
      <c r="P749" s="178"/>
      <c r="Q749" s="105"/>
      <c r="R749" s="344"/>
      <c r="S749" s="105"/>
    </row>
    <row r="750" spans="1:19" ht="29.25" customHeight="1">
      <c r="A750" s="216"/>
      <c r="B750" s="340"/>
      <c r="C750" s="341"/>
      <c r="D750" s="342"/>
      <c r="E750" s="333"/>
      <c r="F750" s="162"/>
      <c r="G750" s="218"/>
      <c r="H750" s="218"/>
      <c r="I750" s="176"/>
      <c r="J750" s="177"/>
      <c r="K750" s="177"/>
      <c r="L750" s="177"/>
      <c r="M750" s="165"/>
      <c r="N750" s="176"/>
      <c r="O750" s="176"/>
      <c r="P750" s="178"/>
      <c r="Q750" s="105"/>
      <c r="R750" s="339"/>
      <c r="S750" s="105"/>
    </row>
    <row r="751" spans="1:19" ht="29.25" customHeight="1">
      <c r="A751" s="216"/>
      <c r="B751" s="340"/>
      <c r="C751" s="341"/>
      <c r="D751" s="342"/>
      <c r="E751" s="343"/>
      <c r="F751" s="162"/>
      <c r="G751" s="218"/>
      <c r="H751" s="218"/>
      <c r="I751" s="176"/>
      <c r="J751" s="177"/>
      <c r="K751" s="177"/>
      <c r="L751" s="177"/>
      <c r="M751" s="165"/>
      <c r="N751" s="176"/>
      <c r="O751" s="176"/>
      <c r="P751" s="178"/>
      <c r="Q751" s="105"/>
      <c r="R751" s="344"/>
      <c r="S751" s="105"/>
    </row>
    <row r="752" spans="1:19" ht="29.25" customHeight="1">
      <c r="A752" s="216"/>
      <c r="B752" s="340"/>
      <c r="C752" s="341"/>
      <c r="D752" s="342"/>
      <c r="E752" s="333"/>
      <c r="F752" s="162"/>
      <c r="G752" s="218"/>
      <c r="H752" s="218"/>
      <c r="I752" s="176"/>
      <c r="J752" s="177"/>
      <c r="K752" s="177"/>
      <c r="L752" s="177"/>
      <c r="M752" s="165"/>
      <c r="N752" s="176"/>
      <c r="O752" s="176"/>
      <c r="P752" s="178"/>
      <c r="Q752" s="105"/>
      <c r="R752" s="339"/>
      <c r="S752" s="105"/>
    </row>
    <row r="753" spans="1:19" ht="29.25" customHeight="1">
      <c r="A753" s="216"/>
      <c r="B753" s="340"/>
      <c r="C753" s="341"/>
      <c r="D753" s="342"/>
      <c r="E753" s="343"/>
      <c r="F753" s="162"/>
      <c r="G753" s="218"/>
      <c r="H753" s="218"/>
      <c r="I753" s="176"/>
      <c r="J753" s="177"/>
      <c r="K753" s="177"/>
      <c r="L753" s="177"/>
      <c r="M753" s="165"/>
      <c r="N753" s="176"/>
      <c r="O753" s="176"/>
      <c r="P753" s="178"/>
      <c r="Q753" s="105"/>
      <c r="R753" s="344"/>
      <c r="S753" s="105"/>
    </row>
    <row r="754" spans="1:19" ht="29.25" customHeight="1">
      <c r="A754" s="216"/>
      <c r="B754" s="340"/>
      <c r="C754" s="341"/>
      <c r="D754" s="342"/>
      <c r="E754" s="333"/>
      <c r="F754" s="162"/>
      <c r="G754" s="218"/>
      <c r="H754" s="218"/>
      <c r="I754" s="176"/>
      <c r="J754" s="177"/>
      <c r="K754" s="177"/>
      <c r="L754" s="177"/>
      <c r="M754" s="165"/>
      <c r="N754" s="176"/>
      <c r="O754" s="176"/>
      <c r="P754" s="178"/>
      <c r="Q754" s="105"/>
      <c r="R754" s="339"/>
      <c r="S754" s="105"/>
    </row>
    <row r="755" spans="1:19" ht="29.25" customHeight="1">
      <c r="A755" s="216"/>
      <c r="B755" s="340"/>
      <c r="C755" s="341"/>
      <c r="D755" s="342"/>
      <c r="E755" s="343"/>
      <c r="F755" s="162"/>
      <c r="G755" s="218"/>
      <c r="H755" s="218"/>
      <c r="I755" s="176"/>
      <c r="J755" s="177"/>
      <c r="K755" s="177"/>
      <c r="L755" s="177"/>
      <c r="M755" s="165"/>
      <c r="N755" s="176"/>
      <c r="O755" s="176"/>
      <c r="P755" s="178"/>
      <c r="Q755" s="105"/>
      <c r="R755" s="344"/>
      <c r="S755" s="105"/>
    </row>
    <row r="756" spans="1:19" ht="29.25" customHeight="1">
      <c r="A756" s="216"/>
      <c r="B756" s="340"/>
      <c r="C756" s="341"/>
      <c r="D756" s="342"/>
      <c r="E756" s="333"/>
      <c r="F756" s="162"/>
      <c r="G756" s="218"/>
      <c r="H756" s="218"/>
      <c r="I756" s="176"/>
      <c r="J756" s="177"/>
      <c r="K756" s="177"/>
      <c r="L756" s="177"/>
      <c r="M756" s="165"/>
      <c r="N756" s="176"/>
      <c r="O756" s="176"/>
      <c r="P756" s="178"/>
      <c r="Q756" s="105"/>
      <c r="R756" s="339"/>
      <c r="S756" s="105"/>
    </row>
    <row r="757" spans="1:19" ht="29.25" customHeight="1">
      <c r="A757" s="216"/>
      <c r="B757" s="340"/>
      <c r="C757" s="341"/>
      <c r="D757" s="342"/>
      <c r="E757" s="343"/>
      <c r="F757" s="162"/>
      <c r="G757" s="218"/>
      <c r="H757" s="218"/>
      <c r="I757" s="176"/>
      <c r="J757" s="177"/>
      <c r="K757" s="177"/>
      <c r="L757" s="177"/>
      <c r="M757" s="165"/>
      <c r="N757" s="176"/>
      <c r="O757" s="176"/>
      <c r="P757" s="178"/>
      <c r="Q757" s="105"/>
      <c r="R757" s="344"/>
      <c r="S757" s="105"/>
    </row>
    <row r="758" spans="1:19" ht="29.25" customHeight="1">
      <c r="A758" s="216"/>
      <c r="B758" s="340"/>
      <c r="C758" s="341"/>
      <c r="D758" s="342"/>
      <c r="E758" s="333"/>
      <c r="F758" s="162"/>
      <c r="G758" s="218"/>
      <c r="H758" s="218"/>
      <c r="I758" s="176"/>
      <c r="J758" s="177"/>
      <c r="K758" s="177"/>
      <c r="L758" s="177"/>
      <c r="M758" s="165"/>
      <c r="N758" s="176"/>
      <c r="O758" s="176"/>
      <c r="P758" s="178"/>
      <c r="Q758" s="105"/>
      <c r="R758" s="339"/>
      <c r="S758" s="105"/>
    </row>
    <row r="759" spans="1:19" ht="29.25" customHeight="1">
      <c r="A759" s="216"/>
      <c r="B759" s="340"/>
      <c r="C759" s="341"/>
      <c r="D759" s="342"/>
      <c r="E759" s="343"/>
      <c r="F759" s="162"/>
      <c r="G759" s="218"/>
      <c r="H759" s="218"/>
      <c r="I759" s="176"/>
      <c r="J759" s="177"/>
      <c r="K759" s="177"/>
      <c r="L759" s="177"/>
      <c r="M759" s="165"/>
      <c r="N759" s="176"/>
      <c r="O759" s="176"/>
      <c r="P759" s="178"/>
      <c r="Q759" s="105"/>
      <c r="R759" s="344"/>
      <c r="S759" s="105"/>
    </row>
    <row r="760" spans="1:19" ht="29.25" customHeight="1">
      <c r="A760" s="216"/>
      <c r="B760" s="340"/>
      <c r="C760" s="341"/>
      <c r="D760" s="342"/>
      <c r="E760" s="333"/>
      <c r="F760" s="162"/>
      <c r="G760" s="218"/>
      <c r="H760" s="218"/>
      <c r="I760" s="176"/>
      <c r="J760" s="177"/>
      <c r="K760" s="177"/>
      <c r="L760" s="177"/>
      <c r="M760" s="165"/>
      <c r="N760" s="176"/>
      <c r="O760" s="176"/>
      <c r="P760" s="178"/>
      <c r="Q760" s="105"/>
      <c r="R760" s="339"/>
      <c r="S760" s="105"/>
    </row>
    <row r="761" spans="1:19" ht="29.25" customHeight="1">
      <c r="A761" s="216"/>
      <c r="B761" s="340"/>
      <c r="C761" s="341"/>
      <c r="D761" s="342"/>
      <c r="E761" s="343"/>
      <c r="F761" s="162"/>
      <c r="G761" s="218"/>
      <c r="H761" s="218"/>
      <c r="I761" s="176"/>
      <c r="J761" s="177"/>
      <c r="K761" s="177"/>
      <c r="L761" s="177"/>
      <c r="M761" s="165"/>
      <c r="N761" s="176"/>
      <c r="O761" s="176"/>
      <c r="P761" s="178"/>
      <c r="Q761" s="105"/>
      <c r="R761" s="344"/>
      <c r="S761" s="105"/>
    </row>
    <row r="762" spans="1:19" ht="29.25" customHeight="1">
      <c r="A762" s="216"/>
      <c r="B762" s="340"/>
      <c r="C762" s="341"/>
      <c r="D762" s="342"/>
      <c r="E762" s="333"/>
      <c r="F762" s="162"/>
      <c r="G762" s="218"/>
      <c r="H762" s="218"/>
      <c r="I762" s="176"/>
      <c r="J762" s="177"/>
      <c r="K762" s="177"/>
      <c r="L762" s="177"/>
      <c r="M762" s="165"/>
      <c r="N762" s="176"/>
      <c r="O762" s="176"/>
      <c r="P762" s="178"/>
      <c r="Q762" s="105"/>
      <c r="R762" s="339"/>
      <c r="S762" s="105"/>
    </row>
    <row r="763" spans="1:19" ht="29.25" customHeight="1">
      <c r="A763" s="216"/>
      <c r="B763" s="340"/>
      <c r="C763" s="341"/>
      <c r="D763" s="342"/>
      <c r="E763" s="343"/>
      <c r="F763" s="162"/>
      <c r="G763" s="218"/>
      <c r="H763" s="218"/>
      <c r="I763" s="176"/>
      <c r="J763" s="177"/>
      <c r="K763" s="177"/>
      <c r="L763" s="177"/>
      <c r="M763" s="165"/>
      <c r="N763" s="176"/>
      <c r="O763" s="176"/>
      <c r="P763" s="178"/>
      <c r="Q763" s="105"/>
      <c r="R763" s="344"/>
      <c r="S763" s="105"/>
    </row>
    <row r="764" spans="1:19" ht="29.25" customHeight="1">
      <c r="A764" s="216"/>
      <c r="B764" s="340"/>
      <c r="C764" s="341"/>
      <c r="D764" s="342"/>
      <c r="E764" s="333"/>
      <c r="F764" s="162"/>
      <c r="G764" s="218"/>
      <c r="H764" s="218"/>
      <c r="I764" s="176"/>
      <c r="J764" s="177"/>
      <c r="K764" s="177"/>
      <c r="L764" s="177"/>
      <c r="M764" s="165"/>
      <c r="N764" s="176"/>
      <c r="O764" s="176"/>
      <c r="P764" s="178"/>
      <c r="Q764" s="105"/>
      <c r="R764" s="339"/>
      <c r="S764" s="105"/>
    </row>
    <row r="765" spans="1:19" ht="29.25" customHeight="1">
      <c r="A765" s="216"/>
      <c r="B765" s="340"/>
      <c r="C765" s="341"/>
      <c r="D765" s="342"/>
      <c r="E765" s="343"/>
      <c r="F765" s="162"/>
      <c r="G765" s="218"/>
      <c r="H765" s="218"/>
      <c r="I765" s="176"/>
      <c r="J765" s="177"/>
      <c r="K765" s="177"/>
      <c r="L765" s="177"/>
      <c r="M765" s="165"/>
      <c r="N765" s="176"/>
      <c r="O765" s="176"/>
      <c r="P765" s="178"/>
      <c r="Q765" s="105"/>
      <c r="R765" s="344"/>
      <c r="S765" s="105"/>
    </row>
    <row r="766" spans="1:19" ht="29.25" customHeight="1">
      <c r="A766" s="216"/>
      <c r="B766" s="340"/>
      <c r="C766" s="341"/>
      <c r="D766" s="342"/>
      <c r="E766" s="333"/>
      <c r="F766" s="162"/>
      <c r="G766" s="218"/>
      <c r="H766" s="218"/>
      <c r="I766" s="176"/>
      <c r="J766" s="177"/>
      <c r="K766" s="177"/>
      <c r="L766" s="177"/>
      <c r="M766" s="165"/>
      <c r="N766" s="176"/>
      <c r="O766" s="176"/>
      <c r="P766" s="178"/>
      <c r="Q766" s="105"/>
      <c r="R766" s="339"/>
      <c r="S766" s="105"/>
    </row>
    <row r="767" spans="1:19" ht="29.25" customHeight="1">
      <c r="A767" s="216"/>
      <c r="B767" s="340"/>
      <c r="C767" s="341"/>
      <c r="D767" s="342"/>
      <c r="E767" s="343"/>
      <c r="F767" s="162"/>
      <c r="G767" s="218"/>
      <c r="H767" s="218"/>
      <c r="I767" s="176"/>
      <c r="J767" s="177"/>
      <c r="K767" s="177"/>
      <c r="L767" s="177"/>
      <c r="M767" s="165"/>
      <c r="N767" s="176"/>
      <c r="O767" s="176"/>
      <c r="P767" s="178"/>
      <c r="Q767" s="105"/>
      <c r="R767" s="344"/>
      <c r="S767" s="105"/>
    </row>
    <row r="768" spans="1:19" ht="29.25" customHeight="1">
      <c r="A768" s="216"/>
      <c r="B768" s="340"/>
      <c r="C768" s="341"/>
      <c r="D768" s="342"/>
      <c r="E768" s="333"/>
      <c r="F768" s="162"/>
      <c r="G768" s="218"/>
      <c r="H768" s="218"/>
      <c r="I768" s="176"/>
      <c r="J768" s="177"/>
      <c r="K768" s="177"/>
      <c r="L768" s="177"/>
      <c r="M768" s="165"/>
      <c r="N768" s="176"/>
      <c r="O768" s="176"/>
      <c r="P768" s="178"/>
      <c r="Q768" s="105"/>
      <c r="R768" s="339"/>
      <c r="S768" s="105"/>
    </row>
    <row r="769" spans="1:19" ht="29.25" customHeight="1">
      <c r="A769" s="216"/>
      <c r="B769" s="340"/>
      <c r="C769" s="341"/>
      <c r="D769" s="342"/>
      <c r="E769" s="343"/>
      <c r="F769" s="162"/>
      <c r="G769" s="218"/>
      <c r="H769" s="218"/>
      <c r="I769" s="176"/>
      <c r="J769" s="177"/>
      <c r="K769" s="177"/>
      <c r="L769" s="177"/>
      <c r="M769" s="165"/>
      <c r="N769" s="176"/>
      <c r="O769" s="176"/>
      <c r="P769" s="178"/>
      <c r="Q769" s="105"/>
      <c r="R769" s="344"/>
      <c r="S769" s="105"/>
    </row>
    <row r="770" spans="1:19" ht="29.25" customHeight="1">
      <c r="A770" s="216"/>
      <c r="B770" s="340"/>
      <c r="C770" s="341"/>
      <c r="D770" s="342"/>
      <c r="E770" s="333"/>
      <c r="F770" s="162"/>
      <c r="G770" s="218"/>
      <c r="H770" s="218"/>
      <c r="I770" s="176"/>
      <c r="J770" s="177"/>
      <c r="K770" s="177"/>
      <c r="L770" s="177"/>
      <c r="M770" s="165"/>
      <c r="N770" s="176"/>
      <c r="O770" s="176"/>
      <c r="P770" s="178"/>
      <c r="Q770" s="105"/>
      <c r="R770" s="339"/>
      <c r="S770" s="105"/>
    </row>
    <row r="771" spans="1:19" ht="29.25" customHeight="1">
      <c r="A771" s="216"/>
      <c r="B771" s="340"/>
      <c r="C771" s="341"/>
      <c r="D771" s="342"/>
      <c r="E771" s="343"/>
      <c r="F771" s="162"/>
      <c r="G771" s="218"/>
      <c r="H771" s="218"/>
      <c r="I771" s="176"/>
      <c r="J771" s="177"/>
      <c r="K771" s="177"/>
      <c r="L771" s="177"/>
      <c r="M771" s="165"/>
      <c r="N771" s="176"/>
      <c r="O771" s="176"/>
      <c r="P771" s="178"/>
      <c r="Q771" s="105"/>
      <c r="R771" s="344"/>
      <c r="S771" s="105"/>
    </row>
    <row r="772" spans="1:19" ht="29.25" customHeight="1">
      <c r="A772" s="216"/>
      <c r="B772" s="340"/>
      <c r="C772" s="341"/>
      <c r="D772" s="342"/>
      <c r="E772" s="333"/>
      <c r="F772" s="162"/>
      <c r="G772" s="218"/>
      <c r="H772" s="218"/>
      <c r="I772" s="176"/>
      <c r="J772" s="177"/>
      <c r="K772" s="177"/>
      <c r="L772" s="177"/>
      <c r="M772" s="165"/>
      <c r="N772" s="176"/>
      <c r="O772" s="176"/>
      <c r="P772" s="178"/>
      <c r="Q772" s="105"/>
      <c r="R772" s="339"/>
      <c r="S772" s="105"/>
    </row>
    <row r="773" spans="1:19" ht="29.25" customHeight="1">
      <c r="A773" s="216"/>
      <c r="B773" s="340"/>
      <c r="C773" s="341"/>
      <c r="D773" s="342"/>
      <c r="E773" s="343"/>
      <c r="F773" s="162"/>
      <c r="G773" s="218"/>
      <c r="H773" s="218"/>
      <c r="I773" s="176"/>
      <c r="J773" s="177"/>
      <c r="K773" s="177"/>
      <c r="L773" s="177"/>
      <c r="M773" s="165"/>
      <c r="N773" s="176"/>
      <c r="O773" s="176"/>
      <c r="P773" s="178"/>
      <c r="Q773" s="105"/>
      <c r="R773" s="344"/>
      <c r="S773" s="105"/>
    </row>
    <row r="774" spans="1:19" ht="29.25" customHeight="1">
      <c r="A774" s="216"/>
      <c r="B774" s="340"/>
      <c r="C774" s="341"/>
      <c r="D774" s="342"/>
      <c r="E774" s="333"/>
      <c r="F774" s="162"/>
      <c r="G774" s="218"/>
      <c r="H774" s="218"/>
      <c r="I774" s="176"/>
      <c r="J774" s="177"/>
      <c r="K774" s="177"/>
      <c r="L774" s="177"/>
      <c r="M774" s="165"/>
      <c r="N774" s="176"/>
      <c r="O774" s="176"/>
      <c r="P774" s="178"/>
      <c r="Q774" s="105"/>
      <c r="R774" s="339"/>
      <c r="S774" s="105"/>
    </row>
    <row r="775" spans="1:19" ht="29.25" customHeight="1">
      <c r="A775" s="216"/>
      <c r="B775" s="340"/>
      <c r="C775" s="341"/>
      <c r="D775" s="342"/>
      <c r="E775" s="343"/>
      <c r="F775" s="162"/>
      <c r="G775" s="218"/>
      <c r="H775" s="218"/>
      <c r="I775" s="176"/>
      <c r="J775" s="177"/>
      <c r="K775" s="177"/>
      <c r="L775" s="177"/>
      <c r="M775" s="165"/>
      <c r="N775" s="176"/>
      <c r="O775" s="176"/>
      <c r="P775" s="178"/>
      <c r="Q775" s="105"/>
      <c r="R775" s="344"/>
      <c r="S775" s="105"/>
    </row>
    <row r="776" spans="1:19" ht="29.25" customHeight="1">
      <c r="A776" s="216"/>
      <c r="B776" s="340"/>
      <c r="C776" s="341"/>
      <c r="D776" s="342"/>
      <c r="E776" s="333"/>
      <c r="F776" s="162"/>
      <c r="G776" s="218"/>
      <c r="H776" s="218"/>
      <c r="I776" s="176"/>
      <c r="J776" s="177"/>
      <c r="K776" s="177"/>
      <c r="L776" s="177"/>
      <c r="M776" s="165"/>
      <c r="N776" s="176"/>
      <c r="O776" s="176"/>
      <c r="P776" s="178"/>
      <c r="Q776" s="105"/>
      <c r="R776" s="339"/>
      <c r="S776" s="105"/>
    </row>
    <row r="777" spans="1:19" ht="29.25" customHeight="1">
      <c r="A777" s="216"/>
      <c r="B777" s="340"/>
      <c r="C777" s="341"/>
      <c r="D777" s="342"/>
      <c r="E777" s="343"/>
      <c r="F777" s="162"/>
      <c r="G777" s="218"/>
      <c r="H777" s="218"/>
      <c r="I777" s="176"/>
      <c r="J777" s="177"/>
      <c r="K777" s="177"/>
      <c r="L777" s="177"/>
      <c r="M777" s="165"/>
      <c r="N777" s="176"/>
      <c r="O777" s="176"/>
      <c r="P777" s="178"/>
      <c r="Q777" s="105"/>
      <c r="R777" s="344"/>
      <c r="S777" s="105"/>
    </row>
    <row r="778" spans="1:19" ht="29.25" customHeight="1">
      <c r="A778" s="216"/>
      <c r="B778" s="340"/>
      <c r="C778" s="341"/>
      <c r="D778" s="342"/>
      <c r="E778" s="333"/>
      <c r="F778" s="162"/>
      <c r="G778" s="218"/>
      <c r="H778" s="218"/>
      <c r="I778" s="176"/>
      <c r="J778" s="177"/>
      <c r="K778" s="177"/>
      <c r="L778" s="177"/>
      <c r="M778" s="165"/>
      <c r="N778" s="176"/>
      <c r="O778" s="176"/>
      <c r="P778" s="178"/>
      <c r="Q778" s="105"/>
      <c r="R778" s="339"/>
      <c r="S778" s="105"/>
    </row>
    <row r="779" spans="1:19" ht="29.25" customHeight="1">
      <c r="A779" s="216"/>
      <c r="B779" s="340"/>
      <c r="C779" s="341"/>
      <c r="D779" s="342"/>
      <c r="E779" s="343"/>
      <c r="F779" s="162"/>
      <c r="G779" s="218"/>
      <c r="H779" s="218"/>
      <c r="I779" s="176"/>
      <c r="J779" s="177"/>
      <c r="K779" s="177"/>
      <c r="L779" s="177"/>
      <c r="M779" s="165"/>
      <c r="N779" s="176"/>
      <c r="O779" s="176"/>
      <c r="P779" s="178"/>
      <c r="Q779" s="105"/>
      <c r="R779" s="344"/>
      <c r="S779" s="105"/>
    </row>
    <row r="780" spans="1:19" ht="29.25" customHeight="1">
      <c r="A780" s="216"/>
      <c r="B780" s="340"/>
      <c r="C780" s="341"/>
      <c r="D780" s="342"/>
      <c r="E780" s="333"/>
      <c r="F780" s="162"/>
      <c r="G780" s="218"/>
      <c r="H780" s="218"/>
      <c r="I780" s="176"/>
      <c r="J780" s="177"/>
      <c r="K780" s="177"/>
      <c r="L780" s="177"/>
      <c r="M780" s="165"/>
      <c r="N780" s="176"/>
      <c r="O780" s="176"/>
      <c r="P780" s="178"/>
      <c r="Q780" s="105"/>
      <c r="R780" s="339"/>
      <c r="S780" s="105"/>
    </row>
    <row r="781" spans="1:19" ht="29.25" customHeight="1">
      <c r="A781" s="216"/>
      <c r="B781" s="340"/>
      <c r="C781" s="341"/>
      <c r="D781" s="342"/>
      <c r="E781" s="343"/>
      <c r="F781" s="162"/>
      <c r="G781" s="218"/>
      <c r="H781" s="218"/>
      <c r="I781" s="176"/>
      <c r="J781" s="177"/>
      <c r="K781" s="177"/>
      <c r="L781" s="177"/>
      <c r="M781" s="165"/>
      <c r="N781" s="176"/>
      <c r="O781" s="176"/>
      <c r="P781" s="178"/>
      <c r="Q781" s="105"/>
      <c r="R781" s="344"/>
      <c r="S781" s="105"/>
    </row>
    <row r="782" spans="1:19" ht="29.25" customHeight="1">
      <c r="A782" s="216"/>
      <c r="B782" s="340"/>
      <c r="C782" s="341"/>
      <c r="D782" s="342"/>
      <c r="E782" s="333"/>
      <c r="F782" s="162"/>
      <c r="G782" s="218"/>
      <c r="H782" s="218"/>
      <c r="I782" s="176"/>
      <c r="J782" s="177"/>
      <c r="K782" s="177"/>
      <c r="L782" s="177"/>
      <c r="M782" s="165"/>
      <c r="N782" s="176"/>
      <c r="O782" s="176"/>
      <c r="P782" s="178"/>
      <c r="Q782" s="105"/>
      <c r="R782" s="339"/>
      <c r="S782" s="105"/>
    </row>
    <row r="783" spans="1:19" ht="29.25" customHeight="1">
      <c r="A783" s="216"/>
      <c r="B783" s="340"/>
      <c r="C783" s="341"/>
      <c r="D783" s="342"/>
      <c r="E783" s="343"/>
      <c r="F783" s="162"/>
      <c r="G783" s="218"/>
      <c r="H783" s="218"/>
      <c r="I783" s="176"/>
      <c r="J783" s="177"/>
      <c r="K783" s="177"/>
      <c r="L783" s="177"/>
      <c r="M783" s="165"/>
      <c r="N783" s="176"/>
      <c r="O783" s="176"/>
      <c r="P783" s="178"/>
      <c r="Q783" s="105"/>
      <c r="R783" s="344"/>
      <c r="S783" s="105"/>
    </row>
    <row r="784" spans="1:19" ht="29.25" customHeight="1">
      <c r="A784" s="216"/>
      <c r="B784" s="340"/>
      <c r="C784" s="341"/>
      <c r="D784" s="342"/>
      <c r="E784" s="333"/>
      <c r="F784" s="162"/>
      <c r="G784" s="218"/>
      <c r="H784" s="218"/>
      <c r="I784" s="176"/>
      <c r="J784" s="177"/>
      <c r="K784" s="177"/>
      <c r="L784" s="177"/>
      <c r="M784" s="165"/>
      <c r="N784" s="176"/>
      <c r="O784" s="176"/>
      <c r="P784" s="178"/>
      <c r="Q784" s="105"/>
      <c r="R784" s="339"/>
      <c r="S784" s="105"/>
    </row>
    <row r="785" spans="1:19" ht="29.25" customHeight="1">
      <c r="A785" s="216"/>
      <c r="B785" s="340"/>
      <c r="C785" s="341"/>
      <c r="D785" s="342"/>
      <c r="E785" s="343"/>
      <c r="F785" s="162"/>
      <c r="G785" s="218"/>
      <c r="H785" s="218"/>
      <c r="I785" s="176"/>
      <c r="J785" s="177"/>
      <c r="K785" s="177"/>
      <c r="L785" s="177"/>
      <c r="M785" s="165"/>
      <c r="N785" s="176"/>
      <c r="O785" s="176"/>
      <c r="P785" s="178"/>
      <c r="Q785" s="105"/>
      <c r="R785" s="344"/>
      <c r="S785" s="105"/>
    </row>
    <row r="786" spans="1:19" ht="29.25" customHeight="1">
      <c r="A786" s="216"/>
      <c r="B786" s="340"/>
      <c r="C786" s="341"/>
      <c r="D786" s="342"/>
      <c r="E786" s="333"/>
      <c r="F786" s="162"/>
      <c r="G786" s="218"/>
      <c r="H786" s="218"/>
      <c r="I786" s="176"/>
      <c r="J786" s="177"/>
      <c r="K786" s="177"/>
      <c r="L786" s="177"/>
      <c r="M786" s="165"/>
      <c r="N786" s="176"/>
      <c r="O786" s="176"/>
      <c r="P786" s="178"/>
      <c r="Q786" s="105"/>
      <c r="R786" s="339"/>
      <c r="S786" s="105"/>
    </row>
    <row r="787" spans="1:19" ht="29.25" customHeight="1">
      <c r="A787" s="216"/>
      <c r="B787" s="340"/>
      <c r="C787" s="341"/>
      <c r="D787" s="342"/>
      <c r="E787" s="343"/>
      <c r="F787" s="162"/>
      <c r="G787" s="218"/>
      <c r="H787" s="218"/>
      <c r="I787" s="176"/>
      <c r="J787" s="177"/>
      <c r="K787" s="177"/>
      <c r="L787" s="177"/>
      <c r="M787" s="165"/>
      <c r="N787" s="176"/>
      <c r="O787" s="176"/>
      <c r="P787" s="178"/>
      <c r="Q787" s="105"/>
      <c r="R787" s="344"/>
      <c r="S787" s="105"/>
    </row>
    <row r="788" spans="1:19" ht="29.25" customHeight="1">
      <c r="A788" s="216"/>
      <c r="B788" s="340"/>
      <c r="C788" s="341"/>
      <c r="D788" s="342"/>
      <c r="E788" s="333"/>
      <c r="F788" s="162"/>
      <c r="G788" s="218"/>
      <c r="H788" s="218"/>
      <c r="I788" s="176"/>
      <c r="J788" s="177"/>
      <c r="K788" s="177"/>
      <c r="L788" s="177"/>
      <c r="M788" s="165"/>
      <c r="N788" s="176"/>
      <c r="O788" s="176"/>
      <c r="P788" s="178"/>
      <c r="Q788" s="105"/>
      <c r="R788" s="339"/>
      <c r="S788" s="105"/>
    </row>
    <row r="789" spans="1:19" ht="29.25" customHeight="1">
      <c r="A789" s="216"/>
      <c r="B789" s="340"/>
      <c r="C789" s="341"/>
      <c r="D789" s="342"/>
      <c r="E789" s="343"/>
      <c r="F789" s="162"/>
      <c r="G789" s="218"/>
      <c r="H789" s="218"/>
      <c r="I789" s="176"/>
      <c r="J789" s="177"/>
      <c r="K789" s="177"/>
      <c r="L789" s="177"/>
      <c r="M789" s="165"/>
      <c r="N789" s="176"/>
      <c r="O789" s="176"/>
      <c r="P789" s="178"/>
      <c r="Q789" s="105"/>
      <c r="R789" s="344"/>
      <c r="S789" s="105"/>
    </row>
    <row r="790" spans="1:19" ht="29.25" customHeight="1">
      <c r="A790" s="216"/>
      <c r="B790" s="340"/>
      <c r="C790" s="341"/>
      <c r="D790" s="342"/>
      <c r="E790" s="333"/>
      <c r="F790" s="162"/>
      <c r="G790" s="218"/>
      <c r="H790" s="218"/>
      <c r="I790" s="176"/>
      <c r="J790" s="177"/>
      <c r="K790" s="177"/>
      <c r="L790" s="177"/>
      <c r="M790" s="165"/>
      <c r="N790" s="176"/>
      <c r="O790" s="176"/>
      <c r="P790" s="178"/>
      <c r="Q790" s="105"/>
      <c r="R790" s="339"/>
      <c r="S790" s="105"/>
    </row>
    <row r="791" spans="1:19" ht="29.25" customHeight="1">
      <c r="A791" s="216"/>
      <c r="B791" s="340"/>
      <c r="C791" s="341"/>
      <c r="D791" s="342"/>
      <c r="E791" s="343"/>
      <c r="F791" s="162"/>
      <c r="G791" s="218"/>
      <c r="H791" s="218"/>
      <c r="I791" s="176"/>
      <c r="J791" s="177"/>
      <c r="K791" s="177"/>
      <c r="L791" s="177"/>
      <c r="M791" s="165"/>
      <c r="N791" s="176"/>
      <c r="O791" s="176"/>
      <c r="P791" s="178"/>
      <c r="Q791" s="105"/>
      <c r="R791" s="344"/>
      <c r="S791" s="105"/>
    </row>
    <row r="792" spans="1:19" ht="29.25" customHeight="1">
      <c r="A792" s="216"/>
      <c r="B792" s="340"/>
      <c r="C792" s="341"/>
      <c r="D792" s="342"/>
      <c r="E792" s="333"/>
      <c r="F792" s="162"/>
      <c r="G792" s="218"/>
      <c r="H792" s="218"/>
      <c r="I792" s="176"/>
      <c r="J792" s="177"/>
      <c r="K792" s="177"/>
      <c r="L792" s="177"/>
      <c r="M792" s="165"/>
      <c r="N792" s="176"/>
      <c r="O792" s="176"/>
      <c r="P792" s="178"/>
      <c r="Q792" s="105"/>
      <c r="R792" s="339"/>
      <c r="S792" s="105"/>
    </row>
    <row r="793" spans="1:19" ht="29.25" customHeight="1">
      <c r="A793" s="216"/>
      <c r="B793" s="340"/>
      <c r="C793" s="341"/>
      <c r="D793" s="342"/>
      <c r="E793" s="343"/>
      <c r="F793" s="162"/>
      <c r="G793" s="218"/>
      <c r="H793" s="218"/>
      <c r="I793" s="176"/>
      <c r="J793" s="177"/>
      <c r="K793" s="177"/>
      <c r="L793" s="177"/>
      <c r="M793" s="165"/>
      <c r="N793" s="176"/>
      <c r="O793" s="176"/>
      <c r="P793" s="178"/>
      <c r="Q793" s="105"/>
      <c r="R793" s="344"/>
      <c r="S793" s="105"/>
    </row>
    <row r="794" spans="1:19" ht="29.25" customHeight="1">
      <c r="A794" s="216"/>
      <c r="B794" s="340"/>
      <c r="C794" s="341"/>
      <c r="D794" s="342"/>
      <c r="E794" s="333"/>
      <c r="F794" s="162"/>
      <c r="G794" s="218"/>
      <c r="H794" s="218"/>
      <c r="I794" s="176"/>
      <c r="J794" s="177"/>
      <c r="K794" s="177"/>
      <c r="L794" s="177"/>
      <c r="M794" s="165"/>
      <c r="N794" s="176"/>
      <c r="O794" s="176"/>
      <c r="P794" s="178"/>
      <c r="Q794" s="105"/>
      <c r="R794" s="339"/>
      <c r="S794" s="105"/>
    </row>
    <row r="795" spans="1:19" ht="29.25" customHeight="1">
      <c r="A795" s="216"/>
      <c r="B795" s="340"/>
      <c r="C795" s="341"/>
      <c r="D795" s="342"/>
      <c r="E795" s="343"/>
      <c r="F795" s="162"/>
      <c r="G795" s="218"/>
      <c r="H795" s="218"/>
      <c r="I795" s="176"/>
      <c r="J795" s="177"/>
      <c r="K795" s="177"/>
      <c r="L795" s="177"/>
      <c r="M795" s="165"/>
      <c r="N795" s="176"/>
      <c r="O795" s="176"/>
      <c r="P795" s="178"/>
      <c r="Q795" s="105"/>
      <c r="R795" s="344"/>
      <c r="S795" s="105"/>
    </row>
    <row r="796" spans="1:19" ht="29.25" customHeight="1">
      <c r="A796" s="216"/>
      <c r="B796" s="340"/>
      <c r="C796" s="341"/>
      <c r="D796" s="342"/>
      <c r="E796" s="333"/>
      <c r="F796" s="162"/>
      <c r="G796" s="218"/>
      <c r="H796" s="218"/>
      <c r="I796" s="176"/>
      <c r="J796" s="177"/>
      <c r="K796" s="177"/>
      <c r="L796" s="177"/>
      <c r="M796" s="165"/>
      <c r="N796" s="176"/>
      <c r="O796" s="176"/>
      <c r="P796" s="178"/>
      <c r="Q796" s="105"/>
      <c r="R796" s="339"/>
      <c r="S796" s="105"/>
    </row>
    <row r="797" spans="1:19" ht="29.25" customHeight="1">
      <c r="A797" s="216"/>
      <c r="B797" s="340"/>
      <c r="C797" s="341"/>
      <c r="D797" s="342"/>
      <c r="E797" s="343"/>
      <c r="F797" s="162"/>
      <c r="G797" s="218"/>
      <c r="H797" s="218"/>
      <c r="I797" s="176"/>
      <c r="J797" s="177"/>
      <c r="K797" s="177"/>
      <c r="L797" s="177"/>
      <c r="M797" s="165"/>
      <c r="N797" s="176"/>
      <c r="O797" s="176"/>
      <c r="P797" s="178"/>
      <c r="Q797" s="105"/>
      <c r="R797" s="344"/>
      <c r="S797" s="105"/>
    </row>
    <row r="798" spans="1:19" ht="29.25" customHeight="1">
      <c r="A798" s="216"/>
      <c r="B798" s="340"/>
      <c r="C798" s="341"/>
      <c r="D798" s="342"/>
      <c r="E798" s="333"/>
      <c r="F798" s="162"/>
      <c r="G798" s="218"/>
      <c r="H798" s="218"/>
      <c r="I798" s="176"/>
      <c r="J798" s="177"/>
      <c r="K798" s="177"/>
      <c r="L798" s="177"/>
      <c r="M798" s="165"/>
      <c r="N798" s="176"/>
      <c r="O798" s="176"/>
      <c r="P798" s="178"/>
      <c r="Q798" s="105"/>
      <c r="R798" s="339"/>
      <c r="S798" s="105"/>
    </row>
    <row r="799" spans="1:19" ht="29.25" customHeight="1">
      <c r="A799" s="216"/>
      <c r="B799" s="340"/>
      <c r="C799" s="341"/>
      <c r="D799" s="342"/>
      <c r="E799" s="343"/>
      <c r="F799" s="162"/>
      <c r="G799" s="218"/>
      <c r="H799" s="218"/>
      <c r="I799" s="176"/>
      <c r="J799" s="177"/>
      <c r="K799" s="177"/>
      <c r="L799" s="177"/>
      <c r="M799" s="165"/>
      <c r="N799" s="176"/>
      <c r="O799" s="176"/>
      <c r="P799" s="178"/>
      <c r="Q799" s="105"/>
      <c r="R799" s="344"/>
      <c r="S799" s="105"/>
    </row>
    <row r="800" spans="1:19" ht="29.25" customHeight="1">
      <c r="A800" s="216"/>
      <c r="B800" s="340"/>
      <c r="C800" s="341"/>
      <c r="D800" s="342"/>
      <c r="E800" s="333"/>
      <c r="F800" s="162"/>
      <c r="G800" s="218"/>
      <c r="H800" s="218"/>
      <c r="I800" s="176"/>
      <c r="J800" s="177"/>
      <c r="K800" s="177"/>
      <c r="L800" s="177"/>
      <c r="M800" s="165"/>
      <c r="N800" s="176"/>
      <c r="O800" s="176"/>
      <c r="P800" s="178"/>
      <c r="Q800" s="105"/>
      <c r="R800" s="339"/>
      <c r="S800" s="105"/>
    </row>
    <row r="801" spans="1:19" ht="29.25" customHeight="1">
      <c r="A801" s="216"/>
      <c r="B801" s="340"/>
      <c r="C801" s="341"/>
      <c r="D801" s="342"/>
      <c r="E801" s="343"/>
      <c r="F801" s="162"/>
      <c r="G801" s="218"/>
      <c r="H801" s="218"/>
      <c r="I801" s="176"/>
      <c r="J801" s="177"/>
      <c r="K801" s="177"/>
      <c r="L801" s="177"/>
      <c r="M801" s="165"/>
      <c r="N801" s="176"/>
      <c r="O801" s="176"/>
      <c r="P801" s="178"/>
      <c r="Q801" s="105"/>
      <c r="R801" s="344"/>
      <c r="S801" s="105"/>
    </row>
    <row r="802" spans="1:19" ht="29.25" customHeight="1">
      <c r="A802" s="216"/>
      <c r="B802" s="340"/>
      <c r="C802" s="341"/>
      <c r="D802" s="342"/>
      <c r="E802" s="333"/>
      <c r="F802" s="162"/>
      <c r="G802" s="218"/>
      <c r="H802" s="218"/>
      <c r="I802" s="176"/>
      <c r="J802" s="177"/>
      <c r="K802" s="177"/>
      <c r="L802" s="177"/>
      <c r="M802" s="165"/>
      <c r="N802" s="176"/>
      <c r="O802" s="176"/>
      <c r="P802" s="178"/>
      <c r="Q802" s="105"/>
      <c r="R802" s="339"/>
      <c r="S802" s="105"/>
    </row>
    <row r="803" spans="1:19" ht="29.25" customHeight="1">
      <c r="A803" s="216"/>
      <c r="B803" s="340"/>
      <c r="C803" s="341"/>
      <c r="D803" s="342"/>
      <c r="E803" s="343"/>
      <c r="F803" s="162"/>
      <c r="G803" s="218"/>
      <c r="H803" s="218"/>
      <c r="I803" s="176"/>
      <c r="J803" s="177"/>
      <c r="K803" s="177"/>
      <c r="L803" s="177"/>
      <c r="M803" s="165"/>
      <c r="N803" s="176"/>
      <c r="O803" s="176"/>
      <c r="P803" s="178"/>
      <c r="Q803" s="105"/>
      <c r="R803" s="344"/>
      <c r="S803" s="105"/>
    </row>
    <row r="804" spans="1:19" ht="29.25" customHeight="1">
      <c r="A804" s="216"/>
      <c r="B804" s="340"/>
      <c r="C804" s="341"/>
      <c r="D804" s="342"/>
      <c r="E804" s="333"/>
      <c r="F804" s="162"/>
      <c r="G804" s="218"/>
      <c r="H804" s="218"/>
      <c r="I804" s="176"/>
      <c r="J804" s="177"/>
      <c r="K804" s="177"/>
      <c r="L804" s="177"/>
      <c r="M804" s="165"/>
      <c r="N804" s="176"/>
      <c r="O804" s="176"/>
      <c r="P804" s="178"/>
      <c r="Q804" s="105"/>
      <c r="R804" s="339"/>
      <c r="S804" s="105"/>
    </row>
    <row r="805" spans="1:19" ht="29.25" customHeight="1">
      <c r="A805" s="216"/>
      <c r="B805" s="340"/>
      <c r="C805" s="341"/>
      <c r="D805" s="342"/>
      <c r="E805" s="343"/>
      <c r="F805" s="162"/>
      <c r="G805" s="218"/>
      <c r="H805" s="218"/>
      <c r="I805" s="176"/>
      <c r="J805" s="177"/>
      <c r="K805" s="177"/>
      <c r="L805" s="177"/>
      <c r="M805" s="165"/>
      <c r="N805" s="176"/>
      <c r="O805" s="176"/>
      <c r="P805" s="178"/>
      <c r="Q805" s="105"/>
      <c r="R805" s="344"/>
      <c r="S805" s="105"/>
    </row>
    <row r="806" spans="1:19" ht="29.25" customHeight="1">
      <c r="A806" s="216"/>
      <c r="B806" s="340"/>
      <c r="C806" s="341"/>
      <c r="D806" s="342"/>
      <c r="E806" s="333"/>
      <c r="F806" s="162"/>
      <c r="G806" s="218"/>
      <c r="H806" s="218"/>
      <c r="I806" s="176"/>
      <c r="J806" s="177"/>
      <c r="K806" s="177"/>
      <c r="L806" s="177"/>
      <c r="M806" s="165"/>
      <c r="N806" s="176"/>
      <c r="O806" s="176"/>
      <c r="P806" s="178"/>
      <c r="Q806" s="105"/>
      <c r="R806" s="339"/>
      <c r="S806" s="105"/>
    </row>
    <row r="807" spans="1:19" ht="29.25" customHeight="1">
      <c r="A807" s="216"/>
      <c r="B807" s="340"/>
      <c r="C807" s="341"/>
      <c r="D807" s="342"/>
      <c r="E807" s="343"/>
      <c r="F807" s="162"/>
      <c r="G807" s="218"/>
      <c r="H807" s="218"/>
      <c r="I807" s="176"/>
      <c r="J807" s="177"/>
      <c r="K807" s="177"/>
      <c r="L807" s="177"/>
      <c r="M807" s="165"/>
      <c r="N807" s="176"/>
      <c r="O807" s="176"/>
      <c r="P807" s="178"/>
      <c r="Q807" s="105"/>
      <c r="R807" s="344"/>
      <c r="S807" s="105"/>
    </row>
    <row r="808" spans="1:19" ht="29.25" customHeight="1">
      <c r="A808" s="216"/>
      <c r="B808" s="340"/>
      <c r="C808" s="341"/>
      <c r="D808" s="342"/>
      <c r="E808" s="333"/>
      <c r="F808" s="162"/>
      <c r="G808" s="218"/>
      <c r="H808" s="218"/>
      <c r="I808" s="176"/>
      <c r="J808" s="177"/>
      <c r="K808" s="177"/>
      <c r="L808" s="177"/>
      <c r="M808" s="165"/>
      <c r="N808" s="176"/>
      <c r="O808" s="176"/>
      <c r="P808" s="178"/>
      <c r="Q808" s="105"/>
      <c r="R808" s="339"/>
      <c r="S808" s="105"/>
    </row>
    <row r="809" spans="1:19" ht="29.25" customHeight="1">
      <c r="A809" s="216"/>
      <c r="B809" s="340"/>
      <c r="C809" s="341"/>
      <c r="D809" s="342"/>
      <c r="E809" s="343"/>
      <c r="F809" s="162"/>
      <c r="G809" s="218"/>
      <c r="H809" s="218"/>
      <c r="I809" s="176"/>
      <c r="J809" s="177"/>
      <c r="K809" s="177"/>
      <c r="L809" s="177"/>
      <c r="M809" s="165"/>
      <c r="N809" s="176"/>
      <c r="O809" s="176"/>
      <c r="P809" s="178"/>
      <c r="Q809" s="105"/>
      <c r="R809" s="344"/>
      <c r="S809" s="105"/>
    </row>
    <row r="810" spans="1:19" ht="29.25" customHeight="1">
      <c r="A810" s="216"/>
      <c r="B810" s="340"/>
      <c r="C810" s="341"/>
      <c r="D810" s="342"/>
      <c r="E810" s="333"/>
      <c r="F810" s="162"/>
      <c r="G810" s="218"/>
      <c r="H810" s="218"/>
      <c r="I810" s="176"/>
      <c r="J810" s="177"/>
      <c r="K810" s="177"/>
      <c r="L810" s="177"/>
      <c r="M810" s="165"/>
      <c r="N810" s="176"/>
      <c r="O810" s="176"/>
      <c r="P810" s="178"/>
      <c r="Q810" s="105"/>
      <c r="R810" s="339"/>
      <c r="S810" s="105"/>
    </row>
    <row r="811" spans="1:19" ht="29.25" customHeight="1">
      <c r="A811" s="216"/>
      <c r="B811" s="340"/>
      <c r="C811" s="341"/>
      <c r="D811" s="342"/>
      <c r="E811" s="343"/>
      <c r="F811" s="162"/>
      <c r="G811" s="218"/>
      <c r="H811" s="218"/>
      <c r="I811" s="176"/>
      <c r="J811" s="177"/>
      <c r="K811" s="177"/>
      <c r="L811" s="177"/>
      <c r="M811" s="165"/>
      <c r="N811" s="176"/>
      <c r="O811" s="176"/>
      <c r="P811" s="178"/>
      <c r="Q811" s="105"/>
      <c r="R811" s="344"/>
      <c r="S811" s="105"/>
    </row>
    <row r="812" spans="1:19" ht="29.25" customHeight="1">
      <c r="A812" s="216"/>
      <c r="B812" s="340"/>
      <c r="C812" s="341"/>
      <c r="D812" s="342"/>
      <c r="E812" s="333"/>
      <c r="F812" s="162"/>
      <c r="G812" s="218"/>
      <c r="H812" s="218"/>
      <c r="I812" s="176"/>
      <c r="J812" s="177"/>
      <c r="K812" s="177"/>
      <c r="L812" s="177"/>
      <c r="M812" s="165"/>
      <c r="N812" s="176"/>
      <c r="O812" s="176"/>
      <c r="P812" s="178"/>
      <c r="Q812" s="105"/>
      <c r="R812" s="339"/>
      <c r="S812" s="105"/>
    </row>
    <row r="813" spans="1:19" ht="29.25" customHeight="1">
      <c r="A813" s="216"/>
      <c r="B813" s="340"/>
      <c r="C813" s="341"/>
      <c r="D813" s="342"/>
      <c r="E813" s="343"/>
      <c r="F813" s="162"/>
      <c r="G813" s="218"/>
      <c r="H813" s="218"/>
      <c r="I813" s="176"/>
      <c r="J813" s="177"/>
      <c r="K813" s="177"/>
      <c r="L813" s="177"/>
      <c r="M813" s="165"/>
      <c r="N813" s="176"/>
      <c r="O813" s="176"/>
      <c r="P813" s="178"/>
      <c r="Q813" s="105"/>
      <c r="R813" s="344"/>
      <c r="S813" s="105"/>
    </row>
    <row r="814" spans="1:19" ht="29.25" customHeight="1">
      <c r="A814" s="216"/>
      <c r="B814" s="340"/>
      <c r="C814" s="341"/>
      <c r="D814" s="342"/>
      <c r="E814" s="333"/>
      <c r="F814" s="162"/>
      <c r="G814" s="218"/>
      <c r="H814" s="218"/>
      <c r="I814" s="176"/>
      <c r="J814" s="177"/>
      <c r="K814" s="177"/>
      <c r="L814" s="177"/>
      <c r="M814" s="165"/>
      <c r="N814" s="176"/>
      <c r="O814" s="176"/>
      <c r="P814" s="178"/>
      <c r="Q814" s="105"/>
      <c r="R814" s="339"/>
      <c r="S814" s="105"/>
    </row>
    <row r="815" spans="1:19" ht="29.25" customHeight="1">
      <c r="A815" s="216"/>
      <c r="B815" s="340"/>
      <c r="C815" s="341"/>
      <c r="D815" s="342"/>
      <c r="E815" s="343"/>
      <c r="F815" s="162"/>
      <c r="G815" s="218"/>
      <c r="H815" s="218"/>
      <c r="I815" s="176"/>
      <c r="J815" s="177"/>
      <c r="K815" s="177"/>
      <c r="L815" s="177"/>
      <c r="M815" s="165"/>
      <c r="N815" s="176"/>
      <c r="O815" s="176"/>
      <c r="P815" s="178"/>
      <c r="Q815" s="105"/>
      <c r="R815" s="344"/>
      <c r="S815" s="105"/>
    </row>
    <row r="816" spans="1:19" ht="29.25" customHeight="1">
      <c r="A816" s="216"/>
      <c r="B816" s="340"/>
      <c r="C816" s="341"/>
      <c r="D816" s="342"/>
      <c r="E816" s="333"/>
      <c r="F816" s="162"/>
      <c r="G816" s="218"/>
      <c r="H816" s="218"/>
      <c r="I816" s="176"/>
      <c r="J816" s="177"/>
      <c r="K816" s="177"/>
      <c r="L816" s="177"/>
      <c r="M816" s="165"/>
      <c r="N816" s="176"/>
      <c r="O816" s="176"/>
      <c r="P816" s="178"/>
      <c r="Q816" s="105"/>
      <c r="R816" s="339"/>
      <c r="S816" s="105"/>
    </row>
    <row r="817" spans="1:19" ht="29.25" customHeight="1">
      <c r="A817" s="216"/>
      <c r="B817" s="340"/>
      <c r="C817" s="341"/>
      <c r="D817" s="342"/>
      <c r="E817" s="343"/>
      <c r="F817" s="162"/>
      <c r="G817" s="218"/>
      <c r="H817" s="218"/>
      <c r="I817" s="176"/>
      <c r="J817" s="177"/>
      <c r="K817" s="177"/>
      <c r="L817" s="177"/>
      <c r="M817" s="165"/>
      <c r="N817" s="176"/>
      <c r="O817" s="176"/>
      <c r="P817" s="178"/>
      <c r="Q817" s="105"/>
      <c r="R817" s="344"/>
      <c r="S817" s="105"/>
    </row>
    <row r="818" spans="1:19" ht="29.25" customHeight="1">
      <c r="A818" s="216"/>
      <c r="B818" s="340"/>
      <c r="C818" s="341"/>
      <c r="D818" s="342"/>
      <c r="E818" s="333"/>
      <c r="F818" s="162"/>
      <c r="G818" s="218"/>
      <c r="H818" s="218"/>
      <c r="I818" s="176"/>
      <c r="J818" s="177"/>
      <c r="K818" s="177"/>
      <c r="L818" s="177"/>
      <c r="M818" s="165"/>
      <c r="N818" s="176"/>
      <c r="O818" s="176"/>
      <c r="P818" s="178"/>
      <c r="Q818" s="105"/>
      <c r="R818" s="339"/>
      <c r="S818" s="105"/>
    </row>
    <row r="819" spans="1:19" ht="29.25" customHeight="1">
      <c r="A819" s="216"/>
      <c r="B819" s="340"/>
      <c r="C819" s="341"/>
      <c r="D819" s="342"/>
      <c r="E819" s="343"/>
      <c r="F819" s="162"/>
      <c r="G819" s="218"/>
      <c r="H819" s="218"/>
      <c r="I819" s="176"/>
      <c r="J819" s="177"/>
      <c r="K819" s="177"/>
      <c r="L819" s="177"/>
      <c r="M819" s="165"/>
      <c r="N819" s="176"/>
      <c r="O819" s="176"/>
      <c r="P819" s="178"/>
      <c r="Q819" s="105"/>
      <c r="R819" s="344"/>
      <c r="S819" s="105"/>
    </row>
    <row r="820" spans="1:19" ht="29.25" customHeight="1">
      <c r="A820" s="216"/>
      <c r="B820" s="340"/>
      <c r="C820" s="341"/>
      <c r="D820" s="342"/>
      <c r="E820" s="333"/>
      <c r="F820" s="162"/>
      <c r="G820" s="218"/>
      <c r="H820" s="218"/>
      <c r="I820" s="176"/>
      <c r="J820" s="177"/>
      <c r="K820" s="177"/>
      <c r="L820" s="177"/>
      <c r="M820" s="165"/>
      <c r="N820" s="176"/>
      <c r="O820" s="176"/>
      <c r="P820" s="178"/>
      <c r="Q820" s="105"/>
      <c r="R820" s="339"/>
      <c r="S820" s="105"/>
    </row>
    <row r="821" spans="1:19" ht="29.25" customHeight="1">
      <c r="A821" s="216"/>
      <c r="B821" s="340"/>
      <c r="C821" s="341"/>
      <c r="D821" s="342"/>
      <c r="E821" s="343"/>
      <c r="F821" s="162"/>
      <c r="G821" s="218"/>
      <c r="H821" s="218"/>
      <c r="I821" s="176"/>
      <c r="J821" s="177"/>
      <c r="K821" s="177"/>
      <c r="L821" s="177"/>
      <c r="M821" s="165"/>
      <c r="N821" s="176"/>
      <c r="O821" s="176"/>
      <c r="P821" s="178"/>
      <c r="Q821" s="105"/>
      <c r="R821" s="344"/>
      <c r="S821" s="105"/>
    </row>
    <row r="822" spans="1:19" ht="29.25" customHeight="1">
      <c r="A822" s="216"/>
      <c r="B822" s="340"/>
      <c r="C822" s="341"/>
      <c r="D822" s="342"/>
      <c r="E822" s="333"/>
      <c r="F822" s="162"/>
      <c r="G822" s="218"/>
      <c r="H822" s="218"/>
      <c r="I822" s="176"/>
      <c r="J822" s="177"/>
      <c r="K822" s="177"/>
      <c r="L822" s="177"/>
      <c r="M822" s="165"/>
      <c r="N822" s="176"/>
      <c r="O822" s="176"/>
      <c r="P822" s="178"/>
      <c r="Q822" s="105"/>
      <c r="R822" s="339"/>
      <c r="S822" s="105"/>
    </row>
    <row r="823" spans="1:19" ht="29.25" customHeight="1">
      <c r="A823" s="216"/>
      <c r="B823" s="340"/>
      <c r="C823" s="341"/>
      <c r="D823" s="342"/>
      <c r="E823" s="343"/>
      <c r="F823" s="162"/>
      <c r="G823" s="218"/>
      <c r="H823" s="218"/>
      <c r="I823" s="176"/>
      <c r="J823" s="177"/>
      <c r="K823" s="177"/>
      <c r="L823" s="177"/>
      <c r="M823" s="165"/>
      <c r="N823" s="176"/>
      <c r="O823" s="176"/>
      <c r="P823" s="178"/>
      <c r="Q823" s="105"/>
      <c r="R823" s="344"/>
      <c r="S823" s="105"/>
    </row>
    <row r="824" spans="1:19" ht="29.25" customHeight="1">
      <c r="A824" s="216"/>
      <c r="B824" s="340"/>
      <c r="C824" s="341"/>
      <c r="D824" s="342"/>
      <c r="E824" s="333"/>
      <c r="F824" s="162"/>
      <c r="G824" s="218"/>
      <c r="H824" s="218"/>
      <c r="I824" s="176"/>
      <c r="J824" s="177"/>
      <c r="K824" s="177"/>
      <c r="L824" s="177"/>
      <c r="M824" s="165"/>
      <c r="N824" s="176"/>
      <c r="O824" s="176"/>
      <c r="P824" s="178"/>
      <c r="Q824" s="105"/>
      <c r="R824" s="339"/>
      <c r="S824" s="105"/>
    </row>
    <row r="825" spans="1:19" ht="29.25" customHeight="1">
      <c r="A825" s="216"/>
      <c r="B825" s="340"/>
      <c r="C825" s="341"/>
      <c r="D825" s="342"/>
      <c r="E825" s="343"/>
      <c r="F825" s="162"/>
      <c r="G825" s="218"/>
      <c r="H825" s="218"/>
      <c r="I825" s="176"/>
      <c r="J825" s="177"/>
      <c r="K825" s="177"/>
      <c r="L825" s="177"/>
      <c r="M825" s="165"/>
      <c r="N825" s="176"/>
      <c r="O825" s="176"/>
      <c r="P825" s="178"/>
      <c r="Q825" s="105"/>
      <c r="R825" s="344"/>
      <c r="S825" s="105"/>
    </row>
    <row r="826" spans="1:19" ht="29.25" customHeight="1">
      <c r="A826" s="216"/>
      <c r="B826" s="340"/>
      <c r="C826" s="341"/>
      <c r="D826" s="342"/>
      <c r="E826" s="333"/>
      <c r="F826" s="162"/>
      <c r="G826" s="218"/>
      <c r="H826" s="218"/>
      <c r="I826" s="176"/>
      <c r="J826" s="177"/>
      <c r="K826" s="177"/>
      <c r="L826" s="177"/>
      <c r="M826" s="165"/>
      <c r="N826" s="176"/>
      <c r="O826" s="176"/>
      <c r="P826" s="178"/>
      <c r="Q826" s="105"/>
      <c r="R826" s="339"/>
      <c r="S826" s="105"/>
    </row>
    <row r="827" spans="1:19" ht="29.25" customHeight="1">
      <c r="A827" s="216"/>
      <c r="B827" s="340"/>
      <c r="C827" s="341"/>
      <c r="D827" s="342"/>
      <c r="E827" s="343"/>
      <c r="F827" s="162"/>
      <c r="G827" s="218"/>
      <c r="H827" s="218"/>
      <c r="I827" s="176"/>
      <c r="J827" s="177"/>
      <c r="K827" s="177"/>
      <c r="L827" s="177"/>
      <c r="M827" s="165"/>
      <c r="N827" s="176"/>
      <c r="O827" s="176"/>
      <c r="P827" s="178"/>
      <c r="Q827" s="105"/>
      <c r="R827" s="344"/>
      <c r="S827" s="105"/>
    </row>
    <row r="828" spans="1:19" ht="29.25" customHeight="1">
      <c r="A828" s="216"/>
      <c r="B828" s="340"/>
      <c r="C828" s="341"/>
      <c r="D828" s="342"/>
      <c r="E828" s="333"/>
      <c r="F828" s="162"/>
      <c r="G828" s="218"/>
      <c r="H828" s="218"/>
      <c r="I828" s="176"/>
      <c r="J828" s="177"/>
      <c r="K828" s="177"/>
      <c r="L828" s="177"/>
      <c r="M828" s="165"/>
      <c r="N828" s="176"/>
      <c r="O828" s="176"/>
      <c r="P828" s="178"/>
      <c r="Q828" s="105"/>
      <c r="R828" s="339"/>
      <c r="S828" s="105"/>
    </row>
    <row r="829" spans="1:19" ht="29.25" customHeight="1">
      <c r="A829" s="216"/>
      <c r="B829" s="340"/>
      <c r="C829" s="341"/>
      <c r="D829" s="342"/>
      <c r="E829" s="343"/>
      <c r="F829" s="162"/>
      <c r="G829" s="218"/>
      <c r="H829" s="218"/>
      <c r="I829" s="176"/>
      <c r="J829" s="177"/>
      <c r="K829" s="177"/>
      <c r="L829" s="177"/>
      <c r="M829" s="165"/>
      <c r="N829" s="176"/>
      <c r="O829" s="176"/>
      <c r="P829" s="178"/>
      <c r="Q829" s="105"/>
      <c r="R829" s="344"/>
      <c r="S829" s="105"/>
    </row>
    <row r="830" spans="1:19" ht="29.25" customHeight="1">
      <c r="A830" s="216"/>
      <c r="B830" s="340"/>
      <c r="C830" s="341"/>
      <c r="D830" s="342"/>
      <c r="E830" s="333"/>
      <c r="F830" s="162"/>
      <c r="G830" s="218"/>
      <c r="H830" s="218"/>
      <c r="I830" s="176"/>
      <c r="J830" s="177"/>
      <c r="K830" s="177"/>
      <c r="L830" s="177"/>
      <c r="M830" s="165"/>
      <c r="N830" s="176"/>
      <c r="O830" s="176"/>
      <c r="P830" s="178"/>
      <c r="Q830" s="105"/>
      <c r="R830" s="339"/>
      <c r="S830" s="105"/>
    </row>
    <row r="831" spans="1:19" ht="29.25" customHeight="1">
      <c r="A831" s="216"/>
      <c r="B831" s="340"/>
      <c r="C831" s="341"/>
      <c r="D831" s="342"/>
      <c r="E831" s="343"/>
      <c r="F831" s="162"/>
      <c r="G831" s="218"/>
      <c r="H831" s="218"/>
      <c r="I831" s="176"/>
      <c r="J831" s="177"/>
      <c r="K831" s="177"/>
      <c r="L831" s="177"/>
      <c r="M831" s="165"/>
      <c r="N831" s="176"/>
      <c r="O831" s="176"/>
      <c r="P831" s="178"/>
      <c r="Q831" s="105"/>
      <c r="R831" s="344"/>
      <c r="S831" s="105"/>
    </row>
    <row r="832" spans="1:19" ht="29.25" customHeight="1">
      <c r="A832" s="216"/>
      <c r="B832" s="340"/>
      <c r="C832" s="341"/>
      <c r="D832" s="342"/>
      <c r="E832" s="333"/>
      <c r="F832" s="162"/>
      <c r="G832" s="218"/>
      <c r="H832" s="218"/>
      <c r="I832" s="176"/>
      <c r="J832" s="177"/>
      <c r="K832" s="177"/>
      <c r="L832" s="177"/>
      <c r="M832" s="165"/>
      <c r="N832" s="176"/>
      <c r="O832" s="176"/>
      <c r="P832" s="178"/>
      <c r="Q832" s="105"/>
      <c r="R832" s="339"/>
      <c r="S832" s="105"/>
    </row>
    <row r="833" spans="1:19" ht="29.25" customHeight="1">
      <c r="A833" s="216"/>
      <c r="B833" s="340"/>
      <c r="C833" s="341"/>
      <c r="D833" s="342"/>
      <c r="E833" s="343"/>
      <c r="F833" s="162"/>
      <c r="G833" s="218"/>
      <c r="H833" s="218"/>
      <c r="I833" s="176"/>
      <c r="J833" s="177"/>
      <c r="K833" s="177"/>
      <c r="L833" s="177"/>
      <c r="M833" s="165"/>
      <c r="N833" s="176"/>
      <c r="O833" s="176"/>
      <c r="P833" s="178"/>
      <c r="Q833" s="105"/>
      <c r="R833" s="344"/>
      <c r="S833" s="105"/>
    </row>
    <row r="834" spans="1:19" ht="29.25" customHeight="1">
      <c r="A834" s="216"/>
      <c r="B834" s="340"/>
      <c r="C834" s="341"/>
      <c r="D834" s="342"/>
      <c r="E834" s="333"/>
      <c r="F834" s="162"/>
      <c r="G834" s="218"/>
      <c r="H834" s="218"/>
      <c r="I834" s="176"/>
      <c r="J834" s="177"/>
      <c r="K834" s="177"/>
      <c r="L834" s="177"/>
      <c r="M834" s="165"/>
      <c r="N834" s="176"/>
      <c r="O834" s="176"/>
      <c r="P834" s="178"/>
      <c r="Q834" s="105"/>
      <c r="R834" s="339"/>
      <c r="S834" s="105"/>
    </row>
    <row r="835" spans="1:19" ht="29.25" customHeight="1">
      <c r="A835" s="216"/>
      <c r="B835" s="340"/>
      <c r="C835" s="341"/>
      <c r="D835" s="342"/>
      <c r="E835" s="343"/>
      <c r="F835" s="162"/>
      <c r="G835" s="218"/>
      <c r="H835" s="218"/>
      <c r="I835" s="176"/>
      <c r="J835" s="177"/>
      <c r="K835" s="177"/>
      <c r="L835" s="177"/>
      <c r="M835" s="165"/>
      <c r="N835" s="176"/>
      <c r="O835" s="176"/>
      <c r="P835" s="178"/>
      <c r="Q835" s="105"/>
      <c r="R835" s="344"/>
      <c r="S835" s="105"/>
    </row>
    <row r="836" spans="1:19" ht="29.25" customHeight="1">
      <c r="A836" s="216"/>
      <c r="B836" s="340"/>
      <c r="C836" s="341"/>
      <c r="D836" s="342"/>
      <c r="E836" s="333"/>
      <c r="F836" s="162"/>
      <c r="G836" s="218"/>
      <c r="H836" s="218"/>
      <c r="I836" s="176"/>
      <c r="J836" s="177"/>
      <c r="K836" s="177"/>
      <c r="L836" s="177"/>
      <c r="M836" s="165"/>
      <c r="N836" s="176"/>
      <c r="O836" s="176"/>
      <c r="P836" s="178"/>
      <c r="Q836" s="105"/>
      <c r="R836" s="339"/>
      <c r="S836" s="105"/>
    </row>
    <row r="837" spans="1:19" ht="29.25" customHeight="1">
      <c r="A837" s="216"/>
      <c r="B837" s="340"/>
      <c r="C837" s="341"/>
      <c r="D837" s="342"/>
      <c r="E837" s="343"/>
      <c r="F837" s="162"/>
      <c r="G837" s="218"/>
      <c r="H837" s="218"/>
      <c r="I837" s="176"/>
      <c r="J837" s="177"/>
      <c r="K837" s="177"/>
      <c r="L837" s="177"/>
      <c r="M837" s="165"/>
      <c r="N837" s="176"/>
      <c r="O837" s="176"/>
      <c r="P837" s="178"/>
      <c r="Q837" s="105"/>
      <c r="R837" s="344"/>
      <c r="S837" s="105"/>
    </row>
    <row r="838" spans="1:19" ht="29.25" customHeight="1">
      <c r="A838" s="216"/>
      <c r="B838" s="340"/>
      <c r="C838" s="341"/>
      <c r="D838" s="342"/>
      <c r="E838" s="333"/>
      <c r="F838" s="162"/>
      <c r="G838" s="218"/>
      <c r="H838" s="218"/>
      <c r="I838" s="176"/>
      <c r="J838" s="177"/>
      <c r="K838" s="177"/>
      <c r="L838" s="177"/>
      <c r="M838" s="165"/>
      <c r="N838" s="176"/>
      <c r="O838" s="176"/>
      <c r="P838" s="178"/>
      <c r="Q838" s="105"/>
      <c r="R838" s="339"/>
      <c r="S838" s="105"/>
    </row>
    <row r="839" spans="1:19" ht="29.25" customHeight="1">
      <c r="A839" s="216"/>
      <c r="B839" s="340"/>
      <c r="C839" s="341"/>
      <c r="D839" s="342"/>
      <c r="E839" s="343"/>
      <c r="F839" s="162"/>
      <c r="G839" s="218"/>
      <c r="H839" s="218"/>
      <c r="I839" s="176"/>
      <c r="J839" s="177"/>
      <c r="K839" s="177"/>
      <c r="L839" s="177"/>
      <c r="M839" s="165"/>
      <c r="N839" s="176"/>
      <c r="O839" s="176"/>
      <c r="P839" s="178"/>
      <c r="Q839" s="105"/>
      <c r="R839" s="344"/>
      <c r="S839" s="105"/>
    </row>
    <row r="840" spans="1:19" ht="29.25" customHeight="1">
      <c r="A840" s="216"/>
      <c r="B840" s="340"/>
      <c r="C840" s="341"/>
      <c r="D840" s="342"/>
      <c r="E840" s="333"/>
      <c r="F840" s="162"/>
      <c r="G840" s="218"/>
      <c r="H840" s="218"/>
      <c r="I840" s="176"/>
      <c r="J840" s="177"/>
      <c r="K840" s="177"/>
      <c r="L840" s="177"/>
      <c r="M840" s="165"/>
      <c r="N840" s="176"/>
      <c r="O840" s="176"/>
      <c r="P840" s="178"/>
      <c r="Q840" s="105"/>
      <c r="R840" s="339"/>
      <c r="S840" s="105"/>
    </row>
    <row r="841" spans="1:19" ht="29.25" customHeight="1">
      <c r="A841" s="216"/>
      <c r="B841" s="340"/>
      <c r="C841" s="341"/>
      <c r="D841" s="342"/>
      <c r="E841" s="343"/>
      <c r="F841" s="162"/>
      <c r="G841" s="218"/>
      <c r="H841" s="218"/>
      <c r="I841" s="176"/>
      <c r="J841" s="177"/>
      <c r="K841" s="177"/>
      <c r="L841" s="177"/>
      <c r="M841" s="165"/>
      <c r="N841" s="176"/>
      <c r="O841" s="176"/>
      <c r="P841" s="178"/>
      <c r="Q841" s="105"/>
      <c r="R841" s="344"/>
      <c r="S841" s="105"/>
    </row>
    <row r="842" spans="1:19" ht="29.25" customHeight="1">
      <c r="A842" s="216"/>
      <c r="B842" s="340"/>
      <c r="C842" s="341"/>
      <c r="D842" s="342"/>
      <c r="E842" s="333"/>
      <c r="F842" s="162"/>
      <c r="G842" s="218"/>
      <c r="H842" s="218"/>
      <c r="I842" s="176"/>
      <c r="J842" s="177"/>
      <c r="K842" s="177"/>
      <c r="L842" s="177"/>
      <c r="M842" s="165"/>
      <c r="N842" s="176"/>
      <c r="O842" s="176"/>
      <c r="P842" s="178"/>
      <c r="Q842" s="105"/>
      <c r="R842" s="339"/>
      <c r="S842" s="105"/>
    </row>
    <row r="843" spans="1:19" ht="29.25" customHeight="1">
      <c r="A843" s="216"/>
      <c r="B843" s="340"/>
      <c r="C843" s="341"/>
      <c r="D843" s="342"/>
      <c r="E843" s="343"/>
      <c r="F843" s="162"/>
      <c r="G843" s="218"/>
      <c r="H843" s="218"/>
      <c r="I843" s="176"/>
      <c r="J843" s="177"/>
      <c r="K843" s="177"/>
      <c r="L843" s="177"/>
      <c r="M843" s="165"/>
      <c r="N843" s="176"/>
      <c r="O843" s="176"/>
      <c r="P843" s="178"/>
      <c r="Q843" s="105"/>
      <c r="R843" s="344"/>
      <c r="S843" s="105"/>
    </row>
    <row r="844" spans="1:19" ht="29.25" customHeight="1">
      <c r="A844" s="216"/>
      <c r="B844" s="340"/>
      <c r="C844" s="341"/>
      <c r="D844" s="342"/>
      <c r="E844" s="333"/>
      <c r="F844" s="162"/>
      <c r="G844" s="218"/>
      <c r="H844" s="218"/>
      <c r="I844" s="176"/>
      <c r="J844" s="177"/>
      <c r="K844" s="177"/>
      <c r="L844" s="177"/>
      <c r="M844" s="165"/>
      <c r="N844" s="176"/>
      <c r="O844" s="176"/>
      <c r="P844" s="178"/>
      <c r="Q844" s="105"/>
      <c r="R844" s="339"/>
      <c r="S844" s="105"/>
    </row>
    <row r="845" spans="1:19" ht="29.25" customHeight="1">
      <c r="A845" s="216"/>
      <c r="B845" s="340"/>
      <c r="C845" s="341"/>
      <c r="D845" s="342"/>
      <c r="E845" s="343"/>
      <c r="F845" s="162"/>
      <c r="G845" s="218"/>
      <c r="H845" s="218"/>
      <c r="I845" s="176"/>
      <c r="J845" s="177"/>
      <c r="K845" s="177"/>
      <c r="L845" s="177"/>
      <c r="M845" s="165"/>
      <c r="N845" s="176"/>
      <c r="O845" s="176"/>
      <c r="P845" s="178"/>
      <c r="Q845" s="105"/>
      <c r="R845" s="344"/>
      <c r="S845" s="105"/>
    </row>
    <row r="846" spans="1:19" ht="29.25" customHeight="1">
      <c r="A846" s="216"/>
      <c r="B846" s="340"/>
      <c r="C846" s="341"/>
      <c r="D846" s="342"/>
      <c r="E846" s="333"/>
      <c r="F846" s="162"/>
      <c r="G846" s="218"/>
      <c r="H846" s="218"/>
      <c r="I846" s="176"/>
      <c r="J846" s="177"/>
      <c r="K846" s="177"/>
      <c r="L846" s="177"/>
      <c r="M846" s="165"/>
      <c r="N846" s="176"/>
      <c r="O846" s="176"/>
      <c r="P846" s="178"/>
      <c r="Q846" s="105"/>
      <c r="R846" s="339"/>
      <c r="S846" s="105"/>
    </row>
    <row r="847" spans="1:19" ht="29.25" customHeight="1">
      <c r="A847" s="216"/>
      <c r="B847" s="340"/>
      <c r="C847" s="341"/>
      <c r="D847" s="342"/>
      <c r="E847" s="343"/>
      <c r="F847" s="162"/>
      <c r="G847" s="218"/>
      <c r="H847" s="218"/>
      <c r="I847" s="176"/>
      <c r="J847" s="177"/>
      <c r="K847" s="177"/>
      <c r="L847" s="177"/>
      <c r="M847" s="165"/>
      <c r="N847" s="176"/>
      <c r="O847" s="176"/>
      <c r="P847" s="178"/>
      <c r="Q847" s="105"/>
      <c r="R847" s="344"/>
      <c r="S847" s="105"/>
    </row>
    <row r="848" spans="1:19" ht="29.25" customHeight="1">
      <c r="A848" s="216"/>
      <c r="B848" s="340"/>
      <c r="C848" s="341"/>
      <c r="D848" s="342"/>
      <c r="E848" s="333"/>
      <c r="F848" s="162"/>
      <c r="G848" s="218"/>
      <c r="H848" s="218"/>
      <c r="I848" s="176"/>
      <c r="J848" s="177"/>
      <c r="K848" s="177"/>
      <c r="L848" s="177"/>
      <c r="M848" s="165"/>
      <c r="N848" s="176"/>
      <c r="O848" s="176"/>
      <c r="P848" s="178"/>
      <c r="Q848" s="105"/>
      <c r="R848" s="339"/>
      <c r="S848" s="105"/>
    </row>
    <row r="849" spans="1:19" ht="29.25" customHeight="1">
      <c r="A849" s="216"/>
      <c r="B849" s="340"/>
      <c r="C849" s="341"/>
      <c r="D849" s="342"/>
      <c r="E849" s="343"/>
      <c r="F849" s="162"/>
      <c r="G849" s="218"/>
      <c r="H849" s="218"/>
      <c r="I849" s="176"/>
      <c r="J849" s="177"/>
      <c r="K849" s="177"/>
      <c r="L849" s="177"/>
      <c r="M849" s="165"/>
      <c r="N849" s="176"/>
      <c r="O849" s="176"/>
      <c r="P849" s="178"/>
      <c r="Q849" s="105"/>
      <c r="R849" s="344"/>
      <c r="S849" s="105"/>
    </row>
    <row r="850" spans="1:19" ht="29.25" customHeight="1">
      <c r="A850" s="216"/>
      <c r="B850" s="340"/>
      <c r="C850" s="341"/>
      <c r="D850" s="342"/>
      <c r="E850" s="333"/>
      <c r="F850" s="162"/>
      <c r="G850" s="218"/>
      <c r="H850" s="218"/>
      <c r="I850" s="176"/>
      <c r="J850" s="177"/>
      <c r="K850" s="177"/>
      <c r="L850" s="177"/>
      <c r="M850" s="165"/>
      <c r="N850" s="176"/>
      <c r="O850" s="176"/>
      <c r="P850" s="178"/>
      <c r="Q850" s="105"/>
      <c r="R850" s="339"/>
      <c r="S850" s="105"/>
    </row>
    <row r="851" spans="1:19" ht="29.25" customHeight="1">
      <c r="A851" s="216"/>
      <c r="B851" s="340"/>
      <c r="C851" s="341"/>
      <c r="D851" s="342"/>
      <c r="E851" s="343"/>
      <c r="F851" s="162"/>
      <c r="G851" s="218"/>
      <c r="H851" s="218"/>
      <c r="I851" s="176"/>
      <c r="J851" s="177"/>
      <c r="K851" s="177"/>
      <c r="L851" s="177"/>
      <c r="M851" s="165"/>
      <c r="N851" s="176"/>
      <c r="O851" s="176"/>
      <c r="P851" s="178"/>
      <c r="Q851" s="105"/>
      <c r="R851" s="344"/>
      <c r="S851" s="105"/>
    </row>
    <row r="852" spans="1:19" ht="29.25" customHeight="1">
      <c r="A852" s="216"/>
      <c r="B852" s="340"/>
      <c r="C852" s="341"/>
      <c r="D852" s="342"/>
      <c r="E852" s="333"/>
      <c r="F852" s="162"/>
      <c r="G852" s="218"/>
      <c r="H852" s="218"/>
      <c r="I852" s="176"/>
      <c r="J852" s="177"/>
      <c r="K852" s="177"/>
      <c r="L852" s="177"/>
      <c r="M852" s="165"/>
      <c r="N852" s="176"/>
      <c r="O852" s="176"/>
      <c r="P852" s="178"/>
      <c r="Q852" s="105"/>
      <c r="R852" s="339"/>
      <c r="S852" s="105"/>
    </row>
    <row r="853" spans="1:19" ht="29.25" customHeight="1">
      <c r="A853" s="216"/>
      <c r="B853" s="340"/>
      <c r="C853" s="341"/>
      <c r="D853" s="342"/>
      <c r="E853" s="343"/>
      <c r="F853" s="162"/>
      <c r="G853" s="218"/>
      <c r="H853" s="218"/>
      <c r="I853" s="176"/>
      <c r="J853" s="177"/>
      <c r="K853" s="177"/>
      <c r="L853" s="177"/>
      <c r="M853" s="165"/>
      <c r="N853" s="176"/>
      <c r="O853" s="176"/>
      <c r="P853" s="178"/>
      <c r="Q853" s="105"/>
      <c r="R853" s="344"/>
      <c r="S853" s="105"/>
    </row>
    <row r="854" spans="1:19" ht="29.25" customHeight="1">
      <c r="A854" s="216"/>
      <c r="B854" s="340"/>
      <c r="C854" s="341"/>
      <c r="D854" s="342"/>
      <c r="E854" s="333"/>
      <c r="F854" s="162"/>
      <c r="G854" s="218"/>
      <c r="H854" s="218"/>
      <c r="I854" s="176"/>
      <c r="J854" s="177"/>
      <c r="K854" s="177"/>
      <c r="L854" s="177"/>
      <c r="M854" s="165"/>
      <c r="N854" s="176"/>
      <c r="O854" s="176"/>
      <c r="P854" s="178"/>
      <c r="Q854" s="105"/>
      <c r="R854" s="339"/>
      <c r="S854" s="105"/>
    </row>
    <row r="855" spans="1:19" ht="29.25" customHeight="1">
      <c r="A855" s="216"/>
      <c r="B855" s="340"/>
      <c r="C855" s="341"/>
      <c r="D855" s="342"/>
      <c r="E855" s="343"/>
      <c r="F855" s="162"/>
      <c r="G855" s="218"/>
      <c r="H855" s="218"/>
      <c r="I855" s="176"/>
      <c r="J855" s="177"/>
      <c r="K855" s="177"/>
      <c r="L855" s="177"/>
      <c r="M855" s="165"/>
      <c r="N855" s="176"/>
      <c r="O855" s="176"/>
      <c r="P855" s="178"/>
      <c r="Q855" s="105"/>
      <c r="R855" s="344"/>
      <c r="S855" s="105"/>
    </row>
    <row r="856" spans="1:19" ht="29.25" customHeight="1">
      <c r="A856" s="216"/>
      <c r="B856" s="340"/>
      <c r="C856" s="341"/>
      <c r="D856" s="342"/>
      <c r="E856" s="333"/>
      <c r="F856" s="162"/>
      <c r="G856" s="218"/>
      <c r="H856" s="218"/>
      <c r="I856" s="176"/>
      <c r="J856" s="177"/>
      <c r="K856" s="177"/>
      <c r="L856" s="177"/>
      <c r="M856" s="165"/>
      <c r="N856" s="176"/>
      <c r="O856" s="176"/>
      <c r="P856" s="178"/>
      <c r="Q856" s="105"/>
      <c r="R856" s="339"/>
      <c r="S856" s="105"/>
    </row>
    <row r="857" spans="1:19" ht="29.25" customHeight="1">
      <c r="A857" s="216"/>
      <c r="B857" s="340"/>
      <c r="C857" s="341"/>
      <c r="D857" s="342"/>
      <c r="E857" s="343"/>
      <c r="F857" s="162"/>
      <c r="G857" s="218"/>
      <c r="H857" s="218"/>
      <c r="I857" s="176"/>
      <c r="J857" s="177"/>
      <c r="K857" s="177"/>
      <c r="L857" s="177"/>
      <c r="M857" s="165"/>
      <c r="N857" s="176"/>
      <c r="O857" s="176"/>
      <c r="P857" s="178"/>
      <c r="Q857" s="105"/>
      <c r="R857" s="344"/>
      <c r="S857" s="105"/>
    </row>
    <row r="858" spans="1:19" ht="29.25" customHeight="1">
      <c r="A858" s="216"/>
      <c r="B858" s="340"/>
      <c r="C858" s="341"/>
      <c r="D858" s="342"/>
      <c r="E858" s="333"/>
      <c r="F858" s="162"/>
      <c r="G858" s="218"/>
      <c r="H858" s="218"/>
      <c r="I858" s="176"/>
      <c r="J858" s="177"/>
      <c r="K858" s="177"/>
      <c r="L858" s="177"/>
      <c r="M858" s="165"/>
      <c r="N858" s="176"/>
      <c r="O858" s="176"/>
      <c r="P858" s="178"/>
      <c r="Q858" s="105"/>
      <c r="R858" s="339"/>
      <c r="S858" s="105"/>
    </row>
    <row r="859" spans="1:19" ht="29.25" customHeight="1">
      <c r="A859" s="216"/>
      <c r="B859" s="340"/>
      <c r="C859" s="341"/>
      <c r="D859" s="342"/>
      <c r="E859" s="343"/>
      <c r="F859" s="162"/>
      <c r="G859" s="218"/>
      <c r="H859" s="218"/>
      <c r="I859" s="176"/>
      <c r="J859" s="177"/>
      <c r="K859" s="177"/>
      <c r="L859" s="177"/>
      <c r="M859" s="165"/>
      <c r="N859" s="176"/>
      <c r="O859" s="176"/>
      <c r="P859" s="178"/>
      <c r="Q859" s="105"/>
      <c r="R859" s="344"/>
      <c r="S859" s="105"/>
    </row>
    <row r="860" spans="1:19" ht="29.25" customHeight="1">
      <c r="A860" s="216"/>
      <c r="B860" s="340"/>
      <c r="C860" s="341"/>
      <c r="D860" s="342"/>
      <c r="E860" s="333"/>
      <c r="F860" s="162"/>
      <c r="G860" s="218"/>
      <c r="H860" s="218"/>
      <c r="I860" s="176"/>
      <c r="J860" s="177"/>
      <c r="K860" s="177"/>
      <c r="L860" s="177"/>
      <c r="M860" s="165"/>
      <c r="N860" s="176"/>
      <c r="O860" s="176"/>
      <c r="P860" s="178"/>
      <c r="Q860" s="105"/>
      <c r="R860" s="339"/>
      <c r="S860" s="105"/>
    </row>
    <row r="861" spans="1:19" ht="29.25" customHeight="1">
      <c r="A861" s="216"/>
      <c r="B861" s="340"/>
      <c r="C861" s="341"/>
      <c r="D861" s="342"/>
      <c r="E861" s="343"/>
      <c r="F861" s="162"/>
      <c r="G861" s="218"/>
      <c r="H861" s="218"/>
      <c r="I861" s="176"/>
      <c r="J861" s="177"/>
      <c r="K861" s="177"/>
      <c r="L861" s="177"/>
      <c r="M861" s="165"/>
      <c r="N861" s="176"/>
      <c r="O861" s="176"/>
      <c r="P861" s="178"/>
      <c r="Q861" s="105"/>
      <c r="R861" s="344"/>
      <c r="S861" s="105"/>
    </row>
    <row r="862" spans="1:19" ht="29.25" customHeight="1">
      <c r="A862" s="216"/>
      <c r="B862" s="340"/>
      <c r="C862" s="341"/>
      <c r="D862" s="342"/>
      <c r="E862" s="333"/>
      <c r="F862" s="162"/>
      <c r="G862" s="218"/>
      <c r="H862" s="218"/>
      <c r="I862" s="176"/>
      <c r="J862" s="177"/>
      <c r="K862" s="177"/>
      <c r="L862" s="177"/>
      <c r="M862" s="165"/>
      <c r="N862" s="176"/>
      <c r="O862" s="176"/>
      <c r="P862" s="178"/>
      <c r="Q862" s="105"/>
      <c r="R862" s="339"/>
      <c r="S862" s="105"/>
    </row>
    <row r="863" spans="1:19" ht="29.25" customHeight="1">
      <c r="A863" s="216"/>
      <c r="B863" s="340"/>
      <c r="C863" s="341"/>
      <c r="D863" s="342"/>
      <c r="E863" s="343"/>
      <c r="F863" s="162"/>
      <c r="G863" s="218"/>
      <c r="H863" s="218"/>
      <c r="I863" s="176"/>
      <c r="J863" s="177"/>
      <c r="K863" s="177"/>
      <c r="L863" s="177"/>
      <c r="M863" s="165"/>
      <c r="N863" s="176"/>
      <c r="O863" s="176"/>
      <c r="P863" s="178"/>
      <c r="Q863" s="105"/>
      <c r="R863" s="344"/>
      <c r="S863" s="105"/>
    </row>
    <row r="864" spans="1:19" ht="29.25" customHeight="1">
      <c r="A864" s="216"/>
      <c r="B864" s="340"/>
      <c r="C864" s="341"/>
      <c r="D864" s="342"/>
      <c r="E864" s="333"/>
      <c r="F864" s="162"/>
      <c r="G864" s="218"/>
      <c r="H864" s="218"/>
      <c r="I864" s="176"/>
      <c r="J864" s="177"/>
      <c r="K864" s="177"/>
      <c r="L864" s="177"/>
      <c r="M864" s="165"/>
      <c r="N864" s="176"/>
      <c r="O864" s="176"/>
      <c r="P864" s="178"/>
      <c r="Q864" s="105"/>
      <c r="R864" s="339"/>
      <c r="S864" s="105"/>
    </row>
    <row r="865" spans="1:19" ht="29.25" customHeight="1">
      <c r="A865" s="216"/>
      <c r="B865" s="340"/>
      <c r="C865" s="341"/>
      <c r="D865" s="342"/>
      <c r="E865" s="343"/>
      <c r="F865" s="162"/>
      <c r="G865" s="218"/>
      <c r="H865" s="218"/>
      <c r="I865" s="176"/>
      <c r="J865" s="177"/>
      <c r="K865" s="177"/>
      <c r="L865" s="177"/>
      <c r="M865" s="165"/>
      <c r="N865" s="176"/>
      <c r="O865" s="176"/>
      <c r="P865" s="178"/>
      <c r="Q865" s="105"/>
      <c r="R865" s="344"/>
      <c r="S865" s="105"/>
    </row>
    <row r="866" spans="1:19" ht="29.25" customHeight="1">
      <c r="A866" s="216"/>
      <c r="B866" s="340"/>
      <c r="C866" s="341"/>
      <c r="D866" s="342"/>
      <c r="E866" s="333"/>
      <c r="F866" s="162"/>
      <c r="G866" s="218"/>
      <c r="H866" s="218"/>
      <c r="I866" s="176"/>
      <c r="J866" s="177"/>
      <c r="K866" s="177"/>
      <c r="L866" s="177"/>
      <c r="M866" s="165"/>
      <c r="N866" s="176"/>
      <c r="O866" s="176"/>
      <c r="P866" s="178"/>
      <c r="Q866" s="105"/>
      <c r="R866" s="339"/>
      <c r="S866" s="105"/>
    </row>
    <row r="867" spans="1:19" ht="29.25" customHeight="1">
      <c r="A867" s="216"/>
      <c r="B867" s="340"/>
      <c r="C867" s="341"/>
      <c r="D867" s="342"/>
      <c r="E867" s="343"/>
      <c r="F867" s="162"/>
      <c r="G867" s="218"/>
      <c r="H867" s="218"/>
      <c r="I867" s="176"/>
      <c r="J867" s="177"/>
      <c r="K867" s="177"/>
      <c r="L867" s="177"/>
      <c r="M867" s="165"/>
      <c r="N867" s="176"/>
      <c r="O867" s="176"/>
      <c r="P867" s="178"/>
      <c r="Q867" s="105"/>
      <c r="R867" s="344"/>
      <c r="S867" s="105"/>
    </row>
    <row r="868" spans="1:19" ht="29.25" customHeight="1">
      <c r="A868" s="216"/>
      <c r="B868" s="340"/>
      <c r="C868" s="341"/>
      <c r="D868" s="342"/>
      <c r="E868" s="333"/>
      <c r="F868" s="162"/>
      <c r="G868" s="218"/>
      <c r="H868" s="218"/>
      <c r="I868" s="176"/>
      <c r="J868" s="177"/>
      <c r="K868" s="177"/>
      <c r="L868" s="177"/>
      <c r="M868" s="165"/>
      <c r="N868" s="176"/>
      <c r="O868" s="176"/>
      <c r="P868" s="178"/>
      <c r="Q868" s="105"/>
      <c r="R868" s="339"/>
      <c r="S868" s="105"/>
    </row>
    <row r="869" spans="1:19" ht="29.25" customHeight="1">
      <c r="A869" s="216"/>
      <c r="B869" s="340"/>
      <c r="C869" s="341"/>
      <c r="D869" s="342"/>
      <c r="E869" s="343"/>
      <c r="F869" s="162"/>
      <c r="G869" s="218"/>
      <c r="H869" s="218"/>
      <c r="I869" s="176"/>
      <c r="J869" s="177"/>
      <c r="K869" s="177"/>
      <c r="L869" s="177"/>
      <c r="M869" s="165"/>
      <c r="N869" s="176"/>
      <c r="O869" s="176"/>
      <c r="P869" s="178"/>
      <c r="Q869" s="105"/>
      <c r="R869" s="344"/>
      <c r="S869" s="105"/>
    </row>
    <row r="870" spans="1:19" ht="29.25" customHeight="1">
      <c r="A870" s="216"/>
      <c r="B870" s="340"/>
      <c r="C870" s="341"/>
      <c r="D870" s="342"/>
      <c r="E870" s="333"/>
      <c r="F870" s="162"/>
      <c r="G870" s="218"/>
      <c r="H870" s="218"/>
      <c r="I870" s="176"/>
      <c r="J870" s="177"/>
      <c r="K870" s="177"/>
      <c r="L870" s="177"/>
      <c r="M870" s="165"/>
      <c r="N870" s="176"/>
      <c r="O870" s="176"/>
      <c r="P870" s="178"/>
      <c r="Q870" s="105"/>
      <c r="R870" s="339"/>
      <c r="S870" s="105"/>
    </row>
    <row r="871" spans="1:19" ht="29.25" customHeight="1">
      <c r="A871" s="216"/>
      <c r="B871" s="340"/>
      <c r="C871" s="341"/>
      <c r="D871" s="342"/>
      <c r="E871" s="343"/>
      <c r="F871" s="162"/>
      <c r="G871" s="218"/>
      <c r="H871" s="218"/>
      <c r="I871" s="176"/>
      <c r="J871" s="177"/>
      <c r="K871" s="177"/>
      <c r="L871" s="177"/>
      <c r="M871" s="165"/>
      <c r="N871" s="176"/>
      <c r="O871" s="176"/>
      <c r="P871" s="178"/>
      <c r="Q871" s="105"/>
      <c r="R871" s="344"/>
      <c r="S871" s="105"/>
    </row>
    <row r="872" spans="1:19" ht="29.25" customHeight="1">
      <c r="A872" s="216"/>
      <c r="B872" s="340"/>
      <c r="C872" s="341"/>
      <c r="D872" s="342"/>
      <c r="E872" s="333"/>
      <c r="F872" s="162"/>
      <c r="G872" s="218"/>
      <c r="H872" s="218"/>
      <c r="I872" s="176"/>
      <c r="J872" s="177"/>
      <c r="K872" s="177"/>
      <c r="L872" s="177"/>
      <c r="M872" s="165"/>
      <c r="N872" s="176"/>
      <c r="O872" s="176"/>
      <c r="P872" s="178"/>
      <c r="Q872" s="105"/>
      <c r="R872" s="339"/>
      <c r="S872" s="105"/>
    </row>
    <row r="873" spans="1:19" ht="29.25" customHeight="1">
      <c r="A873" s="216"/>
      <c r="B873" s="340"/>
      <c r="C873" s="341"/>
      <c r="D873" s="342"/>
      <c r="E873" s="343"/>
      <c r="F873" s="162"/>
      <c r="G873" s="218"/>
      <c r="H873" s="218"/>
      <c r="I873" s="176"/>
      <c r="J873" s="177"/>
      <c r="K873" s="177"/>
      <c r="L873" s="177"/>
      <c r="M873" s="165"/>
      <c r="N873" s="176"/>
      <c r="O873" s="176"/>
      <c r="P873" s="178"/>
      <c r="Q873" s="105"/>
      <c r="R873" s="344"/>
      <c r="S873" s="105"/>
    </row>
    <row r="874" spans="1:19" ht="29.25" customHeight="1">
      <c r="A874" s="216"/>
      <c r="B874" s="340"/>
      <c r="C874" s="341"/>
      <c r="D874" s="342"/>
      <c r="E874" s="333"/>
      <c r="F874" s="162"/>
      <c r="G874" s="218"/>
      <c r="H874" s="218"/>
      <c r="I874" s="176"/>
      <c r="J874" s="177"/>
      <c r="K874" s="177"/>
      <c r="L874" s="177"/>
      <c r="M874" s="165"/>
      <c r="N874" s="176"/>
      <c r="O874" s="176"/>
      <c r="P874" s="178"/>
      <c r="Q874" s="105"/>
      <c r="R874" s="339"/>
      <c r="S874" s="105"/>
    </row>
    <row r="875" spans="1:19" ht="29.25" customHeight="1">
      <c r="A875" s="216"/>
      <c r="B875" s="340"/>
      <c r="C875" s="341"/>
      <c r="D875" s="342"/>
      <c r="E875" s="343"/>
      <c r="F875" s="162"/>
      <c r="G875" s="218"/>
      <c r="H875" s="218"/>
      <c r="I875" s="176"/>
      <c r="J875" s="177"/>
      <c r="K875" s="177"/>
      <c r="L875" s="177"/>
      <c r="M875" s="165"/>
      <c r="N875" s="176"/>
      <c r="O875" s="176"/>
      <c r="P875" s="178"/>
      <c r="Q875" s="105"/>
      <c r="R875" s="344"/>
      <c r="S875" s="105"/>
    </row>
    <row r="876" spans="1:19" ht="29.25" customHeight="1">
      <c r="A876" s="216"/>
      <c r="B876" s="340"/>
      <c r="C876" s="341"/>
      <c r="D876" s="342"/>
      <c r="E876" s="333"/>
      <c r="F876" s="162"/>
      <c r="G876" s="218"/>
      <c r="H876" s="218"/>
      <c r="I876" s="176"/>
      <c r="J876" s="177"/>
      <c r="K876" s="177"/>
      <c r="L876" s="177"/>
      <c r="M876" s="165"/>
      <c r="N876" s="176"/>
      <c r="O876" s="176"/>
      <c r="P876" s="178"/>
      <c r="Q876" s="105"/>
      <c r="R876" s="339"/>
      <c r="S876" s="105"/>
    </row>
    <row r="877" spans="1:19" ht="29.25" customHeight="1">
      <c r="A877" s="216"/>
      <c r="B877" s="340"/>
      <c r="C877" s="341"/>
      <c r="D877" s="342"/>
      <c r="E877" s="343"/>
      <c r="F877" s="162"/>
      <c r="G877" s="218"/>
      <c r="H877" s="218"/>
      <c r="I877" s="176"/>
      <c r="J877" s="177"/>
      <c r="K877" s="177"/>
      <c r="L877" s="177"/>
      <c r="M877" s="165"/>
      <c r="N877" s="176"/>
      <c r="O877" s="176"/>
      <c r="P877" s="178"/>
      <c r="Q877" s="105"/>
      <c r="R877" s="344"/>
      <c r="S877" s="105"/>
    </row>
    <row r="878" spans="1:19" ht="29.25" customHeight="1">
      <c r="A878" s="216"/>
      <c r="B878" s="340"/>
      <c r="C878" s="341"/>
      <c r="D878" s="342"/>
      <c r="E878" s="333"/>
      <c r="F878" s="162"/>
      <c r="G878" s="218"/>
      <c r="H878" s="218"/>
      <c r="I878" s="176"/>
      <c r="J878" s="177"/>
      <c r="K878" s="177"/>
      <c r="L878" s="177"/>
      <c r="M878" s="165"/>
      <c r="N878" s="176"/>
      <c r="O878" s="176"/>
      <c r="P878" s="178"/>
      <c r="Q878" s="105"/>
      <c r="R878" s="339"/>
      <c r="S878" s="105"/>
    </row>
    <row r="879" spans="1:19" ht="29.25" customHeight="1">
      <c r="A879" s="216"/>
      <c r="B879" s="340"/>
      <c r="C879" s="341"/>
      <c r="D879" s="342"/>
      <c r="E879" s="343"/>
      <c r="F879" s="162"/>
      <c r="G879" s="218"/>
      <c r="H879" s="218"/>
      <c r="I879" s="176"/>
      <c r="J879" s="177"/>
      <c r="K879" s="177"/>
      <c r="L879" s="177"/>
      <c r="M879" s="165"/>
      <c r="N879" s="176"/>
      <c r="O879" s="176"/>
      <c r="P879" s="178"/>
      <c r="Q879" s="105"/>
      <c r="R879" s="344"/>
      <c r="S879" s="105"/>
    </row>
    <row r="880" spans="1:19" ht="29.25" customHeight="1">
      <c r="A880" s="216"/>
      <c r="B880" s="340"/>
      <c r="C880" s="341"/>
      <c r="D880" s="342"/>
      <c r="E880" s="333"/>
      <c r="F880" s="162"/>
      <c r="G880" s="218"/>
      <c r="H880" s="218"/>
      <c r="I880" s="176"/>
      <c r="J880" s="177"/>
      <c r="K880" s="177"/>
      <c r="L880" s="177"/>
      <c r="M880" s="165"/>
      <c r="N880" s="176"/>
      <c r="O880" s="176"/>
      <c r="P880" s="178"/>
      <c r="Q880" s="105"/>
      <c r="R880" s="339"/>
      <c r="S880" s="105"/>
    </row>
    <row r="881" spans="1:19" ht="29.25" customHeight="1">
      <c r="A881" s="216"/>
      <c r="B881" s="340"/>
      <c r="C881" s="341"/>
      <c r="D881" s="342"/>
      <c r="E881" s="343"/>
      <c r="F881" s="162"/>
      <c r="G881" s="218"/>
      <c r="H881" s="218"/>
      <c r="I881" s="176"/>
      <c r="J881" s="177"/>
      <c r="K881" s="177"/>
      <c r="L881" s="177"/>
      <c r="M881" s="165"/>
      <c r="N881" s="176"/>
      <c r="O881" s="176"/>
      <c r="P881" s="178"/>
      <c r="Q881" s="105"/>
      <c r="R881" s="344"/>
      <c r="S881" s="105"/>
    </row>
    <row r="882" spans="1:19" ht="29.25" customHeight="1">
      <c r="A882" s="216"/>
      <c r="B882" s="340"/>
      <c r="C882" s="341"/>
      <c r="D882" s="342"/>
      <c r="E882" s="333"/>
      <c r="F882" s="162"/>
      <c r="G882" s="218"/>
      <c r="H882" s="218"/>
      <c r="I882" s="176"/>
      <c r="J882" s="177"/>
      <c r="K882" s="177"/>
      <c r="L882" s="177"/>
      <c r="M882" s="165"/>
      <c r="N882" s="176"/>
      <c r="O882" s="176"/>
      <c r="P882" s="178"/>
      <c r="Q882" s="105"/>
      <c r="R882" s="339"/>
      <c r="S882" s="105"/>
    </row>
    <row r="883" spans="1:19" ht="29.25" customHeight="1">
      <c r="A883" s="216"/>
      <c r="B883" s="340"/>
      <c r="C883" s="341"/>
      <c r="D883" s="342"/>
      <c r="E883" s="343"/>
      <c r="F883" s="162"/>
      <c r="G883" s="218"/>
      <c r="H883" s="218"/>
      <c r="I883" s="176"/>
      <c r="J883" s="177"/>
      <c r="K883" s="177"/>
      <c r="L883" s="177"/>
      <c r="M883" s="165"/>
      <c r="N883" s="176"/>
      <c r="O883" s="176"/>
      <c r="P883" s="178"/>
      <c r="Q883" s="105"/>
      <c r="R883" s="344"/>
      <c r="S883" s="105"/>
    </row>
    <row r="884" spans="1:19" ht="29.25" customHeight="1">
      <c r="A884" s="216"/>
      <c r="B884" s="340"/>
      <c r="C884" s="341"/>
      <c r="D884" s="342"/>
      <c r="E884" s="333"/>
      <c r="F884" s="162"/>
      <c r="G884" s="218"/>
      <c r="H884" s="218"/>
      <c r="I884" s="176"/>
      <c r="J884" s="177"/>
      <c r="K884" s="177"/>
      <c r="L884" s="177"/>
      <c r="M884" s="165"/>
      <c r="N884" s="176"/>
      <c r="O884" s="176"/>
      <c r="P884" s="178"/>
      <c r="Q884" s="105"/>
      <c r="R884" s="339"/>
      <c r="S884" s="105"/>
    </row>
    <row r="885" spans="1:19" ht="29.25" customHeight="1">
      <c r="A885" s="216"/>
      <c r="B885" s="340"/>
      <c r="C885" s="341"/>
      <c r="D885" s="342"/>
      <c r="E885" s="343"/>
      <c r="F885" s="162"/>
      <c r="G885" s="218"/>
      <c r="H885" s="218"/>
      <c r="I885" s="176"/>
      <c r="J885" s="177"/>
      <c r="K885" s="177"/>
      <c r="L885" s="177"/>
      <c r="M885" s="165"/>
      <c r="N885" s="176"/>
      <c r="O885" s="176"/>
      <c r="P885" s="178"/>
      <c r="Q885" s="105"/>
      <c r="R885" s="344"/>
      <c r="S885" s="105"/>
    </row>
    <row r="886" spans="1:19" ht="29.25" customHeight="1">
      <c r="A886" s="216"/>
      <c r="B886" s="340"/>
      <c r="C886" s="341"/>
      <c r="D886" s="342"/>
      <c r="E886" s="333"/>
      <c r="F886" s="162"/>
      <c r="G886" s="218"/>
      <c r="H886" s="218"/>
      <c r="I886" s="176"/>
      <c r="J886" s="177"/>
      <c r="K886" s="177"/>
      <c r="L886" s="177"/>
      <c r="M886" s="165"/>
      <c r="N886" s="176"/>
      <c r="O886" s="176"/>
      <c r="P886" s="178"/>
      <c r="Q886" s="105"/>
      <c r="R886" s="339"/>
      <c r="S886" s="105"/>
    </row>
    <row r="887" spans="1:19" ht="29.25" customHeight="1">
      <c r="A887" s="216"/>
      <c r="B887" s="340"/>
      <c r="C887" s="341"/>
      <c r="D887" s="342"/>
      <c r="E887" s="343"/>
      <c r="F887" s="162"/>
      <c r="G887" s="218"/>
      <c r="H887" s="218"/>
      <c r="I887" s="176"/>
      <c r="J887" s="177"/>
      <c r="K887" s="177"/>
      <c r="L887" s="177"/>
      <c r="M887" s="165"/>
      <c r="N887" s="176"/>
      <c r="O887" s="176"/>
      <c r="P887" s="178"/>
      <c r="Q887" s="105"/>
      <c r="R887" s="344"/>
      <c r="S887" s="105"/>
    </row>
    <row r="888" spans="1:19" ht="29.25" customHeight="1">
      <c r="A888" s="216"/>
      <c r="B888" s="340"/>
      <c r="C888" s="341"/>
      <c r="D888" s="342"/>
      <c r="E888" s="333"/>
      <c r="F888" s="162"/>
      <c r="G888" s="218"/>
      <c r="H888" s="218"/>
      <c r="I888" s="176"/>
      <c r="J888" s="177"/>
      <c r="K888" s="177"/>
      <c r="L888" s="177"/>
      <c r="M888" s="165"/>
      <c r="N888" s="176"/>
      <c r="O888" s="176"/>
      <c r="P888" s="178"/>
      <c r="Q888" s="105"/>
      <c r="R888" s="339"/>
      <c r="S888" s="105"/>
    </row>
    <row r="889" spans="1:19" ht="29.25" customHeight="1">
      <c r="A889" s="216"/>
      <c r="B889" s="340"/>
      <c r="C889" s="341"/>
      <c r="D889" s="342"/>
      <c r="E889" s="343"/>
      <c r="F889" s="162"/>
      <c r="G889" s="218"/>
      <c r="H889" s="218"/>
      <c r="I889" s="176"/>
      <c r="J889" s="177"/>
      <c r="K889" s="177"/>
      <c r="L889" s="177"/>
      <c r="M889" s="165"/>
      <c r="N889" s="176"/>
      <c r="O889" s="176"/>
      <c r="P889" s="178"/>
      <c r="Q889" s="105"/>
      <c r="R889" s="344"/>
      <c r="S889" s="105"/>
    </row>
    <row r="890" spans="1:19" ht="29.25" customHeight="1">
      <c r="A890" s="216"/>
      <c r="B890" s="340"/>
      <c r="C890" s="341"/>
      <c r="D890" s="342"/>
      <c r="E890" s="333"/>
      <c r="F890" s="162"/>
      <c r="G890" s="218"/>
      <c r="H890" s="218"/>
      <c r="I890" s="176"/>
      <c r="J890" s="177"/>
      <c r="K890" s="177"/>
      <c r="L890" s="177"/>
      <c r="M890" s="165"/>
      <c r="N890" s="176"/>
      <c r="O890" s="176"/>
      <c r="P890" s="178"/>
      <c r="Q890" s="105"/>
      <c r="R890" s="339"/>
      <c r="S890" s="105"/>
    </row>
    <row r="891" spans="1:19" ht="29.25" customHeight="1">
      <c r="A891" s="216"/>
      <c r="B891" s="340"/>
      <c r="C891" s="341"/>
      <c r="D891" s="342"/>
      <c r="E891" s="343"/>
      <c r="F891" s="162"/>
      <c r="G891" s="218"/>
      <c r="H891" s="218"/>
      <c r="I891" s="176"/>
      <c r="J891" s="177"/>
      <c r="K891" s="177"/>
      <c r="L891" s="177"/>
      <c r="M891" s="165"/>
      <c r="N891" s="176"/>
      <c r="O891" s="176"/>
      <c r="P891" s="178"/>
      <c r="Q891" s="105"/>
      <c r="R891" s="344"/>
      <c r="S891" s="105"/>
    </row>
    <row r="892" spans="1:19" ht="29.25" customHeight="1">
      <c r="A892" s="216"/>
      <c r="B892" s="340"/>
      <c r="C892" s="341"/>
      <c r="D892" s="342"/>
      <c r="E892" s="333"/>
      <c r="F892" s="162"/>
      <c r="G892" s="218"/>
      <c r="H892" s="218"/>
      <c r="I892" s="176"/>
      <c r="J892" s="177"/>
      <c r="K892" s="177"/>
      <c r="L892" s="177"/>
      <c r="M892" s="165"/>
      <c r="N892" s="176"/>
      <c r="O892" s="176"/>
      <c r="P892" s="178"/>
      <c r="Q892" s="105"/>
      <c r="R892" s="339"/>
      <c r="S892" s="105"/>
    </row>
    <row r="893" spans="1:19" ht="29.25" customHeight="1">
      <c r="A893" s="216"/>
      <c r="B893" s="340"/>
      <c r="C893" s="341"/>
      <c r="D893" s="342"/>
      <c r="E893" s="343"/>
      <c r="F893" s="162"/>
      <c r="G893" s="218"/>
      <c r="H893" s="218"/>
      <c r="I893" s="176"/>
      <c r="J893" s="177"/>
      <c r="K893" s="177"/>
      <c r="L893" s="177"/>
      <c r="M893" s="165"/>
      <c r="N893" s="176"/>
      <c r="O893" s="176"/>
      <c r="P893" s="178"/>
      <c r="Q893" s="105"/>
      <c r="R893" s="344"/>
      <c r="S893" s="105"/>
    </row>
    <row r="894" spans="1:19" ht="29.25" customHeight="1">
      <c r="A894" s="216"/>
      <c r="B894" s="340"/>
      <c r="C894" s="341"/>
      <c r="D894" s="342"/>
      <c r="E894" s="333"/>
      <c r="F894" s="162"/>
      <c r="G894" s="218"/>
      <c r="H894" s="218"/>
      <c r="I894" s="176"/>
      <c r="J894" s="177"/>
      <c r="K894" s="177"/>
      <c r="L894" s="177"/>
      <c r="M894" s="165"/>
      <c r="N894" s="176"/>
      <c r="O894" s="176"/>
      <c r="P894" s="178"/>
      <c r="Q894" s="105"/>
      <c r="R894" s="339"/>
      <c r="S894" s="105"/>
    </row>
    <row r="895" spans="1:19" ht="29.25" customHeight="1">
      <c r="A895" s="216"/>
      <c r="B895" s="340"/>
      <c r="C895" s="341"/>
      <c r="D895" s="342"/>
      <c r="E895" s="343"/>
      <c r="F895" s="162"/>
      <c r="G895" s="218"/>
      <c r="H895" s="218"/>
      <c r="I895" s="176"/>
      <c r="J895" s="177"/>
      <c r="K895" s="177"/>
      <c r="L895" s="177"/>
      <c r="M895" s="165"/>
      <c r="N895" s="176"/>
      <c r="O895" s="176"/>
      <c r="P895" s="178"/>
      <c r="Q895" s="105"/>
      <c r="R895" s="344"/>
      <c r="S895" s="105"/>
    </row>
    <row r="896" spans="1:19" ht="29.25" customHeight="1">
      <c r="A896" s="216"/>
      <c r="B896" s="340"/>
      <c r="C896" s="341"/>
      <c r="D896" s="342"/>
      <c r="E896" s="333"/>
      <c r="F896" s="162"/>
      <c r="G896" s="218"/>
      <c r="H896" s="218"/>
      <c r="I896" s="176"/>
      <c r="J896" s="177"/>
      <c r="K896" s="177"/>
      <c r="L896" s="177"/>
      <c r="M896" s="165"/>
      <c r="N896" s="176"/>
      <c r="O896" s="176"/>
      <c r="P896" s="178"/>
      <c r="Q896" s="105"/>
      <c r="R896" s="339"/>
      <c r="S896" s="105"/>
    </row>
    <row r="897" spans="1:19" ht="29.25" customHeight="1">
      <c r="A897" s="216"/>
      <c r="B897" s="340"/>
      <c r="C897" s="341"/>
      <c r="D897" s="342"/>
      <c r="E897" s="343"/>
      <c r="F897" s="162"/>
      <c r="G897" s="218"/>
      <c r="H897" s="218"/>
      <c r="I897" s="176"/>
      <c r="J897" s="177"/>
      <c r="K897" s="177"/>
      <c r="L897" s="177"/>
      <c r="M897" s="165"/>
      <c r="N897" s="176"/>
      <c r="O897" s="176"/>
      <c r="P897" s="178"/>
      <c r="Q897" s="105"/>
      <c r="R897" s="344"/>
      <c r="S897" s="105"/>
    </row>
    <row r="898" spans="1:19" ht="29.25" customHeight="1">
      <c r="A898" s="216"/>
      <c r="B898" s="340"/>
      <c r="C898" s="341"/>
      <c r="D898" s="342"/>
      <c r="E898" s="333"/>
      <c r="F898" s="162"/>
      <c r="G898" s="218"/>
      <c r="H898" s="218"/>
      <c r="I898" s="176"/>
      <c r="J898" s="177"/>
      <c r="K898" s="177"/>
      <c r="L898" s="177"/>
      <c r="M898" s="165"/>
      <c r="N898" s="176"/>
      <c r="O898" s="176"/>
      <c r="P898" s="178"/>
      <c r="Q898" s="105"/>
      <c r="R898" s="339"/>
      <c r="S898" s="105"/>
    </row>
    <row r="899" spans="1:19" ht="29.25" customHeight="1">
      <c r="A899" s="216"/>
      <c r="B899" s="340"/>
      <c r="C899" s="341"/>
      <c r="D899" s="342"/>
      <c r="E899" s="343"/>
      <c r="F899" s="162"/>
      <c r="G899" s="218"/>
      <c r="H899" s="218"/>
      <c r="I899" s="176"/>
      <c r="J899" s="177"/>
      <c r="K899" s="177"/>
      <c r="L899" s="177"/>
      <c r="M899" s="165"/>
      <c r="N899" s="176"/>
      <c r="O899" s="176"/>
      <c r="P899" s="178"/>
      <c r="Q899" s="105"/>
      <c r="R899" s="344"/>
      <c r="S899" s="105"/>
    </row>
    <row r="900" spans="1:19" ht="29.25" customHeight="1">
      <c r="A900" s="216"/>
      <c r="B900" s="340"/>
      <c r="C900" s="341"/>
      <c r="D900" s="342"/>
      <c r="E900" s="333"/>
      <c r="F900" s="162"/>
      <c r="G900" s="218"/>
      <c r="H900" s="218"/>
      <c r="I900" s="176"/>
      <c r="J900" s="177"/>
      <c r="K900" s="177"/>
      <c r="L900" s="177"/>
      <c r="M900" s="165"/>
      <c r="N900" s="176"/>
      <c r="O900" s="176"/>
      <c r="P900" s="178"/>
      <c r="Q900" s="105"/>
      <c r="R900" s="339"/>
      <c r="S900" s="105"/>
    </row>
    <row r="901" spans="1:19" ht="29.25" customHeight="1">
      <c r="A901" s="216"/>
      <c r="B901" s="340"/>
      <c r="C901" s="341"/>
      <c r="D901" s="342"/>
      <c r="E901" s="343"/>
      <c r="F901" s="162"/>
      <c r="G901" s="218"/>
      <c r="H901" s="218"/>
      <c r="I901" s="176"/>
      <c r="J901" s="177"/>
      <c r="K901" s="177"/>
      <c r="L901" s="177"/>
      <c r="M901" s="165"/>
      <c r="N901" s="176"/>
      <c r="O901" s="176"/>
      <c r="P901" s="178"/>
      <c r="Q901" s="105"/>
      <c r="R901" s="344"/>
      <c r="S901" s="105"/>
    </row>
    <row r="902" spans="1:19" ht="29.25" customHeight="1">
      <c r="A902" s="216"/>
      <c r="B902" s="340"/>
      <c r="C902" s="341"/>
      <c r="D902" s="342"/>
      <c r="E902" s="333"/>
      <c r="F902" s="162"/>
      <c r="G902" s="218"/>
      <c r="H902" s="218"/>
      <c r="I902" s="176"/>
      <c r="J902" s="177"/>
      <c r="K902" s="177"/>
      <c r="L902" s="177"/>
      <c r="M902" s="165"/>
      <c r="N902" s="176"/>
      <c r="O902" s="176"/>
      <c r="P902" s="178"/>
      <c r="Q902" s="105"/>
      <c r="R902" s="339"/>
      <c r="S902" s="105"/>
    </row>
    <row r="903" spans="1:19" ht="29.25" customHeight="1">
      <c r="A903" s="216"/>
      <c r="B903" s="340"/>
      <c r="C903" s="341"/>
      <c r="D903" s="342"/>
      <c r="E903" s="343"/>
      <c r="F903" s="162"/>
      <c r="G903" s="218"/>
      <c r="H903" s="218"/>
      <c r="I903" s="176"/>
      <c r="J903" s="177"/>
      <c r="K903" s="177"/>
      <c r="L903" s="177"/>
      <c r="M903" s="165"/>
      <c r="N903" s="176"/>
      <c r="O903" s="176"/>
      <c r="P903" s="178"/>
      <c r="Q903" s="105"/>
      <c r="R903" s="344"/>
      <c r="S903" s="105"/>
    </row>
    <row r="904" spans="1:19" ht="29.25" customHeight="1">
      <c r="A904" s="216"/>
      <c r="B904" s="340"/>
      <c r="C904" s="341"/>
      <c r="D904" s="342"/>
      <c r="E904" s="333"/>
      <c r="F904" s="162"/>
      <c r="G904" s="218"/>
      <c r="H904" s="218"/>
      <c r="I904" s="176"/>
      <c r="J904" s="177"/>
      <c r="K904" s="177"/>
      <c r="L904" s="177"/>
      <c r="M904" s="165"/>
      <c r="N904" s="176"/>
      <c r="O904" s="176"/>
      <c r="P904" s="178"/>
      <c r="Q904" s="105"/>
      <c r="R904" s="339"/>
      <c r="S904" s="105"/>
    </row>
    <row r="905" spans="1:19" ht="29.25" customHeight="1">
      <c r="A905" s="216"/>
      <c r="B905" s="340"/>
      <c r="C905" s="341"/>
      <c r="D905" s="342"/>
      <c r="E905" s="343"/>
      <c r="F905" s="162"/>
      <c r="G905" s="218"/>
      <c r="H905" s="218"/>
      <c r="I905" s="176"/>
      <c r="J905" s="177"/>
      <c r="K905" s="177"/>
      <c r="L905" s="177"/>
      <c r="M905" s="165"/>
      <c r="N905" s="176"/>
      <c r="O905" s="176"/>
      <c r="P905" s="178"/>
      <c r="Q905" s="105"/>
      <c r="R905" s="344"/>
      <c r="S905" s="105"/>
    </row>
    <row r="906" spans="1:19" ht="29.25" customHeight="1">
      <c r="A906" s="216"/>
      <c r="B906" s="340"/>
      <c r="C906" s="341"/>
      <c r="D906" s="342"/>
      <c r="E906" s="333"/>
      <c r="F906" s="162"/>
      <c r="G906" s="218"/>
      <c r="H906" s="218"/>
      <c r="I906" s="176"/>
      <c r="J906" s="177"/>
      <c r="K906" s="177"/>
      <c r="L906" s="177"/>
      <c r="M906" s="165"/>
      <c r="N906" s="176"/>
      <c r="O906" s="176"/>
      <c r="P906" s="178"/>
      <c r="Q906" s="105"/>
      <c r="R906" s="339"/>
      <c r="S906" s="105"/>
    </row>
    <row r="907" spans="1:19" ht="29.25" customHeight="1">
      <c r="A907" s="216"/>
      <c r="B907" s="340"/>
      <c r="C907" s="341"/>
      <c r="D907" s="342"/>
      <c r="E907" s="343"/>
      <c r="F907" s="162"/>
      <c r="G907" s="218"/>
      <c r="H907" s="218"/>
      <c r="I907" s="176"/>
      <c r="J907" s="177"/>
      <c r="K907" s="177"/>
      <c r="L907" s="177"/>
      <c r="M907" s="165"/>
      <c r="N907" s="176"/>
      <c r="O907" s="176"/>
      <c r="P907" s="178"/>
      <c r="Q907" s="105"/>
      <c r="R907" s="344"/>
      <c r="S907" s="105"/>
    </row>
    <row r="908" spans="1:19" ht="29.25" customHeight="1">
      <c r="A908" s="216"/>
      <c r="B908" s="340"/>
      <c r="C908" s="341"/>
      <c r="D908" s="342"/>
      <c r="E908" s="333"/>
      <c r="F908" s="162"/>
      <c r="G908" s="218"/>
      <c r="H908" s="218"/>
      <c r="I908" s="176"/>
      <c r="J908" s="177"/>
      <c r="K908" s="177"/>
      <c r="L908" s="177"/>
      <c r="M908" s="165"/>
      <c r="N908" s="176"/>
      <c r="O908" s="176"/>
      <c r="P908" s="178"/>
      <c r="Q908" s="105"/>
      <c r="R908" s="339"/>
      <c r="S908" s="105"/>
    </row>
    <row r="909" spans="1:19" ht="29.25" customHeight="1">
      <c r="A909" s="216"/>
      <c r="B909" s="340"/>
      <c r="C909" s="341"/>
      <c r="D909" s="342"/>
      <c r="E909" s="343"/>
      <c r="F909" s="162"/>
      <c r="G909" s="218"/>
      <c r="H909" s="218"/>
      <c r="I909" s="176"/>
      <c r="J909" s="177"/>
      <c r="K909" s="177"/>
      <c r="L909" s="177"/>
      <c r="M909" s="165"/>
      <c r="N909" s="176"/>
      <c r="O909" s="176"/>
      <c r="P909" s="178"/>
      <c r="Q909" s="105"/>
      <c r="R909" s="344"/>
      <c r="S909" s="105"/>
    </row>
    <row r="910" spans="1:19" ht="29.25" customHeight="1">
      <c r="A910" s="216"/>
      <c r="B910" s="340"/>
      <c r="C910" s="341"/>
      <c r="D910" s="342"/>
      <c r="E910" s="333"/>
      <c r="F910" s="162"/>
      <c r="G910" s="218"/>
      <c r="H910" s="218"/>
      <c r="I910" s="176"/>
      <c r="J910" s="177"/>
      <c r="K910" s="177"/>
      <c r="L910" s="177"/>
      <c r="M910" s="165"/>
      <c r="N910" s="176"/>
      <c r="O910" s="176"/>
      <c r="P910" s="178"/>
      <c r="Q910" s="105"/>
      <c r="R910" s="339"/>
      <c r="S910" s="105"/>
    </row>
    <row r="911" spans="1:19" ht="29.25" customHeight="1">
      <c r="A911" s="216"/>
      <c r="B911" s="340"/>
      <c r="C911" s="341"/>
      <c r="D911" s="342"/>
      <c r="E911" s="343"/>
      <c r="F911" s="162"/>
      <c r="G911" s="218"/>
      <c r="H911" s="218"/>
      <c r="I911" s="176"/>
      <c r="J911" s="177"/>
      <c r="K911" s="177"/>
      <c r="L911" s="177"/>
      <c r="M911" s="165"/>
      <c r="N911" s="176"/>
      <c r="O911" s="176"/>
      <c r="P911" s="178"/>
      <c r="Q911" s="105"/>
      <c r="R911" s="344"/>
      <c r="S911" s="105"/>
    </row>
    <row r="912" spans="1:19" ht="29.25" customHeight="1">
      <c r="A912" s="216"/>
      <c r="B912" s="340"/>
      <c r="C912" s="341"/>
      <c r="D912" s="342"/>
      <c r="E912" s="333"/>
      <c r="F912" s="162"/>
      <c r="G912" s="218"/>
      <c r="H912" s="218"/>
      <c r="I912" s="176"/>
      <c r="J912" s="177"/>
      <c r="K912" s="177"/>
      <c r="L912" s="177"/>
      <c r="M912" s="165"/>
      <c r="N912" s="176"/>
      <c r="O912" s="176"/>
      <c r="P912" s="178"/>
      <c r="Q912" s="105"/>
      <c r="R912" s="339"/>
      <c r="S912" s="105"/>
    </row>
    <row r="913" spans="1:19" ht="29.25" customHeight="1">
      <c r="A913" s="216"/>
      <c r="B913" s="340"/>
      <c r="C913" s="341"/>
      <c r="D913" s="342"/>
      <c r="E913" s="343"/>
      <c r="F913" s="162"/>
      <c r="G913" s="218"/>
      <c r="H913" s="218"/>
      <c r="I913" s="176"/>
      <c r="J913" s="177"/>
      <c r="K913" s="177"/>
      <c r="L913" s="177"/>
      <c r="M913" s="165"/>
      <c r="N913" s="176"/>
      <c r="O913" s="176"/>
      <c r="P913" s="178"/>
      <c r="Q913" s="105"/>
      <c r="R913" s="344"/>
      <c r="S913" s="105"/>
    </row>
    <row r="914" spans="1:19" ht="29.25" customHeight="1">
      <c r="A914" s="216"/>
      <c r="B914" s="340"/>
      <c r="C914" s="341"/>
      <c r="D914" s="342"/>
      <c r="E914" s="333"/>
      <c r="F914" s="162"/>
      <c r="G914" s="218"/>
      <c r="H914" s="218"/>
      <c r="I914" s="176"/>
      <c r="J914" s="177"/>
      <c r="K914" s="177"/>
      <c r="L914" s="177"/>
      <c r="M914" s="165"/>
      <c r="N914" s="176"/>
      <c r="O914" s="176"/>
      <c r="P914" s="178"/>
      <c r="Q914" s="105"/>
      <c r="R914" s="339"/>
      <c r="S914" s="105"/>
    </row>
    <row r="915" spans="1:19" ht="29.25" customHeight="1">
      <c r="A915" s="216"/>
      <c r="B915" s="340"/>
      <c r="C915" s="341"/>
      <c r="D915" s="342"/>
      <c r="E915" s="343"/>
      <c r="F915" s="162"/>
      <c r="G915" s="218"/>
      <c r="H915" s="218"/>
      <c r="I915" s="176"/>
      <c r="J915" s="177"/>
      <c r="K915" s="177"/>
      <c r="L915" s="177"/>
      <c r="M915" s="165"/>
      <c r="N915" s="176"/>
      <c r="O915" s="176"/>
      <c r="P915" s="178"/>
      <c r="Q915" s="105"/>
      <c r="R915" s="344"/>
      <c r="S915" s="105"/>
    </row>
    <row r="916" spans="1:19" ht="29.25" customHeight="1">
      <c r="A916" s="216"/>
      <c r="B916" s="340"/>
      <c r="C916" s="341"/>
      <c r="D916" s="342"/>
      <c r="E916" s="333"/>
      <c r="F916" s="162"/>
      <c r="G916" s="218"/>
      <c r="H916" s="218"/>
      <c r="I916" s="176"/>
      <c r="J916" s="177"/>
      <c r="K916" s="177"/>
      <c r="L916" s="177"/>
      <c r="M916" s="165"/>
      <c r="N916" s="176"/>
      <c r="O916" s="176"/>
      <c r="P916" s="178"/>
      <c r="Q916" s="105"/>
      <c r="R916" s="339"/>
      <c r="S916" s="105"/>
    </row>
    <row r="917" spans="1:19" ht="29.25" customHeight="1">
      <c r="A917" s="216"/>
      <c r="B917" s="340"/>
      <c r="C917" s="341"/>
      <c r="D917" s="342"/>
      <c r="E917" s="343"/>
      <c r="F917" s="162"/>
      <c r="G917" s="218"/>
      <c r="H917" s="218"/>
      <c r="I917" s="176"/>
      <c r="J917" s="177"/>
      <c r="K917" s="177"/>
      <c r="L917" s="177"/>
      <c r="M917" s="165"/>
      <c r="N917" s="176"/>
      <c r="O917" s="176"/>
      <c r="P917" s="178"/>
      <c r="Q917" s="105"/>
      <c r="R917" s="344"/>
      <c r="S917" s="105"/>
    </row>
    <row r="918" spans="1:19" ht="29.25" customHeight="1">
      <c r="A918" s="216"/>
      <c r="B918" s="340"/>
      <c r="C918" s="341"/>
      <c r="D918" s="342"/>
      <c r="E918" s="333"/>
      <c r="F918" s="162"/>
      <c r="G918" s="218"/>
      <c r="H918" s="218"/>
      <c r="I918" s="176"/>
      <c r="J918" s="177"/>
      <c r="K918" s="177"/>
      <c r="L918" s="177"/>
      <c r="M918" s="165"/>
      <c r="N918" s="176"/>
      <c r="O918" s="176"/>
      <c r="P918" s="178"/>
      <c r="Q918" s="105"/>
      <c r="R918" s="339"/>
      <c r="S918" s="105"/>
    </row>
    <row r="919" spans="1:19" ht="29.25" customHeight="1">
      <c r="A919" s="216"/>
      <c r="B919" s="340"/>
      <c r="C919" s="341"/>
      <c r="D919" s="342"/>
      <c r="E919" s="343"/>
      <c r="F919" s="162"/>
      <c r="G919" s="218"/>
      <c r="H919" s="218"/>
      <c r="I919" s="176"/>
      <c r="J919" s="177"/>
      <c r="K919" s="177"/>
      <c r="L919" s="177"/>
      <c r="M919" s="165"/>
      <c r="N919" s="176"/>
      <c r="O919" s="176"/>
      <c r="P919" s="178"/>
      <c r="Q919" s="105"/>
      <c r="R919" s="344"/>
      <c r="S919" s="105"/>
    </row>
    <row r="920" spans="1:19" ht="29.25" customHeight="1">
      <c r="A920" s="216"/>
      <c r="B920" s="340"/>
      <c r="C920" s="341"/>
      <c r="D920" s="342"/>
      <c r="E920" s="333"/>
      <c r="F920" s="162"/>
      <c r="G920" s="218"/>
      <c r="H920" s="218"/>
      <c r="I920" s="176"/>
      <c r="J920" s="177"/>
      <c r="K920" s="177"/>
      <c r="L920" s="177"/>
      <c r="M920" s="165"/>
      <c r="N920" s="176"/>
      <c r="O920" s="176"/>
      <c r="P920" s="178"/>
      <c r="Q920" s="105"/>
      <c r="R920" s="339"/>
      <c r="S920" s="105"/>
    </row>
    <row r="921" spans="1:19" ht="29.25" customHeight="1">
      <c r="A921" s="216"/>
      <c r="B921" s="340"/>
      <c r="C921" s="341"/>
      <c r="D921" s="342"/>
      <c r="E921" s="343"/>
      <c r="F921" s="162"/>
      <c r="G921" s="218"/>
      <c r="H921" s="218"/>
      <c r="I921" s="176"/>
      <c r="J921" s="177"/>
      <c r="K921" s="177"/>
      <c r="L921" s="177"/>
      <c r="M921" s="165"/>
      <c r="N921" s="176"/>
      <c r="O921" s="176"/>
      <c r="P921" s="178"/>
      <c r="Q921" s="105"/>
      <c r="R921" s="344"/>
      <c r="S921" s="105"/>
    </row>
    <row r="922" spans="1:19" ht="29.25" customHeight="1">
      <c r="A922" s="216"/>
      <c r="B922" s="340"/>
      <c r="C922" s="341"/>
      <c r="D922" s="342"/>
      <c r="E922" s="333"/>
      <c r="F922" s="162"/>
      <c r="G922" s="218"/>
      <c r="H922" s="218"/>
      <c r="I922" s="176"/>
      <c r="J922" s="177"/>
      <c r="K922" s="177"/>
      <c r="L922" s="177"/>
      <c r="M922" s="165"/>
      <c r="N922" s="176"/>
      <c r="O922" s="176"/>
      <c r="P922" s="178"/>
      <c r="Q922" s="105"/>
      <c r="R922" s="339"/>
      <c r="S922" s="105"/>
    </row>
    <row r="923" spans="1:19" ht="29.25" customHeight="1">
      <c r="A923" s="216"/>
      <c r="B923" s="340"/>
      <c r="C923" s="341"/>
      <c r="D923" s="342"/>
      <c r="E923" s="343"/>
      <c r="F923" s="162"/>
      <c r="G923" s="218"/>
      <c r="H923" s="218"/>
      <c r="I923" s="176"/>
      <c r="J923" s="177"/>
      <c r="K923" s="177"/>
      <c r="L923" s="177"/>
      <c r="M923" s="165"/>
      <c r="N923" s="176"/>
      <c r="O923" s="176"/>
      <c r="P923" s="178"/>
      <c r="Q923" s="105"/>
      <c r="R923" s="344"/>
      <c r="S923" s="105"/>
    </row>
    <row r="924" spans="1:19" ht="29.25" customHeight="1">
      <c r="A924" s="216"/>
      <c r="B924" s="340"/>
      <c r="C924" s="341"/>
      <c r="D924" s="342"/>
      <c r="E924" s="333"/>
      <c r="F924" s="162"/>
      <c r="G924" s="218"/>
      <c r="H924" s="218"/>
      <c r="I924" s="176"/>
      <c r="J924" s="177"/>
      <c r="K924" s="177"/>
      <c r="L924" s="177"/>
      <c r="M924" s="165"/>
      <c r="N924" s="176"/>
      <c r="O924" s="176"/>
      <c r="P924" s="178"/>
      <c r="Q924" s="105"/>
      <c r="R924" s="339"/>
      <c r="S924" s="105"/>
    </row>
    <row r="925" spans="1:19" ht="29.25" customHeight="1">
      <c r="A925" s="216"/>
      <c r="B925" s="340"/>
      <c r="C925" s="341"/>
      <c r="D925" s="342"/>
      <c r="E925" s="343"/>
      <c r="F925" s="162"/>
      <c r="G925" s="218"/>
      <c r="H925" s="218"/>
      <c r="I925" s="176"/>
      <c r="J925" s="177"/>
      <c r="K925" s="177"/>
      <c r="L925" s="177"/>
      <c r="M925" s="165"/>
      <c r="N925" s="176"/>
      <c r="O925" s="176"/>
      <c r="P925" s="178"/>
      <c r="Q925" s="105"/>
      <c r="R925" s="344"/>
      <c r="S925" s="105"/>
    </row>
    <row r="926" spans="1:19" ht="29.25" customHeight="1">
      <c r="A926" s="216"/>
      <c r="B926" s="340"/>
      <c r="C926" s="341"/>
      <c r="D926" s="342"/>
      <c r="E926" s="333"/>
      <c r="F926" s="162"/>
      <c r="G926" s="218"/>
      <c r="H926" s="218"/>
      <c r="I926" s="176"/>
      <c r="J926" s="177"/>
      <c r="K926" s="177"/>
      <c r="L926" s="177"/>
      <c r="M926" s="165"/>
      <c r="N926" s="176"/>
      <c r="O926" s="176"/>
      <c r="P926" s="178"/>
      <c r="Q926" s="105"/>
      <c r="R926" s="339"/>
      <c r="S926" s="105"/>
    </row>
    <row r="927" spans="1:19" ht="29.25" customHeight="1">
      <c r="A927" s="216"/>
      <c r="B927" s="340"/>
      <c r="C927" s="341"/>
      <c r="D927" s="342"/>
      <c r="E927" s="343"/>
      <c r="F927" s="162"/>
      <c r="G927" s="218"/>
      <c r="H927" s="218"/>
      <c r="I927" s="176"/>
      <c r="J927" s="177"/>
      <c r="K927" s="177"/>
      <c r="L927" s="177"/>
      <c r="M927" s="165"/>
      <c r="N927" s="176"/>
      <c r="O927" s="176"/>
      <c r="P927" s="178"/>
      <c r="Q927" s="105"/>
      <c r="R927" s="344"/>
      <c r="S927" s="105"/>
    </row>
    <row r="928" spans="1:19" ht="29.25" customHeight="1">
      <c r="A928" s="216"/>
      <c r="B928" s="340"/>
      <c r="C928" s="341"/>
      <c r="D928" s="342"/>
      <c r="E928" s="333"/>
      <c r="F928" s="162"/>
      <c r="G928" s="218"/>
      <c r="H928" s="218"/>
      <c r="I928" s="176"/>
      <c r="J928" s="177"/>
      <c r="K928" s="177"/>
      <c r="L928" s="177"/>
      <c r="M928" s="165"/>
      <c r="N928" s="176"/>
      <c r="O928" s="176"/>
      <c r="P928" s="178"/>
      <c r="Q928" s="105"/>
      <c r="R928" s="339"/>
      <c r="S928" s="105"/>
    </row>
    <row r="929" spans="1:19" ht="29.25" customHeight="1">
      <c r="A929" s="216"/>
      <c r="B929" s="340"/>
      <c r="C929" s="341"/>
      <c r="D929" s="342"/>
      <c r="E929" s="343"/>
      <c r="F929" s="162"/>
      <c r="G929" s="218"/>
      <c r="H929" s="218"/>
      <c r="I929" s="176"/>
      <c r="J929" s="177"/>
      <c r="K929" s="177"/>
      <c r="L929" s="177"/>
      <c r="M929" s="165"/>
      <c r="N929" s="176"/>
      <c r="O929" s="176"/>
      <c r="P929" s="178"/>
      <c r="Q929" s="105"/>
      <c r="R929" s="344"/>
      <c r="S929" s="105"/>
    </row>
    <row r="930" spans="1:19" ht="29.25" customHeight="1">
      <c r="A930" s="216"/>
      <c r="B930" s="340"/>
      <c r="C930" s="341"/>
      <c r="D930" s="342"/>
      <c r="E930" s="333"/>
      <c r="F930" s="162"/>
      <c r="G930" s="218"/>
      <c r="H930" s="218"/>
      <c r="I930" s="176"/>
      <c r="J930" s="177"/>
      <c r="K930" s="177"/>
      <c r="L930" s="177"/>
      <c r="M930" s="165"/>
      <c r="N930" s="176"/>
      <c r="O930" s="176"/>
      <c r="P930" s="178"/>
      <c r="Q930" s="105"/>
      <c r="R930" s="339"/>
      <c r="S930" s="105"/>
    </row>
    <row r="931" spans="1:19" ht="29.25" customHeight="1">
      <c r="A931" s="216"/>
      <c r="B931" s="340"/>
      <c r="C931" s="341"/>
      <c r="D931" s="342"/>
      <c r="E931" s="343"/>
      <c r="F931" s="162"/>
      <c r="G931" s="218"/>
      <c r="H931" s="218"/>
      <c r="I931" s="176"/>
      <c r="J931" s="177"/>
      <c r="K931" s="177"/>
      <c r="L931" s="177"/>
      <c r="M931" s="165"/>
      <c r="N931" s="176"/>
      <c r="O931" s="176"/>
      <c r="P931" s="178"/>
      <c r="Q931" s="105"/>
      <c r="R931" s="344"/>
      <c r="S931" s="105"/>
    </row>
    <row r="932" spans="1:19" ht="29.25" customHeight="1">
      <c r="A932" s="216"/>
      <c r="B932" s="340"/>
      <c r="C932" s="341"/>
      <c r="D932" s="342"/>
      <c r="E932" s="333"/>
      <c r="F932" s="162"/>
      <c r="G932" s="218"/>
      <c r="H932" s="218"/>
      <c r="I932" s="176"/>
      <c r="J932" s="177"/>
      <c r="K932" s="177"/>
      <c r="L932" s="177"/>
      <c r="M932" s="165"/>
      <c r="N932" s="176"/>
      <c r="O932" s="176"/>
      <c r="P932" s="178"/>
      <c r="Q932" s="105"/>
      <c r="R932" s="339"/>
      <c r="S932" s="105"/>
    </row>
    <row r="933" spans="1:19" ht="29.25" customHeight="1">
      <c r="A933" s="216"/>
      <c r="B933" s="340"/>
      <c r="C933" s="341"/>
      <c r="D933" s="342"/>
      <c r="E933" s="343"/>
      <c r="F933" s="162"/>
      <c r="G933" s="218"/>
      <c r="H933" s="218"/>
      <c r="I933" s="176"/>
      <c r="J933" s="177"/>
      <c r="K933" s="177"/>
      <c r="L933" s="177"/>
      <c r="M933" s="165"/>
      <c r="N933" s="176"/>
      <c r="O933" s="176"/>
      <c r="P933" s="178"/>
      <c r="Q933" s="105"/>
      <c r="R933" s="344"/>
      <c r="S933" s="105"/>
    </row>
    <row r="934" spans="1:19" ht="29.25" customHeight="1">
      <c r="A934" s="216"/>
      <c r="B934" s="340"/>
      <c r="C934" s="341"/>
      <c r="D934" s="342"/>
      <c r="E934" s="333"/>
      <c r="F934" s="162"/>
      <c r="G934" s="218"/>
      <c r="H934" s="218"/>
      <c r="I934" s="176"/>
      <c r="J934" s="177"/>
      <c r="K934" s="177"/>
      <c r="L934" s="177"/>
      <c r="M934" s="165"/>
      <c r="N934" s="176"/>
      <c r="O934" s="176"/>
      <c r="P934" s="178"/>
      <c r="Q934" s="105"/>
      <c r="R934" s="339"/>
      <c r="S934" s="105"/>
    </row>
    <row r="935" spans="1:19" ht="29.25" customHeight="1">
      <c r="A935" s="216"/>
      <c r="B935" s="340"/>
      <c r="C935" s="341"/>
      <c r="D935" s="342"/>
      <c r="E935" s="343"/>
      <c r="F935" s="162"/>
      <c r="G935" s="218"/>
      <c r="H935" s="218"/>
      <c r="I935" s="176"/>
      <c r="J935" s="177"/>
      <c r="K935" s="177"/>
      <c r="L935" s="177"/>
      <c r="M935" s="165"/>
      <c r="N935" s="176"/>
      <c r="O935" s="176"/>
      <c r="P935" s="178"/>
      <c r="Q935" s="105"/>
      <c r="R935" s="344"/>
      <c r="S935" s="105"/>
    </row>
    <row r="936" spans="1:19" ht="29.25" customHeight="1">
      <c r="A936" s="216"/>
      <c r="B936" s="340"/>
      <c r="C936" s="341"/>
      <c r="D936" s="342"/>
      <c r="E936" s="333"/>
      <c r="F936" s="162"/>
      <c r="G936" s="218"/>
      <c r="H936" s="218"/>
      <c r="I936" s="176"/>
      <c r="J936" s="177"/>
      <c r="K936" s="177"/>
      <c r="L936" s="177"/>
      <c r="M936" s="165"/>
      <c r="N936" s="176"/>
      <c r="O936" s="176"/>
      <c r="P936" s="178"/>
      <c r="Q936" s="105"/>
      <c r="R936" s="339"/>
      <c r="S936" s="105"/>
    </row>
    <row r="937" spans="1:19" ht="29.25" customHeight="1">
      <c r="A937" s="216"/>
      <c r="B937" s="340"/>
      <c r="C937" s="341"/>
      <c r="D937" s="342"/>
      <c r="E937" s="343"/>
      <c r="F937" s="162"/>
      <c r="G937" s="218"/>
      <c r="H937" s="218"/>
      <c r="I937" s="176"/>
      <c r="J937" s="177"/>
      <c r="K937" s="177"/>
      <c r="L937" s="177"/>
      <c r="M937" s="165"/>
      <c r="N937" s="176"/>
      <c r="O937" s="176"/>
      <c r="P937" s="178"/>
      <c r="Q937" s="105"/>
      <c r="R937" s="344"/>
      <c r="S937" s="105"/>
    </row>
    <row r="938" spans="1:19" ht="29.25" customHeight="1">
      <c r="A938" s="216"/>
      <c r="B938" s="340"/>
      <c r="C938" s="341"/>
      <c r="D938" s="342"/>
      <c r="E938" s="333"/>
      <c r="F938" s="162"/>
      <c r="G938" s="218"/>
      <c r="H938" s="218"/>
      <c r="I938" s="176"/>
      <c r="J938" s="177"/>
      <c r="K938" s="177"/>
      <c r="L938" s="177"/>
      <c r="M938" s="165"/>
      <c r="N938" s="176"/>
      <c r="O938" s="176"/>
      <c r="P938" s="178"/>
      <c r="Q938" s="105"/>
      <c r="R938" s="339"/>
      <c r="S938" s="105"/>
    </row>
    <row r="939" spans="1:19" ht="29.25" customHeight="1">
      <c r="A939" s="216"/>
      <c r="B939" s="340"/>
      <c r="C939" s="341"/>
      <c r="D939" s="342"/>
      <c r="E939" s="343"/>
      <c r="F939" s="162"/>
      <c r="G939" s="218"/>
      <c r="H939" s="218"/>
      <c r="I939" s="176"/>
      <c r="J939" s="177"/>
      <c r="K939" s="177"/>
      <c r="L939" s="177"/>
      <c r="M939" s="165"/>
      <c r="N939" s="176"/>
      <c r="O939" s="176"/>
      <c r="P939" s="178"/>
      <c r="Q939" s="105"/>
      <c r="R939" s="344"/>
      <c r="S939" s="105"/>
    </row>
    <row r="940" spans="1:19" ht="29.25" customHeight="1">
      <c r="A940" s="216"/>
      <c r="B940" s="340"/>
      <c r="C940" s="341"/>
      <c r="D940" s="342"/>
      <c r="E940" s="333"/>
      <c r="F940" s="162"/>
      <c r="G940" s="218"/>
      <c r="H940" s="218"/>
      <c r="I940" s="176"/>
      <c r="J940" s="177"/>
      <c r="K940" s="177"/>
      <c r="L940" s="177"/>
      <c r="M940" s="165"/>
      <c r="N940" s="176"/>
      <c r="O940" s="176"/>
      <c r="P940" s="178"/>
      <c r="Q940" s="105"/>
      <c r="R940" s="339"/>
      <c r="S940" s="105"/>
    </row>
    <row r="941" spans="1:19" ht="29.25" customHeight="1">
      <c r="A941" s="216"/>
      <c r="B941" s="340"/>
      <c r="C941" s="341"/>
      <c r="D941" s="342"/>
      <c r="E941" s="343"/>
      <c r="F941" s="162"/>
      <c r="G941" s="218"/>
      <c r="H941" s="218"/>
      <c r="I941" s="176"/>
      <c r="J941" s="177"/>
      <c r="K941" s="177"/>
      <c r="L941" s="177"/>
      <c r="M941" s="165"/>
      <c r="N941" s="176"/>
      <c r="O941" s="176"/>
      <c r="P941" s="178"/>
      <c r="Q941" s="105"/>
      <c r="R941" s="344"/>
      <c r="S941" s="105"/>
    </row>
    <row r="942" spans="1:19" ht="29.25" customHeight="1">
      <c r="A942" s="216"/>
      <c r="B942" s="340"/>
      <c r="C942" s="341"/>
      <c r="D942" s="342"/>
      <c r="E942" s="333"/>
      <c r="F942" s="162"/>
      <c r="G942" s="218"/>
      <c r="H942" s="218"/>
      <c r="I942" s="176"/>
      <c r="J942" s="177"/>
      <c r="K942" s="177"/>
      <c r="L942" s="177"/>
      <c r="M942" s="165"/>
      <c r="N942" s="176"/>
      <c r="O942" s="176"/>
      <c r="P942" s="178"/>
      <c r="Q942" s="105"/>
      <c r="R942" s="339"/>
      <c r="S942" s="105"/>
    </row>
    <row r="943" spans="1:19" ht="29.25" customHeight="1">
      <c r="A943" s="216"/>
      <c r="B943" s="340"/>
      <c r="C943" s="341"/>
      <c r="D943" s="342"/>
      <c r="E943" s="343"/>
      <c r="F943" s="162"/>
      <c r="G943" s="218"/>
      <c r="H943" s="218"/>
      <c r="I943" s="176"/>
      <c r="J943" s="177"/>
      <c r="K943" s="177"/>
      <c r="L943" s="177"/>
      <c r="M943" s="165"/>
      <c r="N943" s="176"/>
      <c r="O943" s="176"/>
      <c r="P943" s="178"/>
      <c r="Q943" s="105"/>
      <c r="R943" s="344"/>
      <c r="S943" s="105"/>
    </row>
    <row r="944" spans="1:19" ht="29.25" customHeight="1">
      <c r="A944" s="216"/>
      <c r="B944" s="340"/>
      <c r="C944" s="341"/>
      <c r="D944" s="342"/>
      <c r="E944" s="333"/>
      <c r="F944" s="162"/>
      <c r="G944" s="218"/>
      <c r="H944" s="218"/>
      <c r="I944" s="176"/>
      <c r="J944" s="177"/>
      <c r="K944" s="177"/>
      <c r="L944" s="177"/>
      <c r="M944" s="165"/>
      <c r="N944" s="176"/>
      <c r="O944" s="176"/>
      <c r="P944" s="178"/>
      <c r="Q944" s="105"/>
      <c r="R944" s="339"/>
      <c r="S944" s="105"/>
    </row>
    <row r="945" spans="1:19" ht="29.25" customHeight="1">
      <c r="A945" s="216"/>
      <c r="B945" s="340"/>
      <c r="C945" s="341"/>
      <c r="D945" s="342"/>
      <c r="E945" s="343"/>
      <c r="F945" s="162"/>
      <c r="G945" s="218"/>
      <c r="H945" s="218"/>
      <c r="I945" s="176"/>
      <c r="J945" s="177"/>
      <c r="K945" s="177"/>
      <c r="L945" s="177"/>
      <c r="M945" s="165"/>
      <c r="N945" s="176"/>
      <c r="O945" s="176"/>
      <c r="P945" s="178"/>
      <c r="Q945" s="105"/>
      <c r="R945" s="344"/>
      <c r="S945" s="105"/>
    </row>
    <row r="946" spans="1:19" ht="29.25" customHeight="1">
      <c r="A946" s="216"/>
      <c r="B946" s="340"/>
      <c r="C946" s="341"/>
      <c r="D946" s="342"/>
      <c r="E946" s="333"/>
      <c r="F946" s="162"/>
      <c r="G946" s="218"/>
      <c r="H946" s="218"/>
      <c r="I946" s="176"/>
      <c r="J946" s="177"/>
      <c r="K946" s="177"/>
      <c r="L946" s="177"/>
      <c r="M946" s="165"/>
      <c r="N946" s="176"/>
      <c r="O946" s="176"/>
      <c r="P946" s="178"/>
      <c r="Q946" s="105"/>
      <c r="R946" s="339"/>
      <c r="S946" s="105"/>
    </row>
    <row r="947" spans="1:19" ht="29.25" customHeight="1">
      <c r="A947" s="216"/>
      <c r="B947" s="340"/>
      <c r="C947" s="341"/>
      <c r="D947" s="342"/>
      <c r="E947" s="343"/>
      <c r="F947" s="162"/>
      <c r="G947" s="218"/>
      <c r="H947" s="218"/>
      <c r="I947" s="176"/>
      <c r="J947" s="177"/>
      <c r="K947" s="177"/>
      <c r="L947" s="177"/>
      <c r="M947" s="165"/>
      <c r="N947" s="176"/>
      <c r="O947" s="176"/>
      <c r="P947" s="178"/>
      <c r="Q947" s="105"/>
      <c r="R947" s="344"/>
      <c r="S947" s="105"/>
    </row>
    <row r="948" spans="1:19" ht="29.25" customHeight="1">
      <c r="A948" s="216"/>
      <c r="B948" s="340"/>
      <c r="C948" s="341"/>
      <c r="D948" s="342"/>
      <c r="E948" s="333"/>
      <c r="F948" s="162"/>
      <c r="G948" s="218"/>
      <c r="H948" s="218"/>
      <c r="I948" s="176"/>
      <c r="J948" s="177"/>
      <c r="K948" s="177"/>
      <c r="L948" s="177"/>
      <c r="M948" s="165"/>
      <c r="N948" s="176"/>
      <c r="O948" s="176"/>
      <c r="P948" s="178"/>
      <c r="Q948" s="105"/>
      <c r="R948" s="339"/>
      <c r="S948" s="105"/>
    </row>
    <row r="949" spans="1:19" ht="29.25" customHeight="1">
      <c r="A949" s="216"/>
      <c r="B949" s="340"/>
      <c r="C949" s="341"/>
      <c r="D949" s="342"/>
      <c r="E949" s="343"/>
      <c r="F949" s="162"/>
      <c r="G949" s="218"/>
      <c r="H949" s="218"/>
      <c r="I949" s="176"/>
      <c r="J949" s="177"/>
      <c r="K949" s="177"/>
      <c r="L949" s="177"/>
      <c r="M949" s="165"/>
      <c r="N949" s="176"/>
      <c r="O949" s="176"/>
      <c r="P949" s="178"/>
      <c r="Q949" s="105"/>
      <c r="R949" s="344"/>
      <c r="S949" s="105"/>
    </row>
    <row r="950" spans="1:19" ht="29.25" customHeight="1">
      <c r="A950" s="216"/>
      <c r="B950" s="340"/>
      <c r="C950" s="341"/>
      <c r="D950" s="342"/>
      <c r="E950" s="333"/>
      <c r="F950" s="162"/>
      <c r="G950" s="218"/>
      <c r="H950" s="218"/>
      <c r="I950" s="176"/>
      <c r="J950" s="177"/>
      <c r="K950" s="177"/>
      <c r="L950" s="177"/>
      <c r="M950" s="165"/>
      <c r="N950" s="176"/>
      <c r="O950" s="176"/>
      <c r="P950" s="178"/>
      <c r="Q950" s="105"/>
      <c r="R950" s="339"/>
      <c r="S950" s="105"/>
    </row>
    <row r="951" spans="1:19" ht="29.25" customHeight="1">
      <c r="A951" s="216"/>
      <c r="B951" s="340"/>
      <c r="C951" s="341"/>
      <c r="D951" s="342"/>
      <c r="E951" s="343"/>
      <c r="F951" s="162"/>
      <c r="G951" s="218"/>
      <c r="H951" s="218"/>
      <c r="I951" s="176"/>
      <c r="J951" s="177"/>
      <c r="K951" s="177"/>
      <c r="L951" s="177"/>
      <c r="M951" s="165"/>
      <c r="N951" s="176"/>
      <c r="O951" s="176"/>
      <c r="P951" s="178"/>
      <c r="Q951" s="105"/>
      <c r="R951" s="344"/>
      <c r="S951" s="105"/>
    </row>
    <row r="952" spans="1:19" ht="29.25" customHeight="1">
      <c r="A952" s="216"/>
      <c r="B952" s="340"/>
      <c r="C952" s="341"/>
      <c r="D952" s="342"/>
      <c r="E952" s="333"/>
      <c r="F952" s="162"/>
      <c r="G952" s="218"/>
      <c r="H952" s="218"/>
      <c r="I952" s="176"/>
      <c r="J952" s="177"/>
      <c r="K952" s="177"/>
      <c r="L952" s="177"/>
      <c r="M952" s="165"/>
      <c r="N952" s="176"/>
      <c r="O952" s="176"/>
      <c r="P952" s="178"/>
      <c r="Q952" s="105"/>
      <c r="R952" s="339"/>
      <c r="S952" s="105"/>
    </row>
    <row r="953" spans="1:19" ht="29.25" customHeight="1">
      <c r="A953" s="216"/>
      <c r="B953" s="340"/>
      <c r="C953" s="341"/>
      <c r="D953" s="342"/>
      <c r="E953" s="343"/>
      <c r="F953" s="162"/>
      <c r="G953" s="218"/>
      <c r="H953" s="218"/>
      <c r="I953" s="176"/>
      <c r="J953" s="177"/>
      <c r="K953" s="177"/>
      <c r="L953" s="177"/>
      <c r="M953" s="165"/>
      <c r="N953" s="176"/>
      <c r="O953" s="176"/>
      <c r="P953" s="178"/>
      <c r="Q953" s="105"/>
      <c r="R953" s="344"/>
      <c r="S953" s="105"/>
    </row>
    <row r="954" spans="1:19" ht="29.25" customHeight="1">
      <c r="A954" s="216"/>
      <c r="B954" s="340"/>
      <c r="C954" s="341"/>
      <c r="D954" s="342"/>
      <c r="E954" s="333"/>
      <c r="F954" s="162"/>
      <c r="G954" s="218"/>
      <c r="H954" s="218"/>
      <c r="I954" s="176"/>
      <c r="J954" s="177"/>
      <c r="K954" s="177"/>
      <c r="L954" s="177"/>
      <c r="M954" s="165"/>
      <c r="N954" s="176"/>
      <c r="O954" s="176"/>
      <c r="P954" s="178"/>
      <c r="Q954" s="105"/>
      <c r="R954" s="339"/>
      <c r="S954" s="105"/>
    </row>
    <row r="955" spans="1:19" ht="29.25" customHeight="1">
      <c r="A955" s="216"/>
      <c r="B955" s="340"/>
      <c r="C955" s="341"/>
      <c r="D955" s="342"/>
      <c r="E955" s="343"/>
      <c r="F955" s="162"/>
      <c r="G955" s="218"/>
      <c r="H955" s="218"/>
      <c r="I955" s="176"/>
      <c r="J955" s="177"/>
      <c r="K955" s="177"/>
      <c r="L955" s="177"/>
      <c r="M955" s="165"/>
      <c r="N955" s="176"/>
      <c r="O955" s="176"/>
      <c r="P955" s="178"/>
      <c r="Q955" s="105"/>
      <c r="R955" s="344"/>
      <c r="S955" s="105"/>
    </row>
    <row r="956" spans="1:19" ht="29.25" customHeight="1">
      <c r="A956" s="216"/>
      <c r="B956" s="340"/>
      <c r="C956" s="341"/>
      <c r="D956" s="342"/>
      <c r="E956" s="333"/>
      <c r="F956" s="162"/>
      <c r="G956" s="218"/>
      <c r="H956" s="218"/>
      <c r="I956" s="176"/>
      <c r="J956" s="177"/>
      <c r="K956" s="177"/>
      <c r="L956" s="177"/>
      <c r="M956" s="165"/>
      <c r="N956" s="176"/>
      <c r="O956" s="176"/>
      <c r="P956" s="178"/>
      <c r="Q956" s="105"/>
      <c r="R956" s="339"/>
      <c r="S956" s="105"/>
    </row>
    <row r="957" spans="1:19" ht="29.25" customHeight="1">
      <c r="A957" s="216"/>
      <c r="B957" s="340"/>
      <c r="C957" s="341"/>
      <c r="D957" s="342"/>
      <c r="E957" s="343"/>
      <c r="F957" s="162"/>
      <c r="G957" s="218"/>
      <c r="H957" s="218"/>
      <c r="I957" s="176"/>
      <c r="J957" s="177"/>
      <c r="K957" s="177"/>
      <c r="L957" s="177"/>
      <c r="M957" s="165"/>
      <c r="N957" s="176"/>
      <c r="O957" s="176"/>
      <c r="P957" s="178"/>
      <c r="Q957" s="105"/>
      <c r="R957" s="344"/>
      <c r="S957" s="105"/>
    </row>
    <row r="958" spans="1:19" ht="29.25" customHeight="1">
      <c r="A958" s="216"/>
      <c r="B958" s="340"/>
      <c r="C958" s="341"/>
      <c r="D958" s="342"/>
      <c r="E958" s="333"/>
      <c r="F958" s="162"/>
      <c r="G958" s="218"/>
      <c r="H958" s="218"/>
      <c r="I958" s="176"/>
      <c r="J958" s="177"/>
      <c r="K958" s="177"/>
      <c r="L958" s="177"/>
      <c r="M958" s="165"/>
      <c r="N958" s="176"/>
      <c r="O958" s="176"/>
      <c r="P958" s="178"/>
      <c r="Q958" s="105"/>
      <c r="R958" s="339"/>
      <c r="S958" s="105"/>
    </row>
    <row r="959" spans="1:19" ht="29.25" customHeight="1">
      <c r="A959" s="216"/>
      <c r="B959" s="340"/>
      <c r="C959" s="341"/>
      <c r="D959" s="342"/>
      <c r="E959" s="343"/>
      <c r="F959" s="162"/>
      <c r="G959" s="218"/>
      <c r="H959" s="218"/>
      <c r="I959" s="176"/>
      <c r="J959" s="177"/>
      <c r="K959" s="177"/>
      <c r="L959" s="177"/>
      <c r="M959" s="165"/>
      <c r="N959" s="176"/>
      <c r="O959" s="176"/>
      <c r="P959" s="178"/>
      <c r="Q959" s="105"/>
      <c r="R959" s="344"/>
      <c r="S959" s="105"/>
    </row>
    <row r="960" spans="1:19" ht="29.25" customHeight="1">
      <c r="A960" s="216"/>
      <c r="B960" s="340"/>
      <c r="C960" s="341"/>
      <c r="D960" s="342"/>
      <c r="E960" s="333"/>
      <c r="F960" s="162"/>
      <c r="G960" s="218"/>
      <c r="H960" s="218"/>
      <c r="I960" s="176"/>
      <c r="J960" s="177"/>
      <c r="K960" s="177"/>
      <c r="L960" s="177"/>
      <c r="M960" s="165"/>
      <c r="N960" s="176"/>
      <c r="O960" s="176"/>
      <c r="P960" s="178"/>
      <c r="Q960" s="105"/>
      <c r="R960" s="339"/>
      <c r="S960" s="105"/>
    </row>
    <row r="961" spans="1:19" ht="29.25" customHeight="1">
      <c r="A961" s="216"/>
      <c r="B961" s="340"/>
      <c r="C961" s="341"/>
      <c r="D961" s="342"/>
      <c r="E961" s="343"/>
      <c r="F961" s="162"/>
      <c r="G961" s="218"/>
      <c r="H961" s="218"/>
      <c r="I961" s="176"/>
      <c r="J961" s="177"/>
      <c r="K961" s="177"/>
      <c r="L961" s="177"/>
      <c r="M961" s="165"/>
      <c r="N961" s="176"/>
      <c r="O961" s="176"/>
      <c r="P961" s="178"/>
      <c r="Q961" s="105"/>
      <c r="R961" s="344"/>
      <c r="S961" s="105"/>
    </row>
    <row r="962" spans="1:19" ht="29.25" customHeight="1">
      <c r="A962" s="216"/>
      <c r="B962" s="340"/>
      <c r="C962" s="341"/>
      <c r="D962" s="342"/>
      <c r="E962" s="333"/>
      <c r="F962" s="162"/>
      <c r="G962" s="218"/>
      <c r="H962" s="218"/>
      <c r="I962" s="176"/>
      <c r="J962" s="177"/>
      <c r="K962" s="177"/>
      <c r="L962" s="177"/>
      <c r="M962" s="165"/>
      <c r="N962" s="176"/>
      <c r="O962" s="176"/>
      <c r="P962" s="178"/>
      <c r="Q962" s="105"/>
      <c r="R962" s="339"/>
      <c r="S962" s="105"/>
    </row>
    <row r="963" spans="1:19" ht="29.25" customHeight="1">
      <c r="A963" s="216"/>
      <c r="B963" s="340"/>
      <c r="C963" s="341"/>
      <c r="D963" s="342"/>
      <c r="E963" s="343"/>
      <c r="F963" s="162"/>
      <c r="G963" s="218"/>
      <c r="H963" s="218"/>
      <c r="I963" s="176"/>
      <c r="J963" s="177"/>
      <c r="K963" s="177"/>
      <c r="L963" s="177"/>
      <c r="M963" s="165"/>
      <c r="N963" s="176"/>
      <c r="O963" s="176"/>
      <c r="P963" s="178"/>
      <c r="Q963" s="105"/>
      <c r="R963" s="344"/>
      <c r="S963" s="105"/>
    </row>
    <row r="964" spans="1:19" ht="29.25" customHeight="1">
      <c r="A964" s="216"/>
      <c r="B964" s="340"/>
      <c r="C964" s="341"/>
      <c r="D964" s="342"/>
      <c r="E964" s="333"/>
      <c r="F964" s="162"/>
      <c r="G964" s="218"/>
      <c r="H964" s="218"/>
      <c r="I964" s="176"/>
      <c r="J964" s="177"/>
      <c r="K964" s="177"/>
      <c r="L964" s="177"/>
      <c r="M964" s="165"/>
      <c r="N964" s="176"/>
      <c r="O964" s="176"/>
      <c r="P964" s="178"/>
      <c r="Q964" s="105"/>
      <c r="R964" s="339"/>
      <c r="S964" s="105"/>
    </row>
    <row r="965" spans="1:19" ht="29.25" customHeight="1">
      <c r="A965" s="216"/>
      <c r="B965" s="340"/>
      <c r="C965" s="341"/>
      <c r="D965" s="342"/>
      <c r="E965" s="343"/>
      <c r="F965" s="162"/>
      <c r="G965" s="218"/>
      <c r="H965" s="218"/>
      <c r="I965" s="176"/>
      <c r="J965" s="177"/>
      <c r="K965" s="177"/>
      <c r="L965" s="177"/>
      <c r="M965" s="165"/>
      <c r="N965" s="176"/>
      <c r="O965" s="176"/>
      <c r="P965" s="178"/>
      <c r="Q965" s="105"/>
      <c r="R965" s="344"/>
      <c r="S965" s="105"/>
    </row>
    <row r="966" spans="1:19" ht="29.25" customHeight="1">
      <c r="A966" s="216"/>
      <c r="B966" s="340"/>
      <c r="C966" s="341"/>
      <c r="D966" s="342"/>
      <c r="E966" s="333"/>
      <c r="F966" s="162"/>
      <c r="G966" s="218"/>
      <c r="H966" s="218"/>
      <c r="I966" s="176"/>
      <c r="J966" s="177"/>
      <c r="K966" s="177"/>
      <c r="L966" s="177"/>
      <c r="M966" s="165"/>
      <c r="N966" s="176"/>
      <c r="O966" s="176"/>
      <c r="P966" s="178"/>
      <c r="Q966" s="105"/>
      <c r="R966" s="339"/>
      <c r="S966" s="105"/>
    </row>
    <row r="967" spans="1:19" ht="29.25" customHeight="1">
      <c r="A967" s="216"/>
      <c r="B967" s="340"/>
      <c r="C967" s="341"/>
      <c r="D967" s="342"/>
      <c r="E967" s="343"/>
      <c r="F967" s="162"/>
      <c r="G967" s="218"/>
      <c r="H967" s="218"/>
      <c r="I967" s="176"/>
      <c r="J967" s="177"/>
      <c r="K967" s="177"/>
      <c r="L967" s="177"/>
      <c r="M967" s="165"/>
      <c r="N967" s="176"/>
      <c r="O967" s="176"/>
      <c r="P967" s="178"/>
      <c r="Q967" s="105"/>
      <c r="R967" s="344"/>
      <c r="S967" s="105"/>
    </row>
    <row r="968" spans="1:19" ht="29.25" customHeight="1">
      <c r="A968" s="216"/>
      <c r="B968" s="340"/>
      <c r="C968" s="341"/>
      <c r="D968" s="342"/>
      <c r="E968" s="333"/>
      <c r="F968" s="162"/>
      <c r="G968" s="218"/>
      <c r="H968" s="218"/>
      <c r="I968" s="176"/>
      <c r="J968" s="177"/>
      <c r="K968" s="177"/>
      <c r="L968" s="177"/>
      <c r="M968" s="165"/>
      <c r="N968" s="176"/>
      <c r="O968" s="176"/>
      <c r="P968" s="178"/>
      <c r="Q968" s="105"/>
      <c r="R968" s="339"/>
      <c r="S968" s="105"/>
    </row>
    <row r="969" spans="1:19" ht="29.25" customHeight="1">
      <c r="A969" s="216"/>
      <c r="B969" s="340"/>
      <c r="C969" s="341"/>
      <c r="D969" s="342"/>
      <c r="E969" s="343"/>
      <c r="F969" s="162"/>
      <c r="G969" s="218"/>
      <c r="H969" s="218"/>
      <c r="I969" s="176"/>
      <c r="J969" s="177"/>
      <c r="K969" s="177"/>
      <c r="L969" s="177"/>
      <c r="M969" s="165"/>
      <c r="N969" s="176"/>
      <c r="O969" s="176"/>
      <c r="P969" s="178"/>
      <c r="Q969" s="105"/>
      <c r="R969" s="344"/>
      <c r="S969" s="105"/>
    </row>
    <row r="970" spans="1:19" ht="29.25" customHeight="1">
      <c r="A970" s="216"/>
      <c r="B970" s="340"/>
      <c r="C970" s="341"/>
      <c r="D970" s="342"/>
      <c r="E970" s="333"/>
      <c r="F970" s="162"/>
      <c r="G970" s="218"/>
      <c r="H970" s="218"/>
      <c r="I970" s="176"/>
      <c r="J970" s="177"/>
      <c r="K970" s="177"/>
      <c r="L970" s="177"/>
      <c r="M970" s="165"/>
      <c r="N970" s="176"/>
      <c r="O970" s="176"/>
      <c r="P970" s="178"/>
      <c r="Q970" s="105"/>
      <c r="R970" s="339"/>
      <c r="S970" s="105"/>
    </row>
    <row r="971" spans="1:19" ht="29.25" customHeight="1">
      <c r="A971" s="216"/>
      <c r="B971" s="340"/>
      <c r="C971" s="341"/>
      <c r="D971" s="342"/>
      <c r="E971" s="343"/>
      <c r="F971" s="162"/>
      <c r="G971" s="218"/>
      <c r="H971" s="218"/>
      <c r="I971" s="176"/>
      <c r="J971" s="177"/>
      <c r="K971" s="177"/>
      <c r="L971" s="177"/>
      <c r="M971" s="165"/>
      <c r="N971" s="176"/>
      <c r="O971" s="176"/>
      <c r="P971" s="178"/>
      <c r="Q971" s="105"/>
      <c r="R971" s="344"/>
      <c r="S971" s="105"/>
    </row>
    <row r="972" spans="1:19" ht="29.25" customHeight="1">
      <c r="A972" s="216"/>
      <c r="B972" s="340"/>
      <c r="C972" s="341"/>
      <c r="D972" s="342"/>
      <c r="E972" s="333"/>
      <c r="F972" s="162"/>
      <c r="G972" s="218"/>
      <c r="H972" s="218"/>
      <c r="I972" s="176"/>
      <c r="J972" s="177"/>
      <c r="K972" s="177"/>
      <c r="L972" s="177"/>
      <c r="M972" s="165"/>
      <c r="N972" s="176"/>
      <c r="O972" s="176"/>
      <c r="P972" s="178"/>
      <c r="Q972" s="105"/>
      <c r="R972" s="339"/>
      <c r="S972" s="105"/>
    </row>
    <row r="973" spans="1:19" ht="29.25" customHeight="1">
      <c r="A973" s="216"/>
      <c r="B973" s="340"/>
      <c r="C973" s="341"/>
      <c r="D973" s="342"/>
      <c r="E973" s="343"/>
      <c r="F973" s="162"/>
      <c r="G973" s="218"/>
      <c r="H973" s="218"/>
      <c r="I973" s="176"/>
      <c r="J973" s="177"/>
      <c r="K973" s="177"/>
      <c r="L973" s="177"/>
      <c r="M973" s="165"/>
      <c r="N973" s="176"/>
      <c r="O973" s="176"/>
      <c r="P973" s="178"/>
      <c r="Q973" s="105"/>
      <c r="R973" s="344"/>
      <c r="S973" s="105"/>
    </row>
    <row r="974" spans="1:19" ht="29.25" customHeight="1">
      <c r="A974" s="216"/>
      <c r="B974" s="340"/>
      <c r="C974" s="341"/>
      <c r="D974" s="342"/>
      <c r="E974" s="333"/>
      <c r="F974" s="162"/>
      <c r="G974" s="218"/>
      <c r="H974" s="218"/>
      <c r="I974" s="176"/>
      <c r="J974" s="177"/>
      <c r="K974" s="177"/>
      <c r="L974" s="177"/>
      <c r="M974" s="165"/>
      <c r="N974" s="176"/>
      <c r="O974" s="176"/>
      <c r="P974" s="178"/>
      <c r="Q974" s="105"/>
      <c r="R974" s="339"/>
      <c r="S974" s="105"/>
    </row>
    <row r="975" spans="1:19" ht="29.25" customHeight="1">
      <c r="A975" s="216"/>
      <c r="B975" s="340"/>
      <c r="C975" s="341"/>
      <c r="D975" s="342"/>
      <c r="E975" s="343"/>
      <c r="F975" s="162"/>
      <c r="G975" s="218"/>
      <c r="H975" s="218"/>
      <c r="I975" s="176"/>
      <c r="J975" s="177"/>
      <c r="K975" s="177"/>
      <c r="L975" s="177"/>
      <c r="M975" s="165"/>
      <c r="N975" s="176"/>
      <c r="O975" s="176"/>
      <c r="P975" s="178"/>
      <c r="Q975" s="105"/>
      <c r="R975" s="344"/>
      <c r="S975" s="105"/>
    </row>
    <row r="976" spans="1:19" ht="29.25" customHeight="1">
      <c r="A976" s="216"/>
      <c r="B976" s="340"/>
      <c r="C976" s="341"/>
      <c r="D976" s="342"/>
      <c r="E976" s="333"/>
      <c r="F976" s="162"/>
      <c r="G976" s="218"/>
      <c r="H976" s="218"/>
      <c r="I976" s="176"/>
      <c r="J976" s="177"/>
      <c r="K976" s="177"/>
      <c r="L976" s="177"/>
      <c r="M976" s="165"/>
      <c r="N976" s="176"/>
      <c r="O976" s="176"/>
      <c r="P976" s="178"/>
      <c r="Q976" s="105"/>
      <c r="R976" s="339"/>
      <c r="S976" s="105"/>
    </row>
    <row r="977" spans="1:19" ht="29.25" customHeight="1">
      <c r="A977" s="216"/>
      <c r="B977" s="340"/>
      <c r="C977" s="341"/>
      <c r="D977" s="342"/>
      <c r="E977" s="343"/>
      <c r="F977" s="162"/>
      <c r="G977" s="218"/>
      <c r="H977" s="218"/>
      <c r="I977" s="176"/>
      <c r="J977" s="177"/>
      <c r="K977" s="177"/>
      <c r="L977" s="177"/>
      <c r="M977" s="165"/>
      <c r="N977" s="176"/>
      <c r="O977" s="176"/>
      <c r="P977" s="178"/>
      <c r="Q977" s="105"/>
      <c r="R977" s="344"/>
      <c r="S977" s="105"/>
    </row>
    <row r="978" spans="1:19" ht="29.25" customHeight="1">
      <c r="A978" s="216"/>
      <c r="B978" s="340"/>
      <c r="C978" s="341"/>
      <c r="D978" s="342"/>
      <c r="E978" s="333"/>
      <c r="F978" s="162"/>
      <c r="G978" s="218"/>
      <c r="H978" s="218"/>
      <c r="I978" s="176"/>
      <c r="J978" s="177"/>
      <c r="K978" s="177"/>
      <c r="L978" s="177"/>
      <c r="M978" s="165"/>
      <c r="N978" s="176"/>
      <c r="O978" s="176"/>
      <c r="P978" s="178"/>
      <c r="Q978" s="105"/>
      <c r="R978" s="339"/>
      <c r="S978" s="105"/>
    </row>
    <row r="979" spans="1:19" ht="29.25" customHeight="1">
      <c r="A979" s="216"/>
      <c r="B979" s="340"/>
      <c r="C979" s="341"/>
      <c r="D979" s="342"/>
      <c r="E979" s="343"/>
      <c r="F979" s="162"/>
      <c r="G979" s="218"/>
      <c r="H979" s="218"/>
      <c r="I979" s="176"/>
      <c r="J979" s="177"/>
      <c r="K979" s="177"/>
      <c r="L979" s="177"/>
      <c r="M979" s="165"/>
      <c r="N979" s="176"/>
      <c r="O979" s="176"/>
      <c r="P979" s="178"/>
      <c r="Q979" s="105"/>
      <c r="R979" s="344"/>
      <c r="S979" s="105"/>
    </row>
    <row r="980" spans="1:19" ht="29.25" customHeight="1">
      <c r="A980" s="216"/>
      <c r="B980" s="340"/>
      <c r="C980" s="341"/>
      <c r="D980" s="342"/>
      <c r="E980" s="333"/>
      <c r="F980" s="162"/>
      <c r="G980" s="218"/>
      <c r="H980" s="218"/>
      <c r="I980" s="176"/>
      <c r="J980" s="177"/>
      <c r="K980" s="177"/>
      <c r="L980" s="177"/>
      <c r="M980" s="165"/>
      <c r="N980" s="176"/>
      <c r="O980" s="176"/>
      <c r="P980" s="178"/>
      <c r="Q980" s="105"/>
      <c r="R980" s="339"/>
      <c r="S980" s="105"/>
    </row>
    <row r="981" spans="1:19" ht="29.25" customHeight="1">
      <c r="A981" s="216"/>
      <c r="B981" s="340"/>
      <c r="C981" s="341"/>
      <c r="D981" s="342"/>
      <c r="E981" s="343"/>
      <c r="F981" s="162"/>
      <c r="G981" s="218"/>
      <c r="H981" s="218"/>
      <c r="I981" s="176"/>
      <c r="J981" s="177"/>
      <c r="K981" s="177"/>
      <c r="L981" s="177"/>
      <c r="M981" s="165"/>
      <c r="N981" s="176"/>
      <c r="O981" s="176"/>
      <c r="P981" s="178"/>
      <c r="Q981" s="105"/>
      <c r="R981" s="344"/>
      <c r="S981" s="105"/>
    </row>
    <row r="982" spans="1:19" ht="29.25" customHeight="1">
      <c r="A982" s="216"/>
      <c r="B982" s="340"/>
      <c r="C982" s="341"/>
      <c r="D982" s="342"/>
      <c r="E982" s="333"/>
      <c r="F982" s="162"/>
      <c r="G982" s="218"/>
      <c r="H982" s="218"/>
      <c r="I982" s="176"/>
      <c r="J982" s="177"/>
      <c r="K982" s="177"/>
      <c r="L982" s="177"/>
      <c r="M982" s="165"/>
      <c r="N982" s="176"/>
      <c r="O982" s="176"/>
      <c r="P982" s="178"/>
      <c r="Q982" s="105"/>
      <c r="R982" s="339"/>
      <c r="S982" s="105"/>
    </row>
    <row r="983" spans="1:19" ht="29.25" customHeight="1">
      <c r="A983" s="216"/>
      <c r="B983" s="340"/>
      <c r="C983" s="341"/>
      <c r="D983" s="342"/>
      <c r="E983" s="343"/>
      <c r="F983" s="162"/>
      <c r="G983" s="218"/>
      <c r="H983" s="218"/>
      <c r="I983" s="176"/>
      <c r="J983" s="177"/>
      <c r="K983" s="177"/>
      <c r="L983" s="177"/>
      <c r="M983" s="165"/>
      <c r="N983" s="176"/>
      <c r="O983" s="176"/>
      <c r="P983" s="178"/>
      <c r="Q983" s="105"/>
      <c r="R983" s="344"/>
      <c r="S983" s="105"/>
    </row>
    <row r="984" spans="1:19" ht="29.25" customHeight="1">
      <c r="A984" s="216"/>
      <c r="B984" s="340"/>
      <c r="C984" s="341"/>
      <c r="D984" s="342"/>
      <c r="E984" s="333"/>
      <c r="F984" s="162"/>
      <c r="G984" s="218"/>
      <c r="H984" s="218"/>
      <c r="I984" s="176"/>
      <c r="J984" s="177"/>
      <c r="K984" s="177"/>
      <c r="L984" s="177"/>
      <c r="M984" s="165"/>
      <c r="N984" s="176"/>
      <c r="O984" s="176"/>
      <c r="P984" s="178"/>
      <c r="Q984" s="105"/>
      <c r="R984" s="339"/>
      <c r="S984" s="105"/>
    </row>
    <row r="985" spans="1:19" ht="29.25" customHeight="1">
      <c r="A985" s="216"/>
      <c r="B985" s="340"/>
      <c r="C985" s="341"/>
      <c r="D985" s="342"/>
      <c r="E985" s="343"/>
      <c r="F985" s="162"/>
      <c r="G985" s="218"/>
      <c r="H985" s="218"/>
      <c r="I985" s="176"/>
      <c r="J985" s="177"/>
      <c r="K985" s="177"/>
      <c r="L985" s="177"/>
      <c r="M985" s="165"/>
      <c r="N985" s="176"/>
      <c r="O985" s="176"/>
      <c r="P985" s="178"/>
      <c r="Q985" s="105"/>
      <c r="R985" s="344"/>
      <c r="S985" s="105"/>
    </row>
    <row r="986" spans="1:19" ht="29.25" customHeight="1">
      <c r="A986" s="216"/>
      <c r="B986" s="340"/>
      <c r="C986" s="341"/>
      <c r="D986" s="342"/>
      <c r="E986" s="333"/>
      <c r="F986" s="162"/>
      <c r="G986" s="218"/>
      <c r="H986" s="218"/>
      <c r="I986" s="176"/>
      <c r="J986" s="177"/>
      <c r="K986" s="177"/>
      <c r="L986" s="177"/>
      <c r="M986" s="165"/>
      <c r="N986" s="176"/>
      <c r="O986" s="176"/>
      <c r="P986" s="178"/>
      <c r="Q986" s="105"/>
      <c r="R986" s="339"/>
      <c r="S986" s="105"/>
    </row>
    <row r="987" spans="1:19" ht="29.25" customHeight="1">
      <c r="A987" s="216"/>
      <c r="B987" s="340"/>
      <c r="C987" s="341"/>
      <c r="D987" s="342"/>
      <c r="E987" s="343"/>
      <c r="F987" s="162"/>
      <c r="G987" s="218"/>
      <c r="H987" s="218"/>
      <c r="I987" s="176"/>
      <c r="J987" s="177"/>
      <c r="K987" s="177"/>
      <c r="L987" s="177"/>
      <c r="M987" s="165"/>
      <c r="N987" s="176"/>
      <c r="O987" s="176"/>
      <c r="P987" s="178"/>
      <c r="Q987" s="105"/>
      <c r="R987" s="344"/>
      <c r="S987" s="105"/>
    </row>
    <row r="988" spans="1:19" ht="29.25" customHeight="1">
      <c r="A988" s="216"/>
      <c r="B988" s="340"/>
      <c r="C988" s="341"/>
      <c r="D988" s="342"/>
      <c r="E988" s="333"/>
      <c r="F988" s="162"/>
      <c r="G988" s="218"/>
      <c r="H988" s="218"/>
      <c r="I988" s="176"/>
      <c r="J988" s="177"/>
      <c r="K988" s="177"/>
      <c r="L988" s="177"/>
      <c r="M988" s="165"/>
      <c r="N988" s="176"/>
      <c r="O988" s="176"/>
      <c r="P988" s="178"/>
      <c r="Q988" s="105"/>
      <c r="R988" s="339"/>
      <c r="S988" s="105"/>
    </row>
    <row r="989" spans="1:19" ht="29.25" customHeight="1">
      <c r="A989" s="216"/>
      <c r="B989" s="340"/>
      <c r="C989" s="341"/>
      <c r="D989" s="342"/>
      <c r="E989" s="343"/>
      <c r="F989" s="162"/>
      <c r="G989" s="218"/>
      <c r="H989" s="218"/>
      <c r="I989" s="176"/>
      <c r="J989" s="177"/>
      <c r="K989" s="177"/>
      <c r="L989" s="177"/>
      <c r="M989" s="165"/>
      <c r="N989" s="176"/>
      <c r="O989" s="176"/>
      <c r="P989" s="178"/>
      <c r="Q989" s="105"/>
      <c r="R989" s="344"/>
      <c r="S989" s="105"/>
    </row>
    <row r="990" spans="1:19" ht="29.25" customHeight="1">
      <c r="A990" s="216"/>
      <c r="B990" s="340"/>
      <c r="C990" s="341"/>
      <c r="D990" s="342"/>
      <c r="E990" s="333"/>
      <c r="F990" s="162"/>
      <c r="G990" s="218"/>
      <c r="H990" s="218"/>
      <c r="I990" s="176"/>
      <c r="J990" s="177"/>
      <c r="K990" s="177"/>
      <c r="L990" s="177"/>
      <c r="M990" s="165"/>
      <c r="N990" s="176"/>
      <c r="O990" s="176"/>
      <c r="P990" s="178"/>
      <c r="Q990" s="105"/>
      <c r="R990" s="339"/>
      <c r="S990" s="105"/>
    </row>
    <row r="991" spans="1:19" ht="29.25" customHeight="1">
      <c r="A991" s="216"/>
      <c r="B991" s="340"/>
      <c r="C991" s="341"/>
      <c r="D991" s="342"/>
      <c r="E991" s="343"/>
      <c r="F991" s="162"/>
      <c r="G991" s="218"/>
      <c r="H991" s="218"/>
      <c r="I991" s="176"/>
      <c r="J991" s="177"/>
      <c r="K991" s="177"/>
      <c r="L991" s="177"/>
      <c r="M991" s="165"/>
      <c r="N991" s="176"/>
      <c r="O991" s="176"/>
      <c r="P991" s="178"/>
      <c r="Q991" s="105"/>
      <c r="R991" s="344"/>
      <c r="S991" s="105"/>
    </row>
    <row r="992" spans="1:19" ht="29.25" customHeight="1">
      <c r="A992" s="216"/>
      <c r="B992" s="340"/>
      <c r="C992" s="341"/>
      <c r="D992" s="342"/>
      <c r="E992" s="333"/>
      <c r="F992" s="162"/>
      <c r="G992" s="218"/>
      <c r="H992" s="218"/>
      <c r="I992" s="176"/>
      <c r="J992" s="177"/>
      <c r="K992" s="177"/>
      <c r="L992" s="177"/>
      <c r="M992" s="165"/>
      <c r="N992" s="176"/>
      <c r="O992" s="176"/>
      <c r="P992" s="178"/>
      <c r="Q992" s="105"/>
      <c r="R992" s="339"/>
      <c r="S992" s="105"/>
    </row>
    <row r="993" spans="1:19" ht="29.25" customHeight="1">
      <c r="A993" s="216"/>
      <c r="B993" s="340"/>
      <c r="C993" s="341"/>
      <c r="D993" s="342"/>
      <c r="E993" s="343"/>
      <c r="F993" s="162"/>
      <c r="G993" s="218"/>
      <c r="H993" s="218"/>
      <c r="I993" s="176"/>
      <c r="J993" s="177"/>
      <c r="K993" s="177"/>
      <c r="L993" s="177"/>
      <c r="M993" s="165"/>
      <c r="N993" s="176"/>
      <c r="O993" s="176"/>
      <c r="P993" s="178"/>
      <c r="Q993" s="105"/>
      <c r="R993" s="344"/>
      <c r="S993" s="105"/>
    </row>
    <row r="994" spans="1:19" ht="29.25" customHeight="1">
      <c r="A994" s="216"/>
      <c r="B994" s="340"/>
      <c r="C994" s="341"/>
      <c r="D994" s="342"/>
      <c r="E994" s="333"/>
      <c r="F994" s="162"/>
      <c r="G994" s="218"/>
      <c r="H994" s="218"/>
      <c r="I994" s="176"/>
      <c r="J994" s="177"/>
      <c r="K994" s="177"/>
      <c r="L994" s="177"/>
      <c r="M994" s="165"/>
      <c r="N994" s="176"/>
      <c r="O994" s="176"/>
      <c r="P994" s="178"/>
      <c r="Q994" s="105"/>
      <c r="R994" s="339"/>
      <c r="S994" s="105"/>
    </row>
    <row r="995" spans="1:19" ht="29.25" customHeight="1">
      <c r="A995" s="216"/>
      <c r="B995" s="340"/>
      <c r="C995" s="341"/>
      <c r="D995" s="342"/>
      <c r="E995" s="343"/>
      <c r="F995" s="162"/>
      <c r="G995" s="218"/>
      <c r="H995" s="218"/>
      <c r="I995" s="176"/>
      <c r="J995" s="177"/>
      <c r="K995" s="177"/>
      <c r="L995" s="177"/>
      <c r="M995" s="165"/>
      <c r="N995" s="176"/>
      <c r="O995" s="176"/>
      <c r="P995" s="178"/>
      <c r="Q995" s="105"/>
      <c r="R995" s="344"/>
      <c r="S995" s="105"/>
    </row>
    <row r="996" spans="1:19" ht="29.25" customHeight="1">
      <c r="A996" s="216"/>
      <c r="B996" s="340"/>
      <c r="C996" s="341"/>
      <c r="D996" s="342"/>
      <c r="E996" s="333"/>
      <c r="F996" s="162"/>
      <c r="G996" s="218"/>
      <c r="H996" s="218"/>
      <c r="I996" s="176"/>
      <c r="J996" s="177"/>
      <c r="K996" s="177"/>
      <c r="L996" s="177"/>
      <c r="M996" s="165"/>
      <c r="N996" s="176"/>
      <c r="O996" s="176"/>
      <c r="P996" s="178"/>
      <c r="Q996" s="105"/>
      <c r="R996" s="339"/>
      <c r="S996" s="105"/>
    </row>
    <row r="997" spans="1:19" ht="29.25" customHeight="1">
      <c r="A997" s="216"/>
      <c r="B997" s="340"/>
      <c r="C997" s="341"/>
      <c r="D997" s="342"/>
      <c r="E997" s="343"/>
      <c r="F997" s="162"/>
      <c r="G997" s="218"/>
      <c r="H997" s="218"/>
      <c r="I997" s="176"/>
      <c r="J997" s="177"/>
      <c r="K997" s="177"/>
      <c r="L997" s="177"/>
      <c r="M997" s="165"/>
      <c r="N997" s="176"/>
      <c r="O997" s="176"/>
      <c r="P997" s="178"/>
      <c r="Q997" s="105"/>
      <c r="R997" s="344"/>
      <c r="S997" s="105"/>
    </row>
    <row r="998" spans="1:19" ht="29.25" customHeight="1">
      <c r="A998" s="216"/>
      <c r="B998" s="340"/>
      <c r="C998" s="341"/>
      <c r="D998" s="342"/>
      <c r="E998" s="333"/>
      <c r="F998" s="162"/>
      <c r="G998" s="218"/>
      <c r="H998" s="218"/>
      <c r="I998" s="176"/>
      <c r="J998" s="177"/>
      <c r="K998" s="177"/>
      <c r="L998" s="177"/>
      <c r="M998" s="165"/>
      <c r="N998" s="176"/>
      <c r="O998" s="176"/>
      <c r="P998" s="178"/>
      <c r="Q998" s="105"/>
      <c r="R998" s="339"/>
      <c r="S998" s="105"/>
    </row>
    <row r="999" spans="1:19" ht="29.25" customHeight="1">
      <c r="A999" s="216"/>
      <c r="B999" s="340"/>
      <c r="C999" s="341"/>
      <c r="D999" s="342"/>
      <c r="E999" s="343"/>
      <c r="F999" s="162"/>
      <c r="G999" s="218"/>
      <c r="H999" s="218"/>
      <c r="I999" s="176"/>
      <c r="J999" s="177"/>
      <c r="K999" s="177"/>
      <c r="L999" s="177"/>
      <c r="M999" s="165"/>
      <c r="N999" s="176"/>
      <c r="O999" s="176"/>
      <c r="P999" s="178"/>
      <c r="Q999" s="105"/>
      <c r="R999" s="344"/>
      <c r="S999" s="105"/>
    </row>
    <row r="1000" spans="1:19" ht="29.25" customHeight="1">
      <c r="A1000" s="216"/>
      <c r="B1000" s="340"/>
      <c r="C1000" s="341"/>
      <c r="D1000" s="342"/>
      <c r="E1000" s="333"/>
      <c r="F1000" s="162"/>
      <c r="G1000" s="218"/>
      <c r="H1000" s="218"/>
      <c r="I1000" s="176"/>
      <c r="J1000" s="177"/>
      <c r="K1000" s="177"/>
      <c r="L1000" s="177"/>
      <c r="M1000" s="165"/>
      <c r="N1000" s="176"/>
      <c r="O1000" s="176"/>
      <c r="P1000" s="178"/>
      <c r="Q1000" s="105"/>
      <c r="R1000" s="339"/>
      <c r="S1000" s="105"/>
    </row>
    <row r="1001" spans="1:19" ht="29.25" customHeight="1">
      <c r="A1001" s="216"/>
      <c r="B1001" s="340"/>
      <c r="C1001" s="341"/>
      <c r="D1001" s="342"/>
      <c r="E1001" s="343"/>
      <c r="F1001" s="162"/>
      <c r="G1001" s="218"/>
      <c r="H1001" s="218"/>
      <c r="I1001" s="176"/>
      <c r="J1001" s="177"/>
      <c r="K1001" s="177"/>
      <c r="L1001" s="177"/>
      <c r="M1001" s="165"/>
      <c r="N1001" s="176"/>
      <c r="O1001" s="176"/>
      <c r="P1001" s="178"/>
      <c r="Q1001" s="105"/>
      <c r="R1001" s="344"/>
      <c r="S1001" s="105"/>
    </row>
    <row r="1002" spans="1:19" ht="29.25" customHeight="1">
      <c r="A1002" s="216"/>
      <c r="B1002" s="340"/>
      <c r="C1002" s="341"/>
      <c r="D1002" s="342"/>
      <c r="E1002" s="333"/>
      <c r="F1002" s="162"/>
      <c r="G1002" s="218"/>
      <c r="H1002" s="218"/>
      <c r="I1002" s="176"/>
      <c r="J1002" s="177"/>
      <c r="K1002" s="177"/>
      <c r="L1002" s="177"/>
      <c r="M1002" s="165"/>
      <c r="N1002" s="176"/>
      <c r="O1002" s="176"/>
      <c r="P1002" s="178"/>
      <c r="Q1002" s="105"/>
      <c r="R1002" s="339"/>
      <c r="S1002" s="105"/>
    </row>
    <row r="1003" spans="1:19" ht="29.25" customHeight="1">
      <c r="A1003" s="216"/>
      <c r="B1003" s="340"/>
      <c r="C1003" s="341"/>
      <c r="D1003" s="342"/>
      <c r="E1003" s="343"/>
      <c r="F1003" s="162"/>
      <c r="G1003" s="218"/>
      <c r="H1003" s="218"/>
      <c r="I1003" s="176"/>
      <c r="J1003" s="177"/>
      <c r="K1003" s="177"/>
      <c r="L1003" s="177"/>
      <c r="M1003" s="165"/>
      <c r="N1003" s="176"/>
      <c r="O1003" s="176"/>
      <c r="P1003" s="178"/>
      <c r="Q1003" s="105"/>
      <c r="R1003" s="344"/>
      <c r="S1003" s="105"/>
    </row>
    <row r="1004" spans="1:19" ht="29.25" customHeight="1">
      <c r="A1004" s="216"/>
      <c r="B1004" s="340"/>
      <c r="C1004" s="341"/>
      <c r="D1004" s="342"/>
      <c r="E1004" s="333"/>
      <c r="F1004" s="162"/>
      <c r="G1004" s="218"/>
      <c r="H1004" s="218"/>
      <c r="I1004" s="176"/>
      <c r="J1004" s="177"/>
      <c r="K1004" s="177"/>
      <c r="L1004" s="177"/>
      <c r="M1004" s="165"/>
      <c r="N1004" s="176"/>
      <c r="O1004" s="176"/>
      <c r="P1004" s="178"/>
      <c r="Q1004" s="105"/>
      <c r="R1004" s="339"/>
      <c r="S1004" s="105"/>
    </row>
    <row r="1005" spans="1:19" ht="29.25" customHeight="1">
      <c r="A1005" s="216"/>
      <c r="B1005" s="340"/>
      <c r="C1005" s="341"/>
      <c r="D1005" s="342"/>
      <c r="E1005" s="343"/>
      <c r="F1005" s="162"/>
      <c r="G1005" s="218"/>
      <c r="H1005" s="218"/>
      <c r="I1005" s="176"/>
      <c r="J1005" s="177"/>
      <c r="K1005" s="177"/>
      <c r="L1005" s="177"/>
      <c r="M1005" s="165"/>
      <c r="N1005" s="176"/>
      <c r="O1005" s="176"/>
      <c r="P1005" s="178"/>
      <c r="Q1005" s="105"/>
      <c r="R1005" s="344"/>
      <c r="S1005" s="105"/>
    </row>
    <row r="1006" spans="1:19" ht="29.25" customHeight="1">
      <c r="A1006" s="216"/>
      <c r="B1006" s="340"/>
      <c r="C1006" s="341"/>
      <c r="D1006" s="342"/>
      <c r="E1006" s="333"/>
      <c r="F1006" s="162"/>
      <c r="G1006" s="218"/>
      <c r="H1006" s="218"/>
      <c r="I1006" s="176"/>
      <c r="J1006" s="177"/>
      <c r="K1006" s="177"/>
      <c r="L1006" s="177"/>
      <c r="M1006" s="165"/>
      <c r="N1006" s="176"/>
      <c r="O1006" s="176"/>
      <c r="P1006" s="178"/>
      <c r="Q1006" s="105"/>
      <c r="R1006" s="339"/>
      <c r="S1006" s="105"/>
    </row>
    <row r="1007" spans="1:19" ht="29.25" customHeight="1">
      <c r="A1007" s="216"/>
      <c r="B1007" s="340"/>
      <c r="C1007" s="341"/>
      <c r="D1007" s="342"/>
      <c r="E1007" s="343"/>
      <c r="F1007" s="162"/>
      <c r="G1007" s="218"/>
      <c r="H1007" s="218"/>
      <c r="I1007" s="176"/>
      <c r="J1007" s="177"/>
      <c r="K1007" s="177"/>
      <c r="L1007" s="177"/>
      <c r="M1007" s="165"/>
      <c r="N1007" s="176"/>
      <c r="O1007" s="176"/>
      <c r="P1007" s="178"/>
      <c r="Q1007" s="105"/>
      <c r="R1007" s="344"/>
      <c r="S1007" s="105"/>
    </row>
    <row r="1008" spans="1:19" ht="29.25" customHeight="1">
      <c r="A1008" s="216"/>
      <c r="B1008" s="340"/>
      <c r="C1008" s="341"/>
      <c r="D1008" s="342"/>
      <c r="E1008" s="333"/>
      <c r="F1008" s="162"/>
      <c r="G1008" s="218"/>
      <c r="H1008" s="218"/>
      <c r="I1008" s="176"/>
      <c r="J1008" s="177"/>
      <c r="K1008" s="177"/>
      <c r="L1008" s="177"/>
      <c r="M1008" s="165"/>
      <c r="N1008" s="176"/>
      <c r="O1008" s="176"/>
      <c r="P1008" s="178"/>
      <c r="Q1008" s="105"/>
      <c r="R1008" s="339"/>
      <c r="S1008" s="105"/>
    </row>
    <row r="1009" spans="1:19" ht="29.25" customHeight="1">
      <c r="A1009" s="216"/>
      <c r="B1009" s="340"/>
      <c r="C1009" s="341"/>
      <c r="D1009" s="342"/>
      <c r="E1009" s="343"/>
      <c r="F1009" s="162"/>
      <c r="G1009" s="218"/>
      <c r="H1009" s="218"/>
      <c r="I1009" s="176"/>
      <c r="J1009" s="177"/>
      <c r="K1009" s="177"/>
      <c r="L1009" s="177"/>
      <c r="M1009" s="165"/>
      <c r="N1009" s="176"/>
      <c r="O1009" s="176"/>
      <c r="P1009" s="178"/>
      <c r="Q1009" s="105"/>
      <c r="R1009" s="344"/>
      <c r="S1009" s="105"/>
    </row>
    <row r="1010" spans="1:19" ht="29.25" customHeight="1">
      <c r="A1010" s="216"/>
      <c r="B1010" s="340"/>
      <c r="C1010" s="341"/>
      <c r="D1010" s="342"/>
      <c r="E1010" s="333"/>
      <c r="F1010" s="162"/>
      <c r="G1010" s="218"/>
      <c r="H1010" s="218"/>
      <c r="I1010" s="176"/>
      <c r="J1010" s="177"/>
      <c r="K1010" s="177"/>
      <c r="L1010" s="177"/>
      <c r="M1010" s="165"/>
      <c r="N1010" s="176"/>
      <c r="O1010" s="176"/>
      <c r="P1010" s="178"/>
      <c r="Q1010" s="105"/>
      <c r="R1010" s="339"/>
      <c r="S1010" s="105"/>
    </row>
    <row r="1011" spans="1:19" ht="29.25" customHeight="1">
      <c r="A1011" s="216"/>
      <c r="B1011" s="340"/>
      <c r="C1011" s="341"/>
      <c r="D1011" s="342"/>
      <c r="E1011" s="343"/>
      <c r="F1011" s="162"/>
      <c r="G1011" s="218"/>
      <c r="H1011" s="218"/>
      <c r="I1011" s="176"/>
      <c r="J1011" s="177"/>
      <c r="K1011" s="177"/>
      <c r="L1011" s="177"/>
      <c r="M1011" s="165"/>
      <c r="N1011" s="176"/>
      <c r="O1011" s="176"/>
      <c r="P1011" s="178"/>
      <c r="Q1011" s="105"/>
      <c r="R1011" s="344"/>
      <c r="S1011" s="105"/>
    </row>
    <row r="1012" spans="1:19" ht="29.25" customHeight="1">
      <c r="A1012" s="216"/>
      <c r="B1012" s="340"/>
      <c r="C1012" s="341"/>
      <c r="D1012" s="342"/>
      <c r="E1012" s="333"/>
      <c r="F1012" s="162"/>
      <c r="G1012" s="218"/>
      <c r="H1012" s="218"/>
      <c r="I1012" s="176"/>
      <c r="J1012" s="177"/>
      <c r="K1012" s="177"/>
      <c r="L1012" s="177"/>
      <c r="M1012" s="165"/>
      <c r="N1012" s="176"/>
      <c r="O1012" s="176"/>
      <c r="P1012" s="178"/>
      <c r="Q1012" s="105"/>
      <c r="R1012" s="339"/>
      <c r="S1012" s="105"/>
    </row>
    <row r="1013" spans="1:19" ht="29.25" customHeight="1">
      <c r="A1013" s="216"/>
      <c r="B1013" s="340"/>
      <c r="C1013" s="341"/>
      <c r="D1013" s="342"/>
      <c r="E1013" s="343"/>
      <c r="F1013" s="162"/>
      <c r="G1013" s="218"/>
      <c r="H1013" s="218"/>
      <c r="I1013" s="176"/>
      <c r="J1013" s="177"/>
      <c r="K1013" s="177"/>
      <c r="L1013" s="177"/>
      <c r="M1013" s="165"/>
      <c r="N1013" s="176"/>
      <c r="O1013" s="176"/>
      <c r="P1013" s="178"/>
      <c r="Q1013" s="105"/>
      <c r="R1013" s="344"/>
      <c r="S1013" s="105"/>
    </row>
    <row r="1014" spans="1:19" ht="29.25" customHeight="1">
      <c r="A1014" s="216"/>
      <c r="B1014" s="340"/>
      <c r="C1014" s="341"/>
      <c r="D1014" s="342"/>
      <c r="E1014" s="333"/>
      <c r="F1014" s="162"/>
      <c r="G1014" s="218"/>
      <c r="H1014" s="218"/>
      <c r="I1014" s="176"/>
      <c r="J1014" s="177"/>
      <c r="K1014" s="177"/>
      <c r="L1014" s="177"/>
      <c r="M1014" s="165"/>
      <c r="N1014" s="176"/>
      <c r="O1014" s="176"/>
      <c r="P1014" s="178"/>
      <c r="Q1014" s="105"/>
      <c r="R1014" s="339"/>
      <c r="S1014" s="105"/>
    </row>
    <row r="1015" spans="1:19" ht="29.25" customHeight="1">
      <c r="A1015" s="216"/>
      <c r="B1015" s="340"/>
      <c r="C1015" s="341"/>
      <c r="D1015" s="342"/>
      <c r="E1015" s="343"/>
      <c r="F1015" s="162"/>
      <c r="G1015" s="218"/>
      <c r="H1015" s="218"/>
      <c r="I1015" s="176"/>
      <c r="J1015" s="177"/>
      <c r="K1015" s="177"/>
      <c r="L1015" s="177"/>
      <c r="M1015" s="165"/>
      <c r="N1015" s="176"/>
      <c r="O1015" s="176"/>
      <c r="P1015" s="178"/>
      <c r="Q1015" s="105"/>
      <c r="R1015" s="344"/>
      <c r="S1015" s="105"/>
    </row>
    <row r="1016" spans="1:19" ht="29.25" customHeight="1">
      <c r="A1016" s="216"/>
      <c r="B1016" s="340"/>
      <c r="C1016" s="341"/>
      <c r="D1016" s="342"/>
      <c r="E1016" s="333"/>
      <c r="F1016" s="162"/>
      <c r="G1016" s="218"/>
      <c r="H1016" s="218"/>
      <c r="I1016" s="176"/>
      <c r="J1016" s="177"/>
      <c r="K1016" s="177"/>
      <c r="L1016" s="177"/>
      <c r="M1016" s="165"/>
      <c r="N1016" s="176"/>
      <c r="O1016" s="176"/>
      <c r="P1016" s="178"/>
      <c r="Q1016" s="105"/>
      <c r="R1016" s="339"/>
      <c r="S1016" s="105"/>
    </row>
    <row r="1017" spans="1:19" ht="29.25" customHeight="1">
      <c r="A1017" s="216"/>
      <c r="B1017" s="340"/>
      <c r="C1017" s="341"/>
      <c r="D1017" s="342"/>
      <c r="E1017" s="343"/>
      <c r="F1017" s="162"/>
      <c r="G1017" s="218"/>
      <c r="H1017" s="218"/>
      <c r="I1017" s="176"/>
      <c r="J1017" s="177"/>
      <c r="K1017" s="177"/>
      <c r="L1017" s="177"/>
      <c r="M1017" s="165"/>
      <c r="N1017" s="176"/>
      <c r="O1017" s="176"/>
      <c r="P1017" s="178"/>
      <c r="Q1017" s="105"/>
      <c r="R1017" s="344"/>
      <c r="S1017" s="105"/>
    </row>
    <row r="1018" spans="1:19" ht="29.25" customHeight="1">
      <c r="A1018" s="216"/>
      <c r="B1018" s="340"/>
      <c r="C1018" s="341"/>
      <c r="D1018" s="342"/>
      <c r="E1018" s="333"/>
      <c r="F1018" s="162"/>
      <c r="G1018" s="218"/>
      <c r="H1018" s="218"/>
      <c r="I1018" s="176"/>
      <c r="J1018" s="177"/>
      <c r="K1018" s="177"/>
      <c r="L1018" s="177"/>
      <c r="M1018" s="165"/>
      <c r="N1018" s="176"/>
      <c r="O1018" s="176"/>
      <c r="P1018" s="178"/>
      <c r="Q1018" s="105"/>
      <c r="R1018" s="339"/>
      <c r="S1018" s="105"/>
    </row>
    <row r="1019" spans="1:19" ht="29.25" customHeight="1">
      <c r="A1019" s="216"/>
      <c r="B1019" s="340"/>
      <c r="C1019" s="341"/>
      <c r="D1019" s="342"/>
      <c r="E1019" s="343"/>
      <c r="F1019" s="162"/>
      <c r="G1019" s="218"/>
      <c r="H1019" s="218"/>
      <c r="I1019" s="176"/>
      <c r="J1019" s="177"/>
      <c r="K1019" s="177"/>
      <c r="L1019" s="177"/>
      <c r="M1019" s="165"/>
      <c r="N1019" s="176"/>
      <c r="O1019" s="176"/>
      <c r="P1019" s="178"/>
      <c r="Q1019" s="105"/>
      <c r="R1019" s="344"/>
      <c r="S1019" s="105"/>
    </row>
    <row r="1020" spans="1:19" ht="29.25" customHeight="1">
      <c r="A1020" s="216"/>
      <c r="B1020" s="340"/>
      <c r="C1020" s="341"/>
      <c r="D1020" s="342"/>
      <c r="E1020" s="333"/>
      <c r="F1020" s="162"/>
      <c r="G1020" s="218"/>
      <c r="H1020" s="218"/>
      <c r="I1020" s="176"/>
      <c r="J1020" s="177"/>
      <c r="K1020" s="177"/>
      <c r="L1020" s="177"/>
      <c r="M1020" s="165"/>
      <c r="N1020" s="176"/>
      <c r="O1020" s="176"/>
      <c r="P1020" s="178"/>
      <c r="Q1020" s="105"/>
      <c r="R1020" s="339"/>
      <c r="S1020" s="105"/>
    </row>
    <row r="1021" spans="1:19" ht="29.25" customHeight="1">
      <c r="A1021" s="216"/>
      <c r="B1021" s="340"/>
      <c r="C1021" s="341"/>
      <c r="D1021" s="342"/>
      <c r="E1021" s="343"/>
      <c r="F1021" s="162"/>
      <c r="G1021" s="218"/>
      <c r="H1021" s="218"/>
      <c r="I1021" s="176"/>
      <c r="J1021" s="177"/>
      <c r="K1021" s="177"/>
      <c r="L1021" s="177"/>
      <c r="M1021" s="165"/>
      <c r="N1021" s="176"/>
      <c r="O1021" s="176"/>
      <c r="P1021" s="178"/>
      <c r="Q1021" s="105"/>
      <c r="R1021" s="344"/>
      <c r="S1021" s="105"/>
    </row>
    <row r="1022" spans="1:19" ht="29.25" customHeight="1">
      <c r="A1022" s="216"/>
      <c r="B1022" s="340"/>
      <c r="C1022" s="341"/>
      <c r="D1022" s="342"/>
      <c r="E1022" s="333"/>
      <c r="F1022" s="162"/>
      <c r="G1022" s="218"/>
      <c r="H1022" s="218"/>
      <c r="I1022" s="176"/>
      <c r="J1022" s="177"/>
      <c r="K1022" s="177"/>
      <c r="L1022" s="177"/>
      <c r="M1022" s="165"/>
      <c r="N1022" s="176"/>
      <c r="O1022" s="176"/>
      <c r="P1022" s="178"/>
      <c r="Q1022" s="105"/>
      <c r="R1022" s="339"/>
      <c r="S1022" s="105"/>
    </row>
    <row r="1023" spans="1:19" ht="29.25" customHeight="1">
      <c r="A1023" s="216"/>
      <c r="B1023" s="340"/>
      <c r="C1023" s="341"/>
      <c r="D1023" s="342"/>
      <c r="E1023" s="343"/>
      <c r="F1023" s="162"/>
      <c r="G1023" s="218"/>
      <c r="H1023" s="218"/>
      <c r="I1023" s="176"/>
      <c r="J1023" s="177"/>
      <c r="K1023" s="177"/>
      <c r="L1023" s="177"/>
      <c r="M1023" s="165"/>
      <c r="N1023" s="176"/>
      <c r="O1023" s="176"/>
      <c r="P1023" s="178"/>
      <c r="Q1023" s="105"/>
      <c r="R1023" s="344"/>
      <c r="S1023" s="105"/>
    </row>
    <row r="1024" spans="1:19" ht="29.25" customHeight="1">
      <c r="A1024" s="216"/>
      <c r="B1024" s="340"/>
      <c r="C1024" s="341"/>
      <c r="D1024" s="342"/>
      <c r="E1024" s="333"/>
      <c r="F1024" s="162"/>
      <c r="G1024" s="218"/>
      <c r="H1024" s="218"/>
      <c r="I1024" s="176"/>
      <c r="J1024" s="177"/>
      <c r="K1024" s="177"/>
      <c r="L1024" s="177"/>
      <c r="M1024" s="165"/>
      <c r="N1024" s="176"/>
      <c r="O1024" s="176"/>
      <c r="P1024" s="178"/>
      <c r="Q1024" s="105"/>
      <c r="R1024" s="339"/>
      <c r="S1024" s="105"/>
    </row>
    <row r="1025" spans="1:19" ht="29.25" customHeight="1">
      <c r="A1025" s="216"/>
      <c r="B1025" s="340"/>
      <c r="C1025" s="341"/>
      <c r="D1025" s="342"/>
      <c r="E1025" s="343"/>
      <c r="F1025" s="162"/>
      <c r="G1025" s="218"/>
      <c r="H1025" s="218"/>
      <c r="I1025" s="176"/>
      <c r="J1025" s="177"/>
      <c r="K1025" s="177"/>
      <c r="L1025" s="177"/>
      <c r="M1025" s="165"/>
      <c r="N1025" s="176"/>
      <c r="O1025" s="176"/>
      <c r="P1025" s="178"/>
      <c r="Q1025" s="105"/>
      <c r="R1025" s="344"/>
      <c r="S1025" s="105"/>
    </row>
    <row r="1026" spans="1:19" ht="29.25" customHeight="1">
      <c r="A1026" s="216"/>
      <c r="B1026" s="340"/>
      <c r="C1026" s="341"/>
      <c r="D1026" s="342"/>
      <c r="E1026" s="333"/>
      <c r="F1026" s="162"/>
      <c r="G1026" s="218"/>
      <c r="H1026" s="218"/>
      <c r="I1026" s="176"/>
      <c r="J1026" s="177"/>
      <c r="K1026" s="177"/>
      <c r="L1026" s="177"/>
      <c r="M1026" s="165"/>
      <c r="N1026" s="176"/>
      <c r="O1026" s="176"/>
      <c r="P1026" s="178"/>
      <c r="Q1026" s="105"/>
      <c r="R1026" s="339"/>
      <c r="S1026" s="105"/>
    </row>
    <row r="1027" spans="1:19" ht="29.25" customHeight="1">
      <c r="A1027" s="216"/>
      <c r="B1027" s="340"/>
      <c r="C1027" s="341"/>
      <c r="D1027" s="342"/>
      <c r="E1027" s="343"/>
      <c r="F1027" s="162"/>
      <c r="G1027" s="218"/>
      <c r="H1027" s="218"/>
      <c r="I1027" s="176"/>
      <c r="J1027" s="177"/>
      <c r="K1027" s="177"/>
      <c r="L1027" s="177"/>
      <c r="M1027" s="165"/>
      <c r="N1027" s="176"/>
      <c r="O1027" s="176"/>
      <c r="P1027" s="178"/>
      <c r="Q1027" s="105"/>
      <c r="R1027" s="344"/>
      <c r="S1027" s="105"/>
    </row>
    <row r="1028" spans="1:19" ht="29.25" customHeight="1">
      <c r="A1028" s="216"/>
      <c r="B1028" s="340"/>
      <c r="C1028" s="341"/>
      <c r="D1028" s="342"/>
      <c r="E1028" s="333"/>
      <c r="F1028" s="162"/>
      <c r="G1028" s="218"/>
      <c r="H1028" s="218"/>
      <c r="I1028" s="176"/>
      <c r="J1028" s="177"/>
      <c r="K1028" s="177"/>
      <c r="L1028" s="177"/>
      <c r="M1028" s="165"/>
      <c r="N1028" s="176"/>
      <c r="O1028" s="176"/>
      <c r="P1028" s="178"/>
      <c r="Q1028" s="105"/>
      <c r="R1028" s="339"/>
      <c r="S1028" s="105"/>
    </row>
    <row r="1029" spans="1:19" ht="29.25" customHeight="1">
      <c r="A1029" s="216"/>
      <c r="B1029" s="340"/>
      <c r="C1029" s="341"/>
      <c r="D1029" s="342"/>
      <c r="E1029" s="343"/>
      <c r="F1029" s="162"/>
      <c r="G1029" s="218"/>
      <c r="H1029" s="218"/>
      <c r="I1029" s="176"/>
      <c r="J1029" s="177"/>
      <c r="K1029" s="177"/>
      <c r="L1029" s="177"/>
      <c r="M1029" s="165"/>
      <c r="N1029" s="176"/>
      <c r="O1029" s="176"/>
      <c r="P1029" s="178"/>
      <c r="Q1029" s="105"/>
      <c r="R1029" s="344"/>
      <c r="S1029" s="105"/>
    </row>
    <row r="1030" spans="1:19" ht="29.25" customHeight="1">
      <c r="A1030" s="216"/>
      <c r="B1030" s="340"/>
      <c r="C1030" s="341"/>
      <c r="D1030" s="342"/>
      <c r="E1030" s="333"/>
      <c r="F1030" s="162"/>
      <c r="G1030" s="218"/>
      <c r="H1030" s="218"/>
      <c r="I1030" s="176"/>
      <c r="J1030" s="177"/>
      <c r="K1030" s="177"/>
      <c r="L1030" s="177"/>
      <c r="M1030" s="165"/>
      <c r="N1030" s="176"/>
      <c r="O1030" s="176"/>
      <c r="P1030" s="178"/>
      <c r="Q1030" s="105"/>
      <c r="R1030" s="339"/>
      <c r="S1030" s="105"/>
    </row>
    <row r="1031" spans="1:19" ht="29.25" customHeight="1">
      <c r="A1031" s="216"/>
      <c r="B1031" s="340"/>
      <c r="C1031" s="341"/>
      <c r="D1031" s="342"/>
      <c r="E1031" s="343"/>
      <c r="F1031" s="162"/>
      <c r="G1031" s="218"/>
      <c r="H1031" s="218"/>
      <c r="I1031" s="176"/>
      <c r="J1031" s="177"/>
      <c r="K1031" s="177"/>
      <c r="L1031" s="177"/>
      <c r="M1031" s="165"/>
      <c r="N1031" s="176"/>
      <c r="O1031" s="176"/>
      <c r="P1031" s="178"/>
      <c r="Q1031" s="105"/>
      <c r="R1031" s="344"/>
      <c r="S1031" s="105"/>
    </row>
    <row r="1032" spans="1:19" ht="29.25" customHeight="1">
      <c r="A1032" s="216"/>
      <c r="B1032" s="340"/>
      <c r="C1032" s="341"/>
      <c r="D1032" s="342"/>
      <c r="E1032" s="333"/>
      <c r="F1032" s="162"/>
      <c r="G1032" s="218"/>
      <c r="H1032" s="218"/>
      <c r="I1032" s="176"/>
      <c r="J1032" s="177"/>
      <c r="K1032" s="177"/>
      <c r="L1032" s="177"/>
      <c r="M1032" s="165"/>
      <c r="N1032" s="176"/>
      <c r="O1032" s="176"/>
      <c r="P1032" s="178"/>
      <c r="Q1032" s="105"/>
      <c r="R1032" s="339"/>
      <c r="S1032" s="105"/>
    </row>
    <row r="1033" spans="1:19" ht="29.25" customHeight="1">
      <c r="A1033" s="216"/>
      <c r="B1033" s="340"/>
      <c r="C1033" s="341"/>
      <c r="D1033" s="342"/>
      <c r="E1033" s="343"/>
      <c r="F1033" s="162"/>
      <c r="G1033" s="218"/>
      <c r="H1033" s="218"/>
      <c r="I1033" s="176"/>
      <c r="J1033" s="177"/>
      <c r="K1033" s="177"/>
      <c r="L1033" s="177"/>
      <c r="M1033" s="165"/>
      <c r="N1033" s="176"/>
      <c r="O1033" s="176"/>
      <c r="P1033" s="178"/>
      <c r="Q1033" s="105"/>
      <c r="R1033" s="344"/>
      <c r="S1033" s="105"/>
    </row>
    <row r="1034" spans="1:19" ht="29.25" customHeight="1">
      <c r="A1034" s="216"/>
      <c r="B1034" s="340"/>
      <c r="C1034" s="341"/>
      <c r="D1034" s="342"/>
      <c r="E1034" s="333"/>
      <c r="F1034" s="162"/>
      <c r="G1034" s="218"/>
      <c r="H1034" s="218"/>
      <c r="I1034" s="176"/>
      <c r="J1034" s="177"/>
      <c r="K1034" s="177"/>
      <c r="L1034" s="177"/>
      <c r="M1034" s="165"/>
      <c r="N1034" s="176"/>
      <c r="O1034" s="176"/>
      <c r="P1034" s="178"/>
      <c r="Q1034" s="105"/>
      <c r="R1034" s="339"/>
      <c r="S1034" s="105"/>
    </row>
    <row r="1035" spans="1:19" ht="29.25" customHeight="1">
      <c r="A1035" s="216"/>
      <c r="B1035" s="340"/>
      <c r="C1035" s="341"/>
      <c r="D1035" s="342"/>
      <c r="E1035" s="343"/>
      <c r="F1035" s="162"/>
      <c r="G1035" s="218"/>
      <c r="H1035" s="218"/>
      <c r="I1035" s="176"/>
      <c r="J1035" s="177"/>
      <c r="K1035" s="177"/>
      <c r="L1035" s="177"/>
      <c r="M1035" s="165"/>
      <c r="N1035" s="176"/>
      <c r="O1035" s="176"/>
      <c r="P1035" s="178"/>
      <c r="Q1035" s="105"/>
      <c r="R1035" s="344"/>
      <c r="S1035" s="105"/>
    </row>
    <row r="1036" spans="1:19" ht="29.25" customHeight="1">
      <c r="A1036" s="216"/>
      <c r="B1036" s="340"/>
      <c r="C1036" s="341"/>
      <c r="D1036" s="342"/>
      <c r="E1036" s="345"/>
      <c r="F1036" s="162"/>
      <c r="G1036" s="218"/>
      <c r="H1036" s="218"/>
      <c r="I1036" s="176"/>
      <c r="J1036" s="177"/>
      <c r="K1036" s="177"/>
      <c r="L1036" s="177"/>
      <c r="M1036" s="165"/>
      <c r="N1036" s="176"/>
      <c r="O1036" s="176"/>
      <c r="P1036" s="178"/>
      <c r="Q1036" s="105"/>
      <c r="R1036" s="346"/>
      <c r="S1036" s="105"/>
    </row>
    <row r="1037" spans="1:19" ht="29.25" customHeight="1">
      <c r="A1037" s="216"/>
      <c r="B1037" s="340"/>
      <c r="C1037" s="341"/>
      <c r="D1037" s="342"/>
      <c r="E1037" s="347"/>
      <c r="F1037" s="162"/>
      <c r="G1037" s="218"/>
      <c r="H1037" s="218"/>
      <c r="I1037" s="176"/>
      <c r="J1037" s="177"/>
      <c r="K1037" s="177"/>
      <c r="L1037" s="177"/>
      <c r="M1037" s="165"/>
      <c r="N1037" s="176"/>
      <c r="O1037" s="176"/>
      <c r="P1037" s="178"/>
      <c r="Q1037" s="105"/>
      <c r="R1037" s="348"/>
      <c r="S1037" s="105"/>
    </row>
    <row r="1038" spans="1:19" ht="29.25" customHeight="1">
      <c r="A1038" s="216"/>
      <c r="B1038" s="340"/>
      <c r="C1038" s="341"/>
      <c r="D1038" s="342"/>
      <c r="E1038" s="347"/>
      <c r="F1038" s="162"/>
      <c r="G1038" s="218"/>
      <c r="H1038" s="218"/>
      <c r="I1038" s="176"/>
      <c r="J1038" s="177"/>
      <c r="K1038" s="177"/>
      <c r="L1038" s="177"/>
      <c r="M1038" s="165"/>
      <c r="N1038" s="176"/>
      <c r="O1038" s="176"/>
      <c r="P1038" s="178"/>
      <c r="Q1038" s="105"/>
      <c r="R1038" s="348"/>
      <c r="S1038" s="105"/>
    </row>
    <row r="1039" spans="1:19" ht="29.25" customHeight="1"/>
  </sheetData>
  <conditionalFormatting sqref="B2:B1039">
    <cfRule type="expression" dxfId="0" priority="1">
      <formula>COUNTIF($B$2:$B$1029,B2)&gt;1</formula>
    </cfRule>
  </conditionalFormatting>
  <dataValidations count="3">
    <dataValidation type="list" allowBlank="1" sqref="F2:F1038">
      <formula1>"FINALIZADO,EN PROCESO,PAUSADO,EN TEST,PENDIENTE,PRUEBAS CLIENTE,PENDIENTE CLIENTE,PRUEBAS IMAGINE,PASO A PRODUCCION"</formula1>
    </dataValidation>
    <dataValidation type="custom" allowBlank="1" showDropDown="1" sqref="I2:L1038 O2:P1038">
      <formula1>OR(NOT(ISERROR(DATEVALUE(I2))), AND(ISNUMBER(I2), LEFT(CELL("format", I2))="D"))</formula1>
    </dataValidation>
    <dataValidation allowBlank="1" showDropDown="1" sqref="R2:R1038"/>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49" t="s">
        <v>1963</v>
      </c>
      <c r="B1" s="349" t="s">
        <v>2</v>
      </c>
      <c r="C1" s="349" t="s">
        <v>4</v>
      </c>
      <c r="D1" s="349" t="s">
        <v>5</v>
      </c>
      <c r="E1" s="350" t="s">
        <v>8</v>
      </c>
      <c r="F1" s="350" t="s">
        <v>9</v>
      </c>
      <c r="G1" s="351" t="s">
        <v>1964</v>
      </c>
      <c r="H1" s="350" t="s">
        <v>11</v>
      </c>
      <c r="I1" s="350" t="s">
        <v>1551</v>
      </c>
      <c r="J1" s="352" t="s">
        <v>14</v>
      </c>
      <c r="K1" s="349" t="s">
        <v>15</v>
      </c>
      <c r="L1" s="353" t="s">
        <v>1965</v>
      </c>
      <c r="M1" s="354"/>
      <c r="N1" s="354"/>
      <c r="O1" s="354"/>
      <c r="P1" s="354"/>
      <c r="Q1" s="354"/>
      <c r="R1" s="354"/>
      <c r="S1" s="354"/>
      <c r="T1" s="354"/>
      <c r="U1" s="354"/>
      <c r="V1" s="354"/>
      <c r="W1" s="354"/>
      <c r="X1" s="354"/>
      <c r="Y1" s="354"/>
      <c r="Z1" s="354"/>
    </row>
    <row r="2" spans="1:26" ht="30">
      <c r="A2" s="355" t="s">
        <v>1966</v>
      </c>
      <c r="B2" s="356" t="s">
        <v>1967</v>
      </c>
      <c r="C2" s="357"/>
      <c r="D2" s="358" t="s">
        <v>1968</v>
      </c>
      <c r="E2" s="359">
        <v>45526</v>
      </c>
      <c r="F2" s="359">
        <v>45526</v>
      </c>
      <c r="G2" s="357"/>
      <c r="H2" s="357"/>
      <c r="I2" s="357"/>
      <c r="J2" s="357"/>
      <c r="K2" s="357"/>
      <c r="L2" s="357" t="s">
        <v>1969</v>
      </c>
      <c r="M2" s="360"/>
      <c r="N2" s="360"/>
      <c r="O2" s="360"/>
      <c r="P2" s="360"/>
      <c r="Q2" s="360"/>
      <c r="R2" s="360"/>
      <c r="S2" s="360"/>
      <c r="T2" s="360"/>
      <c r="U2" s="360"/>
      <c r="V2" s="360"/>
      <c r="W2" s="360"/>
      <c r="X2" s="360"/>
      <c r="Y2" s="360"/>
      <c r="Z2" s="360"/>
    </row>
    <row r="3" spans="1:26" ht="28.5">
      <c r="A3" s="361" t="s">
        <v>1966</v>
      </c>
      <c r="B3" s="362" t="s">
        <v>1970</v>
      </c>
      <c r="C3" s="363" t="s">
        <v>1971</v>
      </c>
      <c r="D3" s="363" t="s">
        <v>76</v>
      </c>
      <c r="E3" s="364">
        <v>45560</v>
      </c>
      <c r="F3" s="364">
        <v>45560</v>
      </c>
      <c r="G3" s="365"/>
      <c r="H3" s="364">
        <v>45567</v>
      </c>
      <c r="I3" s="366">
        <f ca="1">IF(ISBLANK(H3), NETWORKDAYS(F3, TODAY(),fESTIVOS!$A$1:$A$18), NETWORKDAYS(F3, H3, fESTIVOS!$A$1:$A$18))</f>
        <v>6</v>
      </c>
      <c r="J3" s="364">
        <v>45567</v>
      </c>
      <c r="K3" s="365"/>
      <c r="L3" s="367" t="s">
        <v>1972</v>
      </c>
      <c r="M3" s="354"/>
      <c r="N3" s="354"/>
      <c r="O3" s="354"/>
      <c r="P3" s="354"/>
      <c r="Q3" s="354"/>
      <c r="R3" s="354"/>
      <c r="S3" s="354"/>
      <c r="T3" s="354"/>
      <c r="U3" s="354"/>
      <c r="V3" s="354"/>
      <c r="W3" s="354"/>
      <c r="X3" s="354"/>
      <c r="Y3" s="354"/>
      <c r="Z3" s="354"/>
    </row>
    <row r="4" spans="1:26" ht="186">
      <c r="A4" s="368" t="s">
        <v>1973</v>
      </c>
      <c r="B4" s="369" t="s">
        <v>1974</v>
      </c>
      <c r="C4" s="370" t="s">
        <v>1975</v>
      </c>
      <c r="D4" s="371" t="s">
        <v>1976</v>
      </c>
      <c r="E4" s="372">
        <v>45581</v>
      </c>
      <c r="F4" s="372">
        <v>45581</v>
      </c>
      <c r="G4" s="372">
        <v>45582</v>
      </c>
      <c r="H4" s="373">
        <v>45590</v>
      </c>
      <c r="I4" s="374">
        <f ca="1">IF(ISBLANK(H4), NETWORKDAYS(F4, TODAY(),fESTIVOS!$A$1:$A$18), NETWORKDAYS(F4, H4, fESTIVOS!$A$1:$A$18))</f>
        <v>8</v>
      </c>
      <c r="J4" s="373">
        <v>45590</v>
      </c>
      <c r="K4" s="372"/>
      <c r="L4" s="368" t="s">
        <v>1977</v>
      </c>
      <c r="M4" s="375"/>
      <c r="N4" s="375"/>
      <c r="O4" s="375"/>
      <c r="P4" s="375"/>
      <c r="Q4" s="375"/>
      <c r="R4" s="375"/>
      <c r="S4" s="375"/>
      <c r="T4" s="375"/>
      <c r="U4" s="375"/>
      <c r="V4" s="375"/>
      <c r="W4" s="375"/>
      <c r="X4" s="375"/>
      <c r="Y4" s="375"/>
      <c r="Z4" s="375"/>
    </row>
    <row r="5" spans="1:26" ht="30">
      <c r="A5" s="353" t="s">
        <v>1966</v>
      </c>
      <c r="B5" s="369" t="s">
        <v>1978</v>
      </c>
      <c r="C5" s="363" t="s">
        <v>1979</v>
      </c>
      <c r="D5" s="376" t="s">
        <v>803</v>
      </c>
      <c r="E5" s="364">
        <v>45572</v>
      </c>
      <c r="F5" s="364">
        <v>45590</v>
      </c>
      <c r="G5" s="364"/>
      <c r="H5" s="364">
        <v>45594</v>
      </c>
      <c r="I5" s="366">
        <f ca="1">IF(ISBLANK(H5), NETWORKDAYS(F5, TODAY(),fESTIVOS!$A$1:$A$18), NETWORKDAYS(F5, H5, fESTIVOS!$A$1:$A$18))</f>
        <v>3</v>
      </c>
      <c r="J5" s="364">
        <v>45594</v>
      </c>
      <c r="K5" s="364"/>
      <c r="L5" s="367" t="s">
        <v>1980</v>
      </c>
      <c r="M5" s="354"/>
      <c r="N5" s="354"/>
      <c r="O5" s="354"/>
      <c r="P5" s="354"/>
      <c r="Q5" s="354"/>
      <c r="R5" s="354"/>
      <c r="S5" s="354"/>
      <c r="T5" s="354"/>
      <c r="U5" s="354"/>
      <c r="V5" s="354"/>
      <c r="W5" s="354"/>
      <c r="X5" s="354"/>
      <c r="Y5" s="354"/>
      <c r="Z5" s="354"/>
    </row>
    <row r="6" spans="1:26" ht="117">
      <c r="A6" s="377" t="s">
        <v>1981</v>
      </c>
      <c r="B6" s="377" t="s">
        <v>1982</v>
      </c>
      <c r="C6" s="371" t="s">
        <v>1983</v>
      </c>
      <c r="D6" s="377" t="s">
        <v>1984</v>
      </c>
      <c r="E6" s="378">
        <v>45602</v>
      </c>
      <c r="F6" s="378">
        <v>45602</v>
      </c>
      <c r="G6" s="377"/>
      <c r="H6" s="378">
        <v>45602</v>
      </c>
      <c r="I6" s="374">
        <f ca="1">IF(ISBLANK(H6), NETWORKDAYS(F6, TODAY(),fESTIVOS!$A$1:$A$18), NETWORKDAYS(F6, H6, fESTIVOS!$A$1:$A$18))</f>
        <v>1</v>
      </c>
      <c r="J6" s="378"/>
      <c r="K6" s="378">
        <v>45602</v>
      </c>
      <c r="L6" s="379" t="s">
        <v>1985</v>
      </c>
      <c r="M6" s="380"/>
      <c r="N6" s="381"/>
      <c r="O6" s="381"/>
      <c r="P6" s="381"/>
      <c r="Q6" s="381"/>
      <c r="R6" s="381"/>
      <c r="S6" s="381"/>
      <c r="T6" s="381"/>
      <c r="U6" s="381"/>
      <c r="V6" s="381"/>
      <c r="W6" s="381"/>
      <c r="X6" s="381"/>
      <c r="Y6" s="381"/>
      <c r="Z6" s="381"/>
    </row>
    <row r="7" spans="1:26" ht="99.75">
      <c r="A7" s="353" t="s">
        <v>1966</v>
      </c>
      <c r="B7" s="362" t="s">
        <v>1970</v>
      </c>
      <c r="C7" s="382" t="s">
        <v>1986</v>
      </c>
      <c r="D7" s="376" t="s">
        <v>803</v>
      </c>
      <c r="E7" s="364">
        <v>45589</v>
      </c>
      <c r="F7" s="364">
        <v>45589</v>
      </c>
      <c r="G7" s="376"/>
      <c r="H7" s="383">
        <v>45603</v>
      </c>
      <c r="I7" s="366">
        <f ca="1">IF(ISBLANK(H7), NETWORKDAYS(F7, TODAY(),fESTIVOS!$A$1:$A$18), NETWORKDAYS(F7, H7, fESTIVOS!$A$1:$A$18))</f>
        <v>10</v>
      </c>
      <c r="J7" s="383">
        <v>45603</v>
      </c>
      <c r="K7" s="376"/>
      <c r="L7" s="384" t="s">
        <v>1987</v>
      </c>
      <c r="M7" s="385"/>
      <c r="N7" s="385"/>
      <c r="O7" s="385"/>
      <c r="P7" s="385"/>
      <c r="Q7" s="385"/>
      <c r="R7" s="385"/>
      <c r="S7" s="385"/>
      <c r="T7" s="385"/>
      <c r="U7" s="385"/>
      <c r="V7" s="385"/>
      <c r="W7" s="385"/>
      <c r="X7" s="385"/>
      <c r="Y7" s="385"/>
      <c r="Z7" s="385"/>
    </row>
    <row r="8" spans="1:26" ht="71.25">
      <c r="A8" s="386" t="s">
        <v>1966</v>
      </c>
      <c r="B8" s="387" t="s">
        <v>1988</v>
      </c>
      <c r="C8" s="388"/>
      <c r="D8" s="388" t="s">
        <v>1989</v>
      </c>
      <c r="E8" s="389">
        <v>45603</v>
      </c>
      <c r="F8" s="389">
        <v>45603</v>
      </c>
      <c r="G8" s="389"/>
      <c r="H8" s="389">
        <v>45610</v>
      </c>
      <c r="I8" s="390">
        <f ca="1">IF(ISBLANK(H8), NETWORKDAYS(F8, TODAY(),fESTIVOS!$A$1:$A$18), NETWORKDAYS(F8, H8, fESTIVOS!$A$1:$A$18))</f>
        <v>5</v>
      </c>
      <c r="J8" s="389">
        <v>45610</v>
      </c>
      <c r="K8" s="389"/>
      <c r="L8" s="391" t="s">
        <v>1990</v>
      </c>
      <c r="M8" s="354"/>
      <c r="N8" s="354"/>
      <c r="O8" s="354"/>
      <c r="P8" s="354"/>
      <c r="Q8" s="354"/>
      <c r="R8" s="354"/>
      <c r="S8" s="354"/>
      <c r="T8" s="354"/>
      <c r="U8" s="354"/>
      <c r="V8" s="354"/>
      <c r="W8" s="354"/>
      <c r="X8" s="354"/>
      <c r="Y8" s="354"/>
      <c r="Z8" s="354"/>
    </row>
    <row r="9" spans="1:26" ht="42.75">
      <c r="A9" s="392" t="s">
        <v>1991</v>
      </c>
      <c r="B9" s="393" t="s">
        <v>1992</v>
      </c>
      <c r="C9" s="394" t="s">
        <v>1993</v>
      </c>
      <c r="D9" s="395" t="s">
        <v>1994</v>
      </c>
      <c r="E9" s="396">
        <v>45671</v>
      </c>
      <c r="F9" s="397">
        <v>45673</v>
      </c>
      <c r="G9" s="394" t="s">
        <v>1995</v>
      </c>
      <c r="H9" s="396">
        <v>45680</v>
      </c>
      <c r="I9" s="374">
        <f ca="1">IF(ISBLANK(H9), NETWORKDAYS(F9, TODAY(),fESTIVOS!$A$1:$A$18), NETWORKDAYS(F9, H9, fESTIVOS!$A$1:$A$18))</f>
        <v>6</v>
      </c>
      <c r="J9" s="396">
        <v>45680</v>
      </c>
      <c r="K9" s="394"/>
      <c r="L9" s="398" t="s">
        <v>1996</v>
      </c>
      <c r="M9" s="399"/>
      <c r="N9" s="399"/>
      <c r="O9" s="399"/>
      <c r="P9" s="399"/>
      <c r="Q9" s="399"/>
      <c r="R9" s="399"/>
      <c r="S9" s="399"/>
      <c r="T9" s="399"/>
      <c r="U9" s="399"/>
      <c r="V9" s="399"/>
      <c r="W9" s="399"/>
      <c r="X9" s="399"/>
      <c r="Y9" s="399"/>
      <c r="Z9" s="399"/>
    </row>
    <row r="10" spans="1:26" ht="57">
      <c r="A10" s="392" t="s">
        <v>1991</v>
      </c>
      <c r="B10" s="400"/>
      <c r="C10" s="398" t="s">
        <v>1997</v>
      </c>
      <c r="D10" s="395" t="s">
        <v>1994</v>
      </c>
      <c r="E10" s="396">
        <v>45671</v>
      </c>
      <c r="F10" s="397">
        <v>45673</v>
      </c>
      <c r="G10" s="394"/>
      <c r="H10" s="396">
        <v>45674</v>
      </c>
      <c r="I10" s="374">
        <f ca="1">IF(ISBLANK(H10), NETWORKDAYS(F10, TODAY(),fESTIVOS!$A$1:$A$18), NETWORKDAYS(F10, H10, fESTIVOS!$A$1:$A$18))</f>
        <v>2</v>
      </c>
      <c r="J10" s="394"/>
      <c r="K10" s="394"/>
      <c r="L10" s="398" t="s">
        <v>1998</v>
      </c>
      <c r="M10" s="399"/>
      <c r="N10" s="399"/>
      <c r="O10" s="399"/>
      <c r="P10" s="399"/>
      <c r="Q10" s="399"/>
      <c r="R10" s="399"/>
      <c r="S10" s="399"/>
      <c r="T10" s="399"/>
      <c r="U10" s="399"/>
      <c r="V10" s="399"/>
      <c r="W10" s="399"/>
      <c r="X10" s="399"/>
      <c r="Y10" s="399"/>
      <c r="Z10" s="399"/>
    </row>
    <row r="11" spans="1:26" ht="42.75">
      <c r="A11" s="392" t="s">
        <v>1991</v>
      </c>
      <c r="B11" s="400"/>
      <c r="C11" s="398" t="s">
        <v>1999</v>
      </c>
      <c r="D11" s="395" t="s">
        <v>1994</v>
      </c>
      <c r="E11" s="396">
        <v>45671</v>
      </c>
      <c r="F11" s="397">
        <v>45673</v>
      </c>
      <c r="G11" s="394"/>
      <c r="H11" s="396">
        <v>45674</v>
      </c>
      <c r="I11" s="374">
        <f ca="1">IF(ISBLANK(H11), NETWORKDAYS(F11, TODAY(),fESTIVOS!$A$1:$A$18), NETWORKDAYS(F11, H11, fESTIVOS!$A$1:$A$18))</f>
        <v>2</v>
      </c>
      <c r="J11" s="394"/>
      <c r="K11" s="394"/>
      <c r="L11" s="398" t="s">
        <v>1998</v>
      </c>
      <c r="M11" s="399"/>
      <c r="N11" s="399"/>
      <c r="O11" s="399"/>
      <c r="P11" s="399"/>
      <c r="Q11" s="399"/>
      <c r="R11" s="399"/>
      <c r="S11" s="399"/>
      <c r="T11" s="399"/>
      <c r="U11" s="399"/>
      <c r="V11" s="399"/>
      <c r="W11" s="399"/>
      <c r="X11" s="399"/>
      <c r="Y11" s="399"/>
      <c r="Z11" s="399"/>
    </row>
    <row r="12" spans="1:26" ht="42.75">
      <c r="A12" s="392" t="s">
        <v>1991</v>
      </c>
      <c r="B12" s="400"/>
      <c r="C12" s="398" t="s">
        <v>2000</v>
      </c>
      <c r="D12" s="395" t="s">
        <v>1994</v>
      </c>
      <c r="E12" s="396">
        <v>45671</v>
      </c>
      <c r="F12" s="397">
        <v>45673</v>
      </c>
      <c r="G12" s="394"/>
      <c r="H12" s="396">
        <v>45674</v>
      </c>
      <c r="I12" s="374">
        <f ca="1">IF(ISBLANK(H12), NETWORKDAYS(F12, TODAY(),fESTIVOS!$A$1:$A$18), NETWORKDAYS(F12, H12, fESTIVOS!$A$1:$A$18))</f>
        <v>2</v>
      </c>
      <c r="J12" s="394"/>
      <c r="K12" s="394"/>
      <c r="L12" s="398" t="s">
        <v>1998</v>
      </c>
      <c r="M12" s="399"/>
      <c r="N12" s="399"/>
      <c r="O12" s="399"/>
      <c r="P12" s="399"/>
      <c r="Q12" s="399"/>
      <c r="R12" s="399"/>
      <c r="S12" s="399"/>
      <c r="T12" s="399"/>
      <c r="U12" s="399"/>
      <c r="V12" s="399"/>
      <c r="W12" s="399"/>
      <c r="X12" s="399"/>
      <c r="Y12" s="399"/>
      <c r="Z12" s="399"/>
    </row>
    <row r="13" spans="1:26" ht="42.75">
      <c r="A13" s="392" t="s">
        <v>1991</v>
      </c>
      <c r="B13" s="400"/>
      <c r="C13" s="398" t="s">
        <v>2001</v>
      </c>
      <c r="D13" s="395" t="s">
        <v>1994</v>
      </c>
      <c r="E13" s="396">
        <v>45671</v>
      </c>
      <c r="F13" s="397">
        <v>45673</v>
      </c>
      <c r="G13" s="394"/>
      <c r="H13" s="396">
        <v>45677</v>
      </c>
      <c r="I13" s="374">
        <f ca="1">IF(ISBLANK(H13), NETWORKDAYS(F13, TODAY(),fESTIVOS!$A$1:$A$18), NETWORKDAYS(F13, H13, fESTIVOS!$A$1:$A$18))</f>
        <v>3</v>
      </c>
      <c r="J13" s="394"/>
      <c r="K13" s="394"/>
      <c r="L13" s="398" t="s">
        <v>1998</v>
      </c>
      <c r="M13" s="399"/>
      <c r="N13" s="399"/>
      <c r="O13" s="399"/>
      <c r="P13" s="399"/>
      <c r="Q13" s="399"/>
      <c r="R13" s="399"/>
      <c r="S13" s="399"/>
      <c r="T13" s="399"/>
      <c r="U13" s="399"/>
      <c r="V13" s="399"/>
      <c r="W13" s="399"/>
      <c r="X13" s="399"/>
      <c r="Y13" s="399"/>
      <c r="Z13" s="399"/>
    </row>
    <row r="14" spans="1:26" ht="42.75">
      <c r="A14" s="392" t="s">
        <v>1991</v>
      </c>
      <c r="B14" s="400"/>
      <c r="C14" s="398" t="s">
        <v>2002</v>
      </c>
      <c r="D14" s="395" t="s">
        <v>1994</v>
      </c>
      <c r="E14" s="396">
        <v>45671</v>
      </c>
      <c r="F14" s="397">
        <v>45678</v>
      </c>
      <c r="G14" s="394"/>
      <c r="H14" s="397">
        <v>45678</v>
      </c>
      <c r="I14" s="374">
        <f ca="1">IF(ISBLANK(H14), NETWORKDAYS(F14, TODAY(),fESTIVOS!$A$1:$A$18), NETWORKDAYS(F14, H14, fESTIVOS!$A$1:$A$18))</f>
        <v>1</v>
      </c>
      <c r="J14" s="394"/>
      <c r="K14" s="394"/>
      <c r="L14" s="394" t="s">
        <v>2003</v>
      </c>
      <c r="M14" s="399"/>
      <c r="N14" s="399"/>
      <c r="O14" s="399"/>
      <c r="P14" s="399"/>
      <c r="Q14" s="399"/>
      <c r="R14" s="399"/>
      <c r="S14" s="399"/>
      <c r="T14" s="399"/>
      <c r="U14" s="399"/>
      <c r="V14" s="399"/>
      <c r="W14" s="399"/>
      <c r="X14" s="399"/>
      <c r="Y14" s="399"/>
      <c r="Z14" s="399"/>
    </row>
    <row r="15" spans="1:26" ht="42.75">
      <c r="A15" s="392" t="s">
        <v>1991</v>
      </c>
      <c r="B15" s="400"/>
      <c r="C15" s="398" t="s">
        <v>2004</v>
      </c>
      <c r="D15" s="395" t="s">
        <v>1994</v>
      </c>
      <c r="E15" s="396">
        <v>45671</v>
      </c>
      <c r="F15" s="397">
        <v>45679</v>
      </c>
      <c r="G15" s="394"/>
      <c r="H15" s="397">
        <v>45679</v>
      </c>
      <c r="I15" s="374">
        <f ca="1">IF(ISBLANK(H15), NETWORKDAYS(F15, TODAY(),fESTIVOS!$A$1:$A$18), NETWORKDAYS(F15, H15, fESTIVOS!$A$1:$A$18))</f>
        <v>1</v>
      </c>
      <c r="J15" s="394"/>
      <c r="K15" s="394"/>
      <c r="L15" s="394" t="s">
        <v>2003</v>
      </c>
      <c r="M15" s="399"/>
      <c r="N15" s="399"/>
      <c r="O15" s="399"/>
      <c r="P15" s="399"/>
      <c r="Q15" s="399"/>
      <c r="R15" s="399"/>
      <c r="S15" s="399"/>
      <c r="T15" s="399"/>
      <c r="U15" s="399"/>
      <c r="V15" s="399"/>
      <c r="W15" s="399"/>
      <c r="X15" s="399"/>
      <c r="Y15" s="399"/>
      <c r="Z15" s="399"/>
    </row>
    <row r="16" spans="1:26" ht="71.25">
      <c r="A16" s="392" t="s">
        <v>1991</v>
      </c>
      <c r="B16" s="401"/>
      <c r="C16" s="402" t="s">
        <v>2005</v>
      </c>
      <c r="D16" s="395" t="s">
        <v>1994</v>
      </c>
      <c r="E16" s="396">
        <v>45681</v>
      </c>
      <c r="F16" s="397">
        <v>45684</v>
      </c>
      <c r="G16" s="394"/>
      <c r="H16" s="396">
        <v>45685</v>
      </c>
      <c r="I16" s="374">
        <f ca="1">IF(ISBLANK(H16), NETWORKDAYS(F16, TODAY(),fESTIVOS!$A$1:$A$18), NETWORKDAYS(F16, H16, fESTIVOS!$A$1:$A$18))</f>
        <v>2</v>
      </c>
      <c r="J16" s="394"/>
      <c r="K16" s="394"/>
      <c r="L16" s="398" t="s">
        <v>2006</v>
      </c>
      <c r="M16" s="399"/>
      <c r="N16" s="399"/>
      <c r="O16" s="399"/>
      <c r="P16" s="399"/>
      <c r="Q16" s="399"/>
      <c r="R16" s="399"/>
      <c r="S16" s="399"/>
      <c r="T16" s="399"/>
      <c r="U16" s="399"/>
      <c r="V16" s="399"/>
      <c r="W16" s="399"/>
      <c r="X16" s="399"/>
      <c r="Y16" s="399"/>
      <c r="Z16" s="399"/>
    </row>
    <row r="17" spans="1:26" ht="15.75" customHeight="1">
      <c r="A17" s="360"/>
      <c r="B17" s="360"/>
      <c r="C17" s="360"/>
      <c r="D17" s="360"/>
      <c r="E17" s="360"/>
      <c r="F17" s="360"/>
      <c r="G17" s="360"/>
      <c r="H17" s="360"/>
      <c r="I17" s="360"/>
      <c r="J17" s="360"/>
      <c r="K17" s="360"/>
      <c r="L17" s="360"/>
      <c r="M17" s="360"/>
      <c r="N17" s="360"/>
      <c r="O17" s="360"/>
      <c r="P17" s="360"/>
      <c r="Q17" s="360"/>
      <c r="R17" s="360"/>
      <c r="S17" s="360"/>
      <c r="T17" s="360"/>
      <c r="U17" s="360"/>
      <c r="V17" s="360"/>
      <c r="W17" s="360"/>
      <c r="X17" s="360"/>
      <c r="Y17" s="360"/>
      <c r="Z17" s="360"/>
    </row>
    <row r="18" spans="1:26" ht="15.75" customHeight="1">
      <c r="A18" s="360"/>
      <c r="B18" s="360"/>
      <c r="C18" s="360"/>
      <c r="D18" s="360"/>
      <c r="E18" s="360"/>
      <c r="F18" s="360"/>
      <c r="G18" s="360"/>
      <c r="H18" s="360"/>
      <c r="I18" s="360"/>
      <c r="J18" s="360"/>
      <c r="K18" s="360"/>
      <c r="L18" s="360"/>
      <c r="M18" s="360"/>
      <c r="N18" s="360"/>
      <c r="O18" s="360"/>
      <c r="P18" s="360"/>
      <c r="Q18" s="360"/>
      <c r="R18" s="360"/>
      <c r="S18" s="360"/>
      <c r="T18" s="360"/>
      <c r="U18" s="360"/>
      <c r="V18" s="360"/>
      <c r="W18" s="360"/>
      <c r="X18" s="360"/>
      <c r="Y18" s="360"/>
      <c r="Z18" s="360"/>
    </row>
    <row r="19" spans="1:26" ht="15.75" customHeight="1">
      <c r="A19" s="360"/>
      <c r="B19" s="360"/>
      <c r="C19" s="360"/>
      <c r="D19" s="360"/>
      <c r="E19" s="360"/>
      <c r="F19" s="360"/>
      <c r="G19" s="360"/>
      <c r="H19" s="360"/>
      <c r="I19" s="360"/>
      <c r="J19" s="360"/>
      <c r="K19" s="360"/>
      <c r="L19" s="360"/>
      <c r="M19" s="360"/>
      <c r="N19" s="360"/>
      <c r="O19" s="360"/>
      <c r="P19" s="360"/>
      <c r="Q19" s="360"/>
      <c r="R19" s="360"/>
      <c r="S19" s="360"/>
      <c r="T19" s="360"/>
      <c r="U19" s="360"/>
      <c r="V19" s="360"/>
      <c r="W19" s="360"/>
      <c r="X19" s="360"/>
      <c r="Y19" s="360"/>
      <c r="Z19" s="360"/>
    </row>
    <row r="20" spans="1:26" ht="15.75" customHeight="1">
      <c r="A20" s="360"/>
      <c r="B20" s="360"/>
      <c r="C20" s="360"/>
      <c r="D20" s="360"/>
      <c r="E20" s="360"/>
      <c r="F20" s="360"/>
      <c r="G20" s="360"/>
      <c r="H20" s="360"/>
      <c r="I20" s="360"/>
      <c r="J20" s="360"/>
      <c r="K20" s="360"/>
      <c r="L20" s="360"/>
      <c r="M20" s="360"/>
      <c r="N20" s="360"/>
      <c r="O20" s="360"/>
      <c r="P20" s="360"/>
      <c r="Q20" s="360"/>
      <c r="R20" s="360"/>
      <c r="S20" s="360"/>
      <c r="T20" s="360"/>
      <c r="U20" s="360"/>
      <c r="V20" s="360"/>
      <c r="W20" s="360"/>
      <c r="X20" s="360"/>
      <c r="Y20" s="360"/>
      <c r="Z20" s="360"/>
    </row>
    <row r="21" spans="1:26" ht="15.75" customHeight="1">
      <c r="A21" s="360"/>
      <c r="B21" s="360"/>
      <c r="C21" s="360"/>
      <c r="D21" s="360"/>
      <c r="E21" s="360"/>
      <c r="F21" s="360"/>
      <c r="G21" s="360"/>
      <c r="H21" s="360"/>
      <c r="I21" s="360"/>
      <c r="J21" s="360"/>
      <c r="K21" s="360"/>
      <c r="L21" s="360"/>
      <c r="M21" s="360"/>
      <c r="N21" s="360"/>
      <c r="O21" s="360"/>
      <c r="P21" s="360"/>
      <c r="Q21" s="360"/>
      <c r="R21" s="360"/>
      <c r="S21" s="360"/>
      <c r="T21" s="360"/>
      <c r="U21" s="360"/>
      <c r="V21" s="360"/>
      <c r="W21" s="360"/>
      <c r="X21" s="360"/>
      <c r="Y21" s="360"/>
      <c r="Z21" s="360"/>
    </row>
    <row r="22" spans="1:26" ht="15.75" customHeight="1">
      <c r="A22" s="360"/>
      <c r="B22" s="360"/>
      <c r="C22" s="360"/>
      <c r="D22" s="360"/>
      <c r="E22" s="360"/>
      <c r="F22" s="360"/>
      <c r="G22" s="360"/>
      <c r="H22" s="360"/>
      <c r="I22" s="360"/>
      <c r="J22" s="360"/>
      <c r="K22" s="360"/>
      <c r="L22" s="360"/>
      <c r="M22" s="360"/>
      <c r="N22" s="360"/>
      <c r="O22" s="360"/>
      <c r="P22" s="360"/>
      <c r="Q22" s="360"/>
      <c r="R22" s="360"/>
      <c r="S22" s="360"/>
      <c r="T22" s="360"/>
      <c r="U22" s="360"/>
      <c r="V22" s="360"/>
      <c r="W22" s="360"/>
      <c r="X22" s="360"/>
      <c r="Y22" s="360"/>
      <c r="Z22" s="360"/>
    </row>
    <row r="23" spans="1:26" ht="15.75" customHeight="1">
      <c r="A23" s="360"/>
      <c r="B23" s="360"/>
      <c r="C23" s="360"/>
      <c r="D23" s="360"/>
      <c r="E23" s="360"/>
      <c r="F23" s="360"/>
      <c r="G23" s="360"/>
      <c r="H23" s="360"/>
      <c r="I23" s="360"/>
      <c r="J23" s="360"/>
      <c r="K23" s="360"/>
      <c r="L23" s="360"/>
      <c r="M23" s="360"/>
      <c r="N23" s="360"/>
      <c r="O23" s="360"/>
      <c r="P23" s="360"/>
      <c r="Q23" s="360"/>
      <c r="R23" s="360"/>
      <c r="S23" s="360"/>
      <c r="T23" s="360"/>
      <c r="U23" s="360"/>
      <c r="V23" s="360"/>
      <c r="W23" s="360"/>
      <c r="X23" s="360"/>
      <c r="Y23" s="360"/>
      <c r="Z23" s="360"/>
    </row>
    <row r="24" spans="1:26" ht="15.75" customHeight="1">
      <c r="A24" s="360"/>
      <c r="B24" s="360"/>
      <c r="C24" s="360"/>
      <c r="D24" s="360"/>
      <c r="E24" s="360"/>
      <c r="F24" s="360"/>
      <c r="G24" s="360"/>
      <c r="H24" s="360"/>
      <c r="I24" s="360"/>
      <c r="J24" s="360"/>
      <c r="K24" s="360"/>
      <c r="L24" s="360"/>
      <c r="M24" s="360"/>
      <c r="N24" s="360"/>
      <c r="O24" s="360"/>
      <c r="P24" s="360"/>
      <c r="Q24" s="360"/>
      <c r="R24" s="360"/>
      <c r="S24" s="360"/>
      <c r="T24" s="360"/>
      <c r="U24" s="360"/>
      <c r="V24" s="360"/>
      <c r="W24" s="360"/>
      <c r="X24" s="360"/>
      <c r="Y24" s="360"/>
      <c r="Z24" s="360"/>
    </row>
    <row r="25" spans="1:26" ht="15.75" customHeight="1">
      <c r="A25" s="360"/>
      <c r="B25" s="360"/>
      <c r="C25" s="360"/>
      <c r="D25" s="360"/>
      <c r="E25" s="360"/>
      <c r="F25" s="360"/>
      <c r="G25" s="360"/>
      <c r="H25" s="360"/>
      <c r="I25" s="360"/>
      <c r="J25" s="360"/>
      <c r="K25" s="360"/>
      <c r="L25" s="360"/>
      <c r="M25" s="360"/>
      <c r="N25" s="360"/>
      <c r="O25" s="360"/>
      <c r="P25" s="360"/>
      <c r="Q25" s="360"/>
      <c r="R25" s="360"/>
      <c r="S25" s="360"/>
      <c r="T25" s="360"/>
      <c r="U25" s="360"/>
      <c r="V25" s="360"/>
      <c r="W25" s="360"/>
      <c r="X25" s="360"/>
      <c r="Y25" s="360"/>
      <c r="Z25" s="360"/>
    </row>
    <row r="26" spans="1:26" ht="15.75" customHeight="1">
      <c r="A26" s="360"/>
      <c r="B26" s="360"/>
      <c r="C26" s="360"/>
      <c r="D26" s="360"/>
      <c r="E26" s="360"/>
      <c r="F26" s="360"/>
      <c r="G26" s="360"/>
      <c r="H26" s="360"/>
      <c r="I26" s="360"/>
      <c r="J26" s="360"/>
      <c r="K26" s="360"/>
      <c r="L26" s="360"/>
      <c r="M26" s="360"/>
      <c r="N26" s="360"/>
      <c r="O26" s="360"/>
      <c r="P26" s="360"/>
      <c r="Q26" s="360"/>
      <c r="R26" s="360"/>
      <c r="S26" s="360"/>
      <c r="T26" s="360"/>
      <c r="U26" s="360"/>
      <c r="V26" s="360"/>
      <c r="W26" s="360"/>
      <c r="X26" s="360"/>
      <c r="Y26" s="360"/>
      <c r="Z26" s="360"/>
    </row>
    <row r="27" spans="1:26" ht="15.75" customHeight="1">
      <c r="A27" s="360"/>
      <c r="B27" s="360"/>
      <c r="C27" s="360"/>
      <c r="D27" s="360"/>
      <c r="E27" s="360"/>
      <c r="F27" s="360"/>
      <c r="G27" s="360"/>
      <c r="H27" s="360"/>
      <c r="I27" s="360"/>
      <c r="J27" s="360"/>
      <c r="K27" s="360"/>
      <c r="L27" s="360"/>
      <c r="M27" s="360"/>
      <c r="N27" s="360"/>
      <c r="O27" s="360"/>
      <c r="P27" s="360"/>
      <c r="Q27" s="360"/>
      <c r="R27" s="360"/>
      <c r="S27" s="360"/>
      <c r="T27" s="360"/>
      <c r="U27" s="360"/>
      <c r="V27" s="360"/>
      <c r="W27" s="360"/>
      <c r="X27" s="360"/>
      <c r="Y27" s="360"/>
      <c r="Z27" s="360"/>
    </row>
    <row r="28" spans="1:26" ht="15.75" customHeight="1">
      <c r="A28" s="360"/>
      <c r="B28" s="360"/>
      <c r="C28" s="360"/>
      <c r="D28" s="360"/>
      <c r="E28" s="360"/>
      <c r="F28" s="360"/>
      <c r="G28" s="360"/>
      <c r="H28" s="360"/>
      <c r="I28" s="360"/>
      <c r="J28" s="360"/>
      <c r="K28" s="360"/>
      <c r="L28" s="360"/>
      <c r="M28" s="360"/>
      <c r="N28" s="360"/>
      <c r="O28" s="360"/>
      <c r="P28" s="360"/>
      <c r="Q28" s="360"/>
      <c r="R28" s="360"/>
      <c r="S28" s="360"/>
      <c r="T28" s="360"/>
      <c r="U28" s="360"/>
      <c r="V28" s="360"/>
      <c r="W28" s="360"/>
      <c r="X28" s="360"/>
      <c r="Y28" s="360"/>
      <c r="Z28" s="360"/>
    </row>
    <row r="29" spans="1:26" ht="15.75" customHeight="1">
      <c r="A29" s="360"/>
      <c r="B29" s="360"/>
      <c r="C29" s="360"/>
      <c r="D29" s="360"/>
      <c r="E29" s="360"/>
      <c r="F29" s="360"/>
      <c r="G29" s="360"/>
      <c r="H29" s="360"/>
      <c r="I29" s="360"/>
      <c r="J29" s="360"/>
      <c r="K29" s="360"/>
      <c r="L29" s="360"/>
      <c r="M29" s="360"/>
      <c r="N29" s="360"/>
      <c r="O29" s="360"/>
      <c r="P29" s="360"/>
      <c r="Q29" s="360"/>
      <c r="R29" s="360"/>
      <c r="S29" s="360"/>
      <c r="T29" s="360"/>
      <c r="U29" s="360"/>
      <c r="V29" s="360"/>
      <c r="W29" s="360"/>
      <c r="X29" s="360"/>
      <c r="Y29" s="360"/>
      <c r="Z29" s="360"/>
    </row>
    <row r="30" spans="1:26" ht="15.75" customHeight="1">
      <c r="A30" s="360"/>
      <c r="B30" s="360"/>
      <c r="C30" s="360"/>
      <c r="D30" s="360"/>
      <c r="E30" s="360"/>
      <c r="F30" s="360"/>
      <c r="G30" s="360"/>
      <c r="H30" s="360"/>
      <c r="I30" s="360"/>
      <c r="J30" s="360"/>
      <c r="K30" s="360"/>
      <c r="L30" s="360"/>
      <c r="M30" s="360"/>
      <c r="N30" s="360"/>
      <c r="O30" s="360"/>
      <c r="P30" s="360"/>
      <c r="Q30" s="360"/>
      <c r="R30" s="360"/>
      <c r="S30" s="360"/>
      <c r="T30" s="360"/>
      <c r="U30" s="360"/>
      <c r="V30" s="360"/>
      <c r="W30" s="360"/>
      <c r="X30" s="360"/>
      <c r="Y30" s="360"/>
      <c r="Z30" s="360"/>
    </row>
    <row r="31" spans="1:26" ht="15.75" customHeight="1">
      <c r="A31" s="360"/>
      <c r="B31" s="360"/>
      <c r="C31" s="360"/>
      <c r="D31" s="360"/>
      <c r="E31" s="360"/>
      <c r="F31" s="360"/>
      <c r="G31" s="360"/>
      <c r="H31" s="360"/>
      <c r="I31" s="360"/>
      <c r="J31" s="360"/>
      <c r="K31" s="360"/>
      <c r="L31" s="360"/>
      <c r="M31" s="360"/>
      <c r="N31" s="360"/>
      <c r="O31" s="360"/>
      <c r="P31" s="360"/>
      <c r="Q31" s="360"/>
      <c r="R31" s="360"/>
      <c r="S31" s="360"/>
      <c r="T31" s="360"/>
      <c r="U31" s="360"/>
      <c r="V31" s="360"/>
      <c r="W31" s="360"/>
      <c r="X31" s="360"/>
      <c r="Y31" s="360"/>
      <c r="Z31" s="360"/>
    </row>
    <row r="32" spans="1:26" ht="15.75" customHeight="1">
      <c r="A32" s="360"/>
      <c r="B32" s="360"/>
      <c r="C32" s="360"/>
      <c r="D32" s="360"/>
      <c r="E32" s="360"/>
      <c r="F32" s="360"/>
      <c r="G32" s="360"/>
      <c r="H32" s="360"/>
      <c r="I32" s="360"/>
      <c r="J32" s="360"/>
      <c r="K32" s="360"/>
      <c r="L32" s="360"/>
      <c r="M32" s="360"/>
      <c r="N32" s="360"/>
      <c r="O32" s="360"/>
      <c r="P32" s="360"/>
      <c r="Q32" s="360"/>
      <c r="R32" s="360"/>
      <c r="S32" s="360"/>
      <c r="T32" s="360"/>
      <c r="U32" s="360"/>
      <c r="V32" s="360"/>
      <c r="W32" s="360"/>
      <c r="X32" s="360"/>
      <c r="Y32" s="360"/>
      <c r="Z32" s="360"/>
    </row>
    <row r="33" spans="1:26" ht="15.75" customHeight="1">
      <c r="A33" s="360"/>
      <c r="B33" s="360"/>
      <c r="C33" s="360"/>
      <c r="D33" s="360"/>
      <c r="E33" s="360"/>
      <c r="F33" s="360"/>
      <c r="G33" s="360"/>
      <c r="H33" s="360"/>
      <c r="I33" s="360"/>
      <c r="J33" s="360"/>
      <c r="K33" s="360"/>
      <c r="L33" s="360"/>
      <c r="M33" s="360"/>
      <c r="N33" s="360"/>
      <c r="O33" s="360"/>
      <c r="P33" s="360"/>
      <c r="Q33" s="360"/>
      <c r="R33" s="360"/>
      <c r="S33" s="360"/>
      <c r="T33" s="360"/>
      <c r="U33" s="360"/>
      <c r="V33" s="360"/>
      <c r="W33" s="360"/>
      <c r="X33" s="360"/>
      <c r="Y33" s="360"/>
      <c r="Z33" s="360"/>
    </row>
    <row r="34" spans="1:26" ht="15.75" customHeight="1">
      <c r="A34" s="360"/>
      <c r="B34" s="360"/>
      <c r="C34" s="360"/>
      <c r="D34" s="360"/>
      <c r="E34" s="360"/>
      <c r="F34" s="360"/>
      <c r="G34" s="360"/>
      <c r="H34" s="360"/>
      <c r="I34" s="360"/>
      <c r="J34" s="360"/>
      <c r="K34" s="360"/>
      <c r="L34" s="360"/>
      <c r="M34" s="360"/>
      <c r="N34" s="360"/>
      <c r="O34" s="360"/>
      <c r="P34" s="360"/>
      <c r="Q34" s="360"/>
      <c r="R34" s="360"/>
      <c r="S34" s="360"/>
      <c r="T34" s="360"/>
      <c r="U34" s="360"/>
      <c r="V34" s="360"/>
      <c r="W34" s="360"/>
      <c r="X34" s="360"/>
      <c r="Y34" s="360"/>
      <c r="Z34" s="360"/>
    </row>
    <row r="35" spans="1:26" ht="15.75" customHeight="1">
      <c r="A35" s="360"/>
      <c r="B35" s="360"/>
      <c r="C35" s="360"/>
      <c r="D35" s="360"/>
      <c r="E35" s="360"/>
      <c r="F35" s="360"/>
      <c r="G35" s="360"/>
      <c r="H35" s="360"/>
      <c r="I35" s="360"/>
      <c r="J35" s="360"/>
      <c r="K35" s="360"/>
      <c r="L35" s="360"/>
      <c r="M35" s="360"/>
      <c r="N35" s="360"/>
      <c r="O35" s="360"/>
      <c r="P35" s="360"/>
      <c r="Q35" s="360"/>
      <c r="R35" s="360"/>
      <c r="S35" s="360"/>
      <c r="T35" s="360"/>
      <c r="U35" s="360"/>
      <c r="V35" s="360"/>
      <c r="W35" s="360"/>
      <c r="X35" s="360"/>
      <c r="Y35" s="360"/>
      <c r="Z35" s="360"/>
    </row>
    <row r="36" spans="1:26" ht="15.75" customHeight="1">
      <c r="A36" s="360"/>
      <c r="B36" s="360"/>
      <c r="C36" s="360"/>
      <c r="D36" s="360"/>
      <c r="E36" s="360"/>
      <c r="F36" s="360"/>
      <c r="G36" s="360"/>
      <c r="H36" s="360"/>
      <c r="I36" s="360"/>
      <c r="J36" s="360"/>
      <c r="K36" s="360"/>
      <c r="L36" s="360"/>
      <c r="M36" s="360"/>
      <c r="N36" s="360"/>
      <c r="O36" s="360"/>
      <c r="P36" s="360"/>
      <c r="Q36" s="360"/>
      <c r="R36" s="360"/>
      <c r="S36" s="360"/>
      <c r="T36" s="360"/>
      <c r="U36" s="360"/>
      <c r="V36" s="360"/>
      <c r="W36" s="360"/>
      <c r="X36" s="360"/>
      <c r="Y36" s="360"/>
      <c r="Z36" s="360"/>
    </row>
    <row r="37" spans="1:26" ht="15.75" customHeight="1">
      <c r="A37" s="360"/>
      <c r="B37" s="360"/>
      <c r="C37" s="360"/>
      <c r="D37" s="360"/>
      <c r="E37" s="360"/>
      <c r="F37" s="360"/>
      <c r="G37" s="360"/>
      <c r="H37" s="360"/>
      <c r="I37" s="360"/>
      <c r="J37" s="360"/>
      <c r="K37" s="360"/>
      <c r="L37" s="360"/>
      <c r="M37" s="360"/>
      <c r="N37" s="360"/>
      <c r="O37" s="360"/>
      <c r="P37" s="360"/>
      <c r="Q37" s="360"/>
      <c r="R37" s="360"/>
      <c r="S37" s="360"/>
      <c r="T37" s="360"/>
      <c r="U37" s="360"/>
      <c r="V37" s="360"/>
      <c r="W37" s="360"/>
      <c r="X37" s="360"/>
      <c r="Y37" s="360"/>
      <c r="Z37" s="360"/>
    </row>
    <row r="38" spans="1:26" ht="15.75" customHeight="1">
      <c r="A38" s="360"/>
      <c r="B38" s="360"/>
      <c r="C38" s="360"/>
      <c r="D38" s="360"/>
      <c r="E38" s="360"/>
      <c r="F38" s="360"/>
      <c r="G38" s="360"/>
      <c r="H38" s="360"/>
      <c r="I38" s="360"/>
      <c r="J38" s="360"/>
      <c r="K38" s="360"/>
      <c r="L38" s="360"/>
      <c r="M38" s="360"/>
      <c r="N38" s="360"/>
      <c r="O38" s="360"/>
      <c r="P38" s="360"/>
      <c r="Q38" s="360"/>
      <c r="R38" s="360"/>
      <c r="S38" s="360"/>
      <c r="T38" s="360"/>
      <c r="U38" s="360"/>
      <c r="V38" s="360"/>
      <c r="W38" s="360"/>
      <c r="X38" s="360"/>
      <c r="Y38" s="360"/>
      <c r="Z38" s="360"/>
    </row>
    <row r="39" spans="1:26" ht="15.75" customHeight="1">
      <c r="A39" s="360"/>
      <c r="B39" s="360"/>
      <c r="C39" s="360"/>
      <c r="D39" s="360"/>
      <c r="E39" s="360"/>
      <c r="F39" s="360"/>
      <c r="G39" s="360"/>
      <c r="H39" s="360"/>
      <c r="I39" s="360"/>
      <c r="J39" s="360"/>
      <c r="K39" s="360"/>
      <c r="L39" s="360"/>
      <c r="M39" s="360"/>
      <c r="N39" s="360"/>
      <c r="O39" s="360"/>
      <c r="P39" s="360"/>
      <c r="Q39" s="360"/>
      <c r="R39" s="360"/>
      <c r="S39" s="360"/>
      <c r="T39" s="360"/>
      <c r="U39" s="360"/>
      <c r="V39" s="360"/>
      <c r="W39" s="360"/>
      <c r="X39" s="360"/>
      <c r="Y39" s="360"/>
      <c r="Z39" s="360"/>
    </row>
    <row r="40" spans="1:26" ht="15.75" customHeight="1">
      <c r="A40" s="360"/>
      <c r="B40" s="360"/>
      <c r="C40" s="360"/>
      <c r="D40" s="360"/>
      <c r="E40" s="360"/>
      <c r="F40" s="360"/>
      <c r="G40" s="360"/>
      <c r="H40" s="360"/>
      <c r="I40" s="360"/>
      <c r="J40" s="360"/>
      <c r="K40" s="360"/>
      <c r="L40" s="360"/>
      <c r="M40" s="360"/>
      <c r="N40" s="360"/>
      <c r="O40" s="360"/>
      <c r="P40" s="360"/>
      <c r="Q40" s="360"/>
      <c r="R40" s="360"/>
      <c r="S40" s="360"/>
      <c r="T40" s="360"/>
      <c r="U40" s="360"/>
      <c r="V40" s="360"/>
      <c r="W40" s="360"/>
      <c r="X40" s="360"/>
      <c r="Y40" s="360"/>
      <c r="Z40" s="360"/>
    </row>
    <row r="41" spans="1:26" ht="15.75" customHeight="1">
      <c r="A41" s="360"/>
      <c r="B41" s="360"/>
      <c r="C41" s="360"/>
      <c r="D41" s="360"/>
      <c r="E41" s="360"/>
      <c r="F41" s="360"/>
      <c r="G41" s="360"/>
      <c r="H41" s="360"/>
      <c r="I41" s="360"/>
      <c r="J41" s="360"/>
      <c r="K41" s="360"/>
      <c r="L41" s="360"/>
      <c r="M41" s="360"/>
      <c r="N41" s="360"/>
      <c r="O41" s="360"/>
      <c r="P41" s="360"/>
      <c r="Q41" s="360"/>
      <c r="R41" s="360"/>
      <c r="S41" s="360"/>
      <c r="T41" s="360"/>
      <c r="U41" s="360"/>
      <c r="V41" s="360"/>
      <c r="W41" s="360"/>
      <c r="X41" s="360"/>
      <c r="Y41" s="360"/>
      <c r="Z41" s="360"/>
    </row>
    <row r="42" spans="1:26" ht="15.75" customHeight="1">
      <c r="A42" s="360"/>
      <c r="B42" s="360"/>
      <c r="C42" s="360"/>
      <c r="D42" s="360"/>
      <c r="E42" s="360"/>
      <c r="F42" s="360"/>
      <c r="G42" s="360"/>
      <c r="H42" s="360"/>
      <c r="I42" s="360"/>
      <c r="J42" s="360"/>
      <c r="K42" s="360"/>
      <c r="L42" s="360"/>
      <c r="M42" s="360"/>
      <c r="N42" s="360"/>
      <c r="O42" s="360"/>
      <c r="P42" s="360"/>
      <c r="Q42" s="360"/>
      <c r="R42" s="360"/>
      <c r="S42" s="360"/>
      <c r="T42" s="360"/>
      <c r="U42" s="360"/>
      <c r="V42" s="360"/>
      <c r="W42" s="360"/>
      <c r="X42" s="360"/>
      <c r="Y42" s="360"/>
      <c r="Z42" s="360"/>
    </row>
    <row r="43" spans="1:26" ht="15.75" customHeight="1">
      <c r="A43" s="360"/>
      <c r="B43" s="360"/>
      <c r="C43" s="360"/>
      <c r="D43" s="360"/>
      <c r="E43" s="360"/>
      <c r="F43" s="360"/>
      <c r="G43" s="360"/>
      <c r="H43" s="360"/>
      <c r="I43" s="360"/>
      <c r="J43" s="360"/>
      <c r="K43" s="360"/>
      <c r="L43" s="360"/>
      <c r="M43" s="360"/>
      <c r="N43" s="360"/>
      <c r="O43" s="360"/>
      <c r="P43" s="360"/>
      <c r="Q43" s="360"/>
      <c r="R43" s="360"/>
      <c r="S43" s="360"/>
      <c r="T43" s="360"/>
      <c r="U43" s="360"/>
      <c r="V43" s="360"/>
      <c r="W43" s="360"/>
      <c r="X43" s="360"/>
      <c r="Y43" s="360"/>
      <c r="Z43" s="360"/>
    </row>
    <row r="44" spans="1:26" ht="15.75" customHeight="1">
      <c r="A44" s="360"/>
      <c r="B44" s="360"/>
      <c r="C44" s="360"/>
      <c r="D44" s="360"/>
      <c r="E44" s="360"/>
      <c r="F44" s="360"/>
      <c r="G44" s="360"/>
      <c r="H44" s="360"/>
      <c r="I44" s="360"/>
      <c r="J44" s="360"/>
      <c r="K44" s="360"/>
      <c r="L44" s="360"/>
      <c r="M44" s="360"/>
      <c r="N44" s="360"/>
      <c r="O44" s="360"/>
      <c r="P44" s="360"/>
      <c r="Q44" s="360"/>
      <c r="R44" s="360"/>
      <c r="S44" s="360"/>
      <c r="T44" s="360"/>
      <c r="U44" s="360"/>
      <c r="V44" s="360"/>
      <c r="W44" s="360"/>
      <c r="X44" s="360"/>
      <c r="Y44" s="360"/>
      <c r="Z44" s="360"/>
    </row>
    <row r="45" spans="1:26" ht="15.75" customHeight="1">
      <c r="A45" s="360"/>
      <c r="B45" s="360"/>
      <c r="C45" s="360"/>
      <c r="D45" s="360"/>
      <c r="E45" s="360"/>
      <c r="F45" s="360"/>
      <c r="G45" s="360"/>
      <c r="H45" s="360"/>
      <c r="I45" s="360"/>
      <c r="J45" s="360"/>
      <c r="K45" s="360"/>
      <c r="L45" s="360"/>
      <c r="M45" s="360"/>
      <c r="N45" s="360"/>
      <c r="O45" s="360"/>
      <c r="P45" s="360"/>
      <c r="Q45" s="360"/>
      <c r="R45" s="360"/>
      <c r="S45" s="360"/>
      <c r="T45" s="360"/>
      <c r="U45" s="360"/>
      <c r="V45" s="360"/>
      <c r="W45" s="360"/>
      <c r="X45" s="360"/>
      <c r="Y45" s="360"/>
      <c r="Z45" s="360"/>
    </row>
    <row r="46" spans="1:26" ht="15.75" customHeight="1">
      <c r="A46" s="360"/>
      <c r="B46" s="360"/>
      <c r="C46" s="360"/>
      <c r="D46" s="360"/>
      <c r="E46" s="360"/>
      <c r="F46" s="360"/>
      <c r="G46" s="360"/>
      <c r="H46" s="360"/>
      <c r="I46" s="360"/>
      <c r="J46" s="360"/>
      <c r="K46" s="360"/>
      <c r="L46" s="360"/>
      <c r="M46" s="360"/>
      <c r="N46" s="360"/>
      <c r="O46" s="360"/>
      <c r="P46" s="360"/>
      <c r="Q46" s="360"/>
      <c r="R46" s="360"/>
      <c r="S46" s="360"/>
      <c r="T46" s="360"/>
      <c r="U46" s="360"/>
      <c r="V46" s="360"/>
      <c r="W46" s="360"/>
      <c r="X46" s="360"/>
      <c r="Y46" s="360"/>
      <c r="Z46" s="360"/>
    </row>
    <row r="47" spans="1:26" ht="15.75" customHeight="1">
      <c r="A47" s="360"/>
      <c r="B47" s="360"/>
      <c r="C47" s="360"/>
      <c r="D47" s="360"/>
      <c r="E47" s="360"/>
      <c r="F47" s="360"/>
      <c r="G47" s="360"/>
      <c r="H47" s="360"/>
      <c r="I47" s="360"/>
      <c r="J47" s="360"/>
      <c r="K47" s="360"/>
      <c r="L47" s="360"/>
      <c r="M47" s="360"/>
      <c r="N47" s="360"/>
      <c r="O47" s="360"/>
      <c r="P47" s="360"/>
      <c r="Q47" s="360"/>
      <c r="R47" s="360"/>
      <c r="S47" s="360"/>
      <c r="T47" s="360"/>
      <c r="U47" s="360"/>
      <c r="V47" s="360"/>
      <c r="W47" s="360"/>
      <c r="X47" s="360"/>
      <c r="Y47" s="360"/>
      <c r="Z47" s="360"/>
    </row>
    <row r="48" spans="1:26" ht="15.75" customHeight="1">
      <c r="A48" s="360"/>
      <c r="B48" s="360"/>
      <c r="C48" s="360"/>
      <c r="D48" s="360"/>
      <c r="E48" s="360"/>
      <c r="F48" s="360"/>
      <c r="G48" s="360"/>
      <c r="H48" s="360"/>
      <c r="I48" s="360"/>
      <c r="J48" s="360"/>
      <c r="K48" s="360"/>
      <c r="L48" s="360"/>
      <c r="M48" s="360"/>
      <c r="N48" s="360"/>
      <c r="O48" s="360"/>
      <c r="P48" s="360"/>
      <c r="Q48" s="360"/>
      <c r="R48" s="360"/>
      <c r="S48" s="360"/>
      <c r="T48" s="360"/>
      <c r="U48" s="360"/>
      <c r="V48" s="360"/>
      <c r="W48" s="360"/>
      <c r="X48" s="360"/>
      <c r="Y48" s="360"/>
      <c r="Z48" s="360"/>
    </row>
    <row r="49" spans="1:26" ht="15.75" customHeight="1">
      <c r="A49" s="360"/>
      <c r="B49" s="360"/>
      <c r="C49" s="360"/>
      <c r="D49" s="360"/>
      <c r="E49" s="360"/>
      <c r="F49" s="360"/>
      <c r="G49" s="360"/>
      <c r="H49" s="360"/>
      <c r="I49" s="360"/>
      <c r="J49" s="360"/>
      <c r="K49" s="360"/>
      <c r="L49" s="360"/>
      <c r="M49" s="360"/>
      <c r="N49" s="360"/>
      <c r="O49" s="360"/>
      <c r="P49" s="360"/>
      <c r="Q49" s="360"/>
      <c r="R49" s="360"/>
      <c r="S49" s="360"/>
      <c r="T49" s="360"/>
      <c r="U49" s="360"/>
      <c r="V49" s="360"/>
      <c r="W49" s="360"/>
      <c r="X49" s="360"/>
      <c r="Y49" s="360"/>
      <c r="Z49" s="360"/>
    </row>
    <row r="50" spans="1:26" ht="15.75" customHeight="1">
      <c r="A50" s="360"/>
      <c r="B50" s="360"/>
      <c r="C50" s="360"/>
      <c r="D50" s="360"/>
      <c r="E50" s="360"/>
      <c r="F50" s="360"/>
      <c r="G50" s="360"/>
      <c r="H50" s="360"/>
      <c r="I50" s="360"/>
      <c r="J50" s="360"/>
      <c r="K50" s="360"/>
      <c r="L50" s="360"/>
      <c r="M50" s="360"/>
      <c r="N50" s="360"/>
      <c r="O50" s="360"/>
      <c r="P50" s="360"/>
      <c r="Q50" s="360"/>
      <c r="R50" s="360"/>
      <c r="S50" s="360"/>
      <c r="T50" s="360"/>
      <c r="U50" s="360"/>
      <c r="V50" s="360"/>
      <c r="W50" s="360"/>
      <c r="X50" s="360"/>
      <c r="Y50" s="360"/>
      <c r="Z50" s="360"/>
    </row>
    <row r="51" spans="1:26" ht="15.75" customHeight="1">
      <c r="A51" s="360"/>
      <c r="B51" s="360"/>
      <c r="C51" s="360"/>
      <c r="D51" s="360"/>
      <c r="E51" s="360"/>
      <c r="F51" s="360"/>
      <c r="G51" s="360"/>
      <c r="H51" s="360"/>
      <c r="I51" s="360"/>
      <c r="J51" s="360"/>
      <c r="K51" s="360"/>
      <c r="L51" s="360"/>
      <c r="M51" s="360"/>
      <c r="N51" s="360"/>
      <c r="O51" s="360"/>
      <c r="P51" s="360"/>
      <c r="Q51" s="360"/>
      <c r="R51" s="360"/>
      <c r="S51" s="360"/>
      <c r="T51" s="360"/>
      <c r="U51" s="360"/>
      <c r="V51" s="360"/>
      <c r="W51" s="360"/>
      <c r="X51" s="360"/>
      <c r="Y51" s="360"/>
      <c r="Z51" s="360"/>
    </row>
    <row r="52" spans="1:26" ht="15.75" customHeight="1">
      <c r="A52" s="360"/>
      <c r="B52" s="360"/>
      <c r="C52" s="360"/>
      <c r="D52" s="360"/>
      <c r="E52" s="360"/>
      <c r="F52" s="360"/>
      <c r="G52" s="360"/>
      <c r="H52" s="360"/>
      <c r="I52" s="360"/>
      <c r="J52" s="360"/>
      <c r="K52" s="360"/>
      <c r="L52" s="360"/>
      <c r="M52" s="360"/>
      <c r="N52" s="360"/>
      <c r="O52" s="360"/>
      <c r="P52" s="360"/>
      <c r="Q52" s="360"/>
      <c r="R52" s="360"/>
      <c r="S52" s="360"/>
      <c r="T52" s="360"/>
      <c r="U52" s="360"/>
      <c r="V52" s="360"/>
      <c r="W52" s="360"/>
      <c r="X52" s="360"/>
      <c r="Y52" s="360"/>
      <c r="Z52" s="360"/>
    </row>
    <row r="53" spans="1:26" ht="15.75" customHeight="1">
      <c r="A53" s="360"/>
      <c r="B53" s="360"/>
      <c r="C53" s="360"/>
      <c r="D53" s="360"/>
      <c r="E53" s="360"/>
      <c r="F53" s="360"/>
      <c r="G53" s="360"/>
      <c r="H53" s="360"/>
      <c r="I53" s="360"/>
      <c r="J53" s="360"/>
      <c r="K53" s="360"/>
      <c r="L53" s="360"/>
      <c r="M53" s="360"/>
      <c r="N53" s="360"/>
      <c r="O53" s="360"/>
      <c r="P53" s="360"/>
      <c r="Q53" s="360"/>
      <c r="R53" s="360"/>
      <c r="S53" s="360"/>
      <c r="T53" s="360"/>
      <c r="U53" s="360"/>
      <c r="V53" s="360"/>
      <c r="W53" s="360"/>
      <c r="X53" s="360"/>
      <c r="Y53" s="360"/>
      <c r="Z53" s="360"/>
    </row>
    <row r="54" spans="1:26" ht="15.75" customHeight="1">
      <c r="A54" s="360"/>
      <c r="B54" s="360"/>
      <c r="C54" s="360"/>
      <c r="D54" s="360"/>
      <c r="E54" s="360"/>
      <c r="F54" s="360"/>
      <c r="G54" s="360"/>
      <c r="H54" s="360"/>
      <c r="I54" s="360"/>
      <c r="J54" s="360"/>
      <c r="K54" s="360"/>
      <c r="L54" s="360"/>
      <c r="M54" s="360"/>
      <c r="N54" s="360"/>
      <c r="O54" s="360"/>
      <c r="P54" s="360"/>
      <c r="Q54" s="360"/>
      <c r="R54" s="360"/>
      <c r="S54" s="360"/>
      <c r="T54" s="360"/>
      <c r="U54" s="360"/>
      <c r="V54" s="360"/>
      <c r="W54" s="360"/>
      <c r="X54" s="360"/>
      <c r="Y54" s="360"/>
      <c r="Z54" s="360"/>
    </row>
    <row r="55" spans="1:26" ht="15.75" customHeight="1">
      <c r="A55" s="360"/>
      <c r="B55" s="360"/>
      <c r="C55" s="360"/>
      <c r="D55" s="360"/>
      <c r="E55" s="360"/>
      <c r="F55" s="360"/>
      <c r="G55" s="360"/>
      <c r="H55" s="360"/>
      <c r="I55" s="360"/>
      <c r="J55" s="360"/>
      <c r="K55" s="360"/>
      <c r="L55" s="360"/>
      <c r="M55" s="360"/>
      <c r="N55" s="360"/>
      <c r="O55" s="360"/>
      <c r="P55" s="360"/>
      <c r="Q55" s="360"/>
      <c r="R55" s="360"/>
      <c r="S55" s="360"/>
      <c r="T55" s="360"/>
      <c r="U55" s="360"/>
      <c r="V55" s="360"/>
      <c r="W55" s="360"/>
      <c r="X55" s="360"/>
      <c r="Y55" s="360"/>
      <c r="Z55" s="360"/>
    </row>
    <row r="56" spans="1:26" ht="15.75" customHeight="1">
      <c r="A56" s="360"/>
      <c r="B56" s="360"/>
      <c r="C56" s="360"/>
      <c r="D56" s="360"/>
      <c r="E56" s="360"/>
      <c r="F56" s="360"/>
      <c r="G56" s="360"/>
      <c r="H56" s="360"/>
      <c r="I56" s="360"/>
      <c r="J56" s="360"/>
      <c r="K56" s="360"/>
      <c r="L56" s="360"/>
      <c r="M56" s="360"/>
      <c r="N56" s="360"/>
      <c r="O56" s="360"/>
      <c r="P56" s="360"/>
      <c r="Q56" s="360"/>
      <c r="R56" s="360"/>
      <c r="S56" s="360"/>
      <c r="T56" s="360"/>
      <c r="U56" s="360"/>
      <c r="V56" s="360"/>
      <c r="W56" s="360"/>
      <c r="X56" s="360"/>
      <c r="Y56" s="360"/>
      <c r="Z56" s="360"/>
    </row>
    <row r="57" spans="1:26" ht="15.75" customHeight="1">
      <c r="A57" s="360"/>
      <c r="B57" s="360"/>
      <c r="C57" s="360"/>
      <c r="D57" s="360"/>
      <c r="E57" s="360"/>
      <c r="F57" s="360"/>
      <c r="G57" s="360"/>
      <c r="H57" s="360"/>
      <c r="I57" s="360"/>
      <c r="J57" s="360"/>
      <c r="K57" s="360"/>
      <c r="L57" s="360"/>
      <c r="M57" s="360"/>
      <c r="N57" s="360"/>
      <c r="O57" s="360"/>
      <c r="P57" s="360"/>
      <c r="Q57" s="360"/>
      <c r="R57" s="360"/>
      <c r="S57" s="360"/>
      <c r="T57" s="360"/>
      <c r="U57" s="360"/>
      <c r="V57" s="360"/>
      <c r="W57" s="360"/>
      <c r="X57" s="360"/>
      <c r="Y57" s="360"/>
      <c r="Z57" s="360"/>
    </row>
    <row r="58" spans="1:26" ht="15.75" customHeight="1">
      <c r="A58" s="360"/>
      <c r="B58" s="360"/>
      <c r="C58" s="360"/>
      <c r="D58" s="360"/>
      <c r="E58" s="360"/>
      <c r="F58" s="360"/>
      <c r="G58" s="360"/>
      <c r="H58" s="360"/>
      <c r="I58" s="360"/>
      <c r="J58" s="360"/>
      <c r="K58" s="360"/>
      <c r="L58" s="360"/>
      <c r="M58" s="360"/>
      <c r="N58" s="360"/>
      <c r="O58" s="360"/>
      <c r="P58" s="360"/>
      <c r="Q58" s="360"/>
      <c r="R58" s="360"/>
      <c r="S58" s="360"/>
      <c r="T58" s="360"/>
      <c r="U58" s="360"/>
      <c r="V58" s="360"/>
      <c r="W58" s="360"/>
      <c r="X58" s="360"/>
      <c r="Y58" s="360"/>
      <c r="Z58" s="360"/>
    </row>
    <row r="59" spans="1:26" ht="15.75" customHeight="1">
      <c r="A59" s="360"/>
      <c r="B59" s="360"/>
      <c r="C59" s="360"/>
      <c r="D59" s="360"/>
      <c r="E59" s="360"/>
      <c r="F59" s="360"/>
      <c r="G59" s="360"/>
      <c r="H59" s="360"/>
      <c r="I59" s="360"/>
      <c r="J59" s="360"/>
      <c r="K59" s="360"/>
      <c r="L59" s="360"/>
      <c r="M59" s="360"/>
      <c r="N59" s="360"/>
      <c r="O59" s="360"/>
      <c r="P59" s="360"/>
      <c r="Q59" s="360"/>
      <c r="R59" s="360"/>
      <c r="S59" s="360"/>
      <c r="T59" s="360"/>
      <c r="U59" s="360"/>
      <c r="V59" s="360"/>
      <c r="W59" s="360"/>
      <c r="X59" s="360"/>
      <c r="Y59" s="360"/>
      <c r="Z59" s="360"/>
    </row>
    <row r="60" spans="1:26" ht="15.75" customHeight="1">
      <c r="A60" s="360"/>
      <c r="B60" s="360"/>
      <c r="C60" s="360"/>
      <c r="D60" s="360"/>
      <c r="E60" s="360"/>
      <c r="F60" s="360"/>
      <c r="G60" s="360"/>
      <c r="H60" s="360"/>
      <c r="I60" s="360"/>
      <c r="J60" s="360"/>
      <c r="K60" s="360"/>
      <c r="L60" s="360"/>
      <c r="M60" s="360"/>
      <c r="N60" s="360"/>
      <c r="O60" s="360"/>
      <c r="P60" s="360"/>
      <c r="Q60" s="360"/>
      <c r="R60" s="360"/>
      <c r="S60" s="360"/>
      <c r="T60" s="360"/>
      <c r="U60" s="360"/>
      <c r="V60" s="360"/>
      <c r="W60" s="360"/>
      <c r="X60" s="360"/>
      <c r="Y60" s="360"/>
      <c r="Z60" s="360"/>
    </row>
    <row r="61" spans="1:26" ht="15.75" customHeight="1">
      <c r="A61" s="360"/>
      <c r="B61" s="360"/>
      <c r="C61" s="360"/>
      <c r="D61" s="360"/>
      <c r="E61" s="360"/>
      <c r="F61" s="360"/>
      <c r="G61" s="360"/>
      <c r="H61" s="360"/>
      <c r="I61" s="360"/>
      <c r="J61" s="360"/>
      <c r="K61" s="360"/>
      <c r="L61" s="360"/>
      <c r="M61" s="360"/>
      <c r="N61" s="360"/>
      <c r="O61" s="360"/>
      <c r="P61" s="360"/>
      <c r="Q61" s="360"/>
      <c r="R61" s="360"/>
      <c r="S61" s="360"/>
      <c r="T61" s="360"/>
      <c r="U61" s="360"/>
      <c r="V61" s="360"/>
      <c r="W61" s="360"/>
      <c r="X61" s="360"/>
      <c r="Y61" s="360"/>
      <c r="Z61" s="360"/>
    </row>
    <row r="62" spans="1:26" ht="15.75" customHeight="1">
      <c r="A62" s="360"/>
      <c r="B62" s="360"/>
      <c r="C62" s="360"/>
      <c r="D62" s="360"/>
      <c r="E62" s="360"/>
      <c r="F62" s="360"/>
      <c r="G62" s="360"/>
      <c r="H62" s="360"/>
      <c r="I62" s="360"/>
      <c r="J62" s="360"/>
      <c r="K62" s="360"/>
      <c r="L62" s="360"/>
      <c r="M62" s="360"/>
      <c r="N62" s="360"/>
      <c r="O62" s="360"/>
      <c r="P62" s="360"/>
      <c r="Q62" s="360"/>
      <c r="R62" s="360"/>
      <c r="S62" s="360"/>
      <c r="T62" s="360"/>
      <c r="U62" s="360"/>
      <c r="V62" s="360"/>
      <c r="W62" s="360"/>
      <c r="X62" s="360"/>
      <c r="Y62" s="360"/>
      <c r="Z62" s="360"/>
    </row>
    <row r="63" spans="1:26" ht="15.75" customHeight="1">
      <c r="A63" s="360"/>
      <c r="B63" s="360"/>
      <c r="C63" s="360"/>
      <c r="D63" s="360"/>
      <c r="E63" s="360"/>
      <c r="F63" s="360"/>
      <c r="G63" s="360"/>
      <c r="H63" s="360"/>
      <c r="I63" s="360"/>
      <c r="J63" s="360"/>
      <c r="K63" s="360"/>
      <c r="L63" s="360"/>
      <c r="M63" s="360"/>
      <c r="N63" s="360"/>
      <c r="O63" s="360"/>
      <c r="P63" s="360"/>
      <c r="Q63" s="360"/>
      <c r="R63" s="360"/>
      <c r="S63" s="360"/>
      <c r="T63" s="360"/>
      <c r="U63" s="360"/>
      <c r="V63" s="360"/>
      <c r="W63" s="360"/>
      <c r="X63" s="360"/>
      <c r="Y63" s="360"/>
      <c r="Z63" s="360"/>
    </row>
    <row r="64" spans="1:26" ht="15.75" customHeight="1">
      <c r="A64" s="360"/>
      <c r="B64" s="360"/>
      <c r="C64" s="360"/>
      <c r="D64" s="360"/>
      <c r="E64" s="360"/>
      <c r="F64" s="360"/>
      <c r="G64" s="360"/>
      <c r="H64" s="360"/>
      <c r="I64" s="360"/>
      <c r="J64" s="360"/>
      <c r="K64" s="360"/>
      <c r="L64" s="360"/>
      <c r="M64" s="360"/>
      <c r="N64" s="360"/>
      <c r="O64" s="360"/>
      <c r="P64" s="360"/>
      <c r="Q64" s="360"/>
      <c r="R64" s="360"/>
      <c r="S64" s="360"/>
      <c r="T64" s="360"/>
      <c r="U64" s="360"/>
      <c r="V64" s="360"/>
      <c r="W64" s="360"/>
      <c r="X64" s="360"/>
      <c r="Y64" s="360"/>
      <c r="Z64" s="360"/>
    </row>
    <row r="65" spans="1:26" ht="15.75" customHeight="1">
      <c r="A65" s="360"/>
      <c r="B65" s="360"/>
      <c r="C65" s="360"/>
      <c r="D65" s="360"/>
      <c r="E65" s="360"/>
      <c r="F65" s="360"/>
      <c r="G65" s="360"/>
      <c r="H65" s="360"/>
      <c r="I65" s="360"/>
      <c r="J65" s="360"/>
      <c r="K65" s="360"/>
      <c r="L65" s="360"/>
      <c r="M65" s="360"/>
      <c r="N65" s="360"/>
      <c r="O65" s="360"/>
      <c r="P65" s="360"/>
      <c r="Q65" s="360"/>
      <c r="R65" s="360"/>
      <c r="S65" s="360"/>
      <c r="T65" s="360"/>
      <c r="U65" s="360"/>
      <c r="V65" s="360"/>
      <c r="W65" s="360"/>
      <c r="X65" s="360"/>
      <c r="Y65" s="360"/>
      <c r="Z65" s="360"/>
    </row>
    <row r="66" spans="1:26" ht="15.75" customHeight="1">
      <c r="A66" s="360"/>
      <c r="B66" s="360"/>
      <c r="C66" s="360"/>
      <c r="D66" s="360"/>
      <c r="E66" s="360"/>
      <c r="F66" s="360"/>
      <c r="G66" s="360"/>
      <c r="H66" s="360"/>
      <c r="I66" s="360"/>
      <c r="J66" s="360"/>
      <c r="K66" s="360"/>
      <c r="L66" s="360"/>
      <c r="M66" s="360"/>
      <c r="N66" s="360"/>
      <c r="O66" s="360"/>
      <c r="P66" s="360"/>
      <c r="Q66" s="360"/>
      <c r="R66" s="360"/>
      <c r="S66" s="360"/>
      <c r="T66" s="360"/>
      <c r="U66" s="360"/>
      <c r="V66" s="360"/>
      <c r="W66" s="360"/>
      <c r="X66" s="360"/>
      <c r="Y66" s="360"/>
      <c r="Z66" s="360"/>
    </row>
    <row r="67" spans="1:26" ht="15.75" customHeight="1">
      <c r="A67" s="360"/>
      <c r="B67" s="360"/>
      <c r="C67" s="360"/>
      <c r="D67" s="360"/>
      <c r="E67" s="360"/>
      <c r="F67" s="360"/>
      <c r="G67" s="360"/>
      <c r="H67" s="360"/>
      <c r="I67" s="360"/>
      <c r="J67" s="360"/>
      <c r="K67" s="360"/>
      <c r="L67" s="360"/>
      <c r="M67" s="360"/>
      <c r="N67" s="360"/>
      <c r="O67" s="360"/>
      <c r="P67" s="360"/>
      <c r="Q67" s="360"/>
      <c r="R67" s="360"/>
      <c r="S67" s="360"/>
      <c r="T67" s="360"/>
      <c r="U67" s="360"/>
      <c r="V67" s="360"/>
      <c r="W67" s="360"/>
      <c r="X67" s="360"/>
      <c r="Y67" s="360"/>
      <c r="Z67" s="360"/>
    </row>
    <row r="68" spans="1:26" ht="15.75" customHeight="1">
      <c r="A68" s="360"/>
      <c r="B68" s="360"/>
      <c r="C68" s="360"/>
      <c r="D68" s="360"/>
      <c r="E68" s="360"/>
      <c r="F68" s="360"/>
      <c r="G68" s="360"/>
      <c r="H68" s="360"/>
      <c r="I68" s="360"/>
      <c r="J68" s="360"/>
      <c r="K68" s="360"/>
      <c r="L68" s="360"/>
      <c r="M68" s="360"/>
      <c r="N68" s="360"/>
      <c r="O68" s="360"/>
      <c r="P68" s="360"/>
      <c r="Q68" s="360"/>
      <c r="R68" s="360"/>
      <c r="S68" s="360"/>
      <c r="T68" s="360"/>
      <c r="U68" s="360"/>
      <c r="V68" s="360"/>
      <c r="W68" s="360"/>
      <c r="X68" s="360"/>
      <c r="Y68" s="360"/>
      <c r="Z68" s="360"/>
    </row>
    <row r="69" spans="1:26" ht="15.75" customHeight="1">
      <c r="A69" s="360"/>
      <c r="B69" s="360"/>
      <c r="C69" s="360"/>
      <c r="D69" s="360"/>
      <c r="E69" s="360"/>
      <c r="F69" s="360"/>
      <c r="G69" s="360"/>
      <c r="H69" s="360"/>
      <c r="I69" s="360"/>
      <c r="J69" s="360"/>
      <c r="K69" s="360"/>
      <c r="L69" s="360"/>
      <c r="M69" s="360"/>
      <c r="N69" s="360"/>
      <c r="O69" s="360"/>
      <c r="P69" s="360"/>
      <c r="Q69" s="360"/>
      <c r="R69" s="360"/>
      <c r="S69" s="360"/>
      <c r="T69" s="360"/>
      <c r="U69" s="360"/>
      <c r="V69" s="360"/>
      <c r="W69" s="360"/>
      <c r="X69" s="360"/>
      <c r="Y69" s="360"/>
      <c r="Z69" s="360"/>
    </row>
    <row r="70" spans="1:26" ht="15.75" customHeight="1">
      <c r="A70" s="360"/>
      <c r="B70" s="360"/>
      <c r="C70" s="360"/>
      <c r="D70" s="360"/>
      <c r="E70" s="360"/>
      <c r="F70" s="360"/>
      <c r="G70" s="360"/>
      <c r="H70" s="360"/>
      <c r="I70" s="360"/>
      <c r="J70" s="360"/>
      <c r="K70" s="360"/>
      <c r="L70" s="360"/>
      <c r="M70" s="360"/>
      <c r="N70" s="360"/>
      <c r="O70" s="360"/>
      <c r="P70" s="360"/>
      <c r="Q70" s="360"/>
      <c r="R70" s="360"/>
      <c r="S70" s="360"/>
      <c r="T70" s="360"/>
      <c r="U70" s="360"/>
      <c r="V70" s="360"/>
      <c r="W70" s="360"/>
      <c r="X70" s="360"/>
      <c r="Y70" s="360"/>
      <c r="Z70" s="360"/>
    </row>
    <row r="71" spans="1:26" ht="15.75" customHeight="1">
      <c r="A71" s="360"/>
      <c r="B71" s="360"/>
      <c r="C71" s="360"/>
      <c r="D71" s="360"/>
      <c r="E71" s="360"/>
      <c r="F71" s="360"/>
      <c r="G71" s="360"/>
      <c r="H71" s="360"/>
      <c r="I71" s="360"/>
      <c r="J71" s="360"/>
      <c r="K71" s="360"/>
      <c r="L71" s="360"/>
      <c r="M71" s="360"/>
      <c r="N71" s="360"/>
      <c r="O71" s="360"/>
      <c r="P71" s="360"/>
      <c r="Q71" s="360"/>
      <c r="R71" s="360"/>
      <c r="S71" s="360"/>
      <c r="T71" s="360"/>
      <c r="U71" s="360"/>
      <c r="V71" s="360"/>
      <c r="W71" s="360"/>
      <c r="X71" s="360"/>
      <c r="Y71" s="360"/>
      <c r="Z71" s="360"/>
    </row>
    <row r="72" spans="1:26" ht="15.75" customHeight="1">
      <c r="A72" s="360"/>
      <c r="B72" s="360"/>
      <c r="C72" s="360"/>
      <c r="D72" s="360"/>
      <c r="E72" s="360"/>
      <c r="F72" s="360"/>
      <c r="G72" s="360"/>
      <c r="H72" s="360"/>
      <c r="I72" s="360"/>
      <c r="J72" s="360"/>
      <c r="K72" s="360"/>
      <c r="L72" s="360"/>
      <c r="M72" s="360"/>
      <c r="N72" s="360"/>
      <c r="O72" s="360"/>
      <c r="P72" s="360"/>
      <c r="Q72" s="360"/>
      <c r="R72" s="360"/>
      <c r="S72" s="360"/>
      <c r="T72" s="360"/>
      <c r="U72" s="360"/>
      <c r="V72" s="360"/>
      <c r="W72" s="360"/>
      <c r="X72" s="360"/>
      <c r="Y72" s="360"/>
      <c r="Z72" s="360"/>
    </row>
    <row r="73" spans="1:26" ht="15.75" customHeight="1">
      <c r="A73" s="360"/>
      <c r="B73" s="360"/>
      <c r="C73" s="360"/>
      <c r="D73" s="360"/>
      <c r="E73" s="360"/>
      <c r="F73" s="360"/>
      <c r="G73" s="360"/>
      <c r="H73" s="360"/>
      <c r="I73" s="360"/>
      <c r="J73" s="360"/>
      <c r="K73" s="360"/>
      <c r="L73" s="360"/>
      <c r="M73" s="360"/>
      <c r="N73" s="360"/>
      <c r="O73" s="360"/>
      <c r="P73" s="360"/>
      <c r="Q73" s="360"/>
      <c r="R73" s="360"/>
      <c r="S73" s="360"/>
      <c r="T73" s="360"/>
      <c r="U73" s="360"/>
      <c r="V73" s="360"/>
      <c r="W73" s="360"/>
      <c r="X73" s="360"/>
      <c r="Y73" s="360"/>
      <c r="Z73" s="360"/>
    </row>
    <row r="74" spans="1:26" ht="15.75" customHeight="1">
      <c r="A74" s="360"/>
      <c r="B74" s="360"/>
      <c r="C74" s="360"/>
      <c r="D74" s="360"/>
      <c r="E74" s="360"/>
      <c r="F74" s="360"/>
      <c r="G74" s="360"/>
      <c r="H74" s="360"/>
      <c r="I74" s="360"/>
      <c r="J74" s="360"/>
      <c r="K74" s="360"/>
      <c r="L74" s="360"/>
      <c r="M74" s="360"/>
      <c r="N74" s="360"/>
      <c r="O74" s="360"/>
      <c r="P74" s="360"/>
      <c r="Q74" s="360"/>
      <c r="R74" s="360"/>
      <c r="S74" s="360"/>
      <c r="T74" s="360"/>
      <c r="U74" s="360"/>
      <c r="V74" s="360"/>
      <c r="W74" s="360"/>
      <c r="X74" s="360"/>
      <c r="Y74" s="360"/>
      <c r="Z74" s="360"/>
    </row>
    <row r="75" spans="1:26" ht="15.75" customHeight="1">
      <c r="A75" s="360"/>
      <c r="B75" s="360"/>
      <c r="C75" s="360"/>
      <c r="D75" s="360"/>
      <c r="E75" s="360"/>
      <c r="F75" s="360"/>
      <c r="G75" s="360"/>
      <c r="H75" s="360"/>
      <c r="I75" s="360"/>
      <c r="J75" s="360"/>
      <c r="K75" s="360"/>
      <c r="L75" s="360"/>
      <c r="M75" s="360"/>
      <c r="N75" s="360"/>
      <c r="O75" s="360"/>
      <c r="P75" s="360"/>
      <c r="Q75" s="360"/>
      <c r="R75" s="360"/>
      <c r="S75" s="360"/>
      <c r="T75" s="360"/>
      <c r="U75" s="360"/>
      <c r="V75" s="360"/>
      <c r="W75" s="360"/>
      <c r="X75" s="360"/>
      <c r="Y75" s="360"/>
      <c r="Z75" s="360"/>
    </row>
    <row r="76" spans="1:26" ht="15.75" customHeight="1">
      <c r="A76" s="360"/>
      <c r="B76" s="360"/>
      <c r="C76" s="360"/>
      <c r="D76" s="360"/>
      <c r="E76" s="360"/>
      <c r="F76" s="360"/>
      <c r="G76" s="360"/>
      <c r="H76" s="360"/>
      <c r="I76" s="360"/>
      <c r="J76" s="360"/>
      <c r="K76" s="360"/>
      <c r="L76" s="360"/>
      <c r="M76" s="360"/>
      <c r="N76" s="360"/>
      <c r="O76" s="360"/>
      <c r="P76" s="360"/>
      <c r="Q76" s="360"/>
      <c r="R76" s="360"/>
      <c r="S76" s="360"/>
      <c r="T76" s="360"/>
      <c r="U76" s="360"/>
      <c r="V76" s="360"/>
      <c r="W76" s="360"/>
      <c r="X76" s="360"/>
      <c r="Y76" s="360"/>
      <c r="Z76" s="360"/>
    </row>
    <row r="77" spans="1:26" ht="15.75" customHeight="1">
      <c r="A77" s="360"/>
      <c r="B77" s="360"/>
      <c r="C77" s="360"/>
      <c r="D77" s="360"/>
      <c r="E77" s="360"/>
      <c r="F77" s="360"/>
      <c r="G77" s="360"/>
      <c r="H77" s="360"/>
      <c r="I77" s="360"/>
      <c r="J77" s="360"/>
      <c r="K77" s="360"/>
      <c r="L77" s="360"/>
      <c r="M77" s="360"/>
      <c r="N77" s="360"/>
      <c r="O77" s="360"/>
      <c r="P77" s="360"/>
      <c r="Q77" s="360"/>
      <c r="R77" s="360"/>
      <c r="S77" s="360"/>
      <c r="T77" s="360"/>
      <c r="U77" s="360"/>
      <c r="V77" s="360"/>
      <c r="W77" s="360"/>
      <c r="X77" s="360"/>
      <c r="Y77" s="360"/>
      <c r="Z77" s="360"/>
    </row>
    <row r="78" spans="1:26" ht="15.75" customHeight="1">
      <c r="A78" s="360"/>
      <c r="B78" s="360"/>
      <c r="C78" s="360"/>
      <c r="D78" s="360"/>
      <c r="E78" s="360"/>
      <c r="F78" s="360"/>
      <c r="G78" s="360"/>
      <c r="H78" s="360"/>
      <c r="I78" s="360"/>
      <c r="J78" s="360"/>
      <c r="K78" s="360"/>
      <c r="L78" s="360"/>
      <c r="M78" s="360"/>
      <c r="N78" s="360"/>
      <c r="O78" s="360"/>
      <c r="P78" s="360"/>
      <c r="Q78" s="360"/>
      <c r="R78" s="360"/>
      <c r="S78" s="360"/>
      <c r="T78" s="360"/>
      <c r="U78" s="360"/>
      <c r="V78" s="360"/>
      <c r="W78" s="360"/>
      <c r="X78" s="360"/>
      <c r="Y78" s="360"/>
      <c r="Z78" s="360"/>
    </row>
    <row r="79" spans="1:26" ht="15.75" customHeight="1">
      <c r="A79" s="360"/>
      <c r="B79" s="360"/>
      <c r="C79" s="360"/>
      <c r="D79" s="360"/>
      <c r="E79" s="360"/>
      <c r="F79" s="360"/>
      <c r="G79" s="360"/>
      <c r="H79" s="360"/>
      <c r="I79" s="360"/>
      <c r="J79" s="360"/>
      <c r="K79" s="360"/>
      <c r="L79" s="360"/>
      <c r="M79" s="360"/>
      <c r="N79" s="360"/>
      <c r="O79" s="360"/>
      <c r="P79" s="360"/>
      <c r="Q79" s="360"/>
      <c r="R79" s="360"/>
      <c r="S79" s="360"/>
      <c r="T79" s="360"/>
      <c r="U79" s="360"/>
      <c r="V79" s="360"/>
      <c r="W79" s="360"/>
      <c r="X79" s="360"/>
      <c r="Y79" s="360"/>
      <c r="Z79" s="360"/>
    </row>
    <row r="80" spans="1:26" ht="15.75" customHeight="1">
      <c r="A80" s="360"/>
      <c r="B80" s="360"/>
      <c r="C80" s="360"/>
      <c r="D80" s="360"/>
      <c r="E80" s="360"/>
      <c r="F80" s="360"/>
      <c r="G80" s="360"/>
      <c r="H80" s="360"/>
      <c r="I80" s="360"/>
      <c r="J80" s="360"/>
      <c r="K80" s="360"/>
      <c r="L80" s="360"/>
      <c r="M80" s="360"/>
      <c r="N80" s="360"/>
      <c r="O80" s="360"/>
      <c r="P80" s="360"/>
      <c r="Q80" s="360"/>
      <c r="R80" s="360"/>
      <c r="S80" s="360"/>
      <c r="T80" s="360"/>
      <c r="U80" s="360"/>
      <c r="V80" s="360"/>
      <c r="W80" s="360"/>
      <c r="X80" s="360"/>
      <c r="Y80" s="360"/>
      <c r="Z80" s="360"/>
    </row>
    <row r="81" spans="1:26" ht="15.75" customHeight="1">
      <c r="A81" s="360"/>
      <c r="B81" s="360"/>
      <c r="C81" s="360"/>
      <c r="D81" s="360"/>
      <c r="E81" s="360"/>
      <c r="F81" s="360"/>
      <c r="G81" s="360"/>
      <c r="H81" s="360"/>
      <c r="I81" s="360"/>
      <c r="J81" s="360"/>
      <c r="K81" s="360"/>
      <c r="L81" s="360"/>
      <c r="M81" s="360"/>
      <c r="N81" s="360"/>
      <c r="O81" s="360"/>
      <c r="P81" s="360"/>
      <c r="Q81" s="360"/>
      <c r="R81" s="360"/>
      <c r="S81" s="360"/>
      <c r="T81" s="360"/>
      <c r="U81" s="360"/>
      <c r="V81" s="360"/>
      <c r="W81" s="360"/>
      <c r="X81" s="360"/>
      <c r="Y81" s="360"/>
      <c r="Z81" s="360"/>
    </row>
    <row r="82" spans="1:26" ht="15.75" customHeight="1">
      <c r="A82" s="360"/>
      <c r="B82" s="360"/>
      <c r="C82" s="360"/>
      <c r="D82" s="360"/>
      <c r="E82" s="360"/>
      <c r="F82" s="360"/>
      <c r="G82" s="360"/>
      <c r="H82" s="360"/>
      <c r="I82" s="360"/>
      <c r="J82" s="360"/>
      <c r="K82" s="360"/>
      <c r="L82" s="360"/>
      <c r="M82" s="360"/>
      <c r="N82" s="360"/>
      <c r="O82" s="360"/>
      <c r="P82" s="360"/>
      <c r="Q82" s="360"/>
      <c r="R82" s="360"/>
      <c r="S82" s="360"/>
      <c r="T82" s="360"/>
      <c r="U82" s="360"/>
      <c r="V82" s="360"/>
      <c r="W82" s="360"/>
      <c r="X82" s="360"/>
      <c r="Y82" s="360"/>
      <c r="Z82" s="360"/>
    </row>
    <row r="83" spans="1:26" ht="15.75" customHeight="1">
      <c r="A83" s="360"/>
      <c r="B83" s="360"/>
      <c r="C83" s="360"/>
      <c r="D83" s="360"/>
      <c r="E83" s="360"/>
      <c r="F83" s="360"/>
      <c r="G83" s="360"/>
      <c r="H83" s="360"/>
      <c r="I83" s="360"/>
      <c r="J83" s="360"/>
      <c r="K83" s="360"/>
      <c r="L83" s="360"/>
      <c r="M83" s="360"/>
      <c r="N83" s="360"/>
      <c r="O83" s="360"/>
      <c r="P83" s="360"/>
      <c r="Q83" s="360"/>
      <c r="R83" s="360"/>
      <c r="S83" s="360"/>
      <c r="T83" s="360"/>
      <c r="U83" s="360"/>
      <c r="V83" s="360"/>
      <c r="W83" s="360"/>
      <c r="X83" s="360"/>
      <c r="Y83" s="360"/>
      <c r="Z83" s="360"/>
    </row>
    <row r="84" spans="1:26" ht="15.75" customHeight="1">
      <c r="A84" s="360"/>
      <c r="B84" s="360"/>
      <c r="C84" s="360"/>
      <c r="D84" s="360"/>
      <c r="E84" s="360"/>
      <c r="F84" s="360"/>
      <c r="G84" s="360"/>
      <c r="H84" s="360"/>
      <c r="I84" s="360"/>
      <c r="J84" s="360"/>
      <c r="K84" s="360"/>
      <c r="L84" s="360"/>
      <c r="M84" s="360"/>
      <c r="N84" s="360"/>
      <c r="O84" s="360"/>
      <c r="P84" s="360"/>
      <c r="Q84" s="360"/>
      <c r="R84" s="360"/>
      <c r="S84" s="360"/>
      <c r="T84" s="360"/>
      <c r="U84" s="360"/>
      <c r="V84" s="360"/>
      <c r="W84" s="360"/>
      <c r="X84" s="360"/>
      <c r="Y84" s="360"/>
      <c r="Z84" s="360"/>
    </row>
    <row r="85" spans="1:26" ht="15.75" customHeight="1">
      <c r="A85" s="360"/>
      <c r="B85" s="360"/>
      <c r="C85" s="360"/>
      <c r="D85" s="360"/>
      <c r="E85" s="360"/>
      <c r="F85" s="360"/>
      <c r="G85" s="360"/>
      <c r="H85" s="360"/>
      <c r="I85" s="360"/>
      <c r="J85" s="360"/>
      <c r="K85" s="360"/>
      <c r="L85" s="360"/>
      <c r="M85" s="360"/>
      <c r="N85" s="360"/>
      <c r="O85" s="360"/>
      <c r="P85" s="360"/>
      <c r="Q85" s="360"/>
      <c r="R85" s="360"/>
      <c r="S85" s="360"/>
      <c r="T85" s="360"/>
      <c r="U85" s="360"/>
      <c r="V85" s="360"/>
      <c r="W85" s="360"/>
      <c r="X85" s="360"/>
      <c r="Y85" s="360"/>
      <c r="Z85" s="360"/>
    </row>
    <row r="86" spans="1:26" ht="15.75" customHeight="1">
      <c r="A86" s="360"/>
      <c r="B86" s="360"/>
      <c r="C86" s="360"/>
      <c r="D86" s="360"/>
      <c r="E86" s="360"/>
      <c r="F86" s="360"/>
      <c r="G86" s="360"/>
      <c r="H86" s="360"/>
      <c r="I86" s="360"/>
      <c r="J86" s="360"/>
      <c r="K86" s="360"/>
      <c r="L86" s="360"/>
      <c r="M86" s="360"/>
      <c r="N86" s="360"/>
      <c r="O86" s="360"/>
      <c r="P86" s="360"/>
      <c r="Q86" s="360"/>
      <c r="R86" s="360"/>
      <c r="S86" s="360"/>
      <c r="T86" s="360"/>
      <c r="U86" s="360"/>
      <c r="V86" s="360"/>
      <c r="W86" s="360"/>
      <c r="X86" s="360"/>
      <c r="Y86" s="360"/>
      <c r="Z86" s="360"/>
    </row>
    <row r="87" spans="1:26" ht="15.75" customHeight="1">
      <c r="A87" s="360"/>
      <c r="B87" s="360"/>
      <c r="C87" s="360"/>
      <c r="D87" s="360"/>
      <c r="E87" s="360"/>
      <c r="F87" s="360"/>
      <c r="G87" s="360"/>
      <c r="H87" s="360"/>
      <c r="I87" s="360"/>
      <c r="J87" s="360"/>
      <c r="K87" s="360"/>
      <c r="L87" s="360"/>
      <c r="M87" s="360"/>
      <c r="N87" s="360"/>
      <c r="O87" s="360"/>
      <c r="P87" s="360"/>
      <c r="Q87" s="360"/>
      <c r="R87" s="360"/>
      <c r="S87" s="360"/>
      <c r="T87" s="360"/>
      <c r="U87" s="360"/>
      <c r="V87" s="360"/>
      <c r="W87" s="360"/>
      <c r="X87" s="360"/>
      <c r="Y87" s="360"/>
      <c r="Z87" s="360"/>
    </row>
    <row r="88" spans="1:26" ht="15.75" customHeight="1">
      <c r="A88" s="360"/>
      <c r="B88" s="360"/>
      <c r="C88" s="360"/>
      <c r="D88" s="360"/>
      <c r="E88" s="360"/>
      <c r="F88" s="360"/>
      <c r="G88" s="360"/>
      <c r="H88" s="360"/>
      <c r="I88" s="360"/>
      <c r="J88" s="360"/>
      <c r="K88" s="360"/>
      <c r="L88" s="360"/>
      <c r="M88" s="360"/>
      <c r="N88" s="360"/>
      <c r="O88" s="360"/>
      <c r="P88" s="360"/>
      <c r="Q88" s="360"/>
      <c r="R88" s="360"/>
      <c r="S88" s="360"/>
      <c r="T88" s="360"/>
      <c r="U88" s="360"/>
      <c r="V88" s="360"/>
      <c r="W88" s="360"/>
      <c r="X88" s="360"/>
      <c r="Y88" s="360"/>
      <c r="Z88" s="360"/>
    </row>
    <row r="89" spans="1:26" ht="15.75" customHeight="1">
      <c r="A89" s="360"/>
      <c r="B89" s="360"/>
      <c r="C89" s="360"/>
      <c r="D89" s="360"/>
      <c r="E89" s="360"/>
      <c r="F89" s="360"/>
      <c r="G89" s="360"/>
      <c r="H89" s="360"/>
      <c r="I89" s="360"/>
      <c r="J89" s="360"/>
      <c r="K89" s="360"/>
      <c r="L89" s="360"/>
      <c r="M89" s="360"/>
      <c r="N89" s="360"/>
      <c r="O89" s="360"/>
      <c r="P89" s="360"/>
      <c r="Q89" s="360"/>
      <c r="R89" s="360"/>
      <c r="S89" s="360"/>
      <c r="T89" s="360"/>
      <c r="U89" s="360"/>
      <c r="V89" s="360"/>
      <c r="W89" s="360"/>
      <c r="X89" s="360"/>
      <c r="Y89" s="360"/>
      <c r="Z89" s="360"/>
    </row>
    <row r="90" spans="1:26" ht="15.75" customHeight="1">
      <c r="A90" s="360"/>
      <c r="B90" s="360"/>
      <c r="C90" s="360"/>
      <c r="D90" s="360"/>
      <c r="E90" s="360"/>
      <c r="F90" s="360"/>
      <c r="G90" s="360"/>
      <c r="H90" s="360"/>
      <c r="I90" s="360"/>
      <c r="J90" s="360"/>
      <c r="K90" s="360"/>
      <c r="L90" s="360"/>
      <c r="M90" s="360"/>
      <c r="N90" s="360"/>
      <c r="O90" s="360"/>
      <c r="P90" s="360"/>
      <c r="Q90" s="360"/>
      <c r="R90" s="360"/>
      <c r="S90" s="360"/>
      <c r="T90" s="360"/>
      <c r="U90" s="360"/>
      <c r="V90" s="360"/>
      <c r="W90" s="360"/>
      <c r="X90" s="360"/>
      <c r="Y90" s="360"/>
      <c r="Z90" s="360"/>
    </row>
    <row r="91" spans="1:26" ht="15.75" customHeight="1">
      <c r="A91" s="360"/>
      <c r="B91" s="360"/>
      <c r="C91" s="360"/>
      <c r="D91" s="360"/>
      <c r="E91" s="360"/>
      <c r="F91" s="360"/>
      <c r="G91" s="360"/>
      <c r="H91" s="360"/>
      <c r="I91" s="360"/>
      <c r="J91" s="360"/>
      <c r="K91" s="360"/>
      <c r="L91" s="360"/>
      <c r="M91" s="360"/>
      <c r="N91" s="360"/>
      <c r="O91" s="360"/>
      <c r="P91" s="360"/>
      <c r="Q91" s="360"/>
      <c r="R91" s="360"/>
      <c r="S91" s="360"/>
      <c r="T91" s="360"/>
      <c r="U91" s="360"/>
      <c r="V91" s="360"/>
      <c r="W91" s="360"/>
      <c r="X91" s="360"/>
      <c r="Y91" s="360"/>
      <c r="Z91" s="360"/>
    </row>
    <row r="92" spans="1:26" ht="15.75" customHeight="1">
      <c r="A92" s="360"/>
      <c r="B92" s="360"/>
      <c r="C92" s="360"/>
      <c r="D92" s="360"/>
      <c r="E92" s="360"/>
      <c r="F92" s="360"/>
      <c r="G92" s="360"/>
      <c r="H92" s="360"/>
      <c r="I92" s="360"/>
      <c r="J92" s="360"/>
      <c r="K92" s="360"/>
      <c r="L92" s="360"/>
      <c r="M92" s="360"/>
      <c r="N92" s="360"/>
      <c r="O92" s="360"/>
      <c r="P92" s="360"/>
      <c r="Q92" s="360"/>
      <c r="R92" s="360"/>
      <c r="S92" s="360"/>
      <c r="T92" s="360"/>
      <c r="U92" s="360"/>
      <c r="V92" s="360"/>
      <c r="W92" s="360"/>
      <c r="X92" s="360"/>
      <c r="Y92" s="360"/>
      <c r="Z92" s="360"/>
    </row>
    <row r="93" spans="1:26" ht="15.75" customHeight="1">
      <c r="A93" s="360"/>
      <c r="B93" s="360"/>
      <c r="C93" s="360"/>
      <c r="D93" s="360"/>
      <c r="E93" s="360"/>
      <c r="F93" s="360"/>
      <c r="G93" s="360"/>
      <c r="H93" s="360"/>
      <c r="I93" s="360"/>
      <c r="J93" s="360"/>
      <c r="K93" s="360"/>
      <c r="L93" s="360"/>
      <c r="M93" s="360"/>
      <c r="N93" s="360"/>
      <c r="O93" s="360"/>
      <c r="P93" s="360"/>
      <c r="Q93" s="360"/>
      <c r="R93" s="360"/>
      <c r="S93" s="360"/>
      <c r="T93" s="360"/>
      <c r="U93" s="360"/>
      <c r="V93" s="360"/>
      <c r="W93" s="360"/>
      <c r="X93" s="360"/>
      <c r="Y93" s="360"/>
      <c r="Z93" s="360"/>
    </row>
    <row r="94" spans="1:26" ht="15.75" customHeight="1">
      <c r="A94" s="360"/>
      <c r="B94" s="360"/>
      <c r="C94" s="360"/>
      <c r="D94" s="360"/>
      <c r="E94" s="360"/>
      <c r="F94" s="360"/>
      <c r="G94" s="360"/>
      <c r="H94" s="360"/>
      <c r="I94" s="360"/>
      <c r="J94" s="360"/>
      <c r="K94" s="360"/>
      <c r="L94" s="360"/>
      <c r="M94" s="360"/>
      <c r="N94" s="360"/>
      <c r="O94" s="360"/>
      <c r="P94" s="360"/>
      <c r="Q94" s="360"/>
      <c r="R94" s="360"/>
      <c r="S94" s="360"/>
      <c r="T94" s="360"/>
      <c r="U94" s="360"/>
      <c r="V94" s="360"/>
      <c r="W94" s="360"/>
      <c r="X94" s="360"/>
      <c r="Y94" s="360"/>
      <c r="Z94" s="360"/>
    </row>
    <row r="95" spans="1:26" ht="15.75" customHeight="1">
      <c r="A95" s="360"/>
      <c r="B95" s="360"/>
      <c r="C95" s="360"/>
      <c r="D95" s="360"/>
      <c r="E95" s="360"/>
      <c r="F95" s="360"/>
      <c r="G95" s="360"/>
      <c r="H95" s="360"/>
      <c r="I95" s="360"/>
      <c r="J95" s="360"/>
      <c r="K95" s="360"/>
      <c r="L95" s="360"/>
      <c r="M95" s="360"/>
      <c r="N95" s="360"/>
      <c r="O95" s="360"/>
      <c r="P95" s="360"/>
      <c r="Q95" s="360"/>
      <c r="R95" s="360"/>
      <c r="S95" s="360"/>
      <c r="T95" s="360"/>
      <c r="U95" s="360"/>
      <c r="V95" s="360"/>
      <c r="W95" s="360"/>
      <c r="X95" s="360"/>
      <c r="Y95" s="360"/>
      <c r="Z95" s="360"/>
    </row>
    <row r="96" spans="1:26" ht="15.75" customHeight="1">
      <c r="A96" s="360"/>
      <c r="B96" s="360"/>
      <c r="C96" s="360"/>
      <c r="D96" s="360"/>
      <c r="E96" s="360"/>
      <c r="F96" s="360"/>
      <c r="G96" s="360"/>
      <c r="H96" s="360"/>
      <c r="I96" s="360"/>
      <c r="J96" s="360"/>
      <c r="K96" s="360"/>
      <c r="L96" s="360"/>
      <c r="M96" s="360"/>
      <c r="N96" s="360"/>
      <c r="O96" s="360"/>
      <c r="P96" s="360"/>
      <c r="Q96" s="360"/>
      <c r="R96" s="360"/>
      <c r="S96" s="360"/>
      <c r="T96" s="360"/>
      <c r="U96" s="360"/>
      <c r="V96" s="360"/>
      <c r="W96" s="360"/>
      <c r="X96" s="360"/>
      <c r="Y96" s="360"/>
      <c r="Z96" s="360"/>
    </row>
    <row r="97" spans="1:26" ht="15.75" customHeight="1">
      <c r="A97" s="360"/>
      <c r="B97" s="360"/>
      <c r="C97" s="360"/>
      <c r="D97" s="360"/>
      <c r="E97" s="360"/>
      <c r="F97" s="360"/>
      <c r="G97" s="360"/>
      <c r="H97" s="360"/>
      <c r="I97" s="360"/>
      <c r="J97" s="360"/>
      <c r="K97" s="360"/>
      <c r="L97" s="360"/>
      <c r="M97" s="360"/>
      <c r="N97" s="360"/>
      <c r="O97" s="360"/>
      <c r="P97" s="360"/>
      <c r="Q97" s="360"/>
      <c r="R97" s="360"/>
      <c r="S97" s="360"/>
      <c r="T97" s="360"/>
      <c r="U97" s="360"/>
      <c r="V97" s="360"/>
      <c r="W97" s="360"/>
      <c r="X97" s="360"/>
      <c r="Y97" s="360"/>
      <c r="Z97" s="360"/>
    </row>
    <row r="98" spans="1:26" ht="15.75" customHeight="1">
      <c r="A98" s="360"/>
      <c r="B98" s="360"/>
      <c r="C98" s="360"/>
      <c r="D98" s="360"/>
      <c r="E98" s="360"/>
      <c r="F98" s="360"/>
      <c r="G98" s="360"/>
      <c r="H98" s="360"/>
      <c r="I98" s="360"/>
      <c r="J98" s="360"/>
      <c r="K98" s="360"/>
      <c r="L98" s="360"/>
      <c r="M98" s="360"/>
      <c r="N98" s="360"/>
      <c r="O98" s="360"/>
      <c r="P98" s="360"/>
      <c r="Q98" s="360"/>
      <c r="R98" s="360"/>
      <c r="S98" s="360"/>
      <c r="T98" s="360"/>
      <c r="U98" s="360"/>
      <c r="V98" s="360"/>
      <c r="W98" s="360"/>
      <c r="X98" s="360"/>
      <c r="Y98" s="360"/>
      <c r="Z98" s="360"/>
    </row>
    <row r="99" spans="1:26" ht="15.75" customHeight="1">
      <c r="A99" s="360"/>
      <c r="B99" s="360"/>
      <c r="C99" s="360"/>
      <c r="D99" s="360"/>
      <c r="E99" s="360"/>
      <c r="F99" s="360"/>
      <c r="G99" s="360"/>
      <c r="H99" s="360"/>
      <c r="I99" s="360"/>
      <c r="J99" s="360"/>
      <c r="K99" s="360"/>
      <c r="L99" s="360"/>
      <c r="M99" s="360"/>
      <c r="N99" s="360"/>
      <c r="O99" s="360"/>
      <c r="P99" s="360"/>
      <c r="Q99" s="360"/>
      <c r="R99" s="360"/>
      <c r="S99" s="360"/>
      <c r="T99" s="360"/>
      <c r="U99" s="360"/>
      <c r="V99" s="360"/>
      <c r="W99" s="360"/>
      <c r="X99" s="360"/>
      <c r="Y99" s="360"/>
      <c r="Z99" s="360"/>
    </row>
    <row r="100" spans="1:26" ht="15.75" customHeight="1">
      <c r="A100" s="360"/>
      <c r="B100" s="360"/>
      <c r="C100" s="360"/>
      <c r="D100" s="360"/>
      <c r="E100" s="360"/>
      <c r="F100" s="360"/>
      <c r="G100" s="360"/>
      <c r="H100" s="360"/>
      <c r="I100" s="360"/>
      <c r="J100" s="360"/>
      <c r="K100" s="360"/>
      <c r="L100" s="360"/>
      <c r="M100" s="360"/>
      <c r="N100" s="360"/>
      <c r="O100" s="360"/>
      <c r="P100" s="360"/>
      <c r="Q100" s="360"/>
      <c r="R100" s="360"/>
      <c r="S100" s="360"/>
      <c r="T100" s="360"/>
      <c r="U100" s="360"/>
      <c r="V100" s="360"/>
      <c r="W100" s="360"/>
      <c r="X100" s="360"/>
      <c r="Y100" s="360"/>
      <c r="Z100" s="360"/>
    </row>
    <row r="101" spans="1:26" ht="15.75" customHeight="1">
      <c r="A101" s="360"/>
      <c r="B101" s="360"/>
      <c r="C101" s="360"/>
      <c r="D101" s="360"/>
      <c r="E101" s="360"/>
      <c r="F101" s="360"/>
      <c r="G101" s="360"/>
      <c r="H101" s="360"/>
      <c r="I101" s="360"/>
      <c r="J101" s="360"/>
      <c r="K101" s="360"/>
      <c r="L101" s="360"/>
      <c r="M101" s="360"/>
      <c r="N101" s="360"/>
      <c r="O101" s="360"/>
      <c r="P101" s="360"/>
      <c r="Q101" s="360"/>
      <c r="R101" s="360"/>
      <c r="S101" s="360"/>
      <c r="T101" s="360"/>
      <c r="U101" s="360"/>
      <c r="V101" s="360"/>
      <c r="W101" s="360"/>
      <c r="X101" s="360"/>
      <c r="Y101" s="360"/>
      <c r="Z101" s="360"/>
    </row>
    <row r="102" spans="1:26" ht="15.75" customHeight="1">
      <c r="A102" s="360"/>
      <c r="B102" s="360"/>
      <c r="C102" s="360"/>
      <c r="D102" s="360"/>
      <c r="E102" s="360"/>
      <c r="F102" s="360"/>
      <c r="G102" s="360"/>
      <c r="H102" s="360"/>
      <c r="I102" s="360"/>
      <c r="J102" s="360"/>
      <c r="K102" s="360"/>
      <c r="L102" s="360"/>
      <c r="M102" s="360"/>
      <c r="N102" s="360"/>
      <c r="O102" s="360"/>
      <c r="P102" s="360"/>
      <c r="Q102" s="360"/>
      <c r="R102" s="360"/>
      <c r="S102" s="360"/>
      <c r="T102" s="360"/>
      <c r="U102" s="360"/>
      <c r="V102" s="360"/>
      <c r="W102" s="360"/>
      <c r="X102" s="360"/>
      <c r="Y102" s="360"/>
      <c r="Z102" s="360"/>
    </row>
    <row r="103" spans="1:26" ht="15.75" customHeight="1">
      <c r="A103" s="360"/>
      <c r="B103" s="360"/>
      <c r="C103" s="360"/>
      <c r="D103" s="360"/>
      <c r="E103" s="360"/>
      <c r="F103" s="360"/>
      <c r="G103" s="360"/>
      <c r="H103" s="360"/>
      <c r="I103" s="360"/>
      <c r="J103" s="360"/>
      <c r="K103" s="360"/>
      <c r="L103" s="360"/>
      <c r="M103" s="360"/>
      <c r="N103" s="360"/>
      <c r="O103" s="360"/>
      <c r="P103" s="360"/>
      <c r="Q103" s="360"/>
      <c r="R103" s="360"/>
      <c r="S103" s="360"/>
      <c r="T103" s="360"/>
      <c r="U103" s="360"/>
      <c r="V103" s="360"/>
      <c r="W103" s="360"/>
      <c r="X103" s="360"/>
      <c r="Y103" s="360"/>
      <c r="Z103" s="360"/>
    </row>
    <row r="104" spans="1:26" ht="15.75" customHeight="1">
      <c r="A104" s="360"/>
      <c r="B104" s="360"/>
      <c r="C104" s="360"/>
      <c r="D104" s="360"/>
      <c r="E104" s="360"/>
      <c r="F104" s="360"/>
      <c r="G104" s="360"/>
      <c r="H104" s="360"/>
      <c r="I104" s="360"/>
      <c r="J104" s="360"/>
      <c r="K104" s="360"/>
      <c r="L104" s="360"/>
      <c r="M104" s="360"/>
      <c r="N104" s="360"/>
      <c r="O104" s="360"/>
      <c r="P104" s="360"/>
      <c r="Q104" s="360"/>
      <c r="R104" s="360"/>
      <c r="S104" s="360"/>
      <c r="T104" s="360"/>
      <c r="U104" s="360"/>
      <c r="V104" s="360"/>
      <c r="W104" s="360"/>
      <c r="X104" s="360"/>
      <c r="Y104" s="360"/>
      <c r="Z104" s="360"/>
    </row>
    <row r="105" spans="1:26" ht="15.75" customHeight="1">
      <c r="A105" s="360"/>
      <c r="B105" s="360"/>
      <c r="C105" s="360"/>
      <c r="D105" s="360"/>
      <c r="E105" s="360"/>
      <c r="F105" s="360"/>
      <c r="G105" s="360"/>
      <c r="H105" s="360"/>
      <c r="I105" s="360"/>
      <c r="J105" s="360"/>
      <c r="K105" s="360"/>
      <c r="L105" s="360"/>
      <c r="M105" s="360"/>
      <c r="N105" s="360"/>
      <c r="O105" s="360"/>
      <c r="P105" s="360"/>
      <c r="Q105" s="360"/>
      <c r="R105" s="360"/>
      <c r="S105" s="360"/>
      <c r="T105" s="360"/>
      <c r="U105" s="360"/>
      <c r="V105" s="360"/>
      <c r="W105" s="360"/>
      <c r="X105" s="360"/>
      <c r="Y105" s="360"/>
      <c r="Z105" s="360"/>
    </row>
    <row r="106" spans="1:26" ht="15.75" customHeight="1">
      <c r="A106" s="360"/>
      <c r="B106" s="360"/>
      <c r="C106" s="360"/>
      <c r="D106" s="360"/>
      <c r="E106" s="360"/>
      <c r="F106" s="360"/>
      <c r="G106" s="360"/>
      <c r="H106" s="360"/>
      <c r="I106" s="360"/>
      <c r="J106" s="360"/>
      <c r="K106" s="360"/>
      <c r="L106" s="360"/>
      <c r="M106" s="360"/>
      <c r="N106" s="360"/>
      <c r="O106" s="360"/>
      <c r="P106" s="360"/>
      <c r="Q106" s="360"/>
      <c r="R106" s="360"/>
      <c r="S106" s="360"/>
      <c r="T106" s="360"/>
      <c r="U106" s="360"/>
      <c r="V106" s="360"/>
      <c r="W106" s="360"/>
      <c r="X106" s="360"/>
      <c r="Y106" s="360"/>
      <c r="Z106" s="360"/>
    </row>
    <row r="107" spans="1:26" ht="15.75" customHeight="1">
      <c r="A107" s="360"/>
      <c r="B107" s="360"/>
      <c r="C107" s="360"/>
      <c r="D107" s="360"/>
      <c r="E107" s="360"/>
      <c r="F107" s="360"/>
      <c r="G107" s="360"/>
      <c r="H107" s="360"/>
      <c r="I107" s="360"/>
      <c r="J107" s="360"/>
      <c r="K107" s="360"/>
      <c r="L107" s="360"/>
      <c r="M107" s="360"/>
      <c r="N107" s="360"/>
      <c r="O107" s="360"/>
      <c r="P107" s="360"/>
      <c r="Q107" s="360"/>
      <c r="R107" s="360"/>
      <c r="S107" s="360"/>
      <c r="T107" s="360"/>
      <c r="U107" s="360"/>
      <c r="V107" s="360"/>
      <c r="W107" s="360"/>
      <c r="X107" s="360"/>
      <c r="Y107" s="360"/>
      <c r="Z107" s="360"/>
    </row>
    <row r="108" spans="1:26" ht="15.75" customHeight="1">
      <c r="A108" s="360"/>
      <c r="B108" s="360"/>
      <c r="C108" s="360"/>
      <c r="D108" s="360"/>
      <c r="E108" s="360"/>
      <c r="F108" s="360"/>
      <c r="G108" s="360"/>
      <c r="H108" s="360"/>
      <c r="I108" s="360"/>
      <c r="J108" s="360"/>
      <c r="K108" s="360"/>
      <c r="L108" s="360"/>
      <c r="M108" s="360"/>
      <c r="N108" s="360"/>
      <c r="O108" s="360"/>
      <c r="P108" s="360"/>
      <c r="Q108" s="360"/>
      <c r="R108" s="360"/>
      <c r="S108" s="360"/>
      <c r="T108" s="360"/>
      <c r="U108" s="360"/>
      <c r="V108" s="360"/>
      <c r="W108" s="360"/>
      <c r="X108" s="360"/>
      <c r="Y108" s="360"/>
      <c r="Z108" s="360"/>
    </row>
    <row r="109" spans="1:26" ht="15.75" customHeight="1">
      <c r="A109" s="360"/>
      <c r="B109" s="360"/>
      <c r="C109" s="360"/>
      <c r="D109" s="360"/>
      <c r="E109" s="360"/>
      <c r="F109" s="360"/>
      <c r="G109" s="360"/>
      <c r="H109" s="360"/>
      <c r="I109" s="360"/>
      <c r="J109" s="360"/>
      <c r="K109" s="360"/>
      <c r="L109" s="360"/>
      <c r="M109" s="360"/>
      <c r="N109" s="360"/>
      <c r="O109" s="360"/>
      <c r="P109" s="360"/>
      <c r="Q109" s="360"/>
      <c r="R109" s="360"/>
      <c r="S109" s="360"/>
      <c r="T109" s="360"/>
      <c r="U109" s="360"/>
      <c r="V109" s="360"/>
      <c r="W109" s="360"/>
      <c r="X109" s="360"/>
      <c r="Y109" s="360"/>
      <c r="Z109" s="360"/>
    </row>
    <row r="110" spans="1:26" ht="15.75" customHeight="1">
      <c r="A110" s="360"/>
      <c r="B110" s="360"/>
      <c r="C110" s="360"/>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row>
    <row r="111" spans="1:26" ht="15.75" customHeight="1">
      <c r="A111" s="360"/>
      <c r="B111" s="360"/>
      <c r="C111" s="360"/>
      <c r="D111" s="360"/>
      <c r="E111" s="360"/>
      <c r="F111" s="360"/>
      <c r="G111" s="360"/>
      <c r="H111" s="360"/>
      <c r="I111" s="360"/>
      <c r="J111" s="360"/>
      <c r="K111" s="360"/>
      <c r="L111" s="360"/>
      <c r="M111" s="360"/>
      <c r="N111" s="360"/>
      <c r="O111" s="360"/>
      <c r="P111" s="360"/>
      <c r="Q111" s="360"/>
      <c r="R111" s="360"/>
      <c r="S111" s="360"/>
      <c r="T111" s="360"/>
      <c r="U111" s="360"/>
      <c r="V111" s="360"/>
      <c r="W111" s="360"/>
      <c r="X111" s="360"/>
      <c r="Y111" s="360"/>
      <c r="Z111" s="360"/>
    </row>
    <row r="112" spans="1:26" ht="15.75" customHeight="1">
      <c r="A112" s="360"/>
      <c r="B112" s="360"/>
      <c r="C112" s="360"/>
      <c r="D112" s="360"/>
      <c r="E112" s="360"/>
      <c r="F112" s="360"/>
      <c r="G112" s="360"/>
      <c r="H112" s="360"/>
      <c r="I112" s="360"/>
      <c r="J112" s="360"/>
      <c r="K112" s="360"/>
      <c r="L112" s="360"/>
      <c r="M112" s="360"/>
      <c r="N112" s="360"/>
      <c r="O112" s="360"/>
      <c r="P112" s="360"/>
      <c r="Q112" s="360"/>
      <c r="R112" s="360"/>
      <c r="S112" s="360"/>
      <c r="T112" s="360"/>
      <c r="U112" s="360"/>
      <c r="V112" s="360"/>
      <c r="W112" s="360"/>
      <c r="X112" s="360"/>
      <c r="Y112" s="360"/>
      <c r="Z112" s="360"/>
    </row>
    <row r="113" spans="1:26" ht="15.75" customHeight="1">
      <c r="A113" s="360"/>
      <c r="B113" s="360"/>
      <c r="C113" s="360"/>
      <c r="D113" s="360"/>
      <c r="E113" s="360"/>
      <c r="F113" s="360"/>
      <c r="G113" s="360"/>
      <c r="H113" s="360"/>
      <c r="I113" s="360"/>
      <c r="J113" s="360"/>
      <c r="K113" s="360"/>
      <c r="L113" s="360"/>
      <c r="M113" s="360"/>
      <c r="N113" s="360"/>
      <c r="O113" s="360"/>
      <c r="P113" s="360"/>
      <c r="Q113" s="360"/>
      <c r="R113" s="360"/>
      <c r="S113" s="360"/>
      <c r="T113" s="360"/>
      <c r="U113" s="360"/>
      <c r="V113" s="360"/>
      <c r="W113" s="360"/>
      <c r="X113" s="360"/>
      <c r="Y113" s="360"/>
      <c r="Z113" s="360"/>
    </row>
    <row r="114" spans="1:26" ht="15.75" customHeight="1">
      <c r="A114" s="360"/>
      <c r="B114" s="360"/>
      <c r="C114" s="360"/>
      <c r="D114" s="360"/>
      <c r="E114" s="360"/>
      <c r="F114" s="360"/>
      <c r="G114" s="360"/>
      <c r="H114" s="360"/>
      <c r="I114" s="360"/>
      <c r="J114" s="360"/>
      <c r="K114" s="360"/>
      <c r="L114" s="360"/>
      <c r="M114" s="360"/>
      <c r="N114" s="360"/>
      <c r="O114" s="360"/>
      <c r="P114" s="360"/>
      <c r="Q114" s="360"/>
      <c r="R114" s="360"/>
      <c r="S114" s="360"/>
      <c r="T114" s="360"/>
      <c r="U114" s="360"/>
      <c r="V114" s="360"/>
      <c r="W114" s="360"/>
      <c r="X114" s="360"/>
      <c r="Y114" s="360"/>
      <c r="Z114" s="360"/>
    </row>
    <row r="115" spans="1:26" ht="15.75" customHeight="1">
      <c r="A115" s="360"/>
      <c r="B115" s="360"/>
      <c r="C115" s="360"/>
      <c r="D115" s="360"/>
      <c r="E115" s="360"/>
      <c r="F115" s="360"/>
      <c r="G115" s="360"/>
      <c r="H115" s="360"/>
      <c r="I115" s="360"/>
      <c r="J115" s="360"/>
      <c r="K115" s="360"/>
      <c r="L115" s="360"/>
      <c r="M115" s="360"/>
      <c r="N115" s="360"/>
      <c r="O115" s="360"/>
      <c r="P115" s="360"/>
      <c r="Q115" s="360"/>
      <c r="R115" s="360"/>
      <c r="S115" s="360"/>
      <c r="T115" s="360"/>
      <c r="U115" s="360"/>
      <c r="V115" s="360"/>
      <c r="W115" s="360"/>
      <c r="X115" s="360"/>
      <c r="Y115" s="360"/>
      <c r="Z115" s="360"/>
    </row>
    <row r="116" spans="1:26" ht="15.75" customHeight="1">
      <c r="A116" s="360"/>
      <c r="B116" s="360"/>
      <c r="C116" s="360"/>
      <c r="D116" s="360"/>
      <c r="E116" s="360"/>
      <c r="F116" s="360"/>
      <c r="G116" s="360"/>
      <c r="H116" s="360"/>
      <c r="I116" s="360"/>
      <c r="J116" s="360"/>
      <c r="K116" s="360"/>
      <c r="L116" s="360"/>
      <c r="M116" s="360"/>
      <c r="N116" s="360"/>
      <c r="O116" s="360"/>
      <c r="P116" s="360"/>
      <c r="Q116" s="360"/>
      <c r="R116" s="360"/>
      <c r="S116" s="360"/>
      <c r="T116" s="360"/>
      <c r="U116" s="360"/>
      <c r="V116" s="360"/>
      <c r="W116" s="360"/>
      <c r="X116" s="360"/>
      <c r="Y116" s="360"/>
      <c r="Z116" s="360"/>
    </row>
    <row r="117" spans="1:26" ht="15.75" customHeight="1">
      <c r="A117" s="360"/>
      <c r="B117" s="360"/>
      <c r="C117" s="360"/>
      <c r="D117" s="360"/>
      <c r="E117" s="360"/>
      <c r="F117" s="360"/>
      <c r="G117" s="360"/>
      <c r="H117" s="360"/>
      <c r="I117" s="360"/>
      <c r="J117" s="360"/>
      <c r="K117" s="360"/>
      <c r="L117" s="360"/>
      <c r="M117" s="360"/>
      <c r="N117" s="360"/>
      <c r="O117" s="360"/>
      <c r="P117" s="360"/>
      <c r="Q117" s="360"/>
      <c r="R117" s="360"/>
      <c r="S117" s="360"/>
      <c r="T117" s="360"/>
      <c r="U117" s="360"/>
      <c r="V117" s="360"/>
      <c r="W117" s="360"/>
      <c r="X117" s="360"/>
      <c r="Y117" s="360"/>
      <c r="Z117" s="360"/>
    </row>
    <row r="118" spans="1:26" ht="15.75" customHeight="1">
      <c r="A118" s="360"/>
      <c r="B118" s="360"/>
      <c r="C118" s="360"/>
      <c r="D118" s="360"/>
      <c r="E118" s="360"/>
      <c r="F118" s="360"/>
      <c r="G118" s="360"/>
      <c r="H118" s="360"/>
      <c r="I118" s="360"/>
      <c r="J118" s="360"/>
      <c r="K118" s="360"/>
      <c r="L118" s="360"/>
      <c r="M118" s="360"/>
      <c r="N118" s="360"/>
      <c r="O118" s="360"/>
      <c r="P118" s="360"/>
      <c r="Q118" s="360"/>
      <c r="R118" s="360"/>
      <c r="S118" s="360"/>
      <c r="T118" s="360"/>
      <c r="U118" s="360"/>
      <c r="V118" s="360"/>
      <c r="W118" s="360"/>
      <c r="X118" s="360"/>
      <c r="Y118" s="360"/>
      <c r="Z118" s="360"/>
    </row>
    <row r="119" spans="1:26" ht="15.75" customHeight="1">
      <c r="A119" s="360"/>
      <c r="B119" s="360"/>
      <c r="C119" s="360"/>
      <c r="D119" s="360"/>
      <c r="E119" s="360"/>
      <c r="F119" s="360"/>
      <c r="G119" s="360"/>
      <c r="H119" s="360"/>
      <c r="I119" s="360"/>
      <c r="J119" s="360"/>
      <c r="K119" s="360"/>
      <c r="L119" s="360"/>
      <c r="M119" s="360"/>
      <c r="N119" s="360"/>
      <c r="O119" s="360"/>
      <c r="P119" s="360"/>
      <c r="Q119" s="360"/>
      <c r="R119" s="360"/>
      <c r="S119" s="360"/>
      <c r="T119" s="360"/>
      <c r="U119" s="360"/>
      <c r="V119" s="360"/>
      <c r="W119" s="360"/>
      <c r="X119" s="360"/>
      <c r="Y119" s="360"/>
      <c r="Z119" s="360"/>
    </row>
    <row r="120" spans="1:26" ht="15.75" customHeight="1">
      <c r="A120" s="360"/>
      <c r="B120" s="360"/>
      <c r="C120" s="360"/>
      <c r="D120" s="360"/>
      <c r="E120" s="360"/>
      <c r="F120" s="360"/>
      <c r="G120" s="360"/>
      <c r="H120" s="360"/>
      <c r="I120" s="360"/>
      <c r="J120" s="360"/>
      <c r="K120" s="360"/>
      <c r="L120" s="360"/>
      <c r="M120" s="360"/>
      <c r="N120" s="360"/>
      <c r="O120" s="360"/>
      <c r="P120" s="360"/>
      <c r="Q120" s="360"/>
      <c r="R120" s="360"/>
      <c r="S120" s="360"/>
      <c r="T120" s="360"/>
      <c r="U120" s="360"/>
      <c r="V120" s="360"/>
      <c r="W120" s="360"/>
      <c r="X120" s="360"/>
      <c r="Y120" s="360"/>
      <c r="Z120" s="360"/>
    </row>
    <row r="121" spans="1:26" ht="15.75" customHeight="1">
      <c r="A121" s="360"/>
      <c r="B121" s="360"/>
      <c r="C121" s="360"/>
      <c r="D121" s="360"/>
      <c r="E121" s="360"/>
      <c r="F121" s="360"/>
      <c r="G121" s="360"/>
      <c r="H121" s="360"/>
      <c r="I121" s="360"/>
      <c r="J121" s="360"/>
      <c r="K121" s="360"/>
      <c r="L121" s="360"/>
      <c r="M121" s="360"/>
      <c r="N121" s="360"/>
      <c r="O121" s="360"/>
      <c r="P121" s="360"/>
      <c r="Q121" s="360"/>
      <c r="R121" s="360"/>
      <c r="S121" s="360"/>
      <c r="T121" s="360"/>
      <c r="U121" s="360"/>
      <c r="V121" s="360"/>
      <c r="W121" s="360"/>
      <c r="X121" s="360"/>
      <c r="Y121" s="360"/>
      <c r="Z121" s="360"/>
    </row>
    <row r="122" spans="1:26" ht="15.75" customHeight="1">
      <c r="A122" s="360"/>
      <c r="B122" s="360"/>
      <c r="C122" s="360"/>
      <c r="D122" s="360"/>
      <c r="E122" s="360"/>
      <c r="F122" s="360"/>
      <c r="G122" s="360"/>
      <c r="H122" s="360"/>
      <c r="I122" s="360"/>
      <c r="J122" s="360"/>
      <c r="K122" s="360"/>
      <c r="L122" s="360"/>
      <c r="M122" s="360"/>
      <c r="N122" s="360"/>
      <c r="O122" s="360"/>
      <c r="P122" s="360"/>
      <c r="Q122" s="360"/>
      <c r="R122" s="360"/>
      <c r="S122" s="360"/>
      <c r="T122" s="360"/>
      <c r="U122" s="360"/>
      <c r="V122" s="360"/>
      <c r="W122" s="360"/>
      <c r="X122" s="360"/>
      <c r="Y122" s="360"/>
      <c r="Z122" s="360"/>
    </row>
    <row r="123" spans="1:26" ht="15.75" customHeight="1">
      <c r="A123" s="360"/>
      <c r="B123" s="360"/>
      <c r="C123" s="360"/>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row>
    <row r="124" spans="1:26" ht="15.75" customHeight="1">
      <c r="A124" s="360"/>
      <c r="B124" s="360"/>
      <c r="C124" s="360"/>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row>
    <row r="125" spans="1:26" ht="15.75" customHeight="1">
      <c r="A125" s="360"/>
      <c r="B125" s="360"/>
      <c r="C125" s="360"/>
      <c r="D125" s="360"/>
      <c r="E125" s="360"/>
      <c r="F125" s="360"/>
      <c r="G125" s="360"/>
      <c r="H125" s="360"/>
      <c r="I125" s="360"/>
      <c r="J125" s="360"/>
      <c r="K125" s="360"/>
      <c r="L125" s="360"/>
      <c r="M125" s="360"/>
      <c r="N125" s="360"/>
      <c r="O125" s="360"/>
      <c r="P125" s="360"/>
      <c r="Q125" s="360"/>
      <c r="R125" s="360"/>
      <c r="S125" s="360"/>
      <c r="T125" s="360"/>
      <c r="U125" s="360"/>
      <c r="V125" s="360"/>
      <c r="W125" s="360"/>
      <c r="X125" s="360"/>
      <c r="Y125" s="360"/>
      <c r="Z125" s="360"/>
    </row>
    <row r="126" spans="1:26" ht="15.75" customHeight="1">
      <c r="A126" s="360"/>
      <c r="B126" s="360"/>
      <c r="C126" s="360"/>
      <c r="D126" s="360"/>
      <c r="E126" s="360"/>
      <c r="F126" s="360"/>
      <c r="G126" s="360"/>
      <c r="H126" s="360"/>
      <c r="I126" s="360"/>
      <c r="J126" s="360"/>
      <c r="K126" s="360"/>
      <c r="L126" s="360"/>
      <c r="M126" s="360"/>
      <c r="N126" s="360"/>
      <c r="O126" s="360"/>
      <c r="P126" s="360"/>
      <c r="Q126" s="360"/>
      <c r="R126" s="360"/>
      <c r="S126" s="360"/>
      <c r="T126" s="360"/>
      <c r="U126" s="360"/>
      <c r="V126" s="360"/>
      <c r="W126" s="360"/>
      <c r="X126" s="360"/>
      <c r="Y126" s="360"/>
      <c r="Z126" s="360"/>
    </row>
    <row r="127" spans="1:26" ht="15.75" customHeight="1">
      <c r="A127" s="360"/>
      <c r="B127" s="360"/>
      <c r="C127" s="360"/>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row>
    <row r="128" spans="1:26" ht="15.75" customHeight="1">
      <c r="A128" s="360"/>
      <c r="B128" s="360"/>
      <c r="C128" s="360"/>
      <c r="D128" s="360"/>
      <c r="E128" s="360"/>
      <c r="F128" s="360"/>
      <c r="G128" s="360"/>
      <c r="H128" s="360"/>
      <c r="I128" s="360"/>
      <c r="J128" s="360"/>
      <c r="K128" s="360"/>
      <c r="L128" s="360"/>
      <c r="M128" s="360"/>
      <c r="N128" s="360"/>
      <c r="O128" s="360"/>
      <c r="P128" s="360"/>
      <c r="Q128" s="360"/>
      <c r="R128" s="360"/>
      <c r="S128" s="360"/>
      <c r="T128" s="360"/>
      <c r="U128" s="360"/>
      <c r="V128" s="360"/>
      <c r="W128" s="360"/>
      <c r="X128" s="360"/>
      <c r="Y128" s="360"/>
      <c r="Z128" s="360"/>
    </row>
    <row r="129" spans="1:26" ht="15.75" customHeight="1">
      <c r="A129" s="360"/>
      <c r="B129" s="360"/>
      <c r="C129" s="360"/>
      <c r="D129" s="360"/>
      <c r="E129" s="360"/>
      <c r="F129" s="360"/>
      <c r="G129" s="360"/>
      <c r="H129" s="360"/>
      <c r="I129" s="360"/>
      <c r="J129" s="360"/>
      <c r="K129" s="360"/>
      <c r="L129" s="360"/>
      <c r="M129" s="360"/>
      <c r="N129" s="360"/>
      <c r="O129" s="360"/>
      <c r="P129" s="360"/>
      <c r="Q129" s="360"/>
      <c r="R129" s="360"/>
      <c r="S129" s="360"/>
      <c r="T129" s="360"/>
      <c r="U129" s="360"/>
      <c r="V129" s="360"/>
      <c r="W129" s="360"/>
      <c r="X129" s="360"/>
      <c r="Y129" s="360"/>
      <c r="Z129" s="360"/>
    </row>
    <row r="130" spans="1:26" ht="15.75" customHeight="1">
      <c r="A130" s="360"/>
      <c r="B130" s="360"/>
      <c r="C130" s="360"/>
      <c r="D130" s="360"/>
      <c r="E130" s="360"/>
      <c r="F130" s="360"/>
      <c r="G130" s="360"/>
      <c r="H130" s="360"/>
      <c r="I130" s="360"/>
      <c r="J130" s="360"/>
      <c r="K130" s="360"/>
      <c r="L130" s="360"/>
      <c r="M130" s="360"/>
      <c r="N130" s="360"/>
      <c r="O130" s="360"/>
      <c r="P130" s="360"/>
      <c r="Q130" s="360"/>
      <c r="R130" s="360"/>
      <c r="S130" s="360"/>
      <c r="T130" s="360"/>
      <c r="U130" s="360"/>
      <c r="V130" s="360"/>
      <c r="W130" s="360"/>
      <c r="X130" s="360"/>
      <c r="Y130" s="360"/>
      <c r="Z130" s="360"/>
    </row>
    <row r="131" spans="1:26" ht="15.75" customHeight="1">
      <c r="A131" s="360"/>
      <c r="B131" s="360"/>
      <c r="C131" s="360"/>
      <c r="D131" s="360"/>
      <c r="E131" s="360"/>
      <c r="F131" s="360"/>
      <c r="G131" s="360"/>
      <c r="H131" s="360"/>
      <c r="I131" s="360"/>
      <c r="J131" s="360"/>
      <c r="K131" s="360"/>
      <c r="L131" s="360"/>
      <c r="M131" s="360"/>
      <c r="N131" s="360"/>
      <c r="O131" s="360"/>
      <c r="P131" s="360"/>
      <c r="Q131" s="360"/>
      <c r="R131" s="360"/>
      <c r="S131" s="360"/>
      <c r="T131" s="360"/>
      <c r="U131" s="360"/>
      <c r="V131" s="360"/>
      <c r="W131" s="360"/>
      <c r="X131" s="360"/>
      <c r="Y131" s="360"/>
      <c r="Z131" s="360"/>
    </row>
    <row r="132" spans="1:26" ht="15.75" customHeight="1">
      <c r="A132" s="360"/>
      <c r="B132" s="360"/>
      <c r="C132" s="360"/>
      <c r="D132" s="360"/>
      <c r="E132" s="360"/>
      <c r="F132" s="360"/>
      <c r="G132" s="360"/>
      <c r="H132" s="360"/>
      <c r="I132" s="360"/>
      <c r="J132" s="360"/>
      <c r="K132" s="360"/>
      <c r="L132" s="360"/>
      <c r="M132" s="360"/>
      <c r="N132" s="360"/>
      <c r="O132" s="360"/>
      <c r="P132" s="360"/>
      <c r="Q132" s="360"/>
      <c r="R132" s="360"/>
      <c r="S132" s="360"/>
      <c r="T132" s="360"/>
      <c r="U132" s="360"/>
      <c r="V132" s="360"/>
      <c r="W132" s="360"/>
      <c r="X132" s="360"/>
      <c r="Y132" s="360"/>
      <c r="Z132" s="360"/>
    </row>
    <row r="133" spans="1:26" ht="15.75" customHeight="1">
      <c r="A133" s="360"/>
      <c r="B133" s="360"/>
      <c r="C133" s="360"/>
      <c r="D133" s="360"/>
      <c r="E133" s="360"/>
      <c r="F133" s="360"/>
      <c r="G133" s="360"/>
      <c r="H133" s="360"/>
      <c r="I133" s="360"/>
      <c r="J133" s="360"/>
      <c r="K133" s="360"/>
      <c r="L133" s="360"/>
      <c r="M133" s="360"/>
      <c r="N133" s="360"/>
      <c r="O133" s="360"/>
      <c r="P133" s="360"/>
      <c r="Q133" s="360"/>
      <c r="R133" s="360"/>
      <c r="S133" s="360"/>
      <c r="T133" s="360"/>
      <c r="U133" s="360"/>
      <c r="V133" s="360"/>
      <c r="W133" s="360"/>
      <c r="X133" s="360"/>
      <c r="Y133" s="360"/>
      <c r="Z133" s="360"/>
    </row>
    <row r="134" spans="1:26" ht="15.75" customHeight="1">
      <c r="A134" s="360"/>
      <c r="B134" s="360"/>
      <c r="C134" s="360"/>
      <c r="D134" s="360"/>
      <c r="E134" s="360"/>
      <c r="F134" s="360"/>
      <c r="G134" s="360"/>
      <c r="H134" s="360"/>
      <c r="I134" s="360"/>
      <c r="J134" s="360"/>
      <c r="K134" s="360"/>
      <c r="L134" s="360"/>
      <c r="M134" s="360"/>
      <c r="N134" s="360"/>
      <c r="O134" s="360"/>
      <c r="P134" s="360"/>
      <c r="Q134" s="360"/>
      <c r="R134" s="360"/>
      <c r="S134" s="360"/>
      <c r="T134" s="360"/>
      <c r="U134" s="360"/>
      <c r="V134" s="360"/>
      <c r="W134" s="360"/>
      <c r="X134" s="360"/>
      <c r="Y134" s="360"/>
      <c r="Z134" s="360"/>
    </row>
    <row r="135" spans="1:26" ht="15.75" customHeight="1">
      <c r="A135" s="360"/>
      <c r="B135" s="360"/>
      <c r="C135" s="360"/>
      <c r="D135" s="360"/>
      <c r="E135" s="360"/>
      <c r="F135" s="360"/>
      <c r="G135" s="360"/>
      <c r="H135" s="360"/>
      <c r="I135" s="360"/>
      <c r="J135" s="360"/>
      <c r="K135" s="360"/>
      <c r="L135" s="360"/>
      <c r="M135" s="360"/>
      <c r="N135" s="360"/>
      <c r="O135" s="360"/>
      <c r="P135" s="360"/>
      <c r="Q135" s="360"/>
      <c r="R135" s="360"/>
      <c r="S135" s="360"/>
      <c r="T135" s="360"/>
      <c r="U135" s="360"/>
      <c r="V135" s="360"/>
      <c r="W135" s="360"/>
      <c r="X135" s="360"/>
      <c r="Y135" s="360"/>
      <c r="Z135" s="360"/>
    </row>
    <row r="136" spans="1:26" ht="15.75" customHeight="1">
      <c r="A136" s="360"/>
      <c r="B136" s="360"/>
      <c r="C136" s="360"/>
      <c r="D136" s="360"/>
      <c r="E136" s="360"/>
      <c r="F136" s="360"/>
      <c r="G136" s="360"/>
      <c r="H136" s="360"/>
      <c r="I136" s="360"/>
      <c r="J136" s="360"/>
      <c r="K136" s="360"/>
      <c r="L136" s="360"/>
      <c r="M136" s="360"/>
      <c r="N136" s="360"/>
      <c r="O136" s="360"/>
      <c r="P136" s="360"/>
      <c r="Q136" s="360"/>
      <c r="R136" s="360"/>
      <c r="S136" s="360"/>
      <c r="T136" s="360"/>
      <c r="U136" s="360"/>
      <c r="V136" s="360"/>
      <c r="W136" s="360"/>
      <c r="X136" s="360"/>
      <c r="Y136" s="360"/>
      <c r="Z136" s="360"/>
    </row>
    <row r="137" spans="1:26" ht="15.75" customHeight="1">
      <c r="A137" s="360"/>
      <c r="B137" s="360"/>
      <c r="C137" s="360"/>
      <c r="D137" s="360"/>
      <c r="E137" s="360"/>
      <c r="F137" s="360"/>
      <c r="G137" s="360"/>
      <c r="H137" s="360"/>
      <c r="I137" s="360"/>
      <c r="J137" s="360"/>
      <c r="K137" s="360"/>
      <c r="L137" s="360"/>
      <c r="M137" s="360"/>
      <c r="N137" s="360"/>
      <c r="O137" s="360"/>
      <c r="P137" s="360"/>
      <c r="Q137" s="360"/>
      <c r="R137" s="360"/>
      <c r="S137" s="360"/>
      <c r="T137" s="360"/>
      <c r="U137" s="360"/>
      <c r="V137" s="360"/>
      <c r="W137" s="360"/>
      <c r="X137" s="360"/>
      <c r="Y137" s="360"/>
      <c r="Z137" s="360"/>
    </row>
    <row r="138" spans="1:26" ht="15.75" customHeight="1">
      <c r="A138" s="360"/>
      <c r="B138" s="360"/>
      <c r="C138" s="360"/>
      <c r="D138" s="360"/>
      <c r="E138" s="360"/>
      <c r="F138" s="360"/>
      <c r="G138" s="360"/>
      <c r="H138" s="360"/>
      <c r="I138" s="360"/>
      <c r="J138" s="360"/>
      <c r="K138" s="360"/>
      <c r="L138" s="360"/>
      <c r="M138" s="360"/>
      <c r="N138" s="360"/>
      <c r="O138" s="360"/>
      <c r="P138" s="360"/>
      <c r="Q138" s="360"/>
      <c r="R138" s="360"/>
      <c r="S138" s="360"/>
      <c r="T138" s="360"/>
      <c r="U138" s="360"/>
      <c r="V138" s="360"/>
      <c r="W138" s="360"/>
      <c r="X138" s="360"/>
      <c r="Y138" s="360"/>
      <c r="Z138" s="360"/>
    </row>
    <row r="139" spans="1:26" ht="15.75" customHeight="1">
      <c r="A139" s="360"/>
      <c r="B139" s="360"/>
      <c r="C139" s="360"/>
      <c r="D139" s="360"/>
      <c r="E139" s="360"/>
      <c r="F139" s="360"/>
      <c r="G139" s="360"/>
      <c r="H139" s="360"/>
      <c r="I139" s="360"/>
      <c r="J139" s="360"/>
      <c r="K139" s="360"/>
      <c r="L139" s="360"/>
      <c r="M139" s="360"/>
      <c r="N139" s="360"/>
      <c r="O139" s="360"/>
      <c r="P139" s="360"/>
      <c r="Q139" s="360"/>
      <c r="R139" s="360"/>
      <c r="S139" s="360"/>
      <c r="T139" s="360"/>
      <c r="U139" s="360"/>
      <c r="V139" s="360"/>
      <c r="W139" s="360"/>
      <c r="X139" s="360"/>
      <c r="Y139" s="360"/>
      <c r="Z139" s="360"/>
    </row>
    <row r="140" spans="1:26" ht="15.75" customHeight="1">
      <c r="A140" s="360"/>
      <c r="B140" s="360"/>
      <c r="C140" s="360"/>
      <c r="D140" s="360"/>
      <c r="E140" s="360"/>
      <c r="F140" s="360"/>
      <c r="G140" s="360"/>
      <c r="H140" s="360"/>
      <c r="I140" s="360"/>
      <c r="J140" s="360"/>
      <c r="K140" s="360"/>
      <c r="L140" s="360"/>
      <c r="M140" s="360"/>
      <c r="N140" s="360"/>
      <c r="O140" s="360"/>
      <c r="P140" s="360"/>
      <c r="Q140" s="360"/>
      <c r="R140" s="360"/>
      <c r="S140" s="360"/>
      <c r="T140" s="360"/>
      <c r="U140" s="360"/>
      <c r="V140" s="360"/>
      <c r="W140" s="360"/>
      <c r="X140" s="360"/>
      <c r="Y140" s="360"/>
      <c r="Z140" s="360"/>
    </row>
    <row r="141" spans="1:26" ht="15.75" customHeight="1">
      <c r="A141" s="360"/>
      <c r="B141" s="360"/>
      <c r="C141" s="360"/>
      <c r="D141" s="360"/>
      <c r="E141" s="360"/>
      <c r="F141" s="360"/>
      <c r="G141" s="360"/>
      <c r="H141" s="360"/>
      <c r="I141" s="360"/>
      <c r="J141" s="360"/>
      <c r="K141" s="360"/>
      <c r="L141" s="360"/>
      <c r="M141" s="360"/>
      <c r="N141" s="360"/>
      <c r="O141" s="360"/>
      <c r="P141" s="360"/>
      <c r="Q141" s="360"/>
      <c r="R141" s="360"/>
      <c r="S141" s="360"/>
      <c r="T141" s="360"/>
      <c r="U141" s="360"/>
      <c r="V141" s="360"/>
      <c r="W141" s="360"/>
      <c r="X141" s="360"/>
      <c r="Y141" s="360"/>
      <c r="Z141" s="360"/>
    </row>
    <row r="142" spans="1:26" ht="15.75" customHeight="1">
      <c r="A142" s="360"/>
      <c r="B142" s="360"/>
      <c r="C142" s="360"/>
      <c r="D142" s="360"/>
      <c r="E142" s="360"/>
      <c r="F142" s="360"/>
      <c r="G142" s="360"/>
      <c r="H142" s="360"/>
      <c r="I142" s="360"/>
      <c r="J142" s="360"/>
      <c r="K142" s="360"/>
      <c r="L142" s="360"/>
      <c r="M142" s="360"/>
      <c r="N142" s="360"/>
      <c r="O142" s="360"/>
      <c r="P142" s="360"/>
      <c r="Q142" s="360"/>
      <c r="R142" s="360"/>
      <c r="S142" s="360"/>
      <c r="T142" s="360"/>
      <c r="U142" s="360"/>
      <c r="V142" s="360"/>
      <c r="W142" s="360"/>
      <c r="X142" s="360"/>
      <c r="Y142" s="360"/>
      <c r="Z142" s="360"/>
    </row>
    <row r="143" spans="1:26" ht="15.75" customHeight="1">
      <c r="A143" s="360"/>
      <c r="B143" s="360"/>
      <c r="C143" s="360"/>
      <c r="D143" s="360"/>
      <c r="E143" s="360"/>
      <c r="F143" s="360"/>
      <c r="G143" s="360"/>
      <c r="H143" s="360"/>
      <c r="I143" s="360"/>
      <c r="J143" s="360"/>
      <c r="K143" s="360"/>
      <c r="L143" s="360"/>
      <c r="M143" s="360"/>
      <c r="N143" s="360"/>
      <c r="O143" s="360"/>
      <c r="P143" s="360"/>
      <c r="Q143" s="360"/>
      <c r="R143" s="360"/>
      <c r="S143" s="360"/>
      <c r="T143" s="360"/>
      <c r="U143" s="360"/>
      <c r="V143" s="360"/>
      <c r="W143" s="360"/>
      <c r="X143" s="360"/>
      <c r="Y143" s="360"/>
      <c r="Z143" s="360"/>
    </row>
    <row r="144" spans="1:26" ht="15.75" customHeight="1">
      <c r="A144" s="360"/>
      <c r="B144" s="360"/>
      <c r="C144" s="360"/>
      <c r="D144" s="360"/>
      <c r="E144" s="360"/>
      <c r="F144" s="360"/>
      <c r="G144" s="360"/>
      <c r="H144" s="360"/>
      <c r="I144" s="360"/>
      <c r="J144" s="360"/>
      <c r="K144" s="360"/>
      <c r="L144" s="360"/>
      <c r="M144" s="360"/>
      <c r="N144" s="360"/>
      <c r="O144" s="360"/>
      <c r="P144" s="360"/>
      <c r="Q144" s="360"/>
      <c r="R144" s="360"/>
      <c r="S144" s="360"/>
      <c r="T144" s="360"/>
      <c r="U144" s="360"/>
      <c r="V144" s="360"/>
      <c r="W144" s="360"/>
      <c r="X144" s="360"/>
      <c r="Y144" s="360"/>
      <c r="Z144" s="360"/>
    </row>
    <row r="145" spans="1:26" ht="15.75" customHeight="1">
      <c r="A145" s="360"/>
      <c r="B145" s="360"/>
      <c r="C145" s="360"/>
      <c r="D145" s="360"/>
      <c r="E145" s="360"/>
      <c r="F145" s="360"/>
      <c r="G145" s="360"/>
      <c r="H145" s="360"/>
      <c r="I145" s="360"/>
      <c r="J145" s="360"/>
      <c r="K145" s="360"/>
      <c r="L145" s="360"/>
      <c r="M145" s="360"/>
      <c r="N145" s="360"/>
      <c r="O145" s="360"/>
      <c r="P145" s="360"/>
      <c r="Q145" s="360"/>
      <c r="R145" s="360"/>
      <c r="S145" s="360"/>
      <c r="T145" s="360"/>
      <c r="U145" s="360"/>
      <c r="V145" s="360"/>
      <c r="W145" s="360"/>
      <c r="X145" s="360"/>
      <c r="Y145" s="360"/>
      <c r="Z145" s="360"/>
    </row>
    <row r="146" spans="1:26" ht="15.75" customHeight="1">
      <c r="A146" s="360"/>
      <c r="B146" s="360"/>
      <c r="C146" s="360"/>
      <c r="D146" s="360"/>
      <c r="E146" s="360"/>
      <c r="F146" s="360"/>
      <c r="G146" s="360"/>
      <c r="H146" s="360"/>
      <c r="I146" s="360"/>
      <c r="J146" s="360"/>
      <c r="K146" s="360"/>
      <c r="L146" s="360"/>
      <c r="M146" s="360"/>
      <c r="N146" s="360"/>
      <c r="O146" s="360"/>
      <c r="P146" s="360"/>
      <c r="Q146" s="360"/>
      <c r="R146" s="360"/>
      <c r="S146" s="360"/>
      <c r="T146" s="360"/>
      <c r="U146" s="360"/>
      <c r="V146" s="360"/>
      <c r="W146" s="360"/>
      <c r="X146" s="360"/>
      <c r="Y146" s="360"/>
      <c r="Z146" s="360"/>
    </row>
    <row r="147" spans="1:26" ht="15.75" customHeight="1">
      <c r="A147" s="360"/>
      <c r="B147" s="360"/>
      <c r="C147" s="360"/>
      <c r="D147" s="360"/>
      <c r="E147" s="360"/>
      <c r="F147" s="360"/>
      <c r="G147" s="360"/>
      <c r="H147" s="360"/>
      <c r="I147" s="360"/>
      <c r="J147" s="360"/>
      <c r="K147" s="360"/>
      <c r="L147" s="360"/>
      <c r="M147" s="360"/>
      <c r="N147" s="360"/>
      <c r="O147" s="360"/>
      <c r="P147" s="360"/>
      <c r="Q147" s="360"/>
      <c r="R147" s="360"/>
      <c r="S147" s="360"/>
      <c r="T147" s="360"/>
      <c r="U147" s="360"/>
      <c r="V147" s="360"/>
      <c r="W147" s="360"/>
      <c r="X147" s="360"/>
      <c r="Y147" s="360"/>
      <c r="Z147" s="360"/>
    </row>
    <row r="148" spans="1:26" ht="15.75" customHeight="1">
      <c r="A148" s="360"/>
      <c r="B148" s="360"/>
      <c r="C148" s="360"/>
      <c r="D148" s="360"/>
      <c r="E148" s="360"/>
      <c r="F148" s="360"/>
      <c r="G148" s="360"/>
      <c r="H148" s="360"/>
      <c r="I148" s="360"/>
      <c r="J148" s="360"/>
      <c r="K148" s="360"/>
      <c r="L148" s="360"/>
      <c r="M148" s="360"/>
      <c r="N148" s="360"/>
      <c r="O148" s="360"/>
      <c r="P148" s="360"/>
      <c r="Q148" s="360"/>
      <c r="R148" s="360"/>
      <c r="S148" s="360"/>
      <c r="T148" s="360"/>
      <c r="U148" s="360"/>
      <c r="V148" s="360"/>
      <c r="W148" s="360"/>
      <c r="X148" s="360"/>
      <c r="Y148" s="360"/>
      <c r="Z148" s="360"/>
    </row>
    <row r="149" spans="1:26" ht="15.75" customHeight="1">
      <c r="A149" s="360"/>
      <c r="B149" s="360"/>
      <c r="C149" s="360"/>
      <c r="D149" s="360"/>
      <c r="E149" s="360"/>
      <c r="F149" s="360"/>
      <c r="G149" s="360"/>
      <c r="H149" s="360"/>
      <c r="I149" s="360"/>
      <c r="J149" s="360"/>
      <c r="K149" s="360"/>
      <c r="L149" s="360"/>
      <c r="M149" s="360"/>
      <c r="N149" s="360"/>
      <c r="O149" s="360"/>
      <c r="P149" s="360"/>
      <c r="Q149" s="360"/>
      <c r="R149" s="360"/>
      <c r="S149" s="360"/>
      <c r="T149" s="360"/>
      <c r="U149" s="360"/>
      <c r="V149" s="360"/>
      <c r="W149" s="360"/>
      <c r="X149" s="360"/>
      <c r="Y149" s="360"/>
      <c r="Z149" s="360"/>
    </row>
    <row r="150" spans="1:26" ht="15.75" customHeight="1">
      <c r="A150" s="360"/>
      <c r="B150" s="360"/>
      <c r="C150" s="360"/>
      <c r="D150" s="360"/>
      <c r="E150" s="360"/>
      <c r="F150" s="360"/>
      <c r="G150" s="360"/>
      <c r="H150" s="360"/>
      <c r="I150" s="360"/>
      <c r="J150" s="360"/>
      <c r="K150" s="360"/>
      <c r="L150" s="360"/>
      <c r="M150" s="360"/>
      <c r="N150" s="360"/>
      <c r="O150" s="360"/>
      <c r="P150" s="360"/>
      <c r="Q150" s="360"/>
      <c r="R150" s="360"/>
      <c r="S150" s="360"/>
      <c r="T150" s="360"/>
      <c r="U150" s="360"/>
      <c r="V150" s="360"/>
      <c r="W150" s="360"/>
      <c r="X150" s="360"/>
      <c r="Y150" s="360"/>
      <c r="Z150" s="360"/>
    </row>
    <row r="151" spans="1:26" ht="15.75" customHeight="1">
      <c r="A151" s="360"/>
      <c r="B151" s="360"/>
      <c r="C151" s="360"/>
      <c r="D151" s="360"/>
      <c r="E151" s="360"/>
      <c r="F151" s="360"/>
      <c r="G151" s="360"/>
      <c r="H151" s="360"/>
      <c r="I151" s="360"/>
      <c r="J151" s="360"/>
      <c r="K151" s="360"/>
      <c r="L151" s="360"/>
      <c r="M151" s="360"/>
      <c r="N151" s="360"/>
      <c r="O151" s="360"/>
      <c r="P151" s="360"/>
      <c r="Q151" s="360"/>
      <c r="R151" s="360"/>
      <c r="S151" s="360"/>
      <c r="T151" s="360"/>
      <c r="U151" s="360"/>
      <c r="V151" s="360"/>
      <c r="W151" s="360"/>
      <c r="X151" s="360"/>
      <c r="Y151" s="360"/>
      <c r="Z151" s="360"/>
    </row>
    <row r="152" spans="1:26" ht="15.75" customHeight="1">
      <c r="A152" s="360"/>
      <c r="B152" s="360"/>
      <c r="C152" s="360"/>
      <c r="D152" s="360"/>
      <c r="E152" s="360"/>
      <c r="F152" s="360"/>
      <c r="G152" s="360"/>
      <c r="H152" s="360"/>
      <c r="I152" s="360"/>
      <c r="J152" s="360"/>
      <c r="K152" s="360"/>
      <c r="L152" s="360"/>
      <c r="M152" s="360"/>
      <c r="N152" s="360"/>
      <c r="O152" s="360"/>
      <c r="P152" s="360"/>
      <c r="Q152" s="360"/>
      <c r="R152" s="360"/>
      <c r="S152" s="360"/>
      <c r="T152" s="360"/>
      <c r="U152" s="360"/>
      <c r="V152" s="360"/>
      <c r="W152" s="360"/>
      <c r="X152" s="360"/>
      <c r="Y152" s="360"/>
      <c r="Z152" s="360"/>
    </row>
    <row r="153" spans="1:26" ht="15.75" customHeight="1">
      <c r="A153" s="360"/>
      <c r="B153" s="360"/>
      <c r="C153" s="360"/>
      <c r="D153" s="360"/>
      <c r="E153" s="360"/>
      <c r="F153" s="360"/>
      <c r="G153" s="360"/>
      <c r="H153" s="360"/>
      <c r="I153" s="360"/>
      <c r="J153" s="360"/>
      <c r="K153" s="360"/>
      <c r="L153" s="360"/>
      <c r="M153" s="360"/>
      <c r="N153" s="360"/>
      <c r="O153" s="360"/>
      <c r="P153" s="360"/>
      <c r="Q153" s="360"/>
      <c r="R153" s="360"/>
      <c r="S153" s="360"/>
      <c r="T153" s="360"/>
      <c r="U153" s="360"/>
      <c r="V153" s="360"/>
      <c r="W153" s="360"/>
      <c r="X153" s="360"/>
      <c r="Y153" s="360"/>
      <c r="Z153" s="360"/>
    </row>
    <row r="154" spans="1:26" ht="15.75" customHeight="1">
      <c r="A154" s="360"/>
      <c r="B154" s="360"/>
      <c r="C154" s="360"/>
      <c r="D154" s="360"/>
      <c r="E154" s="360"/>
      <c r="F154" s="360"/>
      <c r="G154" s="360"/>
      <c r="H154" s="360"/>
      <c r="I154" s="360"/>
      <c r="J154" s="360"/>
      <c r="K154" s="360"/>
      <c r="L154" s="360"/>
      <c r="M154" s="360"/>
      <c r="N154" s="360"/>
      <c r="O154" s="360"/>
      <c r="P154" s="360"/>
      <c r="Q154" s="360"/>
      <c r="R154" s="360"/>
      <c r="S154" s="360"/>
      <c r="T154" s="360"/>
      <c r="U154" s="360"/>
      <c r="V154" s="360"/>
      <c r="W154" s="360"/>
      <c r="X154" s="360"/>
      <c r="Y154" s="360"/>
      <c r="Z154" s="360"/>
    </row>
    <row r="155" spans="1:26" ht="15.75" customHeight="1">
      <c r="A155" s="360"/>
      <c r="B155" s="360"/>
      <c r="C155" s="360"/>
      <c r="D155" s="360"/>
      <c r="E155" s="360"/>
      <c r="F155" s="360"/>
      <c r="G155" s="360"/>
      <c r="H155" s="360"/>
      <c r="I155" s="360"/>
      <c r="J155" s="360"/>
      <c r="K155" s="360"/>
      <c r="L155" s="360"/>
      <c r="M155" s="360"/>
      <c r="N155" s="360"/>
      <c r="O155" s="360"/>
      <c r="P155" s="360"/>
      <c r="Q155" s="360"/>
      <c r="R155" s="360"/>
      <c r="S155" s="360"/>
      <c r="T155" s="360"/>
      <c r="U155" s="360"/>
      <c r="V155" s="360"/>
      <c r="W155" s="360"/>
      <c r="X155" s="360"/>
      <c r="Y155" s="360"/>
      <c r="Z155" s="360"/>
    </row>
    <row r="156" spans="1:26" ht="15.75" customHeight="1">
      <c r="A156" s="360"/>
      <c r="B156" s="360"/>
      <c r="C156" s="360"/>
      <c r="D156" s="360"/>
      <c r="E156" s="360"/>
      <c r="F156" s="360"/>
      <c r="G156" s="360"/>
      <c r="H156" s="360"/>
      <c r="I156" s="360"/>
      <c r="J156" s="360"/>
      <c r="K156" s="360"/>
      <c r="L156" s="360"/>
      <c r="M156" s="360"/>
      <c r="N156" s="360"/>
      <c r="O156" s="360"/>
      <c r="P156" s="360"/>
      <c r="Q156" s="360"/>
      <c r="R156" s="360"/>
      <c r="S156" s="360"/>
      <c r="T156" s="360"/>
      <c r="U156" s="360"/>
      <c r="V156" s="360"/>
      <c r="W156" s="360"/>
      <c r="X156" s="360"/>
      <c r="Y156" s="360"/>
      <c r="Z156" s="360"/>
    </row>
    <row r="157" spans="1:26" ht="15.75" customHeight="1">
      <c r="A157" s="360"/>
      <c r="B157" s="360"/>
      <c r="C157" s="360"/>
      <c r="D157" s="360"/>
      <c r="E157" s="360"/>
      <c r="F157" s="360"/>
      <c r="G157" s="360"/>
      <c r="H157" s="360"/>
      <c r="I157" s="360"/>
      <c r="J157" s="360"/>
      <c r="K157" s="360"/>
      <c r="L157" s="360"/>
      <c r="M157" s="360"/>
      <c r="N157" s="360"/>
      <c r="O157" s="360"/>
      <c r="P157" s="360"/>
      <c r="Q157" s="360"/>
      <c r="R157" s="360"/>
      <c r="S157" s="360"/>
      <c r="T157" s="360"/>
      <c r="U157" s="360"/>
      <c r="V157" s="360"/>
      <c r="W157" s="360"/>
      <c r="X157" s="360"/>
      <c r="Y157" s="360"/>
      <c r="Z157" s="360"/>
    </row>
    <row r="158" spans="1:26" ht="15.75" customHeight="1">
      <c r="A158" s="360"/>
      <c r="B158" s="360"/>
      <c r="C158" s="360"/>
      <c r="D158" s="360"/>
      <c r="E158" s="360"/>
      <c r="F158" s="360"/>
      <c r="G158" s="360"/>
      <c r="H158" s="360"/>
      <c r="I158" s="360"/>
      <c r="J158" s="360"/>
      <c r="K158" s="360"/>
      <c r="L158" s="360"/>
      <c r="M158" s="360"/>
      <c r="N158" s="360"/>
      <c r="O158" s="360"/>
      <c r="P158" s="360"/>
      <c r="Q158" s="360"/>
      <c r="R158" s="360"/>
      <c r="S158" s="360"/>
      <c r="T158" s="360"/>
      <c r="U158" s="360"/>
      <c r="V158" s="360"/>
      <c r="W158" s="360"/>
      <c r="X158" s="360"/>
      <c r="Y158" s="360"/>
      <c r="Z158" s="360"/>
    </row>
    <row r="159" spans="1:26" ht="15.75" customHeight="1">
      <c r="A159" s="360"/>
      <c r="B159" s="360"/>
      <c r="C159" s="360"/>
      <c r="D159" s="360"/>
      <c r="E159" s="360"/>
      <c r="F159" s="360"/>
      <c r="G159" s="360"/>
      <c r="H159" s="360"/>
      <c r="I159" s="360"/>
      <c r="J159" s="360"/>
      <c r="K159" s="360"/>
      <c r="L159" s="360"/>
      <c r="M159" s="360"/>
      <c r="N159" s="360"/>
      <c r="O159" s="360"/>
      <c r="P159" s="360"/>
      <c r="Q159" s="360"/>
      <c r="R159" s="360"/>
      <c r="S159" s="360"/>
      <c r="T159" s="360"/>
      <c r="U159" s="360"/>
      <c r="V159" s="360"/>
      <c r="W159" s="360"/>
      <c r="X159" s="360"/>
      <c r="Y159" s="360"/>
      <c r="Z159" s="360"/>
    </row>
    <row r="160" spans="1:26" ht="15.75" customHeight="1">
      <c r="A160" s="360"/>
      <c r="B160" s="360"/>
      <c r="C160" s="360"/>
      <c r="D160" s="360"/>
      <c r="E160" s="360"/>
      <c r="F160" s="360"/>
      <c r="G160" s="360"/>
      <c r="H160" s="360"/>
      <c r="I160" s="360"/>
      <c r="J160" s="360"/>
      <c r="K160" s="360"/>
      <c r="L160" s="360"/>
      <c r="M160" s="360"/>
      <c r="N160" s="360"/>
      <c r="O160" s="360"/>
      <c r="P160" s="360"/>
      <c r="Q160" s="360"/>
      <c r="R160" s="360"/>
      <c r="S160" s="360"/>
      <c r="T160" s="360"/>
      <c r="U160" s="360"/>
      <c r="V160" s="360"/>
      <c r="W160" s="360"/>
      <c r="X160" s="360"/>
      <c r="Y160" s="360"/>
      <c r="Z160" s="360"/>
    </row>
    <row r="161" spans="1:26" ht="15.75" customHeight="1">
      <c r="A161" s="360"/>
      <c r="B161" s="360"/>
      <c r="C161" s="360"/>
      <c r="D161" s="360"/>
      <c r="E161" s="360"/>
      <c r="F161" s="360"/>
      <c r="G161" s="360"/>
      <c r="H161" s="360"/>
      <c r="I161" s="360"/>
      <c r="J161" s="360"/>
      <c r="K161" s="360"/>
      <c r="L161" s="360"/>
      <c r="M161" s="360"/>
      <c r="N161" s="360"/>
      <c r="O161" s="360"/>
      <c r="P161" s="360"/>
      <c r="Q161" s="360"/>
      <c r="R161" s="360"/>
      <c r="S161" s="360"/>
      <c r="T161" s="360"/>
      <c r="U161" s="360"/>
      <c r="V161" s="360"/>
      <c r="W161" s="360"/>
      <c r="X161" s="360"/>
      <c r="Y161" s="360"/>
      <c r="Z161" s="360"/>
    </row>
    <row r="162" spans="1:26" ht="15.75" customHeight="1">
      <c r="A162" s="360"/>
      <c r="B162" s="360"/>
      <c r="C162" s="360"/>
      <c r="D162" s="360"/>
      <c r="E162" s="360"/>
      <c r="F162" s="360"/>
      <c r="G162" s="360"/>
      <c r="H162" s="360"/>
      <c r="I162" s="360"/>
      <c r="J162" s="360"/>
      <c r="K162" s="360"/>
      <c r="L162" s="360"/>
      <c r="M162" s="360"/>
      <c r="N162" s="360"/>
      <c r="O162" s="360"/>
      <c r="P162" s="360"/>
      <c r="Q162" s="360"/>
      <c r="R162" s="360"/>
      <c r="S162" s="360"/>
      <c r="T162" s="360"/>
      <c r="U162" s="360"/>
      <c r="V162" s="360"/>
      <c r="W162" s="360"/>
      <c r="X162" s="360"/>
      <c r="Y162" s="360"/>
      <c r="Z162" s="360"/>
    </row>
    <row r="163" spans="1:26" ht="15.75" customHeight="1">
      <c r="A163" s="360"/>
      <c r="B163" s="360"/>
      <c r="C163" s="360"/>
      <c r="D163" s="360"/>
      <c r="E163" s="360"/>
      <c r="F163" s="360"/>
      <c r="G163" s="360"/>
      <c r="H163" s="360"/>
      <c r="I163" s="360"/>
      <c r="J163" s="360"/>
      <c r="K163" s="360"/>
      <c r="L163" s="360"/>
      <c r="M163" s="360"/>
      <c r="N163" s="360"/>
      <c r="O163" s="360"/>
      <c r="P163" s="360"/>
      <c r="Q163" s="360"/>
      <c r="R163" s="360"/>
      <c r="S163" s="360"/>
      <c r="T163" s="360"/>
      <c r="U163" s="360"/>
      <c r="V163" s="360"/>
      <c r="W163" s="360"/>
      <c r="X163" s="360"/>
      <c r="Y163" s="360"/>
      <c r="Z163" s="360"/>
    </row>
    <row r="164" spans="1:26" ht="15.75" customHeight="1">
      <c r="A164" s="360"/>
      <c r="B164" s="360"/>
      <c r="C164" s="360"/>
      <c r="D164" s="360"/>
      <c r="E164" s="360"/>
      <c r="F164" s="360"/>
      <c r="G164" s="360"/>
      <c r="H164" s="360"/>
      <c r="I164" s="360"/>
      <c r="J164" s="360"/>
      <c r="K164" s="360"/>
      <c r="L164" s="360"/>
      <c r="M164" s="360"/>
      <c r="N164" s="360"/>
      <c r="O164" s="360"/>
      <c r="P164" s="360"/>
      <c r="Q164" s="360"/>
      <c r="R164" s="360"/>
      <c r="S164" s="360"/>
      <c r="T164" s="360"/>
      <c r="U164" s="360"/>
      <c r="V164" s="360"/>
      <c r="W164" s="360"/>
      <c r="X164" s="360"/>
      <c r="Y164" s="360"/>
      <c r="Z164" s="360"/>
    </row>
    <row r="165" spans="1:26" ht="15.75" customHeight="1">
      <c r="A165" s="360"/>
      <c r="B165" s="360"/>
      <c r="C165" s="360"/>
      <c r="D165" s="360"/>
      <c r="E165" s="360"/>
      <c r="F165" s="360"/>
      <c r="G165" s="360"/>
      <c r="H165" s="360"/>
      <c r="I165" s="360"/>
      <c r="J165" s="360"/>
      <c r="K165" s="360"/>
      <c r="L165" s="360"/>
      <c r="M165" s="360"/>
      <c r="N165" s="360"/>
      <c r="O165" s="360"/>
      <c r="P165" s="360"/>
      <c r="Q165" s="360"/>
      <c r="R165" s="360"/>
      <c r="S165" s="360"/>
      <c r="T165" s="360"/>
      <c r="U165" s="360"/>
      <c r="V165" s="360"/>
      <c r="W165" s="360"/>
      <c r="X165" s="360"/>
      <c r="Y165" s="360"/>
      <c r="Z165" s="360"/>
    </row>
    <row r="166" spans="1:26" ht="15.75" customHeight="1">
      <c r="A166" s="360"/>
      <c r="B166" s="360"/>
      <c r="C166" s="360"/>
      <c r="D166" s="360"/>
      <c r="E166" s="360"/>
      <c r="F166" s="360"/>
      <c r="G166" s="360"/>
      <c r="H166" s="360"/>
      <c r="I166" s="360"/>
      <c r="J166" s="360"/>
      <c r="K166" s="360"/>
      <c r="L166" s="360"/>
      <c r="M166" s="360"/>
      <c r="N166" s="360"/>
      <c r="O166" s="360"/>
      <c r="P166" s="360"/>
      <c r="Q166" s="360"/>
      <c r="R166" s="360"/>
      <c r="S166" s="360"/>
      <c r="T166" s="360"/>
      <c r="U166" s="360"/>
      <c r="V166" s="360"/>
      <c r="W166" s="360"/>
      <c r="X166" s="360"/>
      <c r="Y166" s="360"/>
      <c r="Z166" s="360"/>
    </row>
    <row r="167" spans="1:26" ht="15.75" customHeight="1">
      <c r="A167" s="360"/>
      <c r="B167" s="360"/>
      <c r="C167" s="360"/>
      <c r="D167" s="360"/>
      <c r="E167" s="360"/>
      <c r="F167" s="360"/>
      <c r="G167" s="360"/>
      <c r="H167" s="360"/>
      <c r="I167" s="360"/>
      <c r="J167" s="360"/>
      <c r="K167" s="360"/>
      <c r="L167" s="360"/>
      <c r="M167" s="360"/>
      <c r="N167" s="360"/>
      <c r="O167" s="360"/>
      <c r="P167" s="360"/>
      <c r="Q167" s="360"/>
      <c r="R167" s="360"/>
      <c r="S167" s="360"/>
      <c r="T167" s="360"/>
      <c r="U167" s="360"/>
      <c r="V167" s="360"/>
      <c r="W167" s="360"/>
      <c r="X167" s="360"/>
      <c r="Y167" s="360"/>
      <c r="Z167" s="360"/>
    </row>
    <row r="168" spans="1:26" ht="15.75" customHeight="1">
      <c r="A168" s="360"/>
      <c r="B168" s="360"/>
      <c r="C168" s="360"/>
      <c r="D168" s="360"/>
      <c r="E168" s="360"/>
      <c r="F168" s="360"/>
      <c r="G168" s="360"/>
      <c r="H168" s="360"/>
      <c r="I168" s="360"/>
      <c r="J168" s="360"/>
      <c r="K168" s="360"/>
      <c r="L168" s="360"/>
      <c r="M168" s="360"/>
      <c r="N168" s="360"/>
      <c r="O168" s="360"/>
      <c r="P168" s="360"/>
      <c r="Q168" s="360"/>
      <c r="R168" s="360"/>
      <c r="S168" s="360"/>
      <c r="T168" s="360"/>
      <c r="U168" s="360"/>
      <c r="V168" s="360"/>
      <c r="W168" s="360"/>
      <c r="X168" s="360"/>
      <c r="Y168" s="360"/>
      <c r="Z168" s="360"/>
    </row>
    <row r="169" spans="1:26" ht="15.75" customHeight="1">
      <c r="A169" s="360"/>
      <c r="B169" s="360"/>
      <c r="C169" s="360"/>
      <c r="D169" s="360"/>
      <c r="E169" s="360"/>
      <c r="F169" s="360"/>
      <c r="G169" s="360"/>
      <c r="H169" s="360"/>
      <c r="I169" s="360"/>
      <c r="J169" s="360"/>
      <c r="K169" s="360"/>
      <c r="L169" s="360"/>
      <c r="M169" s="360"/>
      <c r="N169" s="360"/>
      <c r="O169" s="360"/>
      <c r="P169" s="360"/>
      <c r="Q169" s="360"/>
      <c r="R169" s="360"/>
      <c r="S169" s="360"/>
      <c r="T169" s="360"/>
      <c r="U169" s="360"/>
      <c r="V169" s="360"/>
      <c r="W169" s="360"/>
      <c r="X169" s="360"/>
      <c r="Y169" s="360"/>
      <c r="Z169" s="360"/>
    </row>
    <row r="170" spans="1:26" ht="15.75" customHeight="1">
      <c r="A170" s="360"/>
      <c r="B170" s="360"/>
      <c r="C170" s="360"/>
      <c r="D170" s="360"/>
      <c r="E170" s="360"/>
      <c r="F170" s="360"/>
      <c r="G170" s="360"/>
      <c r="H170" s="360"/>
      <c r="I170" s="360"/>
      <c r="J170" s="360"/>
      <c r="K170" s="360"/>
      <c r="L170" s="360"/>
      <c r="M170" s="360"/>
      <c r="N170" s="360"/>
      <c r="O170" s="360"/>
      <c r="P170" s="360"/>
      <c r="Q170" s="360"/>
      <c r="R170" s="360"/>
      <c r="S170" s="360"/>
      <c r="T170" s="360"/>
      <c r="U170" s="360"/>
      <c r="V170" s="360"/>
      <c r="W170" s="360"/>
      <c r="X170" s="360"/>
      <c r="Y170" s="360"/>
      <c r="Z170" s="360"/>
    </row>
    <row r="171" spans="1:26" ht="15.75" customHeight="1">
      <c r="A171" s="360"/>
      <c r="B171" s="360"/>
      <c r="C171" s="360"/>
      <c r="D171" s="360"/>
      <c r="E171" s="360"/>
      <c r="F171" s="360"/>
      <c r="G171" s="360"/>
      <c r="H171" s="360"/>
      <c r="I171" s="360"/>
      <c r="J171" s="360"/>
      <c r="K171" s="360"/>
      <c r="L171" s="360"/>
      <c r="M171" s="360"/>
      <c r="N171" s="360"/>
      <c r="O171" s="360"/>
      <c r="P171" s="360"/>
      <c r="Q171" s="360"/>
      <c r="R171" s="360"/>
      <c r="S171" s="360"/>
      <c r="T171" s="360"/>
      <c r="U171" s="360"/>
      <c r="V171" s="360"/>
      <c r="W171" s="360"/>
      <c r="X171" s="360"/>
      <c r="Y171" s="360"/>
      <c r="Z171" s="360"/>
    </row>
    <row r="172" spans="1:26" ht="15.75" customHeight="1">
      <c r="A172" s="360"/>
      <c r="B172" s="360"/>
      <c r="C172" s="360"/>
      <c r="D172" s="360"/>
      <c r="E172" s="360"/>
      <c r="F172" s="360"/>
      <c r="G172" s="360"/>
      <c r="H172" s="360"/>
      <c r="I172" s="360"/>
      <c r="J172" s="360"/>
      <c r="K172" s="360"/>
      <c r="L172" s="360"/>
      <c r="M172" s="360"/>
      <c r="N172" s="360"/>
      <c r="O172" s="360"/>
      <c r="P172" s="360"/>
      <c r="Q172" s="360"/>
      <c r="R172" s="360"/>
      <c r="S172" s="360"/>
      <c r="T172" s="360"/>
      <c r="U172" s="360"/>
      <c r="V172" s="360"/>
      <c r="W172" s="360"/>
      <c r="X172" s="360"/>
      <c r="Y172" s="360"/>
      <c r="Z172" s="360"/>
    </row>
    <row r="173" spans="1:26" ht="15.75" customHeight="1">
      <c r="A173" s="360"/>
      <c r="B173" s="360"/>
      <c r="C173" s="360"/>
      <c r="D173" s="360"/>
      <c r="E173" s="360"/>
      <c r="F173" s="360"/>
      <c r="G173" s="360"/>
      <c r="H173" s="360"/>
      <c r="I173" s="360"/>
      <c r="J173" s="360"/>
      <c r="K173" s="360"/>
      <c r="L173" s="360"/>
      <c r="M173" s="360"/>
      <c r="N173" s="360"/>
      <c r="O173" s="360"/>
      <c r="P173" s="360"/>
      <c r="Q173" s="360"/>
      <c r="R173" s="360"/>
      <c r="S173" s="360"/>
      <c r="T173" s="360"/>
      <c r="U173" s="360"/>
      <c r="V173" s="360"/>
      <c r="W173" s="360"/>
      <c r="X173" s="360"/>
      <c r="Y173" s="360"/>
      <c r="Z173" s="360"/>
    </row>
    <row r="174" spans="1:26" ht="15.75" customHeight="1">
      <c r="A174" s="360"/>
      <c r="B174" s="360"/>
      <c r="C174" s="360"/>
      <c r="D174" s="360"/>
      <c r="E174" s="360"/>
      <c r="F174" s="360"/>
      <c r="G174" s="360"/>
      <c r="H174" s="360"/>
      <c r="I174" s="360"/>
      <c r="J174" s="360"/>
      <c r="K174" s="360"/>
      <c r="L174" s="360"/>
      <c r="M174" s="360"/>
      <c r="N174" s="360"/>
      <c r="O174" s="360"/>
      <c r="P174" s="360"/>
      <c r="Q174" s="360"/>
      <c r="R174" s="360"/>
      <c r="S174" s="360"/>
      <c r="T174" s="360"/>
      <c r="U174" s="360"/>
      <c r="V174" s="360"/>
      <c r="W174" s="360"/>
      <c r="X174" s="360"/>
      <c r="Y174" s="360"/>
      <c r="Z174" s="360"/>
    </row>
    <row r="175" spans="1:26" ht="15.75" customHeight="1">
      <c r="A175" s="360"/>
      <c r="B175" s="360"/>
      <c r="C175" s="360"/>
      <c r="D175" s="360"/>
      <c r="E175" s="360"/>
      <c r="F175" s="360"/>
      <c r="G175" s="360"/>
      <c r="H175" s="360"/>
      <c r="I175" s="360"/>
      <c r="J175" s="360"/>
      <c r="K175" s="360"/>
      <c r="L175" s="360"/>
      <c r="M175" s="360"/>
      <c r="N175" s="360"/>
      <c r="O175" s="360"/>
      <c r="P175" s="360"/>
      <c r="Q175" s="360"/>
      <c r="R175" s="360"/>
      <c r="S175" s="360"/>
      <c r="T175" s="360"/>
      <c r="U175" s="360"/>
      <c r="V175" s="360"/>
      <c r="W175" s="360"/>
      <c r="X175" s="360"/>
      <c r="Y175" s="360"/>
      <c r="Z175" s="360"/>
    </row>
    <row r="176" spans="1:26" ht="15.75" customHeight="1">
      <c r="A176" s="360"/>
      <c r="B176" s="360"/>
      <c r="C176" s="360"/>
      <c r="D176" s="360"/>
      <c r="E176" s="360"/>
      <c r="F176" s="360"/>
      <c r="G176" s="360"/>
      <c r="H176" s="360"/>
      <c r="I176" s="360"/>
      <c r="J176" s="360"/>
      <c r="K176" s="360"/>
      <c r="L176" s="360"/>
      <c r="M176" s="360"/>
      <c r="N176" s="360"/>
      <c r="O176" s="360"/>
      <c r="P176" s="360"/>
      <c r="Q176" s="360"/>
      <c r="R176" s="360"/>
      <c r="S176" s="360"/>
      <c r="T176" s="360"/>
      <c r="U176" s="360"/>
      <c r="V176" s="360"/>
      <c r="W176" s="360"/>
      <c r="X176" s="360"/>
      <c r="Y176" s="360"/>
      <c r="Z176" s="360"/>
    </row>
    <row r="177" spans="1:26" ht="15.75" customHeight="1">
      <c r="A177" s="360"/>
      <c r="B177" s="360"/>
      <c r="C177" s="360"/>
      <c r="D177" s="360"/>
      <c r="E177" s="360"/>
      <c r="F177" s="360"/>
      <c r="G177" s="360"/>
      <c r="H177" s="360"/>
      <c r="I177" s="360"/>
      <c r="J177" s="360"/>
      <c r="K177" s="360"/>
      <c r="L177" s="360"/>
      <c r="M177" s="360"/>
      <c r="N177" s="360"/>
      <c r="O177" s="360"/>
      <c r="P177" s="360"/>
      <c r="Q177" s="360"/>
      <c r="R177" s="360"/>
      <c r="S177" s="360"/>
      <c r="T177" s="360"/>
      <c r="U177" s="360"/>
      <c r="V177" s="360"/>
      <c r="W177" s="360"/>
      <c r="X177" s="360"/>
      <c r="Y177" s="360"/>
      <c r="Z177" s="360"/>
    </row>
    <row r="178" spans="1:26" ht="15.75" customHeight="1">
      <c r="A178" s="360"/>
      <c r="B178" s="360"/>
      <c r="C178" s="360"/>
      <c r="D178" s="360"/>
      <c r="E178" s="360"/>
      <c r="F178" s="360"/>
      <c r="G178" s="360"/>
      <c r="H178" s="360"/>
      <c r="I178" s="360"/>
      <c r="J178" s="360"/>
      <c r="K178" s="360"/>
      <c r="L178" s="360"/>
      <c r="M178" s="360"/>
      <c r="N178" s="360"/>
      <c r="O178" s="360"/>
      <c r="P178" s="360"/>
      <c r="Q178" s="360"/>
      <c r="R178" s="360"/>
      <c r="S178" s="360"/>
      <c r="T178" s="360"/>
      <c r="U178" s="360"/>
      <c r="V178" s="360"/>
      <c r="W178" s="360"/>
      <c r="X178" s="360"/>
      <c r="Y178" s="360"/>
      <c r="Z178" s="360"/>
    </row>
    <row r="179" spans="1:26" ht="15.75" customHeight="1">
      <c r="A179" s="360"/>
      <c r="B179" s="360"/>
      <c r="C179" s="360"/>
      <c r="D179" s="360"/>
      <c r="E179" s="360"/>
      <c r="F179" s="360"/>
      <c r="G179" s="360"/>
      <c r="H179" s="360"/>
      <c r="I179" s="360"/>
      <c r="J179" s="360"/>
      <c r="K179" s="360"/>
      <c r="L179" s="360"/>
      <c r="M179" s="360"/>
      <c r="N179" s="360"/>
      <c r="O179" s="360"/>
      <c r="P179" s="360"/>
      <c r="Q179" s="360"/>
      <c r="R179" s="360"/>
      <c r="S179" s="360"/>
      <c r="T179" s="360"/>
      <c r="U179" s="360"/>
      <c r="V179" s="360"/>
      <c r="W179" s="360"/>
      <c r="X179" s="360"/>
      <c r="Y179" s="360"/>
      <c r="Z179" s="360"/>
    </row>
    <row r="180" spans="1:26" ht="15.75" customHeight="1">
      <c r="A180" s="360"/>
      <c r="B180" s="360"/>
      <c r="C180" s="360"/>
      <c r="D180" s="360"/>
      <c r="E180" s="360"/>
      <c r="F180" s="360"/>
      <c r="G180" s="360"/>
      <c r="H180" s="360"/>
      <c r="I180" s="360"/>
      <c r="J180" s="360"/>
      <c r="K180" s="360"/>
      <c r="L180" s="360"/>
      <c r="M180" s="360"/>
      <c r="N180" s="360"/>
      <c r="O180" s="360"/>
      <c r="P180" s="360"/>
      <c r="Q180" s="360"/>
      <c r="R180" s="360"/>
      <c r="S180" s="360"/>
      <c r="T180" s="360"/>
      <c r="U180" s="360"/>
      <c r="V180" s="360"/>
      <c r="W180" s="360"/>
      <c r="X180" s="360"/>
      <c r="Y180" s="360"/>
      <c r="Z180" s="360"/>
    </row>
    <row r="181" spans="1:26" ht="15.75" customHeight="1">
      <c r="A181" s="360"/>
      <c r="B181" s="360"/>
      <c r="C181" s="360"/>
      <c r="D181" s="360"/>
      <c r="E181" s="360"/>
      <c r="F181" s="360"/>
      <c r="G181" s="360"/>
      <c r="H181" s="360"/>
      <c r="I181" s="360"/>
      <c r="J181" s="360"/>
      <c r="K181" s="360"/>
      <c r="L181" s="360"/>
      <c r="M181" s="360"/>
      <c r="N181" s="360"/>
      <c r="O181" s="360"/>
      <c r="P181" s="360"/>
      <c r="Q181" s="360"/>
      <c r="R181" s="360"/>
      <c r="S181" s="360"/>
      <c r="T181" s="360"/>
      <c r="U181" s="360"/>
      <c r="V181" s="360"/>
      <c r="W181" s="360"/>
      <c r="X181" s="360"/>
      <c r="Y181" s="360"/>
      <c r="Z181" s="360"/>
    </row>
    <row r="182" spans="1:26" ht="15.75" customHeight="1">
      <c r="A182" s="360"/>
      <c r="B182" s="360"/>
      <c r="C182" s="360"/>
      <c r="D182" s="360"/>
      <c r="E182" s="360"/>
      <c r="F182" s="360"/>
      <c r="G182" s="360"/>
      <c r="H182" s="360"/>
      <c r="I182" s="360"/>
      <c r="J182" s="360"/>
      <c r="K182" s="360"/>
      <c r="L182" s="360"/>
      <c r="M182" s="360"/>
      <c r="N182" s="360"/>
      <c r="O182" s="360"/>
      <c r="P182" s="360"/>
      <c r="Q182" s="360"/>
      <c r="R182" s="360"/>
      <c r="S182" s="360"/>
      <c r="T182" s="360"/>
      <c r="U182" s="360"/>
      <c r="V182" s="360"/>
      <c r="W182" s="360"/>
      <c r="X182" s="360"/>
      <c r="Y182" s="360"/>
      <c r="Z182" s="360"/>
    </row>
    <row r="183" spans="1:26" ht="15.75" customHeight="1">
      <c r="A183" s="360"/>
      <c r="B183" s="360"/>
      <c r="C183" s="360"/>
      <c r="D183" s="360"/>
      <c r="E183" s="360"/>
      <c r="F183" s="360"/>
      <c r="G183" s="360"/>
      <c r="H183" s="360"/>
      <c r="I183" s="360"/>
      <c r="J183" s="360"/>
      <c r="K183" s="360"/>
      <c r="L183" s="360"/>
      <c r="M183" s="360"/>
      <c r="N183" s="360"/>
      <c r="O183" s="360"/>
      <c r="P183" s="360"/>
      <c r="Q183" s="360"/>
      <c r="R183" s="360"/>
      <c r="S183" s="360"/>
      <c r="T183" s="360"/>
      <c r="U183" s="360"/>
      <c r="V183" s="360"/>
      <c r="W183" s="360"/>
      <c r="X183" s="360"/>
      <c r="Y183" s="360"/>
      <c r="Z183" s="360"/>
    </row>
    <row r="184" spans="1:26" ht="15.75" customHeight="1">
      <c r="A184" s="360"/>
      <c r="B184" s="360"/>
      <c r="C184" s="360"/>
      <c r="D184" s="360"/>
      <c r="E184" s="360"/>
      <c r="F184" s="360"/>
      <c r="G184" s="360"/>
      <c r="H184" s="360"/>
      <c r="I184" s="360"/>
      <c r="J184" s="360"/>
      <c r="K184" s="360"/>
      <c r="L184" s="360"/>
      <c r="M184" s="360"/>
      <c r="N184" s="360"/>
      <c r="O184" s="360"/>
      <c r="P184" s="360"/>
      <c r="Q184" s="360"/>
      <c r="R184" s="360"/>
      <c r="S184" s="360"/>
      <c r="T184" s="360"/>
      <c r="U184" s="360"/>
      <c r="V184" s="360"/>
      <c r="W184" s="360"/>
      <c r="X184" s="360"/>
      <c r="Y184" s="360"/>
      <c r="Z184" s="360"/>
    </row>
    <row r="185" spans="1:26" ht="15.75" customHeight="1">
      <c r="A185" s="360"/>
      <c r="B185" s="360"/>
      <c r="C185" s="360"/>
      <c r="D185" s="360"/>
      <c r="E185" s="360"/>
      <c r="F185" s="360"/>
      <c r="G185" s="360"/>
      <c r="H185" s="360"/>
      <c r="I185" s="360"/>
      <c r="J185" s="360"/>
      <c r="K185" s="360"/>
      <c r="L185" s="360"/>
      <c r="M185" s="360"/>
      <c r="N185" s="360"/>
      <c r="O185" s="360"/>
      <c r="P185" s="360"/>
      <c r="Q185" s="360"/>
      <c r="R185" s="360"/>
      <c r="S185" s="360"/>
      <c r="T185" s="360"/>
      <c r="U185" s="360"/>
      <c r="V185" s="360"/>
      <c r="W185" s="360"/>
      <c r="X185" s="360"/>
      <c r="Y185" s="360"/>
      <c r="Z185" s="360"/>
    </row>
    <row r="186" spans="1:26" ht="15.75" customHeight="1">
      <c r="A186" s="360"/>
      <c r="B186" s="360"/>
      <c r="C186" s="360"/>
      <c r="D186" s="360"/>
      <c r="E186" s="360"/>
      <c r="F186" s="360"/>
      <c r="G186" s="360"/>
      <c r="H186" s="360"/>
      <c r="I186" s="360"/>
      <c r="J186" s="360"/>
      <c r="K186" s="360"/>
      <c r="L186" s="360"/>
      <c r="M186" s="360"/>
      <c r="N186" s="360"/>
      <c r="O186" s="360"/>
      <c r="P186" s="360"/>
      <c r="Q186" s="360"/>
      <c r="R186" s="360"/>
      <c r="S186" s="360"/>
      <c r="T186" s="360"/>
      <c r="U186" s="360"/>
      <c r="V186" s="360"/>
      <c r="W186" s="360"/>
      <c r="X186" s="360"/>
      <c r="Y186" s="360"/>
      <c r="Z186" s="360"/>
    </row>
    <row r="187" spans="1:26" ht="15.75" customHeight="1">
      <c r="A187" s="360"/>
      <c r="B187" s="360"/>
      <c r="C187" s="360"/>
      <c r="D187" s="360"/>
      <c r="E187" s="360"/>
      <c r="F187" s="360"/>
      <c r="G187" s="360"/>
      <c r="H187" s="360"/>
      <c r="I187" s="360"/>
      <c r="J187" s="360"/>
      <c r="K187" s="360"/>
      <c r="L187" s="360"/>
      <c r="M187" s="360"/>
      <c r="N187" s="360"/>
      <c r="O187" s="360"/>
      <c r="P187" s="360"/>
      <c r="Q187" s="360"/>
      <c r="R187" s="360"/>
      <c r="S187" s="360"/>
      <c r="T187" s="360"/>
      <c r="U187" s="360"/>
      <c r="V187" s="360"/>
      <c r="W187" s="360"/>
      <c r="X187" s="360"/>
      <c r="Y187" s="360"/>
      <c r="Z187" s="360"/>
    </row>
    <row r="188" spans="1:26" ht="15.75" customHeight="1">
      <c r="A188" s="360"/>
      <c r="B188" s="360"/>
      <c r="C188" s="360"/>
      <c r="D188" s="360"/>
      <c r="E188" s="360"/>
      <c r="F188" s="360"/>
      <c r="G188" s="360"/>
      <c r="H188" s="360"/>
      <c r="I188" s="360"/>
      <c r="J188" s="360"/>
      <c r="K188" s="360"/>
      <c r="L188" s="360"/>
      <c r="M188" s="360"/>
      <c r="N188" s="360"/>
      <c r="O188" s="360"/>
      <c r="P188" s="360"/>
      <c r="Q188" s="360"/>
      <c r="R188" s="360"/>
      <c r="S188" s="360"/>
      <c r="T188" s="360"/>
      <c r="U188" s="360"/>
      <c r="V188" s="360"/>
      <c r="W188" s="360"/>
      <c r="X188" s="360"/>
      <c r="Y188" s="360"/>
      <c r="Z188" s="360"/>
    </row>
    <row r="189" spans="1:26" ht="15.75" customHeight="1">
      <c r="A189" s="360"/>
      <c r="B189" s="360"/>
      <c r="C189" s="360"/>
      <c r="D189" s="360"/>
      <c r="E189" s="360"/>
      <c r="F189" s="360"/>
      <c r="G189" s="360"/>
      <c r="H189" s="360"/>
      <c r="I189" s="360"/>
      <c r="J189" s="360"/>
      <c r="K189" s="360"/>
      <c r="L189" s="360"/>
      <c r="M189" s="360"/>
      <c r="N189" s="360"/>
      <c r="O189" s="360"/>
      <c r="P189" s="360"/>
      <c r="Q189" s="360"/>
      <c r="R189" s="360"/>
      <c r="S189" s="360"/>
      <c r="T189" s="360"/>
      <c r="U189" s="360"/>
      <c r="V189" s="360"/>
      <c r="W189" s="360"/>
      <c r="X189" s="360"/>
      <c r="Y189" s="360"/>
      <c r="Z189" s="360"/>
    </row>
    <row r="190" spans="1:26" ht="15.75" customHeight="1">
      <c r="A190" s="360"/>
      <c r="B190" s="360"/>
      <c r="C190" s="360"/>
      <c r="D190" s="360"/>
      <c r="E190" s="360"/>
      <c r="F190" s="360"/>
      <c r="G190" s="360"/>
      <c r="H190" s="360"/>
      <c r="I190" s="360"/>
      <c r="J190" s="360"/>
      <c r="K190" s="360"/>
      <c r="L190" s="360"/>
      <c r="M190" s="360"/>
      <c r="N190" s="360"/>
      <c r="O190" s="360"/>
      <c r="P190" s="360"/>
      <c r="Q190" s="360"/>
      <c r="R190" s="360"/>
      <c r="S190" s="360"/>
      <c r="T190" s="360"/>
      <c r="U190" s="360"/>
      <c r="V190" s="360"/>
      <c r="W190" s="360"/>
      <c r="X190" s="360"/>
      <c r="Y190" s="360"/>
      <c r="Z190" s="360"/>
    </row>
    <row r="191" spans="1:26" ht="15.75" customHeight="1">
      <c r="A191" s="360"/>
      <c r="B191" s="360"/>
      <c r="C191" s="360"/>
      <c r="D191" s="360"/>
      <c r="E191" s="360"/>
      <c r="F191" s="360"/>
      <c r="G191" s="360"/>
      <c r="H191" s="360"/>
      <c r="I191" s="360"/>
      <c r="J191" s="360"/>
      <c r="K191" s="360"/>
      <c r="L191" s="360"/>
      <c r="M191" s="360"/>
      <c r="N191" s="360"/>
      <c r="O191" s="360"/>
      <c r="P191" s="360"/>
      <c r="Q191" s="360"/>
      <c r="R191" s="360"/>
      <c r="S191" s="360"/>
      <c r="T191" s="360"/>
      <c r="U191" s="360"/>
      <c r="V191" s="360"/>
      <c r="W191" s="360"/>
      <c r="X191" s="360"/>
      <c r="Y191" s="360"/>
      <c r="Z191" s="360"/>
    </row>
    <row r="192" spans="1:26" ht="15.75" customHeight="1">
      <c r="A192" s="360"/>
      <c r="B192" s="360"/>
      <c r="C192" s="360"/>
      <c r="D192" s="360"/>
      <c r="E192" s="360"/>
      <c r="F192" s="360"/>
      <c r="G192" s="360"/>
      <c r="H192" s="360"/>
      <c r="I192" s="360"/>
      <c r="J192" s="360"/>
      <c r="K192" s="360"/>
      <c r="L192" s="360"/>
      <c r="M192" s="360"/>
      <c r="N192" s="360"/>
      <c r="O192" s="360"/>
      <c r="P192" s="360"/>
      <c r="Q192" s="360"/>
      <c r="R192" s="360"/>
      <c r="S192" s="360"/>
      <c r="T192" s="360"/>
      <c r="U192" s="360"/>
      <c r="V192" s="360"/>
      <c r="W192" s="360"/>
      <c r="X192" s="360"/>
      <c r="Y192" s="360"/>
      <c r="Z192" s="360"/>
    </row>
    <row r="193" spans="1:26" ht="15.75" customHeight="1">
      <c r="A193" s="360"/>
      <c r="B193" s="360"/>
      <c r="C193" s="360"/>
      <c r="D193" s="360"/>
      <c r="E193" s="360"/>
      <c r="F193" s="360"/>
      <c r="G193" s="360"/>
      <c r="H193" s="360"/>
      <c r="I193" s="360"/>
      <c r="J193" s="360"/>
      <c r="K193" s="360"/>
      <c r="L193" s="360"/>
      <c r="M193" s="360"/>
      <c r="N193" s="360"/>
      <c r="O193" s="360"/>
      <c r="P193" s="360"/>
      <c r="Q193" s="360"/>
      <c r="R193" s="360"/>
      <c r="S193" s="360"/>
      <c r="T193" s="360"/>
      <c r="U193" s="360"/>
      <c r="V193" s="360"/>
      <c r="W193" s="360"/>
      <c r="X193" s="360"/>
      <c r="Y193" s="360"/>
      <c r="Z193" s="360"/>
    </row>
    <row r="194" spans="1:26" ht="15.75" customHeight="1">
      <c r="A194" s="360"/>
      <c r="B194" s="360"/>
      <c r="C194" s="360"/>
      <c r="D194" s="360"/>
      <c r="E194" s="360"/>
      <c r="F194" s="360"/>
      <c r="G194" s="360"/>
      <c r="H194" s="360"/>
      <c r="I194" s="360"/>
      <c r="J194" s="360"/>
      <c r="K194" s="360"/>
      <c r="L194" s="360"/>
      <c r="M194" s="360"/>
      <c r="N194" s="360"/>
      <c r="O194" s="360"/>
      <c r="P194" s="360"/>
      <c r="Q194" s="360"/>
      <c r="R194" s="360"/>
      <c r="S194" s="360"/>
      <c r="T194" s="360"/>
      <c r="U194" s="360"/>
      <c r="V194" s="360"/>
      <c r="W194" s="360"/>
      <c r="X194" s="360"/>
      <c r="Y194" s="360"/>
      <c r="Z194" s="360"/>
    </row>
    <row r="195" spans="1:26" ht="15.75" customHeight="1">
      <c r="A195" s="360"/>
      <c r="B195" s="360"/>
      <c r="C195" s="360"/>
      <c r="D195" s="360"/>
      <c r="E195" s="360"/>
      <c r="F195" s="360"/>
      <c r="G195" s="360"/>
      <c r="H195" s="360"/>
      <c r="I195" s="360"/>
      <c r="J195" s="360"/>
      <c r="K195" s="360"/>
      <c r="L195" s="360"/>
      <c r="M195" s="360"/>
      <c r="N195" s="360"/>
      <c r="O195" s="360"/>
      <c r="P195" s="360"/>
      <c r="Q195" s="360"/>
      <c r="R195" s="360"/>
      <c r="S195" s="360"/>
      <c r="T195" s="360"/>
      <c r="U195" s="360"/>
      <c r="V195" s="360"/>
      <c r="W195" s="360"/>
      <c r="X195" s="360"/>
      <c r="Y195" s="360"/>
      <c r="Z195" s="360"/>
    </row>
    <row r="196" spans="1:26" ht="15.75" customHeight="1">
      <c r="A196" s="360"/>
      <c r="B196" s="360"/>
      <c r="C196" s="360"/>
      <c r="D196" s="360"/>
      <c r="E196" s="360"/>
      <c r="F196" s="360"/>
      <c r="G196" s="360"/>
      <c r="H196" s="360"/>
      <c r="I196" s="360"/>
      <c r="J196" s="360"/>
      <c r="K196" s="360"/>
      <c r="L196" s="360"/>
      <c r="M196" s="360"/>
      <c r="N196" s="360"/>
      <c r="O196" s="360"/>
      <c r="P196" s="360"/>
      <c r="Q196" s="360"/>
      <c r="R196" s="360"/>
      <c r="S196" s="360"/>
      <c r="T196" s="360"/>
      <c r="U196" s="360"/>
      <c r="V196" s="360"/>
      <c r="W196" s="360"/>
      <c r="X196" s="360"/>
      <c r="Y196" s="360"/>
      <c r="Z196" s="360"/>
    </row>
    <row r="197" spans="1:26" ht="15.75" customHeight="1">
      <c r="A197" s="360"/>
      <c r="B197" s="360"/>
      <c r="C197" s="360"/>
      <c r="D197" s="360"/>
      <c r="E197" s="360"/>
      <c r="F197" s="360"/>
      <c r="G197" s="360"/>
      <c r="H197" s="360"/>
      <c r="I197" s="360"/>
      <c r="J197" s="360"/>
      <c r="K197" s="360"/>
      <c r="L197" s="360"/>
      <c r="M197" s="360"/>
      <c r="N197" s="360"/>
      <c r="O197" s="360"/>
      <c r="P197" s="360"/>
      <c r="Q197" s="360"/>
      <c r="R197" s="360"/>
      <c r="S197" s="360"/>
      <c r="T197" s="360"/>
      <c r="U197" s="360"/>
      <c r="V197" s="360"/>
      <c r="W197" s="360"/>
      <c r="X197" s="360"/>
      <c r="Y197" s="360"/>
      <c r="Z197" s="360"/>
    </row>
    <row r="198" spans="1:26" ht="15.75" customHeight="1">
      <c r="A198" s="360"/>
      <c r="B198" s="360"/>
      <c r="C198" s="360"/>
      <c r="D198" s="360"/>
      <c r="E198" s="360"/>
      <c r="F198" s="360"/>
      <c r="G198" s="360"/>
      <c r="H198" s="360"/>
      <c r="I198" s="360"/>
      <c r="J198" s="360"/>
      <c r="K198" s="360"/>
      <c r="L198" s="360"/>
      <c r="M198" s="360"/>
      <c r="N198" s="360"/>
      <c r="O198" s="360"/>
      <c r="P198" s="360"/>
      <c r="Q198" s="360"/>
      <c r="R198" s="360"/>
      <c r="S198" s="360"/>
      <c r="T198" s="360"/>
      <c r="U198" s="360"/>
      <c r="V198" s="360"/>
      <c r="W198" s="360"/>
      <c r="X198" s="360"/>
      <c r="Y198" s="360"/>
      <c r="Z198" s="360"/>
    </row>
    <row r="199" spans="1:26" ht="15.75" customHeight="1">
      <c r="A199" s="360"/>
      <c r="B199" s="360"/>
      <c r="C199" s="360"/>
      <c r="D199" s="360"/>
      <c r="E199" s="360"/>
      <c r="F199" s="360"/>
      <c r="G199" s="360"/>
      <c r="H199" s="360"/>
      <c r="I199" s="360"/>
      <c r="J199" s="360"/>
      <c r="K199" s="360"/>
      <c r="L199" s="360"/>
      <c r="M199" s="360"/>
      <c r="N199" s="360"/>
      <c r="O199" s="360"/>
      <c r="P199" s="360"/>
      <c r="Q199" s="360"/>
      <c r="R199" s="360"/>
      <c r="S199" s="360"/>
      <c r="T199" s="360"/>
      <c r="U199" s="360"/>
      <c r="V199" s="360"/>
      <c r="W199" s="360"/>
      <c r="X199" s="360"/>
      <c r="Y199" s="360"/>
      <c r="Z199" s="360"/>
    </row>
    <row r="200" spans="1:26" ht="15.75" customHeight="1">
      <c r="A200" s="360"/>
      <c r="B200" s="360"/>
      <c r="C200" s="360"/>
      <c r="D200" s="360"/>
      <c r="E200" s="360"/>
      <c r="F200" s="360"/>
      <c r="G200" s="360"/>
      <c r="H200" s="360"/>
      <c r="I200" s="360"/>
      <c r="J200" s="360"/>
      <c r="K200" s="360"/>
      <c r="L200" s="360"/>
      <c r="M200" s="360"/>
      <c r="N200" s="360"/>
      <c r="O200" s="360"/>
      <c r="P200" s="360"/>
      <c r="Q200" s="360"/>
      <c r="R200" s="360"/>
      <c r="S200" s="360"/>
      <c r="T200" s="360"/>
      <c r="U200" s="360"/>
      <c r="V200" s="360"/>
      <c r="W200" s="360"/>
      <c r="X200" s="360"/>
      <c r="Y200" s="360"/>
      <c r="Z200" s="360"/>
    </row>
    <row r="201" spans="1:26" ht="15.75" customHeight="1">
      <c r="A201" s="360"/>
      <c r="B201" s="360"/>
      <c r="C201" s="360"/>
      <c r="D201" s="360"/>
      <c r="E201" s="360"/>
      <c r="F201" s="360"/>
      <c r="G201" s="360"/>
      <c r="H201" s="360"/>
      <c r="I201" s="360"/>
      <c r="J201" s="360"/>
      <c r="K201" s="360"/>
      <c r="L201" s="360"/>
      <c r="M201" s="360"/>
      <c r="N201" s="360"/>
      <c r="O201" s="360"/>
      <c r="P201" s="360"/>
      <c r="Q201" s="360"/>
      <c r="R201" s="360"/>
      <c r="S201" s="360"/>
      <c r="T201" s="360"/>
      <c r="U201" s="360"/>
      <c r="V201" s="360"/>
      <c r="W201" s="360"/>
      <c r="X201" s="360"/>
      <c r="Y201" s="360"/>
      <c r="Z201" s="360"/>
    </row>
    <row r="202" spans="1:26" ht="15.75" customHeight="1">
      <c r="A202" s="360"/>
      <c r="B202" s="360"/>
      <c r="C202" s="360"/>
      <c r="D202" s="360"/>
      <c r="E202" s="360"/>
      <c r="F202" s="360"/>
      <c r="G202" s="360"/>
      <c r="H202" s="360"/>
      <c r="I202" s="360"/>
      <c r="J202" s="360"/>
      <c r="K202" s="360"/>
      <c r="L202" s="360"/>
      <c r="M202" s="360"/>
      <c r="N202" s="360"/>
      <c r="O202" s="360"/>
      <c r="P202" s="360"/>
      <c r="Q202" s="360"/>
      <c r="R202" s="360"/>
      <c r="S202" s="360"/>
      <c r="T202" s="360"/>
      <c r="U202" s="360"/>
      <c r="V202" s="360"/>
      <c r="W202" s="360"/>
      <c r="X202" s="360"/>
      <c r="Y202" s="360"/>
      <c r="Z202" s="360"/>
    </row>
    <row r="203" spans="1:26" ht="15.75" customHeight="1">
      <c r="A203" s="360"/>
      <c r="B203" s="360"/>
      <c r="C203" s="360"/>
      <c r="D203" s="360"/>
      <c r="E203" s="360"/>
      <c r="F203" s="360"/>
      <c r="G203" s="360"/>
      <c r="H203" s="360"/>
      <c r="I203" s="360"/>
      <c r="J203" s="360"/>
      <c r="K203" s="360"/>
      <c r="L203" s="360"/>
      <c r="M203" s="360"/>
      <c r="N203" s="360"/>
      <c r="O203" s="360"/>
      <c r="P203" s="360"/>
      <c r="Q203" s="360"/>
      <c r="R203" s="360"/>
      <c r="S203" s="360"/>
      <c r="T203" s="360"/>
      <c r="U203" s="360"/>
      <c r="V203" s="360"/>
      <c r="W203" s="360"/>
      <c r="X203" s="360"/>
      <c r="Y203" s="360"/>
      <c r="Z203" s="360"/>
    </row>
    <row r="204" spans="1:26" ht="15.75" customHeight="1">
      <c r="A204" s="360"/>
      <c r="B204" s="360"/>
      <c r="C204" s="360"/>
      <c r="D204" s="360"/>
      <c r="E204" s="360"/>
      <c r="F204" s="360"/>
      <c r="G204" s="360"/>
      <c r="H204" s="360"/>
      <c r="I204" s="360"/>
      <c r="J204" s="360"/>
      <c r="K204" s="360"/>
      <c r="L204" s="360"/>
      <c r="M204" s="360"/>
      <c r="N204" s="360"/>
      <c r="O204" s="360"/>
      <c r="P204" s="360"/>
      <c r="Q204" s="360"/>
      <c r="R204" s="360"/>
      <c r="S204" s="360"/>
      <c r="T204" s="360"/>
      <c r="U204" s="360"/>
      <c r="V204" s="360"/>
      <c r="W204" s="360"/>
      <c r="X204" s="360"/>
      <c r="Y204" s="360"/>
      <c r="Z204" s="360"/>
    </row>
    <row r="205" spans="1:26" ht="15.75" customHeight="1">
      <c r="A205" s="360"/>
      <c r="B205" s="360"/>
      <c r="C205" s="360"/>
      <c r="D205" s="360"/>
      <c r="E205" s="360"/>
      <c r="F205" s="360"/>
      <c r="G205" s="360"/>
      <c r="H205" s="360"/>
      <c r="I205" s="360"/>
      <c r="J205" s="360"/>
      <c r="K205" s="360"/>
      <c r="L205" s="360"/>
      <c r="M205" s="360"/>
      <c r="N205" s="360"/>
      <c r="O205" s="360"/>
      <c r="P205" s="360"/>
      <c r="Q205" s="360"/>
      <c r="R205" s="360"/>
      <c r="S205" s="360"/>
      <c r="T205" s="360"/>
      <c r="U205" s="360"/>
      <c r="V205" s="360"/>
      <c r="W205" s="360"/>
      <c r="X205" s="360"/>
      <c r="Y205" s="360"/>
      <c r="Z205" s="360"/>
    </row>
    <row r="206" spans="1:26" ht="15.75" customHeight="1">
      <c r="A206" s="360"/>
      <c r="B206" s="360"/>
      <c r="C206" s="360"/>
      <c r="D206" s="360"/>
      <c r="E206" s="360"/>
      <c r="F206" s="360"/>
      <c r="G206" s="360"/>
      <c r="H206" s="360"/>
      <c r="I206" s="360"/>
      <c r="J206" s="360"/>
      <c r="K206" s="360"/>
      <c r="L206" s="360"/>
      <c r="M206" s="360"/>
      <c r="N206" s="360"/>
      <c r="O206" s="360"/>
      <c r="P206" s="360"/>
      <c r="Q206" s="360"/>
      <c r="R206" s="360"/>
      <c r="S206" s="360"/>
      <c r="T206" s="360"/>
      <c r="U206" s="360"/>
      <c r="V206" s="360"/>
      <c r="W206" s="360"/>
      <c r="X206" s="360"/>
      <c r="Y206" s="360"/>
      <c r="Z206" s="360"/>
    </row>
    <row r="207" spans="1:26" ht="15.75" customHeight="1">
      <c r="A207" s="360"/>
      <c r="B207" s="360"/>
      <c r="C207" s="360"/>
      <c r="D207" s="360"/>
      <c r="E207" s="360"/>
      <c r="F207" s="360"/>
      <c r="G207" s="360"/>
      <c r="H207" s="360"/>
      <c r="I207" s="360"/>
      <c r="J207" s="360"/>
      <c r="K207" s="360"/>
      <c r="L207" s="360"/>
      <c r="M207" s="360"/>
      <c r="N207" s="360"/>
      <c r="O207" s="360"/>
      <c r="P207" s="360"/>
      <c r="Q207" s="360"/>
      <c r="R207" s="360"/>
      <c r="S207" s="360"/>
      <c r="T207" s="360"/>
      <c r="U207" s="360"/>
      <c r="V207" s="360"/>
      <c r="W207" s="360"/>
      <c r="X207" s="360"/>
      <c r="Y207" s="360"/>
      <c r="Z207" s="360"/>
    </row>
    <row r="208" spans="1:26" ht="15.75" customHeight="1">
      <c r="A208" s="360"/>
      <c r="B208" s="360"/>
      <c r="C208" s="360"/>
      <c r="D208" s="360"/>
      <c r="E208" s="360"/>
      <c r="F208" s="360"/>
      <c r="G208" s="360"/>
      <c r="H208" s="360"/>
      <c r="I208" s="360"/>
      <c r="J208" s="360"/>
      <c r="K208" s="360"/>
      <c r="L208" s="360"/>
      <c r="M208" s="360"/>
      <c r="N208" s="360"/>
      <c r="O208" s="360"/>
      <c r="P208" s="360"/>
      <c r="Q208" s="360"/>
      <c r="R208" s="360"/>
      <c r="S208" s="360"/>
      <c r="T208" s="360"/>
      <c r="U208" s="360"/>
      <c r="V208" s="360"/>
      <c r="W208" s="360"/>
      <c r="X208" s="360"/>
      <c r="Y208" s="360"/>
      <c r="Z208" s="360"/>
    </row>
    <row r="209" spans="1:26" ht="15.75" customHeight="1">
      <c r="A209" s="360"/>
      <c r="B209" s="360"/>
      <c r="C209" s="360"/>
      <c r="D209" s="360"/>
      <c r="E209" s="360"/>
      <c r="F209" s="360"/>
      <c r="G209" s="360"/>
      <c r="H209" s="360"/>
      <c r="I209" s="360"/>
      <c r="J209" s="360"/>
      <c r="K209" s="360"/>
      <c r="L209" s="360"/>
      <c r="M209" s="360"/>
      <c r="N209" s="360"/>
      <c r="O209" s="360"/>
      <c r="P209" s="360"/>
      <c r="Q209" s="360"/>
      <c r="R209" s="360"/>
      <c r="S209" s="360"/>
      <c r="T209" s="360"/>
      <c r="U209" s="360"/>
      <c r="V209" s="360"/>
      <c r="W209" s="360"/>
      <c r="X209" s="360"/>
      <c r="Y209" s="360"/>
      <c r="Z209" s="360"/>
    </row>
    <row r="210" spans="1:26" ht="15.75" customHeight="1">
      <c r="A210" s="360"/>
      <c r="B210" s="360"/>
      <c r="C210" s="360"/>
      <c r="D210" s="360"/>
      <c r="E210" s="360"/>
      <c r="F210" s="360"/>
      <c r="G210" s="360"/>
      <c r="H210" s="360"/>
      <c r="I210" s="360"/>
      <c r="J210" s="360"/>
      <c r="K210" s="360"/>
      <c r="L210" s="360"/>
      <c r="M210" s="360"/>
      <c r="N210" s="360"/>
      <c r="O210" s="360"/>
      <c r="P210" s="360"/>
      <c r="Q210" s="360"/>
      <c r="R210" s="360"/>
      <c r="S210" s="360"/>
      <c r="T210" s="360"/>
      <c r="U210" s="360"/>
      <c r="V210" s="360"/>
      <c r="W210" s="360"/>
      <c r="X210" s="360"/>
      <c r="Y210" s="360"/>
      <c r="Z210" s="360"/>
    </row>
    <row r="211" spans="1:26" ht="15.75" customHeight="1">
      <c r="A211" s="360"/>
      <c r="B211" s="360"/>
      <c r="C211" s="360"/>
      <c r="D211" s="360"/>
      <c r="E211" s="360"/>
      <c r="F211" s="360"/>
      <c r="G211" s="360"/>
      <c r="H211" s="360"/>
      <c r="I211" s="360"/>
      <c r="J211" s="360"/>
      <c r="K211" s="360"/>
      <c r="L211" s="360"/>
      <c r="M211" s="360"/>
      <c r="N211" s="360"/>
      <c r="O211" s="360"/>
      <c r="P211" s="360"/>
      <c r="Q211" s="360"/>
      <c r="R211" s="360"/>
      <c r="S211" s="360"/>
      <c r="T211" s="360"/>
      <c r="U211" s="360"/>
      <c r="V211" s="360"/>
      <c r="W211" s="360"/>
      <c r="X211" s="360"/>
      <c r="Y211" s="360"/>
      <c r="Z211" s="360"/>
    </row>
    <row r="212" spans="1:26" ht="15.75" customHeight="1">
      <c r="A212" s="360"/>
      <c r="B212" s="360"/>
      <c r="C212" s="360"/>
      <c r="D212" s="360"/>
      <c r="E212" s="360"/>
      <c r="F212" s="360"/>
      <c r="G212" s="360"/>
      <c r="H212" s="360"/>
      <c r="I212" s="360"/>
      <c r="J212" s="360"/>
      <c r="K212" s="360"/>
      <c r="L212" s="360"/>
      <c r="M212" s="360"/>
      <c r="N212" s="360"/>
      <c r="O212" s="360"/>
      <c r="P212" s="360"/>
      <c r="Q212" s="360"/>
      <c r="R212" s="360"/>
      <c r="S212" s="360"/>
      <c r="T212" s="360"/>
      <c r="U212" s="360"/>
      <c r="V212" s="360"/>
      <c r="W212" s="360"/>
      <c r="X212" s="360"/>
      <c r="Y212" s="360"/>
      <c r="Z212" s="360"/>
    </row>
    <row r="213" spans="1:26" ht="15.75" customHeight="1">
      <c r="A213" s="360"/>
      <c r="B213" s="360"/>
      <c r="C213" s="360"/>
      <c r="D213" s="360"/>
      <c r="E213" s="360"/>
      <c r="F213" s="360"/>
      <c r="G213" s="360"/>
      <c r="H213" s="360"/>
      <c r="I213" s="360"/>
      <c r="J213" s="360"/>
      <c r="K213" s="360"/>
      <c r="L213" s="360"/>
      <c r="M213" s="360"/>
      <c r="N213" s="360"/>
      <c r="O213" s="360"/>
      <c r="P213" s="360"/>
      <c r="Q213" s="360"/>
      <c r="R213" s="360"/>
      <c r="S213" s="360"/>
      <c r="T213" s="360"/>
      <c r="U213" s="360"/>
      <c r="V213" s="360"/>
      <c r="W213" s="360"/>
      <c r="X213" s="360"/>
      <c r="Y213" s="360"/>
      <c r="Z213" s="360"/>
    </row>
    <row r="214" spans="1:26" ht="15.75" customHeight="1">
      <c r="A214" s="360"/>
      <c r="B214" s="360"/>
      <c r="C214" s="360"/>
      <c r="D214" s="360"/>
      <c r="E214" s="360"/>
      <c r="F214" s="360"/>
      <c r="G214" s="360"/>
      <c r="H214" s="360"/>
      <c r="I214" s="360"/>
      <c r="J214" s="360"/>
      <c r="K214" s="360"/>
      <c r="L214" s="360"/>
      <c r="M214" s="360"/>
      <c r="N214" s="360"/>
      <c r="O214" s="360"/>
      <c r="P214" s="360"/>
      <c r="Q214" s="360"/>
      <c r="R214" s="360"/>
      <c r="S214" s="360"/>
      <c r="T214" s="360"/>
      <c r="U214" s="360"/>
      <c r="V214" s="360"/>
      <c r="W214" s="360"/>
      <c r="X214" s="360"/>
      <c r="Y214" s="360"/>
      <c r="Z214" s="360"/>
    </row>
    <row r="215" spans="1:26" ht="15.75" customHeight="1">
      <c r="A215" s="360"/>
      <c r="B215" s="360"/>
      <c r="C215" s="360"/>
      <c r="D215" s="360"/>
      <c r="E215" s="360"/>
      <c r="F215" s="360"/>
      <c r="G215" s="360"/>
      <c r="H215" s="360"/>
      <c r="I215" s="360"/>
      <c r="J215" s="360"/>
      <c r="K215" s="360"/>
      <c r="L215" s="360"/>
      <c r="M215" s="360"/>
      <c r="N215" s="360"/>
      <c r="O215" s="360"/>
      <c r="P215" s="360"/>
      <c r="Q215" s="360"/>
      <c r="R215" s="360"/>
      <c r="S215" s="360"/>
      <c r="T215" s="360"/>
      <c r="U215" s="360"/>
      <c r="V215" s="360"/>
      <c r="W215" s="360"/>
      <c r="X215" s="360"/>
      <c r="Y215" s="360"/>
      <c r="Z215" s="360"/>
    </row>
    <row r="216" spans="1:26" ht="15.75" customHeight="1">
      <c r="A216" s="360"/>
      <c r="B216" s="360"/>
      <c r="C216" s="360"/>
      <c r="D216" s="360"/>
      <c r="E216" s="360"/>
      <c r="F216" s="360"/>
      <c r="G216" s="360"/>
      <c r="H216" s="360"/>
      <c r="I216" s="360"/>
      <c r="J216" s="360"/>
      <c r="K216" s="360"/>
      <c r="L216" s="360"/>
      <c r="M216" s="360"/>
      <c r="N216" s="360"/>
      <c r="O216" s="360"/>
      <c r="P216" s="360"/>
      <c r="Q216" s="360"/>
      <c r="R216" s="360"/>
      <c r="S216" s="360"/>
      <c r="T216" s="360"/>
      <c r="U216" s="360"/>
      <c r="V216" s="360"/>
      <c r="W216" s="360"/>
      <c r="X216" s="360"/>
      <c r="Y216" s="360"/>
      <c r="Z216" s="360"/>
    </row>
    <row r="217" spans="1:26" ht="15.75" customHeight="1">
      <c r="A217" s="360"/>
      <c r="B217" s="360"/>
      <c r="C217" s="360"/>
      <c r="D217" s="360"/>
      <c r="E217" s="360"/>
      <c r="F217" s="360"/>
      <c r="G217" s="360"/>
      <c r="H217" s="360"/>
      <c r="I217" s="360"/>
      <c r="J217" s="360"/>
      <c r="K217" s="360"/>
      <c r="L217" s="360"/>
      <c r="M217" s="360"/>
      <c r="N217" s="360"/>
      <c r="O217" s="360"/>
      <c r="P217" s="360"/>
      <c r="Q217" s="360"/>
      <c r="R217" s="360"/>
      <c r="S217" s="360"/>
      <c r="T217" s="360"/>
      <c r="U217" s="360"/>
      <c r="V217" s="360"/>
      <c r="W217" s="360"/>
      <c r="X217" s="360"/>
      <c r="Y217" s="360"/>
      <c r="Z217" s="360"/>
    </row>
    <row r="218" spans="1:26" ht="15.75" customHeight="1">
      <c r="A218" s="360"/>
      <c r="B218" s="360"/>
      <c r="C218" s="360"/>
      <c r="D218" s="360"/>
      <c r="E218" s="360"/>
      <c r="F218" s="360"/>
      <c r="G218" s="360"/>
      <c r="H218" s="360"/>
      <c r="I218" s="360"/>
      <c r="J218" s="360"/>
      <c r="K218" s="360"/>
      <c r="L218" s="360"/>
      <c r="M218" s="360"/>
      <c r="N218" s="360"/>
      <c r="O218" s="360"/>
      <c r="P218" s="360"/>
      <c r="Q218" s="360"/>
      <c r="R218" s="360"/>
      <c r="S218" s="360"/>
      <c r="T218" s="360"/>
      <c r="U218" s="360"/>
      <c r="V218" s="360"/>
      <c r="W218" s="360"/>
      <c r="X218" s="360"/>
      <c r="Y218" s="360"/>
      <c r="Z218" s="360"/>
    </row>
    <row r="219" spans="1:26" ht="15.75" customHeight="1">
      <c r="A219" s="360"/>
      <c r="B219" s="360"/>
      <c r="C219" s="360"/>
      <c r="D219" s="360"/>
      <c r="E219" s="360"/>
      <c r="F219" s="360"/>
      <c r="G219" s="360"/>
      <c r="H219" s="360"/>
      <c r="I219" s="360"/>
      <c r="J219" s="360"/>
      <c r="K219" s="360"/>
      <c r="L219" s="360"/>
      <c r="M219" s="360"/>
      <c r="N219" s="360"/>
      <c r="O219" s="360"/>
      <c r="P219" s="360"/>
      <c r="Q219" s="360"/>
      <c r="R219" s="360"/>
      <c r="S219" s="360"/>
      <c r="T219" s="360"/>
      <c r="U219" s="360"/>
      <c r="V219" s="360"/>
      <c r="W219" s="360"/>
      <c r="X219" s="360"/>
      <c r="Y219" s="360"/>
      <c r="Z219" s="360"/>
    </row>
    <row r="220" spans="1:26" ht="15.75" customHeight="1">
      <c r="A220" s="360"/>
      <c r="B220" s="360"/>
      <c r="C220" s="360"/>
      <c r="D220" s="360"/>
      <c r="E220" s="360"/>
      <c r="F220" s="360"/>
      <c r="G220" s="360"/>
      <c r="H220" s="360"/>
      <c r="I220" s="360"/>
      <c r="J220" s="360"/>
      <c r="K220" s="360"/>
      <c r="L220" s="360"/>
      <c r="M220" s="360"/>
      <c r="N220" s="360"/>
      <c r="O220" s="360"/>
      <c r="P220" s="360"/>
      <c r="Q220" s="360"/>
      <c r="R220" s="360"/>
      <c r="S220" s="360"/>
      <c r="T220" s="360"/>
      <c r="U220" s="360"/>
      <c r="V220" s="360"/>
      <c r="W220" s="360"/>
      <c r="X220" s="360"/>
      <c r="Y220" s="360"/>
      <c r="Z220" s="36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03" t="s">
        <v>0</v>
      </c>
      <c r="B1" s="404" t="s">
        <v>1</v>
      </c>
      <c r="C1" s="405" t="s">
        <v>2</v>
      </c>
      <c r="D1" s="406" t="s">
        <v>5</v>
      </c>
      <c r="E1" s="7" t="s">
        <v>1549</v>
      </c>
      <c r="F1" s="8" t="s">
        <v>2007</v>
      </c>
      <c r="G1" s="9" t="s">
        <v>8</v>
      </c>
      <c r="H1" s="9" t="s">
        <v>9</v>
      </c>
      <c r="I1" s="10" t="s">
        <v>1964</v>
      </c>
      <c r="J1" s="10" t="s">
        <v>11</v>
      </c>
      <c r="K1" s="9" t="s">
        <v>1551</v>
      </c>
      <c r="L1" s="7" t="s">
        <v>19</v>
      </c>
      <c r="M1" s="9" t="s">
        <v>14</v>
      </c>
      <c r="N1" s="7" t="s">
        <v>20</v>
      </c>
      <c r="O1" s="9" t="s">
        <v>15</v>
      </c>
      <c r="P1" s="12" t="s">
        <v>16</v>
      </c>
      <c r="Q1" s="15" t="s">
        <v>2008</v>
      </c>
      <c r="R1" s="15" t="s">
        <v>2009</v>
      </c>
      <c r="S1" s="15" t="s">
        <v>22</v>
      </c>
      <c r="T1" s="15" t="s">
        <v>23</v>
      </c>
      <c r="U1" s="15" t="s">
        <v>24</v>
      </c>
      <c r="V1" s="15" t="s">
        <v>25</v>
      </c>
      <c r="W1" s="15" t="s">
        <v>26</v>
      </c>
      <c r="X1" s="407" t="s">
        <v>27</v>
      </c>
      <c r="Y1" s="407" t="s">
        <v>28</v>
      </c>
      <c r="Z1" s="407" t="s">
        <v>29</v>
      </c>
      <c r="AA1" s="407" t="s">
        <v>30</v>
      </c>
      <c r="AB1" s="407" t="s">
        <v>31</v>
      </c>
      <c r="AC1" s="407" t="s">
        <v>32</v>
      </c>
      <c r="AD1" s="407" t="s">
        <v>33</v>
      </c>
      <c r="AE1" s="407" t="s">
        <v>34</v>
      </c>
      <c r="AF1" s="407" t="s">
        <v>35</v>
      </c>
      <c r="AG1" s="407" t="s">
        <v>36</v>
      </c>
      <c r="AH1" s="407" t="s">
        <v>37</v>
      </c>
      <c r="AI1" s="407" t="s">
        <v>38</v>
      </c>
      <c r="AJ1" s="15" t="s">
        <v>39</v>
      </c>
      <c r="AK1" s="15" t="s">
        <v>40</v>
      </c>
      <c r="AL1" s="15" t="s">
        <v>41</v>
      </c>
      <c r="AM1" s="15" t="s">
        <v>2010</v>
      </c>
      <c r="AN1" s="15" t="s">
        <v>2011</v>
      </c>
    </row>
    <row r="2" spans="1:40" ht="22.5" customHeight="1">
      <c r="A2" s="408" t="s">
        <v>1981</v>
      </c>
      <c r="B2" s="409" t="s">
        <v>1455</v>
      </c>
      <c r="C2" s="115" t="s">
        <v>1456</v>
      </c>
      <c r="D2" s="117" t="s">
        <v>76</v>
      </c>
      <c r="E2" s="32"/>
      <c r="F2" s="410"/>
      <c r="G2" s="23">
        <v>45751</v>
      </c>
      <c r="H2" s="24">
        <v>45756</v>
      </c>
      <c r="I2" s="53">
        <v>45760</v>
      </c>
      <c r="J2" s="26">
        <v>45759</v>
      </c>
      <c r="K2" s="39">
        <f ca="1">IF(ISBLANK(J2), NETWORKDAYS(H2, TODAY(),fESTIVOS!$A$1:$A$18), NETWORKDAYS(H2, J2, fESTIVOS!$A$1:$A$18))</f>
        <v>3</v>
      </c>
      <c r="L2" s="39"/>
      <c r="M2" s="23"/>
      <c r="N2" s="411"/>
      <c r="O2" s="29"/>
      <c r="P2" s="87" t="s">
        <v>1458</v>
      </c>
      <c r="Q2" s="412"/>
      <c r="R2" s="412"/>
      <c r="S2" s="412"/>
      <c r="T2" s="412"/>
      <c r="U2" s="412"/>
      <c r="V2" s="412"/>
      <c r="W2" s="412"/>
    </row>
    <row r="3" spans="1:40" ht="22.5" customHeight="1">
      <c r="A3" s="408" t="s">
        <v>1981</v>
      </c>
      <c r="B3" s="413"/>
      <c r="C3" s="115" t="s">
        <v>2012</v>
      </c>
      <c r="D3" s="117" t="s">
        <v>76</v>
      </c>
      <c r="E3" s="21">
        <v>90</v>
      </c>
      <c r="F3" s="410"/>
      <c r="G3" s="23">
        <v>45749</v>
      </c>
      <c r="H3" s="24">
        <v>45754</v>
      </c>
      <c r="I3" s="26">
        <v>45772</v>
      </c>
      <c r="J3" s="26">
        <v>45783</v>
      </c>
      <c r="K3" s="39">
        <f ca="1">IF(ISBLANK(J3), NETWORKDAYS(H3, TODAY(),fESTIVOS!$A$1:$A$18), NETWORKDAYS(H3, J3, fESTIVOS!$A$1:$A$18))</f>
        <v>22</v>
      </c>
      <c r="L3" s="32"/>
      <c r="M3" s="23">
        <v>45755</v>
      </c>
      <c r="N3" s="411"/>
      <c r="O3" s="29"/>
      <c r="P3" s="54" t="s">
        <v>2013</v>
      </c>
      <c r="Q3" s="37" t="s">
        <v>2014</v>
      </c>
      <c r="R3" s="37" t="s">
        <v>2015</v>
      </c>
      <c r="S3" s="37" t="s">
        <v>2016</v>
      </c>
      <c r="T3" s="37" t="s">
        <v>2017</v>
      </c>
      <c r="U3" s="36"/>
      <c r="V3" s="36"/>
      <c r="W3" s="36"/>
    </row>
    <row r="4" spans="1:40" ht="22.5" customHeight="1">
      <c r="A4" s="408" t="s">
        <v>1981</v>
      </c>
      <c r="B4" s="413"/>
      <c r="C4" s="115" t="s">
        <v>2018</v>
      </c>
      <c r="D4" s="117" t="s">
        <v>76</v>
      </c>
      <c r="E4" s="21">
        <v>60</v>
      </c>
      <c r="F4" s="410"/>
      <c r="G4" s="23">
        <v>45749</v>
      </c>
      <c r="H4" s="24">
        <v>45749</v>
      </c>
      <c r="I4" s="26">
        <v>45779</v>
      </c>
      <c r="J4" s="26">
        <v>45783</v>
      </c>
      <c r="K4" s="39">
        <f ca="1">IF(ISBLANK(J4), NETWORKDAYS(H4, TODAY(),fESTIVOS!$A$1:$A$18), NETWORKDAYS(H4, J4, fESTIVOS!$A$1:$A$18))</f>
        <v>25</v>
      </c>
      <c r="L4" s="32"/>
      <c r="M4" s="23">
        <v>45754</v>
      </c>
      <c r="N4" s="411"/>
      <c r="O4" s="29"/>
      <c r="P4" s="54" t="s">
        <v>2019</v>
      </c>
      <c r="Q4" s="37" t="s">
        <v>2014</v>
      </c>
      <c r="R4" s="37" t="s">
        <v>2020</v>
      </c>
      <c r="S4" s="37" t="s">
        <v>2016</v>
      </c>
      <c r="T4" s="37" t="s">
        <v>2021</v>
      </c>
      <c r="U4" s="36"/>
      <c r="V4" s="36"/>
      <c r="W4" s="36"/>
    </row>
    <row r="5" spans="1:40" ht="22.5" customHeight="1">
      <c r="A5" s="408" t="s">
        <v>1981</v>
      </c>
      <c r="B5" s="413"/>
      <c r="C5" s="414" t="s">
        <v>2022</v>
      </c>
      <c r="D5" s="117" t="s">
        <v>76</v>
      </c>
      <c r="E5" s="59">
        <v>100</v>
      </c>
      <c r="F5" s="410"/>
      <c r="G5" s="82">
        <v>45770</v>
      </c>
      <c r="H5" s="61">
        <v>45770</v>
      </c>
      <c r="I5" s="61">
        <v>45770</v>
      </c>
      <c r="J5" s="61">
        <v>45770</v>
      </c>
      <c r="K5" s="39">
        <f ca="1">IF(ISBLANK(J5), NETWORKDAYS(H5, TODAY(),fESTIVOS!$A$1:$A$18), NETWORKDAYS(H5, J5, fESTIVOS!$A$1:$A$18))</f>
        <v>1</v>
      </c>
      <c r="L5" s="39"/>
      <c r="M5" s="23"/>
      <c r="N5" s="411"/>
      <c r="O5" s="29"/>
      <c r="P5" s="54" t="s">
        <v>2023</v>
      </c>
      <c r="Q5" s="105"/>
      <c r="R5" s="105"/>
      <c r="S5" s="105"/>
      <c r="T5" s="105"/>
      <c r="U5" s="105"/>
      <c r="V5" s="105"/>
      <c r="W5" s="105"/>
    </row>
    <row r="6" spans="1:40" ht="22.5" customHeight="1">
      <c r="A6" s="408" t="s">
        <v>1981</v>
      </c>
      <c r="B6" s="231" t="s">
        <v>2024</v>
      </c>
      <c r="C6" s="415" t="s">
        <v>2025</v>
      </c>
      <c r="D6" s="416" t="s">
        <v>76</v>
      </c>
      <c r="E6" s="417">
        <v>50</v>
      </c>
      <c r="F6" s="418"/>
      <c r="G6" s="419"/>
      <c r="H6" s="420"/>
      <c r="I6" s="420"/>
      <c r="J6" s="420"/>
      <c r="K6" s="39">
        <f ca="1">IF(ISBLANK(J6), NETWORKDAYS(H6, TODAY(),fESTIVOS!$A$1:$A$18), NETWORKDAYS(H6, J6, fESTIVOS!$A$1:$A$18))</f>
        <v>32877</v>
      </c>
      <c r="L6" s="421"/>
      <c r="M6" s="419"/>
      <c r="N6" s="418"/>
      <c r="O6" s="422"/>
      <c r="P6" s="418"/>
      <c r="Q6" s="423" t="s">
        <v>2026</v>
      </c>
      <c r="R6" s="423" t="s">
        <v>2027</v>
      </c>
      <c r="S6" s="424"/>
      <c r="T6" s="424"/>
      <c r="U6" s="424"/>
      <c r="V6" s="424"/>
      <c r="W6" s="424"/>
    </row>
    <row r="7" spans="1:40" ht="22.5" customHeight="1">
      <c r="A7" s="408" t="s">
        <v>1981</v>
      </c>
      <c r="B7" s="231" t="s">
        <v>2024</v>
      </c>
      <c r="C7" s="425" t="s">
        <v>2028</v>
      </c>
      <c r="D7" s="117" t="s">
        <v>76</v>
      </c>
      <c r="E7" s="139"/>
      <c r="F7" s="72"/>
      <c r="G7" s="60">
        <v>45666</v>
      </c>
      <c r="H7" s="53">
        <v>45684</v>
      </c>
      <c r="I7" s="70"/>
      <c r="J7" s="53">
        <v>45685</v>
      </c>
      <c r="K7" s="39">
        <f ca="1">IF(ISBLANK(J7), NETWORKDAYS(H7, TODAY(),fESTIVOS!$A$1:$A$18), NETWORKDAYS(H7, J7, fESTIVOS!$A$1:$A$18))</f>
        <v>2</v>
      </c>
      <c r="L7" s="410"/>
      <c r="M7" s="245">
        <v>45685</v>
      </c>
      <c r="N7" s="411"/>
      <c r="O7" s="29"/>
      <c r="P7" s="209" t="s">
        <v>2029</v>
      </c>
      <c r="Q7" s="92" t="s">
        <v>2030</v>
      </c>
      <c r="R7" s="423" t="s">
        <v>2027</v>
      </c>
      <c r="S7" s="424"/>
      <c r="T7" s="424"/>
      <c r="U7" s="424"/>
      <c r="V7" s="424"/>
      <c r="W7" s="424"/>
    </row>
    <row r="8" spans="1:40" ht="29.25" customHeight="1">
      <c r="A8" s="426" t="s">
        <v>1966</v>
      </c>
      <c r="B8" s="427"/>
      <c r="C8" s="428" t="s">
        <v>2031</v>
      </c>
      <c r="D8" s="117" t="s">
        <v>76</v>
      </c>
      <c r="E8" s="429"/>
      <c r="F8" s="429"/>
      <c r="G8" s="430">
        <v>45756</v>
      </c>
      <c r="H8" s="431">
        <v>45756</v>
      </c>
      <c r="I8" s="431"/>
      <c r="J8" s="431">
        <v>45756</v>
      </c>
      <c r="K8" s="432">
        <f ca="1">IF(ISBLANK(J8), NETWORKDAYS(H8, TODAY(),fESTIVOS!$A$1:$A$18), NETWORKDAYS(H8, J8, fESTIVOS!$A$1:$A$18))</f>
        <v>1</v>
      </c>
      <c r="L8" s="429"/>
      <c r="M8" s="430"/>
      <c r="N8" s="429"/>
      <c r="O8" s="433"/>
      <c r="P8" s="434" t="s">
        <v>2032</v>
      </c>
      <c r="Q8" s="435"/>
      <c r="R8" s="435"/>
      <c r="S8" s="435"/>
      <c r="T8" s="435"/>
      <c r="U8" s="435"/>
      <c r="V8" s="435"/>
      <c r="W8" s="435"/>
      <c r="X8" s="436"/>
      <c r="Y8" s="436"/>
      <c r="Z8" s="436"/>
      <c r="AA8" s="436"/>
      <c r="AB8" s="436"/>
      <c r="AC8" s="436"/>
      <c r="AD8" s="436"/>
      <c r="AE8" s="436"/>
      <c r="AF8" s="436"/>
      <c r="AG8" s="436"/>
      <c r="AH8" s="436"/>
      <c r="AI8" s="436"/>
      <c r="AJ8" s="436"/>
      <c r="AK8" s="436"/>
      <c r="AL8" s="436"/>
      <c r="AM8" s="436"/>
      <c r="AN8" s="436"/>
    </row>
    <row r="9" spans="1:40" ht="29.25" customHeight="1">
      <c r="A9" s="426" t="s">
        <v>1966</v>
      </c>
      <c r="B9" s="427"/>
      <c r="C9" s="428" t="s">
        <v>2033</v>
      </c>
      <c r="D9" s="437" t="s">
        <v>76</v>
      </c>
      <c r="E9" s="429"/>
      <c r="F9" s="429"/>
      <c r="G9" s="430">
        <v>45750</v>
      </c>
      <c r="H9" s="431">
        <v>45750</v>
      </c>
      <c r="I9" s="431"/>
      <c r="J9" s="431">
        <v>45755</v>
      </c>
      <c r="K9" s="432">
        <f ca="1">IF(ISBLANK(J9), NETWORKDAYS(H9, TODAY(),fESTIVOS!$A$1:$A$18), NETWORKDAYS(H9, J9, fESTIVOS!$A$1:$A$18))</f>
        <v>4</v>
      </c>
      <c r="L9" s="429"/>
      <c r="M9" s="430">
        <v>45755</v>
      </c>
      <c r="N9" s="429"/>
      <c r="O9" s="433">
        <v>45761</v>
      </c>
      <c r="P9" s="438" t="s">
        <v>2034</v>
      </c>
      <c r="Q9" s="439"/>
      <c r="R9" s="439"/>
      <c r="S9" s="439"/>
      <c r="T9" s="439"/>
      <c r="U9" s="439"/>
      <c r="V9" s="439"/>
      <c r="W9" s="439"/>
      <c r="X9" s="436"/>
      <c r="Y9" s="436"/>
      <c r="Z9" s="436"/>
      <c r="AA9" s="436"/>
      <c r="AB9" s="436"/>
      <c r="AC9" s="436"/>
      <c r="AD9" s="436"/>
      <c r="AE9" s="436"/>
      <c r="AF9" s="436"/>
      <c r="AG9" s="436"/>
      <c r="AH9" s="436"/>
      <c r="AI9" s="436"/>
      <c r="AJ9" s="436"/>
      <c r="AK9" s="436"/>
      <c r="AL9" s="436"/>
      <c r="AM9" s="436"/>
      <c r="AN9" s="436"/>
    </row>
    <row r="10" spans="1:40" ht="29.25" customHeight="1">
      <c r="A10" s="426" t="s">
        <v>1966</v>
      </c>
      <c r="B10" s="427"/>
      <c r="C10" s="440" t="s">
        <v>2035</v>
      </c>
      <c r="D10" s="117" t="s">
        <v>76</v>
      </c>
      <c r="E10" s="429"/>
      <c r="F10" s="429"/>
      <c r="G10" s="430">
        <v>45750</v>
      </c>
      <c r="H10" s="431">
        <v>45751</v>
      </c>
      <c r="I10" s="431"/>
      <c r="J10" s="431"/>
      <c r="K10" s="432">
        <f ca="1">IF(ISBLANK(J10), NETWORKDAYS(H10, TODAY(),fESTIVOS!$A$1:$A$18), NETWORKDAYS(H10, J10, fESTIVOS!$A$1:$A$18))</f>
        <v>214</v>
      </c>
      <c r="L10" s="429"/>
      <c r="M10" s="430"/>
      <c r="N10" s="441" t="s">
        <v>2036</v>
      </c>
      <c r="O10" s="433"/>
      <c r="P10" s="438" t="s">
        <v>2037</v>
      </c>
      <c r="Q10" s="439"/>
      <c r="R10" s="442"/>
      <c r="S10" s="442"/>
      <c r="T10" s="442"/>
      <c r="U10" s="442"/>
      <c r="V10" s="442"/>
      <c r="W10" s="442"/>
      <c r="X10" s="443"/>
      <c r="Y10" s="443"/>
      <c r="Z10" s="443"/>
      <c r="AA10" s="443"/>
      <c r="AB10" s="443"/>
      <c r="AC10" s="443"/>
      <c r="AD10" s="443"/>
      <c r="AE10" s="443"/>
      <c r="AF10" s="443"/>
      <c r="AG10" s="443"/>
      <c r="AH10" s="443"/>
      <c r="AI10" s="443"/>
      <c r="AJ10" s="443"/>
      <c r="AK10" s="443"/>
      <c r="AL10" s="443"/>
      <c r="AM10" s="443"/>
      <c r="AN10" s="443"/>
    </row>
    <row r="11" spans="1:40" ht="29.25" customHeight="1">
      <c r="Q11" s="444" t="s">
        <v>2038</v>
      </c>
      <c r="R11" s="444" t="s">
        <v>2039</v>
      </c>
      <c r="S11" s="444" t="s">
        <v>2040</v>
      </c>
      <c r="T11" s="445"/>
      <c r="U11" s="445"/>
      <c r="V11" s="445"/>
      <c r="W11" s="445"/>
      <c r="X11" s="446"/>
      <c r="Y11" s="446"/>
      <c r="Z11" s="446"/>
      <c r="AA11" s="446"/>
      <c r="AB11" s="446"/>
      <c r="AC11" s="446"/>
      <c r="AD11" s="446"/>
      <c r="AE11" s="446"/>
      <c r="AF11" s="446"/>
      <c r="AG11" s="446"/>
      <c r="AH11" s="446"/>
      <c r="AI11" s="446"/>
      <c r="AJ11" s="446"/>
      <c r="AK11" s="446"/>
      <c r="AL11" s="446"/>
      <c r="AM11" s="446"/>
      <c r="AN11" s="446"/>
    </row>
    <row r="12" spans="1:40" ht="29.25" customHeight="1">
      <c r="A12" s="426" t="s">
        <v>1991</v>
      </c>
      <c r="B12" s="447" t="s">
        <v>2041</v>
      </c>
      <c r="C12" s="440" t="s">
        <v>2042</v>
      </c>
      <c r="D12" s="437" t="s">
        <v>76</v>
      </c>
      <c r="E12" s="429"/>
      <c r="F12" s="448"/>
      <c r="G12" s="430">
        <v>45751</v>
      </c>
      <c r="H12" s="431">
        <v>45755</v>
      </c>
      <c r="I12" s="449"/>
      <c r="J12" s="450">
        <v>45758</v>
      </c>
      <c r="K12" s="432">
        <f ca="1">IF(ISBLANK(J12), NETWORKDAYS(H12, TODAY(),fESTIVOS!$A$1:$A$18), NETWORKDAYS(H12, J12, fESTIVOS!$A$1:$A$18))</f>
        <v>4</v>
      </c>
      <c r="L12" s="451"/>
      <c r="M12" s="452"/>
      <c r="N12" s="453"/>
      <c r="O12" s="454"/>
      <c r="P12" s="455" t="s">
        <v>2043</v>
      </c>
      <c r="Q12" s="435"/>
      <c r="R12" s="456"/>
      <c r="S12" s="456"/>
      <c r="T12" s="456"/>
      <c r="U12" s="456"/>
      <c r="V12" s="456"/>
      <c r="W12" s="456"/>
      <c r="X12" s="443"/>
      <c r="Y12" s="443"/>
      <c r="Z12" s="443"/>
      <c r="AA12" s="443"/>
      <c r="AB12" s="443"/>
      <c r="AC12" s="443"/>
      <c r="AD12" s="443"/>
      <c r="AE12" s="443"/>
      <c r="AF12" s="443"/>
      <c r="AG12" s="443"/>
      <c r="AH12" s="443"/>
      <c r="AI12" s="443"/>
      <c r="AJ12" s="443"/>
      <c r="AK12" s="443"/>
      <c r="AL12" s="443"/>
      <c r="AM12" s="443"/>
      <c r="AN12" s="443"/>
    </row>
    <row r="13" spans="1:40" ht="29.25" customHeight="1">
      <c r="A13" s="426" t="s">
        <v>1991</v>
      </c>
      <c r="B13" s="427"/>
      <c r="C13" s="428" t="s">
        <v>2044</v>
      </c>
      <c r="D13" s="117" t="s">
        <v>76</v>
      </c>
      <c r="E13" s="429"/>
      <c r="F13" s="457"/>
      <c r="G13" s="430">
        <v>45757</v>
      </c>
      <c r="H13" s="458"/>
      <c r="I13" s="459"/>
      <c r="J13" s="459"/>
      <c r="K13" s="432">
        <f ca="1">IF(ISBLANK(J13), NETWORKDAYS(H13, TODAY(),fESTIVOS!$A$1:$A$18), NETWORKDAYS(H13, J13, fESTIVOS!$A$1:$A$18))</f>
        <v>32877</v>
      </c>
      <c r="L13" s="460"/>
      <c r="M13" s="461"/>
      <c r="N13" s="462"/>
      <c r="O13" s="463"/>
      <c r="P13" s="453" t="s">
        <v>2045</v>
      </c>
      <c r="Q13" s="464"/>
      <c r="R13" s="464"/>
      <c r="S13" s="464"/>
      <c r="T13" s="464"/>
      <c r="U13" s="464"/>
      <c r="V13" s="464"/>
      <c r="W13" s="464"/>
      <c r="X13" s="443"/>
      <c r="Y13" s="443"/>
      <c r="Z13" s="443"/>
      <c r="AA13" s="443"/>
      <c r="AB13" s="443"/>
      <c r="AC13" s="443"/>
      <c r="AD13" s="443"/>
      <c r="AE13" s="443"/>
      <c r="AF13" s="443"/>
      <c r="AG13" s="443"/>
      <c r="AH13" s="443"/>
      <c r="AI13" s="443"/>
      <c r="AJ13" s="443"/>
      <c r="AK13" s="443"/>
      <c r="AL13" s="443"/>
      <c r="AM13" s="443"/>
      <c r="AN13" s="443"/>
    </row>
    <row r="14" spans="1:40" ht="29.25" customHeight="1">
      <c r="A14" s="426" t="s">
        <v>1991</v>
      </c>
      <c r="B14" s="465" t="s">
        <v>2046</v>
      </c>
      <c r="C14" s="466" t="s">
        <v>2047</v>
      </c>
      <c r="D14" s="117" t="s">
        <v>76</v>
      </c>
      <c r="E14" s="429"/>
      <c r="F14" s="448"/>
      <c r="G14" s="430">
        <v>45748</v>
      </c>
      <c r="H14" s="431">
        <v>45749</v>
      </c>
      <c r="I14" s="449"/>
      <c r="J14" s="449">
        <v>45755</v>
      </c>
      <c r="K14" s="432">
        <f ca="1">IF(ISBLANK(J14), NETWORKDAYS(H14, TODAY(),fESTIVOS!$A$1:$A$18), NETWORKDAYS(H14, J14, fESTIVOS!$A$1:$A$18))</f>
        <v>5</v>
      </c>
      <c r="L14" s="467"/>
      <c r="M14" s="452">
        <v>45755</v>
      </c>
      <c r="N14" s="453"/>
      <c r="O14" s="454"/>
      <c r="P14" s="468" t="s">
        <v>2048</v>
      </c>
      <c r="Q14" s="469"/>
      <c r="R14" s="470"/>
      <c r="S14" s="470"/>
      <c r="T14" s="470"/>
      <c r="U14" s="470"/>
      <c r="V14" s="470"/>
      <c r="W14" s="470"/>
      <c r="X14" s="446"/>
      <c r="Y14" s="446"/>
      <c r="Z14" s="446"/>
      <c r="AA14" s="446"/>
      <c r="AB14" s="446"/>
      <c r="AC14" s="446"/>
      <c r="AD14" s="446"/>
      <c r="AE14" s="446"/>
      <c r="AF14" s="446"/>
      <c r="AG14" s="446"/>
      <c r="AH14" s="446"/>
      <c r="AI14" s="446"/>
      <c r="AJ14" s="446"/>
      <c r="AK14" s="446"/>
      <c r="AL14" s="446"/>
      <c r="AM14" s="446"/>
      <c r="AN14" s="446"/>
    </row>
    <row r="15" spans="1:40" ht="29.25" customHeight="1">
      <c r="A15" s="426" t="s">
        <v>1966</v>
      </c>
      <c r="B15" s="441" t="s">
        <v>2049</v>
      </c>
      <c r="C15" s="466" t="s">
        <v>2050</v>
      </c>
      <c r="D15" s="437" t="s">
        <v>76</v>
      </c>
      <c r="E15" s="429"/>
      <c r="F15" s="429"/>
      <c r="G15" s="430">
        <v>45754</v>
      </c>
      <c r="H15" s="431">
        <v>45757</v>
      </c>
      <c r="I15" s="431"/>
      <c r="J15" s="431">
        <v>45761</v>
      </c>
      <c r="K15" s="432">
        <f ca="1">IF(ISBLANK(J15), NETWORKDAYS(H15, TODAY(),fESTIVOS!$A$1:$A$18), NETWORKDAYS(H15, J15, fESTIVOS!$A$1:$A$18))</f>
        <v>3</v>
      </c>
      <c r="L15" s="429"/>
      <c r="M15" s="430"/>
      <c r="N15" s="429"/>
      <c r="O15" s="433">
        <v>45761</v>
      </c>
      <c r="P15" s="434" t="s">
        <v>2051</v>
      </c>
      <c r="Q15" s="435"/>
      <c r="R15" s="435"/>
      <c r="S15" s="435"/>
      <c r="T15" s="435"/>
      <c r="U15" s="435"/>
      <c r="V15" s="435"/>
      <c r="W15" s="435"/>
      <c r="X15" s="436"/>
      <c r="Y15" s="436"/>
      <c r="Z15" s="436"/>
      <c r="AA15" s="436"/>
      <c r="AB15" s="436"/>
      <c r="AC15" s="436"/>
      <c r="AD15" s="436"/>
      <c r="AE15" s="436"/>
      <c r="AF15" s="436"/>
      <c r="AG15" s="436"/>
      <c r="AH15" s="436"/>
      <c r="AI15" s="436"/>
      <c r="AJ15" s="436"/>
      <c r="AK15" s="436"/>
      <c r="AL15" s="436"/>
      <c r="AM15" s="436"/>
      <c r="AN15" s="436"/>
    </row>
    <row r="16" spans="1:40" ht="29.25" customHeight="1">
      <c r="A16" s="426" t="s">
        <v>1966</v>
      </c>
      <c r="B16" s="441" t="s">
        <v>2052</v>
      </c>
      <c r="C16" s="466" t="s">
        <v>2053</v>
      </c>
      <c r="D16" s="437" t="s">
        <v>76</v>
      </c>
      <c r="E16" s="429"/>
      <c r="F16" s="429"/>
      <c r="G16" s="430">
        <v>45754</v>
      </c>
      <c r="H16" s="431">
        <v>45757</v>
      </c>
      <c r="I16" s="431"/>
      <c r="J16" s="431">
        <v>45761</v>
      </c>
      <c r="K16" s="432">
        <f ca="1">IF(ISBLANK(J16), NETWORKDAYS(H16, TODAY(),fESTIVOS!$A$1:$A$18), NETWORKDAYS(H16, J16, fESTIVOS!$A$1:$A$18))</f>
        <v>3</v>
      </c>
      <c r="L16" s="429"/>
      <c r="M16" s="430"/>
      <c r="N16" s="429"/>
      <c r="O16" s="433">
        <v>45761</v>
      </c>
      <c r="P16" s="434" t="s">
        <v>2054</v>
      </c>
      <c r="Q16" s="435"/>
      <c r="R16" s="435"/>
      <c r="S16" s="435"/>
      <c r="T16" s="435"/>
      <c r="U16" s="435"/>
      <c r="V16" s="435"/>
      <c r="W16" s="435"/>
      <c r="X16" s="436"/>
      <c r="Y16" s="436"/>
      <c r="Z16" s="436"/>
      <c r="AA16" s="436"/>
      <c r="AB16" s="436"/>
      <c r="AC16" s="436"/>
      <c r="AD16" s="436"/>
      <c r="AE16" s="436"/>
      <c r="AF16" s="436"/>
      <c r="AG16" s="436"/>
      <c r="AH16" s="436"/>
      <c r="AI16" s="436"/>
      <c r="AJ16" s="436"/>
      <c r="AK16" s="436"/>
      <c r="AL16" s="436"/>
      <c r="AM16" s="436"/>
      <c r="AN16" s="436"/>
    </row>
    <row r="17" spans="1:40" ht="29.25" customHeight="1">
      <c r="A17" s="426" t="s">
        <v>1966</v>
      </c>
      <c r="B17" s="441" t="s">
        <v>2055</v>
      </c>
      <c r="C17" s="466" t="s">
        <v>2056</v>
      </c>
      <c r="D17" s="437" t="s">
        <v>76</v>
      </c>
      <c r="E17" s="429"/>
      <c r="F17" s="429"/>
      <c r="G17" s="430">
        <v>45754</v>
      </c>
      <c r="H17" s="431">
        <v>45761</v>
      </c>
      <c r="I17" s="431"/>
      <c r="J17" s="431">
        <v>45761</v>
      </c>
      <c r="K17" s="432">
        <f ca="1">IF(ISBLANK(J17), NETWORKDAYS(H17, TODAY(),fESTIVOS!$A$1:$A$18), NETWORKDAYS(H17, J17, fESTIVOS!$A$1:$A$18))</f>
        <v>1</v>
      </c>
      <c r="L17" s="429"/>
      <c r="M17" s="430"/>
      <c r="N17" s="429"/>
      <c r="O17" s="433">
        <v>45761</v>
      </c>
      <c r="P17" s="434" t="s">
        <v>2057</v>
      </c>
      <c r="Q17" s="435"/>
      <c r="R17" s="435"/>
      <c r="S17" s="435"/>
      <c r="T17" s="435"/>
      <c r="U17" s="435"/>
      <c r="V17" s="435"/>
      <c r="W17" s="435"/>
      <c r="X17" s="436"/>
      <c r="Y17" s="436"/>
      <c r="Z17" s="436"/>
      <c r="AA17" s="436"/>
      <c r="AB17" s="436"/>
      <c r="AC17" s="436"/>
      <c r="AD17" s="436"/>
      <c r="AE17" s="436"/>
      <c r="AF17" s="436"/>
      <c r="AG17" s="436"/>
      <c r="AH17" s="436"/>
      <c r="AI17" s="436"/>
      <c r="AJ17" s="436"/>
      <c r="AK17" s="436"/>
      <c r="AL17" s="436"/>
      <c r="AM17" s="436"/>
      <c r="AN17" s="436"/>
    </row>
    <row r="18" spans="1:40" ht="29.25" customHeight="1">
      <c r="A18" s="426" t="s">
        <v>1966</v>
      </c>
      <c r="B18" s="441" t="s">
        <v>2058</v>
      </c>
      <c r="C18" s="466" t="s">
        <v>2059</v>
      </c>
      <c r="D18" s="437" t="s">
        <v>76</v>
      </c>
      <c r="E18" s="429"/>
      <c r="F18" s="429"/>
      <c r="G18" s="430">
        <v>45754</v>
      </c>
      <c r="H18" s="431">
        <v>45757</v>
      </c>
      <c r="I18" s="431"/>
      <c r="J18" s="431">
        <v>45761</v>
      </c>
      <c r="K18" s="432">
        <f ca="1">IF(ISBLANK(J18), NETWORKDAYS(H18, TODAY(),fESTIVOS!$A$1:$A$18), NETWORKDAYS(H18, J18, fESTIVOS!$A$1:$A$18))</f>
        <v>3</v>
      </c>
      <c r="L18" s="429"/>
      <c r="M18" s="430"/>
      <c r="N18" s="429"/>
      <c r="O18" s="433">
        <v>45761</v>
      </c>
      <c r="P18" s="434" t="s">
        <v>2060</v>
      </c>
      <c r="Q18" s="435"/>
      <c r="R18" s="435"/>
      <c r="S18" s="435"/>
      <c r="T18" s="435"/>
      <c r="U18" s="435"/>
      <c r="V18" s="435"/>
      <c r="W18" s="435"/>
      <c r="X18" s="436"/>
      <c r="Y18" s="436"/>
      <c r="Z18" s="436"/>
      <c r="AA18" s="436"/>
      <c r="AB18" s="436"/>
      <c r="AC18" s="436"/>
      <c r="AD18" s="436"/>
      <c r="AE18" s="436"/>
      <c r="AF18" s="436"/>
      <c r="AG18" s="436"/>
      <c r="AH18" s="436"/>
      <c r="AI18" s="436"/>
      <c r="AJ18" s="436"/>
      <c r="AK18" s="436"/>
      <c r="AL18" s="436"/>
      <c r="AM18" s="436"/>
      <c r="AN18" s="436"/>
    </row>
    <row r="19" spans="1:40" ht="29.25" customHeight="1">
      <c r="A19" s="471" t="s">
        <v>1966</v>
      </c>
      <c r="B19" s="441" t="s">
        <v>2061</v>
      </c>
      <c r="C19" s="466" t="s">
        <v>2062</v>
      </c>
      <c r="D19" s="437" t="s">
        <v>76</v>
      </c>
      <c r="E19" s="472"/>
      <c r="F19" s="472"/>
      <c r="G19" s="473">
        <v>45793</v>
      </c>
      <c r="H19" s="474">
        <v>45793</v>
      </c>
      <c r="I19" s="474">
        <v>45793</v>
      </c>
      <c r="J19" s="474">
        <v>45793</v>
      </c>
      <c r="K19" s="441">
        <v>1</v>
      </c>
      <c r="L19" s="429"/>
      <c r="M19" s="430"/>
      <c r="N19" s="429"/>
      <c r="O19" s="433"/>
      <c r="P19" s="438"/>
      <c r="Q19" s="439"/>
      <c r="R19" s="439"/>
      <c r="S19" s="439"/>
      <c r="T19" s="439"/>
      <c r="U19" s="439"/>
      <c r="V19" s="439"/>
      <c r="W19" s="439"/>
      <c r="X19" s="436"/>
      <c r="Y19" s="436"/>
      <c r="Z19" s="436"/>
      <c r="AA19" s="436"/>
      <c r="AB19" s="436"/>
      <c r="AC19" s="436"/>
      <c r="AD19" s="436"/>
      <c r="AE19" s="436"/>
      <c r="AF19" s="436"/>
      <c r="AG19" s="436"/>
      <c r="AH19" s="436"/>
      <c r="AI19" s="436"/>
      <c r="AJ19" s="436"/>
      <c r="AK19" s="436"/>
      <c r="AL19" s="436"/>
      <c r="AM19" s="436"/>
      <c r="AN19" s="436"/>
    </row>
    <row r="20" spans="1:40" ht="29.25" customHeight="1">
      <c r="A20" s="471" t="s">
        <v>2063</v>
      </c>
      <c r="B20" s="475" t="s">
        <v>2064</v>
      </c>
      <c r="C20" s="466" t="s">
        <v>2065</v>
      </c>
      <c r="D20" s="476" t="s">
        <v>76</v>
      </c>
      <c r="E20" s="477"/>
      <c r="F20" s="477"/>
      <c r="G20" s="473">
        <v>45763</v>
      </c>
      <c r="H20" s="474">
        <v>45763</v>
      </c>
      <c r="I20" s="474">
        <v>45763</v>
      </c>
      <c r="J20" s="474">
        <v>45763</v>
      </c>
      <c r="K20" s="441">
        <v>1</v>
      </c>
      <c r="L20" s="429"/>
      <c r="M20" s="473">
        <v>45763</v>
      </c>
      <c r="N20" s="477"/>
      <c r="O20" s="478">
        <v>45763</v>
      </c>
      <c r="P20" s="439"/>
      <c r="Q20" s="439"/>
      <c r="R20" s="439"/>
      <c r="S20" s="439"/>
      <c r="T20" s="439"/>
      <c r="U20" s="439"/>
      <c r="V20" s="439"/>
      <c r="W20" s="439"/>
      <c r="X20" s="436"/>
      <c r="Y20" s="436"/>
      <c r="Z20" s="436"/>
      <c r="AA20" s="436"/>
      <c r="AB20" s="436"/>
      <c r="AC20" s="436"/>
      <c r="AD20" s="436"/>
      <c r="AE20" s="436"/>
      <c r="AF20" s="436"/>
      <c r="AG20" s="436"/>
      <c r="AH20" s="436"/>
      <c r="AI20" s="436"/>
      <c r="AJ20" s="436"/>
      <c r="AK20" s="436"/>
      <c r="AL20" s="436"/>
      <c r="AM20" s="436"/>
      <c r="AN20" s="436"/>
    </row>
    <row r="21" spans="1:40" ht="29.25" customHeight="1">
      <c r="A21" s="471" t="s">
        <v>2063</v>
      </c>
      <c r="B21" s="475" t="s">
        <v>2066</v>
      </c>
      <c r="C21" s="466" t="s">
        <v>2065</v>
      </c>
      <c r="D21" s="476" t="s">
        <v>76</v>
      </c>
      <c r="E21" s="477"/>
      <c r="F21" s="477"/>
      <c r="G21" s="473">
        <v>45763</v>
      </c>
      <c r="H21" s="474">
        <v>45763</v>
      </c>
      <c r="I21" s="474">
        <v>45763</v>
      </c>
      <c r="J21" s="474">
        <v>45763</v>
      </c>
      <c r="K21" s="441">
        <v>1</v>
      </c>
      <c r="L21" s="429"/>
      <c r="M21" s="473">
        <v>45763</v>
      </c>
      <c r="N21" s="477"/>
      <c r="O21" s="478">
        <v>45763</v>
      </c>
      <c r="P21" s="439"/>
      <c r="Q21" s="439"/>
      <c r="R21" s="439"/>
      <c r="S21" s="439"/>
      <c r="T21" s="439"/>
      <c r="U21" s="439"/>
      <c r="V21" s="439"/>
      <c r="W21" s="439"/>
      <c r="X21" s="436"/>
      <c r="Y21" s="436"/>
      <c r="Z21" s="436"/>
      <c r="AA21" s="436"/>
      <c r="AB21" s="436"/>
      <c r="AC21" s="436"/>
      <c r="AD21" s="436"/>
      <c r="AE21" s="436"/>
      <c r="AF21" s="436"/>
      <c r="AG21" s="436"/>
      <c r="AH21" s="436"/>
      <c r="AI21" s="436"/>
      <c r="AJ21" s="436"/>
      <c r="AK21" s="436"/>
      <c r="AL21" s="436"/>
      <c r="AM21" s="436"/>
      <c r="AN21" s="436"/>
    </row>
    <row r="22" spans="1:40" ht="29.25" customHeight="1">
      <c r="A22" s="471" t="s">
        <v>2063</v>
      </c>
      <c r="B22" s="475" t="s">
        <v>2067</v>
      </c>
      <c r="C22" s="466" t="s">
        <v>2065</v>
      </c>
      <c r="D22" s="476" t="s">
        <v>76</v>
      </c>
      <c r="E22" s="477"/>
      <c r="F22" s="477"/>
      <c r="G22" s="473">
        <v>45763</v>
      </c>
      <c r="H22" s="474">
        <v>45763</v>
      </c>
      <c r="I22" s="474">
        <v>45763</v>
      </c>
      <c r="J22" s="474">
        <v>45763</v>
      </c>
      <c r="K22" s="441">
        <v>1</v>
      </c>
      <c r="L22" s="429"/>
      <c r="M22" s="473">
        <v>45763</v>
      </c>
      <c r="N22" s="477"/>
      <c r="O22" s="478">
        <v>45763</v>
      </c>
      <c r="P22" s="439"/>
      <c r="Q22" s="439"/>
      <c r="R22" s="439"/>
      <c r="S22" s="439"/>
      <c r="T22" s="439"/>
      <c r="U22" s="439"/>
      <c r="V22" s="439"/>
      <c r="W22" s="439"/>
      <c r="X22" s="436"/>
      <c r="Y22" s="436"/>
      <c r="Z22" s="436"/>
      <c r="AA22" s="436"/>
      <c r="AB22" s="436"/>
      <c r="AC22" s="436"/>
      <c r="AD22" s="436"/>
      <c r="AE22" s="436"/>
      <c r="AF22" s="436"/>
      <c r="AG22" s="436"/>
      <c r="AH22" s="436"/>
      <c r="AI22" s="436"/>
      <c r="AJ22" s="436"/>
      <c r="AK22" s="436"/>
      <c r="AL22" s="436"/>
      <c r="AM22" s="436"/>
      <c r="AN22" s="436"/>
    </row>
    <row r="23" spans="1:40" ht="29.25" customHeight="1">
      <c r="A23" s="471" t="s">
        <v>2063</v>
      </c>
      <c r="B23" s="475" t="s">
        <v>2068</v>
      </c>
      <c r="C23" s="466" t="s">
        <v>2065</v>
      </c>
      <c r="D23" s="476" t="s">
        <v>76</v>
      </c>
      <c r="E23" s="477"/>
      <c r="F23" s="477"/>
      <c r="G23" s="473">
        <v>45763</v>
      </c>
      <c r="H23" s="474">
        <v>45763</v>
      </c>
      <c r="I23" s="474">
        <v>45763</v>
      </c>
      <c r="J23" s="474">
        <v>45763</v>
      </c>
      <c r="K23" s="441">
        <v>1</v>
      </c>
      <c r="L23" s="429"/>
      <c r="M23" s="473">
        <v>45763</v>
      </c>
      <c r="N23" s="477"/>
      <c r="O23" s="478">
        <v>45763</v>
      </c>
      <c r="P23" s="439"/>
      <c r="Q23" s="439"/>
      <c r="R23" s="439"/>
      <c r="S23" s="439"/>
      <c r="T23" s="439"/>
      <c r="U23" s="439"/>
      <c r="V23" s="439"/>
      <c r="W23" s="439"/>
      <c r="X23" s="436"/>
      <c r="Y23" s="436"/>
      <c r="Z23" s="436"/>
      <c r="AA23" s="436"/>
      <c r="AB23" s="436"/>
      <c r="AC23" s="436"/>
      <c r="AD23" s="436"/>
      <c r="AE23" s="436"/>
      <c r="AF23" s="436"/>
      <c r="AG23" s="436"/>
      <c r="AH23" s="436"/>
      <c r="AI23" s="436"/>
      <c r="AJ23" s="436"/>
      <c r="AK23" s="436"/>
      <c r="AL23" s="436"/>
      <c r="AM23" s="436"/>
      <c r="AN23" s="436"/>
    </row>
    <row r="24" spans="1:40" ht="29.25" customHeight="1">
      <c r="A24" s="471" t="s">
        <v>2063</v>
      </c>
      <c r="B24" s="475" t="s">
        <v>2069</v>
      </c>
      <c r="C24" s="466" t="s">
        <v>2065</v>
      </c>
      <c r="D24" s="476" t="s">
        <v>76</v>
      </c>
      <c r="E24" s="477"/>
      <c r="F24" s="477"/>
      <c r="G24" s="473">
        <v>45763</v>
      </c>
      <c r="H24" s="474">
        <v>45763</v>
      </c>
      <c r="I24" s="474">
        <v>45763</v>
      </c>
      <c r="J24" s="474">
        <v>45763</v>
      </c>
      <c r="K24" s="441">
        <v>1</v>
      </c>
      <c r="L24" s="429"/>
      <c r="M24" s="473">
        <v>45763</v>
      </c>
      <c r="N24" s="477"/>
      <c r="O24" s="478">
        <v>45763</v>
      </c>
      <c r="P24" s="439"/>
      <c r="Q24" s="439"/>
      <c r="R24" s="439"/>
      <c r="S24" s="439"/>
      <c r="T24" s="439"/>
      <c r="U24" s="439"/>
      <c r="V24" s="439"/>
      <c r="W24" s="439"/>
      <c r="X24" s="436"/>
      <c r="Y24" s="436"/>
      <c r="Z24" s="436"/>
      <c r="AA24" s="436"/>
      <c r="AB24" s="436"/>
      <c r="AC24" s="436"/>
      <c r="AD24" s="436"/>
      <c r="AE24" s="436"/>
      <c r="AF24" s="436"/>
      <c r="AG24" s="436"/>
      <c r="AH24" s="436"/>
      <c r="AI24" s="436"/>
      <c r="AJ24" s="436"/>
      <c r="AK24" s="436"/>
      <c r="AL24" s="436"/>
      <c r="AM24" s="436"/>
      <c r="AN24" s="436"/>
    </row>
    <row r="25" spans="1:40" ht="29.25" customHeight="1">
      <c r="A25" s="471" t="s">
        <v>2063</v>
      </c>
      <c r="B25" s="475" t="s">
        <v>2070</v>
      </c>
      <c r="C25" s="466" t="s">
        <v>2065</v>
      </c>
      <c r="D25" s="476" t="s">
        <v>76</v>
      </c>
      <c r="E25" s="477"/>
      <c r="F25" s="477"/>
      <c r="G25" s="473">
        <v>45763</v>
      </c>
      <c r="H25" s="474">
        <v>45763</v>
      </c>
      <c r="I25" s="474">
        <v>45763</v>
      </c>
      <c r="J25" s="474">
        <v>45763</v>
      </c>
      <c r="K25" s="441">
        <v>1</v>
      </c>
      <c r="L25" s="429"/>
      <c r="M25" s="473">
        <v>45763</v>
      </c>
      <c r="N25" s="477"/>
      <c r="O25" s="478">
        <v>45763</v>
      </c>
      <c r="P25" s="439"/>
      <c r="Q25" s="439"/>
      <c r="R25" s="439"/>
      <c r="S25" s="439"/>
      <c r="T25" s="439"/>
      <c r="U25" s="439"/>
      <c r="V25" s="439"/>
      <c r="W25" s="439"/>
      <c r="X25" s="436"/>
      <c r="Y25" s="436"/>
      <c r="Z25" s="436"/>
      <c r="AA25" s="436"/>
      <c r="AB25" s="436"/>
      <c r="AC25" s="436"/>
      <c r="AD25" s="436"/>
      <c r="AE25" s="436"/>
      <c r="AF25" s="436"/>
      <c r="AG25" s="436"/>
      <c r="AH25" s="436"/>
      <c r="AI25" s="436"/>
      <c r="AJ25" s="436"/>
      <c r="AK25" s="436"/>
      <c r="AL25" s="436"/>
      <c r="AM25" s="436"/>
      <c r="AN25" s="436"/>
    </row>
    <row r="26" spans="1:40" ht="29.25" customHeight="1">
      <c r="A26" s="471" t="s">
        <v>2063</v>
      </c>
      <c r="B26" s="475" t="s">
        <v>2071</v>
      </c>
      <c r="C26" s="466" t="s">
        <v>2065</v>
      </c>
      <c r="D26" s="476" t="s">
        <v>76</v>
      </c>
      <c r="E26" s="477"/>
      <c r="F26" s="477"/>
      <c r="G26" s="473">
        <v>45763</v>
      </c>
      <c r="H26" s="474">
        <v>45763</v>
      </c>
      <c r="I26" s="474">
        <v>45763</v>
      </c>
      <c r="J26" s="474">
        <v>45763</v>
      </c>
      <c r="K26" s="441">
        <v>1</v>
      </c>
      <c r="L26" s="429"/>
      <c r="M26" s="473">
        <v>45763</v>
      </c>
      <c r="N26" s="477"/>
      <c r="O26" s="478">
        <v>45763</v>
      </c>
      <c r="P26" s="439"/>
      <c r="Q26" s="439"/>
      <c r="R26" s="439"/>
      <c r="S26" s="439"/>
      <c r="T26" s="439"/>
      <c r="U26" s="439"/>
      <c r="V26" s="439"/>
      <c r="W26" s="439"/>
      <c r="X26" s="436"/>
      <c r="Y26" s="436"/>
      <c r="Z26" s="436"/>
      <c r="AA26" s="436"/>
      <c r="AB26" s="436"/>
      <c r="AC26" s="436"/>
      <c r="AD26" s="436"/>
      <c r="AE26" s="436"/>
      <c r="AF26" s="436"/>
      <c r="AG26" s="436"/>
      <c r="AH26" s="436"/>
      <c r="AI26" s="436"/>
      <c r="AJ26" s="436"/>
      <c r="AK26" s="436"/>
      <c r="AL26" s="436"/>
      <c r="AM26" s="436"/>
      <c r="AN26" s="436"/>
    </row>
    <row r="27" spans="1:40" ht="29.25" customHeight="1">
      <c r="A27" s="471" t="s">
        <v>2063</v>
      </c>
      <c r="B27" s="475" t="s">
        <v>2072</v>
      </c>
      <c r="C27" s="466" t="s">
        <v>2065</v>
      </c>
      <c r="D27" s="476" t="s">
        <v>76</v>
      </c>
      <c r="E27" s="477"/>
      <c r="F27" s="477"/>
      <c r="G27" s="473">
        <v>45763</v>
      </c>
      <c r="H27" s="474">
        <v>45763</v>
      </c>
      <c r="I27" s="474">
        <v>45763</v>
      </c>
      <c r="J27" s="474">
        <v>45763</v>
      </c>
      <c r="K27" s="441">
        <v>1</v>
      </c>
      <c r="L27" s="429"/>
      <c r="M27" s="473">
        <v>45763</v>
      </c>
      <c r="N27" s="477"/>
      <c r="O27" s="478">
        <v>45763</v>
      </c>
      <c r="P27" s="439"/>
      <c r="Q27" s="439"/>
      <c r="R27" s="439"/>
      <c r="S27" s="439"/>
      <c r="T27" s="439"/>
      <c r="U27" s="439"/>
      <c r="V27" s="439"/>
      <c r="W27" s="439"/>
      <c r="X27" s="436"/>
      <c r="Y27" s="436"/>
      <c r="Z27" s="436"/>
      <c r="AA27" s="436"/>
      <c r="AB27" s="436"/>
      <c r="AC27" s="436"/>
      <c r="AD27" s="436"/>
      <c r="AE27" s="436"/>
      <c r="AF27" s="436"/>
      <c r="AG27" s="436"/>
      <c r="AH27" s="436"/>
      <c r="AI27" s="436"/>
      <c r="AJ27" s="436"/>
      <c r="AK27" s="436"/>
      <c r="AL27" s="436"/>
      <c r="AM27" s="436"/>
      <c r="AN27" s="436"/>
    </row>
    <row r="28" spans="1:40" ht="29.25" customHeight="1">
      <c r="A28" s="471" t="s">
        <v>2063</v>
      </c>
      <c r="B28" s="475" t="s">
        <v>2061</v>
      </c>
      <c r="C28" s="466" t="s">
        <v>2065</v>
      </c>
      <c r="D28" s="476" t="s">
        <v>76</v>
      </c>
      <c r="E28" s="477"/>
      <c r="F28" s="477"/>
      <c r="G28" s="473">
        <v>45763</v>
      </c>
      <c r="H28" s="474">
        <v>45763</v>
      </c>
      <c r="I28" s="474">
        <v>45763</v>
      </c>
      <c r="J28" s="474">
        <v>45763</v>
      </c>
      <c r="K28" s="441">
        <v>1</v>
      </c>
      <c r="L28" s="429"/>
      <c r="M28" s="473">
        <v>45763</v>
      </c>
      <c r="N28" s="477"/>
      <c r="O28" s="478">
        <v>45763</v>
      </c>
      <c r="P28" s="439"/>
      <c r="Q28" s="439"/>
      <c r="R28" s="439"/>
      <c r="S28" s="439"/>
      <c r="T28" s="439"/>
      <c r="U28" s="439"/>
      <c r="V28" s="439"/>
      <c r="W28" s="439"/>
      <c r="X28" s="436"/>
      <c r="Y28" s="436"/>
      <c r="Z28" s="436"/>
      <c r="AA28" s="436"/>
      <c r="AB28" s="436"/>
      <c r="AC28" s="436"/>
      <c r="AD28" s="436"/>
      <c r="AE28" s="436"/>
      <c r="AF28" s="436"/>
      <c r="AG28" s="436"/>
      <c r="AH28" s="436"/>
      <c r="AI28" s="436"/>
      <c r="AJ28" s="436"/>
      <c r="AK28" s="436"/>
      <c r="AL28" s="436"/>
      <c r="AM28" s="436"/>
      <c r="AN28" s="436"/>
    </row>
    <row r="29" spans="1:40" ht="29.25" customHeight="1">
      <c r="A29" s="471" t="s">
        <v>2063</v>
      </c>
      <c r="B29" s="475" t="s">
        <v>2073</v>
      </c>
      <c r="C29" s="466" t="s">
        <v>2074</v>
      </c>
      <c r="D29" s="476" t="s">
        <v>76</v>
      </c>
      <c r="E29" s="477"/>
      <c r="F29" s="477"/>
      <c r="G29" s="473">
        <v>45770</v>
      </c>
      <c r="H29" s="474">
        <v>45771</v>
      </c>
      <c r="I29" s="474">
        <v>45772</v>
      </c>
      <c r="J29" s="474"/>
      <c r="K29" s="441"/>
      <c r="L29" s="429"/>
      <c r="M29" s="473"/>
      <c r="N29" s="479"/>
      <c r="O29" s="480"/>
      <c r="P29" s="439"/>
      <c r="Q29" s="481" t="s">
        <v>2075</v>
      </c>
      <c r="R29" s="482"/>
      <c r="S29" s="482"/>
      <c r="T29" s="482"/>
      <c r="U29" s="482"/>
      <c r="V29" s="482"/>
      <c r="W29" s="482"/>
      <c r="X29" s="436"/>
      <c r="Y29" s="436"/>
      <c r="Z29" s="436"/>
      <c r="AA29" s="436"/>
      <c r="AB29" s="436"/>
      <c r="AC29" s="436"/>
      <c r="AD29" s="436"/>
      <c r="AE29" s="436"/>
      <c r="AF29" s="436"/>
      <c r="AG29" s="436"/>
      <c r="AH29" s="436"/>
      <c r="AI29" s="436"/>
      <c r="AJ29" s="436"/>
      <c r="AK29" s="436"/>
      <c r="AL29" s="436"/>
      <c r="AM29" s="436"/>
      <c r="AN29" s="436"/>
    </row>
    <row r="30" spans="1:40" ht="29.25" customHeight="1">
      <c r="A30" s="471" t="s">
        <v>2063</v>
      </c>
      <c r="B30" s="483" t="s">
        <v>2076</v>
      </c>
      <c r="C30" s="466" t="s">
        <v>2077</v>
      </c>
      <c r="D30" s="476" t="s">
        <v>76</v>
      </c>
      <c r="E30" s="477"/>
      <c r="F30" s="441">
        <v>1</v>
      </c>
      <c r="G30" s="473">
        <v>45775</v>
      </c>
      <c r="H30" s="474">
        <v>45775</v>
      </c>
      <c r="I30" s="474">
        <v>45775</v>
      </c>
      <c r="J30" s="474">
        <v>45775</v>
      </c>
      <c r="K30" s="441"/>
      <c r="L30" s="429"/>
      <c r="M30" s="473"/>
      <c r="N30" s="479"/>
      <c r="O30" s="480"/>
      <c r="P30" s="439"/>
      <c r="Q30" s="481" t="s">
        <v>2078</v>
      </c>
      <c r="R30" s="482"/>
      <c r="S30" s="482"/>
      <c r="T30" s="482"/>
      <c r="U30" s="482"/>
      <c r="V30" s="482"/>
      <c r="W30" s="482"/>
      <c r="X30" s="436"/>
      <c r="Y30" s="436"/>
      <c r="Z30" s="436"/>
      <c r="AA30" s="436"/>
      <c r="AB30" s="436"/>
      <c r="AC30" s="436"/>
      <c r="AD30" s="436"/>
      <c r="AE30" s="436"/>
      <c r="AF30" s="436"/>
      <c r="AG30" s="436"/>
      <c r="AH30" s="436"/>
      <c r="AI30" s="436"/>
      <c r="AJ30" s="436"/>
      <c r="AK30" s="436"/>
      <c r="AL30" s="436"/>
      <c r="AM30" s="436"/>
      <c r="AN30" s="436"/>
    </row>
    <row r="31" spans="1:40" ht="29.25" customHeight="1">
      <c r="A31" s="471" t="s">
        <v>2063</v>
      </c>
      <c r="B31" s="483" t="s">
        <v>2073</v>
      </c>
      <c r="C31" s="466" t="s">
        <v>2079</v>
      </c>
      <c r="D31" s="476" t="s">
        <v>76</v>
      </c>
      <c r="E31" s="441">
        <v>100</v>
      </c>
      <c r="F31" s="477"/>
      <c r="G31" s="473">
        <v>45770</v>
      </c>
      <c r="H31" s="474">
        <v>45770</v>
      </c>
      <c r="I31" s="474">
        <v>45770</v>
      </c>
      <c r="J31" s="474">
        <v>45770</v>
      </c>
      <c r="K31" s="441">
        <v>1</v>
      </c>
      <c r="L31" s="429"/>
      <c r="M31" s="473"/>
      <c r="N31" s="479"/>
      <c r="O31" s="480"/>
      <c r="P31" s="439"/>
      <c r="Q31" s="439"/>
      <c r="R31" s="439"/>
      <c r="S31" s="439"/>
      <c r="T31" s="439"/>
      <c r="U31" s="439"/>
      <c r="V31" s="439"/>
      <c r="W31" s="439"/>
      <c r="X31" s="436"/>
      <c r="Y31" s="436"/>
      <c r="Z31" s="436"/>
      <c r="AA31" s="436"/>
      <c r="AB31" s="436"/>
      <c r="AC31" s="436"/>
      <c r="AD31" s="436"/>
      <c r="AE31" s="436"/>
      <c r="AF31" s="436"/>
      <c r="AG31" s="436"/>
      <c r="AH31" s="436"/>
      <c r="AI31" s="436"/>
      <c r="AJ31" s="436"/>
      <c r="AK31" s="436"/>
      <c r="AL31" s="436"/>
      <c r="AM31" s="436"/>
      <c r="AN31" s="436"/>
    </row>
    <row r="32" spans="1:40" ht="29.25" customHeight="1">
      <c r="A32" s="471" t="s">
        <v>2063</v>
      </c>
      <c r="B32" s="483" t="s">
        <v>2073</v>
      </c>
      <c r="C32" s="466" t="s">
        <v>2080</v>
      </c>
      <c r="D32" s="476" t="s">
        <v>76</v>
      </c>
      <c r="E32" s="441">
        <v>100</v>
      </c>
      <c r="F32" s="477"/>
      <c r="G32" s="473">
        <v>45770</v>
      </c>
      <c r="H32" s="474">
        <v>45770</v>
      </c>
      <c r="I32" s="474">
        <v>45770</v>
      </c>
      <c r="J32" s="474">
        <v>45770</v>
      </c>
      <c r="K32" s="441">
        <v>1</v>
      </c>
      <c r="L32" s="429"/>
      <c r="M32" s="473"/>
      <c r="N32" s="479"/>
      <c r="O32" s="480"/>
      <c r="P32" s="439"/>
      <c r="Q32" s="439"/>
      <c r="R32" s="439"/>
      <c r="S32" s="439"/>
      <c r="T32" s="439"/>
      <c r="U32" s="439"/>
      <c r="V32" s="439"/>
      <c r="W32" s="439"/>
      <c r="X32" s="436"/>
      <c r="Y32" s="436"/>
      <c r="Z32" s="436"/>
      <c r="AA32" s="436"/>
      <c r="AB32" s="436"/>
      <c r="AC32" s="436"/>
      <c r="AD32" s="436"/>
      <c r="AE32" s="436"/>
      <c r="AF32" s="436"/>
      <c r="AG32" s="436"/>
      <c r="AH32" s="436"/>
      <c r="AI32" s="436"/>
      <c r="AJ32" s="436"/>
      <c r="AK32" s="436"/>
      <c r="AL32" s="436"/>
      <c r="AM32" s="436"/>
      <c r="AN32" s="436"/>
    </row>
    <row r="33" spans="1:40" ht="29.25" customHeight="1">
      <c r="A33" s="484" t="s">
        <v>2081</v>
      </c>
      <c r="B33" s="483" t="s">
        <v>2082</v>
      </c>
      <c r="C33" s="466" t="s">
        <v>2083</v>
      </c>
      <c r="D33" s="476" t="s">
        <v>76</v>
      </c>
      <c r="E33" s="441">
        <v>90</v>
      </c>
      <c r="F33" s="441">
        <v>2</v>
      </c>
      <c r="G33" s="473">
        <v>45773</v>
      </c>
      <c r="H33" s="474">
        <v>45776</v>
      </c>
      <c r="I33" s="474">
        <v>45783</v>
      </c>
      <c r="J33" s="474">
        <v>45785</v>
      </c>
      <c r="K33" s="441"/>
      <c r="L33" s="429"/>
      <c r="M33" s="473"/>
      <c r="N33" s="479"/>
      <c r="O33" s="480"/>
      <c r="P33" s="439"/>
      <c r="Q33" s="439"/>
      <c r="R33" s="439"/>
      <c r="S33" s="439"/>
      <c r="T33" s="439"/>
      <c r="U33" s="439"/>
      <c r="V33" s="481" t="s">
        <v>2084</v>
      </c>
      <c r="W33" s="482"/>
      <c r="X33" s="436"/>
      <c r="Y33" s="436"/>
      <c r="Z33" s="436"/>
      <c r="AA33" s="436"/>
      <c r="AB33" s="436"/>
      <c r="AC33" s="436"/>
      <c r="AD33" s="436"/>
      <c r="AE33" s="436"/>
      <c r="AF33" s="436"/>
      <c r="AG33" s="436"/>
      <c r="AH33" s="436"/>
      <c r="AI33" s="436"/>
      <c r="AJ33" s="436"/>
      <c r="AK33" s="436"/>
      <c r="AL33" s="436"/>
      <c r="AM33" s="436"/>
      <c r="AN33" s="436"/>
    </row>
    <row r="34" spans="1:40" ht="29.25" customHeight="1">
      <c r="A34" s="426" t="s">
        <v>1966</v>
      </c>
      <c r="B34" s="483" t="s">
        <v>2082</v>
      </c>
      <c r="C34" s="466" t="s">
        <v>2085</v>
      </c>
      <c r="D34" s="476" t="s">
        <v>76</v>
      </c>
      <c r="E34" s="477"/>
      <c r="F34" s="477"/>
      <c r="G34" s="473">
        <v>45779</v>
      </c>
      <c r="H34" s="474">
        <v>45779</v>
      </c>
      <c r="I34" s="474">
        <v>45782</v>
      </c>
      <c r="J34" s="474">
        <v>45782</v>
      </c>
      <c r="K34" s="441"/>
      <c r="L34" s="429"/>
      <c r="M34" s="473"/>
      <c r="N34" s="479"/>
      <c r="O34" s="480"/>
      <c r="P34" s="439"/>
      <c r="Q34" s="439"/>
      <c r="R34" s="439"/>
      <c r="S34" s="481" t="s">
        <v>2086</v>
      </c>
      <c r="T34" s="481" t="s">
        <v>2087</v>
      </c>
      <c r="U34" s="482"/>
      <c r="V34" s="482"/>
      <c r="W34" s="482"/>
      <c r="X34" s="436"/>
      <c r="Y34" s="436"/>
      <c r="Z34" s="436"/>
      <c r="AA34" s="436"/>
      <c r="AB34" s="436"/>
      <c r="AC34" s="436"/>
      <c r="AD34" s="436"/>
      <c r="AE34" s="436"/>
      <c r="AF34" s="436"/>
      <c r="AG34" s="436"/>
      <c r="AH34" s="436"/>
      <c r="AI34" s="436"/>
      <c r="AJ34" s="436"/>
      <c r="AK34" s="436"/>
      <c r="AL34" s="436"/>
      <c r="AM34" s="436"/>
      <c r="AN34" s="436"/>
    </row>
    <row r="35" spans="1:40" ht="29.25" customHeight="1">
      <c r="A35" s="485" t="s">
        <v>2088</v>
      </c>
      <c r="B35" s="486"/>
      <c r="C35" s="428" t="s">
        <v>2089</v>
      </c>
      <c r="D35" s="117" t="s">
        <v>76</v>
      </c>
      <c r="E35" s="429"/>
      <c r="F35" s="429"/>
      <c r="G35" s="430">
        <v>45714</v>
      </c>
      <c r="H35" s="474">
        <v>45784</v>
      </c>
      <c r="I35" s="431"/>
      <c r="J35" s="474">
        <v>45785</v>
      </c>
      <c r="K35" s="487"/>
      <c r="L35" s="429"/>
      <c r="M35" s="430"/>
      <c r="N35" s="429"/>
      <c r="O35" s="433"/>
      <c r="P35" s="434" t="s">
        <v>2090</v>
      </c>
      <c r="Q35" s="435"/>
      <c r="R35" s="435"/>
      <c r="S35" s="435"/>
      <c r="T35" s="435"/>
      <c r="U35" s="435"/>
      <c r="V35" s="435"/>
      <c r="W35" s="435"/>
      <c r="X35" s="436"/>
      <c r="Y35" s="436"/>
      <c r="Z35" s="436"/>
      <c r="AA35" s="436"/>
      <c r="AB35" s="436"/>
      <c r="AC35" s="436"/>
      <c r="AD35" s="436"/>
      <c r="AE35" s="436"/>
      <c r="AF35" s="436"/>
      <c r="AG35" s="436"/>
      <c r="AH35" s="436"/>
      <c r="AI35" s="436"/>
      <c r="AJ35" s="436"/>
      <c r="AK35" s="436"/>
      <c r="AL35" s="436"/>
      <c r="AM35" s="436"/>
      <c r="AN35" s="436"/>
    </row>
    <row r="36" spans="1:40" ht="29.25" customHeight="1">
      <c r="A36" s="484" t="s">
        <v>1981</v>
      </c>
      <c r="B36" s="483" t="s">
        <v>2082</v>
      </c>
      <c r="C36" s="466" t="s">
        <v>2091</v>
      </c>
      <c r="D36" s="476" t="s">
        <v>76</v>
      </c>
      <c r="E36" s="441">
        <v>80</v>
      </c>
      <c r="F36" s="441">
        <v>15</v>
      </c>
      <c r="G36" s="473">
        <v>45778</v>
      </c>
      <c r="H36" s="474">
        <v>45778</v>
      </c>
      <c r="I36" s="474"/>
      <c r="J36" s="474">
        <v>45793</v>
      </c>
      <c r="K36" s="432">
        <f ca="1">IF(ISBLANK(J36), NETWORKDAYS(H36, TODAY(),fESTIVOS!$A$1:$A$18), NETWORKDAYS(H36, J36, fESTIVOS!$A$1:$A$18))</f>
        <v>12</v>
      </c>
      <c r="L36" s="429"/>
      <c r="M36" s="473"/>
      <c r="N36" s="488"/>
      <c r="O36" s="480"/>
      <c r="P36" s="439"/>
      <c r="Q36" s="439"/>
      <c r="R36" s="439"/>
      <c r="S36" s="439"/>
      <c r="T36" s="439"/>
      <c r="U36" s="439"/>
      <c r="V36" s="481" t="s">
        <v>2092</v>
      </c>
      <c r="W36" s="481" t="s">
        <v>2093</v>
      </c>
      <c r="X36" s="444" t="s">
        <v>2094</v>
      </c>
      <c r="Y36" s="445"/>
      <c r="Z36" s="444" t="s">
        <v>2095</v>
      </c>
      <c r="AA36" s="445"/>
      <c r="AB36" s="445"/>
      <c r="AC36" s="444" t="s">
        <v>2096</v>
      </c>
      <c r="AD36" s="445"/>
      <c r="AE36" s="445"/>
      <c r="AF36" s="445"/>
      <c r="AG36" s="445"/>
      <c r="AH36" s="445"/>
      <c r="AI36" s="445"/>
      <c r="AJ36" s="445"/>
      <c r="AK36" s="445"/>
      <c r="AL36" s="445"/>
      <c r="AM36" s="445"/>
      <c r="AN36" s="445"/>
    </row>
    <row r="37" spans="1:40" ht="29.25" customHeight="1">
      <c r="A37" s="484" t="s">
        <v>1981</v>
      </c>
      <c r="B37" s="483" t="s">
        <v>2082</v>
      </c>
      <c r="C37" s="466" t="s">
        <v>2097</v>
      </c>
      <c r="D37" s="476" t="s">
        <v>76</v>
      </c>
      <c r="E37" s="477"/>
      <c r="F37" s="441">
        <v>1</v>
      </c>
      <c r="G37" s="473">
        <v>45785</v>
      </c>
      <c r="H37" s="474">
        <v>45785</v>
      </c>
      <c r="I37" s="474">
        <v>45786</v>
      </c>
      <c r="J37" s="474">
        <v>45786</v>
      </c>
      <c r="K37" s="432">
        <f ca="1">IF(ISBLANK(J37), NETWORKDAYS(H37, TODAY(),fESTIVOS!$A$1:$A$18), NETWORKDAYS(H37, J37, fESTIVOS!$A$1:$A$18))</f>
        <v>2</v>
      </c>
      <c r="L37" s="429"/>
      <c r="M37" s="473"/>
      <c r="N37" s="488"/>
      <c r="O37" s="478">
        <v>45786</v>
      </c>
      <c r="P37" s="439"/>
      <c r="Q37" s="439"/>
      <c r="R37" s="439"/>
      <c r="S37" s="439"/>
      <c r="T37" s="439"/>
      <c r="U37" s="439"/>
      <c r="V37" s="481" t="s">
        <v>2098</v>
      </c>
      <c r="W37" s="481" t="s">
        <v>2099</v>
      </c>
      <c r="X37" s="482"/>
      <c r="Y37" s="482"/>
      <c r="Z37" s="482"/>
      <c r="AA37" s="482"/>
      <c r="AB37" s="482"/>
      <c r="AC37" s="482"/>
      <c r="AD37" s="482"/>
      <c r="AE37" s="482"/>
      <c r="AF37" s="482"/>
      <c r="AG37" s="482"/>
      <c r="AH37" s="482"/>
      <c r="AI37" s="482"/>
      <c r="AJ37" s="482"/>
      <c r="AK37" s="482"/>
      <c r="AL37" s="482"/>
      <c r="AM37" s="482"/>
      <c r="AN37" s="482"/>
    </row>
    <row r="38" spans="1:40" ht="29.25" customHeight="1">
      <c r="A38" s="484" t="s">
        <v>1981</v>
      </c>
      <c r="B38" s="483" t="s">
        <v>2082</v>
      </c>
      <c r="C38" s="489" t="s">
        <v>2100</v>
      </c>
      <c r="D38" s="490" t="s">
        <v>76</v>
      </c>
      <c r="E38" s="479"/>
      <c r="F38" s="479"/>
      <c r="G38" s="473">
        <v>45791</v>
      </c>
      <c r="H38" s="474">
        <v>45791</v>
      </c>
      <c r="I38" s="474"/>
      <c r="J38" s="474">
        <v>45791</v>
      </c>
      <c r="K38" s="432">
        <f ca="1">IF(ISBLANK(J38), NETWORKDAYS(H38, TODAY(),fESTIVOS!$A$1:$A$18), NETWORKDAYS(H38, J38, fESTIVOS!$A$1:$A$18))</f>
        <v>1</v>
      </c>
      <c r="L38" s="491"/>
      <c r="M38" s="492"/>
      <c r="N38" s="493"/>
      <c r="O38" s="494"/>
      <c r="P38" s="439"/>
      <c r="Q38" s="439"/>
      <c r="R38" s="442"/>
      <c r="S38" s="442"/>
      <c r="T38" s="442"/>
      <c r="U38" s="442"/>
      <c r="V38" s="442"/>
      <c r="W38" s="442"/>
      <c r="X38" s="481" t="s">
        <v>2101</v>
      </c>
      <c r="Y38" s="442"/>
      <c r="Z38" s="481" t="s">
        <v>2102</v>
      </c>
      <c r="AA38" s="495"/>
      <c r="AB38" s="495"/>
      <c r="AC38" s="495"/>
      <c r="AD38" s="495"/>
      <c r="AE38" s="495"/>
      <c r="AF38" s="495"/>
      <c r="AG38" s="495"/>
      <c r="AH38" s="495"/>
      <c r="AI38" s="495"/>
      <c r="AJ38" s="495"/>
      <c r="AK38" s="495"/>
      <c r="AL38" s="495"/>
      <c r="AM38" s="495"/>
      <c r="AN38" s="495"/>
    </row>
    <row r="39" spans="1:40" ht="29.25" customHeight="1">
      <c r="A39" s="426" t="s">
        <v>1991</v>
      </c>
      <c r="B39" s="496" t="s">
        <v>2103</v>
      </c>
      <c r="C39" s="440" t="s">
        <v>1461</v>
      </c>
      <c r="D39" s="476" t="s">
        <v>76</v>
      </c>
      <c r="E39" s="429"/>
      <c r="F39" s="441">
        <v>1</v>
      </c>
      <c r="G39" s="473">
        <v>45779</v>
      </c>
      <c r="H39" s="474">
        <v>45779</v>
      </c>
      <c r="I39" s="474">
        <v>45779</v>
      </c>
      <c r="J39" s="474">
        <v>45779</v>
      </c>
      <c r="K39" s="497">
        <f ca="1">IF(ISBLANK(J39), NETWORKDAYS(H39, TODAY(),fESTIVOS!$A$1:$A$18), NETWORKDAYS(H39, J39, fESTIVOS!$A$1:$A$18))</f>
        <v>1</v>
      </c>
      <c r="L39" s="429"/>
      <c r="M39" s="473">
        <v>45782</v>
      </c>
      <c r="N39" s="498"/>
      <c r="O39" s="478">
        <v>45789</v>
      </c>
      <c r="P39" s="434"/>
      <c r="Q39" s="435"/>
      <c r="R39" s="435"/>
      <c r="S39" s="444" t="s">
        <v>273</v>
      </c>
      <c r="T39" s="445"/>
      <c r="U39" s="445"/>
      <c r="V39" s="445"/>
      <c r="W39" s="444" t="s">
        <v>2104</v>
      </c>
      <c r="X39" s="444" t="s">
        <v>2105</v>
      </c>
      <c r="Y39" s="445"/>
      <c r="Z39" s="445"/>
      <c r="AA39" s="445"/>
      <c r="AB39" s="445"/>
      <c r="AC39" s="445"/>
      <c r="AD39" s="445"/>
      <c r="AE39" s="445"/>
      <c r="AF39" s="445"/>
      <c r="AG39" s="445"/>
      <c r="AH39" s="445"/>
      <c r="AI39" s="445"/>
      <c r="AJ39" s="445"/>
      <c r="AK39" s="445"/>
      <c r="AL39" s="445"/>
      <c r="AM39" s="445"/>
      <c r="AN39" s="445"/>
    </row>
    <row r="40" spans="1:40" ht="29.25" customHeight="1">
      <c r="A40" s="499" t="s">
        <v>2063</v>
      </c>
      <c r="B40" s="483" t="s">
        <v>2106</v>
      </c>
      <c r="C40" s="466" t="s">
        <v>2107</v>
      </c>
      <c r="D40" s="476" t="s">
        <v>76</v>
      </c>
      <c r="E40" s="477"/>
      <c r="F40" s="477"/>
      <c r="G40" s="473">
        <v>45789</v>
      </c>
      <c r="H40" s="474">
        <v>45789</v>
      </c>
      <c r="I40" s="474"/>
      <c r="J40" s="474">
        <v>45790</v>
      </c>
      <c r="K40" s="432">
        <f ca="1">IF(ISBLANK(J40), NETWORKDAYS(H40, TODAY(),fESTIVOS!$A$1:$A$18), NETWORKDAYS(H40, J40, fESTIVOS!$A$1:$A$18))</f>
        <v>2</v>
      </c>
      <c r="L40" s="429"/>
      <c r="M40" s="473"/>
      <c r="N40" s="488"/>
      <c r="O40" s="478"/>
      <c r="P40" s="439"/>
      <c r="Q40" s="439"/>
      <c r="R40" s="439"/>
      <c r="S40" s="439"/>
      <c r="T40" s="439"/>
      <c r="U40" s="439"/>
      <c r="V40" s="439"/>
      <c r="W40" s="481" t="s">
        <v>2108</v>
      </c>
      <c r="X40" s="481" t="s">
        <v>2109</v>
      </c>
      <c r="Y40" s="482"/>
      <c r="Z40" s="482"/>
      <c r="AA40" s="482"/>
      <c r="AB40" s="482"/>
      <c r="AC40" s="482"/>
      <c r="AD40" s="482"/>
      <c r="AE40" s="482"/>
      <c r="AF40" s="482"/>
      <c r="AG40" s="482"/>
      <c r="AH40" s="482"/>
      <c r="AI40" s="482"/>
      <c r="AJ40" s="482"/>
      <c r="AK40" s="482"/>
      <c r="AL40" s="482"/>
      <c r="AM40" s="482"/>
      <c r="AN40" s="482"/>
    </row>
    <row r="41" spans="1:40" ht="29.25" customHeight="1">
      <c r="A41" s="471" t="s">
        <v>2110</v>
      </c>
      <c r="B41" s="483" t="s">
        <v>2111</v>
      </c>
      <c r="C41" s="440" t="s">
        <v>2112</v>
      </c>
      <c r="D41" s="476" t="s">
        <v>76</v>
      </c>
      <c r="E41" s="477"/>
      <c r="F41" s="477"/>
      <c r="G41" s="473">
        <v>45789</v>
      </c>
      <c r="H41" s="474">
        <v>45789</v>
      </c>
      <c r="I41" s="474"/>
      <c r="J41" s="474">
        <v>45790</v>
      </c>
      <c r="K41" s="432">
        <f ca="1">IF(ISBLANK(J41), NETWORKDAYS(H41, TODAY(),fESTIVOS!$A$1:$A$18), NETWORKDAYS(H41, J41, fESTIVOS!$A$1:$A$18))</f>
        <v>2</v>
      </c>
      <c r="L41" s="429"/>
      <c r="M41" s="473"/>
      <c r="N41" s="488"/>
      <c r="O41" s="478"/>
      <c r="P41" s="439"/>
      <c r="Q41" s="439"/>
      <c r="R41" s="439"/>
      <c r="S41" s="439"/>
      <c r="T41" s="439"/>
      <c r="U41" s="439"/>
      <c r="V41" s="439"/>
      <c r="W41" s="481" t="s">
        <v>2108</v>
      </c>
      <c r="X41" s="481" t="s">
        <v>2113</v>
      </c>
      <c r="Y41" s="482"/>
      <c r="Z41" s="482"/>
      <c r="AA41" s="482"/>
      <c r="AB41" s="482"/>
      <c r="AC41" s="482"/>
      <c r="AD41" s="482"/>
      <c r="AE41" s="482"/>
      <c r="AF41" s="482"/>
      <c r="AG41" s="482"/>
      <c r="AH41" s="482"/>
      <c r="AI41" s="482"/>
      <c r="AJ41" s="482"/>
      <c r="AK41" s="482"/>
      <c r="AL41" s="482"/>
      <c r="AM41" s="482"/>
      <c r="AN41" s="482"/>
    </row>
    <row r="42" spans="1:40" ht="29.25" customHeight="1">
      <c r="A42" s="471" t="s">
        <v>2063</v>
      </c>
      <c r="B42" s="500" t="s">
        <v>2114</v>
      </c>
      <c r="C42" s="466" t="s">
        <v>2115</v>
      </c>
      <c r="D42" s="476" t="s">
        <v>76</v>
      </c>
      <c r="E42" s="441">
        <v>90</v>
      </c>
      <c r="F42" s="477"/>
      <c r="G42" s="473">
        <v>45791</v>
      </c>
      <c r="H42" s="474">
        <v>45792</v>
      </c>
      <c r="I42" s="474">
        <v>45793</v>
      </c>
      <c r="J42" s="474">
        <v>45793</v>
      </c>
      <c r="K42" s="432">
        <f ca="1">IF(ISBLANK(J42), NETWORKDAYS(H42, TODAY(),fESTIVOS!$A$1:$A$18), NETWORKDAYS(H42, J42, fESTIVOS!$A$1:$A$18))</f>
        <v>2</v>
      </c>
      <c r="L42" s="429"/>
      <c r="M42" s="473">
        <v>45793</v>
      </c>
      <c r="N42" s="488"/>
      <c r="O42" s="480"/>
      <c r="P42" s="439"/>
      <c r="Q42" s="439"/>
      <c r="R42" s="439"/>
      <c r="S42" s="439"/>
      <c r="T42" s="439"/>
      <c r="U42" s="439"/>
      <c r="V42" s="439"/>
      <c r="W42" s="439"/>
      <c r="X42" s="439"/>
      <c r="Y42" s="439"/>
      <c r="Z42" s="481" t="s">
        <v>2116</v>
      </c>
      <c r="AA42" s="481" t="s">
        <v>2117</v>
      </c>
      <c r="AB42" s="482"/>
      <c r="AC42" s="482"/>
      <c r="AD42" s="482"/>
      <c r="AE42" s="482"/>
      <c r="AF42" s="482"/>
      <c r="AG42" s="482"/>
      <c r="AH42" s="482"/>
      <c r="AI42" s="482"/>
      <c r="AJ42" s="482"/>
      <c r="AK42" s="482"/>
      <c r="AL42" s="482"/>
      <c r="AM42" s="482"/>
      <c r="AN42" s="482"/>
    </row>
    <row r="43" spans="1:40" ht="29.25" customHeight="1">
      <c r="A43" s="471" t="s">
        <v>2063</v>
      </c>
      <c r="B43" s="501" t="s">
        <v>2118</v>
      </c>
      <c r="C43" s="466" t="s">
        <v>2119</v>
      </c>
      <c r="D43" s="476" t="s">
        <v>76</v>
      </c>
      <c r="E43" s="441">
        <v>0</v>
      </c>
      <c r="F43" s="477"/>
      <c r="G43" s="473">
        <v>45796</v>
      </c>
      <c r="H43" s="474">
        <v>45796</v>
      </c>
      <c r="I43" s="474"/>
      <c r="J43" s="474">
        <v>45796</v>
      </c>
      <c r="K43" s="432">
        <f ca="1">IF(ISBLANK(J43), NETWORKDAYS(H43, TODAY(),fESTIVOS!$A$1:$A$18), NETWORKDAYS(H43, J43, fESTIVOS!$A$1:$A$18))</f>
        <v>1</v>
      </c>
      <c r="L43" s="429"/>
      <c r="M43" s="473"/>
      <c r="N43" s="488"/>
      <c r="O43" s="480"/>
      <c r="P43" s="439"/>
      <c r="Q43" s="439"/>
      <c r="R43" s="439"/>
      <c r="S43" s="439"/>
      <c r="T43" s="439"/>
      <c r="U43" s="439"/>
      <c r="V43" s="439"/>
      <c r="W43" s="439"/>
      <c r="X43" s="439"/>
      <c r="Y43" s="439"/>
      <c r="Z43" s="481"/>
      <c r="AA43" s="481" t="s">
        <v>2120</v>
      </c>
      <c r="AB43" s="482"/>
      <c r="AC43" s="482"/>
      <c r="AD43" s="482"/>
      <c r="AE43" s="482"/>
      <c r="AF43" s="482"/>
      <c r="AG43" s="482"/>
      <c r="AH43" s="482"/>
      <c r="AI43" s="482"/>
      <c r="AJ43" s="482"/>
      <c r="AK43" s="482"/>
      <c r="AL43" s="482"/>
      <c r="AM43" s="482"/>
      <c r="AN43" s="482"/>
    </row>
    <row r="44" spans="1:40" ht="29.25" customHeight="1">
      <c r="A44" s="471" t="s">
        <v>2063</v>
      </c>
      <c r="B44" s="501" t="s">
        <v>2121</v>
      </c>
      <c r="C44" s="466" t="s">
        <v>2122</v>
      </c>
      <c r="D44" s="476" t="s">
        <v>76</v>
      </c>
      <c r="E44" s="441">
        <v>80</v>
      </c>
      <c r="F44" s="477"/>
      <c r="G44" s="473">
        <v>45796</v>
      </c>
      <c r="H44" s="474">
        <v>45796</v>
      </c>
      <c r="I44" s="474"/>
      <c r="J44" s="474">
        <v>45796</v>
      </c>
      <c r="K44" s="432">
        <f ca="1">IF(ISBLANK(J44), NETWORKDAYS(H44, TODAY(),fESTIVOS!$A$1:$A$18), NETWORKDAYS(H44, J44, fESTIVOS!$A$1:$A$18))</f>
        <v>1</v>
      </c>
      <c r="L44" s="429"/>
      <c r="M44" s="473"/>
      <c r="N44" s="488"/>
      <c r="O44" s="480"/>
      <c r="P44" s="439"/>
      <c r="Q44" s="439"/>
      <c r="R44" s="439"/>
      <c r="S44" s="439"/>
      <c r="T44" s="439"/>
      <c r="U44" s="439"/>
      <c r="V44" s="439"/>
      <c r="W44" s="439"/>
      <c r="X44" s="439"/>
      <c r="Y44" s="439"/>
      <c r="Z44" s="481"/>
      <c r="AA44" s="481" t="s">
        <v>2123</v>
      </c>
      <c r="AB44" s="481" t="s">
        <v>2124</v>
      </c>
      <c r="AC44" s="482"/>
      <c r="AD44" s="482"/>
      <c r="AE44" s="482"/>
      <c r="AF44" s="482"/>
      <c r="AG44" s="482"/>
      <c r="AH44" s="482"/>
      <c r="AI44" s="482"/>
      <c r="AJ44" s="482"/>
      <c r="AK44" s="482"/>
      <c r="AL44" s="482"/>
      <c r="AM44" s="482"/>
      <c r="AN44" s="482"/>
    </row>
    <row r="45" spans="1:40" ht="29.25" customHeight="1">
      <c r="A45" s="471" t="s">
        <v>2063</v>
      </c>
      <c r="B45" s="501" t="s">
        <v>2125</v>
      </c>
      <c r="C45" s="440" t="s">
        <v>2126</v>
      </c>
      <c r="D45" s="476" t="s">
        <v>76</v>
      </c>
      <c r="E45" s="441"/>
      <c r="F45" s="477"/>
      <c r="G45" s="473">
        <v>45797</v>
      </c>
      <c r="H45" s="474">
        <v>45798</v>
      </c>
      <c r="I45" s="474"/>
      <c r="J45" s="474">
        <v>45799</v>
      </c>
      <c r="K45" s="432">
        <f ca="1">IF(ISBLANK(J45), NETWORKDAYS(H45, TODAY(),fESTIVOS!$A$1:$A$18), NETWORKDAYS(H45, J45, fESTIVOS!$A$1:$A$18))</f>
        <v>2</v>
      </c>
      <c r="L45" s="429"/>
      <c r="M45" s="473">
        <v>45799</v>
      </c>
      <c r="N45" s="488"/>
      <c r="O45" s="480"/>
      <c r="P45" s="439"/>
      <c r="Q45" s="439"/>
      <c r="R45" s="439"/>
      <c r="S45" s="439"/>
      <c r="T45" s="439"/>
      <c r="U45" s="439"/>
      <c r="V45" s="439"/>
      <c r="W45" s="439"/>
      <c r="X45" s="439"/>
      <c r="Y45" s="439"/>
      <c r="Z45" s="481"/>
      <c r="AA45" s="481"/>
      <c r="AB45" s="481" t="s">
        <v>2127</v>
      </c>
      <c r="AC45" s="481" t="s">
        <v>2128</v>
      </c>
    </row>
    <row r="46" spans="1:40" ht="29.25" customHeight="1">
      <c r="A46" s="471" t="s">
        <v>2063</v>
      </c>
      <c r="B46" s="501" t="s">
        <v>2125</v>
      </c>
      <c r="C46" s="440" t="s">
        <v>2129</v>
      </c>
      <c r="D46" s="476" t="s">
        <v>76</v>
      </c>
      <c r="E46" s="441"/>
      <c r="F46" s="477"/>
      <c r="G46" s="473">
        <v>45797</v>
      </c>
      <c r="H46" s="474">
        <v>45797</v>
      </c>
      <c r="I46" s="474"/>
      <c r="J46" s="474">
        <v>45799</v>
      </c>
      <c r="K46" s="432">
        <f ca="1">IF(ISBLANK(J46), NETWORKDAYS(H46, TODAY(),fESTIVOS!$A$1:$A$18), NETWORKDAYS(H46, J46, fESTIVOS!$A$1:$A$18))</f>
        <v>3</v>
      </c>
      <c r="L46" s="429"/>
      <c r="M46" s="473"/>
      <c r="N46" s="488"/>
      <c r="O46" s="480"/>
      <c r="P46" s="439"/>
      <c r="Q46" s="439"/>
      <c r="R46" s="439"/>
      <c r="S46" s="439"/>
      <c r="T46" s="439"/>
      <c r="U46" s="439"/>
      <c r="V46" s="439"/>
      <c r="W46" s="439"/>
      <c r="X46" s="439"/>
      <c r="Y46" s="439"/>
      <c r="Z46" s="481"/>
      <c r="AA46" s="481"/>
      <c r="AB46" s="481" t="s">
        <v>2130</v>
      </c>
      <c r="AC46" s="481" t="s">
        <v>2131</v>
      </c>
      <c r="AD46" s="482"/>
      <c r="AE46" s="482"/>
      <c r="AF46" s="482"/>
      <c r="AG46" s="482"/>
      <c r="AH46" s="482"/>
      <c r="AI46" s="482"/>
      <c r="AJ46" s="482"/>
      <c r="AK46" s="482"/>
      <c r="AL46" s="482"/>
      <c r="AM46" s="482"/>
      <c r="AN46" s="482"/>
    </row>
    <row r="47" spans="1:40" ht="29.25" customHeight="1">
      <c r="A47" s="471" t="s">
        <v>2063</v>
      </c>
      <c r="B47" s="501" t="s">
        <v>2132</v>
      </c>
      <c r="C47" s="440" t="s">
        <v>2133</v>
      </c>
      <c r="D47" s="476" t="s">
        <v>76</v>
      </c>
      <c r="E47" s="441"/>
      <c r="F47" s="477"/>
      <c r="G47" s="473">
        <v>45799</v>
      </c>
      <c r="H47" s="474">
        <v>45799</v>
      </c>
      <c r="I47" s="474"/>
      <c r="J47" s="474">
        <v>45799</v>
      </c>
      <c r="K47" s="432">
        <f ca="1">IF(ISBLANK(J47), NETWORKDAYS(H47, TODAY(),fESTIVOS!$A$1:$A$18), NETWORKDAYS(H47, J47, fESTIVOS!$A$1:$A$18))</f>
        <v>1</v>
      </c>
      <c r="L47" s="429"/>
      <c r="M47" s="473"/>
      <c r="N47" s="488"/>
      <c r="O47" s="480"/>
      <c r="P47" s="439"/>
      <c r="Q47" s="439"/>
      <c r="R47" s="439"/>
      <c r="S47" s="439"/>
      <c r="T47" s="439"/>
      <c r="U47" s="439"/>
      <c r="V47" s="439"/>
      <c r="W47" s="439"/>
      <c r="X47" s="439"/>
      <c r="Y47" s="439"/>
      <c r="Z47" s="481"/>
      <c r="AA47" s="481"/>
      <c r="AB47" s="481"/>
      <c r="AC47" s="481" t="s">
        <v>2134</v>
      </c>
      <c r="AD47" s="482"/>
      <c r="AE47" s="482"/>
      <c r="AF47" s="482"/>
      <c r="AG47" s="482"/>
      <c r="AH47" s="482"/>
      <c r="AI47" s="482"/>
      <c r="AJ47" s="482"/>
      <c r="AK47" s="482"/>
      <c r="AL47" s="482"/>
      <c r="AM47" s="482"/>
      <c r="AN47" s="482"/>
    </row>
    <row r="48" spans="1:40" ht="29.25" customHeight="1">
      <c r="A48" s="471" t="s">
        <v>2063</v>
      </c>
      <c r="B48" s="501" t="s">
        <v>2135</v>
      </c>
      <c r="C48" s="440" t="s">
        <v>2136</v>
      </c>
      <c r="D48" s="476" t="s">
        <v>76</v>
      </c>
      <c r="E48" s="441"/>
      <c r="F48" s="477"/>
      <c r="G48" s="473">
        <v>45798</v>
      </c>
      <c r="H48" s="474">
        <v>45799</v>
      </c>
      <c r="I48" s="474"/>
      <c r="J48" s="474">
        <v>45799</v>
      </c>
      <c r="K48" s="432">
        <f ca="1">IF(ISBLANK(J48), NETWORKDAYS(H48, TODAY(),fESTIVOS!$A$1:$A$18), NETWORKDAYS(H48, J48, fESTIVOS!$A$1:$A$18))</f>
        <v>1</v>
      </c>
      <c r="L48" s="429"/>
      <c r="M48" s="473"/>
      <c r="N48" s="488"/>
      <c r="O48" s="480"/>
      <c r="P48" s="439"/>
      <c r="Q48" s="439"/>
      <c r="R48" s="439"/>
      <c r="S48" s="439"/>
      <c r="T48" s="439"/>
      <c r="U48" s="439"/>
      <c r="V48" s="439"/>
      <c r="W48" s="439"/>
      <c r="X48" s="439"/>
      <c r="Y48" s="439"/>
      <c r="Z48" s="481"/>
      <c r="AA48" s="481"/>
      <c r="AB48" s="481"/>
      <c r="AC48" s="482"/>
      <c r="AD48" s="482"/>
      <c r="AE48" s="482"/>
      <c r="AF48" s="482"/>
      <c r="AG48" s="482"/>
      <c r="AH48" s="482"/>
      <c r="AI48" s="482"/>
      <c r="AJ48" s="482"/>
      <c r="AK48" s="482"/>
      <c r="AL48" s="482"/>
      <c r="AM48" s="482"/>
      <c r="AN48" s="482"/>
    </row>
    <row r="49" spans="1:40" ht="29.25" customHeight="1">
      <c r="A49" s="471" t="s">
        <v>2063</v>
      </c>
      <c r="B49" s="501" t="s">
        <v>2137</v>
      </c>
      <c r="C49" s="440" t="s">
        <v>2138</v>
      </c>
      <c r="D49" s="476" t="s">
        <v>76</v>
      </c>
      <c r="E49" s="441"/>
      <c r="F49" s="477"/>
      <c r="G49" s="473">
        <v>45799</v>
      </c>
      <c r="H49" s="474">
        <v>45799</v>
      </c>
      <c r="I49" s="474"/>
      <c r="J49" s="474">
        <v>45799</v>
      </c>
      <c r="K49" s="432">
        <f ca="1">IF(ISBLANK(J49), NETWORKDAYS(H49, TODAY(),fESTIVOS!$A$1:$A$18), NETWORKDAYS(H49, J49, fESTIVOS!$A$1:$A$18))</f>
        <v>1</v>
      </c>
      <c r="L49" s="429"/>
      <c r="M49" s="473"/>
      <c r="N49" s="488"/>
      <c r="O49" s="480"/>
      <c r="P49" s="439"/>
      <c r="Q49" s="439"/>
      <c r="R49" s="439"/>
      <c r="S49" s="439"/>
      <c r="T49" s="439"/>
      <c r="U49" s="439"/>
      <c r="V49" s="439"/>
      <c r="W49" s="439"/>
      <c r="X49" s="439"/>
      <c r="Y49" s="439"/>
      <c r="Z49" s="481"/>
      <c r="AA49" s="481"/>
      <c r="AB49" s="481"/>
      <c r="AC49" s="482"/>
      <c r="AD49" s="482"/>
      <c r="AE49" s="482"/>
      <c r="AF49" s="482"/>
      <c r="AG49" s="482"/>
      <c r="AH49" s="482"/>
      <c r="AI49" s="482"/>
      <c r="AJ49" s="482"/>
      <c r="AK49" s="482"/>
      <c r="AL49" s="482"/>
      <c r="AM49" s="482"/>
      <c r="AN49" s="482"/>
    </row>
    <row r="50" spans="1:40" ht="29.25" customHeight="1">
      <c r="A50" s="471" t="s">
        <v>2063</v>
      </c>
      <c r="B50" s="501" t="s">
        <v>2073</v>
      </c>
      <c r="C50" s="440" t="s">
        <v>2139</v>
      </c>
      <c r="D50" s="476" t="s">
        <v>76</v>
      </c>
      <c r="E50" s="441"/>
      <c r="F50" s="477"/>
      <c r="G50" s="473">
        <v>45796</v>
      </c>
      <c r="H50" s="474">
        <v>45798</v>
      </c>
      <c r="I50" s="474"/>
      <c r="J50" s="474">
        <v>45798</v>
      </c>
      <c r="K50" s="432">
        <f ca="1">IF(ISBLANK(J50), NETWORKDAYS(H50, TODAY(),fESTIVOS!$A$1:$A$18), NETWORKDAYS(H50, J50, fESTIVOS!$A$1:$A$18))</f>
        <v>1</v>
      </c>
      <c r="L50" s="429"/>
      <c r="M50" s="473"/>
      <c r="N50" s="488"/>
      <c r="O50" s="480"/>
      <c r="P50" s="439"/>
      <c r="Q50" s="439"/>
      <c r="R50" s="439"/>
      <c r="S50" s="439"/>
      <c r="T50" s="439"/>
      <c r="U50" s="439"/>
      <c r="V50" s="439"/>
      <c r="W50" s="439"/>
      <c r="X50" s="439"/>
      <c r="Y50" s="439"/>
      <c r="Z50" s="481"/>
      <c r="AA50" s="481"/>
      <c r="AB50" s="481" t="s">
        <v>2140</v>
      </c>
      <c r="AC50" s="482"/>
      <c r="AD50" s="482"/>
      <c r="AE50" s="482"/>
      <c r="AF50" s="482"/>
      <c r="AG50" s="482"/>
      <c r="AH50" s="482"/>
      <c r="AI50" s="482"/>
      <c r="AJ50" s="482"/>
      <c r="AK50" s="482"/>
      <c r="AL50" s="482"/>
      <c r="AM50" s="482"/>
      <c r="AN50" s="482"/>
    </row>
    <row r="51" spans="1:40" ht="29.25" customHeight="1">
      <c r="A51" s="471" t="s">
        <v>2063</v>
      </c>
      <c r="B51" s="483" t="s">
        <v>2141</v>
      </c>
      <c r="C51" s="466" t="s">
        <v>2142</v>
      </c>
      <c r="D51" s="476" t="s">
        <v>76</v>
      </c>
      <c r="E51" s="477"/>
      <c r="F51" s="477"/>
      <c r="G51" s="473">
        <v>45791</v>
      </c>
      <c r="H51" s="474">
        <v>45792</v>
      </c>
      <c r="I51" s="474"/>
      <c r="J51" s="474">
        <v>45792</v>
      </c>
      <c r="K51" s="432">
        <f ca="1">IF(ISBLANK(J51), NETWORKDAYS(H51, TODAY(),fESTIVOS!$A$1:$A$18), NETWORKDAYS(H51, J51, fESTIVOS!$A$1:$A$18))</f>
        <v>1</v>
      </c>
      <c r="L51" s="429"/>
      <c r="M51" s="473"/>
      <c r="N51" s="488"/>
      <c r="O51" s="480"/>
      <c r="P51" s="439"/>
      <c r="Q51" s="439"/>
      <c r="R51" s="439"/>
      <c r="S51" s="439"/>
      <c r="T51" s="439"/>
      <c r="U51" s="439"/>
      <c r="V51" s="439"/>
      <c r="W51" s="439"/>
      <c r="X51" s="439"/>
      <c r="Y51" s="481" t="s">
        <v>2143</v>
      </c>
      <c r="Z51" s="482"/>
      <c r="AA51" s="482"/>
      <c r="AB51" s="482"/>
      <c r="AC51" s="482"/>
      <c r="AD51" s="482"/>
      <c r="AE51" s="482"/>
      <c r="AF51" s="482"/>
      <c r="AG51" s="482"/>
      <c r="AH51" s="482"/>
      <c r="AI51" s="482"/>
      <c r="AJ51" s="482"/>
      <c r="AK51" s="482"/>
      <c r="AL51" s="482"/>
      <c r="AM51" s="482"/>
      <c r="AN51" s="482"/>
    </row>
    <row r="52" spans="1:40" ht="29.25" customHeight="1">
      <c r="A52" s="426" t="s">
        <v>1966</v>
      </c>
      <c r="B52" s="441" t="s">
        <v>2144</v>
      </c>
      <c r="C52" s="466" t="s">
        <v>2145</v>
      </c>
      <c r="D52" s="476" t="s">
        <v>76</v>
      </c>
      <c r="E52" s="441">
        <v>80</v>
      </c>
      <c r="F52" s="429"/>
      <c r="G52" s="473">
        <v>45763</v>
      </c>
      <c r="H52" s="474">
        <v>45779</v>
      </c>
      <c r="I52" s="474">
        <v>45776</v>
      </c>
      <c r="J52" s="474">
        <v>45799</v>
      </c>
      <c r="K52" s="432">
        <f ca="1">IF(ISBLANK(J52), NETWORKDAYS(H52, TODAY(),fESTIVOS!$A$1:$A$18), NETWORKDAYS(H52, J52, fESTIVOS!$A$1:$A$18))</f>
        <v>15</v>
      </c>
      <c r="L52" s="502" t="s">
        <v>2146</v>
      </c>
      <c r="M52" s="473">
        <v>45777</v>
      </c>
      <c r="N52" s="476" t="s">
        <v>2147</v>
      </c>
      <c r="O52" s="478">
        <v>45799</v>
      </c>
      <c r="P52" s="438"/>
      <c r="Q52" s="481" t="s">
        <v>2148</v>
      </c>
      <c r="R52" s="481" t="s">
        <v>2149</v>
      </c>
      <c r="S52" s="481" t="s">
        <v>2150</v>
      </c>
      <c r="T52" s="482"/>
      <c r="U52" s="482"/>
      <c r="V52" s="482"/>
      <c r="W52" s="481" t="s">
        <v>2151</v>
      </c>
      <c r="X52" s="481" t="s">
        <v>2152</v>
      </c>
      <c r="Y52" s="482"/>
      <c r="Z52" s="481" t="s">
        <v>2153</v>
      </c>
      <c r="AA52" s="481" t="s">
        <v>2154</v>
      </c>
      <c r="AB52" s="481" t="s">
        <v>2155</v>
      </c>
      <c r="AC52" s="481" t="s">
        <v>2156</v>
      </c>
      <c r="AD52" s="482"/>
      <c r="AE52" s="482"/>
      <c r="AF52" s="482"/>
      <c r="AG52" s="482"/>
      <c r="AH52" s="482"/>
      <c r="AI52" s="482"/>
      <c r="AJ52" s="482"/>
      <c r="AK52" s="482"/>
      <c r="AL52" s="482"/>
      <c r="AM52" s="482"/>
      <c r="AN52" s="482"/>
    </row>
    <row r="53" spans="1:40" ht="29.25" customHeight="1">
      <c r="A53" s="485" t="s">
        <v>2088</v>
      </c>
      <c r="B53" s="486"/>
      <c r="C53" s="428" t="s">
        <v>2089</v>
      </c>
      <c r="D53" s="117" t="s">
        <v>76</v>
      </c>
      <c r="E53" s="429"/>
      <c r="F53" s="429"/>
      <c r="G53" s="430">
        <v>45714</v>
      </c>
      <c r="H53" s="474">
        <v>45784</v>
      </c>
      <c r="I53" s="431"/>
      <c r="J53" s="474">
        <v>45785</v>
      </c>
      <c r="K53" s="487"/>
      <c r="L53" s="429"/>
      <c r="M53" s="430"/>
      <c r="N53" s="498"/>
      <c r="O53" s="433"/>
      <c r="P53" s="434" t="s">
        <v>2090</v>
      </c>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row>
    <row r="54" spans="1:40" ht="29.25" customHeight="1">
      <c r="A54" s="503" t="s">
        <v>1966</v>
      </c>
      <c r="B54" s="504" t="s">
        <v>2157</v>
      </c>
      <c r="C54" s="505" t="s">
        <v>2158</v>
      </c>
      <c r="D54" s="506" t="s">
        <v>76</v>
      </c>
      <c r="E54" s="441">
        <v>100</v>
      </c>
      <c r="F54" s="441"/>
      <c r="G54" s="507">
        <v>45800</v>
      </c>
      <c r="H54" s="474"/>
      <c r="I54" s="474"/>
      <c r="J54" s="474">
        <v>45804</v>
      </c>
      <c r="K54" s="441"/>
      <c r="L54" s="429"/>
      <c r="M54" s="473"/>
      <c r="N54" s="488"/>
      <c r="O54" s="480"/>
      <c r="P54" s="508"/>
      <c r="Q54" s="508"/>
      <c r="R54" s="508"/>
      <c r="S54" s="509"/>
      <c r="T54" s="510"/>
      <c r="U54" s="510"/>
      <c r="V54" s="509"/>
      <c r="W54" s="509"/>
      <c r="X54" s="509"/>
      <c r="Y54" s="510"/>
      <c r="Z54" s="510"/>
      <c r="AA54" s="509"/>
      <c r="AB54" s="509"/>
      <c r="AC54" s="509" t="s">
        <v>2159</v>
      </c>
      <c r="AD54" s="510"/>
      <c r="AE54" s="481" t="s">
        <v>2160</v>
      </c>
      <c r="AF54" s="481"/>
      <c r="AG54" s="481"/>
      <c r="AH54" s="481"/>
      <c r="AI54" s="481"/>
      <c r="AJ54" s="481"/>
      <c r="AK54" s="481"/>
      <c r="AL54" s="481"/>
      <c r="AM54" s="481"/>
      <c r="AN54" s="481"/>
    </row>
    <row r="55" spans="1:40" ht="29.25" customHeight="1">
      <c r="A55" s="511" t="s">
        <v>2063</v>
      </c>
      <c r="B55" s="512" t="s">
        <v>2125</v>
      </c>
      <c r="C55" s="513" t="s">
        <v>2161</v>
      </c>
      <c r="D55" s="506" t="s">
        <v>76</v>
      </c>
      <c r="E55" s="441">
        <v>100</v>
      </c>
      <c r="F55" s="477"/>
      <c r="G55" s="473">
        <v>45798</v>
      </c>
      <c r="H55" s="474">
        <v>45803</v>
      </c>
      <c r="I55" s="474"/>
      <c r="J55" s="474">
        <v>45803</v>
      </c>
      <c r="K55" s="432">
        <f ca="1">IF(ISBLANK(J55), NETWORKDAYS(H55, TODAY(),fESTIVOS!$A$1:$A$18), NETWORKDAYS(H55, J55, fESTIVOS!$A$1:$A$18))</f>
        <v>1</v>
      </c>
      <c r="L55" s="429"/>
      <c r="M55" s="473"/>
      <c r="N55" s="488"/>
      <c r="O55" s="480">
        <v>45803</v>
      </c>
      <c r="P55" s="508"/>
      <c r="Q55" s="508"/>
      <c r="R55" s="508"/>
      <c r="S55" s="508"/>
      <c r="T55" s="508"/>
      <c r="U55" s="508"/>
      <c r="V55" s="508"/>
      <c r="W55" s="508"/>
      <c r="X55" s="508"/>
      <c r="Y55" s="508"/>
      <c r="Z55" s="509"/>
      <c r="AA55" s="509"/>
      <c r="AB55" s="509"/>
      <c r="AC55" s="509" t="s">
        <v>2162</v>
      </c>
      <c r="AD55" s="509" t="s">
        <v>2163</v>
      </c>
      <c r="AE55" s="481" t="s">
        <v>2164</v>
      </c>
      <c r="AF55" s="481"/>
      <c r="AG55" s="481"/>
      <c r="AH55" s="481"/>
      <c r="AI55" s="481"/>
      <c r="AJ55" s="481"/>
      <c r="AK55" s="481"/>
      <c r="AL55" s="481"/>
      <c r="AM55" s="481"/>
      <c r="AN55" s="481"/>
    </row>
    <row r="56" spans="1:40" ht="29.25" customHeight="1">
      <c r="A56" s="511" t="s">
        <v>2063</v>
      </c>
      <c r="B56" s="514" t="s">
        <v>2165</v>
      </c>
      <c r="C56" s="513" t="s">
        <v>2166</v>
      </c>
      <c r="D56" s="506" t="s">
        <v>76</v>
      </c>
      <c r="E56" s="477"/>
      <c r="F56" s="477"/>
      <c r="G56" s="473">
        <v>45804</v>
      </c>
      <c r="H56" s="474">
        <v>45804</v>
      </c>
      <c r="I56" s="474"/>
      <c r="J56" s="474">
        <v>45804</v>
      </c>
      <c r="K56" s="432">
        <f ca="1">IF(ISBLANK(J56), NETWORKDAYS(H56, TODAY(),fESTIVOS!$A$1:$A$18), NETWORKDAYS(H56, J56, fESTIVOS!$A$1:$A$18))</f>
        <v>1</v>
      </c>
      <c r="L56" s="429"/>
      <c r="M56" s="473"/>
      <c r="N56" s="488"/>
      <c r="O56" s="480"/>
      <c r="P56" s="508"/>
      <c r="Q56" s="508"/>
      <c r="R56" s="508"/>
      <c r="S56" s="508"/>
      <c r="T56" s="508"/>
      <c r="U56" s="508"/>
      <c r="V56" s="508"/>
      <c r="W56" s="508"/>
      <c r="X56" s="508"/>
      <c r="Y56" s="508"/>
      <c r="Z56" s="508"/>
      <c r="AA56" s="508"/>
      <c r="AB56" s="508"/>
      <c r="AC56" s="508"/>
      <c r="AD56" s="508"/>
      <c r="AE56" s="481" t="s">
        <v>2167</v>
      </c>
      <c r="AF56" s="481"/>
      <c r="AG56" s="481"/>
      <c r="AH56" s="481"/>
      <c r="AI56" s="481"/>
      <c r="AJ56" s="481"/>
      <c r="AK56" s="481"/>
      <c r="AL56" s="481"/>
      <c r="AM56" s="481"/>
      <c r="AN56" s="481"/>
    </row>
    <row r="57" spans="1:40" ht="29.25" customHeight="1">
      <c r="A57" s="511" t="s">
        <v>2063</v>
      </c>
      <c r="B57" s="483" t="s">
        <v>2073</v>
      </c>
      <c r="C57" s="466" t="s">
        <v>2168</v>
      </c>
      <c r="D57" s="476" t="s">
        <v>76</v>
      </c>
      <c r="E57" s="477"/>
      <c r="F57" s="477"/>
      <c r="G57" s="473">
        <v>45805</v>
      </c>
      <c r="H57" s="474">
        <v>45806</v>
      </c>
      <c r="I57" s="474"/>
      <c r="J57" s="474">
        <v>45806</v>
      </c>
      <c r="K57" s="432">
        <f ca="1">IF(ISBLANK(J57), NETWORKDAYS(H57, TODAY(),fESTIVOS!$A$1:$A$18), NETWORKDAYS(H57, J57, fESTIVOS!$A$1:$A$18))</f>
        <v>1</v>
      </c>
      <c r="L57" s="429"/>
      <c r="M57" s="473"/>
      <c r="N57" s="488"/>
      <c r="O57" s="480"/>
      <c r="P57" s="508"/>
      <c r="Q57" s="508"/>
      <c r="R57" s="508"/>
      <c r="S57" s="508"/>
      <c r="T57" s="508"/>
      <c r="U57" s="508"/>
      <c r="V57" s="508"/>
      <c r="W57" s="508"/>
      <c r="X57" s="508"/>
      <c r="Y57" s="508"/>
      <c r="Z57" s="508"/>
      <c r="AA57" s="508"/>
      <c r="AB57" s="508"/>
      <c r="AC57" s="508"/>
      <c r="AD57" s="508"/>
      <c r="AE57" s="439"/>
      <c r="AF57" s="481" t="s">
        <v>2169</v>
      </c>
      <c r="AG57" s="481"/>
      <c r="AH57" s="481"/>
      <c r="AI57" s="481"/>
      <c r="AJ57" s="481"/>
      <c r="AK57" s="481"/>
      <c r="AL57" s="481"/>
      <c r="AM57" s="481"/>
      <c r="AN57" s="481"/>
    </row>
    <row r="58" spans="1:40" ht="29.25" customHeight="1">
      <c r="A58" s="511" t="s">
        <v>2063</v>
      </c>
      <c r="B58" s="483" t="s">
        <v>2170</v>
      </c>
      <c r="C58" s="466" t="s">
        <v>2171</v>
      </c>
      <c r="D58" s="476" t="s">
        <v>76</v>
      </c>
      <c r="E58" s="477"/>
      <c r="F58" s="477"/>
      <c r="G58" s="473">
        <v>45807</v>
      </c>
      <c r="H58" s="474">
        <v>45807</v>
      </c>
      <c r="I58" s="474"/>
      <c r="J58" s="474">
        <v>45811</v>
      </c>
      <c r="K58" s="432">
        <f ca="1">IF(ISBLANK(J58), NETWORKDAYS(H58, TODAY(),fESTIVOS!$A$1:$A$18), NETWORKDAYS(H58, J58, fESTIVOS!$A$1:$A$18))</f>
        <v>3</v>
      </c>
      <c r="L58" s="429"/>
      <c r="M58" s="473"/>
      <c r="N58" s="488"/>
      <c r="O58" s="480"/>
      <c r="P58" s="508"/>
      <c r="Q58" s="508"/>
      <c r="R58" s="508"/>
      <c r="S58" s="508"/>
      <c r="T58" s="508"/>
      <c r="U58" s="508"/>
      <c r="V58" s="508"/>
      <c r="W58" s="508"/>
      <c r="X58" s="508"/>
      <c r="Y58" s="508"/>
      <c r="Z58" s="508"/>
      <c r="AA58" s="508"/>
      <c r="AB58" s="508"/>
      <c r="AC58" s="508"/>
      <c r="AD58" s="508"/>
      <c r="AE58" s="508"/>
      <c r="AF58" s="509" t="s">
        <v>2172</v>
      </c>
      <c r="AG58" s="481"/>
      <c r="AH58" s="481"/>
      <c r="AI58" s="481"/>
      <c r="AJ58" s="481"/>
      <c r="AK58" s="481"/>
      <c r="AL58" s="481"/>
      <c r="AM58" s="481"/>
      <c r="AN58" s="481"/>
    </row>
    <row r="59" spans="1:40" ht="29.25" customHeight="1">
      <c r="A59" s="511" t="s">
        <v>2063</v>
      </c>
      <c r="B59" s="483" t="s">
        <v>2073</v>
      </c>
      <c r="C59" s="466" t="s">
        <v>2173</v>
      </c>
      <c r="D59" s="476" t="s">
        <v>76</v>
      </c>
      <c r="E59" s="477"/>
      <c r="F59" s="477"/>
      <c r="G59" s="473">
        <v>45811</v>
      </c>
      <c r="H59" s="474">
        <v>45812</v>
      </c>
      <c r="I59" s="474"/>
      <c r="J59" s="474">
        <v>45812</v>
      </c>
      <c r="K59" s="432">
        <f ca="1">IF(ISBLANK(J59), NETWORKDAYS(H59, TODAY(),fESTIVOS!$A$1:$A$18), NETWORKDAYS(H59, J59, fESTIVOS!$A$1:$A$18))</f>
        <v>1</v>
      </c>
      <c r="L59" s="429"/>
      <c r="M59" s="473"/>
      <c r="N59" s="488"/>
      <c r="O59" s="480"/>
      <c r="P59" s="508"/>
      <c r="Q59" s="508"/>
      <c r="R59" s="508"/>
      <c r="S59" s="508"/>
      <c r="T59" s="508"/>
      <c r="U59" s="508"/>
      <c r="V59" s="508"/>
      <c r="W59" s="508"/>
      <c r="X59" s="508"/>
      <c r="Y59" s="508"/>
      <c r="Z59" s="508"/>
      <c r="AA59" s="508"/>
      <c r="AB59" s="508"/>
      <c r="AC59" s="508"/>
      <c r="AD59" s="508"/>
      <c r="AE59" s="508"/>
      <c r="AF59" s="508"/>
      <c r="AG59" s="481" t="s">
        <v>2174</v>
      </c>
      <c r="AH59" s="481"/>
      <c r="AI59" s="481"/>
      <c r="AJ59" s="481"/>
      <c r="AK59" s="481"/>
      <c r="AL59" s="481"/>
      <c r="AM59" s="481"/>
      <c r="AN59" s="481"/>
    </row>
    <row r="60" spans="1:40" ht="29.25" customHeight="1">
      <c r="A60" s="511" t="s">
        <v>2063</v>
      </c>
      <c r="B60" s="514" t="s">
        <v>297</v>
      </c>
      <c r="C60" s="513" t="s">
        <v>2175</v>
      </c>
      <c r="D60" s="476" t="s">
        <v>76</v>
      </c>
      <c r="E60" s="477"/>
      <c r="F60" s="477"/>
      <c r="G60" s="473">
        <v>45811</v>
      </c>
      <c r="H60" s="474">
        <v>45811</v>
      </c>
      <c r="I60" s="474"/>
      <c r="J60" s="474">
        <v>45814</v>
      </c>
      <c r="K60" s="432">
        <f ca="1">IF(ISBLANK(J60), NETWORKDAYS(H60, TODAY(),fESTIVOS!$A$1:$A$18), NETWORKDAYS(H60, J60, fESTIVOS!$A$1:$A$18))</f>
        <v>4</v>
      </c>
      <c r="L60" s="429"/>
      <c r="M60" s="473">
        <v>45811</v>
      </c>
      <c r="N60" s="488"/>
      <c r="O60" s="480">
        <v>45814</v>
      </c>
      <c r="P60" s="508"/>
      <c r="Q60" s="508"/>
      <c r="R60" s="508"/>
      <c r="S60" s="508"/>
      <c r="T60" s="508"/>
      <c r="U60" s="508"/>
      <c r="V60" s="508"/>
      <c r="W60" s="508"/>
      <c r="X60" s="508"/>
      <c r="Y60" s="508"/>
      <c r="Z60" s="508"/>
      <c r="AA60" s="508"/>
      <c r="AB60" s="508"/>
      <c r="AC60" s="508"/>
      <c r="AD60" s="508"/>
      <c r="AE60" s="439"/>
      <c r="AF60" s="481" t="s">
        <v>2176</v>
      </c>
      <c r="AG60" s="481" t="s">
        <v>2177</v>
      </c>
      <c r="AH60" s="481" t="s">
        <v>2178</v>
      </c>
      <c r="AI60" s="481" t="s">
        <v>2179</v>
      </c>
      <c r="AJ60" s="481"/>
      <c r="AK60" s="481"/>
      <c r="AL60" s="481"/>
      <c r="AM60" s="481"/>
      <c r="AN60" s="481"/>
    </row>
    <row r="61" spans="1:40" ht="29.25" customHeight="1">
      <c r="A61" s="511" t="s">
        <v>1991</v>
      </c>
      <c r="B61" s="515" t="s">
        <v>2180</v>
      </c>
      <c r="C61" s="505" t="s">
        <v>2181</v>
      </c>
      <c r="D61" s="506" t="s">
        <v>76</v>
      </c>
      <c r="E61" s="441">
        <v>95</v>
      </c>
      <c r="F61" s="441">
        <v>3</v>
      </c>
      <c r="G61" s="473">
        <v>45784</v>
      </c>
      <c r="H61" s="474">
        <v>45784</v>
      </c>
      <c r="I61" s="474">
        <v>45786</v>
      </c>
      <c r="J61" s="474">
        <v>45803</v>
      </c>
      <c r="K61" s="497">
        <f ca="1">IF(ISBLANK(J61), NETWORKDAYS(H61, TODAY(),fESTIVOS!$A$1:$A$18), NETWORKDAYS(H61, J61, fESTIVOS!$A$1:$A$18))</f>
        <v>14</v>
      </c>
      <c r="L61" s="429"/>
      <c r="M61" s="473">
        <v>45786</v>
      </c>
      <c r="N61" s="498"/>
      <c r="O61" s="478">
        <v>45814</v>
      </c>
      <c r="P61" s="434"/>
      <c r="Q61" s="516"/>
      <c r="R61" s="516"/>
      <c r="S61" s="516"/>
      <c r="T61" s="517" t="s">
        <v>2182</v>
      </c>
      <c r="U61" s="518"/>
      <c r="V61" s="517" t="s">
        <v>2183</v>
      </c>
      <c r="W61" s="517" t="s">
        <v>2184</v>
      </c>
      <c r="X61" s="517" t="s">
        <v>2185</v>
      </c>
      <c r="Y61" s="518"/>
      <c r="Z61" s="518"/>
      <c r="AA61" s="518"/>
      <c r="AB61" s="518"/>
      <c r="AC61" s="518"/>
      <c r="AD61" s="518"/>
      <c r="AE61" s="445"/>
      <c r="AF61" s="445"/>
      <c r="AG61" s="444" t="s">
        <v>2186</v>
      </c>
      <c r="AH61" s="444" t="s">
        <v>2187</v>
      </c>
      <c r="AI61" s="444" t="s">
        <v>2188</v>
      </c>
      <c r="AJ61" s="444"/>
      <c r="AK61" s="444"/>
      <c r="AL61" s="444"/>
      <c r="AM61" s="444"/>
      <c r="AN61" s="444"/>
    </row>
    <row r="62" spans="1:40" ht="29.25" customHeight="1">
      <c r="A62" s="511" t="s">
        <v>2063</v>
      </c>
      <c r="B62" s="483" t="s">
        <v>2189</v>
      </c>
      <c r="C62" s="466" t="s">
        <v>2190</v>
      </c>
      <c r="D62" s="476" t="s">
        <v>76</v>
      </c>
      <c r="E62" s="477"/>
      <c r="F62" s="477"/>
      <c r="G62" s="473">
        <v>45818</v>
      </c>
      <c r="H62" s="474">
        <v>45818</v>
      </c>
      <c r="I62" s="474"/>
      <c r="J62" s="474">
        <v>45818</v>
      </c>
      <c r="K62" s="432">
        <f ca="1">IF(ISBLANK(J62), NETWORKDAYS(H62, TODAY(),fESTIVOS!$A$1:$A$18), NETWORKDAYS(H62, J62, fESTIVOS!$A$1:$A$18))</f>
        <v>1</v>
      </c>
      <c r="L62" s="429"/>
      <c r="M62" s="473"/>
      <c r="N62" s="488"/>
      <c r="O62" s="480"/>
      <c r="P62" s="508"/>
      <c r="Q62" s="508"/>
      <c r="R62" s="508"/>
      <c r="S62" s="508"/>
      <c r="T62" s="508"/>
      <c r="U62" s="508"/>
      <c r="V62" s="508"/>
      <c r="W62" s="508"/>
      <c r="X62" s="508"/>
      <c r="Y62" s="508"/>
      <c r="Z62" s="508"/>
      <c r="AA62" s="508"/>
      <c r="AB62" s="508"/>
      <c r="AC62" s="508"/>
      <c r="AD62" s="508"/>
      <c r="AE62" s="508"/>
      <c r="AF62" s="508"/>
      <c r="AG62" s="508"/>
      <c r="AH62" s="508"/>
      <c r="AI62" s="508"/>
      <c r="AJ62" s="481" t="s">
        <v>2191</v>
      </c>
      <c r="AK62" s="481"/>
      <c r="AL62" s="481"/>
      <c r="AM62" s="481"/>
      <c r="AN62" s="481"/>
    </row>
    <row r="63" spans="1:40" ht="29.25" customHeight="1">
      <c r="A63" s="471" t="s">
        <v>1981</v>
      </c>
      <c r="B63" s="483" t="s">
        <v>423</v>
      </c>
      <c r="C63" s="440" t="s">
        <v>2192</v>
      </c>
      <c r="D63" s="476" t="s">
        <v>76</v>
      </c>
      <c r="E63" s="441">
        <v>100</v>
      </c>
      <c r="F63" s="441">
        <v>1</v>
      </c>
      <c r="G63" s="473">
        <v>45818</v>
      </c>
      <c r="H63" s="474">
        <v>45819</v>
      </c>
      <c r="I63" s="474">
        <v>45819</v>
      </c>
      <c r="J63" s="474">
        <v>45819</v>
      </c>
      <c r="K63" s="432">
        <f ca="1">IF(ISBLANK(J63), NETWORKDAYS(H63, TODAY(),fESTIVOS!$A$1:$A$18), NETWORKDAYS(H63, J63, fESTIVOS!$A$1:$A$18))</f>
        <v>1</v>
      </c>
      <c r="L63" s="429"/>
      <c r="M63" s="473"/>
      <c r="N63" s="488"/>
      <c r="O63" s="480"/>
      <c r="P63" s="508"/>
      <c r="Q63" s="508"/>
      <c r="R63" s="508"/>
      <c r="S63" s="508"/>
      <c r="T63" s="508"/>
      <c r="U63" s="508"/>
      <c r="V63" s="508"/>
      <c r="W63" s="508"/>
      <c r="X63" s="508"/>
      <c r="Y63" s="508"/>
      <c r="Z63" s="508"/>
      <c r="AA63" s="508"/>
      <c r="AB63" s="508"/>
      <c r="AC63" s="508"/>
      <c r="AD63" s="508"/>
      <c r="AE63" s="508"/>
      <c r="AF63" s="508"/>
      <c r="AG63" s="508"/>
      <c r="AH63" s="508"/>
      <c r="AI63" s="508"/>
      <c r="AJ63" s="509" t="s">
        <v>2193</v>
      </c>
      <c r="AK63" s="481" t="s">
        <v>2194</v>
      </c>
      <c r="AL63" s="481"/>
      <c r="AM63" s="481"/>
      <c r="AN63" s="481"/>
    </row>
    <row r="64" spans="1:40" ht="29.25" customHeight="1">
      <c r="A64" s="471" t="s">
        <v>1981</v>
      </c>
      <c r="B64" s="483" t="s">
        <v>423</v>
      </c>
      <c r="C64" s="440" t="s">
        <v>2195</v>
      </c>
      <c r="D64" s="476" t="s">
        <v>76</v>
      </c>
      <c r="E64" s="441">
        <v>100</v>
      </c>
      <c r="F64" s="441">
        <v>1</v>
      </c>
      <c r="G64" s="473">
        <v>45818</v>
      </c>
      <c r="H64" s="474">
        <v>45820</v>
      </c>
      <c r="I64" s="474">
        <v>45820</v>
      </c>
      <c r="J64" s="474">
        <v>45821</v>
      </c>
      <c r="K64" s="432">
        <f ca="1">IF(ISBLANK(J64), NETWORKDAYS(H64, TODAY(),fESTIVOS!$A$1:$A$18), NETWORKDAYS(H64, J64, fESTIVOS!$A$1:$A$18))</f>
        <v>2</v>
      </c>
      <c r="L64" s="429"/>
      <c r="M64" s="473"/>
      <c r="N64" s="488"/>
      <c r="O64" s="480"/>
      <c r="P64" s="508"/>
      <c r="Q64" s="508"/>
      <c r="R64" s="508"/>
      <c r="S64" s="508"/>
      <c r="T64" s="508"/>
      <c r="U64" s="508"/>
      <c r="V64" s="508"/>
      <c r="W64" s="508"/>
      <c r="X64" s="508"/>
      <c r="Y64" s="508"/>
      <c r="Z64" s="508"/>
      <c r="AA64" s="508"/>
      <c r="AB64" s="508"/>
      <c r="AC64" s="508"/>
      <c r="AD64" s="508"/>
      <c r="AE64" s="508"/>
      <c r="AF64" s="508"/>
      <c r="AG64" s="508"/>
      <c r="AH64" s="508"/>
      <c r="AI64" s="508"/>
      <c r="AJ64" s="509" t="s">
        <v>2196</v>
      </c>
      <c r="AK64" s="481" t="s">
        <v>2197</v>
      </c>
      <c r="AL64" s="481"/>
      <c r="AM64" s="481"/>
      <c r="AN64" s="481"/>
    </row>
    <row r="65" spans="1:40" ht="29.25" customHeight="1">
      <c r="A65" s="503" t="s">
        <v>1966</v>
      </c>
      <c r="B65" s="514" t="s">
        <v>2082</v>
      </c>
      <c r="C65" s="519" t="s">
        <v>2198</v>
      </c>
      <c r="D65" s="506" t="s">
        <v>76</v>
      </c>
      <c r="E65" s="441">
        <v>100</v>
      </c>
      <c r="F65" s="520">
        <v>1</v>
      </c>
      <c r="G65" s="473">
        <v>45786</v>
      </c>
      <c r="H65" s="474">
        <v>45786</v>
      </c>
      <c r="I65" s="474"/>
      <c r="J65" s="474">
        <v>45825</v>
      </c>
      <c r="K65" s="432">
        <f ca="1">IF(ISBLANK(J65), NETWORKDAYS(H65, TODAY(),fESTIVOS!$A$1:$A$18), NETWORKDAYS(H65, J65, fESTIVOS!$A$1:$A$18))</f>
        <v>28</v>
      </c>
      <c r="L65" s="429"/>
      <c r="M65" s="473"/>
      <c r="N65" s="488"/>
      <c r="O65" s="480"/>
      <c r="P65" s="508"/>
      <c r="Q65" s="508"/>
      <c r="R65" s="508"/>
      <c r="S65" s="509" t="s">
        <v>2199</v>
      </c>
      <c r="T65" s="510"/>
      <c r="U65" s="510"/>
      <c r="V65" s="509" t="s">
        <v>2200</v>
      </c>
      <c r="W65" s="509" t="s">
        <v>2201</v>
      </c>
      <c r="X65" s="509" t="s">
        <v>2202</v>
      </c>
      <c r="Y65" s="510"/>
      <c r="Z65" s="510"/>
      <c r="AA65" s="509" t="s">
        <v>2203</v>
      </c>
      <c r="AB65" s="509" t="s">
        <v>2204</v>
      </c>
      <c r="AC65" s="509" t="s">
        <v>2205</v>
      </c>
      <c r="AD65" s="509" t="s">
        <v>2206</v>
      </c>
      <c r="AE65" s="481" t="s">
        <v>248</v>
      </c>
      <c r="AF65" s="481" t="s">
        <v>2207</v>
      </c>
      <c r="AG65" s="481"/>
      <c r="AH65" s="481"/>
      <c r="AI65" s="481"/>
      <c r="AJ65" s="481" t="s">
        <v>2208</v>
      </c>
      <c r="AK65" s="481" t="s">
        <v>2209</v>
      </c>
      <c r="AL65" s="481" t="s">
        <v>2210</v>
      </c>
      <c r="AM65" s="481" t="s">
        <v>2211</v>
      </c>
      <c r="AN65" s="481"/>
    </row>
    <row r="66" spans="1:40" ht="29.25" customHeight="1">
      <c r="A66" s="511" t="s">
        <v>2063</v>
      </c>
      <c r="B66" s="483" t="s">
        <v>2212</v>
      </c>
      <c r="C66" s="521" t="s">
        <v>2213</v>
      </c>
      <c r="D66" s="476" t="s">
        <v>76</v>
      </c>
      <c r="E66" s="441">
        <v>100</v>
      </c>
      <c r="F66" s="477"/>
      <c r="G66" s="473">
        <v>45805</v>
      </c>
      <c r="H66" s="474">
        <v>45825</v>
      </c>
      <c r="I66" s="474"/>
      <c r="J66" s="474">
        <v>45825</v>
      </c>
      <c r="K66" s="432">
        <f ca="1">IF(ISBLANK(J66), NETWORKDAYS(H66, TODAY(),fESTIVOS!$A$1:$A$18), NETWORKDAYS(H66, J66, fESTIVOS!$A$1:$A$18))</f>
        <v>1</v>
      </c>
      <c r="L66" s="429"/>
      <c r="M66" s="473"/>
      <c r="N66" s="488"/>
      <c r="O66" s="480"/>
      <c r="P66" s="508"/>
      <c r="Q66" s="508"/>
      <c r="R66" s="508"/>
      <c r="S66" s="508"/>
      <c r="T66" s="508"/>
      <c r="U66" s="508"/>
      <c r="V66" s="508"/>
      <c r="W66" s="508"/>
      <c r="X66" s="508"/>
      <c r="Y66" s="508"/>
      <c r="Z66" s="508"/>
      <c r="AA66" s="508"/>
      <c r="AB66" s="508"/>
      <c r="AC66" s="508"/>
      <c r="AD66" s="508"/>
      <c r="AE66" s="439"/>
      <c r="AF66" s="481" t="s">
        <v>2214</v>
      </c>
      <c r="AG66" s="481"/>
      <c r="AH66" s="481"/>
      <c r="AI66" s="481"/>
      <c r="AJ66" s="481"/>
      <c r="AK66" s="481"/>
      <c r="AL66" s="481" t="s">
        <v>2215</v>
      </c>
      <c r="AM66" s="481" t="s">
        <v>2216</v>
      </c>
      <c r="AN66" s="481"/>
    </row>
    <row r="67" spans="1:40" ht="29.25" customHeight="1">
      <c r="A67" s="511" t="s">
        <v>2063</v>
      </c>
      <c r="B67" s="475"/>
      <c r="C67" s="440" t="s">
        <v>2217</v>
      </c>
      <c r="D67" s="476" t="s">
        <v>76</v>
      </c>
      <c r="E67" s="477"/>
      <c r="F67" s="441">
        <v>1</v>
      </c>
      <c r="G67" s="473">
        <v>45825</v>
      </c>
      <c r="H67" s="474">
        <v>45825</v>
      </c>
      <c r="I67" s="474">
        <v>45825</v>
      </c>
      <c r="J67" s="474"/>
      <c r="K67" s="432">
        <f ca="1">IF(ISBLANK(J67), NETWORKDAYS(H67, TODAY(),fESTIVOS!$A$1:$A$18), NETWORKDAYS(H67, J67, fESTIVOS!$A$1:$A$18))</f>
        <v>162</v>
      </c>
      <c r="L67" s="429"/>
      <c r="M67" s="473"/>
      <c r="N67" s="488"/>
      <c r="O67" s="480"/>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9" t="s">
        <v>2218</v>
      </c>
      <c r="AN67" s="481"/>
    </row>
    <row r="68" spans="1:40" ht="29.25" customHeight="1">
      <c r="A68" s="522" t="s">
        <v>1966</v>
      </c>
      <c r="B68" s="483" t="s">
        <v>2073</v>
      </c>
      <c r="C68" s="466" t="s">
        <v>2219</v>
      </c>
      <c r="D68" s="476" t="s">
        <v>76</v>
      </c>
      <c r="E68" s="441">
        <v>100</v>
      </c>
      <c r="F68" s="523"/>
      <c r="G68" s="473">
        <v>45825</v>
      </c>
      <c r="H68" s="474">
        <v>45825</v>
      </c>
      <c r="I68" s="474"/>
      <c r="J68" s="474">
        <v>45825</v>
      </c>
      <c r="K68" s="432">
        <f ca="1">IF(ISBLANK(J68), NETWORKDAYS(H68, TODAY(),fESTIVOS!$A$1:$A$18), NETWORKDAYS(H68, J68, fESTIVOS!$A$1:$A$18))</f>
        <v>1</v>
      </c>
      <c r="L68" s="429"/>
      <c r="M68" s="473"/>
      <c r="N68" s="488"/>
      <c r="O68" s="480">
        <v>45825</v>
      </c>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9" t="s">
        <v>2220</v>
      </c>
      <c r="AN68" s="481"/>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24" t="s">
        <v>1963</v>
      </c>
      <c r="B1" s="524" t="s">
        <v>2</v>
      </c>
      <c r="C1" s="524" t="s">
        <v>4</v>
      </c>
      <c r="D1" s="524" t="s">
        <v>5</v>
      </c>
      <c r="E1" s="525" t="s">
        <v>8</v>
      </c>
      <c r="F1" s="525" t="s">
        <v>9</v>
      </c>
      <c r="G1" s="526" t="s">
        <v>2221</v>
      </c>
      <c r="H1" s="525" t="s">
        <v>11</v>
      </c>
      <c r="I1" s="525" t="s">
        <v>1551</v>
      </c>
      <c r="J1" s="527" t="s">
        <v>14</v>
      </c>
      <c r="K1" s="528" t="s">
        <v>15</v>
      </c>
      <c r="L1" s="529" t="s">
        <v>1965</v>
      </c>
      <c r="M1" s="446"/>
      <c r="N1" s="446"/>
      <c r="O1" s="446"/>
      <c r="P1" s="446"/>
      <c r="Q1" s="446"/>
      <c r="R1" s="446"/>
      <c r="S1" s="446"/>
      <c r="T1" s="446"/>
      <c r="U1" s="446"/>
      <c r="V1" s="446"/>
      <c r="W1" s="446"/>
      <c r="X1" s="446"/>
      <c r="Y1" s="446"/>
      <c r="Z1" s="446"/>
    </row>
    <row r="2" spans="1:26" ht="15" customHeight="1">
      <c r="A2" s="530" t="s">
        <v>1981</v>
      </c>
      <c r="B2" s="531" t="s">
        <v>2222</v>
      </c>
      <c r="C2" s="532" t="s">
        <v>2223</v>
      </c>
      <c r="D2" s="533"/>
      <c r="E2" s="534">
        <v>45561</v>
      </c>
      <c r="F2" s="534">
        <v>45561</v>
      </c>
      <c r="G2" s="533"/>
      <c r="H2" s="535">
        <v>45565</v>
      </c>
      <c r="I2" s="536">
        <f ca="1">IF(ISBLANK(H2), NETWORKDAYS(F2, TODAY(),fESTIVOS!$A$1:$A$18), NETWORKDAYS(F2, H2, fESTIVOS!$A$1:$A$18))</f>
        <v>3</v>
      </c>
      <c r="J2" s="534">
        <v>45565</v>
      </c>
      <c r="K2" s="534">
        <v>45566</v>
      </c>
      <c r="L2" s="537" t="s">
        <v>2224</v>
      </c>
      <c r="M2" s="446"/>
      <c r="N2" s="446"/>
      <c r="O2" s="446"/>
      <c r="P2" s="446"/>
      <c r="Q2" s="446"/>
      <c r="R2" s="446"/>
      <c r="S2" s="446"/>
      <c r="T2" s="446"/>
      <c r="U2" s="446"/>
      <c r="V2" s="446"/>
      <c r="W2" s="446"/>
      <c r="X2" s="446"/>
      <c r="Y2" s="446"/>
      <c r="Z2" s="446"/>
    </row>
    <row r="3" spans="1:26" ht="15" customHeight="1">
      <c r="A3" s="530" t="s">
        <v>1981</v>
      </c>
      <c r="B3" s="538"/>
      <c r="C3" s="532" t="s">
        <v>2225</v>
      </c>
      <c r="D3" s="533"/>
      <c r="E3" s="534">
        <v>45561</v>
      </c>
      <c r="F3" s="534">
        <v>45562</v>
      </c>
      <c r="G3" s="533"/>
      <c r="H3" s="534">
        <v>45565</v>
      </c>
      <c r="I3" s="536">
        <f ca="1">IF(ISBLANK(H3), NETWORKDAYS(F3, TODAY(),fESTIVOS!$A$1:$A$18), NETWORKDAYS(F3, H3, fESTIVOS!$A$1:$A$18))</f>
        <v>2</v>
      </c>
      <c r="J3" s="534">
        <v>45565</v>
      </c>
      <c r="K3" s="534">
        <v>45566</v>
      </c>
      <c r="L3" s="537" t="s">
        <v>2226</v>
      </c>
      <c r="M3" s="446"/>
      <c r="N3" s="446"/>
      <c r="O3" s="446"/>
      <c r="P3" s="446"/>
      <c r="Q3" s="446"/>
      <c r="R3" s="446"/>
      <c r="S3" s="446"/>
      <c r="T3" s="446"/>
      <c r="U3" s="446"/>
      <c r="V3" s="446"/>
      <c r="W3" s="446"/>
      <c r="X3" s="446"/>
      <c r="Y3" s="446"/>
      <c r="Z3" s="446"/>
    </row>
    <row r="4" spans="1:26" ht="15" customHeight="1">
      <c r="A4" s="530" t="s">
        <v>1981</v>
      </c>
      <c r="B4" s="539" t="s">
        <v>2227</v>
      </c>
      <c r="C4" s="532" t="s">
        <v>2228</v>
      </c>
      <c r="D4" s="533"/>
      <c r="E4" s="534">
        <v>45566</v>
      </c>
      <c r="F4" s="534">
        <v>45566</v>
      </c>
      <c r="G4" s="533"/>
      <c r="H4" s="534">
        <v>45566</v>
      </c>
      <c r="I4" s="536">
        <f ca="1">IF(ISBLANK(H4), NETWORKDAYS(F4, TODAY(),fESTIVOS!$A$1:$A$18), NETWORKDAYS(F4, H4, fESTIVOS!$A$1:$A$18))</f>
        <v>1</v>
      </c>
      <c r="J4" s="534">
        <v>45566</v>
      </c>
      <c r="K4" s="534">
        <v>45566</v>
      </c>
      <c r="L4" s="537" t="s">
        <v>2229</v>
      </c>
      <c r="M4" s="446"/>
      <c r="N4" s="446"/>
      <c r="O4" s="446"/>
      <c r="P4" s="446"/>
      <c r="Q4" s="446"/>
      <c r="R4" s="446"/>
      <c r="S4" s="446"/>
      <c r="T4" s="446"/>
      <c r="U4" s="446"/>
      <c r="V4" s="446"/>
      <c r="W4" s="446"/>
      <c r="X4" s="446"/>
      <c r="Y4" s="446"/>
      <c r="Z4" s="446"/>
    </row>
    <row r="5" spans="1:26" ht="15" customHeight="1">
      <c r="A5" s="530" t="s">
        <v>1981</v>
      </c>
      <c r="B5" s="540"/>
      <c r="C5" s="532" t="s">
        <v>2230</v>
      </c>
      <c r="D5" s="533"/>
      <c r="E5" s="534">
        <v>45566</v>
      </c>
      <c r="F5" s="534">
        <v>45566</v>
      </c>
      <c r="G5" s="533"/>
      <c r="H5" s="534">
        <v>45566</v>
      </c>
      <c r="I5" s="536">
        <f ca="1">IF(ISBLANK(H5), NETWORKDAYS(F5, TODAY(),fESTIVOS!$A$1:$A$18), NETWORKDAYS(F5, H5, fESTIVOS!$A$1:$A$18))</f>
        <v>1</v>
      </c>
      <c r="J5" s="534">
        <v>45566</v>
      </c>
      <c r="K5" s="534">
        <v>45566</v>
      </c>
      <c r="L5" s="537" t="s">
        <v>2229</v>
      </c>
      <c r="M5" s="446"/>
      <c r="N5" s="446"/>
      <c r="O5" s="446"/>
      <c r="P5" s="446"/>
      <c r="Q5" s="446"/>
      <c r="R5" s="446"/>
      <c r="S5" s="446"/>
      <c r="T5" s="446"/>
      <c r="U5" s="446"/>
      <c r="V5" s="446"/>
      <c r="W5" s="446"/>
      <c r="X5" s="446"/>
      <c r="Y5" s="446"/>
      <c r="Z5" s="446"/>
    </row>
    <row r="6" spans="1:26" ht="15" customHeight="1">
      <c r="A6" s="530" t="s">
        <v>1981</v>
      </c>
      <c r="B6" s="540"/>
      <c r="C6" s="532" t="s">
        <v>2231</v>
      </c>
      <c r="D6" s="533"/>
      <c r="E6" s="534">
        <v>45566</v>
      </c>
      <c r="F6" s="534">
        <v>45566</v>
      </c>
      <c r="G6" s="533"/>
      <c r="H6" s="534">
        <v>45566</v>
      </c>
      <c r="I6" s="536">
        <f ca="1">IF(ISBLANK(H6), NETWORKDAYS(F6, TODAY(),fESTIVOS!$A$1:$A$18), NETWORKDAYS(F6, H6, fESTIVOS!$A$1:$A$18))</f>
        <v>1</v>
      </c>
      <c r="J6" s="534">
        <v>45566</v>
      </c>
      <c r="K6" s="534">
        <v>45566</v>
      </c>
      <c r="L6" s="537" t="s">
        <v>2229</v>
      </c>
      <c r="M6" s="446"/>
      <c r="N6" s="446"/>
      <c r="O6" s="446"/>
      <c r="P6" s="446"/>
      <c r="Q6" s="446"/>
      <c r="R6" s="446"/>
      <c r="S6" s="446"/>
      <c r="T6" s="446"/>
      <c r="U6" s="446"/>
      <c r="V6" s="446"/>
      <c r="W6" s="446"/>
      <c r="X6" s="446"/>
      <c r="Y6" s="446"/>
      <c r="Z6" s="446"/>
    </row>
    <row r="7" spans="1:26" ht="15" customHeight="1">
      <c r="A7" s="532" t="s">
        <v>1966</v>
      </c>
      <c r="B7" s="541" t="s">
        <v>2232</v>
      </c>
      <c r="C7" s="532"/>
      <c r="D7" s="533" t="s">
        <v>76</v>
      </c>
      <c r="E7" s="534">
        <v>45566</v>
      </c>
      <c r="F7" s="534">
        <v>45566</v>
      </c>
      <c r="G7" s="533"/>
      <c r="H7" s="534">
        <v>45567</v>
      </c>
      <c r="I7" s="536">
        <f ca="1">IF(ISBLANK(H7), NETWORKDAYS(F7, TODAY(),fESTIVOS!$A$1:$A$18), NETWORKDAYS(F7, H7, fESTIVOS!$A$1:$A$18))</f>
        <v>2</v>
      </c>
      <c r="J7" s="533"/>
      <c r="K7" s="533"/>
      <c r="L7" s="537" t="s">
        <v>2233</v>
      </c>
      <c r="M7" s="436"/>
      <c r="N7" s="436"/>
      <c r="O7" s="436"/>
      <c r="P7" s="436"/>
      <c r="Q7" s="436"/>
      <c r="R7" s="436"/>
      <c r="S7" s="436"/>
      <c r="T7" s="436"/>
      <c r="U7" s="436"/>
      <c r="V7" s="436"/>
      <c r="W7" s="436"/>
      <c r="X7" s="436"/>
      <c r="Y7" s="436"/>
      <c r="Z7" s="436"/>
    </row>
    <row r="8" spans="1:26" ht="15" customHeight="1">
      <c r="A8" s="533" t="s">
        <v>1973</v>
      </c>
      <c r="B8" s="542" t="s">
        <v>2234</v>
      </c>
      <c r="C8" s="532"/>
      <c r="D8" s="533" t="s">
        <v>76</v>
      </c>
      <c r="E8" s="534">
        <v>45566</v>
      </c>
      <c r="F8" s="534">
        <v>45566</v>
      </c>
      <c r="G8" s="533"/>
      <c r="H8" s="534">
        <v>45566</v>
      </c>
      <c r="I8" s="536">
        <f ca="1">IF(ISBLANK(H8), NETWORKDAYS(F8, TODAY(),fESTIVOS!$A$1:$A$18), NETWORKDAYS(F8, H8, fESTIVOS!$A$1:$A$18))</f>
        <v>1</v>
      </c>
      <c r="J8" s="533"/>
      <c r="K8" s="534">
        <v>45566</v>
      </c>
      <c r="L8" s="537" t="s">
        <v>2235</v>
      </c>
      <c r="M8" s="436"/>
      <c r="N8" s="436"/>
      <c r="O8" s="436"/>
      <c r="P8" s="436"/>
      <c r="Q8" s="436"/>
      <c r="R8" s="436"/>
      <c r="S8" s="436"/>
      <c r="T8" s="436"/>
      <c r="U8" s="436"/>
      <c r="V8" s="436"/>
      <c r="W8" s="436"/>
      <c r="X8" s="436"/>
      <c r="Y8" s="436"/>
      <c r="Z8" s="436"/>
    </row>
    <row r="9" spans="1:26" ht="15" customHeight="1">
      <c r="A9" s="533" t="s">
        <v>1973</v>
      </c>
      <c r="B9" s="542" t="s">
        <v>2236</v>
      </c>
      <c r="C9" s="532"/>
      <c r="D9" s="533" t="s">
        <v>2237</v>
      </c>
      <c r="E9" s="534">
        <v>45566</v>
      </c>
      <c r="F9" s="534">
        <v>45566</v>
      </c>
      <c r="G9" s="534">
        <v>45567</v>
      </c>
      <c r="H9" s="534">
        <v>45566</v>
      </c>
      <c r="I9" s="536">
        <f ca="1">IF(ISBLANK(H9), NETWORKDAYS(F9, TODAY(),fESTIVOS!$A$1:$A$18), NETWORKDAYS(F9, H9, fESTIVOS!$A$1:$A$18))</f>
        <v>1</v>
      </c>
      <c r="J9" s="534">
        <v>45568</v>
      </c>
      <c r="K9" s="533"/>
      <c r="L9" s="537" t="s">
        <v>2238</v>
      </c>
      <c r="M9" s="436"/>
      <c r="N9" s="436"/>
      <c r="O9" s="436"/>
      <c r="P9" s="436"/>
      <c r="Q9" s="436"/>
      <c r="R9" s="436"/>
      <c r="S9" s="436"/>
      <c r="T9" s="436"/>
      <c r="U9" s="436"/>
      <c r="V9" s="436"/>
      <c r="W9" s="436"/>
      <c r="X9" s="436"/>
      <c r="Y9" s="436"/>
      <c r="Z9" s="436"/>
    </row>
    <row r="10" spans="1:26" ht="15" customHeight="1">
      <c r="A10" s="543" t="s">
        <v>2239</v>
      </c>
      <c r="B10" s="542" t="s">
        <v>2240</v>
      </c>
      <c r="C10" s="532"/>
      <c r="D10" s="533" t="s">
        <v>76</v>
      </c>
      <c r="E10" s="534">
        <v>45567</v>
      </c>
      <c r="F10" s="534">
        <v>45567</v>
      </c>
      <c r="G10" s="533"/>
      <c r="H10" s="534">
        <v>45567</v>
      </c>
      <c r="I10" s="536">
        <f ca="1">IF(ISBLANK(H10), NETWORKDAYS(F10, TODAY(),fESTIVOS!$A$1:$A$18), NETWORKDAYS(F10, H10, fESTIVOS!$A$1:$A$18))</f>
        <v>1</v>
      </c>
      <c r="J10" s="533"/>
      <c r="K10" s="534">
        <v>45568</v>
      </c>
      <c r="L10" s="537" t="s">
        <v>2241</v>
      </c>
      <c r="M10" s="436"/>
      <c r="N10" s="436"/>
      <c r="O10" s="436"/>
      <c r="P10" s="436"/>
      <c r="Q10" s="436"/>
      <c r="R10" s="436"/>
      <c r="S10" s="436"/>
      <c r="T10" s="436"/>
      <c r="U10" s="436"/>
      <c r="V10" s="436"/>
      <c r="W10" s="436"/>
      <c r="X10" s="436"/>
      <c r="Y10" s="436"/>
      <c r="Z10" s="436"/>
    </row>
    <row r="11" spans="1:26" ht="15" customHeight="1">
      <c r="A11" s="533" t="s">
        <v>1991</v>
      </c>
      <c r="B11" s="544" t="s">
        <v>2227</v>
      </c>
      <c r="C11" s="532" t="s">
        <v>2242</v>
      </c>
      <c r="D11" s="533" t="s">
        <v>76</v>
      </c>
      <c r="E11" s="534">
        <v>45566</v>
      </c>
      <c r="F11" s="534">
        <v>45566</v>
      </c>
      <c r="G11" s="534">
        <v>45567</v>
      </c>
      <c r="H11" s="534">
        <v>45567</v>
      </c>
      <c r="I11" s="536">
        <f ca="1">IF(ISBLANK(H11), NETWORKDAYS(F11, TODAY(),fESTIVOS!$A$1:$A$18), NETWORKDAYS(F11, H11, fESTIVOS!$A$1:$A$18))</f>
        <v>2</v>
      </c>
      <c r="J11" s="534">
        <v>45567</v>
      </c>
      <c r="K11" s="534">
        <v>45568</v>
      </c>
      <c r="L11" s="537" t="s">
        <v>2243</v>
      </c>
      <c r="M11" s="436"/>
      <c r="N11" s="436"/>
      <c r="O11" s="436"/>
      <c r="P11" s="436"/>
      <c r="Q11" s="436"/>
      <c r="R11" s="436"/>
      <c r="S11" s="436"/>
      <c r="T11" s="436"/>
      <c r="U11" s="436"/>
      <c r="V11" s="436"/>
      <c r="W11" s="436"/>
      <c r="X11" s="436"/>
      <c r="Y11" s="436"/>
      <c r="Z11" s="436"/>
    </row>
    <row r="12" spans="1:26" ht="15" customHeight="1">
      <c r="A12" s="533" t="s">
        <v>1991</v>
      </c>
      <c r="B12" s="545" t="s">
        <v>2222</v>
      </c>
      <c r="C12" s="532" t="s">
        <v>2244</v>
      </c>
      <c r="D12" s="533" t="s">
        <v>76</v>
      </c>
      <c r="E12" s="534">
        <v>45566</v>
      </c>
      <c r="F12" s="534">
        <v>45566</v>
      </c>
      <c r="G12" s="534">
        <v>45567</v>
      </c>
      <c r="H12" s="534">
        <v>45567</v>
      </c>
      <c r="I12" s="536">
        <f ca="1">IF(ISBLANK(H12), NETWORKDAYS(F12, TODAY(),fESTIVOS!$A$1:$A$18), NETWORKDAYS(F12, H12, fESTIVOS!$A$1:$A$18))</f>
        <v>2</v>
      </c>
      <c r="J12" s="534">
        <v>45567</v>
      </c>
      <c r="K12" s="534">
        <v>45568</v>
      </c>
      <c r="L12" s="537" t="s">
        <v>2243</v>
      </c>
      <c r="M12" s="436"/>
      <c r="N12" s="436"/>
      <c r="O12" s="436"/>
      <c r="P12" s="436"/>
      <c r="Q12" s="436"/>
      <c r="R12" s="436"/>
      <c r="S12" s="436"/>
      <c r="T12" s="436"/>
      <c r="U12" s="436"/>
      <c r="V12" s="436"/>
      <c r="W12" s="436"/>
      <c r="X12" s="436"/>
      <c r="Y12" s="436"/>
      <c r="Z12" s="436"/>
    </row>
    <row r="13" spans="1:26" ht="15" customHeight="1">
      <c r="A13" s="546" t="s">
        <v>2239</v>
      </c>
      <c r="B13" s="547" t="s">
        <v>2245</v>
      </c>
      <c r="C13" s="532"/>
      <c r="D13" s="533" t="s">
        <v>232</v>
      </c>
      <c r="E13" s="534">
        <v>45567</v>
      </c>
      <c r="F13" s="534"/>
      <c r="G13" s="533"/>
      <c r="H13" s="534">
        <v>45569</v>
      </c>
      <c r="I13" s="536">
        <f ca="1">IF(ISBLANK(H13), NETWORKDAYS(F13, TODAY(),fESTIVOS!$A$1:$A$18), NETWORKDAYS(F13, H13, fESTIVOS!$A$1:$A$18))</f>
        <v>32538</v>
      </c>
      <c r="J13" s="533"/>
      <c r="K13" s="533"/>
      <c r="L13" s="548" t="s">
        <v>2246</v>
      </c>
      <c r="M13" s="436"/>
      <c r="N13" s="436"/>
      <c r="O13" s="436"/>
      <c r="P13" s="436"/>
      <c r="Q13" s="436"/>
      <c r="R13" s="436"/>
      <c r="S13" s="436"/>
      <c r="T13" s="436"/>
      <c r="U13" s="436"/>
      <c r="V13" s="436"/>
      <c r="W13" s="436"/>
      <c r="X13" s="436"/>
      <c r="Y13" s="436"/>
      <c r="Z13" s="436"/>
    </row>
    <row r="14" spans="1:26" ht="15" customHeight="1">
      <c r="A14" s="530" t="s">
        <v>1991</v>
      </c>
      <c r="B14" s="549" t="s">
        <v>2247</v>
      </c>
      <c r="C14" s="550"/>
      <c r="D14" s="543" t="s">
        <v>1968</v>
      </c>
      <c r="E14" s="551">
        <v>45561</v>
      </c>
      <c r="F14" s="551">
        <v>45561</v>
      </c>
      <c r="G14" s="550"/>
      <c r="H14" s="551">
        <v>45562</v>
      </c>
      <c r="I14" s="536">
        <f ca="1">IF(ISBLANK(H14), NETWORKDAYS(F14, TODAY(),fESTIVOS!$A$1:$A$18), NETWORKDAYS(F14, H14, fESTIVOS!$A$1:$A$18))</f>
        <v>2</v>
      </c>
      <c r="J14" s="551">
        <v>45562</v>
      </c>
      <c r="K14" s="551">
        <v>45569</v>
      </c>
      <c r="L14" s="552" t="s">
        <v>2248</v>
      </c>
      <c r="M14" s="553" t="s">
        <v>2249</v>
      </c>
      <c r="N14" s="446"/>
      <c r="O14" s="446"/>
      <c r="P14" s="446"/>
      <c r="Q14" s="446"/>
      <c r="R14" s="446"/>
      <c r="S14" s="446"/>
      <c r="T14" s="446"/>
      <c r="U14" s="446"/>
      <c r="V14" s="446"/>
      <c r="W14" s="446"/>
      <c r="X14" s="446"/>
      <c r="Y14" s="446"/>
      <c r="Z14" s="446"/>
    </row>
    <row r="15" spans="1:26" ht="15" customHeight="1">
      <c r="A15" s="543" t="s">
        <v>2088</v>
      </c>
      <c r="B15" s="542" t="s">
        <v>2240</v>
      </c>
      <c r="C15" s="545" t="s">
        <v>2250</v>
      </c>
      <c r="D15" s="533" t="s">
        <v>76</v>
      </c>
      <c r="E15" s="534">
        <v>45568</v>
      </c>
      <c r="F15" s="534">
        <v>45568</v>
      </c>
      <c r="G15" s="534">
        <v>45568</v>
      </c>
      <c r="H15" s="534">
        <v>45568</v>
      </c>
      <c r="I15" s="536">
        <f ca="1">IF(ISBLANK(H15), NETWORKDAYS(F15, TODAY(),fESTIVOS!$A$1:$A$18), NETWORKDAYS(F15, H15, fESTIVOS!$A$1:$A$18))</f>
        <v>1</v>
      </c>
      <c r="J15" s="533"/>
      <c r="K15" s="534"/>
      <c r="L15" s="537" t="s">
        <v>2251</v>
      </c>
      <c r="M15" s="436"/>
      <c r="N15" s="436"/>
      <c r="O15" s="436"/>
      <c r="P15" s="436"/>
      <c r="Q15" s="436"/>
      <c r="R15" s="436"/>
      <c r="S15" s="436"/>
      <c r="T15" s="436"/>
      <c r="U15" s="436"/>
      <c r="V15" s="436"/>
      <c r="W15" s="436"/>
      <c r="X15" s="436"/>
      <c r="Y15" s="436"/>
      <c r="Z15" s="436"/>
    </row>
    <row r="16" spans="1:26" ht="15" customHeight="1">
      <c r="A16" s="554" t="s">
        <v>1981</v>
      </c>
      <c r="B16" s="555" t="s">
        <v>2252</v>
      </c>
      <c r="C16" s="542" t="s">
        <v>2253</v>
      </c>
      <c r="D16" s="543" t="s">
        <v>76</v>
      </c>
      <c r="E16" s="534">
        <v>45569</v>
      </c>
      <c r="F16" s="534">
        <v>45569</v>
      </c>
      <c r="G16" s="534"/>
      <c r="H16" s="534">
        <v>45569</v>
      </c>
      <c r="I16" s="536">
        <f ca="1">IF(ISBLANK(H16), NETWORKDAYS(F16, TODAY(),fESTIVOS!$A$1:$A$18), NETWORKDAYS(F16, H16, fESTIVOS!$A$1:$A$18))</f>
        <v>1</v>
      </c>
      <c r="J16" s="534"/>
      <c r="K16" s="534">
        <v>45569</v>
      </c>
      <c r="L16" s="537" t="s">
        <v>2254</v>
      </c>
      <c r="M16" s="436"/>
      <c r="N16" s="436"/>
      <c r="O16" s="436"/>
      <c r="P16" s="436"/>
      <c r="Q16" s="436"/>
      <c r="R16" s="436"/>
      <c r="S16" s="436"/>
      <c r="T16" s="436"/>
      <c r="U16" s="436"/>
      <c r="V16" s="436"/>
      <c r="W16" s="436"/>
      <c r="X16" s="436"/>
      <c r="Y16" s="436"/>
      <c r="Z16" s="436"/>
    </row>
    <row r="17" spans="1:26" ht="15" customHeight="1">
      <c r="A17" s="554" t="s">
        <v>1981</v>
      </c>
      <c r="B17" s="538"/>
      <c r="C17" s="542" t="s">
        <v>2255</v>
      </c>
      <c r="D17" s="543" t="s">
        <v>76</v>
      </c>
      <c r="E17" s="534">
        <v>45569</v>
      </c>
      <c r="F17" s="534">
        <v>45569</v>
      </c>
      <c r="G17" s="534"/>
      <c r="H17" s="534">
        <v>45569</v>
      </c>
      <c r="I17" s="536">
        <f ca="1">IF(ISBLANK(H17), NETWORKDAYS(F17, TODAY(),fESTIVOS!$A$1:$A$18), NETWORKDAYS(F17, H17, fESTIVOS!$A$1:$A$18))</f>
        <v>1</v>
      </c>
      <c r="J17" s="534"/>
      <c r="K17" s="533"/>
      <c r="L17" s="537"/>
      <c r="M17" s="436"/>
      <c r="N17" s="436"/>
      <c r="O17" s="436"/>
      <c r="P17" s="436"/>
      <c r="Q17" s="436"/>
      <c r="R17" s="436"/>
      <c r="S17" s="436"/>
      <c r="T17" s="436"/>
      <c r="U17" s="436"/>
      <c r="V17" s="436"/>
      <c r="W17" s="436"/>
      <c r="X17" s="436"/>
      <c r="Y17" s="436"/>
      <c r="Z17" s="436"/>
    </row>
    <row r="18" spans="1:26" ht="15" customHeight="1">
      <c r="A18" s="554" t="s">
        <v>1981</v>
      </c>
      <c r="B18" s="556" t="s">
        <v>2256</v>
      </c>
      <c r="C18" s="556" t="s">
        <v>2257</v>
      </c>
      <c r="D18" s="557" t="s">
        <v>501</v>
      </c>
      <c r="E18" s="558">
        <v>45567</v>
      </c>
      <c r="F18" s="558">
        <v>45567</v>
      </c>
      <c r="G18" s="558">
        <v>45568</v>
      </c>
      <c r="H18" s="558">
        <v>45568</v>
      </c>
      <c r="I18" s="559">
        <f ca="1">IF(ISBLANK(H18), NETWORKDAYS(F18, TODAY(),fESTIVOS!$A$1:$A$18), NETWORKDAYS(F18, H18, fESTIVOS!$A$1:$A$18))</f>
        <v>2</v>
      </c>
      <c r="J18" s="558">
        <v>45568</v>
      </c>
      <c r="K18" s="560"/>
      <c r="L18" s="561" t="s">
        <v>2258</v>
      </c>
      <c r="M18" s="436"/>
      <c r="N18" s="436"/>
      <c r="O18" s="436"/>
      <c r="P18" s="436"/>
      <c r="Q18" s="436"/>
      <c r="R18" s="436"/>
      <c r="S18" s="436"/>
      <c r="T18" s="436"/>
      <c r="U18" s="436"/>
      <c r="V18" s="436"/>
      <c r="W18" s="436"/>
      <c r="X18" s="436"/>
      <c r="Y18" s="436"/>
      <c r="Z18" s="436"/>
    </row>
    <row r="19" spans="1:26" ht="15" customHeight="1">
      <c r="A19" s="546" t="s">
        <v>2239</v>
      </c>
      <c r="B19" s="562" t="s">
        <v>2259</v>
      </c>
      <c r="C19" s="548" t="s">
        <v>2260</v>
      </c>
      <c r="D19" s="543" t="s">
        <v>2261</v>
      </c>
      <c r="E19" s="534">
        <v>45566</v>
      </c>
      <c r="F19" s="534">
        <v>45566</v>
      </c>
      <c r="G19" s="534">
        <v>45567</v>
      </c>
      <c r="H19" s="534">
        <v>45567</v>
      </c>
      <c r="I19" s="536">
        <f ca="1">IF(ISBLANK(H19), NETWORKDAYS(F19, TODAY(),fESTIVOS!$A$1:$A$18), NETWORKDAYS(F19, H19, fESTIVOS!$A$1:$A$18))</f>
        <v>2</v>
      </c>
      <c r="J19" s="534">
        <v>45568</v>
      </c>
      <c r="K19" s="533"/>
      <c r="L19" s="537" t="s">
        <v>2262</v>
      </c>
      <c r="M19" s="436"/>
      <c r="N19" s="436"/>
      <c r="O19" s="436"/>
      <c r="P19" s="436"/>
      <c r="Q19" s="436"/>
      <c r="R19" s="436"/>
      <c r="S19" s="436"/>
      <c r="T19" s="436"/>
      <c r="U19" s="436"/>
      <c r="V19" s="436"/>
      <c r="W19" s="436"/>
      <c r="X19" s="436"/>
      <c r="Y19" s="436"/>
      <c r="Z19" s="436"/>
    </row>
    <row r="20" spans="1:26" ht="15" customHeight="1">
      <c r="A20" s="546" t="s">
        <v>2239</v>
      </c>
      <c r="B20" s="399"/>
      <c r="C20" s="542" t="s">
        <v>2263</v>
      </c>
      <c r="D20" s="543" t="s">
        <v>2261</v>
      </c>
      <c r="E20" s="534">
        <v>45561</v>
      </c>
      <c r="F20" s="534">
        <v>45561</v>
      </c>
      <c r="G20" s="534">
        <v>45567</v>
      </c>
      <c r="H20" s="534">
        <v>45568</v>
      </c>
      <c r="I20" s="536">
        <f ca="1">IF(ISBLANK(H20), NETWORKDAYS(F20, TODAY(),fESTIVOS!$A$1:$A$18), NETWORKDAYS(F20, H20, fESTIVOS!$A$1:$A$18))</f>
        <v>6</v>
      </c>
      <c r="J20" s="534">
        <v>45568</v>
      </c>
      <c r="K20" s="533"/>
      <c r="L20" s="563" t="s">
        <v>2264</v>
      </c>
      <c r="M20" s="436"/>
      <c r="N20" s="436"/>
      <c r="O20" s="436"/>
      <c r="P20" s="436"/>
      <c r="Q20" s="436"/>
      <c r="R20" s="436"/>
      <c r="S20" s="436"/>
      <c r="T20" s="436"/>
      <c r="U20" s="436"/>
      <c r="V20" s="436"/>
      <c r="W20" s="436"/>
      <c r="X20" s="436"/>
      <c r="Y20" s="436"/>
      <c r="Z20" s="436"/>
    </row>
    <row r="21" spans="1:26" ht="15" customHeight="1">
      <c r="A21" s="546" t="s">
        <v>2239</v>
      </c>
      <c r="B21" s="564"/>
      <c r="C21" s="545" t="s">
        <v>2265</v>
      </c>
      <c r="D21" s="533" t="s">
        <v>2261</v>
      </c>
      <c r="E21" s="534">
        <v>45561</v>
      </c>
      <c r="F21" s="534">
        <v>45568</v>
      </c>
      <c r="G21" s="533"/>
      <c r="H21" s="534">
        <v>45568</v>
      </c>
      <c r="I21" s="536">
        <f ca="1">IF(ISBLANK(H21), NETWORKDAYS(F21, TODAY(),fESTIVOS!$A$1:$A$18), NETWORKDAYS(F21, H21, fESTIVOS!$A$1:$A$18))</f>
        <v>1</v>
      </c>
      <c r="J21" s="534">
        <v>45568</v>
      </c>
      <c r="K21" s="533"/>
      <c r="L21" s="537" t="s">
        <v>2266</v>
      </c>
      <c r="M21" s="436"/>
      <c r="N21" s="436"/>
      <c r="O21" s="436"/>
      <c r="P21" s="436"/>
      <c r="Q21" s="436"/>
      <c r="R21" s="436"/>
      <c r="S21" s="436"/>
      <c r="T21" s="436"/>
      <c r="U21" s="436"/>
      <c r="V21" s="436"/>
      <c r="W21" s="436"/>
      <c r="X21" s="436"/>
      <c r="Y21" s="436"/>
      <c r="Z21" s="436"/>
    </row>
    <row r="22" spans="1:26" ht="15" customHeight="1">
      <c r="A22" s="565" t="s">
        <v>2267</v>
      </c>
      <c r="B22" s="542" t="s">
        <v>2234</v>
      </c>
      <c r="C22" s="545" t="s">
        <v>2268</v>
      </c>
      <c r="D22" s="533" t="s">
        <v>76</v>
      </c>
      <c r="E22" s="534">
        <v>45567</v>
      </c>
      <c r="F22" s="534">
        <v>45567</v>
      </c>
      <c r="G22" s="534">
        <v>45567</v>
      </c>
      <c r="H22" s="534">
        <v>45569</v>
      </c>
      <c r="I22" s="536">
        <f ca="1">IF(ISBLANK(H22), NETWORKDAYS(F22, TODAY(),fESTIVOS!$A$1:$A$18), NETWORKDAYS(F22, H22, fESTIVOS!$A$1:$A$18))</f>
        <v>3</v>
      </c>
      <c r="J22" s="533"/>
      <c r="K22" s="533"/>
      <c r="L22" s="548" t="s">
        <v>2269</v>
      </c>
      <c r="M22" s="436"/>
      <c r="N22" s="436"/>
      <c r="O22" s="436"/>
      <c r="P22" s="436"/>
      <c r="Q22" s="436"/>
      <c r="R22" s="436"/>
      <c r="S22" s="436"/>
      <c r="T22" s="436"/>
      <c r="U22" s="436"/>
      <c r="V22" s="436"/>
      <c r="W22" s="436"/>
      <c r="X22" s="436"/>
      <c r="Y22" s="436"/>
      <c r="Z22" s="436"/>
    </row>
    <row r="23" spans="1:26" ht="15" customHeight="1">
      <c r="A23" s="566" t="s">
        <v>2239</v>
      </c>
      <c r="B23" s="567" t="s">
        <v>2259</v>
      </c>
      <c r="C23" s="542" t="s">
        <v>2270</v>
      </c>
      <c r="D23" s="533" t="s">
        <v>76</v>
      </c>
      <c r="E23" s="534">
        <v>45569</v>
      </c>
      <c r="F23" s="534">
        <v>45572</v>
      </c>
      <c r="G23" s="534"/>
      <c r="H23" s="534">
        <v>45572</v>
      </c>
      <c r="I23" s="536">
        <f ca="1">IF(ISBLANK(H23), NETWORKDAYS(F23, TODAY(),fESTIVOS!$A$1:$A$18), NETWORKDAYS(F23, H23, fESTIVOS!$A$1:$A$18))</f>
        <v>1</v>
      </c>
      <c r="J23" s="534">
        <v>45572</v>
      </c>
      <c r="K23" s="534"/>
      <c r="L23" s="537"/>
      <c r="M23" s="446"/>
      <c r="N23" s="446"/>
      <c r="O23" s="446"/>
      <c r="P23" s="446"/>
      <c r="Q23" s="446"/>
      <c r="R23" s="446"/>
      <c r="S23" s="446"/>
      <c r="T23" s="446"/>
      <c r="U23" s="446"/>
      <c r="V23" s="446"/>
      <c r="W23" s="446"/>
      <c r="X23" s="446"/>
      <c r="Y23" s="446"/>
      <c r="Z23" s="446"/>
    </row>
    <row r="24" spans="1:26" ht="15" customHeight="1">
      <c r="A24" s="533" t="s">
        <v>2088</v>
      </c>
      <c r="B24" s="542" t="s">
        <v>2236</v>
      </c>
      <c r="C24" s="545" t="s">
        <v>2271</v>
      </c>
      <c r="D24" s="533" t="s">
        <v>76</v>
      </c>
      <c r="E24" s="534">
        <v>45568</v>
      </c>
      <c r="F24" s="534">
        <v>45568</v>
      </c>
      <c r="G24" s="534">
        <v>45568</v>
      </c>
      <c r="H24" s="534">
        <v>45568</v>
      </c>
      <c r="I24" s="536">
        <f ca="1">IF(ISBLANK(H24), NETWORKDAYS(F24, TODAY(),fESTIVOS!$A$1:$A$18), NETWORKDAYS(F24, H24, fESTIVOS!$A$1:$A$18))</f>
        <v>1</v>
      </c>
      <c r="J24" s="534"/>
      <c r="K24" s="534"/>
      <c r="L24" s="537" t="s">
        <v>2272</v>
      </c>
      <c r="M24" s="436"/>
      <c r="N24" s="436"/>
      <c r="O24" s="436"/>
      <c r="P24" s="436"/>
      <c r="Q24" s="436"/>
      <c r="R24" s="436"/>
      <c r="S24" s="436"/>
      <c r="T24" s="436"/>
      <c r="U24" s="436"/>
      <c r="V24" s="436"/>
      <c r="W24" s="436"/>
      <c r="X24" s="436"/>
      <c r="Y24" s="436"/>
      <c r="Z24" s="436"/>
    </row>
    <row r="25" spans="1:26" ht="15" customHeight="1">
      <c r="A25" s="568" t="s">
        <v>1991</v>
      </c>
      <c r="B25" s="555" t="s">
        <v>2273</v>
      </c>
      <c r="C25" s="569"/>
      <c r="D25" s="560" t="s">
        <v>232</v>
      </c>
      <c r="E25" s="558">
        <v>45572</v>
      </c>
      <c r="F25" s="558">
        <v>45573</v>
      </c>
      <c r="G25" s="560"/>
      <c r="H25" s="558">
        <v>45573</v>
      </c>
      <c r="I25" s="559">
        <f ca="1">IF(ISBLANK(H25), NETWORKDAYS(F25, TODAY(),fESTIVOS!$A$1:$A$18), NETWORKDAYS(F25, H25, fESTIVOS!$A$1:$A$18))</f>
        <v>1</v>
      </c>
      <c r="J25" s="558"/>
      <c r="K25" s="558">
        <v>45573</v>
      </c>
      <c r="L25" s="561" t="s">
        <v>2274</v>
      </c>
      <c r="M25" s="446"/>
      <c r="N25" s="446"/>
      <c r="O25" s="446"/>
      <c r="P25" s="446"/>
      <c r="Q25" s="446"/>
      <c r="R25" s="446"/>
      <c r="S25" s="446"/>
      <c r="T25" s="446"/>
      <c r="U25" s="446"/>
      <c r="V25" s="446"/>
      <c r="W25" s="446"/>
      <c r="X25" s="446"/>
      <c r="Y25" s="446"/>
      <c r="Z25" s="446"/>
    </row>
    <row r="26" spans="1:26" ht="15" customHeight="1">
      <c r="A26" s="565" t="s">
        <v>1966</v>
      </c>
      <c r="B26" s="550"/>
      <c r="C26" s="532" t="s">
        <v>2275</v>
      </c>
      <c r="D26" s="533" t="s">
        <v>76</v>
      </c>
      <c r="E26" s="534">
        <v>45572</v>
      </c>
      <c r="F26" s="534">
        <v>45572</v>
      </c>
      <c r="G26" s="534"/>
      <c r="H26" s="534">
        <v>45572</v>
      </c>
      <c r="I26" s="536">
        <f ca="1">IF(ISBLANK(H26), NETWORKDAYS(F26, TODAY(),fESTIVOS!$A$1:$A$18), NETWORKDAYS(F26, H26, fESTIVOS!$A$1:$A$18))</f>
        <v>1</v>
      </c>
      <c r="J26" s="534">
        <v>45573</v>
      </c>
      <c r="K26" s="534"/>
      <c r="L26" s="548" t="s">
        <v>2276</v>
      </c>
      <c r="M26" s="436"/>
      <c r="N26" s="436"/>
      <c r="O26" s="436"/>
      <c r="P26" s="436"/>
      <c r="Q26" s="436"/>
      <c r="R26" s="436"/>
      <c r="S26" s="436"/>
      <c r="T26" s="436"/>
      <c r="U26" s="436"/>
      <c r="V26" s="436"/>
      <c r="W26" s="436"/>
      <c r="X26" s="436"/>
      <c r="Y26" s="436"/>
      <c r="Z26" s="436"/>
    </row>
    <row r="27" spans="1:26" ht="15" customHeight="1">
      <c r="A27" s="570" t="s">
        <v>1973</v>
      </c>
      <c r="B27" s="571" t="s">
        <v>2277</v>
      </c>
      <c r="C27" s="572" t="s">
        <v>2278</v>
      </c>
      <c r="D27" s="365" t="s">
        <v>76</v>
      </c>
      <c r="E27" s="364">
        <v>45566</v>
      </c>
      <c r="F27" s="364">
        <v>45568</v>
      </c>
      <c r="G27" s="364">
        <v>45568</v>
      </c>
      <c r="H27" s="364">
        <v>45569</v>
      </c>
      <c r="I27" s="366">
        <f ca="1">IF(ISBLANK(H27), NETWORKDAYS(F27, TODAY(),fESTIVOS!$A$1:$A$18), NETWORKDAYS(F27, H27, fESTIVOS!$A$1:$A$18))</f>
        <v>2</v>
      </c>
      <c r="J27" s="364"/>
      <c r="K27" s="364"/>
      <c r="L27" s="367" t="s">
        <v>2279</v>
      </c>
      <c r="M27" s="354"/>
      <c r="N27" s="354"/>
      <c r="O27" s="354"/>
      <c r="P27" s="354"/>
      <c r="Q27" s="354"/>
      <c r="R27" s="354"/>
      <c r="S27" s="354"/>
      <c r="T27" s="354"/>
      <c r="U27" s="354"/>
      <c r="V27" s="354"/>
      <c r="W27" s="354"/>
      <c r="X27" s="354"/>
      <c r="Y27" s="354"/>
      <c r="Z27" s="354"/>
    </row>
    <row r="28" spans="1:26" ht="15" customHeight="1">
      <c r="A28" s="573" t="s">
        <v>2239</v>
      </c>
      <c r="B28" s="574" t="s">
        <v>2280</v>
      </c>
      <c r="C28" s="575"/>
      <c r="D28" s="576" t="s">
        <v>76</v>
      </c>
      <c r="E28" s="577">
        <v>45572</v>
      </c>
      <c r="F28" s="578">
        <v>45573</v>
      </c>
      <c r="G28" s="577"/>
      <c r="H28" s="578">
        <v>45573</v>
      </c>
      <c r="I28" s="579">
        <f ca="1">IF(ISBLANK(H28), NETWORKDAYS(F28, TODAY(),fESTIVOS!$A$1:$A$18), NETWORKDAYS(F28, H28, fESTIVOS!$A$1:$A$18))</f>
        <v>1</v>
      </c>
      <c r="J28" s="577"/>
      <c r="K28" s="577"/>
      <c r="L28" s="580" t="s">
        <v>2281</v>
      </c>
      <c r="M28" s="354"/>
      <c r="N28" s="354"/>
      <c r="O28" s="354"/>
      <c r="P28" s="354"/>
      <c r="Q28" s="354"/>
      <c r="R28" s="354"/>
      <c r="S28" s="354"/>
      <c r="T28" s="354"/>
      <c r="U28" s="354"/>
      <c r="V28" s="354"/>
      <c r="W28" s="354"/>
      <c r="X28" s="354"/>
      <c r="Y28" s="354"/>
      <c r="Z28" s="354"/>
    </row>
    <row r="29" spans="1:26" ht="15" customHeight="1">
      <c r="A29" s="573" t="s">
        <v>2239</v>
      </c>
      <c r="B29" s="581" t="s">
        <v>2259</v>
      </c>
      <c r="C29" s="582" t="s">
        <v>2282</v>
      </c>
      <c r="D29" s="365" t="s">
        <v>501</v>
      </c>
      <c r="E29" s="583">
        <v>45573</v>
      </c>
      <c r="F29" s="583">
        <v>45573</v>
      </c>
      <c r="G29" s="583">
        <v>45573</v>
      </c>
      <c r="H29" s="583">
        <v>45573</v>
      </c>
      <c r="I29" s="366">
        <f ca="1">IF(ISBLANK(H29), NETWORKDAYS(F29, TODAY(),fESTIVOS!$A$1:$A$18), NETWORKDAYS(F29, H29, fESTIVOS!$A$1:$A$18))</f>
        <v>1</v>
      </c>
      <c r="J29" s="583"/>
      <c r="K29" s="583"/>
      <c r="L29" s="584" t="s">
        <v>2283</v>
      </c>
      <c r="M29" s="360"/>
      <c r="N29" s="360"/>
      <c r="O29" s="360"/>
      <c r="P29" s="360"/>
      <c r="Q29" s="360"/>
      <c r="R29" s="360"/>
      <c r="S29" s="360"/>
      <c r="T29" s="360"/>
      <c r="U29" s="360"/>
      <c r="V29" s="360"/>
      <c r="W29" s="360"/>
      <c r="X29" s="360"/>
      <c r="Y29" s="360"/>
      <c r="Z29" s="360"/>
    </row>
    <row r="30" spans="1:26" ht="15.75" customHeight="1">
      <c r="A30" s="585" t="s">
        <v>1981</v>
      </c>
      <c r="B30" s="582"/>
      <c r="C30" s="363" t="s">
        <v>2284</v>
      </c>
      <c r="D30" s="586" t="s">
        <v>2285</v>
      </c>
      <c r="E30" s="364">
        <v>45573</v>
      </c>
      <c r="F30" s="364">
        <v>45573</v>
      </c>
      <c r="G30" s="364"/>
      <c r="H30" s="364"/>
      <c r="I30" s="366"/>
      <c r="J30" s="364"/>
      <c r="K30" s="364"/>
      <c r="L30" s="587" t="s">
        <v>2286</v>
      </c>
      <c r="M30" s="354"/>
      <c r="N30" s="354"/>
      <c r="O30" s="354"/>
      <c r="P30" s="354"/>
      <c r="Q30" s="354"/>
      <c r="R30" s="354"/>
      <c r="S30" s="354"/>
      <c r="T30" s="354"/>
      <c r="U30" s="354"/>
      <c r="V30" s="354"/>
      <c r="W30" s="354"/>
      <c r="X30" s="354"/>
      <c r="Y30" s="354"/>
      <c r="Z30" s="354"/>
    </row>
    <row r="31" spans="1:26" ht="15.75" customHeight="1">
      <c r="A31" s="570" t="s">
        <v>1991</v>
      </c>
      <c r="B31" s="588" t="s">
        <v>2287</v>
      </c>
      <c r="C31" s="572"/>
      <c r="D31" s="365" t="s">
        <v>76</v>
      </c>
      <c r="E31" s="364">
        <v>45574</v>
      </c>
      <c r="F31" s="364">
        <v>45574</v>
      </c>
      <c r="G31" s="364"/>
      <c r="H31" s="364">
        <v>45574</v>
      </c>
      <c r="I31" s="366">
        <f ca="1">IF(ISBLANK(H31), NETWORKDAYS(F31, TODAY(),fESTIVOS!$A$1:$A$18), NETWORKDAYS(F31, H31, fESTIVOS!$A$1:$A$18))</f>
        <v>1</v>
      </c>
      <c r="J31" s="364">
        <v>45574</v>
      </c>
      <c r="K31" s="364">
        <v>45574</v>
      </c>
      <c r="L31" s="367" t="s">
        <v>2288</v>
      </c>
      <c r="M31" s="589"/>
      <c r="N31" s="354"/>
      <c r="O31" s="354"/>
      <c r="P31" s="354"/>
      <c r="Q31" s="354"/>
      <c r="R31" s="354"/>
      <c r="S31" s="354"/>
      <c r="T31" s="354"/>
      <c r="U31" s="354"/>
      <c r="V31" s="354"/>
      <c r="W31" s="354"/>
      <c r="X31" s="354"/>
      <c r="Y31" s="354"/>
      <c r="Z31" s="354"/>
    </row>
    <row r="32" spans="1:26" ht="15.75" customHeight="1">
      <c r="A32" s="570" t="s">
        <v>1991</v>
      </c>
      <c r="B32" s="582" t="s">
        <v>2289</v>
      </c>
      <c r="C32" s="572"/>
      <c r="D32" s="365" t="s">
        <v>76</v>
      </c>
      <c r="E32" s="364">
        <v>45574</v>
      </c>
      <c r="F32" s="364">
        <v>45574</v>
      </c>
      <c r="G32" s="364"/>
      <c r="H32" s="364">
        <v>45574</v>
      </c>
      <c r="I32" s="366">
        <f ca="1">IF(ISBLANK(H32), NETWORKDAYS(F32, TODAY(),fESTIVOS!$A$1:$A$18), NETWORKDAYS(F32, H32, fESTIVOS!$A$1:$A$18))</f>
        <v>1</v>
      </c>
      <c r="J32" s="364">
        <v>45574</v>
      </c>
      <c r="K32" s="364">
        <v>45574</v>
      </c>
      <c r="L32" s="367" t="s">
        <v>2290</v>
      </c>
      <c r="M32" s="590" t="s">
        <v>2291</v>
      </c>
      <c r="N32" s="354"/>
      <c r="O32" s="354"/>
      <c r="P32" s="354"/>
      <c r="Q32" s="354"/>
      <c r="R32" s="354"/>
      <c r="S32" s="354"/>
      <c r="T32" s="354"/>
      <c r="U32" s="354"/>
      <c r="V32" s="354"/>
      <c r="W32" s="354"/>
      <c r="X32" s="354"/>
      <c r="Y32" s="354"/>
      <c r="Z32" s="354"/>
    </row>
    <row r="33" spans="1:26" ht="15.75" customHeight="1">
      <c r="A33" s="570" t="s">
        <v>1991</v>
      </c>
      <c r="B33" s="591" t="s">
        <v>2292</v>
      </c>
      <c r="C33" s="363" t="s">
        <v>2293</v>
      </c>
      <c r="D33" s="365" t="s">
        <v>76</v>
      </c>
      <c r="E33" s="364">
        <v>45572</v>
      </c>
      <c r="F33" s="364">
        <v>45572</v>
      </c>
      <c r="G33" s="364"/>
      <c r="H33" s="364">
        <v>45572</v>
      </c>
      <c r="I33" s="366">
        <f ca="1">IF(ISBLANK(H33), NETWORKDAYS(F33, TODAY(),fESTIVOS!$A$1:$A$18), NETWORKDAYS(F33, H33, fESTIVOS!$A$1:$A$18))</f>
        <v>1</v>
      </c>
      <c r="J33" s="364">
        <v>45574</v>
      </c>
      <c r="K33" s="364">
        <v>45574</v>
      </c>
      <c r="L33" s="367" t="s">
        <v>2294</v>
      </c>
      <c r="M33" s="590" t="s">
        <v>2295</v>
      </c>
      <c r="N33" s="354"/>
      <c r="O33" s="354"/>
      <c r="P33" s="354"/>
      <c r="Q33" s="354"/>
      <c r="R33" s="354"/>
      <c r="S33" s="354"/>
      <c r="T33" s="354"/>
      <c r="U33" s="354"/>
      <c r="V33" s="354"/>
      <c r="W33" s="354"/>
      <c r="X33" s="354"/>
      <c r="Y33" s="354"/>
      <c r="Z33" s="354"/>
    </row>
    <row r="34" spans="1:26" ht="15.75" customHeight="1">
      <c r="A34" s="570" t="s">
        <v>1991</v>
      </c>
      <c r="B34" s="592" t="s">
        <v>2296</v>
      </c>
      <c r="C34" s="363" t="s">
        <v>2297</v>
      </c>
      <c r="D34" s="365" t="s">
        <v>76</v>
      </c>
      <c r="E34" s="364">
        <v>45567</v>
      </c>
      <c r="F34" s="364">
        <v>45567</v>
      </c>
      <c r="G34" s="364">
        <v>45569</v>
      </c>
      <c r="H34" s="364">
        <v>45568</v>
      </c>
      <c r="I34" s="366">
        <f ca="1">IF(ISBLANK(H34), NETWORKDAYS(F34, TODAY(),fESTIVOS!$A$1:$A$18), NETWORKDAYS(F34, H34, fESTIVOS!$A$1:$A$18))</f>
        <v>2</v>
      </c>
      <c r="J34" s="364">
        <v>45569</v>
      </c>
      <c r="K34" s="364"/>
      <c r="L34" s="367" t="s">
        <v>2298</v>
      </c>
      <c r="M34" s="589"/>
      <c r="N34" s="354"/>
      <c r="O34" s="354"/>
      <c r="P34" s="354"/>
      <c r="Q34" s="354"/>
      <c r="R34" s="354"/>
      <c r="S34" s="354"/>
      <c r="T34" s="354"/>
      <c r="U34" s="354"/>
      <c r="V34" s="354"/>
      <c r="W34" s="354"/>
      <c r="X34" s="354"/>
      <c r="Y34" s="354"/>
      <c r="Z34" s="354"/>
    </row>
    <row r="35" spans="1:26" ht="15.75" customHeight="1">
      <c r="A35" s="593" t="s">
        <v>1991</v>
      </c>
      <c r="B35" s="594"/>
      <c r="C35" s="595" t="s">
        <v>2299</v>
      </c>
      <c r="D35" s="596" t="s">
        <v>76</v>
      </c>
      <c r="E35" s="597">
        <v>45567</v>
      </c>
      <c r="F35" s="597">
        <v>45567</v>
      </c>
      <c r="G35" s="597">
        <v>45569</v>
      </c>
      <c r="H35" s="597">
        <v>45568</v>
      </c>
      <c r="I35" s="598">
        <f ca="1">IF(ISBLANK(H35), NETWORKDAYS(F35, TODAY(),fESTIVOS!$A$1:$A$18), NETWORKDAYS(F35, H35, fESTIVOS!$A$1:$A$18))</f>
        <v>2</v>
      </c>
      <c r="J35" s="597">
        <v>45569</v>
      </c>
      <c r="K35" s="597"/>
      <c r="L35" s="599" t="s">
        <v>2300</v>
      </c>
      <c r="M35" s="589"/>
      <c r="N35" s="354"/>
      <c r="O35" s="354"/>
      <c r="P35" s="354"/>
      <c r="Q35" s="354"/>
      <c r="R35" s="354"/>
      <c r="S35" s="354"/>
      <c r="T35" s="354"/>
      <c r="U35" s="354"/>
      <c r="V35" s="354"/>
      <c r="W35" s="354"/>
      <c r="X35" s="354"/>
      <c r="Y35" s="354"/>
      <c r="Z35" s="354"/>
    </row>
    <row r="36" spans="1:26" ht="15.75" customHeight="1">
      <c r="A36" s="570" t="s">
        <v>1991</v>
      </c>
      <c r="B36" s="353" t="s">
        <v>2227</v>
      </c>
      <c r="C36" s="572" t="s">
        <v>2301</v>
      </c>
      <c r="D36" s="365" t="s">
        <v>76</v>
      </c>
      <c r="E36" s="364">
        <v>45567</v>
      </c>
      <c r="F36" s="364">
        <v>45567</v>
      </c>
      <c r="G36" s="364">
        <v>45569</v>
      </c>
      <c r="H36" s="364">
        <v>45569</v>
      </c>
      <c r="I36" s="366">
        <f ca="1">IF(ISBLANK(H36), NETWORKDAYS(F36, TODAY(),fESTIVOS!$A$1:$A$18), NETWORKDAYS(F36, H36, fESTIVOS!$A$1:$A$18))</f>
        <v>3</v>
      </c>
      <c r="J36" s="364">
        <v>45569</v>
      </c>
      <c r="K36" s="364"/>
      <c r="L36" s="367" t="s">
        <v>2300</v>
      </c>
      <c r="M36" s="589"/>
      <c r="N36" s="354"/>
      <c r="O36" s="354"/>
      <c r="P36" s="354"/>
      <c r="Q36" s="354"/>
      <c r="R36" s="354"/>
      <c r="S36" s="354"/>
      <c r="T36" s="354"/>
      <c r="U36" s="354"/>
      <c r="V36" s="354"/>
      <c r="W36" s="354"/>
      <c r="X36" s="354"/>
      <c r="Y36" s="354"/>
      <c r="Z36" s="354"/>
    </row>
    <row r="37" spans="1:26" ht="15.75" customHeight="1">
      <c r="A37" s="573" t="s">
        <v>2239</v>
      </c>
      <c r="B37" s="600" t="s">
        <v>2259</v>
      </c>
      <c r="C37" s="601" t="s">
        <v>2302</v>
      </c>
      <c r="D37" s="602" t="s">
        <v>76</v>
      </c>
      <c r="E37" s="603">
        <v>45572</v>
      </c>
      <c r="F37" s="603">
        <v>45572</v>
      </c>
      <c r="G37" s="578"/>
      <c r="H37" s="603">
        <v>45574</v>
      </c>
      <c r="I37" s="579">
        <f ca="1">IF(ISBLANK(H37), NETWORKDAYS(F37, TODAY(),fESTIVOS!$A$1:$A$18), NETWORKDAYS(F37, H37, fESTIVOS!$A$1:$A$18))</f>
        <v>3</v>
      </c>
      <c r="J37" s="603">
        <v>45574</v>
      </c>
      <c r="K37" s="578"/>
      <c r="L37" s="604" t="s">
        <v>2303</v>
      </c>
      <c r="M37" s="360"/>
      <c r="N37" s="360"/>
      <c r="O37" s="360"/>
      <c r="P37" s="360"/>
      <c r="Q37" s="360"/>
      <c r="R37" s="360"/>
      <c r="S37" s="360"/>
      <c r="T37" s="360"/>
      <c r="U37" s="360"/>
      <c r="V37" s="360"/>
      <c r="W37" s="360"/>
      <c r="X37" s="360"/>
      <c r="Y37" s="360"/>
      <c r="Z37" s="360"/>
    </row>
    <row r="38" spans="1:26" ht="15.75" customHeight="1">
      <c r="A38" s="605" t="s">
        <v>2239</v>
      </c>
      <c r="B38" s="600" t="s">
        <v>2259</v>
      </c>
      <c r="C38" s="575" t="s">
        <v>2304</v>
      </c>
      <c r="D38" s="596" t="s">
        <v>76</v>
      </c>
      <c r="E38" s="359">
        <v>45572</v>
      </c>
      <c r="F38" s="359">
        <v>45572</v>
      </c>
      <c r="G38" s="359">
        <v>45573</v>
      </c>
      <c r="H38" s="359">
        <v>45575</v>
      </c>
      <c r="I38" s="598">
        <f ca="1">IF(ISBLANK(H38), NETWORKDAYS(F38, TODAY(),fESTIVOS!$A$1:$A$18), NETWORKDAYS(F38, H38, fESTIVOS!$A$1:$A$18))</f>
        <v>4</v>
      </c>
      <c r="J38" s="606"/>
      <c r="K38" s="606"/>
      <c r="L38" s="607" t="s">
        <v>2305</v>
      </c>
      <c r="M38" s="360"/>
      <c r="N38" s="360"/>
      <c r="O38" s="360"/>
      <c r="P38" s="360"/>
      <c r="Q38" s="360"/>
      <c r="R38" s="360"/>
      <c r="S38" s="360"/>
      <c r="T38" s="360"/>
      <c r="U38" s="360"/>
      <c r="V38" s="360"/>
      <c r="W38" s="360"/>
      <c r="X38" s="360"/>
      <c r="Y38" s="360"/>
      <c r="Z38" s="360"/>
    </row>
    <row r="39" spans="1:26" ht="15.75" customHeight="1">
      <c r="A39" s="608" t="s">
        <v>1981</v>
      </c>
      <c r="B39" s="362" t="s">
        <v>2306</v>
      </c>
      <c r="C39" s="572" t="s">
        <v>2307</v>
      </c>
      <c r="D39" s="365" t="s">
        <v>76</v>
      </c>
      <c r="E39" s="364">
        <v>45574</v>
      </c>
      <c r="F39" s="364">
        <v>45576</v>
      </c>
      <c r="G39" s="364"/>
      <c r="H39" s="364">
        <v>45576</v>
      </c>
      <c r="I39" s="366">
        <f ca="1">IF(ISBLANK(H39), NETWORKDAYS(F39, TODAY(),fESTIVOS!$A$1:$A$18), NETWORKDAYS(F39, H39, fESTIVOS!$A$1:$A$18))</f>
        <v>1</v>
      </c>
      <c r="J39" s="364"/>
      <c r="K39" s="364"/>
      <c r="L39" s="367" t="s">
        <v>2308</v>
      </c>
      <c r="M39" s="354"/>
      <c r="N39" s="354"/>
      <c r="O39" s="354"/>
      <c r="P39" s="354"/>
      <c r="Q39" s="354"/>
      <c r="R39" s="354"/>
      <c r="S39" s="354"/>
      <c r="T39" s="354"/>
      <c r="U39" s="354"/>
      <c r="V39" s="354"/>
      <c r="W39" s="354"/>
      <c r="X39" s="354"/>
      <c r="Y39" s="354"/>
      <c r="Z39" s="354"/>
    </row>
    <row r="40" spans="1:26" ht="15.75" customHeight="1">
      <c r="A40" s="570" t="s">
        <v>1966</v>
      </c>
      <c r="B40" s="362" t="s">
        <v>1970</v>
      </c>
      <c r="C40" s="572" t="s">
        <v>2309</v>
      </c>
      <c r="D40" s="586" t="s">
        <v>76</v>
      </c>
      <c r="E40" s="364">
        <v>45560</v>
      </c>
      <c r="F40" s="364">
        <v>45572</v>
      </c>
      <c r="G40" s="364"/>
      <c r="H40" s="364">
        <v>45573</v>
      </c>
      <c r="I40" s="366">
        <f ca="1">IF(ISBLANK(H40), NETWORKDAYS(F40, TODAY(),fESTIVOS!$A$1:$A$18), NETWORKDAYS(F40, H40, fESTIVOS!$A$1:$A$18))</f>
        <v>2</v>
      </c>
      <c r="J40" s="364">
        <v>45573</v>
      </c>
      <c r="K40" s="364"/>
      <c r="L40" s="587" t="s">
        <v>2310</v>
      </c>
      <c r="M40" s="354"/>
      <c r="N40" s="354"/>
      <c r="O40" s="354"/>
      <c r="P40" s="354"/>
      <c r="Q40" s="354"/>
      <c r="R40" s="354"/>
      <c r="S40" s="354"/>
      <c r="T40" s="354"/>
      <c r="U40" s="354"/>
      <c r="V40" s="354"/>
      <c r="W40" s="354"/>
      <c r="X40" s="354"/>
      <c r="Y40" s="354"/>
      <c r="Z40" s="354"/>
    </row>
    <row r="41" spans="1:26" ht="15.75" customHeight="1">
      <c r="A41" s="570" t="s">
        <v>1966</v>
      </c>
      <c r="B41" s="609" t="s">
        <v>2311</v>
      </c>
      <c r="C41" s="363" t="s">
        <v>2312</v>
      </c>
      <c r="D41" s="610" t="s">
        <v>76</v>
      </c>
      <c r="E41" s="364">
        <v>45575</v>
      </c>
      <c r="F41" s="364">
        <v>45576</v>
      </c>
      <c r="G41" s="364">
        <v>45581</v>
      </c>
      <c r="H41" s="364">
        <v>45576</v>
      </c>
      <c r="I41" s="366">
        <f ca="1">IF(ISBLANK(H41), NETWORKDAYS(F41, TODAY(),fESTIVOS!$A$1:$A$18), NETWORKDAYS(F41, H41, fESTIVOS!$A$1:$A$18))</f>
        <v>1</v>
      </c>
      <c r="J41" s="364">
        <v>45576</v>
      </c>
      <c r="K41" s="364">
        <v>45576</v>
      </c>
      <c r="L41" s="367" t="s">
        <v>2313</v>
      </c>
      <c r="M41" s="354"/>
      <c r="N41" s="354"/>
      <c r="O41" s="354"/>
      <c r="P41" s="354"/>
      <c r="Q41" s="354"/>
      <c r="R41" s="354"/>
      <c r="S41" s="354"/>
      <c r="T41" s="354"/>
      <c r="U41" s="354"/>
      <c r="V41" s="354"/>
      <c r="W41" s="354"/>
      <c r="X41" s="354"/>
      <c r="Y41" s="354"/>
      <c r="Z41" s="354"/>
    </row>
    <row r="42" spans="1:26" ht="15.75" customHeight="1">
      <c r="A42" s="573" t="s">
        <v>2239</v>
      </c>
      <c r="B42" s="611" t="s">
        <v>2314</v>
      </c>
      <c r="C42" s="612"/>
      <c r="D42" s="613" t="s">
        <v>2315</v>
      </c>
      <c r="E42" s="578">
        <v>45573</v>
      </c>
      <c r="F42" s="578">
        <v>45574</v>
      </c>
      <c r="G42" s="612"/>
      <c r="H42" s="578">
        <v>45574</v>
      </c>
      <c r="I42" s="579">
        <f ca="1">IF(ISBLANK(H42), NETWORKDAYS(F42, TODAY(),fESTIVOS!$A$1:$A$18), NETWORKDAYS(F42, H42, fESTIVOS!$A$1:$A$18))</f>
        <v>1</v>
      </c>
      <c r="J42" s="578">
        <v>45574</v>
      </c>
      <c r="K42" s="578">
        <v>45575</v>
      </c>
      <c r="L42" s="614" t="s">
        <v>2316</v>
      </c>
      <c r="M42" s="360"/>
      <c r="N42" s="360"/>
      <c r="O42" s="360"/>
      <c r="P42" s="360"/>
      <c r="Q42" s="360"/>
      <c r="R42" s="360"/>
      <c r="S42" s="360"/>
      <c r="T42" s="360"/>
      <c r="U42" s="360"/>
      <c r="V42" s="360"/>
      <c r="W42" s="360"/>
      <c r="X42" s="360"/>
      <c r="Y42" s="360"/>
      <c r="Z42" s="360"/>
    </row>
    <row r="43" spans="1:26" ht="15.75" customHeight="1">
      <c r="A43" s="615" t="s">
        <v>1981</v>
      </c>
      <c r="B43" s="616" t="s">
        <v>2306</v>
      </c>
      <c r="C43" s="617" t="s">
        <v>2317</v>
      </c>
      <c r="D43" s="618" t="s">
        <v>76</v>
      </c>
      <c r="E43" s="396">
        <v>45576</v>
      </c>
      <c r="F43" s="396">
        <v>45576</v>
      </c>
      <c r="G43" s="396"/>
      <c r="H43" s="396">
        <v>45576</v>
      </c>
      <c r="I43" s="374">
        <f ca="1">IF(ISBLANK(H43), NETWORKDAYS(F43, TODAY(),fESTIVOS!$A$1:$A$18), NETWORKDAYS(F43, H43, fESTIVOS!$A$1:$A$18))</f>
        <v>1</v>
      </c>
      <c r="J43" s="396">
        <v>45580</v>
      </c>
      <c r="K43" s="396"/>
      <c r="L43" s="619" t="s">
        <v>2318</v>
      </c>
      <c r="M43" s="354"/>
      <c r="N43" s="354"/>
      <c r="O43" s="354"/>
      <c r="P43" s="354"/>
      <c r="Q43" s="354"/>
      <c r="R43" s="354"/>
      <c r="S43" s="354"/>
      <c r="T43" s="354"/>
      <c r="U43" s="354"/>
      <c r="V43" s="354"/>
      <c r="W43" s="354"/>
      <c r="X43" s="354"/>
      <c r="Y43" s="354"/>
      <c r="Z43" s="354"/>
    </row>
    <row r="44" spans="1:26" ht="15.75" customHeight="1">
      <c r="A44" s="615" t="s">
        <v>1981</v>
      </c>
      <c r="B44" s="620" t="s">
        <v>2319</v>
      </c>
      <c r="C44" s="618" t="s">
        <v>2320</v>
      </c>
      <c r="D44" s="371" t="s">
        <v>76</v>
      </c>
      <c r="E44" s="396">
        <v>45561</v>
      </c>
      <c r="F44" s="396">
        <v>45569</v>
      </c>
      <c r="G44" s="396">
        <v>45572</v>
      </c>
      <c r="H44" s="396">
        <v>45572</v>
      </c>
      <c r="I44" s="374">
        <f ca="1">IF(ISBLANK(H44), NETWORKDAYS(F44, TODAY(),fESTIVOS!$A$1:$A$18), NETWORKDAYS(F44, H44, fESTIVOS!$A$1:$A$18))</f>
        <v>2</v>
      </c>
      <c r="J44" s="396">
        <v>45580</v>
      </c>
      <c r="K44" s="396"/>
      <c r="L44" s="619" t="s">
        <v>2321</v>
      </c>
      <c r="M44" s="354"/>
      <c r="N44" s="354"/>
      <c r="O44" s="354"/>
      <c r="P44" s="354"/>
      <c r="Q44" s="354"/>
      <c r="R44" s="354"/>
      <c r="S44" s="354"/>
      <c r="T44" s="354"/>
      <c r="U44" s="354"/>
      <c r="V44" s="354"/>
      <c r="W44" s="354"/>
      <c r="X44" s="354"/>
      <c r="Y44" s="354"/>
      <c r="Z44" s="354"/>
    </row>
    <row r="45" spans="1:26" ht="15.75" customHeight="1">
      <c r="A45" s="608" t="s">
        <v>2239</v>
      </c>
      <c r="B45" s="621" t="s">
        <v>2259</v>
      </c>
      <c r="C45" s="363" t="s">
        <v>2322</v>
      </c>
      <c r="D45" s="365" t="s">
        <v>76</v>
      </c>
      <c r="E45" s="364">
        <v>45576</v>
      </c>
      <c r="F45" s="364">
        <v>45576</v>
      </c>
      <c r="G45" s="364">
        <v>45580</v>
      </c>
      <c r="H45" s="364">
        <v>45576</v>
      </c>
      <c r="I45" s="366">
        <f ca="1">IF(ISBLANK(H45), NETWORKDAYS(F45, TODAY(),fESTIVOS!$A$1:$A$18), NETWORKDAYS(F45, H45, fESTIVOS!$A$1:$A$18))</f>
        <v>1</v>
      </c>
      <c r="J45" s="364">
        <v>45580</v>
      </c>
      <c r="K45" s="364"/>
      <c r="L45" s="367"/>
      <c r="M45" s="589"/>
      <c r="N45" s="354"/>
      <c r="O45" s="354"/>
      <c r="P45" s="354"/>
      <c r="Q45" s="354"/>
      <c r="R45" s="354"/>
      <c r="S45" s="354"/>
      <c r="T45" s="354"/>
      <c r="U45" s="354"/>
      <c r="V45" s="354"/>
      <c r="W45" s="354"/>
      <c r="X45" s="354"/>
      <c r="Y45" s="354"/>
      <c r="Z45" s="354"/>
    </row>
    <row r="46" spans="1:26" ht="15.75" customHeight="1">
      <c r="A46" s="608" t="s">
        <v>2239</v>
      </c>
      <c r="B46" s="621" t="s">
        <v>2259</v>
      </c>
      <c r="C46" s="622" t="s">
        <v>2323</v>
      </c>
      <c r="D46" s="365" t="s">
        <v>76</v>
      </c>
      <c r="E46" s="364">
        <v>45576</v>
      </c>
      <c r="F46" s="364">
        <v>45576</v>
      </c>
      <c r="G46" s="364">
        <v>45580</v>
      </c>
      <c r="H46" s="364">
        <v>45576</v>
      </c>
      <c r="I46" s="366">
        <f ca="1">IF(ISBLANK(H46), NETWORKDAYS(F46, TODAY(),fESTIVOS!$A$1:$A$18), NETWORKDAYS(F46, H46, fESTIVOS!$A$1:$A$18))</f>
        <v>1</v>
      </c>
      <c r="J46" s="583">
        <v>45580</v>
      </c>
      <c r="K46" s="623"/>
      <c r="L46" s="623" t="s">
        <v>2324</v>
      </c>
      <c r="M46" s="624"/>
      <c r="N46" s="360"/>
      <c r="O46" s="360"/>
      <c r="P46" s="360"/>
      <c r="Q46" s="360"/>
      <c r="R46" s="360"/>
      <c r="S46" s="360"/>
      <c r="T46" s="360"/>
      <c r="U46" s="360"/>
      <c r="V46" s="360"/>
      <c r="W46" s="360"/>
      <c r="X46" s="360"/>
      <c r="Y46" s="360"/>
      <c r="Z46" s="360"/>
    </row>
    <row r="47" spans="1:26" ht="15.75" customHeight="1">
      <c r="A47" s="615" t="s">
        <v>1981</v>
      </c>
      <c r="B47" s="616" t="s">
        <v>2325</v>
      </c>
      <c r="C47" s="617" t="s">
        <v>2326</v>
      </c>
      <c r="D47" s="618" t="s">
        <v>76</v>
      </c>
      <c r="E47" s="396">
        <v>45580</v>
      </c>
      <c r="F47" s="396">
        <v>45580</v>
      </c>
      <c r="G47" s="396"/>
      <c r="H47" s="396">
        <v>45580</v>
      </c>
      <c r="I47" s="374">
        <f ca="1">IF(ISBLANK(H47), NETWORKDAYS(F47, TODAY(),fESTIVOS!$A$1:$A$18), NETWORKDAYS(F47, H47, fESTIVOS!$A$1:$A$18))</f>
        <v>1</v>
      </c>
      <c r="J47" s="396">
        <v>45580</v>
      </c>
      <c r="K47" s="396"/>
      <c r="L47" s="619" t="s">
        <v>2327</v>
      </c>
      <c r="M47" s="354"/>
      <c r="N47" s="354"/>
      <c r="O47" s="354"/>
      <c r="P47" s="354"/>
      <c r="Q47" s="354"/>
      <c r="R47" s="354"/>
      <c r="S47" s="354"/>
      <c r="T47" s="354"/>
      <c r="U47" s="354"/>
      <c r="V47" s="354"/>
      <c r="W47" s="354"/>
      <c r="X47" s="354"/>
      <c r="Y47" s="354"/>
      <c r="Z47" s="354"/>
    </row>
    <row r="48" spans="1:26" ht="15.75" customHeight="1">
      <c r="A48" s="608" t="s">
        <v>2239</v>
      </c>
      <c r="B48" s="621" t="s">
        <v>2259</v>
      </c>
      <c r="C48" s="622" t="s">
        <v>2328</v>
      </c>
      <c r="D48" s="365" t="s">
        <v>76</v>
      </c>
      <c r="E48" s="597">
        <v>45576</v>
      </c>
      <c r="F48" s="597">
        <v>45576</v>
      </c>
      <c r="G48" s="597">
        <v>45580</v>
      </c>
      <c r="H48" s="597">
        <v>45576</v>
      </c>
      <c r="I48" s="598">
        <f ca="1">IF(ISBLANK(H48), NETWORKDAYS(F48, TODAY(),fESTIVOS!$A$1:$A$18), NETWORKDAYS(F48, H48, fESTIVOS!$A$1:$A$18))</f>
        <v>1</v>
      </c>
      <c r="J48" s="357"/>
      <c r="K48" s="357"/>
      <c r="L48" s="625" t="s">
        <v>2329</v>
      </c>
      <c r="M48" s="624"/>
      <c r="N48" s="360"/>
      <c r="O48" s="360"/>
      <c r="P48" s="360"/>
      <c r="Q48" s="360"/>
      <c r="R48" s="360"/>
      <c r="S48" s="360"/>
      <c r="T48" s="360"/>
      <c r="U48" s="360"/>
      <c r="V48" s="360"/>
      <c r="W48" s="360"/>
      <c r="X48" s="360"/>
      <c r="Y48" s="360"/>
      <c r="Z48" s="360"/>
    </row>
    <row r="49" spans="1:33" ht="15.75" customHeight="1">
      <c r="A49" s="608" t="s">
        <v>2239</v>
      </c>
      <c r="B49" s="621" t="s">
        <v>2259</v>
      </c>
      <c r="C49" s="626" t="s">
        <v>2330</v>
      </c>
      <c r="D49" s="627" t="s">
        <v>76</v>
      </c>
      <c r="E49" s="364">
        <v>45580</v>
      </c>
      <c r="F49" s="364">
        <v>45580</v>
      </c>
      <c r="G49" s="364"/>
      <c r="H49" s="364">
        <v>45581</v>
      </c>
      <c r="I49" s="366">
        <f ca="1">IF(ISBLANK(H49), NETWORKDAYS(F49, TODAY(),fESTIVOS!$A$1:$A$18), NETWORKDAYS(F49, H49, fESTIVOS!$A$1:$A$18))</f>
        <v>2</v>
      </c>
      <c r="J49" s="623"/>
      <c r="K49" s="623"/>
      <c r="L49" s="623"/>
      <c r="M49" s="624"/>
      <c r="N49" s="360"/>
      <c r="O49" s="360"/>
      <c r="P49" s="360"/>
      <c r="Q49" s="360"/>
      <c r="R49" s="360"/>
      <c r="S49" s="360"/>
      <c r="T49" s="360"/>
      <c r="U49" s="360"/>
      <c r="V49" s="360"/>
      <c r="W49" s="360"/>
      <c r="X49" s="360"/>
      <c r="Y49" s="360"/>
      <c r="Z49" s="360"/>
    </row>
    <row r="50" spans="1:33" ht="15.75" customHeight="1">
      <c r="A50" s="585" t="s">
        <v>2239</v>
      </c>
      <c r="B50" s="581" t="s">
        <v>2259</v>
      </c>
      <c r="C50" s="625" t="s">
        <v>2331</v>
      </c>
      <c r="D50" s="358" t="s">
        <v>76</v>
      </c>
      <c r="E50" s="597">
        <v>45576</v>
      </c>
      <c r="F50" s="597">
        <v>45581</v>
      </c>
      <c r="G50" s="597"/>
      <c r="H50" s="597">
        <v>45582</v>
      </c>
      <c r="I50" s="598">
        <f ca="1">IF(ISBLANK(H50), NETWORKDAYS(F50, TODAY(),fESTIVOS!$A$1:$A$18), NETWORKDAYS(F50, H50, fESTIVOS!$A$1:$A$18))</f>
        <v>2</v>
      </c>
      <c r="J50" s="597">
        <v>45582</v>
      </c>
      <c r="K50" s="357"/>
      <c r="L50" s="357" t="s">
        <v>2332</v>
      </c>
      <c r="M50" s="624"/>
      <c r="N50" s="360"/>
      <c r="O50" s="360"/>
      <c r="P50" s="360"/>
      <c r="Q50" s="360"/>
      <c r="R50" s="360"/>
      <c r="S50" s="360"/>
      <c r="T50" s="360"/>
      <c r="U50" s="360"/>
      <c r="V50" s="360"/>
      <c r="W50" s="360"/>
      <c r="X50" s="360"/>
      <c r="Y50" s="360"/>
      <c r="Z50" s="360"/>
      <c r="AA50" s="399"/>
      <c r="AB50" s="399"/>
      <c r="AC50" s="399"/>
      <c r="AD50" s="399"/>
      <c r="AE50" s="399"/>
      <c r="AF50" s="399"/>
      <c r="AG50" s="399"/>
    </row>
    <row r="51" spans="1:33" ht="15.75" customHeight="1">
      <c r="A51" s="392" t="s">
        <v>1973</v>
      </c>
      <c r="B51" s="620" t="s">
        <v>2306</v>
      </c>
      <c r="C51" s="617" t="s">
        <v>2333</v>
      </c>
      <c r="D51" s="618" t="s">
        <v>76</v>
      </c>
      <c r="E51" s="396">
        <v>45581</v>
      </c>
      <c r="F51" s="396">
        <v>45582</v>
      </c>
      <c r="G51" s="396"/>
      <c r="H51" s="396">
        <v>45583</v>
      </c>
      <c r="I51" s="374">
        <f ca="1">IF(ISBLANK(H51), NETWORKDAYS(F51, TODAY(),fESTIVOS!$A$1:$A$18), NETWORKDAYS(F51, H51, fESTIVOS!$A$1:$A$18))</f>
        <v>2</v>
      </c>
      <c r="J51" s="396"/>
      <c r="K51" s="396"/>
      <c r="L51" s="619" t="s">
        <v>2334</v>
      </c>
      <c r="M51" s="589"/>
      <c r="N51" s="354"/>
      <c r="O51" s="354"/>
      <c r="P51" s="354"/>
      <c r="Q51" s="354"/>
      <c r="R51" s="354"/>
      <c r="S51" s="354"/>
      <c r="T51" s="354"/>
      <c r="U51" s="354"/>
      <c r="V51" s="354"/>
      <c r="W51" s="354"/>
      <c r="X51" s="354"/>
      <c r="Y51" s="354"/>
      <c r="Z51" s="354"/>
    </row>
    <row r="52" spans="1:33" ht="15.75" customHeight="1">
      <c r="A52" s="353" t="s">
        <v>1966</v>
      </c>
      <c r="B52" s="571" t="s">
        <v>1970</v>
      </c>
      <c r="C52" s="628" t="s">
        <v>2335</v>
      </c>
      <c r="D52" s="629" t="s">
        <v>501</v>
      </c>
      <c r="E52" s="630">
        <v>45582</v>
      </c>
      <c r="F52" s="631">
        <v>45582</v>
      </c>
      <c r="G52" s="631"/>
      <c r="H52" s="631">
        <v>45582</v>
      </c>
      <c r="I52" s="579">
        <f ca="1">IF(ISBLANK(H52), NETWORKDAYS(F52, TODAY(),fESTIVOS!$A$1:$A$18), NETWORKDAYS(F52, H52, fESTIVOS!$A$1:$A$18))</f>
        <v>1</v>
      </c>
      <c r="J52" s="631">
        <v>45582</v>
      </c>
      <c r="K52" s="631"/>
      <c r="L52" s="632" t="s">
        <v>2336</v>
      </c>
      <c r="M52" s="354"/>
      <c r="N52" s="354"/>
      <c r="O52" s="354"/>
      <c r="P52" s="354"/>
      <c r="Q52" s="354"/>
      <c r="R52" s="354"/>
      <c r="S52" s="354"/>
      <c r="T52" s="354"/>
      <c r="U52" s="354"/>
      <c r="V52" s="354"/>
      <c r="W52" s="354"/>
      <c r="X52" s="354"/>
      <c r="Y52" s="354"/>
      <c r="Z52" s="354"/>
      <c r="AA52" s="399"/>
      <c r="AB52" s="399"/>
      <c r="AC52" s="399"/>
      <c r="AD52" s="399"/>
      <c r="AE52" s="399"/>
      <c r="AF52" s="399"/>
      <c r="AG52" s="399"/>
    </row>
    <row r="53" spans="1:33" ht="15.75" customHeight="1">
      <c r="A53" s="353" t="s">
        <v>1966</v>
      </c>
      <c r="B53" s="571" t="s">
        <v>1970</v>
      </c>
      <c r="C53" s="628" t="s">
        <v>2337</v>
      </c>
      <c r="D53" s="602" t="s">
        <v>76</v>
      </c>
      <c r="E53" s="633">
        <v>45560</v>
      </c>
      <c r="F53" s="634">
        <v>45572</v>
      </c>
      <c r="G53" s="634"/>
      <c r="H53" s="634">
        <v>45574</v>
      </c>
      <c r="I53" s="579">
        <f ca="1">IF(ISBLANK(H53), NETWORKDAYS(F53, TODAY(),fESTIVOS!$A$1:$A$18), NETWORKDAYS(F53, H53, fESTIVOS!$A$1:$A$18))</f>
        <v>3</v>
      </c>
      <c r="J53" s="631">
        <v>45582</v>
      </c>
      <c r="K53" s="634"/>
      <c r="L53" s="635" t="s">
        <v>2338</v>
      </c>
      <c r="M53" s="354"/>
      <c r="N53" s="354"/>
      <c r="O53" s="354"/>
      <c r="P53" s="354"/>
      <c r="Q53" s="354"/>
      <c r="R53" s="354"/>
      <c r="S53" s="354"/>
      <c r="T53" s="354"/>
      <c r="U53" s="354"/>
      <c r="V53" s="354"/>
      <c r="W53" s="354"/>
      <c r="X53" s="354"/>
      <c r="Y53" s="354"/>
      <c r="Z53" s="354"/>
    </row>
    <row r="54" spans="1:33" ht="15.75" customHeight="1">
      <c r="A54" s="588" t="s">
        <v>2239</v>
      </c>
      <c r="B54" s="362" t="s">
        <v>2259</v>
      </c>
      <c r="C54" s="614" t="s">
        <v>2339</v>
      </c>
      <c r="D54" s="586" t="s">
        <v>76</v>
      </c>
      <c r="E54" s="364">
        <v>45583</v>
      </c>
      <c r="F54" s="636">
        <v>45583</v>
      </c>
      <c r="G54" s="364"/>
      <c r="H54" s="364">
        <v>45586</v>
      </c>
      <c r="I54" s="366">
        <f ca="1">IF(ISBLANK(H54), NETWORKDAYS(F54, TODAY(),fESTIVOS!$A$1:$A$18), NETWORKDAYS(F54, H54, fESTIVOS!$A$1:$A$18))</f>
        <v>2</v>
      </c>
      <c r="J54" s="364">
        <v>45586</v>
      </c>
      <c r="K54" s="623"/>
      <c r="L54" s="623" t="s">
        <v>2340</v>
      </c>
      <c r="M54" s="624"/>
      <c r="N54" s="360"/>
      <c r="O54" s="360"/>
      <c r="P54" s="360"/>
      <c r="Q54" s="360"/>
      <c r="R54" s="360"/>
      <c r="S54" s="360"/>
      <c r="T54" s="360"/>
      <c r="U54" s="360"/>
      <c r="V54" s="360"/>
      <c r="W54" s="360"/>
      <c r="X54" s="360"/>
      <c r="Y54" s="360"/>
      <c r="Z54" s="360"/>
    </row>
    <row r="55" spans="1:33" ht="15.75" customHeight="1">
      <c r="A55" s="591" t="s">
        <v>2239</v>
      </c>
      <c r="B55" s="621" t="s">
        <v>2259</v>
      </c>
      <c r="C55" s="637" t="s">
        <v>2341</v>
      </c>
      <c r="D55" s="358" t="s">
        <v>76</v>
      </c>
      <c r="E55" s="633">
        <v>45583</v>
      </c>
      <c r="F55" s="634">
        <v>45583</v>
      </c>
      <c r="G55" s="634"/>
      <c r="H55" s="634">
        <v>45583</v>
      </c>
      <c r="I55" s="579">
        <f ca="1">IF(ISBLANK(H55), NETWORKDAYS(F55, TODAY(),fESTIVOS!$A$1:$A$18), NETWORKDAYS(F55, H55, fESTIVOS!$A$1:$A$18))</f>
        <v>1</v>
      </c>
      <c r="J55" s="634">
        <v>45583</v>
      </c>
      <c r="K55" s="612"/>
      <c r="L55" s="612"/>
      <c r="M55" s="624"/>
      <c r="N55" s="360"/>
      <c r="O55" s="360"/>
      <c r="P55" s="360"/>
      <c r="Q55" s="360"/>
      <c r="R55" s="360"/>
      <c r="S55" s="360"/>
      <c r="T55" s="360"/>
      <c r="U55" s="360"/>
      <c r="V55" s="360"/>
      <c r="W55" s="360"/>
      <c r="X55" s="360"/>
      <c r="Y55" s="360"/>
      <c r="Z55" s="360"/>
      <c r="AA55" s="399"/>
      <c r="AB55" s="399"/>
      <c r="AC55" s="399"/>
      <c r="AD55" s="399"/>
      <c r="AE55" s="399"/>
      <c r="AF55" s="399"/>
      <c r="AG55" s="399"/>
    </row>
    <row r="56" spans="1:33" ht="15.75" customHeight="1">
      <c r="A56" s="588" t="s">
        <v>2239</v>
      </c>
      <c r="B56" s="362" t="s">
        <v>2259</v>
      </c>
      <c r="C56" s="384" t="s">
        <v>2342</v>
      </c>
      <c r="D56" s="586" t="s">
        <v>76</v>
      </c>
      <c r="E56" s="633">
        <v>45586</v>
      </c>
      <c r="F56" s="633">
        <v>45586</v>
      </c>
      <c r="G56" s="634"/>
      <c r="H56" s="634">
        <v>45587</v>
      </c>
      <c r="I56" s="579">
        <f ca="1">IF(ISBLANK(H56), NETWORKDAYS(F56, TODAY(),fESTIVOS!$A$1:$A$18), NETWORKDAYS(F56, H56, fESTIVOS!$A$1:$A$18))</f>
        <v>2</v>
      </c>
      <c r="J56" s="634">
        <v>45587</v>
      </c>
      <c r="K56" s="612"/>
      <c r="L56" s="614" t="s">
        <v>2343</v>
      </c>
      <c r="M56" s="624"/>
      <c r="N56" s="360"/>
      <c r="O56" s="360"/>
      <c r="P56" s="360"/>
      <c r="Q56" s="360"/>
      <c r="R56" s="360"/>
      <c r="S56" s="360"/>
      <c r="T56" s="360"/>
      <c r="U56" s="360"/>
      <c r="V56" s="360"/>
      <c r="W56" s="360"/>
      <c r="X56" s="360"/>
      <c r="Y56" s="360"/>
      <c r="Z56" s="360"/>
      <c r="AA56" s="399"/>
      <c r="AB56" s="399"/>
      <c r="AC56" s="399"/>
      <c r="AD56" s="399"/>
      <c r="AE56" s="399"/>
      <c r="AF56" s="399"/>
      <c r="AG56" s="399"/>
    </row>
    <row r="57" spans="1:33" ht="15.75" customHeight="1">
      <c r="A57" s="588" t="s">
        <v>2239</v>
      </c>
      <c r="B57" s="621" t="s">
        <v>2259</v>
      </c>
      <c r="C57" s="638" t="s">
        <v>2344</v>
      </c>
      <c r="D57" s="586" t="s">
        <v>76</v>
      </c>
      <c r="E57" s="633">
        <v>45586</v>
      </c>
      <c r="F57" s="633">
        <v>45587</v>
      </c>
      <c r="G57" s="634"/>
      <c r="H57" s="634">
        <v>45587</v>
      </c>
      <c r="I57" s="579">
        <f ca="1">IF(ISBLANK(H57), NETWORKDAYS(F57, TODAY(),fESTIVOS!$A$1:$A$18), NETWORKDAYS(F57, H57, fESTIVOS!$A$1:$A$18))</f>
        <v>1</v>
      </c>
      <c r="J57" s="634">
        <v>45587</v>
      </c>
      <c r="K57" s="612"/>
      <c r="L57" s="612" t="s">
        <v>2345</v>
      </c>
      <c r="M57" s="624"/>
      <c r="N57" s="360"/>
      <c r="O57" s="360"/>
      <c r="P57" s="360"/>
      <c r="Q57" s="360"/>
      <c r="R57" s="360"/>
      <c r="S57" s="360"/>
      <c r="T57" s="360"/>
      <c r="U57" s="360"/>
      <c r="V57" s="360"/>
      <c r="W57" s="360"/>
      <c r="X57" s="360"/>
      <c r="Y57" s="360"/>
      <c r="Z57" s="360"/>
      <c r="AA57" s="399"/>
      <c r="AB57" s="399"/>
      <c r="AC57" s="399"/>
      <c r="AD57" s="399"/>
      <c r="AE57" s="399"/>
      <c r="AF57" s="399"/>
      <c r="AG57" s="399"/>
    </row>
    <row r="58" spans="1:33" ht="15.75" customHeight="1">
      <c r="A58" s="615" t="s">
        <v>1981</v>
      </c>
      <c r="B58" s="616" t="s">
        <v>2306</v>
      </c>
      <c r="C58" s="617" t="s">
        <v>2346</v>
      </c>
      <c r="D58" s="618" t="s">
        <v>76</v>
      </c>
      <c r="E58" s="396">
        <v>45561</v>
      </c>
      <c r="F58" s="396">
        <v>45572</v>
      </c>
      <c r="G58" s="396"/>
      <c r="H58" s="396">
        <v>45587</v>
      </c>
      <c r="I58" s="374">
        <f ca="1">IF(ISBLANK(H58), NETWORKDAYS(F58, TODAY(),fESTIVOS!$A$1:$A$18), NETWORKDAYS(F58, H58, fESTIVOS!$A$1:$A$18))</f>
        <v>11</v>
      </c>
      <c r="J58" s="396">
        <v>45587</v>
      </c>
      <c r="K58" s="396"/>
      <c r="L58" s="619" t="s">
        <v>2347</v>
      </c>
      <c r="M58" s="354"/>
      <c r="N58" s="354"/>
      <c r="O58" s="354"/>
      <c r="P58" s="354"/>
      <c r="Q58" s="354"/>
      <c r="R58" s="354"/>
      <c r="S58" s="354"/>
      <c r="T58" s="354"/>
      <c r="U58" s="354"/>
      <c r="V58" s="354"/>
      <c r="W58" s="354"/>
      <c r="X58" s="354"/>
      <c r="Y58" s="354"/>
      <c r="Z58" s="354"/>
    </row>
    <row r="59" spans="1:33" ht="15.75" customHeight="1">
      <c r="A59" s="585" t="s">
        <v>1966</v>
      </c>
      <c r="B59" s="575" t="s">
        <v>2348</v>
      </c>
      <c r="C59" s="639" t="s">
        <v>2349</v>
      </c>
      <c r="D59" s="576" t="s">
        <v>76</v>
      </c>
      <c r="E59" s="577">
        <v>45576</v>
      </c>
      <c r="F59" s="577">
        <v>45576</v>
      </c>
      <c r="G59" s="577"/>
      <c r="H59" s="577">
        <v>45576</v>
      </c>
      <c r="I59" s="640">
        <f ca="1">IF(ISBLANK(H59), NETWORKDAYS(F59, TODAY(),fESTIVOS!$A$1:$A$18), NETWORKDAYS(F59, H59, fESTIVOS!$A$1:$A$18))</f>
        <v>1</v>
      </c>
      <c r="J59" s="577">
        <v>45576</v>
      </c>
      <c r="K59" s="577">
        <v>45587</v>
      </c>
      <c r="L59" s="641" t="s">
        <v>2350</v>
      </c>
      <c r="M59" s="354"/>
      <c r="N59" s="354"/>
      <c r="O59" s="354"/>
      <c r="P59" s="354"/>
      <c r="Q59" s="354"/>
      <c r="R59" s="354"/>
      <c r="S59" s="354"/>
      <c r="T59" s="354"/>
      <c r="U59" s="354"/>
      <c r="V59" s="354"/>
      <c r="W59" s="354"/>
      <c r="X59" s="354"/>
      <c r="Y59" s="354"/>
      <c r="Z59" s="354"/>
    </row>
    <row r="60" spans="1:33" ht="15.75" customHeight="1">
      <c r="A60" s="615" t="s">
        <v>1981</v>
      </c>
      <c r="B60" s="615" t="s">
        <v>2351</v>
      </c>
      <c r="C60" s="615" t="s">
        <v>2352</v>
      </c>
      <c r="D60" s="615" t="s">
        <v>76</v>
      </c>
      <c r="E60" s="642">
        <v>45587</v>
      </c>
      <c r="F60" s="642">
        <v>45588</v>
      </c>
      <c r="G60" s="615"/>
      <c r="H60" s="642">
        <v>45588</v>
      </c>
      <c r="I60" s="374">
        <f ca="1">IF(ISBLANK(H60), NETWORKDAYS(F60, TODAY(),fESTIVOS!$A$1:$A$18), NETWORKDAYS(F60, H60, fESTIVOS!$A$1:$A$18))</f>
        <v>1</v>
      </c>
      <c r="J60" s="615"/>
      <c r="K60" s="615"/>
      <c r="L60" s="643" t="s">
        <v>2353</v>
      </c>
      <c r="M60" s="644"/>
      <c r="N60" s="644"/>
      <c r="O60" s="644"/>
      <c r="P60" s="644"/>
      <c r="Q60" s="644"/>
      <c r="R60" s="644"/>
      <c r="S60" s="644"/>
      <c r="T60" s="644"/>
      <c r="U60" s="644"/>
      <c r="V60" s="644"/>
      <c r="W60" s="644"/>
      <c r="X60" s="644"/>
      <c r="Y60" s="644"/>
      <c r="Z60" s="644"/>
      <c r="AA60" s="644"/>
      <c r="AB60" s="644"/>
      <c r="AC60" s="644"/>
      <c r="AD60" s="644"/>
      <c r="AE60" s="644"/>
      <c r="AF60" s="644"/>
      <c r="AG60" s="644"/>
    </row>
    <row r="61" spans="1:33" ht="15.75" customHeight="1">
      <c r="A61" s="615" t="s">
        <v>1981</v>
      </c>
      <c r="B61" s="615" t="s">
        <v>2351</v>
      </c>
      <c r="C61" s="615" t="s">
        <v>2354</v>
      </c>
      <c r="D61" s="615" t="s">
        <v>76</v>
      </c>
      <c r="E61" s="642">
        <v>45587</v>
      </c>
      <c r="F61" s="642">
        <v>45588</v>
      </c>
      <c r="G61" s="615"/>
      <c r="H61" s="642">
        <v>45588</v>
      </c>
      <c r="I61" s="374">
        <f ca="1">IF(ISBLANK(H61), NETWORKDAYS(F61, TODAY(),fESTIVOS!$A$1:$A$18), NETWORKDAYS(F61, H61, fESTIVOS!$A$1:$A$18))</f>
        <v>1</v>
      </c>
      <c r="J61" s="615"/>
      <c r="K61" s="615"/>
      <c r="L61" s="643" t="s">
        <v>2355</v>
      </c>
      <c r="M61" s="644"/>
      <c r="N61" s="644"/>
      <c r="O61" s="644"/>
      <c r="P61" s="644"/>
      <c r="Q61" s="644"/>
      <c r="R61" s="644"/>
      <c r="S61" s="644"/>
      <c r="T61" s="644"/>
      <c r="U61" s="644"/>
      <c r="V61" s="644"/>
      <c r="W61" s="644"/>
      <c r="X61" s="644"/>
      <c r="Y61" s="644"/>
      <c r="Z61" s="644"/>
      <c r="AA61" s="644"/>
      <c r="AB61" s="644"/>
      <c r="AC61" s="644"/>
      <c r="AD61" s="644"/>
      <c r="AE61" s="644"/>
      <c r="AF61" s="644"/>
      <c r="AG61" s="644"/>
    </row>
    <row r="62" spans="1:33" ht="15.75" customHeight="1">
      <c r="A62" s="615" t="s">
        <v>1981</v>
      </c>
      <c r="B62" s="615" t="s">
        <v>2351</v>
      </c>
      <c r="C62" s="615" t="s">
        <v>2356</v>
      </c>
      <c r="D62" s="615" t="s">
        <v>76</v>
      </c>
      <c r="E62" s="642">
        <v>45587</v>
      </c>
      <c r="F62" s="642">
        <v>45588</v>
      </c>
      <c r="G62" s="615"/>
      <c r="H62" s="642">
        <v>45588</v>
      </c>
      <c r="I62" s="374">
        <f ca="1">IF(ISBLANK(H62), NETWORKDAYS(F62, TODAY(),fESTIVOS!$A$1:$A$18), NETWORKDAYS(F62, H62, fESTIVOS!$A$1:$A$18))</f>
        <v>1</v>
      </c>
      <c r="J62" s="615"/>
      <c r="K62" s="615"/>
      <c r="L62" s="643" t="s">
        <v>2357</v>
      </c>
      <c r="M62" s="644"/>
      <c r="N62" s="644"/>
      <c r="O62" s="644"/>
      <c r="P62" s="644"/>
      <c r="Q62" s="644"/>
      <c r="R62" s="644"/>
      <c r="S62" s="644"/>
      <c r="T62" s="644"/>
      <c r="U62" s="644"/>
      <c r="V62" s="644"/>
      <c r="W62" s="644"/>
      <c r="X62" s="644"/>
      <c r="Y62" s="644"/>
      <c r="Z62" s="644"/>
      <c r="AA62" s="644"/>
      <c r="AB62" s="644"/>
      <c r="AC62" s="644"/>
      <c r="AD62" s="644"/>
      <c r="AE62" s="644"/>
      <c r="AF62" s="644"/>
      <c r="AG62" s="644"/>
    </row>
    <row r="63" spans="1:33" ht="15.75" customHeight="1">
      <c r="A63" s="645" t="s">
        <v>1973</v>
      </c>
      <c r="B63" s="646" t="s">
        <v>2358</v>
      </c>
      <c r="C63" s="647" t="s">
        <v>2359</v>
      </c>
      <c r="D63" s="648" t="s">
        <v>2360</v>
      </c>
      <c r="E63" s="649">
        <v>45559</v>
      </c>
      <c r="F63" s="649">
        <v>45576</v>
      </c>
      <c r="G63" s="650"/>
      <c r="H63" s="651">
        <v>45581</v>
      </c>
      <c r="I63" s="652">
        <f ca="1">IF(ISBLANK(H63), NETWORKDAYS(F63, TODAY(),fESTIVOS!$A$1:$A$18), NETWORKDAYS(F63, H63, fESTIVOS!$A$1:$A$18))</f>
        <v>3</v>
      </c>
      <c r="J63" s="651">
        <v>45581</v>
      </c>
      <c r="K63" s="653">
        <v>45583</v>
      </c>
      <c r="L63" s="654" t="s">
        <v>2361</v>
      </c>
      <c r="M63" s="360"/>
      <c r="N63" s="360"/>
      <c r="O63" s="360"/>
      <c r="P63" s="360"/>
      <c r="Q63" s="360"/>
      <c r="R63" s="360"/>
      <c r="S63" s="360"/>
      <c r="T63" s="360"/>
      <c r="U63" s="360"/>
      <c r="V63" s="360"/>
      <c r="W63" s="360"/>
      <c r="X63" s="360"/>
      <c r="Y63" s="360"/>
      <c r="Z63" s="360"/>
    </row>
    <row r="64" spans="1:33" ht="15.75" customHeight="1">
      <c r="A64" s="365" t="s">
        <v>1991</v>
      </c>
      <c r="B64" s="582" t="s">
        <v>2362</v>
      </c>
      <c r="C64" s="572"/>
      <c r="D64" s="543" t="s">
        <v>2363</v>
      </c>
      <c r="E64" s="364">
        <v>45562</v>
      </c>
      <c r="F64" s="364">
        <v>45562</v>
      </c>
      <c r="G64" s="365"/>
      <c r="H64" s="364">
        <v>45566</v>
      </c>
      <c r="I64" s="366">
        <f ca="1">IF(ISBLANK(H64), NETWORKDAYS(F64, TODAY(),fESTIVOS!$A$1:$A$18), NETWORKDAYS(F64, H64, fESTIVOS!$A$1:$A$18))</f>
        <v>3</v>
      </c>
      <c r="J64" s="364">
        <v>45566</v>
      </c>
      <c r="K64" s="364">
        <v>45590</v>
      </c>
      <c r="L64" s="367" t="s">
        <v>2364</v>
      </c>
      <c r="M64" s="354"/>
      <c r="N64" s="354"/>
      <c r="O64" s="354"/>
      <c r="P64" s="354"/>
      <c r="Q64" s="354"/>
      <c r="R64" s="354"/>
      <c r="S64" s="354"/>
      <c r="T64" s="354"/>
      <c r="U64" s="354"/>
      <c r="V64" s="354"/>
      <c r="W64" s="354"/>
      <c r="X64" s="354"/>
      <c r="Y64" s="354"/>
      <c r="Z64" s="354"/>
    </row>
    <row r="65" spans="1:33" ht="15.75" customHeight="1">
      <c r="A65" s="592" t="s">
        <v>1966</v>
      </c>
      <c r="B65" s="571" t="s">
        <v>1970</v>
      </c>
      <c r="C65" s="655" t="s">
        <v>2365</v>
      </c>
      <c r="D65" s="576" t="s">
        <v>76</v>
      </c>
      <c r="E65" s="656">
        <v>45587</v>
      </c>
      <c r="F65" s="577">
        <v>45587</v>
      </c>
      <c r="G65" s="577"/>
      <c r="H65" s="577">
        <v>45589</v>
      </c>
      <c r="I65" s="640">
        <f ca="1">IF(ISBLANK(H65), NETWORKDAYS(F65, TODAY(),fESTIVOS!$A$1:$A$18), NETWORKDAYS(F65, H65, fESTIVOS!$A$1:$A$18))</f>
        <v>3</v>
      </c>
      <c r="J65" s="577">
        <v>45589</v>
      </c>
      <c r="K65" s="577"/>
      <c r="L65" s="580" t="s">
        <v>2366</v>
      </c>
      <c r="M65" s="354"/>
      <c r="N65" s="354"/>
      <c r="O65" s="354"/>
      <c r="P65" s="354"/>
      <c r="Q65" s="354"/>
      <c r="R65" s="354"/>
      <c r="S65" s="354"/>
      <c r="T65" s="354"/>
      <c r="U65" s="354"/>
      <c r="V65" s="354"/>
      <c r="W65" s="354"/>
      <c r="X65" s="354"/>
      <c r="Y65" s="354"/>
      <c r="Z65" s="354"/>
      <c r="AA65" s="399"/>
      <c r="AB65" s="399"/>
      <c r="AC65" s="399"/>
      <c r="AD65" s="399"/>
      <c r="AE65" s="399"/>
      <c r="AF65" s="399"/>
      <c r="AG65" s="399"/>
    </row>
    <row r="66" spans="1:33" ht="15.75" customHeight="1">
      <c r="A66" s="353" t="s">
        <v>1966</v>
      </c>
      <c r="B66" s="362" t="s">
        <v>1978</v>
      </c>
      <c r="C66" s="363" t="s">
        <v>2367</v>
      </c>
      <c r="D66" s="586" t="s">
        <v>2368</v>
      </c>
      <c r="E66" s="364">
        <v>45572</v>
      </c>
      <c r="F66" s="364">
        <v>45574</v>
      </c>
      <c r="G66" s="364"/>
      <c r="H66" s="364">
        <v>45574</v>
      </c>
      <c r="I66" s="366">
        <f ca="1">IF(ISBLANK(H66), NETWORKDAYS(F66, TODAY(),fESTIVOS!$A$1:$A$18), NETWORKDAYS(F66, H66, fESTIVOS!$A$1:$A$18))</f>
        <v>1</v>
      </c>
      <c r="J66" s="364">
        <v>45574</v>
      </c>
      <c r="K66" s="364"/>
      <c r="L66" s="367" t="s">
        <v>2369</v>
      </c>
      <c r="M66" s="354"/>
      <c r="N66" s="354"/>
      <c r="O66" s="354"/>
      <c r="P66" s="354"/>
      <c r="Q66" s="354"/>
      <c r="R66" s="354"/>
      <c r="S66" s="354"/>
      <c r="T66" s="354"/>
      <c r="U66" s="354"/>
      <c r="V66" s="354"/>
      <c r="W66" s="354"/>
      <c r="X66" s="354"/>
      <c r="Y66" s="354"/>
      <c r="Z66" s="354"/>
    </row>
    <row r="67" spans="1:33" ht="15.75" customHeight="1">
      <c r="A67" s="588" t="s">
        <v>2239</v>
      </c>
      <c r="B67" s="362" t="s">
        <v>2370</v>
      </c>
      <c r="C67" s="402" t="s">
        <v>2371</v>
      </c>
      <c r="D67" s="365" t="s">
        <v>76</v>
      </c>
      <c r="E67" s="364">
        <v>45588</v>
      </c>
      <c r="F67" s="636">
        <v>45589</v>
      </c>
      <c r="G67" s="364"/>
      <c r="H67" s="364">
        <v>45589</v>
      </c>
      <c r="I67" s="366">
        <f ca="1">IF(ISBLANK(H67), NETWORKDAYS(F67, TODAY(),fESTIVOS!$A$1:$A$18), NETWORKDAYS(F67, H67, fESTIVOS!$A$1:$A$18))</f>
        <v>1</v>
      </c>
      <c r="J67" s="623"/>
      <c r="K67" s="623"/>
      <c r="L67" s="657" t="s">
        <v>2372</v>
      </c>
      <c r="M67" s="624"/>
      <c r="N67" s="360"/>
      <c r="O67" s="360"/>
      <c r="P67" s="360"/>
      <c r="Q67" s="360"/>
      <c r="R67" s="360"/>
      <c r="S67" s="360"/>
      <c r="T67" s="360"/>
      <c r="U67" s="360"/>
      <c r="V67" s="360"/>
      <c r="W67" s="360"/>
      <c r="X67" s="360"/>
      <c r="Y67" s="360"/>
      <c r="Z67" s="360"/>
      <c r="AA67" s="399"/>
      <c r="AB67" s="399"/>
      <c r="AC67" s="399"/>
      <c r="AD67" s="399"/>
      <c r="AE67" s="399"/>
      <c r="AF67" s="399"/>
      <c r="AG67" s="399"/>
    </row>
    <row r="68" spans="1:33" ht="15.75" customHeight="1">
      <c r="A68" s="593" t="s">
        <v>2373</v>
      </c>
      <c r="B68" s="658" t="s">
        <v>2374</v>
      </c>
      <c r="C68" s="658" t="s">
        <v>2375</v>
      </c>
      <c r="D68" s="596" t="s">
        <v>76</v>
      </c>
      <c r="E68" s="597">
        <v>45568</v>
      </c>
      <c r="F68" s="597">
        <v>45568</v>
      </c>
      <c r="H68" s="597">
        <v>45589</v>
      </c>
      <c r="I68" s="366">
        <f ca="1">IF(ISBLANK(H68), NETWORKDAYS(F68, TODAY(),fESTIVOS!$A$1:$A$18), NETWORKDAYS(F68, H68, fESTIVOS!$A$1:$A$18))</f>
        <v>15</v>
      </c>
      <c r="J68" s="597">
        <v>45589</v>
      </c>
      <c r="K68" s="597"/>
      <c r="L68" s="599" t="s">
        <v>2376</v>
      </c>
      <c r="M68" s="354"/>
      <c r="N68" s="354"/>
      <c r="O68" s="354"/>
      <c r="P68" s="354"/>
      <c r="Q68" s="354"/>
      <c r="R68" s="354"/>
      <c r="S68" s="354"/>
      <c r="T68" s="354"/>
      <c r="U68" s="354"/>
      <c r="V68" s="354"/>
      <c r="W68" s="354"/>
      <c r="X68" s="354"/>
      <c r="Y68" s="354"/>
      <c r="Z68" s="354"/>
    </row>
    <row r="69" spans="1:33" ht="15.75" customHeight="1">
      <c r="A69" s="368" t="s">
        <v>1973</v>
      </c>
      <c r="B69" s="659" t="s">
        <v>2377</v>
      </c>
      <c r="C69" s="371" t="s">
        <v>2378</v>
      </c>
      <c r="D69" s="371" t="s">
        <v>76</v>
      </c>
      <c r="E69" s="396">
        <v>45588</v>
      </c>
      <c r="F69" s="396">
        <v>45588</v>
      </c>
      <c r="G69" s="396">
        <v>45590</v>
      </c>
      <c r="H69" s="396">
        <v>45590</v>
      </c>
      <c r="I69" s="374">
        <f ca="1">IF(ISBLANK(H69), NETWORKDAYS(F69, TODAY(),fESTIVOS!$A$1:$A$18), NETWORKDAYS(F69, H69, fESTIVOS!$A$1:$A$18))</f>
        <v>3</v>
      </c>
      <c r="J69" s="396">
        <v>45590</v>
      </c>
      <c r="K69" s="396"/>
      <c r="L69" s="619" t="s">
        <v>2379</v>
      </c>
      <c r="M69" s="589"/>
      <c r="N69" s="354"/>
      <c r="O69" s="354"/>
      <c r="P69" s="354"/>
      <c r="Q69" s="354"/>
      <c r="R69" s="354"/>
      <c r="S69" s="354"/>
      <c r="T69" s="354"/>
      <c r="U69" s="354"/>
      <c r="V69" s="354"/>
      <c r="W69" s="354"/>
      <c r="X69" s="354"/>
      <c r="Y69" s="354"/>
      <c r="Z69" s="354"/>
      <c r="AA69" s="399"/>
      <c r="AB69" s="399"/>
      <c r="AC69" s="399"/>
      <c r="AD69" s="399"/>
      <c r="AE69" s="399"/>
      <c r="AF69" s="399"/>
      <c r="AG69" s="399"/>
    </row>
    <row r="70" spans="1:33" ht="15.75" customHeight="1">
      <c r="A70" s="368" t="s">
        <v>1973</v>
      </c>
      <c r="B70" s="659" t="s">
        <v>2377</v>
      </c>
      <c r="C70" s="371" t="s">
        <v>2380</v>
      </c>
      <c r="D70" s="371" t="s">
        <v>76</v>
      </c>
      <c r="E70" s="396">
        <v>45588</v>
      </c>
      <c r="F70" s="396">
        <v>45588</v>
      </c>
      <c r="G70" s="396">
        <v>45590</v>
      </c>
      <c r="H70" s="396">
        <v>45590</v>
      </c>
      <c r="I70" s="374">
        <f ca="1">IF(ISBLANK(H70), NETWORKDAYS(F70, TODAY(),fESTIVOS!$A$1:$A$18), NETWORKDAYS(F70, H70, fESTIVOS!$A$1:$A$18))</f>
        <v>3</v>
      </c>
      <c r="J70" s="396">
        <v>45593</v>
      </c>
      <c r="K70" s="396"/>
      <c r="L70" s="619" t="s">
        <v>2381</v>
      </c>
      <c r="M70" s="589"/>
      <c r="N70" s="354"/>
      <c r="O70" s="354"/>
      <c r="P70" s="354"/>
      <c r="Q70" s="354"/>
      <c r="R70" s="354"/>
      <c r="S70" s="354"/>
      <c r="T70" s="354"/>
      <c r="U70" s="354"/>
      <c r="V70" s="354"/>
      <c r="W70" s="354"/>
      <c r="X70" s="354"/>
      <c r="Y70" s="354"/>
      <c r="Z70" s="354"/>
      <c r="AA70" s="399"/>
      <c r="AB70" s="399"/>
      <c r="AC70" s="399"/>
      <c r="AD70" s="399"/>
      <c r="AE70" s="399"/>
      <c r="AF70" s="399"/>
      <c r="AG70" s="399"/>
    </row>
    <row r="71" spans="1:33" ht="15.75" customHeight="1">
      <c r="A71" s="353" t="s">
        <v>1966</v>
      </c>
      <c r="B71" s="571" t="s">
        <v>1970</v>
      </c>
      <c r="C71" s="628" t="s">
        <v>2382</v>
      </c>
      <c r="D71" s="602" t="s">
        <v>76</v>
      </c>
      <c r="E71" s="633">
        <v>45588</v>
      </c>
      <c r="F71" s="633">
        <v>45588</v>
      </c>
      <c r="G71" s="634"/>
      <c r="H71" s="634">
        <v>45589</v>
      </c>
      <c r="I71" s="579">
        <f ca="1">IF(ISBLANK(H71), NETWORKDAYS(F71, TODAY(),fESTIVOS!$A$1:$A$18), NETWORKDAYS(F71, H71, fESTIVOS!$A$1:$A$18))</f>
        <v>2</v>
      </c>
      <c r="J71" s="634">
        <v>45589</v>
      </c>
      <c r="K71" s="634"/>
      <c r="L71" s="635" t="s">
        <v>2383</v>
      </c>
      <c r="M71" s="354"/>
      <c r="N71" s="354"/>
      <c r="O71" s="354"/>
      <c r="P71" s="354"/>
      <c r="Q71" s="354"/>
      <c r="R71" s="354"/>
      <c r="S71" s="354"/>
      <c r="T71" s="354"/>
      <c r="U71" s="354"/>
      <c r="V71" s="354"/>
      <c r="W71" s="354"/>
      <c r="X71" s="354"/>
      <c r="Y71" s="354"/>
      <c r="Z71" s="354"/>
      <c r="AA71" s="399"/>
      <c r="AB71" s="399"/>
      <c r="AC71" s="399"/>
      <c r="AD71" s="399"/>
      <c r="AE71" s="399"/>
      <c r="AF71" s="399"/>
      <c r="AG71" s="399"/>
    </row>
    <row r="72" spans="1:33" ht="15.75" customHeight="1">
      <c r="A72" s="353" t="s">
        <v>1966</v>
      </c>
      <c r="B72" s="571" t="s">
        <v>1970</v>
      </c>
      <c r="C72" s="660" t="s">
        <v>2384</v>
      </c>
      <c r="D72" s="602" t="s">
        <v>76</v>
      </c>
      <c r="E72" s="633">
        <v>45589</v>
      </c>
      <c r="F72" s="634">
        <v>45589</v>
      </c>
      <c r="G72" s="634"/>
      <c r="H72" s="634">
        <v>45590</v>
      </c>
      <c r="I72" s="579">
        <f ca="1">IF(ISBLANK(H72), NETWORKDAYS(F72, TODAY(),fESTIVOS!$A$1:$A$18), NETWORKDAYS(F72, H72, fESTIVOS!$A$1:$A$18))</f>
        <v>2</v>
      </c>
      <c r="J72" s="634">
        <v>45590</v>
      </c>
      <c r="K72" s="634"/>
      <c r="L72" s="635" t="s">
        <v>2385</v>
      </c>
      <c r="M72" s="354"/>
      <c r="N72" s="354"/>
      <c r="O72" s="354"/>
      <c r="P72" s="354"/>
      <c r="Q72" s="354"/>
      <c r="R72" s="354"/>
      <c r="S72" s="354"/>
      <c r="T72" s="354"/>
      <c r="U72" s="354"/>
      <c r="V72" s="354"/>
      <c r="W72" s="354"/>
      <c r="X72" s="354"/>
      <c r="Y72" s="354"/>
      <c r="Z72" s="354"/>
      <c r="AA72" s="399"/>
      <c r="AB72" s="399"/>
      <c r="AC72" s="399"/>
      <c r="AD72" s="399"/>
      <c r="AE72" s="399"/>
      <c r="AF72" s="399"/>
      <c r="AG72" s="399"/>
    </row>
    <row r="73" spans="1:33" ht="15.75" customHeight="1">
      <c r="A73" s="353" t="s">
        <v>1966</v>
      </c>
      <c r="B73" s="571" t="s">
        <v>1978</v>
      </c>
      <c r="C73" s="661" t="s">
        <v>2386</v>
      </c>
      <c r="D73" s="586" t="s">
        <v>76</v>
      </c>
      <c r="E73" s="364">
        <v>45572</v>
      </c>
      <c r="F73" s="364">
        <v>45574</v>
      </c>
      <c r="G73" s="662"/>
      <c r="H73" s="364">
        <v>45574</v>
      </c>
      <c r="I73" s="366">
        <f ca="1">IF(ISBLANK(H73), NETWORKDAYS(F73, TODAY(),fESTIVOS!$A$1:$A$18), NETWORKDAYS(F73, H73, fESTIVOS!$A$1:$A$18))</f>
        <v>1</v>
      </c>
      <c r="J73" s="364"/>
      <c r="K73" s="364"/>
      <c r="L73" s="367" t="s">
        <v>2387</v>
      </c>
      <c r="M73" s="354"/>
      <c r="N73" s="354"/>
      <c r="O73" s="354"/>
      <c r="P73" s="354"/>
      <c r="Q73" s="354"/>
      <c r="R73" s="354"/>
      <c r="S73" s="354"/>
      <c r="T73" s="354"/>
      <c r="U73" s="354"/>
      <c r="V73" s="354"/>
      <c r="W73" s="354"/>
      <c r="X73" s="354"/>
      <c r="Y73" s="354"/>
      <c r="Z73" s="354"/>
    </row>
    <row r="74" spans="1:33" ht="15.75" customHeight="1">
      <c r="A74" s="615" t="s">
        <v>1981</v>
      </c>
      <c r="B74" s="616" t="s">
        <v>2306</v>
      </c>
      <c r="C74" s="395" t="s">
        <v>2388</v>
      </c>
      <c r="D74" s="371" t="s">
        <v>76</v>
      </c>
      <c r="E74" s="396">
        <v>45576</v>
      </c>
      <c r="F74" s="396">
        <v>45579</v>
      </c>
      <c r="G74" s="396"/>
      <c r="H74" s="396">
        <v>45590</v>
      </c>
      <c r="I74" s="374">
        <f ca="1">IF(ISBLANK(H74), NETWORKDAYS(F74, TODAY(),fESTIVOS!$A$1:$A$18), NETWORKDAYS(F74, H74, fESTIVOS!$A$1:$A$18))</f>
        <v>9</v>
      </c>
      <c r="J74" s="396">
        <v>45590</v>
      </c>
      <c r="K74" s="396"/>
      <c r="L74" s="619" t="s">
        <v>2389</v>
      </c>
      <c r="M74" s="354"/>
      <c r="N74" s="354"/>
      <c r="O74" s="354"/>
      <c r="P74" s="354"/>
      <c r="Q74" s="354"/>
      <c r="R74" s="354"/>
      <c r="S74" s="354"/>
      <c r="T74" s="354"/>
      <c r="U74" s="354"/>
      <c r="V74" s="354"/>
      <c r="W74" s="354"/>
      <c r="X74" s="354"/>
      <c r="Y74" s="354"/>
      <c r="Z74" s="354"/>
      <c r="AA74" s="399"/>
      <c r="AB74" s="399"/>
      <c r="AC74" s="399"/>
      <c r="AD74" s="399"/>
      <c r="AE74" s="399"/>
      <c r="AF74" s="399"/>
      <c r="AG74" s="399"/>
    </row>
    <row r="75" spans="1:33" ht="15.75" customHeight="1">
      <c r="A75" s="615" t="s">
        <v>1981</v>
      </c>
      <c r="B75" s="616" t="s">
        <v>2377</v>
      </c>
      <c r="C75" s="395" t="s">
        <v>2390</v>
      </c>
      <c r="D75" s="618" t="s">
        <v>76</v>
      </c>
      <c r="E75" s="396">
        <v>45587</v>
      </c>
      <c r="F75" s="396">
        <v>45589</v>
      </c>
      <c r="G75" s="396"/>
      <c r="H75" s="396">
        <v>45593</v>
      </c>
      <c r="I75" s="374">
        <f ca="1">IF(ISBLANK(H75), NETWORKDAYS(F75, TODAY(),fESTIVOS!$A$1:$A$18), NETWORKDAYS(F75, H75, fESTIVOS!$A$1:$A$18))</f>
        <v>3</v>
      </c>
      <c r="J75" s="396">
        <v>45593</v>
      </c>
      <c r="K75" s="396"/>
      <c r="L75" s="619" t="s">
        <v>2391</v>
      </c>
      <c r="M75" s="354"/>
      <c r="N75" s="354"/>
      <c r="O75" s="354"/>
      <c r="P75" s="354"/>
      <c r="Q75" s="354"/>
      <c r="R75" s="354"/>
      <c r="S75" s="354"/>
      <c r="T75" s="354"/>
      <c r="U75" s="354"/>
      <c r="V75" s="354"/>
      <c r="W75" s="354"/>
      <c r="X75" s="354"/>
      <c r="Y75" s="354"/>
      <c r="Z75" s="354"/>
    </row>
    <row r="76" spans="1:33" ht="15.75" customHeight="1">
      <c r="A76" s="392" t="s">
        <v>1991</v>
      </c>
      <c r="B76" s="617" t="s">
        <v>2377</v>
      </c>
      <c r="C76" s="371" t="s">
        <v>2392</v>
      </c>
      <c r="D76" s="371" t="s">
        <v>76</v>
      </c>
      <c r="E76" s="396">
        <v>45582</v>
      </c>
      <c r="F76" s="396">
        <v>45582</v>
      </c>
      <c r="G76" s="396"/>
      <c r="H76" s="396">
        <v>45582</v>
      </c>
      <c r="I76" s="374">
        <f ca="1">IF(ISBLANK(H76), NETWORKDAYS(F76, TODAY(),fESTIVOS!$A$1:$A$18), NETWORKDAYS(F76, H76, fESTIVOS!$A$1:$A$18))</f>
        <v>1</v>
      </c>
      <c r="J76" s="396">
        <v>45582</v>
      </c>
      <c r="K76" s="396"/>
      <c r="L76" s="619" t="s">
        <v>2393</v>
      </c>
      <c r="M76" s="589"/>
      <c r="N76" s="354"/>
      <c r="O76" s="354"/>
      <c r="P76" s="354"/>
      <c r="Q76" s="354"/>
      <c r="R76" s="354"/>
      <c r="S76" s="354"/>
      <c r="T76" s="354"/>
      <c r="U76" s="354"/>
      <c r="V76" s="354"/>
      <c r="W76" s="354"/>
      <c r="X76" s="354"/>
      <c r="Y76" s="354"/>
      <c r="Z76" s="354"/>
    </row>
    <row r="77" spans="1:33" ht="15.75" customHeight="1">
      <c r="A77" s="615" t="s">
        <v>1981</v>
      </c>
      <c r="B77" s="616" t="s">
        <v>2394</v>
      </c>
      <c r="C77" s="395" t="s">
        <v>2395</v>
      </c>
      <c r="D77" s="371" t="s">
        <v>76</v>
      </c>
      <c r="E77" s="396">
        <v>45587</v>
      </c>
      <c r="F77" s="396">
        <v>45590</v>
      </c>
      <c r="G77" s="396"/>
      <c r="H77" s="396">
        <v>45593</v>
      </c>
      <c r="I77" s="374">
        <f ca="1">IF(ISBLANK(H77), NETWORKDAYS(F77, TODAY(),fESTIVOS!$A$1:$A$18), NETWORKDAYS(F77, H77, fESTIVOS!$A$1:$A$18))</f>
        <v>2</v>
      </c>
      <c r="J77" s="396"/>
      <c r="K77" s="396"/>
      <c r="L77" s="619"/>
      <c r="M77" s="354"/>
      <c r="N77" s="354"/>
      <c r="O77" s="354"/>
      <c r="P77" s="354"/>
      <c r="Q77" s="354"/>
      <c r="R77" s="354"/>
      <c r="S77" s="354"/>
      <c r="T77" s="354"/>
      <c r="U77" s="354"/>
      <c r="V77" s="354"/>
      <c r="W77" s="354"/>
      <c r="X77" s="354"/>
      <c r="Y77" s="354"/>
      <c r="Z77" s="354"/>
      <c r="AA77" s="399"/>
      <c r="AB77" s="399"/>
      <c r="AC77" s="399"/>
      <c r="AD77" s="399"/>
      <c r="AE77" s="399"/>
      <c r="AF77" s="399"/>
      <c r="AG77" s="399"/>
    </row>
    <row r="78" spans="1:33" ht="15.75" customHeight="1">
      <c r="A78" s="353" t="s">
        <v>1966</v>
      </c>
      <c r="B78" s="582" t="s">
        <v>2396</v>
      </c>
      <c r="C78" s="572" t="s">
        <v>2397</v>
      </c>
      <c r="D78" s="365" t="s">
        <v>76</v>
      </c>
      <c r="E78" s="364">
        <v>45590</v>
      </c>
      <c r="F78" s="364">
        <v>45593</v>
      </c>
      <c r="G78" s="364"/>
      <c r="H78" s="364">
        <v>45593</v>
      </c>
      <c r="I78" s="366">
        <f ca="1">IF(ISBLANK(H78), NETWORKDAYS(F78, TODAY(),fESTIVOS!$A$1:$A$18), NETWORKDAYS(F78, H78, fESTIVOS!$A$1:$A$18))</f>
        <v>1</v>
      </c>
      <c r="J78" s="364"/>
      <c r="K78" s="364"/>
      <c r="L78" s="367"/>
      <c r="M78" s="354"/>
      <c r="N78" s="354"/>
      <c r="O78" s="354"/>
      <c r="P78" s="354"/>
      <c r="Q78" s="354"/>
      <c r="R78" s="354"/>
      <c r="S78" s="354"/>
      <c r="T78" s="354"/>
      <c r="U78" s="354"/>
      <c r="V78" s="354"/>
      <c r="W78" s="354"/>
      <c r="X78" s="354"/>
      <c r="Y78" s="354"/>
      <c r="Z78" s="354"/>
      <c r="AA78" s="399"/>
      <c r="AB78" s="399"/>
      <c r="AC78" s="399"/>
      <c r="AD78" s="399"/>
      <c r="AE78" s="399"/>
      <c r="AF78" s="399"/>
      <c r="AG78" s="399"/>
    </row>
    <row r="79" spans="1:33" ht="15.75" customHeight="1">
      <c r="A79" s="588" t="s">
        <v>2239</v>
      </c>
      <c r="B79" s="362" t="s">
        <v>2259</v>
      </c>
      <c r="C79" s="586" t="s">
        <v>2398</v>
      </c>
      <c r="D79" s="586" t="s">
        <v>76</v>
      </c>
      <c r="E79" s="364">
        <v>45589</v>
      </c>
      <c r="F79" s="364">
        <v>45593</v>
      </c>
      <c r="G79" s="364"/>
      <c r="H79" s="364">
        <v>45593</v>
      </c>
      <c r="I79" s="366">
        <f ca="1">IF(ISBLANK(H79), NETWORKDAYS(F79, TODAY(),fESTIVOS!$A$1:$A$18), NETWORKDAYS(F79, H79, fESTIVOS!$A$1:$A$18))</f>
        <v>1</v>
      </c>
      <c r="J79" s="364">
        <v>45593</v>
      </c>
      <c r="K79" s="364"/>
      <c r="L79" s="367" t="s">
        <v>2399</v>
      </c>
      <c r="M79" s="589"/>
      <c r="N79" s="354"/>
      <c r="O79" s="354"/>
      <c r="P79" s="354"/>
      <c r="Q79" s="354"/>
      <c r="R79" s="354"/>
      <c r="S79" s="354"/>
      <c r="T79" s="354"/>
      <c r="U79" s="354"/>
      <c r="V79" s="354"/>
      <c r="W79" s="354"/>
      <c r="X79" s="354"/>
      <c r="Y79" s="354"/>
      <c r="Z79" s="354"/>
      <c r="AA79" s="399"/>
      <c r="AB79" s="399"/>
      <c r="AC79" s="399"/>
      <c r="AD79" s="399"/>
      <c r="AE79" s="399"/>
      <c r="AF79" s="399"/>
      <c r="AG79" s="399"/>
    </row>
    <row r="80" spans="1:33" ht="15.75" customHeight="1">
      <c r="A80" s="353" t="s">
        <v>1966</v>
      </c>
      <c r="B80" s="362" t="s">
        <v>1970</v>
      </c>
      <c r="C80" s="572" t="s">
        <v>2400</v>
      </c>
      <c r="D80" s="365" t="s">
        <v>76</v>
      </c>
      <c r="E80" s="364">
        <v>45594</v>
      </c>
      <c r="F80" s="364">
        <v>45594</v>
      </c>
      <c r="G80" s="364">
        <v>45596</v>
      </c>
      <c r="H80" s="365"/>
      <c r="I80" s="366">
        <f ca="1">IF(ISBLANK(H80), NETWORKDAYS(F80, TODAY(),fESTIVOS!$A$1:$A$18), NETWORKDAYS(F80, H80, fESTIVOS!$A$1:$A$18))</f>
        <v>324</v>
      </c>
      <c r="J80" s="364">
        <v>45596</v>
      </c>
      <c r="K80" s="364"/>
      <c r="L80" s="367" t="s">
        <v>2401</v>
      </c>
      <c r="M80" s="354"/>
      <c r="N80" s="354"/>
      <c r="O80" s="354"/>
      <c r="P80" s="354"/>
      <c r="Q80" s="354"/>
      <c r="R80" s="354"/>
      <c r="S80" s="354"/>
      <c r="T80" s="354"/>
      <c r="U80" s="354"/>
      <c r="V80" s="354"/>
      <c r="W80" s="354"/>
      <c r="X80" s="354"/>
      <c r="Y80" s="354"/>
      <c r="Z80" s="354"/>
      <c r="AA80" s="399"/>
      <c r="AB80" s="399"/>
      <c r="AC80" s="399"/>
      <c r="AD80" s="399"/>
      <c r="AE80" s="399"/>
      <c r="AF80" s="399"/>
      <c r="AG80" s="399"/>
    </row>
    <row r="81" spans="1:33" ht="15.75" customHeight="1">
      <c r="A81" s="591" t="s">
        <v>2239</v>
      </c>
      <c r="B81" s="571" t="s">
        <v>2370</v>
      </c>
      <c r="C81" s="663" t="s">
        <v>2402</v>
      </c>
      <c r="D81" s="664" t="s">
        <v>76</v>
      </c>
      <c r="E81" s="665">
        <v>45601</v>
      </c>
      <c r="F81" s="665">
        <v>45601</v>
      </c>
      <c r="G81" s="597"/>
      <c r="H81" s="597">
        <v>45602</v>
      </c>
      <c r="I81" s="598">
        <f ca="1">IF(ISBLANK(H81), NETWORKDAYS(F81, TODAY(),fESTIVOS!$A$1:$A$18), NETWORKDAYS(F81, H81, fESTIVOS!$A$1:$A$18))</f>
        <v>2</v>
      </c>
      <c r="J81" s="357"/>
      <c r="K81" s="357"/>
      <c r="L81" s="625"/>
      <c r="M81" s="624"/>
      <c r="N81" s="360"/>
      <c r="O81" s="360"/>
      <c r="P81" s="360"/>
      <c r="Q81" s="360"/>
      <c r="R81" s="360"/>
      <c r="S81" s="360"/>
      <c r="T81" s="360"/>
      <c r="U81" s="360"/>
      <c r="V81" s="360"/>
      <c r="W81" s="360"/>
      <c r="X81" s="360"/>
      <c r="Y81" s="360"/>
      <c r="Z81" s="360"/>
      <c r="AA81" s="399"/>
      <c r="AB81" s="399"/>
      <c r="AC81" s="399"/>
      <c r="AD81" s="399"/>
      <c r="AE81" s="399"/>
      <c r="AF81" s="399"/>
      <c r="AG81" s="399"/>
    </row>
    <row r="82" spans="1:33" ht="15.75" customHeight="1">
      <c r="A82" s="392" t="s">
        <v>1991</v>
      </c>
      <c r="B82" s="582" t="s">
        <v>2403</v>
      </c>
      <c r="C82" s="666" t="s">
        <v>2404</v>
      </c>
      <c r="D82" s="586" t="s">
        <v>76</v>
      </c>
      <c r="E82" s="364">
        <v>45602</v>
      </c>
      <c r="F82" s="364">
        <v>45602</v>
      </c>
      <c r="G82" s="364"/>
      <c r="H82" s="364">
        <v>45603</v>
      </c>
      <c r="I82" s="374">
        <f ca="1">IF(ISBLANK(H82), NETWORKDAYS(F82, TODAY(),fESTIVOS!$A$1:$A$18), NETWORKDAYS(F82, H82, fESTIVOS!$A$1:$A$18))</f>
        <v>2</v>
      </c>
      <c r="J82" s="364">
        <v>45603</v>
      </c>
      <c r="K82" s="364">
        <v>45603</v>
      </c>
      <c r="L82" s="367" t="s">
        <v>2405</v>
      </c>
      <c r="M82" s="354"/>
      <c r="N82" s="354"/>
      <c r="O82" s="354"/>
      <c r="P82" s="354"/>
      <c r="Q82" s="354"/>
      <c r="R82" s="354"/>
      <c r="S82" s="354"/>
      <c r="T82" s="354"/>
      <c r="U82" s="354"/>
      <c r="V82" s="354"/>
      <c r="W82" s="354"/>
      <c r="X82" s="354"/>
      <c r="Y82" s="354"/>
      <c r="Z82" s="354"/>
      <c r="AA82" s="399"/>
      <c r="AB82" s="399"/>
      <c r="AC82" s="399"/>
      <c r="AD82" s="399"/>
      <c r="AE82" s="399"/>
      <c r="AF82" s="399"/>
      <c r="AG82" s="399"/>
    </row>
    <row r="83" spans="1:33" ht="15.75" customHeight="1">
      <c r="A83" s="667" t="s">
        <v>2259</v>
      </c>
      <c r="B83" s="667" t="s">
        <v>2259</v>
      </c>
      <c r="C83" s="361" t="s">
        <v>2406</v>
      </c>
      <c r="D83" s="365" t="s">
        <v>76</v>
      </c>
      <c r="E83" s="364">
        <v>45576</v>
      </c>
      <c r="F83" s="364">
        <v>45576</v>
      </c>
      <c r="G83" s="361"/>
      <c r="H83" s="636">
        <v>45604</v>
      </c>
      <c r="I83" s="366">
        <f ca="1">IF(ISBLANK(H83), NETWORKDAYS(F83, TODAY(),fESTIVOS!$A$1:$A$18), NETWORKDAYS(F83, H83, fESTIVOS!$A$1:$A$18))</f>
        <v>19</v>
      </c>
      <c r="J83" s="361"/>
      <c r="K83" s="361"/>
      <c r="L83" s="361" t="s">
        <v>2407</v>
      </c>
      <c r="M83" s="375"/>
      <c r="N83" s="375"/>
      <c r="O83" s="375"/>
      <c r="P83" s="375"/>
      <c r="Q83" s="375"/>
      <c r="R83" s="375"/>
      <c r="S83" s="375"/>
      <c r="T83" s="375"/>
      <c r="U83" s="375"/>
      <c r="V83" s="375"/>
      <c r="W83" s="375"/>
      <c r="X83" s="375"/>
      <c r="Y83" s="375"/>
      <c r="Z83" s="375"/>
    </row>
    <row r="84" spans="1:33" ht="15.75" customHeight="1">
      <c r="A84" s="615" t="s">
        <v>1981</v>
      </c>
      <c r="B84" s="592" t="s">
        <v>2408</v>
      </c>
      <c r="C84" s="591" t="s">
        <v>2409</v>
      </c>
      <c r="D84" s="592" t="s">
        <v>76</v>
      </c>
      <c r="E84" s="668">
        <v>45602</v>
      </c>
      <c r="F84" s="668">
        <v>45602</v>
      </c>
      <c r="G84" s="669">
        <v>45603</v>
      </c>
      <c r="H84" s="668">
        <v>45603</v>
      </c>
      <c r="I84" s="374">
        <f ca="1">IF(ISBLANK(H84), NETWORKDAYS(F84, TODAY(),fESTIVOS!$A$1:$A$18), NETWORKDAYS(F84, H84, fESTIVOS!$A$1:$A$18))</f>
        <v>2</v>
      </c>
      <c r="J84" s="592"/>
      <c r="K84" s="592"/>
      <c r="L84" s="670"/>
      <c r="M84" s="589"/>
      <c r="N84" s="354"/>
      <c r="O84" s="354"/>
      <c r="P84" s="354"/>
      <c r="Q84" s="354"/>
      <c r="R84" s="354"/>
      <c r="S84" s="354"/>
      <c r="T84" s="354"/>
      <c r="U84" s="354"/>
      <c r="V84" s="354"/>
      <c r="W84" s="354"/>
      <c r="X84" s="354"/>
      <c r="Y84" s="354"/>
      <c r="Z84" s="354"/>
      <c r="AA84" s="399"/>
      <c r="AB84" s="399"/>
      <c r="AC84" s="399"/>
      <c r="AD84" s="399"/>
      <c r="AE84" s="399"/>
      <c r="AF84" s="399"/>
      <c r="AG84" s="399"/>
    </row>
    <row r="85" spans="1:33" ht="15.75" customHeight="1">
      <c r="A85" s="615" t="s">
        <v>1981</v>
      </c>
      <c r="B85" s="393" t="s">
        <v>2377</v>
      </c>
      <c r="C85" s="371" t="s">
        <v>2410</v>
      </c>
      <c r="D85" s="618" t="s">
        <v>501</v>
      </c>
      <c r="E85" s="396">
        <v>45587</v>
      </c>
      <c r="F85" s="396">
        <v>45587</v>
      </c>
      <c r="G85" s="396"/>
      <c r="H85" s="396">
        <v>45603</v>
      </c>
      <c r="I85" s="374">
        <f ca="1">IF(ISBLANK(H85), NETWORKDAYS(F85, TODAY(),fESTIVOS!$A$1:$A$18), NETWORKDAYS(F85, H85, fESTIVOS!$A$1:$A$18))</f>
        <v>12</v>
      </c>
      <c r="J85" s="396"/>
      <c r="K85" s="396"/>
      <c r="L85" s="619" t="s">
        <v>2411</v>
      </c>
      <c r="M85" s="354"/>
      <c r="N85" s="354"/>
      <c r="O85" s="354"/>
      <c r="P85" s="354"/>
      <c r="Q85" s="354"/>
      <c r="R85" s="354"/>
      <c r="S85" s="354"/>
      <c r="T85" s="354"/>
      <c r="U85" s="354"/>
      <c r="V85" s="354"/>
      <c r="W85" s="354"/>
      <c r="X85" s="354"/>
      <c r="Y85" s="354"/>
      <c r="Z85" s="354"/>
      <c r="AA85" s="399"/>
      <c r="AB85" s="399"/>
      <c r="AC85" s="399"/>
      <c r="AD85" s="399"/>
      <c r="AE85" s="399"/>
      <c r="AF85" s="399"/>
      <c r="AG85" s="399"/>
    </row>
    <row r="86" spans="1:33" ht="15.75" customHeight="1">
      <c r="A86" s="671" t="s">
        <v>1973</v>
      </c>
      <c r="B86" s="672" t="s">
        <v>2412</v>
      </c>
      <c r="C86" s="673" t="s">
        <v>2413</v>
      </c>
      <c r="D86" s="648" t="s">
        <v>2360</v>
      </c>
      <c r="E86" s="674">
        <v>45569</v>
      </c>
      <c r="F86" s="674">
        <v>45572</v>
      </c>
      <c r="G86" s="674">
        <v>0</v>
      </c>
      <c r="H86" s="674">
        <v>45581</v>
      </c>
      <c r="I86" s="675">
        <f ca="1">IF(ISBLANK(H86), NETWORKDAYS(F86, TODAY(),fESTIVOS!$A$1:$A$18), NETWORKDAYS(F86, H86, fESTIVOS!$A$1:$A$18))</f>
        <v>7</v>
      </c>
      <c r="J86" s="674">
        <v>45587</v>
      </c>
      <c r="K86" s="674">
        <v>45609</v>
      </c>
      <c r="L86" s="676" t="s">
        <v>2414</v>
      </c>
      <c r="M86" s="354"/>
      <c r="N86" s="354"/>
      <c r="O86" s="354"/>
      <c r="P86" s="354"/>
      <c r="Q86" s="354"/>
      <c r="R86" s="354"/>
      <c r="S86" s="354"/>
      <c r="T86" s="354"/>
      <c r="U86" s="354"/>
      <c r="V86" s="354"/>
      <c r="W86" s="354"/>
      <c r="X86" s="354"/>
      <c r="Y86" s="354"/>
      <c r="Z86" s="354"/>
    </row>
    <row r="87" spans="1:33" ht="15.75" customHeight="1">
      <c r="A87" s="377" t="s">
        <v>1981</v>
      </c>
      <c r="B87" s="377" t="s">
        <v>2415</v>
      </c>
      <c r="C87" s="392"/>
      <c r="D87" s="392" t="s">
        <v>76</v>
      </c>
      <c r="E87" s="378">
        <v>45596</v>
      </c>
      <c r="F87" s="378">
        <v>45596</v>
      </c>
      <c r="G87" s="377"/>
      <c r="H87" s="378">
        <v>45608</v>
      </c>
      <c r="I87" s="374">
        <f ca="1">IF(ISBLANK(H87), NETWORKDAYS(F87, TODAY(),fESTIVOS!$A$1:$A$18), NETWORKDAYS(F87, H87, fESTIVOS!$A$1:$A$18))</f>
        <v>7</v>
      </c>
      <c r="J87" s="392"/>
      <c r="K87" s="392"/>
      <c r="L87" s="677" t="s">
        <v>2416</v>
      </c>
      <c r="M87" s="589"/>
      <c r="N87" s="354"/>
      <c r="O87" s="354"/>
      <c r="P87" s="354"/>
      <c r="Q87" s="354"/>
      <c r="R87" s="354"/>
      <c r="S87" s="354"/>
      <c r="T87" s="354"/>
      <c r="U87" s="354"/>
      <c r="V87" s="354"/>
      <c r="W87" s="354"/>
      <c r="X87" s="354"/>
      <c r="Y87" s="354"/>
      <c r="Z87" s="354"/>
      <c r="AA87" s="399"/>
      <c r="AB87" s="399"/>
      <c r="AC87" s="399"/>
      <c r="AD87" s="399"/>
      <c r="AE87" s="399"/>
      <c r="AF87" s="399"/>
      <c r="AG87" s="399"/>
    </row>
    <row r="88" spans="1:33" ht="15.75" customHeight="1">
      <c r="A88" s="615" t="s">
        <v>1981</v>
      </c>
      <c r="B88" s="671" t="s">
        <v>2417</v>
      </c>
      <c r="C88" s="678" t="s">
        <v>2418</v>
      </c>
      <c r="D88" s="671" t="s">
        <v>76</v>
      </c>
      <c r="E88" s="679">
        <v>45601</v>
      </c>
      <c r="F88" s="679">
        <v>45601</v>
      </c>
      <c r="G88" s="393"/>
      <c r="H88" s="679">
        <v>45608</v>
      </c>
      <c r="I88" s="374">
        <f ca="1">IF(ISBLANK(H88), NETWORKDAYS(F88, TODAY(),fESTIVOS!$A$1:$A$18), NETWORKDAYS(F88, H88, fESTIVOS!$A$1:$A$18))</f>
        <v>5</v>
      </c>
      <c r="J88" s="671"/>
      <c r="K88" s="671"/>
      <c r="L88" s="680" t="s">
        <v>2419</v>
      </c>
      <c r="M88" s="589"/>
      <c r="N88" s="354"/>
      <c r="O88" s="354"/>
      <c r="P88" s="354"/>
      <c r="Q88" s="354"/>
      <c r="R88" s="354"/>
      <c r="S88" s="354"/>
      <c r="T88" s="354"/>
      <c r="U88" s="354"/>
      <c r="V88" s="354"/>
      <c r="W88" s="354"/>
      <c r="X88" s="354"/>
      <c r="Y88" s="354"/>
      <c r="Z88" s="354"/>
      <c r="AA88" s="399"/>
      <c r="AB88" s="399"/>
      <c r="AC88" s="399"/>
      <c r="AD88" s="399"/>
      <c r="AE88" s="399"/>
      <c r="AF88" s="399"/>
      <c r="AG88" s="399"/>
    </row>
    <row r="89" spans="1:33" ht="15" customHeight="1">
      <c r="A89" s="588" t="s">
        <v>2239</v>
      </c>
      <c r="B89" s="363" t="s">
        <v>2420</v>
      </c>
      <c r="C89" s="363" t="s">
        <v>2421</v>
      </c>
      <c r="D89" s="586" t="s">
        <v>76</v>
      </c>
      <c r="E89" s="364">
        <v>45608</v>
      </c>
      <c r="F89" s="364">
        <v>45608</v>
      </c>
      <c r="G89" s="364"/>
      <c r="H89" s="364">
        <v>45609</v>
      </c>
      <c r="I89" s="366">
        <f ca="1">IF(ISBLANK(H89), NETWORKDAYS(F89, TODAY(),fESTIVOS!$A$1:$A$18), NETWORKDAYS(F89, H89, fESTIVOS!$A$1:$A$18))</f>
        <v>2</v>
      </c>
      <c r="J89" s="364"/>
      <c r="K89" s="364">
        <v>45609</v>
      </c>
      <c r="L89" s="367"/>
    </row>
    <row r="90" spans="1:33" ht="15.75" customHeight="1">
      <c r="A90" s="588" t="s">
        <v>2239</v>
      </c>
      <c r="B90" s="571" t="s">
        <v>2370</v>
      </c>
      <c r="C90" s="402" t="s">
        <v>2422</v>
      </c>
      <c r="D90" s="365" t="s">
        <v>76</v>
      </c>
      <c r="E90" s="364">
        <v>45602</v>
      </c>
      <c r="F90" s="681">
        <v>45602</v>
      </c>
      <c r="G90" s="682"/>
      <c r="H90" s="683">
        <v>45603</v>
      </c>
      <c r="I90" s="366">
        <f ca="1">IF(ISBLANK(H90), NETWORKDAYS(F90, TODAY(),fESTIVOS!$A$1:$A$18), NETWORKDAYS(F90, H90, fESTIVOS!$A$1:$A$18))</f>
        <v>2</v>
      </c>
      <c r="J90" s="682"/>
      <c r="K90" s="682"/>
      <c r="L90" s="584" t="s">
        <v>2423</v>
      </c>
    </row>
    <row r="91" spans="1:33" ht="15.75" customHeight="1">
      <c r="A91" s="353" t="s">
        <v>1966</v>
      </c>
      <c r="B91" s="684" t="s">
        <v>2424</v>
      </c>
      <c r="C91" s="572"/>
      <c r="D91" s="586" t="s">
        <v>2360</v>
      </c>
      <c r="E91" s="364">
        <v>45336</v>
      </c>
      <c r="F91" s="364">
        <v>45336</v>
      </c>
      <c r="G91" s="364"/>
      <c r="H91" s="364">
        <v>45470</v>
      </c>
      <c r="I91" s="366">
        <f ca="1">IF(ISBLANK(H91), NETWORKDAYS(F91, TODAY(),fESTIVOS!$A$1:$A$18), NETWORKDAYS(F91, H91, fESTIVOS!$A$1:$A$18))</f>
        <v>90</v>
      </c>
      <c r="J91" s="364">
        <v>45470</v>
      </c>
      <c r="K91" s="364">
        <v>45610</v>
      </c>
      <c r="L91" s="587" t="s">
        <v>2425</v>
      </c>
      <c r="M91" s="354"/>
      <c r="N91" s="354"/>
      <c r="O91" s="354"/>
      <c r="P91" s="354"/>
      <c r="Q91" s="354"/>
      <c r="R91" s="354"/>
      <c r="S91" s="354"/>
      <c r="T91" s="354"/>
      <c r="U91" s="354"/>
      <c r="V91" s="354"/>
      <c r="W91" s="354"/>
      <c r="X91" s="354"/>
      <c r="Y91" s="354"/>
      <c r="Z91" s="354"/>
    </row>
    <row r="92" spans="1:33" ht="15.75" customHeight="1">
      <c r="A92" s="377" t="s">
        <v>1981</v>
      </c>
      <c r="B92" s="620" t="s">
        <v>2426</v>
      </c>
      <c r="C92" s="617" t="s">
        <v>2427</v>
      </c>
      <c r="D92" s="371" t="s">
        <v>2363</v>
      </c>
      <c r="E92" s="396">
        <v>45545</v>
      </c>
      <c r="F92" s="396">
        <v>45546</v>
      </c>
      <c r="G92" s="396"/>
      <c r="H92" s="396">
        <v>45609</v>
      </c>
      <c r="I92" s="374">
        <f ca="1">IF(ISBLANK(H92), NETWORKDAYS(F92, TODAY(),fESTIVOS!$A$1:$A$18), NETWORKDAYS(F92, H92, fESTIVOS!$A$1:$A$18))</f>
        <v>43</v>
      </c>
      <c r="J92" s="396">
        <v>45609</v>
      </c>
      <c r="K92" s="396">
        <v>45610</v>
      </c>
      <c r="L92" s="619" t="s">
        <v>2428</v>
      </c>
      <c r="M92" s="354"/>
      <c r="N92" s="354"/>
      <c r="O92" s="354"/>
      <c r="P92" s="354"/>
      <c r="Q92" s="354"/>
      <c r="R92" s="354"/>
      <c r="S92" s="354"/>
      <c r="T92" s="354"/>
      <c r="U92" s="354"/>
      <c r="V92" s="354"/>
      <c r="W92" s="354"/>
      <c r="X92" s="354"/>
      <c r="Y92" s="354"/>
      <c r="Z92" s="354"/>
    </row>
    <row r="93" spans="1:33" ht="15.75" customHeight="1">
      <c r="A93" s="588" t="s">
        <v>2239</v>
      </c>
      <c r="B93" s="363" t="s">
        <v>2420</v>
      </c>
      <c r="C93" s="363" t="s">
        <v>2429</v>
      </c>
      <c r="D93" s="586" t="s">
        <v>2363</v>
      </c>
      <c r="E93" s="364">
        <v>45610</v>
      </c>
      <c r="F93" s="364">
        <v>45610</v>
      </c>
      <c r="G93" s="364"/>
      <c r="H93" s="365"/>
      <c r="I93" s="598">
        <f ca="1">IF(ISBLANK(H93), NETWORKDAYS(F93, TODAY(),fESTIVOS!$A$1:$A$18), NETWORKDAYS(F93, H93, fESTIVOS!$A$1:$A$18))</f>
        <v>314</v>
      </c>
      <c r="J93" s="364"/>
      <c r="K93" s="364">
        <v>45611</v>
      </c>
      <c r="L93" s="367" t="s">
        <v>2430</v>
      </c>
      <c r="M93" s="589"/>
      <c r="N93" s="354"/>
      <c r="O93" s="354"/>
      <c r="P93" s="354"/>
      <c r="Q93" s="354"/>
      <c r="R93" s="354"/>
      <c r="S93" s="354"/>
      <c r="T93" s="354"/>
      <c r="U93" s="354"/>
      <c r="V93" s="354"/>
      <c r="W93" s="354"/>
      <c r="X93" s="354"/>
      <c r="Y93" s="354"/>
      <c r="Z93" s="354"/>
      <c r="AA93" s="399"/>
      <c r="AB93" s="399"/>
      <c r="AC93" s="399"/>
      <c r="AD93" s="399"/>
      <c r="AE93" s="399"/>
      <c r="AF93" s="399"/>
      <c r="AG93" s="399"/>
    </row>
    <row r="94" spans="1:33" ht="15.75" customHeight="1">
      <c r="A94" s="377" t="s">
        <v>1981</v>
      </c>
      <c r="B94" s="685" t="s">
        <v>2431</v>
      </c>
      <c r="C94" s="386"/>
      <c r="D94" s="386" t="s">
        <v>76</v>
      </c>
      <c r="E94" s="686">
        <v>45615</v>
      </c>
      <c r="F94" s="686">
        <v>45615</v>
      </c>
      <c r="G94" s="685"/>
      <c r="H94" s="686">
        <v>45615</v>
      </c>
      <c r="I94" s="374">
        <f ca="1">IF(ISBLANK(H94), NETWORKDAYS(F94, TODAY(),fESTIVOS!$A$1:$A$18), NETWORKDAYS(F94, H94, fESTIVOS!$A$1:$A$18))</f>
        <v>1</v>
      </c>
      <c r="J94" s="386"/>
      <c r="K94" s="386"/>
      <c r="L94" s="687" t="s">
        <v>2432</v>
      </c>
      <c r="M94" s="688"/>
      <c r="N94" s="689"/>
      <c r="O94" s="689"/>
      <c r="P94" s="689"/>
      <c r="Q94" s="689"/>
      <c r="R94" s="689"/>
      <c r="S94" s="689"/>
      <c r="T94" s="689"/>
      <c r="U94" s="689"/>
      <c r="V94" s="689"/>
      <c r="W94" s="689"/>
      <c r="X94" s="689"/>
      <c r="Y94" s="689"/>
      <c r="Z94" s="689"/>
      <c r="AA94" s="690"/>
      <c r="AB94" s="690"/>
      <c r="AC94" s="690"/>
      <c r="AD94" s="690"/>
      <c r="AE94" s="690"/>
      <c r="AF94" s="690"/>
      <c r="AG94" s="690"/>
    </row>
    <row r="95" spans="1:33" ht="15.75" customHeight="1">
      <c r="A95" s="588" t="s">
        <v>2239</v>
      </c>
      <c r="B95" s="363" t="s">
        <v>2420</v>
      </c>
      <c r="C95" s="402" t="s">
        <v>2433</v>
      </c>
      <c r="D95" s="586" t="s">
        <v>76</v>
      </c>
      <c r="E95" s="364">
        <v>45610</v>
      </c>
      <c r="F95" s="364">
        <v>45610</v>
      </c>
      <c r="G95" s="364"/>
      <c r="H95" s="364">
        <v>45610</v>
      </c>
      <c r="I95" s="598">
        <f ca="1">IF(ISBLANK(H95), NETWORKDAYS(F95, TODAY(),fESTIVOS!$A$1:$A$18), NETWORKDAYS(F95, H95, fESTIVOS!$A$1:$A$18))</f>
        <v>1</v>
      </c>
      <c r="J95" s="364"/>
      <c r="K95" s="364"/>
      <c r="L95" s="367"/>
      <c r="M95" s="589"/>
      <c r="N95" s="354"/>
      <c r="O95" s="354"/>
      <c r="P95" s="354"/>
      <c r="Q95" s="354"/>
      <c r="R95" s="354"/>
      <c r="S95" s="354"/>
      <c r="T95" s="354"/>
      <c r="U95" s="354"/>
      <c r="V95" s="354"/>
      <c r="W95" s="354"/>
      <c r="X95" s="354"/>
      <c r="Y95" s="354"/>
      <c r="Z95" s="354"/>
      <c r="AA95" s="399"/>
      <c r="AB95" s="399"/>
      <c r="AC95" s="399"/>
      <c r="AD95" s="399"/>
      <c r="AE95" s="399"/>
      <c r="AF95" s="399"/>
      <c r="AG95" s="399"/>
    </row>
    <row r="96" spans="1:33" ht="15.75" customHeight="1">
      <c r="A96" s="588" t="s">
        <v>2239</v>
      </c>
      <c r="B96" s="363" t="s">
        <v>2420</v>
      </c>
      <c r="C96" s="363" t="s">
        <v>2434</v>
      </c>
      <c r="D96" s="586" t="s">
        <v>76</v>
      </c>
      <c r="E96" s="364">
        <v>45609</v>
      </c>
      <c r="F96" s="364">
        <v>45609</v>
      </c>
      <c r="G96" s="364"/>
      <c r="H96" s="364">
        <v>45610</v>
      </c>
      <c r="I96" s="366">
        <f ca="1">IF(ISBLANK(H96), NETWORKDAYS(F96, TODAY(),fESTIVOS!$A$1:$A$18), NETWORKDAYS(F96, H96, fESTIVOS!$A$1:$A$18))</f>
        <v>2</v>
      </c>
      <c r="J96" s="364"/>
      <c r="K96" s="364"/>
      <c r="L96" s="367" t="s">
        <v>2435</v>
      </c>
      <c r="M96" s="589"/>
      <c r="N96" s="354"/>
      <c r="O96" s="354"/>
      <c r="P96" s="354"/>
      <c r="Q96" s="354"/>
      <c r="R96" s="354"/>
      <c r="S96" s="354"/>
      <c r="T96" s="354"/>
      <c r="U96" s="354"/>
      <c r="V96" s="354"/>
      <c r="W96" s="354"/>
      <c r="X96" s="354"/>
      <c r="Y96" s="354"/>
      <c r="Z96" s="354"/>
      <c r="AA96" s="399"/>
      <c r="AB96" s="399"/>
      <c r="AC96" s="399"/>
      <c r="AD96" s="399"/>
      <c r="AE96" s="399"/>
      <c r="AF96" s="399"/>
      <c r="AG96" s="399"/>
    </row>
    <row r="97" spans="1:33" ht="15.75" customHeight="1">
      <c r="A97" s="588" t="s">
        <v>2239</v>
      </c>
      <c r="B97" s="588" t="s">
        <v>2436</v>
      </c>
      <c r="C97" s="363"/>
      <c r="D97" s="586" t="s">
        <v>76</v>
      </c>
      <c r="E97" s="364">
        <v>45615</v>
      </c>
      <c r="F97" s="364">
        <v>45615</v>
      </c>
      <c r="G97" s="364"/>
      <c r="H97" s="364">
        <v>45615</v>
      </c>
      <c r="I97" s="366">
        <f ca="1">IF(ISBLANK(H97), NETWORKDAYS(F97, TODAY(),fESTIVOS!$A$1:$A$18), NETWORKDAYS(F97, H97, fESTIVOS!$A$1:$A$18))</f>
        <v>1</v>
      </c>
      <c r="J97" s="364"/>
      <c r="K97" s="364"/>
      <c r="L97" s="367" t="s">
        <v>2437</v>
      </c>
      <c r="M97" s="589"/>
      <c r="N97" s="354"/>
      <c r="O97" s="354"/>
      <c r="P97" s="354"/>
      <c r="Q97" s="354"/>
      <c r="R97" s="354"/>
      <c r="S97" s="354"/>
      <c r="T97" s="354"/>
      <c r="U97" s="354"/>
      <c r="V97" s="354"/>
      <c r="W97" s="354"/>
      <c r="X97" s="354"/>
      <c r="Y97" s="354"/>
      <c r="Z97" s="354"/>
      <c r="AA97" s="399"/>
      <c r="AB97" s="399"/>
      <c r="AC97" s="399"/>
      <c r="AD97" s="399"/>
      <c r="AE97" s="399"/>
      <c r="AF97" s="399"/>
      <c r="AG97" s="399"/>
    </row>
    <row r="98" spans="1:33" ht="15.75" customHeight="1">
      <c r="A98" s="377" t="s">
        <v>1981</v>
      </c>
      <c r="B98" s="392" t="s">
        <v>2420</v>
      </c>
      <c r="C98" s="620" t="s">
        <v>2438</v>
      </c>
      <c r="D98" s="392" t="s">
        <v>76</v>
      </c>
      <c r="E98" s="378">
        <v>45610</v>
      </c>
      <c r="F98" s="378">
        <v>45610</v>
      </c>
      <c r="G98" s="377"/>
      <c r="H98" s="378">
        <v>45610</v>
      </c>
      <c r="I98" s="374">
        <f ca="1">IF(ISBLANK(H98), NETWORKDAYS(F98, TODAY(),fESTIVOS!$A$1:$A$18), NETWORKDAYS(F98, H98, fESTIVOS!$A$1:$A$18))</f>
        <v>1</v>
      </c>
      <c r="J98" s="392"/>
      <c r="K98" s="392"/>
      <c r="L98" s="677" t="s">
        <v>2439</v>
      </c>
      <c r="M98" s="589"/>
      <c r="N98" s="354"/>
      <c r="O98" s="354"/>
      <c r="P98" s="354"/>
      <c r="Q98" s="354"/>
      <c r="R98" s="354"/>
      <c r="S98" s="354"/>
      <c r="T98" s="354"/>
      <c r="U98" s="354"/>
      <c r="V98" s="354"/>
      <c r="W98" s="354"/>
      <c r="X98" s="354"/>
      <c r="Y98" s="354"/>
      <c r="Z98" s="354"/>
    </row>
    <row r="99" spans="1:33" ht="15.75" customHeight="1">
      <c r="A99" s="377" t="s">
        <v>1981</v>
      </c>
      <c r="B99" s="671" t="s">
        <v>2440</v>
      </c>
      <c r="C99" s="648" t="s">
        <v>2441</v>
      </c>
      <c r="D99" s="392" t="s">
        <v>76</v>
      </c>
      <c r="E99" s="378">
        <v>45614</v>
      </c>
      <c r="F99" s="378">
        <v>45614</v>
      </c>
      <c r="G99" s="377"/>
      <c r="H99" s="378">
        <v>45618</v>
      </c>
      <c r="I99" s="374">
        <f ca="1">IF(ISBLANK(H99), NETWORKDAYS(F99, TODAY(),fESTIVOS!$A$1:$A$18), NETWORKDAYS(F99, H99, fESTIVOS!$A$1:$A$18))</f>
        <v>5</v>
      </c>
      <c r="J99" s="392"/>
      <c r="K99" s="392"/>
      <c r="L99" s="677" t="s">
        <v>2442</v>
      </c>
      <c r="M99" s="589"/>
      <c r="N99" s="354"/>
      <c r="O99" s="354"/>
      <c r="P99" s="354"/>
      <c r="Q99" s="354"/>
      <c r="R99" s="354"/>
      <c r="S99" s="354"/>
      <c r="T99" s="354"/>
      <c r="U99" s="354"/>
      <c r="V99" s="354"/>
      <c r="W99" s="354"/>
      <c r="X99" s="354"/>
      <c r="Y99" s="354"/>
      <c r="Z99" s="354"/>
    </row>
    <row r="100" spans="1:33" ht="15.75" customHeight="1">
      <c r="A100" s="691" t="s">
        <v>1966</v>
      </c>
      <c r="B100" s="591" t="s">
        <v>2443</v>
      </c>
      <c r="C100" s="353"/>
      <c r="D100" s="586" t="s">
        <v>2360</v>
      </c>
      <c r="E100" s="364">
        <v>45621</v>
      </c>
      <c r="F100" s="364">
        <v>45621</v>
      </c>
      <c r="G100" s="692"/>
      <c r="H100" s="364">
        <v>45621</v>
      </c>
      <c r="I100" s="693">
        <f ca="1">IF(ISBLANK(H100), NETWORKDAYS(F100, TODAY(),fESTIVOS!$A$1:$A$18), NETWORKDAYS(F100, H100, fESTIVOS!$A$1:$A$18))</f>
        <v>1</v>
      </c>
      <c r="J100" s="364">
        <v>45621</v>
      </c>
      <c r="K100" s="694">
        <v>45621</v>
      </c>
      <c r="L100" s="587" t="s">
        <v>2444</v>
      </c>
      <c r="M100" s="354"/>
      <c r="N100" s="354"/>
      <c r="O100" s="354"/>
      <c r="P100" s="354"/>
      <c r="Q100" s="354"/>
      <c r="R100" s="354"/>
      <c r="S100" s="354"/>
      <c r="T100" s="354"/>
      <c r="U100" s="354"/>
      <c r="V100" s="354"/>
      <c r="W100" s="354"/>
      <c r="X100" s="354"/>
      <c r="Y100" s="354"/>
      <c r="Z100" s="354"/>
    </row>
    <row r="101" spans="1:33" ht="15.75" customHeight="1">
      <c r="A101" s="691" t="s">
        <v>1966</v>
      </c>
      <c r="B101" s="695" t="s">
        <v>2445</v>
      </c>
      <c r="C101" s="696" t="s">
        <v>2446</v>
      </c>
      <c r="D101" s="697" t="s">
        <v>76</v>
      </c>
      <c r="E101" s="698">
        <v>45610</v>
      </c>
      <c r="F101" s="698">
        <v>45610</v>
      </c>
      <c r="G101" s="699"/>
      <c r="H101" s="700">
        <v>45622</v>
      </c>
      <c r="I101" s="693">
        <f ca="1">IF(ISBLANK(H101), NETWORKDAYS(F101, TODAY(),fESTIVOS!$A$1:$A$18), NETWORKDAYS(F101, H101, fESTIVOS!$A$1:$A$18))</f>
        <v>9</v>
      </c>
      <c r="J101" s="700"/>
      <c r="K101" s="700"/>
      <c r="L101" s="701" t="s">
        <v>2447</v>
      </c>
      <c r="M101" s="354"/>
      <c r="N101" s="354"/>
      <c r="O101" s="354"/>
      <c r="P101" s="354"/>
      <c r="Q101" s="354"/>
      <c r="R101" s="354"/>
      <c r="S101" s="354"/>
      <c r="T101" s="354"/>
      <c r="U101" s="354"/>
      <c r="V101" s="354"/>
      <c r="W101" s="354"/>
      <c r="X101" s="354"/>
      <c r="Y101" s="354"/>
      <c r="Z101" s="354"/>
    </row>
    <row r="102" spans="1:33" ht="15.75" customHeight="1">
      <c r="A102" s="691" t="s">
        <v>1966</v>
      </c>
      <c r="B102" s="695" t="s">
        <v>2445</v>
      </c>
      <c r="C102" s="696" t="s">
        <v>2448</v>
      </c>
      <c r="D102" s="697" t="s">
        <v>2449</v>
      </c>
      <c r="E102" s="698">
        <v>45610</v>
      </c>
      <c r="F102" s="698"/>
      <c r="G102" s="699"/>
      <c r="H102" s="691">
        <v>0</v>
      </c>
      <c r="I102" s="693">
        <f ca="1">IF(ISBLANK(H102), NETWORKDAYS(F102, TODAY(),fESTIVOS!$A$1:$A$18), NETWORKDAYS(F102, H102, fESTIVOS!$A$1:$A$18))</f>
        <v>0</v>
      </c>
      <c r="J102" s="700"/>
      <c r="K102" s="700"/>
      <c r="L102" s="701" t="s">
        <v>2450</v>
      </c>
      <c r="M102" s="354"/>
      <c r="N102" s="354"/>
      <c r="O102" s="354"/>
      <c r="P102" s="354"/>
      <c r="Q102" s="354"/>
      <c r="R102" s="354"/>
      <c r="S102" s="354"/>
      <c r="T102" s="354"/>
      <c r="U102" s="354"/>
      <c r="V102" s="354"/>
      <c r="W102" s="354"/>
      <c r="X102" s="354"/>
      <c r="Y102" s="354"/>
      <c r="Z102" s="354"/>
    </row>
    <row r="103" spans="1:33" ht="15.75" customHeight="1">
      <c r="A103" s="353" t="s">
        <v>2451</v>
      </c>
      <c r="B103" s="582" t="s">
        <v>2452</v>
      </c>
      <c r="C103" s="572"/>
      <c r="D103" s="365" t="s">
        <v>76</v>
      </c>
      <c r="E103" s="364">
        <v>45611</v>
      </c>
      <c r="F103" s="364">
        <v>45616</v>
      </c>
      <c r="G103" s="364"/>
      <c r="H103" s="364">
        <v>45616</v>
      </c>
      <c r="I103" s="366">
        <f ca="1">IF(ISBLANK(H103), NETWORKDAYS(F103, TODAY(),fESTIVOS!$A$1:$A$18), NETWORKDAYS(F103, H103, fESTIVOS!$A$1:$A$18))</f>
        <v>1</v>
      </c>
      <c r="J103" s="364"/>
      <c r="K103" s="364"/>
      <c r="L103" s="367" t="s">
        <v>2453</v>
      </c>
      <c r="M103" s="589"/>
      <c r="N103" s="354"/>
      <c r="O103" s="354"/>
      <c r="P103" s="354"/>
      <c r="Q103" s="354"/>
      <c r="R103" s="354"/>
      <c r="S103" s="354"/>
      <c r="T103" s="354"/>
      <c r="U103" s="354"/>
      <c r="V103" s="354"/>
      <c r="W103" s="354"/>
      <c r="X103" s="354"/>
      <c r="Y103" s="354"/>
      <c r="Z103" s="354"/>
    </row>
    <row r="104" spans="1:33" ht="15.75" customHeight="1">
      <c r="A104" s="393" t="s">
        <v>1973</v>
      </c>
      <c r="B104" s="616" t="s">
        <v>2454</v>
      </c>
      <c r="C104" s="702" t="s">
        <v>2455</v>
      </c>
      <c r="D104" s="648" t="s">
        <v>2360</v>
      </c>
      <c r="E104" s="674">
        <v>45603</v>
      </c>
      <c r="F104" s="674">
        <v>45603</v>
      </c>
      <c r="G104" s="674">
        <v>45603</v>
      </c>
      <c r="H104" s="674">
        <v>45621</v>
      </c>
      <c r="I104" s="675">
        <f ca="1">IF(ISBLANK(H104), NETWORKDAYS(F104, TODAY(),fESTIVOS!$A$1:$A$18), NETWORKDAYS(F104, H104, fESTIVOS!$A$1:$A$18))</f>
        <v>12</v>
      </c>
      <c r="J104" s="674">
        <v>45621</v>
      </c>
      <c r="K104" s="674">
        <v>45622</v>
      </c>
      <c r="L104" s="676" t="s">
        <v>2456</v>
      </c>
      <c r="M104" s="354"/>
      <c r="N104" s="354"/>
      <c r="O104" s="354"/>
      <c r="P104" s="354"/>
      <c r="Q104" s="354"/>
      <c r="R104" s="354"/>
      <c r="S104" s="354"/>
      <c r="T104" s="354"/>
      <c r="U104" s="354"/>
      <c r="V104" s="354"/>
      <c r="W104" s="354"/>
      <c r="X104" s="354"/>
      <c r="Y104" s="354"/>
      <c r="Z104" s="354"/>
    </row>
    <row r="105" spans="1:33" ht="15.75" customHeight="1">
      <c r="A105" s="691" t="s">
        <v>1966</v>
      </c>
      <c r="B105" s="703" t="s">
        <v>2445</v>
      </c>
      <c r="C105" s="696" t="s">
        <v>2457</v>
      </c>
      <c r="D105" s="704" t="s">
        <v>2360</v>
      </c>
      <c r="E105" s="698">
        <v>45610</v>
      </c>
      <c r="F105" s="698">
        <v>45610</v>
      </c>
      <c r="G105" s="699">
        <v>45611</v>
      </c>
      <c r="H105" s="705">
        <v>45621</v>
      </c>
      <c r="I105" s="693">
        <f ca="1">IF(ISBLANK(H105), NETWORKDAYS(F105, TODAY(),fESTIVOS!$A$1:$A$18), NETWORKDAYS(F105, H105, fESTIVOS!$A$1:$A$18))</f>
        <v>8</v>
      </c>
      <c r="J105" s="700">
        <v>45621</v>
      </c>
      <c r="K105" s="700">
        <v>45624</v>
      </c>
      <c r="L105" s="701" t="s">
        <v>2458</v>
      </c>
      <c r="M105" s="354"/>
      <c r="N105" s="354"/>
      <c r="O105" s="354"/>
      <c r="P105" s="354"/>
      <c r="Q105" s="354"/>
      <c r="R105" s="354"/>
      <c r="S105" s="354"/>
      <c r="T105" s="354"/>
      <c r="U105" s="354"/>
      <c r="V105" s="354"/>
      <c r="W105" s="354"/>
      <c r="X105" s="354"/>
      <c r="Y105" s="354"/>
      <c r="Z105" s="354"/>
    </row>
    <row r="106" spans="1:33" ht="15.75" customHeight="1">
      <c r="A106" s="588" t="s">
        <v>2239</v>
      </c>
      <c r="B106" s="706" t="s">
        <v>2259</v>
      </c>
      <c r="C106" s="586" t="s">
        <v>2459</v>
      </c>
      <c r="D106" s="586" t="s">
        <v>2460</v>
      </c>
      <c r="E106" s="364">
        <v>45593</v>
      </c>
      <c r="F106" s="364">
        <v>45593</v>
      </c>
      <c r="G106" s="364"/>
      <c r="H106" s="364"/>
      <c r="I106" s="366">
        <f ca="1">IF(ISBLANK(H106), NETWORKDAYS(F106, TODAY(),fESTIVOS!$A$1:$A$18), NETWORKDAYS(F106, H106, fESTIVOS!$A$1:$A$18))</f>
        <v>325</v>
      </c>
      <c r="J106" s="364">
        <v>45611</v>
      </c>
      <c r="K106" s="364">
        <v>45611</v>
      </c>
      <c r="L106" s="367" t="s">
        <v>2461</v>
      </c>
      <c r="M106" s="589"/>
      <c r="N106" s="354"/>
      <c r="O106" s="354"/>
      <c r="P106" s="354"/>
      <c r="Q106" s="354"/>
      <c r="R106" s="354"/>
      <c r="S106" s="354"/>
      <c r="T106" s="354"/>
      <c r="U106" s="354"/>
      <c r="V106" s="354"/>
      <c r="W106" s="354"/>
      <c r="X106" s="354"/>
      <c r="Y106" s="354"/>
      <c r="Z106" s="354"/>
    </row>
    <row r="107" spans="1:33" ht="15.75" customHeight="1">
      <c r="A107" s="377" t="s">
        <v>1981</v>
      </c>
      <c r="B107" s="615" t="s">
        <v>2462</v>
      </c>
      <c r="C107" s="392"/>
      <c r="D107" s="707" t="s">
        <v>76</v>
      </c>
      <c r="E107" s="396">
        <v>45623</v>
      </c>
      <c r="F107" s="378">
        <v>45623</v>
      </c>
      <c r="G107" s="377"/>
      <c r="H107" s="378">
        <v>45625</v>
      </c>
      <c r="I107" s="374">
        <f ca="1">IF(ISBLANK(H107), NETWORKDAYS(F107, TODAY(),fESTIVOS!$A$1:$A$18), NETWORKDAYS(F107, H107, fESTIVOS!$A$1:$A$18))</f>
        <v>3</v>
      </c>
      <c r="J107" s="378">
        <v>45625</v>
      </c>
      <c r="K107" s="392"/>
      <c r="L107" s="677" t="s">
        <v>2463</v>
      </c>
      <c r="M107" s="589"/>
      <c r="N107" s="354"/>
      <c r="O107" s="354"/>
      <c r="P107" s="354"/>
      <c r="Q107" s="354"/>
      <c r="R107" s="354"/>
      <c r="S107" s="354"/>
      <c r="T107" s="354"/>
      <c r="U107" s="354"/>
      <c r="V107" s="354"/>
      <c r="W107" s="354"/>
      <c r="X107" s="354"/>
      <c r="Y107" s="354"/>
      <c r="Z107" s="354"/>
    </row>
    <row r="108" spans="1:33" ht="15.75" customHeight="1">
      <c r="A108" s="708" t="s">
        <v>1966</v>
      </c>
      <c r="B108" s="695" t="s">
        <v>2464</v>
      </c>
      <c r="C108" s="709"/>
      <c r="D108" s="710" t="s">
        <v>2360</v>
      </c>
      <c r="E108" s="711">
        <v>45624</v>
      </c>
      <c r="F108" s="711">
        <v>45625</v>
      </c>
      <c r="G108" s="699"/>
      <c r="H108" s="698">
        <v>45625</v>
      </c>
      <c r="I108" s="693">
        <f ca="1">IF(ISBLANK(H108), NETWORKDAYS(F108, TODAY(),fESTIVOS!$A$1:$A$18), NETWORKDAYS(F108, H108, fESTIVOS!$A$1:$A$18))</f>
        <v>1</v>
      </c>
      <c r="J108" s="698">
        <v>45625</v>
      </c>
      <c r="K108" s="698">
        <v>45625</v>
      </c>
      <c r="L108" s="701" t="s">
        <v>2465</v>
      </c>
      <c r="M108" s="354"/>
      <c r="N108" s="354"/>
      <c r="O108" s="354"/>
      <c r="P108" s="354"/>
      <c r="Q108" s="354"/>
      <c r="R108" s="354"/>
      <c r="S108" s="354"/>
      <c r="T108" s="354"/>
      <c r="U108" s="354"/>
      <c r="V108" s="354"/>
      <c r="W108" s="354"/>
      <c r="X108" s="354"/>
      <c r="Y108" s="354"/>
      <c r="Z108" s="354"/>
    </row>
    <row r="109" spans="1:33" ht="15.75" customHeight="1">
      <c r="A109" s="392" t="s">
        <v>1973</v>
      </c>
      <c r="B109" s="712" t="s">
        <v>2466</v>
      </c>
      <c r="C109" s="617" t="s">
        <v>2467</v>
      </c>
      <c r="D109" s="371" t="s">
        <v>2315</v>
      </c>
      <c r="E109" s="396">
        <v>45618</v>
      </c>
      <c r="F109" s="396">
        <v>45618</v>
      </c>
      <c r="G109" s="713"/>
      <c r="H109" s="396">
        <v>45625</v>
      </c>
      <c r="I109" s="374">
        <f ca="1">IF(ISBLANK(H109), NETWORKDAYS(F109, TODAY(),fESTIVOS!$A$1:$A$18), NETWORKDAYS(F109, H109, fESTIVOS!$A$1:$A$18))</f>
        <v>6</v>
      </c>
      <c r="J109" s="396">
        <v>45625</v>
      </c>
      <c r="K109" s="396">
        <v>45625</v>
      </c>
      <c r="L109" s="714" t="s">
        <v>2468</v>
      </c>
      <c r="M109" s="354"/>
      <c r="N109" s="354"/>
      <c r="O109" s="354"/>
      <c r="P109" s="354"/>
      <c r="Q109" s="354"/>
      <c r="R109" s="354"/>
      <c r="S109" s="354"/>
      <c r="T109" s="354"/>
      <c r="U109" s="354"/>
      <c r="V109" s="354"/>
      <c r="W109" s="354"/>
      <c r="X109" s="354"/>
      <c r="Y109" s="354"/>
      <c r="Z109" s="354"/>
    </row>
    <row r="110" spans="1:33" ht="15.75" customHeight="1">
      <c r="A110" s="715" t="s">
        <v>2239</v>
      </c>
      <c r="B110" s="573" t="s">
        <v>2469</v>
      </c>
      <c r="C110" s="660" t="s">
        <v>2470</v>
      </c>
      <c r="D110" s="610" t="s">
        <v>2471</v>
      </c>
      <c r="E110" s="634">
        <v>45616</v>
      </c>
      <c r="F110" s="634">
        <v>45616</v>
      </c>
      <c r="G110" s="634"/>
      <c r="H110" s="602"/>
      <c r="I110" s="579">
        <f ca="1">IF(ISBLANK(H110), NETWORKDAYS(F110, TODAY(),fESTIVOS!$A$1:$A$18), NETWORKDAYS(F110, H110, fESTIVOS!$A$1:$A$18))</f>
        <v>310</v>
      </c>
      <c r="J110" s="634"/>
      <c r="K110" s="634"/>
      <c r="L110" s="635" t="s">
        <v>2472</v>
      </c>
      <c r="M110" s="589"/>
      <c r="N110" s="354"/>
      <c r="O110" s="354"/>
      <c r="P110" s="354"/>
      <c r="Q110" s="354"/>
      <c r="R110" s="354"/>
      <c r="S110" s="354"/>
      <c r="T110" s="354"/>
      <c r="U110" s="354"/>
      <c r="V110" s="354"/>
      <c r="W110" s="354"/>
      <c r="X110" s="354"/>
      <c r="Y110" s="354"/>
      <c r="Z110" s="354"/>
    </row>
    <row r="111" spans="1:33" ht="15.75" customHeight="1">
      <c r="A111" s="588" t="s">
        <v>2239</v>
      </c>
      <c r="B111" s="363" t="s">
        <v>2420</v>
      </c>
      <c r="C111" s="716" t="s">
        <v>2473</v>
      </c>
      <c r="D111" s="586" t="s">
        <v>2360</v>
      </c>
      <c r="E111" s="683">
        <v>45616</v>
      </c>
      <c r="F111" s="717">
        <v>45617</v>
      </c>
      <c r="G111" s="682"/>
      <c r="H111" s="364">
        <v>45618</v>
      </c>
      <c r="I111" s="366">
        <f ca="1">IF(ISBLANK(H111), NETWORKDAYS(F111, TODAY(),fESTIVOS!$A$1:$A$18), NETWORKDAYS(F111, H111, fESTIVOS!$A$1:$A$18))</f>
        <v>2</v>
      </c>
      <c r="J111" s="364">
        <v>45618</v>
      </c>
      <c r="K111" s="683">
        <v>45630</v>
      </c>
      <c r="L111" s="718" t="s">
        <v>2474</v>
      </c>
    </row>
    <row r="112" spans="1:33" ht="15.75" customHeight="1">
      <c r="A112" s="588" t="s">
        <v>2239</v>
      </c>
      <c r="B112" s="363" t="s">
        <v>2420</v>
      </c>
      <c r="C112" s="716" t="s">
        <v>2475</v>
      </c>
      <c r="D112" s="586" t="s">
        <v>2360</v>
      </c>
      <c r="E112" s="683">
        <v>45618</v>
      </c>
      <c r="F112" s="717">
        <v>45618</v>
      </c>
      <c r="G112" s="682"/>
      <c r="H112" s="717">
        <v>45618</v>
      </c>
      <c r="I112" s="366">
        <f ca="1">IF(ISBLANK(H112), NETWORKDAYS(F112, TODAY(),fESTIVOS!$A$1:$A$18), NETWORKDAYS(F112, H112, fESTIVOS!$A$1:$A$18))</f>
        <v>1</v>
      </c>
      <c r="J112" s="717">
        <v>45618</v>
      </c>
      <c r="K112" s="683">
        <v>45630</v>
      </c>
      <c r="L112" s="718" t="s">
        <v>2476</v>
      </c>
    </row>
    <row r="113" spans="1:33" ht="15.75" customHeight="1">
      <c r="A113" s="588" t="s">
        <v>2239</v>
      </c>
      <c r="B113" s="363" t="s">
        <v>2420</v>
      </c>
      <c r="C113" s="666" t="s">
        <v>2477</v>
      </c>
      <c r="D113" s="586" t="s">
        <v>2360</v>
      </c>
      <c r="E113" s="683">
        <v>45616</v>
      </c>
      <c r="F113" s="717">
        <v>45616</v>
      </c>
      <c r="G113" s="682"/>
      <c r="H113" s="364">
        <v>45618</v>
      </c>
      <c r="I113" s="366">
        <f ca="1">IF(ISBLANK(H113), NETWORKDAYS(F113, TODAY(),fESTIVOS!$A$1:$A$18), NETWORKDAYS(F113, H113, fESTIVOS!$A$1:$A$18))</f>
        <v>3</v>
      </c>
      <c r="J113" s="364">
        <v>45618</v>
      </c>
      <c r="K113" s="683">
        <v>45630</v>
      </c>
      <c r="L113" s="622" t="s">
        <v>2478</v>
      </c>
    </row>
    <row r="114" spans="1:33" ht="15.75" customHeight="1">
      <c r="A114" s="377" t="s">
        <v>1981</v>
      </c>
      <c r="B114" s="719" t="s">
        <v>2479</v>
      </c>
      <c r="C114" s="671"/>
      <c r="D114" s="671" t="s">
        <v>76</v>
      </c>
      <c r="E114" s="679">
        <v>45629</v>
      </c>
      <c r="F114" s="679">
        <v>45629</v>
      </c>
      <c r="G114" s="393"/>
      <c r="H114" s="679">
        <v>45629</v>
      </c>
      <c r="I114" s="374">
        <f ca="1">IF(ISBLANK(H114), NETWORKDAYS(F114, TODAY(),fESTIVOS!$A$1:$A$18), NETWORKDAYS(F114, H114, fESTIVOS!$A$1:$A$18))</f>
        <v>1</v>
      </c>
      <c r="J114" s="671"/>
      <c r="K114" s="679">
        <v>45630</v>
      </c>
      <c r="L114" s="720" t="s">
        <v>2480</v>
      </c>
      <c r="M114" s="589"/>
      <c r="N114" s="354"/>
      <c r="O114" s="354"/>
      <c r="P114" s="354"/>
      <c r="Q114" s="354"/>
      <c r="R114" s="354"/>
      <c r="S114" s="354"/>
      <c r="T114" s="354"/>
      <c r="U114" s="354"/>
      <c r="V114" s="354"/>
      <c r="W114" s="354"/>
      <c r="X114" s="354"/>
      <c r="Y114" s="354"/>
      <c r="Z114" s="354"/>
      <c r="AA114" s="399"/>
      <c r="AB114" s="399"/>
      <c r="AC114" s="399"/>
      <c r="AD114" s="399"/>
      <c r="AE114" s="399"/>
      <c r="AF114" s="399"/>
      <c r="AG114" s="399"/>
    </row>
    <row r="115" spans="1:33" ht="15.75" customHeight="1">
      <c r="A115" s="588" t="s">
        <v>2239</v>
      </c>
      <c r="B115" s="588" t="s">
        <v>2481</v>
      </c>
      <c r="C115" s="363"/>
      <c r="D115" s="586" t="s">
        <v>2360</v>
      </c>
      <c r="E115" s="364">
        <v>45628</v>
      </c>
      <c r="F115" s="364">
        <v>45630</v>
      </c>
      <c r="G115" s="364"/>
      <c r="H115" s="364">
        <v>45631</v>
      </c>
      <c r="I115" s="366">
        <f ca="1">IF(ISBLANK(H115), NETWORKDAYS(F115, TODAY(),fESTIVOS!$A$1:$A$18), NETWORKDAYS(F115, H115, fESTIVOS!$A$1:$A$18))</f>
        <v>2</v>
      </c>
      <c r="J115" s="364"/>
      <c r="K115" s="364">
        <v>45631</v>
      </c>
      <c r="L115" s="367" t="s">
        <v>2482</v>
      </c>
      <c r="M115" s="589"/>
      <c r="N115" s="354"/>
      <c r="O115" s="354"/>
      <c r="P115" s="354"/>
      <c r="Q115" s="354"/>
      <c r="R115" s="354"/>
      <c r="S115" s="354"/>
      <c r="T115" s="354"/>
      <c r="U115" s="354"/>
      <c r="V115" s="354"/>
      <c r="W115" s="354"/>
      <c r="X115" s="354"/>
      <c r="Y115" s="354"/>
      <c r="Z115" s="354"/>
    </row>
    <row r="116" spans="1:33" ht="15.75" customHeight="1">
      <c r="A116" s="377" t="s">
        <v>1981</v>
      </c>
      <c r="B116" s="721" t="s">
        <v>2483</v>
      </c>
      <c r="C116" s="671"/>
      <c r="D116" s="671" t="s">
        <v>76</v>
      </c>
      <c r="E116" s="679">
        <v>45628</v>
      </c>
      <c r="F116" s="679">
        <v>45630</v>
      </c>
      <c r="G116" s="393"/>
      <c r="H116" s="679">
        <v>45632</v>
      </c>
      <c r="I116" s="374">
        <f ca="1">IF(ISBLANK(H116), NETWORKDAYS(F116, TODAY(),fESTIVOS!$A$1:$A$18), NETWORKDAYS(F116, H116, fESTIVOS!$A$1:$A$18))</f>
        <v>3</v>
      </c>
      <c r="J116" s="671"/>
      <c r="K116" s="671"/>
      <c r="L116" s="680" t="s">
        <v>2484</v>
      </c>
      <c r="M116" s="589"/>
      <c r="N116" s="354"/>
      <c r="O116" s="354"/>
      <c r="P116" s="354"/>
      <c r="Q116" s="354"/>
      <c r="R116" s="354"/>
      <c r="S116" s="354"/>
      <c r="T116" s="354"/>
      <c r="U116" s="354"/>
      <c r="V116" s="354"/>
      <c r="W116" s="354"/>
      <c r="X116" s="354"/>
      <c r="Y116" s="354"/>
      <c r="Z116" s="354"/>
      <c r="AA116" s="399"/>
      <c r="AB116" s="399"/>
      <c r="AC116" s="399"/>
      <c r="AD116" s="399"/>
      <c r="AE116" s="399"/>
      <c r="AF116" s="399"/>
      <c r="AG116" s="399"/>
    </row>
    <row r="117" spans="1:33" ht="15.75" customHeight="1">
      <c r="A117" s="377" t="s">
        <v>1981</v>
      </c>
      <c r="B117" s="721" t="s">
        <v>2485</v>
      </c>
      <c r="C117" s="671"/>
      <c r="D117" s="671" t="s">
        <v>76</v>
      </c>
      <c r="E117" s="679">
        <v>45635</v>
      </c>
      <c r="F117" s="679">
        <v>45635</v>
      </c>
      <c r="G117" s="393"/>
      <c r="H117" s="679">
        <v>45635</v>
      </c>
      <c r="I117" s="374">
        <f ca="1">IF(ISBLANK(H117), NETWORKDAYS(F117, TODAY(),fESTIVOS!$A$1:$A$18), NETWORKDAYS(F117, H117, fESTIVOS!$A$1:$A$18))</f>
        <v>1</v>
      </c>
      <c r="J117" s="679">
        <v>45635</v>
      </c>
      <c r="K117" s="671"/>
      <c r="L117" s="680"/>
      <c r="M117" s="589"/>
      <c r="N117" s="354"/>
      <c r="O117" s="354"/>
      <c r="P117" s="354"/>
      <c r="Q117" s="354"/>
      <c r="R117" s="354"/>
      <c r="S117" s="354"/>
      <c r="T117" s="354"/>
      <c r="U117" s="354"/>
      <c r="V117" s="354"/>
      <c r="W117" s="354"/>
      <c r="X117" s="354"/>
      <c r="Y117" s="354"/>
      <c r="Z117" s="354"/>
      <c r="AA117" s="399"/>
      <c r="AB117" s="399"/>
      <c r="AC117" s="399"/>
      <c r="AD117" s="399"/>
      <c r="AE117" s="399"/>
      <c r="AF117" s="399"/>
      <c r="AG117" s="399"/>
    </row>
    <row r="118" spans="1:33" ht="15.75" customHeight="1">
      <c r="A118" s="392" t="s">
        <v>1991</v>
      </c>
      <c r="B118" s="369" t="s">
        <v>2486</v>
      </c>
      <c r="C118" s="722"/>
      <c r="D118" s="618" t="s">
        <v>76</v>
      </c>
      <c r="E118" s="396">
        <v>45630</v>
      </c>
      <c r="F118" s="396">
        <v>45631</v>
      </c>
      <c r="G118" s="630"/>
      <c r="H118" s="631">
        <v>45635</v>
      </c>
      <c r="I118" s="723">
        <f ca="1">IF(ISBLANK(H118), NETWORKDAYS(F118, TODAY(),fESTIVOS!$A$1:$A$18), NETWORKDAYS(F118, H118, fESTIVOS!$A$1:$A$18))</f>
        <v>3</v>
      </c>
      <c r="J118" s="631"/>
      <c r="K118" s="631"/>
      <c r="L118" s="724" t="s">
        <v>2487</v>
      </c>
      <c r="M118" s="589"/>
      <c r="N118" s="354"/>
      <c r="O118" s="354"/>
      <c r="P118" s="354"/>
      <c r="Q118" s="354"/>
      <c r="R118" s="354"/>
      <c r="S118" s="354"/>
      <c r="T118" s="354"/>
      <c r="U118" s="354"/>
      <c r="V118" s="354"/>
      <c r="W118" s="354"/>
      <c r="X118" s="354"/>
      <c r="Y118" s="354"/>
      <c r="Z118" s="354"/>
    </row>
    <row r="119" spans="1:33" ht="15.75" customHeight="1">
      <c r="A119" s="377" t="s">
        <v>1981</v>
      </c>
      <c r="B119" s="377" t="s">
        <v>2488</v>
      </c>
      <c r="C119" s="392"/>
      <c r="D119" s="392" t="s">
        <v>76</v>
      </c>
      <c r="E119" s="378">
        <v>45635</v>
      </c>
      <c r="F119" s="378">
        <v>45636</v>
      </c>
      <c r="G119" s="377"/>
      <c r="H119" s="378">
        <v>45636</v>
      </c>
      <c r="I119" s="374">
        <f ca="1">IF(ISBLANK(H119), NETWORKDAYS(F119, TODAY(),fESTIVOS!$A$1:$A$18), NETWORKDAYS(F119, H119, fESTIVOS!$A$1:$A$18))</f>
        <v>1</v>
      </c>
      <c r="J119" s="392"/>
      <c r="K119" s="378">
        <v>45636</v>
      </c>
      <c r="L119" s="677" t="s">
        <v>2489</v>
      </c>
      <c r="M119" s="589"/>
      <c r="N119" s="354"/>
      <c r="O119" s="354"/>
      <c r="P119" s="354"/>
      <c r="Q119" s="354"/>
      <c r="R119" s="354"/>
      <c r="S119" s="354"/>
      <c r="T119" s="354"/>
      <c r="U119" s="354"/>
      <c r="V119" s="354"/>
      <c r="W119" s="354"/>
      <c r="X119" s="354"/>
      <c r="Y119" s="354"/>
      <c r="Z119" s="354"/>
      <c r="AA119" s="399"/>
      <c r="AB119" s="399"/>
      <c r="AC119" s="399"/>
      <c r="AD119" s="399"/>
      <c r="AE119" s="399"/>
      <c r="AF119" s="399"/>
      <c r="AG119" s="399"/>
    </row>
    <row r="120" spans="1:33" ht="15.75" customHeight="1">
      <c r="A120" s="392" t="s">
        <v>1991</v>
      </c>
      <c r="B120" s="725" t="s">
        <v>2490</v>
      </c>
      <c r="C120" s="722"/>
      <c r="D120" s="371" t="s">
        <v>2360</v>
      </c>
      <c r="E120" s="396">
        <v>45631</v>
      </c>
      <c r="F120" s="396">
        <v>45635</v>
      </c>
      <c r="G120" s="396"/>
      <c r="H120" s="396">
        <v>45636</v>
      </c>
      <c r="I120" s="374">
        <f ca="1">IF(ISBLANK(H120), NETWORKDAYS(F120, TODAY(),fESTIVOS!$A$1:$A$18), NETWORKDAYS(F120, H120, fESTIVOS!$A$1:$A$18))</f>
        <v>2</v>
      </c>
      <c r="J120" s="396"/>
      <c r="K120" s="396"/>
      <c r="L120" s="714" t="s">
        <v>2491</v>
      </c>
      <c r="M120" s="589"/>
      <c r="N120" s="354"/>
      <c r="O120" s="354"/>
      <c r="P120" s="354"/>
      <c r="Q120" s="354"/>
      <c r="R120" s="354"/>
      <c r="S120" s="354"/>
      <c r="T120" s="354"/>
      <c r="U120" s="354"/>
      <c r="V120" s="354"/>
      <c r="W120" s="354"/>
      <c r="X120" s="354"/>
      <c r="Y120" s="354"/>
      <c r="Z120" s="354"/>
    </row>
    <row r="121" spans="1:33" ht="15.75" customHeight="1">
      <c r="A121" s="353" t="s">
        <v>1966</v>
      </c>
      <c r="B121" s="591" t="s">
        <v>2492</v>
      </c>
      <c r="C121" s="691"/>
      <c r="D121" s="697" t="s">
        <v>76</v>
      </c>
      <c r="E121" s="698">
        <v>45632</v>
      </c>
      <c r="F121" s="698">
        <v>45632</v>
      </c>
      <c r="G121" s="699"/>
      <c r="H121" s="700">
        <v>45637</v>
      </c>
      <c r="I121" s="366">
        <f ca="1">IF(ISBLANK(H121), NETWORKDAYS(F121, TODAY(),fESTIVOS!$A$1:$A$18), NETWORKDAYS(F121, H121, fESTIVOS!$A$1:$A$18))</f>
        <v>4</v>
      </c>
      <c r="J121" s="700"/>
      <c r="K121" s="700">
        <v>45636</v>
      </c>
      <c r="L121" s="701" t="s">
        <v>2493</v>
      </c>
      <c r="M121" s="726"/>
      <c r="N121" s="726"/>
      <c r="O121" s="726"/>
      <c r="P121" s="726"/>
      <c r="Q121" s="726"/>
      <c r="R121" s="726"/>
      <c r="S121" s="726"/>
      <c r="T121" s="726"/>
      <c r="U121" s="726"/>
      <c r="V121" s="726"/>
      <c r="W121" s="726"/>
      <c r="X121" s="726"/>
      <c r="Y121" s="726"/>
      <c r="Z121" s="726"/>
      <c r="AA121" s="727"/>
      <c r="AB121" s="727"/>
      <c r="AC121" s="727"/>
      <c r="AD121" s="727"/>
      <c r="AE121" s="727"/>
      <c r="AF121" s="727"/>
      <c r="AG121" s="727"/>
    </row>
    <row r="122" spans="1:33" ht="15.75" customHeight="1">
      <c r="A122" s="353" t="s">
        <v>1966</v>
      </c>
      <c r="B122" s="538"/>
      <c r="C122" s="570" t="s">
        <v>2494</v>
      </c>
      <c r="D122" s="697" t="s">
        <v>76</v>
      </c>
      <c r="E122" s="698">
        <v>45637</v>
      </c>
      <c r="F122" s="698">
        <v>45638</v>
      </c>
      <c r="G122" s="699"/>
      <c r="H122" s="694">
        <v>45639</v>
      </c>
      <c r="I122" s="366">
        <f ca="1">IF(ISBLANK(H122), NETWORKDAYS(F122, TODAY(),fESTIVOS!$A$1:$A$18), NETWORKDAYS(F122, H122, fESTIVOS!$A$1:$A$18))</f>
        <v>2</v>
      </c>
      <c r="J122" s="700"/>
      <c r="K122" s="700"/>
      <c r="L122" s="701" t="s">
        <v>2495</v>
      </c>
      <c r="M122" s="726"/>
      <c r="N122" s="726"/>
      <c r="O122" s="726"/>
      <c r="P122" s="726"/>
      <c r="Q122" s="726"/>
      <c r="R122" s="726"/>
      <c r="S122" s="726"/>
      <c r="T122" s="726"/>
      <c r="U122" s="726"/>
      <c r="V122" s="726"/>
      <c r="W122" s="726"/>
      <c r="X122" s="726"/>
      <c r="Y122" s="726"/>
      <c r="Z122" s="726"/>
      <c r="AA122" s="727"/>
      <c r="AB122" s="727"/>
      <c r="AC122" s="727"/>
      <c r="AD122" s="727"/>
      <c r="AE122" s="727"/>
      <c r="AF122" s="727"/>
      <c r="AG122" s="727"/>
    </row>
    <row r="123" spans="1:33" ht="15.75" customHeight="1">
      <c r="A123" s="393" t="s">
        <v>1973</v>
      </c>
      <c r="B123" s="728" t="s">
        <v>2496</v>
      </c>
      <c r="C123" s="729" t="s">
        <v>2497</v>
      </c>
      <c r="D123" s="618" t="s">
        <v>2360</v>
      </c>
      <c r="E123" s="674">
        <v>45636</v>
      </c>
      <c r="F123" s="674">
        <v>45636</v>
      </c>
      <c r="G123" s="674"/>
      <c r="H123" s="674"/>
      <c r="I123" s="675">
        <f ca="1">IF(ISBLANK(H123), NETWORKDAYS(F123, TODAY(),fESTIVOS!$A$1:$A$18), NETWORKDAYS(F123, H123, fESTIVOS!$A$1:$A$18))</f>
        <v>296</v>
      </c>
      <c r="J123" s="730">
        <v>45637</v>
      </c>
      <c r="K123" s="674">
        <v>45638</v>
      </c>
      <c r="L123" s="676" t="s">
        <v>2498</v>
      </c>
      <c r="M123" s="354"/>
      <c r="N123" s="354"/>
      <c r="O123" s="354"/>
      <c r="P123" s="354"/>
      <c r="Q123" s="354"/>
      <c r="R123" s="354"/>
      <c r="S123" s="354"/>
      <c r="T123" s="354"/>
      <c r="U123" s="354"/>
      <c r="V123" s="354"/>
      <c r="W123" s="354"/>
      <c r="X123" s="354"/>
      <c r="Y123" s="354"/>
      <c r="Z123" s="354"/>
    </row>
    <row r="124" spans="1:33" ht="15.75" customHeight="1">
      <c r="A124" s="377" t="s">
        <v>1973</v>
      </c>
      <c r="B124" s="387" t="s">
        <v>2499</v>
      </c>
      <c r="C124" s="395" t="s">
        <v>2500</v>
      </c>
      <c r="D124" s="618" t="s">
        <v>76</v>
      </c>
      <c r="E124" s="396">
        <v>45636</v>
      </c>
      <c r="F124" s="396">
        <v>45636</v>
      </c>
      <c r="G124" s="396"/>
      <c r="H124" s="396">
        <v>45638</v>
      </c>
      <c r="I124" s="374">
        <f ca="1">IF(ISBLANK(H124), NETWORKDAYS(F124, TODAY(),fESTIVOS!$A$1:$A$18), NETWORKDAYS(F124, H124, fESTIVOS!$A$1:$A$18))</f>
        <v>3</v>
      </c>
      <c r="J124" s="396">
        <v>45638</v>
      </c>
      <c r="K124" s="396">
        <v>45638</v>
      </c>
      <c r="L124" s="619" t="s">
        <v>2501</v>
      </c>
      <c r="M124" s="354"/>
      <c r="N124" s="354"/>
      <c r="O124" s="354"/>
      <c r="P124" s="354"/>
      <c r="Q124" s="354"/>
      <c r="R124" s="354"/>
      <c r="S124" s="354"/>
      <c r="T124" s="354"/>
      <c r="U124" s="354"/>
      <c r="V124" s="354"/>
      <c r="W124" s="354"/>
      <c r="X124" s="354"/>
      <c r="Y124" s="354"/>
      <c r="Z124" s="354"/>
    </row>
    <row r="125" spans="1:33" ht="15.75" customHeight="1">
      <c r="A125" s="591" t="s">
        <v>2239</v>
      </c>
      <c r="B125" s="571" t="s">
        <v>2370</v>
      </c>
      <c r="C125" s="731" t="s">
        <v>2502</v>
      </c>
      <c r="D125" s="596" t="s">
        <v>76</v>
      </c>
      <c r="E125" s="665">
        <v>45630</v>
      </c>
      <c r="F125" s="665">
        <v>45631</v>
      </c>
      <c r="G125" s="597"/>
      <c r="H125" s="597">
        <v>45632</v>
      </c>
      <c r="I125" s="598">
        <f ca="1">IF(ISBLANK(H125), NETWORKDAYS(F125, TODAY(),fESTIVOS!$A$1:$A$18), NETWORKDAYS(F125, H125, fESTIVOS!$A$1:$A$18))</f>
        <v>2</v>
      </c>
      <c r="J125" s="357"/>
      <c r="K125" s="597">
        <v>45632</v>
      </c>
      <c r="L125" s="625"/>
      <c r="M125" s="624"/>
      <c r="N125" s="360"/>
      <c r="O125" s="360"/>
      <c r="P125" s="360"/>
      <c r="Q125" s="360"/>
      <c r="R125" s="360"/>
      <c r="S125" s="360"/>
      <c r="T125" s="360"/>
      <c r="U125" s="360"/>
      <c r="V125" s="360"/>
      <c r="W125" s="360"/>
      <c r="X125" s="360"/>
      <c r="Y125" s="360"/>
      <c r="Z125" s="360"/>
    </row>
    <row r="126" spans="1:33" ht="15.75" customHeight="1">
      <c r="A126" s="588" t="s">
        <v>2239</v>
      </c>
      <c r="B126" s="571" t="s">
        <v>2370</v>
      </c>
      <c r="C126" s="732" t="s">
        <v>2503</v>
      </c>
      <c r="D126" s="664" t="s">
        <v>501</v>
      </c>
      <c r="E126" s="665">
        <v>45631</v>
      </c>
      <c r="F126" s="597">
        <v>45631</v>
      </c>
      <c r="G126" s="597"/>
      <c r="H126" s="596"/>
      <c r="I126" s="366">
        <f ca="1">IF(ISBLANK(H126), NETWORKDAYS(F126, TODAY(),fESTIVOS!$A$1:$A$18), NETWORKDAYS(F126, H126, fESTIVOS!$A$1:$A$18))</f>
        <v>299</v>
      </c>
      <c r="J126" s="357"/>
      <c r="K126" s="357"/>
      <c r="L126" s="733"/>
      <c r="M126" s="624"/>
      <c r="N126" s="360"/>
      <c r="O126" s="360"/>
      <c r="P126" s="360"/>
      <c r="Q126" s="360"/>
      <c r="R126" s="360"/>
      <c r="S126" s="360"/>
      <c r="T126" s="360"/>
      <c r="U126" s="360"/>
      <c r="V126" s="360"/>
      <c r="W126" s="360"/>
      <c r="X126" s="360"/>
      <c r="Y126" s="360"/>
      <c r="Z126" s="360"/>
    </row>
    <row r="127" spans="1:33" ht="15.75" customHeight="1">
      <c r="A127" s="691" t="s">
        <v>1966</v>
      </c>
      <c r="B127" s="709" t="s">
        <v>2504</v>
      </c>
      <c r="C127" s="696" t="s">
        <v>2505</v>
      </c>
      <c r="D127" s="697" t="s">
        <v>76</v>
      </c>
      <c r="E127" s="698">
        <v>45642</v>
      </c>
      <c r="F127" s="698">
        <v>45642</v>
      </c>
      <c r="G127" s="699"/>
      <c r="H127" s="700">
        <v>45643</v>
      </c>
      <c r="I127" s="693">
        <f ca="1">IF(ISBLANK(H127), NETWORKDAYS(F127, TODAY(),fESTIVOS!$A$1:$A$18), NETWORKDAYS(F127, H127, fESTIVOS!$A$1:$A$18))</f>
        <v>2</v>
      </c>
      <c r="J127" s="700"/>
      <c r="K127" s="700">
        <v>45643</v>
      </c>
      <c r="L127" s="701"/>
      <c r="M127" s="726"/>
      <c r="N127" s="726"/>
      <c r="O127" s="726"/>
      <c r="P127" s="726"/>
      <c r="Q127" s="726"/>
      <c r="R127" s="726"/>
      <c r="S127" s="726"/>
      <c r="T127" s="726"/>
      <c r="U127" s="726"/>
      <c r="V127" s="726"/>
      <c r="W127" s="726"/>
      <c r="X127" s="726"/>
      <c r="Y127" s="726"/>
      <c r="Z127" s="726"/>
      <c r="AA127" s="727"/>
      <c r="AB127" s="727"/>
      <c r="AC127" s="727"/>
      <c r="AD127" s="727"/>
      <c r="AE127" s="727"/>
      <c r="AF127" s="727"/>
      <c r="AG127" s="727"/>
    </row>
    <row r="128" spans="1:33" ht="15.75" customHeight="1">
      <c r="A128" s="691" t="s">
        <v>1966</v>
      </c>
      <c r="B128" s="709" t="s">
        <v>2506</v>
      </c>
      <c r="C128" s="696"/>
      <c r="D128" s="697" t="s">
        <v>76</v>
      </c>
      <c r="E128" s="698">
        <v>45642</v>
      </c>
      <c r="F128" s="698">
        <v>45642</v>
      </c>
      <c r="G128" s="699"/>
      <c r="H128" s="700">
        <v>45643</v>
      </c>
      <c r="I128" s="693">
        <f ca="1">IF(ISBLANK(H128), NETWORKDAYS(F128, TODAY(),fESTIVOS!$A$1:$A$18), NETWORKDAYS(F128, H128, fESTIVOS!$A$1:$A$18))</f>
        <v>2</v>
      </c>
      <c r="J128" s="700"/>
      <c r="K128" s="700">
        <v>45643</v>
      </c>
      <c r="L128" s="701"/>
      <c r="M128" s="726"/>
      <c r="N128" s="726"/>
      <c r="O128" s="726"/>
      <c r="P128" s="726"/>
      <c r="Q128" s="726"/>
      <c r="R128" s="726"/>
      <c r="S128" s="726"/>
      <c r="T128" s="726"/>
      <c r="U128" s="726"/>
      <c r="V128" s="726"/>
      <c r="W128" s="726"/>
      <c r="X128" s="726"/>
      <c r="Y128" s="726"/>
      <c r="Z128" s="726"/>
      <c r="AA128" s="727"/>
      <c r="AB128" s="727"/>
      <c r="AC128" s="727"/>
      <c r="AD128" s="727"/>
      <c r="AE128" s="727"/>
      <c r="AF128" s="727"/>
      <c r="AG128" s="727"/>
    </row>
    <row r="129" spans="1:33" ht="15.75" customHeight="1">
      <c r="A129" s="591" t="s">
        <v>2239</v>
      </c>
      <c r="B129" s="571"/>
      <c r="C129" s="733" t="s">
        <v>2507</v>
      </c>
      <c r="D129" s="596" t="s">
        <v>76</v>
      </c>
      <c r="E129" s="665">
        <v>45643</v>
      </c>
      <c r="F129" s="665">
        <v>45643</v>
      </c>
      <c r="G129" s="597"/>
      <c r="H129" s="665">
        <v>45643</v>
      </c>
      <c r="I129" s="598">
        <f ca="1">IF(ISBLANK(H129), NETWORKDAYS(F129, TODAY(),fESTIVOS!$A$1:$A$18), NETWORKDAYS(F129, H129, fESTIVOS!$A$1:$A$18))</f>
        <v>1</v>
      </c>
      <c r="J129" s="597"/>
      <c r="K129" s="597"/>
      <c r="L129" s="625"/>
      <c r="M129" s="624"/>
      <c r="N129" s="360"/>
      <c r="O129" s="360"/>
      <c r="P129" s="360"/>
      <c r="Q129" s="360"/>
      <c r="R129" s="360"/>
      <c r="S129" s="360"/>
      <c r="T129" s="360"/>
      <c r="U129" s="360"/>
      <c r="V129" s="360"/>
      <c r="W129" s="360"/>
      <c r="X129" s="360"/>
      <c r="Y129" s="360"/>
      <c r="Z129" s="360"/>
    </row>
    <row r="130" spans="1:33" ht="15.75" customHeight="1">
      <c r="A130" s="377" t="s">
        <v>1981</v>
      </c>
      <c r="B130" s="377" t="s">
        <v>2508</v>
      </c>
      <c r="C130" s="392"/>
      <c r="D130" s="392" t="s">
        <v>76</v>
      </c>
      <c r="E130" s="378">
        <v>45643</v>
      </c>
      <c r="F130" s="378">
        <v>45644</v>
      </c>
      <c r="G130" s="377"/>
      <c r="H130" s="378">
        <v>45644</v>
      </c>
      <c r="I130" s="374">
        <f ca="1">IF(ISBLANK(H130), NETWORKDAYS(F130, TODAY(),fESTIVOS!$A$1:$A$18), NETWORKDAYS(F130, H130, fESTIVOS!$A$1:$A$18))</f>
        <v>1</v>
      </c>
      <c r="J130" s="378">
        <v>45644</v>
      </c>
      <c r="K130" s="392"/>
      <c r="L130" s="677"/>
      <c r="M130" s="589"/>
      <c r="N130" s="354"/>
      <c r="O130" s="354"/>
      <c r="P130" s="354"/>
      <c r="Q130" s="354"/>
      <c r="R130" s="354"/>
      <c r="S130" s="354"/>
      <c r="T130" s="354"/>
      <c r="U130" s="354"/>
      <c r="V130" s="354"/>
      <c r="W130" s="354"/>
      <c r="X130" s="354"/>
      <c r="Y130" s="354"/>
      <c r="Z130" s="354"/>
      <c r="AA130" s="399"/>
      <c r="AB130" s="399"/>
      <c r="AC130" s="399"/>
      <c r="AD130" s="399"/>
      <c r="AE130" s="399"/>
      <c r="AF130" s="399"/>
      <c r="AG130" s="399"/>
    </row>
    <row r="131" spans="1:33" ht="15.75" customHeight="1">
      <c r="A131" s="734" t="s">
        <v>1981</v>
      </c>
      <c r="B131" s="400" t="s">
        <v>2509</v>
      </c>
      <c r="C131" s="735" t="s">
        <v>2510</v>
      </c>
      <c r="D131" s="736" t="s">
        <v>76</v>
      </c>
      <c r="E131" s="631">
        <v>45631</v>
      </c>
      <c r="F131" s="631">
        <v>45631</v>
      </c>
      <c r="G131" s="631"/>
      <c r="H131" s="631">
        <v>45632</v>
      </c>
      <c r="I131" s="723">
        <f ca="1">IF(ISBLANK(H131), NETWORKDAYS(F131, TODAY(),fESTIVOS!$A$1:$A$18), NETWORKDAYS(F131, H131, fESTIVOS!$A$1:$A$18))</f>
        <v>2</v>
      </c>
      <c r="J131" s="631"/>
      <c r="K131" s="631">
        <v>45632</v>
      </c>
      <c r="L131" s="632" t="s">
        <v>2511</v>
      </c>
      <c r="M131" s="354"/>
      <c r="N131" s="354"/>
      <c r="O131" s="354"/>
      <c r="P131" s="354"/>
      <c r="Q131" s="354"/>
      <c r="R131" s="354"/>
      <c r="S131" s="354"/>
      <c r="T131" s="354"/>
      <c r="U131" s="354"/>
      <c r="V131" s="354"/>
      <c r="W131" s="354"/>
      <c r="X131" s="354"/>
      <c r="Y131" s="354"/>
      <c r="Z131" s="354"/>
    </row>
    <row r="132" spans="1:33" ht="15.75" customHeight="1">
      <c r="A132" s="615" t="s">
        <v>1981</v>
      </c>
      <c r="B132" s="393" t="s">
        <v>2512</v>
      </c>
      <c r="C132" s="395" t="s">
        <v>2513</v>
      </c>
      <c r="D132" s="392" t="s">
        <v>76</v>
      </c>
      <c r="E132" s="396">
        <v>45631</v>
      </c>
      <c r="F132" s="396">
        <v>45631</v>
      </c>
      <c r="G132" s="396"/>
      <c r="H132" s="396">
        <v>45632</v>
      </c>
      <c r="I132" s="723">
        <f ca="1">IF(ISBLANK(H132), NETWORKDAYS(F132, TODAY(),fESTIVOS!$A$1:$A$18), NETWORKDAYS(F132, H132, fESTIVOS!$A$1:$A$18))</f>
        <v>2</v>
      </c>
      <c r="J132" s="396"/>
      <c r="K132" s="396">
        <v>45632</v>
      </c>
      <c r="L132" s="619" t="s">
        <v>2511</v>
      </c>
      <c r="M132" s="354"/>
      <c r="N132" s="354"/>
      <c r="O132" s="354"/>
      <c r="P132" s="354"/>
      <c r="Q132" s="354"/>
      <c r="R132" s="354"/>
      <c r="S132" s="354"/>
      <c r="T132" s="354"/>
      <c r="U132" s="354"/>
      <c r="V132" s="354"/>
      <c r="W132" s="354"/>
      <c r="X132" s="354"/>
      <c r="Y132" s="354"/>
      <c r="Z132" s="354"/>
    </row>
    <row r="133" spans="1:33" ht="15.75" customHeight="1">
      <c r="A133" s="737" t="s">
        <v>1981</v>
      </c>
      <c r="B133" s="393" t="s">
        <v>2512</v>
      </c>
      <c r="C133" s="702" t="s">
        <v>2514</v>
      </c>
      <c r="D133" s="392" t="s">
        <v>76</v>
      </c>
      <c r="E133" s="396">
        <v>45631</v>
      </c>
      <c r="F133" s="396">
        <v>45631</v>
      </c>
      <c r="G133" s="674"/>
      <c r="H133" s="396">
        <v>45632</v>
      </c>
      <c r="I133" s="723">
        <f ca="1">IF(ISBLANK(H133), NETWORKDAYS(F133, TODAY(),fESTIVOS!$A$1:$A$18), NETWORKDAYS(F133, H133, fESTIVOS!$A$1:$A$18))</f>
        <v>2</v>
      </c>
      <c r="J133" s="674"/>
      <c r="K133" s="396">
        <v>45632</v>
      </c>
      <c r="L133" s="619" t="s">
        <v>2511</v>
      </c>
      <c r="M133" s="354"/>
      <c r="N133" s="354"/>
      <c r="O133" s="354"/>
      <c r="P133" s="354"/>
      <c r="Q133" s="354"/>
      <c r="R133" s="354"/>
      <c r="S133" s="354"/>
      <c r="T133" s="354"/>
      <c r="U133" s="354"/>
      <c r="V133" s="354"/>
      <c r="W133" s="354"/>
      <c r="X133" s="354"/>
      <c r="Y133" s="354"/>
      <c r="Z133" s="354"/>
    </row>
    <row r="134" spans="1:33" ht="15.75" customHeight="1">
      <c r="A134" s="377" t="s">
        <v>1981</v>
      </c>
      <c r="B134" s="377" t="s">
        <v>2515</v>
      </c>
      <c r="C134" s="371" t="s">
        <v>2516</v>
      </c>
      <c r="D134" s="371" t="s">
        <v>76</v>
      </c>
      <c r="E134" s="396">
        <v>45637</v>
      </c>
      <c r="F134" s="396">
        <v>45637</v>
      </c>
      <c r="G134" s="396">
        <v>45642</v>
      </c>
      <c r="H134" s="396">
        <v>45642</v>
      </c>
      <c r="I134" s="374">
        <f ca="1">IF(ISBLANK(H134), NETWORKDAYS(F134, TODAY(),fESTIVOS!$A$1:$A$18), NETWORKDAYS(F134, H134, fESTIVOS!$A$1:$A$18))</f>
        <v>4</v>
      </c>
      <c r="J134" s="396">
        <v>45642</v>
      </c>
      <c r="K134" s="396">
        <v>45644</v>
      </c>
      <c r="L134" s="395" t="s">
        <v>2517</v>
      </c>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row>
    <row r="135" spans="1:33" ht="15.75" customHeight="1">
      <c r="A135" s="377" t="s">
        <v>1981</v>
      </c>
      <c r="B135" s="377" t="s">
        <v>2515</v>
      </c>
      <c r="C135" s="371" t="s">
        <v>2518</v>
      </c>
      <c r="D135" s="371" t="s">
        <v>76</v>
      </c>
      <c r="E135" s="396">
        <v>45637</v>
      </c>
      <c r="F135" s="396">
        <v>45638</v>
      </c>
      <c r="G135" s="396">
        <v>45642</v>
      </c>
      <c r="H135" s="396">
        <v>45642</v>
      </c>
      <c r="I135" s="374">
        <f ca="1">IF(ISBLANK(H135), NETWORKDAYS(F135, TODAY(),fESTIVOS!$A$1:$A$18), NETWORKDAYS(F135, H135, fESTIVOS!$A$1:$A$18))</f>
        <v>3</v>
      </c>
      <c r="J135" s="396">
        <v>45642</v>
      </c>
      <c r="K135" s="396">
        <v>45644</v>
      </c>
      <c r="L135" s="395" t="s">
        <v>2519</v>
      </c>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row>
    <row r="136" spans="1:33" ht="15.75" customHeight="1">
      <c r="A136" s="588" t="s">
        <v>2239</v>
      </c>
      <c r="B136" s="369" t="s">
        <v>2520</v>
      </c>
      <c r="C136" s="363"/>
      <c r="D136" s="365" t="s">
        <v>76</v>
      </c>
      <c r="E136" s="364">
        <v>45644</v>
      </c>
      <c r="F136" s="364">
        <v>45644</v>
      </c>
      <c r="G136" s="364"/>
      <c r="H136" s="364">
        <v>45644</v>
      </c>
      <c r="I136" s="366">
        <f ca="1">IF(ISBLANK(H136), NETWORKDAYS(F136, TODAY(),fESTIVOS!$A$1:$A$18), NETWORKDAYS(F136, H136, fESTIVOS!$A$1:$A$18))</f>
        <v>1</v>
      </c>
      <c r="J136" s="364"/>
      <c r="K136" s="364"/>
      <c r="L136" s="367"/>
      <c r="M136" s="589"/>
      <c r="N136" s="354"/>
      <c r="O136" s="354"/>
      <c r="P136" s="354"/>
      <c r="Q136" s="354"/>
      <c r="R136" s="354"/>
      <c r="S136" s="354"/>
      <c r="T136" s="354"/>
      <c r="U136" s="354"/>
      <c r="V136" s="354"/>
      <c r="W136" s="354"/>
      <c r="X136" s="354"/>
      <c r="Y136" s="354"/>
      <c r="Z136" s="354"/>
      <c r="AA136" s="399"/>
      <c r="AB136" s="399"/>
      <c r="AC136" s="399"/>
      <c r="AD136" s="399"/>
      <c r="AE136" s="399"/>
      <c r="AF136" s="399"/>
      <c r="AG136" s="399"/>
    </row>
    <row r="137" spans="1:33" ht="15.75" customHeight="1">
      <c r="A137" s="591" t="s">
        <v>2239</v>
      </c>
      <c r="B137" s="591" t="s">
        <v>2370</v>
      </c>
      <c r="C137" s="733" t="s">
        <v>2521</v>
      </c>
      <c r="D137" s="596" t="s">
        <v>2360</v>
      </c>
      <c r="E137" s="665">
        <v>45643</v>
      </c>
      <c r="F137" s="665">
        <v>45643</v>
      </c>
      <c r="G137" s="597"/>
      <c r="H137" s="597"/>
      <c r="I137" s="598">
        <f ca="1">IF(ISBLANK(H137), NETWORKDAYS(F137, TODAY(),fESTIVOS!$A$1:$A$18), NETWORKDAYS(F137, H137, fESTIVOS!$A$1:$A$18))</f>
        <v>291</v>
      </c>
      <c r="J137" s="665">
        <v>45643</v>
      </c>
      <c r="K137" s="597">
        <v>45644</v>
      </c>
      <c r="L137" s="738" t="s">
        <v>2522</v>
      </c>
      <c r="M137" s="624"/>
      <c r="N137" s="360"/>
      <c r="O137" s="360"/>
      <c r="P137" s="360"/>
      <c r="Q137" s="360"/>
      <c r="R137" s="360"/>
      <c r="S137" s="360"/>
      <c r="T137" s="360"/>
      <c r="U137" s="360"/>
      <c r="V137" s="360"/>
      <c r="W137" s="360"/>
      <c r="X137" s="360"/>
      <c r="Y137" s="360"/>
      <c r="Z137" s="360"/>
    </row>
    <row r="138" spans="1:33" ht="15.75" customHeight="1">
      <c r="A138" s="591" t="s">
        <v>2239</v>
      </c>
      <c r="B138" s="594"/>
      <c r="C138" s="733" t="s">
        <v>2523</v>
      </c>
      <c r="D138" s="596" t="s">
        <v>2360</v>
      </c>
      <c r="E138" s="665">
        <v>45643</v>
      </c>
      <c r="F138" s="665">
        <v>45643</v>
      </c>
      <c r="G138" s="597"/>
      <c r="H138" s="597"/>
      <c r="I138" s="598">
        <f ca="1">IF(ISBLANK(H138), NETWORKDAYS(F138, TODAY(),fESTIVOS!$A$1:$A$18), NETWORKDAYS(F138, H138, fESTIVOS!$A$1:$A$18))</f>
        <v>291</v>
      </c>
      <c r="J138" s="665">
        <v>45643</v>
      </c>
      <c r="K138" s="597">
        <v>45644</v>
      </c>
      <c r="L138" s="625" t="s">
        <v>2522</v>
      </c>
      <c r="M138" s="624"/>
      <c r="N138" s="360"/>
      <c r="O138" s="360"/>
      <c r="P138" s="360"/>
      <c r="Q138" s="360"/>
      <c r="R138" s="360"/>
      <c r="S138" s="360"/>
      <c r="T138" s="360"/>
      <c r="U138" s="360"/>
      <c r="V138" s="360"/>
      <c r="W138" s="360"/>
      <c r="X138" s="360"/>
      <c r="Y138" s="360"/>
      <c r="Z138" s="360"/>
    </row>
    <row r="139" spans="1:33" ht="15.75" customHeight="1">
      <c r="A139" s="691" t="s">
        <v>1966</v>
      </c>
      <c r="B139" s="696" t="s">
        <v>2524</v>
      </c>
      <c r="C139" s="691"/>
      <c r="D139" s="704" t="s">
        <v>2360</v>
      </c>
      <c r="E139" s="698">
        <v>45644</v>
      </c>
      <c r="F139" s="698">
        <v>45645</v>
      </c>
      <c r="G139" s="699"/>
      <c r="H139" s="700">
        <v>45645</v>
      </c>
      <c r="I139" s="366">
        <f ca="1">IF(ISBLANK(H139), NETWORKDAYS(F139, TODAY(),fESTIVOS!$A$1:$A$18), NETWORKDAYS(F139, H139, fESTIVOS!$A$1:$A$18))</f>
        <v>1</v>
      </c>
      <c r="J139" s="700">
        <v>45645</v>
      </c>
      <c r="K139" s="700">
        <v>45645</v>
      </c>
      <c r="L139" s="701"/>
      <c r="M139" s="726"/>
      <c r="N139" s="726"/>
      <c r="O139" s="726"/>
      <c r="P139" s="726"/>
      <c r="Q139" s="726"/>
      <c r="R139" s="726"/>
      <c r="S139" s="726"/>
      <c r="T139" s="726"/>
      <c r="U139" s="726"/>
      <c r="V139" s="726"/>
      <c r="W139" s="726"/>
      <c r="X139" s="726"/>
      <c r="Y139" s="726"/>
      <c r="Z139" s="726"/>
      <c r="AA139" s="727"/>
      <c r="AB139" s="727"/>
      <c r="AC139" s="727"/>
      <c r="AD139" s="727"/>
      <c r="AE139" s="727"/>
      <c r="AF139" s="727"/>
      <c r="AG139" s="727"/>
    </row>
    <row r="140" spans="1:33" ht="15.75" customHeight="1">
      <c r="A140" s="353" t="s">
        <v>1966</v>
      </c>
      <c r="B140" s="591" t="s">
        <v>2525</v>
      </c>
      <c r="C140" s="353" t="s">
        <v>2526</v>
      </c>
      <c r="D140" s="586" t="s">
        <v>2360</v>
      </c>
      <c r="E140" s="364">
        <v>45635</v>
      </c>
      <c r="F140" s="364">
        <v>45636</v>
      </c>
      <c r="G140" s="364">
        <v>45637</v>
      </c>
      <c r="H140" s="694">
        <v>45639</v>
      </c>
      <c r="I140" s="366">
        <f ca="1">IF(ISBLANK(H140), NETWORKDAYS(F140, TODAY(),fESTIVOS!$A$1:$A$18), NETWORKDAYS(F140, H140, fESTIVOS!$A$1:$A$18))</f>
        <v>4</v>
      </c>
      <c r="J140" s="694"/>
      <c r="K140" s="694"/>
      <c r="L140" s="587" t="s">
        <v>2527</v>
      </c>
      <c r="M140" s="354"/>
      <c r="N140" s="354"/>
      <c r="O140" s="354"/>
      <c r="P140" s="354"/>
      <c r="Q140" s="354"/>
      <c r="R140" s="354"/>
      <c r="S140" s="354"/>
      <c r="T140" s="354"/>
      <c r="U140" s="354"/>
      <c r="V140" s="354"/>
      <c r="W140" s="354"/>
      <c r="X140" s="354"/>
      <c r="Y140" s="354"/>
      <c r="Z140" s="354"/>
    </row>
    <row r="141" spans="1:33" ht="15.75" customHeight="1">
      <c r="A141" s="353" t="s">
        <v>1966</v>
      </c>
      <c r="B141" s="594"/>
      <c r="C141" s="588" t="s">
        <v>2528</v>
      </c>
      <c r="D141" s="588" t="s">
        <v>2360</v>
      </c>
      <c r="E141" s="364">
        <v>45636</v>
      </c>
      <c r="F141" s="364">
        <v>45636</v>
      </c>
      <c r="G141" s="364"/>
      <c r="H141" s="364">
        <v>45636</v>
      </c>
      <c r="I141" s="366">
        <f ca="1">IF(ISBLANK(H141), NETWORKDAYS(F141, TODAY(),fESTIVOS!$A$1:$A$18), NETWORKDAYS(F141, H141, fESTIVOS!$A$1:$A$18))</f>
        <v>1</v>
      </c>
      <c r="J141" s="694"/>
      <c r="K141" s="364">
        <v>45636</v>
      </c>
      <c r="L141" s="739" t="s">
        <v>2529</v>
      </c>
      <c r="M141" s="354"/>
      <c r="N141" s="354"/>
      <c r="O141" s="354"/>
      <c r="P141" s="354"/>
      <c r="Q141" s="354"/>
      <c r="R141" s="354"/>
      <c r="S141" s="354"/>
      <c r="T141" s="354"/>
      <c r="U141" s="354"/>
      <c r="V141" s="354"/>
      <c r="W141" s="354"/>
      <c r="X141" s="354"/>
      <c r="Y141" s="354"/>
      <c r="Z141" s="354"/>
    </row>
    <row r="142" spans="1:33" ht="15.75" customHeight="1">
      <c r="A142" s="353" t="s">
        <v>1966</v>
      </c>
      <c r="B142" s="594"/>
      <c r="C142" s="353" t="s">
        <v>2530</v>
      </c>
      <c r="D142" s="588" t="s">
        <v>2360</v>
      </c>
      <c r="E142" s="364">
        <v>45637</v>
      </c>
      <c r="F142" s="364">
        <v>45636</v>
      </c>
      <c r="G142" s="364"/>
      <c r="H142" s="694"/>
      <c r="I142" s="366">
        <f ca="1">IF(ISBLANK(H142), NETWORKDAYS(F142, TODAY(),fESTIVOS!$A$1:$A$18), NETWORKDAYS(F142, H142, fESTIVOS!$A$1:$A$18))</f>
        <v>296</v>
      </c>
      <c r="J142" s="694"/>
      <c r="K142" s="694"/>
      <c r="L142" s="587" t="s">
        <v>2531</v>
      </c>
      <c r="M142" s="354"/>
      <c r="N142" s="354"/>
      <c r="O142" s="354"/>
      <c r="P142" s="354"/>
      <c r="Q142" s="354"/>
      <c r="R142" s="354"/>
      <c r="S142" s="354"/>
      <c r="T142" s="354"/>
      <c r="U142" s="354"/>
      <c r="V142" s="354"/>
      <c r="W142" s="354"/>
      <c r="X142" s="354"/>
      <c r="Y142" s="354"/>
      <c r="Z142" s="354"/>
    </row>
    <row r="143" spans="1:33" ht="15.75" customHeight="1">
      <c r="A143" s="353" t="s">
        <v>1966</v>
      </c>
      <c r="B143" s="538"/>
      <c r="C143" s="570" t="s">
        <v>2532</v>
      </c>
      <c r="D143" s="588" t="s">
        <v>2360</v>
      </c>
      <c r="E143" s="364">
        <v>45637</v>
      </c>
      <c r="F143" s="364">
        <v>45636</v>
      </c>
      <c r="G143" s="364"/>
      <c r="H143" s="694">
        <v>45639</v>
      </c>
      <c r="I143" s="366">
        <f ca="1">IF(ISBLANK(H143), NETWORKDAYS(F143, TODAY(),fESTIVOS!$A$1:$A$18), NETWORKDAYS(F143, H143, fESTIVOS!$A$1:$A$18))</f>
        <v>4</v>
      </c>
      <c r="J143" s="694"/>
      <c r="K143" s="694">
        <v>45639</v>
      </c>
      <c r="L143" s="587" t="s">
        <v>2533</v>
      </c>
      <c r="M143" s="354"/>
      <c r="N143" s="354"/>
      <c r="O143" s="354"/>
      <c r="P143" s="354"/>
      <c r="Q143" s="354"/>
      <c r="R143" s="354"/>
      <c r="S143" s="354"/>
      <c r="T143" s="354"/>
      <c r="U143" s="354"/>
      <c r="V143" s="354"/>
      <c r="W143" s="354"/>
      <c r="X143" s="354"/>
      <c r="Y143" s="354"/>
      <c r="Z143" s="354"/>
    </row>
    <row r="144" spans="1:33" ht="15.75" customHeight="1">
      <c r="A144" s="377" t="s">
        <v>1981</v>
      </c>
      <c r="B144" s="377" t="s">
        <v>2534</v>
      </c>
      <c r="C144" s="392"/>
      <c r="D144" s="392" t="s">
        <v>11</v>
      </c>
      <c r="E144" s="378">
        <v>45644</v>
      </c>
      <c r="F144" s="378">
        <v>45644</v>
      </c>
      <c r="G144" s="377"/>
      <c r="H144" s="392"/>
      <c r="I144" s="374">
        <f ca="1">IF(ISBLANK(H144), NETWORKDAYS(F144, TODAY(),fESTIVOS!$A$1:$A$18), NETWORKDAYS(F144, H144, fESTIVOS!$A$1:$A$18))</f>
        <v>290</v>
      </c>
      <c r="J144" s="392"/>
      <c r="K144" s="392"/>
      <c r="L144" s="677" t="s">
        <v>2535</v>
      </c>
      <c r="M144" s="589"/>
      <c r="N144" s="354"/>
      <c r="O144" s="354"/>
      <c r="P144" s="354"/>
      <c r="Q144" s="354"/>
      <c r="R144" s="354"/>
      <c r="S144" s="354"/>
      <c r="T144" s="354"/>
      <c r="U144" s="354"/>
      <c r="V144" s="354"/>
      <c r="W144" s="354"/>
      <c r="X144" s="354"/>
      <c r="Y144" s="354"/>
      <c r="Z144" s="354"/>
      <c r="AA144" s="399"/>
      <c r="AB144" s="399"/>
      <c r="AC144" s="399"/>
      <c r="AD144" s="399"/>
      <c r="AE144" s="399"/>
      <c r="AF144" s="399"/>
      <c r="AG144" s="399"/>
    </row>
    <row r="145" spans="1:33" ht="15.75" customHeight="1">
      <c r="A145" s="386" t="s">
        <v>1966</v>
      </c>
      <c r="B145" s="377" t="s">
        <v>2536</v>
      </c>
      <c r="C145" s="617"/>
      <c r="D145" s="618" t="s">
        <v>76</v>
      </c>
      <c r="E145" s="396">
        <v>45653</v>
      </c>
      <c r="F145" s="396">
        <v>45653</v>
      </c>
      <c r="G145" s="396"/>
      <c r="H145" s="396">
        <v>45653</v>
      </c>
      <c r="I145" s="390">
        <f ca="1">IF(ISBLANK(H145), NETWORKDAYS(F145, TODAY(),fESTIVOS!$A$1:$A$18), NETWORKDAYS(F145, H145, fESTIVOS!$A$1:$A$18))</f>
        <v>1</v>
      </c>
      <c r="J145" s="396"/>
      <c r="K145" s="396"/>
      <c r="L145" s="619"/>
      <c r="M145" s="354"/>
      <c r="N145" s="354"/>
      <c r="O145" s="354"/>
      <c r="P145" s="354"/>
      <c r="Q145" s="354"/>
      <c r="R145" s="354"/>
      <c r="S145" s="354"/>
      <c r="T145" s="354"/>
      <c r="U145" s="354"/>
      <c r="V145" s="354"/>
      <c r="W145" s="354"/>
      <c r="X145" s="354"/>
      <c r="Y145" s="354"/>
      <c r="Z145" s="354"/>
    </row>
    <row r="146" spans="1:33" ht="15.75" customHeight="1">
      <c r="A146" s="386" t="s">
        <v>1966</v>
      </c>
      <c r="B146" s="377" t="s">
        <v>2537</v>
      </c>
      <c r="C146" s="617"/>
      <c r="D146" s="371" t="s">
        <v>2360</v>
      </c>
      <c r="E146" s="396">
        <v>45653</v>
      </c>
      <c r="F146" s="396">
        <v>45653</v>
      </c>
      <c r="G146" s="396"/>
      <c r="H146" s="396">
        <v>45653</v>
      </c>
      <c r="I146" s="390">
        <f ca="1">IF(ISBLANK(H146), NETWORKDAYS(F146, TODAY(),fESTIVOS!$A$1:$A$18), NETWORKDAYS(F146, H146, fESTIVOS!$A$1:$A$18))</f>
        <v>1</v>
      </c>
      <c r="J146" s="396"/>
      <c r="K146" s="396">
        <v>45653</v>
      </c>
      <c r="L146" s="619" t="s">
        <v>2538</v>
      </c>
      <c r="M146" s="354"/>
      <c r="N146" s="354"/>
      <c r="O146" s="354"/>
      <c r="P146" s="354"/>
      <c r="Q146" s="354"/>
      <c r="R146" s="354"/>
      <c r="S146" s="354"/>
      <c r="T146" s="354"/>
      <c r="U146" s="354"/>
      <c r="V146" s="354"/>
      <c r="W146" s="354"/>
      <c r="X146" s="354"/>
      <c r="Y146" s="354"/>
      <c r="Z146" s="354"/>
    </row>
    <row r="147" spans="1:33" ht="15.75" customHeight="1">
      <c r="A147" s="377" t="s">
        <v>1981</v>
      </c>
      <c r="B147" s="377" t="s">
        <v>2539</v>
      </c>
      <c r="C147" s="371"/>
      <c r="D147" s="371" t="s">
        <v>76</v>
      </c>
      <c r="E147" s="396">
        <v>45660</v>
      </c>
      <c r="F147" s="396">
        <v>45660</v>
      </c>
      <c r="G147" s="618"/>
      <c r="H147" s="396">
        <v>45660</v>
      </c>
      <c r="I147" s="374">
        <f ca="1">IF(ISBLANK(H147), NETWORKDAYS(F147, TODAY(),fESTIVOS!$A$1:$A$18), NETWORKDAYS(F147, H147, fESTIVOS!$A$1:$A$18))</f>
        <v>1</v>
      </c>
      <c r="J147" s="618"/>
      <c r="K147" s="618"/>
      <c r="L147" s="395"/>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row>
    <row r="148" spans="1:33" ht="15.75" customHeight="1">
      <c r="A148" s="377" t="s">
        <v>1981</v>
      </c>
      <c r="B148" s="377" t="s">
        <v>2540</v>
      </c>
      <c r="C148" s="371"/>
      <c r="D148" s="371" t="s">
        <v>76</v>
      </c>
      <c r="E148" s="396">
        <v>45650</v>
      </c>
      <c r="F148" s="396">
        <v>45650</v>
      </c>
      <c r="G148" s="618"/>
      <c r="H148" s="396">
        <v>45656</v>
      </c>
      <c r="I148" s="374">
        <f ca="1">IF(ISBLANK(H148), NETWORKDAYS(F148, TODAY(),fESTIVOS!$A$1:$A$18), NETWORKDAYS(F148, H148, fESTIVOS!$A$1:$A$18))</f>
        <v>4</v>
      </c>
      <c r="J148" s="618"/>
      <c r="K148" s="618"/>
      <c r="L148" s="395"/>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row>
    <row r="149" spans="1:33" ht="15.75" customHeight="1">
      <c r="A149" s="377" t="s">
        <v>1981</v>
      </c>
      <c r="B149" s="377" t="s">
        <v>2541</v>
      </c>
      <c r="C149" s="371"/>
      <c r="D149" s="371" t="s">
        <v>76</v>
      </c>
      <c r="E149" s="396">
        <v>45656</v>
      </c>
      <c r="F149" s="396">
        <v>45659</v>
      </c>
      <c r="G149" s="618"/>
      <c r="H149" s="396">
        <v>45659</v>
      </c>
      <c r="I149" s="374">
        <f ca="1">IF(ISBLANK(H149), NETWORKDAYS(F149, TODAY(),fESTIVOS!$A$1:$A$18), NETWORKDAYS(F149, H149, fESTIVOS!$A$1:$A$18))</f>
        <v>1</v>
      </c>
      <c r="J149" s="618"/>
      <c r="K149" s="618"/>
      <c r="L149" s="395" t="s">
        <v>2542</v>
      </c>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row>
    <row r="150" spans="1:33" ht="15.75" customHeight="1">
      <c r="A150" s="377" t="s">
        <v>1973</v>
      </c>
      <c r="B150" s="740" t="s">
        <v>2543</v>
      </c>
      <c r="C150" s="741"/>
      <c r="D150" s="742" t="s">
        <v>76</v>
      </c>
      <c r="E150" s="743">
        <v>45639</v>
      </c>
      <c r="F150" s="743">
        <v>45642</v>
      </c>
      <c r="G150" s="741"/>
      <c r="H150" s="743">
        <v>45653</v>
      </c>
      <c r="I150" s="675">
        <f ca="1">IF(ISBLANK(H150), NETWORKDAYS(F150, TODAY(),fESTIVOS!$A$1:$A$18), NETWORKDAYS(F150, H150, fESTIVOS!$A$1:$A$18))</f>
        <v>9</v>
      </c>
      <c r="J150" s="741"/>
      <c r="K150" s="741"/>
      <c r="L150" s="744" t="s">
        <v>2544</v>
      </c>
      <c r="M150" s="385"/>
      <c r="N150" s="385"/>
      <c r="O150" s="385"/>
      <c r="P150" s="385"/>
      <c r="Q150" s="385"/>
      <c r="R150" s="385"/>
      <c r="S150" s="385"/>
      <c r="T150" s="385"/>
      <c r="U150" s="385"/>
      <c r="V150" s="385"/>
      <c r="W150" s="385"/>
      <c r="X150" s="385"/>
      <c r="Y150" s="385"/>
      <c r="Z150" s="385"/>
      <c r="AA150" s="385"/>
      <c r="AB150" s="385"/>
      <c r="AC150" s="385"/>
      <c r="AD150" s="385"/>
      <c r="AE150" s="385"/>
      <c r="AF150" s="385"/>
      <c r="AG150" s="385"/>
    </row>
    <row r="151" spans="1:33" ht="15.75" customHeight="1">
      <c r="A151" s="392" t="s">
        <v>1991</v>
      </c>
      <c r="B151" s="745" t="s">
        <v>2545</v>
      </c>
      <c r="C151" s="394"/>
      <c r="D151" s="618" t="s">
        <v>76</v>
      </c>
      <c r="E151" s="396">
        <v>45656</v>
      </c>
      <c r="F151" s="396">
        <v>45656</v>
      </c>
      <c r="G151" s="394"/>
      <c r="H151" s="396">
        <v>45656</v>
      </c>
      <c r="I151" s="374">
        <f ca="1">IF(ISBLANK(H151), NETWORKDAYS(F151, TODAY(),fESTIVOS!$A$1:$A$18), NETWORKDAYS(F151, H151, fESTIVOS!$A$1:$A$18))</f>
        <v>1</v>
      </c>
      <c r="J151" s="394"/>
      <c r="K151" s="396">
        <v>45656</v>
      </c>
      <c r="L151" s="394"/>
      <c r="M151" s="399"/>
      <c r="N151" s="399"/>
      <c r="O151" s="399"/>
      <c r="P151" s="399"/>
      <c r="Q151" s="399"/>
      <c r="R151" s="399"/>
      <c r="S151" s="399"/>
      <c r="T151" s="399"/>
      <c r="U151" s="399"/>
      <c r="V151" s="399"/>
      <c r="W151" s="399"/>
      <c r="X151" s="399"/>
      <c r="Y151" s="399"/>
      <c r="Z151" s="399"/>
    </row>
    <row r="152" spans="1:33" ht="15.75" customHeight="1">
      <c r="A152" s="377" t="s">
        <v>1981</v>
      </c>
      <c r="B152" s="377" t="s">
        <v>2546</v>
      </c>
      <c r="C152" s="371" t="s">
        <v>2547</v>
      </c>
      <c r="D152" s="371" t="s">
        <v>76</v>
      </c>
      <c r="E152" s="396">
        <v>45664</v>
      </c>
      <c r="F152" s="396">
        <v>45664</v>
      </c>
      <c r="G152" s="618"/>
      <c r="H152" s="396">
        <v>45664</v>
      </c>
      <c r="I152" s="374">
        <f ca="1">IF(ISBLANK(H152), NETWORKDAYS(F152, TODAY(),fESTIVOS!$A$1:$A$18), NETWORKDAYS(F152, H152, fESTIVOS!$A$1:$A$18))</f>
        <v>1</v>
      </c>
      <c r="J152" s="618"/>
      <c r="K152" s="618"/>
      <c r="L152" s="395" t="s">
        <v>2548</v>
      </c>
    </row>
    <row r="153" spans="1:33" ht="15.75" customHeight="1">
      <c r="A153" s="377" t="s">
        <v>1981</v>
      </c>
      <c r="B153" s="393" t="s">
        <v>2549</v>
      </c>
      <c r="C153" s="371" t="s">
        <v>2550</v>
      </c>
      <c r="D153" s="371" t="s">
        <v>76</v>
      </c>
      <c r="E153" s="396">
        <v>45656</v>
      </c>
      <c r="F153" s="396">
        <v>45665</v>
      </c>
      <c r="G153" s="618"/>
      <c r="H153" s="396">
        <v>45665</v>
      </c>
      <c r="I153" s="374">
        <f ca="1">IF(ISBLANK(H153), NETWORKDAYS(F153, TODAY(),fESTIVOS!$A$1:$A$18), NETWORKDAYS(F153, H153, fESTIVOS!$A$1:$A$18))</f>
        <v>1</v>
      </c>
      <c r="J153" s="396">
        <v>45665</v>
      </c>
      <c r="K153" s="618"/>
      <c r="L153" s="395"/>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row>
    <row r="154" spans="1:33" ht="15.75" customHeight="1">
      <c r="A154" s="377" t="s">
        <v>1981</v>
      </c>
      <c r="B154" s="538"/>
      <c r="C154" s="371" t="s">
        <v>2551</v>
      </c>
      <c r="D154" s="371" t="s">
        <v>76</v>
      </c>
      <c r="E154" s="396">
        <v>45656</v>
      </c>
      <c r="F154" s="396">
        <v>45665</v>
      </c>
      <c r="G154" s="618"/>
      <c r="H154" s="396">
        <v>45665</v>
      </c>
      <c r="I154" s="374">
        <f ca="1">IF(ISBLANK(H154), NETWORKDAYS(F154, TODAY(),fESTIVOS!$A$1:$A$18), NETWORKDAYS(F154, H154, fESTIVOS!$A$1:$A$18))</f>
        <v>1</v>
      </c>
      <c r="J154" s="396">
        <v>45665</v>
      </c>
      <c r="K154" s="618"/>
      <c r="L154" s="395"/>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row>
    <row r="155" spans="1:33" ht="15.75" customHeight="1">
      <c r="A155" s="377" t="s">
        <v>2239</v>
      </c>
      <c r="B155" s="370" t="s">
        <v>2552</v>
      </c>
      <c r="C155" s="395"/>
      <c r="D155" s="618" t="s">
        <v>76</v>
      </c>
      <c r="E155" s="396">
        <v>45666</v>
      </c>
      <c r="F155" s="396">
        <v>45666</v>
      </c>
      <c r="G155" s="396"/>
      <c r="H155" s="396">
        <v>45666</v>
      </c>
      <c r="I155" s="374">
        <f ca="1">IF(ISBLANK(H155), NETWORKDAYS(F155, TODAY(),fESTIVOS!$A$1:$A$18), NETWORKDAYS(F155, H155, fESTIVOS!$A$1:$A$18))</f>
        <v>1</v>
      </c>
      <c r="J155" s="396"/>
      <c r="K155" s="396"/>
      <c r="L155" s="619"/>
      <c r="M155" s="746"/>
      <c r="N155" s="551"/>
      <c r="O155" s="552"/>
      <c r="P155" s="551"/>
      <c r="Q155" s="552"/>
      <c r="R155" s="551"/>
      <c r="S155" s="552"/>
      <c r="T155" s="551"/>
      <c r="U155" s="552"/>
      <c r="V155" s="551"/>
      <c r="W155" s="552"/>
      <c r="X155" s="551"/>
      <c r="Y155" s="552"/>
      <c r="Z155" s="551"/>
      <c r="AA155" s="552"/>
      <c r="AB155" s="551"/>
      <c r="AC155" s="552"/>
      <c r="AD155" s="551"/>
      <c r="AE155" s="552"/>
      <c r="AF155" s="551"/>
      <c r="AG155" s="552"/>
    </row>
    <row r="156" spans="1:33" ht="15.75" customHeight="1">
      <c r="A156" s="377" t="s">
        <v>2239</v>
      </c>
      <c r="B156" s="747" t="s">
        <v>2553</v>
      </c>
      <c r="C156" s="395" t="s">
        <v>2554</v>
      </c>
      <c r="D156" s="371" t="s">
        <v>76</v>
      </c>
      <c r="E156" s="396">
        <v>45664</v>
      </c>
      <c r="F156" s="396">
        <v>45664</v>
      </c>
      <c r="G156" s="396"/>
      <c r="H156" s="396">
        <v>45667</v>
      </c>
      <c r="I156" s="374">
        <f ca="1">IF(ISBLANK(H156), NETWORKDAYS(F156, TODAY(),fESTIVOS!$A$1:$A$18), NETWORKDAYS(F156, H156, fESTIVOS!$A$1:$A$18))</f>
        <v>4</v>
      </c>
      <c r="J156" s="396"/>
      <c r="K156" s="396"/>
      <c r="L156" s="619" t="s">
        <v>2555</v>
      </c>
      <c r="M156" s="589"/>
      <c r="N156" s="354"/>
      <c r="O156" s="354"/>
      <c r="P156" s="354"/>
      <c r="Q156" s="354"/>
      <c r="R156" s="354"/>
      <c r="S156" s="354"/>
      <c r="T156" s="354"/>
      <c r="U156" s="354"/>
      <c r="V156" s="354"/>
      <c r="W156" s="354"/>
      <c r="X156" s="354"/>
      <c r="Y156" s="354"/>
      <c r="Z156" s="354"/>
    </row>
    <row r="157" spans="1:33" ht="15.75" customHeight="1">
      <c r="A157" s="377" t="s">
        <v>1981</v>
      </c>
      <c r="B157" s="719" t="s">
        <v>2556</v>
      </c>
      <c r="C157" s="748"/>
      <c r="D157" s="371" t="s">
        <v>1968</v>
      </c>
      <c r="E157" s="396">
        <v>45609</v>
      </c>
      <c r="F157" s="396">
        <v>45610</v>
      </c>
      <c r="G157" s="372">
        <v>45622</v>
      </c>
      <c r="H157" s="372">
        <v>45623</v>
      </c>
      <c r="I157" s="374">
        <f ca="1">IF(ISBLANK(H157), NETWORKDAYS(F157, TODAY(),fESTIVOS!$A$1:$A$18), NETWORKDAYS(F157, H157, fESTIVOS!$A$1:$A$18))</f>
        <v>10</v>
      </c>
      <c r="J157" s="372">
        <v>45623</v>
      </c>
      <c r="K157" s="372">
        <v>45667</v>
      </c>
      <c r="L157" s="749" t="s">
        <v>2557</v>
      </c>
      <c r="M157" s="375"/>
      <c r="N157" s="375"/>
      <c r="O157" s="375"/>
      <c r="P157" s="375"/>
      <c r="Q157" s="375"/>
      <c r="R157" s="375"/>
      <c r="S157" s="375"/>
      <c r="T157" s="375"/>
      <c r="U157" s="375"/>
      <c r="V157" s="375"/>
      <c r="W157" s="375"/>
      <c r="X157" s="375"/>
      <c r="Y157" s="375"/>
      <c r="Z157" s="375"/>
    </row>
    <row r="158" spans="1:33" ht="15.75" customHeight="1">
      <c r="A158" s="377" t="s">
        <v>1981</v>
      </c>
      <c r="B158" s="399"/>
      <c r="C158" s="368" t="s">
        <v>2558</v>
      </c>
      <c r="D158" s="371" t="s">
        <v>1968</v>
      </c>
      <c r="E158" s="674">
        <v>45610</v>
      </c>
      <c r="F158" s="750">
        <v>45611</v>
      </c>
      <c r="G158" s="649"/>
      <c r="H158" s="649">
        <v>45617</v>
      </c>
      <c r="I158" s="675">
        <f ca="1">IF(ISBLANK(H158), NETWORKDAYS(F158, TODAY(),fESTIVOS!$A$1:$A$18), NETWORKDAYS(F158, H158, fESTIVOS!$A$1:$A$18))</f>
        <v>5</v>
      </c>
      <c r="J158" s="649">
        <v>45622</v>
      </c>
      <c r="K158" s="372">
        <v>45667</v>
      </c>
      <c r="L158" s="751" t="s">
        <v>2559</v>
      </c>
      <c r="M158" s="375"/>
      <c r="N158" s="375"/>
      <c r="O158" s="375"/>
      <c r="P158" s="375"/>
      <c r="Q158" s="375"/>
      <c r="R158" s="375"/>
      <c r="S158" s="375"/>
      <c r="T158" s="375"/>
      <c r="U158" s="375"/>
      <c r="V158" s="375"/>
      <c r="W158" s="375"/>
      <c r="X158" s="375"/>
      <c r="Y158" s="375"/>
      <c r="Z158" s="375"/>
    </row>
    <row r="159" spans="1:33" ht="15.75" customHeight="1">
      <c r="A159" s="377" t="s">
        <v>1981</v>
      </c>
      <c r="B159" s="399"/>
      <c r="C159" s="368" t="s">
        <v>2560</v>
      </c>
      <c r="D159" s="371" t="s">
        <v>1968</v>
      </c>
      <c r="E159" s="396">
        <v>45610</v>
      </c>
      <c r="F159" s="674">
        <v>45621</v>
      </c>
      <c r="G159" s="649">
        <v>45621</v>
      </c>
      <c r="H159" s="649">
        <v>45621</v>
      </c>
      <c r="I159" s="675">
        <f ca="1">IF(ISBLANK(H159), NETWORKDAYS(F159, TODAY(),fESTIVOS!$A$1:$A$18), NETWORKDAYS(F159, H159, fESTIVOS!$A$1:$A$18))</f>
        <v>1</v>
      </c>
      <c r="J159" s="649">
        <v>45622</v>
      </c>
      <c r="K159" s="372">
        <v>45667</v>
      </c>
      <c r="L159" s="752" t="s">
        <v>2561</v>
      </c>
      <c r="M159" s="375"/>
      <c r="N159" s="375"/>
      <c r="O159" s="375"/>
      <c r="P159" s="375"/>
      <c r="Q159" s="375"/>
      <c r="R159" s="375"/>
      <c r="S159" s="375"/>
      <c r="T159" s="375"/>
      <c r="U159" s="375"/>
      <c r="V159" s="375"/>
      <c r="W159" s="375"/>
      <c r="X159" s="375"/>
      <c r="Y159" s="375"/>
      <c r="Z159" s="375"/>
    </row>
    <row r="160" spans="1:33" ht="15.75" customHeight="1">
      <c r="A160" s="393" t="s">
        <v>1981</v>
      </c>
      <c r="B160" s="399"/>
      <c r="C160" s="645" t="s">
        <v>2562</v>
      </c>
      <c r="D160" s="371" t="s">
        <v>1968</v>
      </c>
      <c r="E160" s="674">
        <v>45610</v>
      </c>
      <c r="F160" s="674">
        <v>45621</v>
      </c>
      <c r="G160" s="649"/>
      <c r="H160" s="649">
        <v>45622</v>
      </c>
      <c r="I160" s="675">
        <f ca="1">IF(ISBLANK(H160), NETWORKDAYS(F160, TODAY(),fESTIVOS!$A$1:$A$18), NETWORKDAYS(F160, H160, fESTIVOS!$A$1:$A$18))</f>
        <v>2</v>
      </c>
      <c r="J160" s="649">
        <v>45622</v>
      </c>
      <c r="K160" s="372">
        <v>45667</v>
      </c>
      <c r="L160" s="749" t="s">
        <v>2563</v>
      </c>
      <c r="M160" s="375"/>
      <c r="N160" s="375"/>
      <c r="O160" s="375"/>
      <c r="P160" s="375"/>
      <c r="Q160" s="375"/>
      <c r="R160" s="375"/>
      <c r="S160" s="375"/>
      <c r="T160" s="375"/>
      <c r="U160" s="375"/>
      <c r="V160" s="375"/>
      <c r="W160" s="375"/>
      <c r="X160" s="375"/>
      <c r="Y160" s="375"/>
      <c r="Z160" s="375"/>
    </row>
    <row r="161" spans="1:26" ht="15.75" customHeight="1">
      <c r="A161" s="377" t="s">
        <v>1981</v>
      </c>
      <c r="B161" s="564"/>
      <c r="C161" s="370" t="s">
        <v>2564</v>
      </c>
      <c r="D161" s="371" t="s">
        <v>1968</v>
      </c>
      <c r="E161" s="396">
        <v>45624</v>
      </c>
      <c r="F161" s="396">
        <v>45628</v>
      </c>
      <c r="G161" s="372"/>
      <c r="H161" s="372">
        <v>45629</v>
      </c>
      <c r="I161" s="374">
        <f ca="1">IF(ISBLANK(H161), NETWORKDAYS(F161, TODAY(),fESTIVOS!$A$1:$A$18), NETWORKDAYS(F161, H161, fESTIVOS!$A$1:$A$18))</f>
        <v>2</v>
      </c>
      <c r="J161" s="372">
        <v>45629</v>
      </c>
      <c r="K161" s="372">
        <v>45667</v>
      </c>
      <c r="L161" s="751" t="s">
        <v>2565</v>
      </c>
      <c r="M161" s="375"/>
      <c r="N161" s="375"/>
      <c r="O161" s="375"/>
      <c r="P161" s="375"/>
      <c r="Q161" s="375"/>
      <c r="R161" s="375"/>
      <c r="S161" s="375"/>
      <c r="T161" s="375"/>
      <c r="U161" s="375"/>
      <c r="V161" s="375"/>
      <c r="W161" s="375"/>
      <c r="X161" s="375"/>
      <c r="Y161" s="375"/>
      <c r="Z161" s="375"/>
    </row>
    <row r="162" spans="1:26" ht="15.75" customHeight="1">
      <c r="A162" s="734" t="s">
        <v>1981</v>
      </c>
      <c r="B162" s="377" t="s">
        <v>2512</v>
      </c>
      <c r="C162" s="666" t="s">
        <v>2566</v>
      </c>
      <c r="D162" s="753" t="s">
        <v>2360</v>
      </c>
      <c r="E162" s="396">
        <v>45631</v>
      </c>
      <c r="F162" s="396">
        <v>45635</v>
      </c>
      <c r="G162" s="396">
        <v>45649</v>
      </c>
      <c r="H162" s="396">
        <v>45645</v>
      </c>
      <c r="I162" s="374">
        <f ca="1">IF(ISBLANK(H162), NETWORKDAYS(F162, TODAY(),fESTIVOS!$A$1:$A$18), NETWORKDAYS(F162, H162, fESTIVOS!$A$1:$A$18))</f>
        <v>9</v>
      </c>
      <c r="J162" s="396">
        <v>45645</v>
      </c>
      <c r="K162" s="396">
        <v>45667</v>
      </c>
      <c r="L162" s="619" t="s">
        <v>2567</v>
      </c>
      <c r="M162" s="354"/>
      <c r="N162" s="354"/>
      <c r="O162" s="354"/>
      <c r="P162" s="354"/>
      <c r="Q162" s="354"/>
      <c r="R162" s="354"/>
      <c r="S162" s="354"/>
      <c r="T162" s="354"/>
      <c r="U162" s="354"/>
      <c r="V162" s="354"/>
      <c r="W162" s="354"/>
      <c r="X162" s="354"/>
      <c r="Y162" s="354"/>
      <c r="Z162" s="354"/>
    </row>
    <row r="163" spans="1:26" ht="15.75" customHeight="1">
      <c r="A163" s="737" t="s">
        <v>1981</v>
      </c>
      <c r="B163" s="400" t="s">
        <v>2512</v>
      </c>
      <c r="C163" s="754" t="s">
        <v>2568</v>
      </c>
      <c r="D163" s="753" t="s">
        <v>2360</v>
      </c>
      <c r="E163" s="631">
        <v>45631</v>
      </c>
      <c r="F163" s="631">
        <v>45644</v>
      </c>
      <c r="G163" s="631">
        <v>45649</v>
      </c>
      <c r="H163" s="631">
        <v>45645</v>
      </c>
      <c r="I163" s="723">
        <f ca="1">IF(ISBLANK(H163), NETWORKDAYS(F163, TODAY(),fESTIVOS!$A$1:$A$18), NETWORKDAYS(F163, H163, fESTIVOS!$A$1:$A$18))</f>
        <v>2</v>
      </c>
      <c r="J163" s="631">
        <v>45645</v>
      </c>
      <c r="K163" s="631">
        <v>45667</v>
      </c>
      <c r="L163" s="632" t="s">
        <v>2569</v>
      </c>
      <c r="M163" s="354"/>
      <c r="N163" s="354"/>
      <c r="O163" s="354"/>
      <c r="P163" s="354"/>
      <c r="Q163" s="354"/>
      <c r="R163" s="354"/>
      <c r="S163" s="354"/>
      <c r="T163" s="354"/>
      <c r="U163" s="354"/>
      <c r="V163" s="354"/>
      <c r="W163" s="354"/>
      <c r="X163" s="354"/>
      <c r="Y163" s="354"/>
      <c r="Z163" s="354"/>
    </row>
    <row r="164" spans="1:26" ht="15.75" customHeight="1">
      <c r="A164" s="737" t="s">
        <v>1981</v>
      </c>
      <c r="B164" s="393" t="s">
        <v>2512</v>
      </c>
      <c r="C164" s="755" t="s">
        <v>2570</v>
      </c>
      <c r="D164" s="753" t="s">
        <v>2360</v>
      </c>
      <c r="E164" s="396">
        <v>45631</v>
      </c>
      <c r="F164" s="396">
        <v>45644</v>
      </c>
      <c r="G164" s="396">
        <v>45649</v>
      </c>
      <c r="H164" s="674">
        <v>45650</v>
      </c>
      <c r="I164" s="723">
        <f ca="1">IF(ISBLANK(H164), NETWORKDAYS(F164, TODAY(),fESTIVOS!$A$1:$A$18), NETWORKDAYS(F164, H164, fESTIVOS!$A$1:$A$18))</f>
        <v>5</v>
      </c>
      <c r="J164" s="674">
        <v>45650</v>
      </c>
      <c r="K164" s="674">
        <v>45667</v>
      </c>
      <c r="L164" s="619" t="s">
        <v>2571</v>
      </c>
      <c r="M164" s="354"/>
      <c r="N164" s="354"/>
      <c r="O164" s="354"/>
      <c r="P164" s="354"/>
      <c r="Q164" s="354"/>
      <c r="R164" s="354"/>
      <c r="S164" s="354"/>
      <c r="T164" s="354"/>
      <c r="U164" s="354"/>
      <c r="V164" s="354"/>
      <c r="W164" s="354"/>
      <c r="X164" s="354"/>
      <c r="Y164" s="354"/>
      <c r="Z164" s="354"/>
    </row>
    <row r="165" spans="1:26" ht="15.75" customHeight="1">
      <c r="A165" s="737" t="s">
        <v>1981</v>
      </c>
      <c r="B165" s="393" t="s">
        <v>2512</v>
      </c>
      <c r="C165" s="755" t="s">
        <v>2572</v>
      </c>
      <c r="D165" s="753" t="s">
        <v>2360</v>
      </c>
      <c r="E165" s="674">
        <v>45631</v>
      </c>
      <c r="F165" s="674">
        <v>45644</v>
      </c>
      <c r="G165" s="674">
        <v>45649</v>
      </c>
      <c r="H165" s="674">
        <v>45650</v>
      </c>
      <c r="I165" s="652">
        <f ca="1">IF(ISBLANK(H165), NETWORKDAYS(F165, TODAY(),fESTIVOS!$A$1:$A$18), NETWORKDAYS(F165, H165, fESTIVOS!$A$1:$A$18))</f>
        <v>5</v>
      </c>
      <c r="J165" s="674">
        <v>45650</v>
      </c>
      <c r="K165" s="674">
        <v>45667</v>
      </c>
      <c r="L165" s="676" t="s">
        <v>2573</v>
      </c>
      <c r="M165" s="354"/>
      <c r="N165" s="354"/>
      <c r="O165" s="354"/>
      <c r="P165" s="354"/>
      <c r="Q165" s="354"/>
      <c r="R165" s="354"/>
      <c r="S165" s="354"/>
      <c r="T165" s="354"/>
      <c r="U165" s="354"/>
      <c r="V165" s="354"/>
      <c r="W165" s="354"/>
      <c r="X165" s="354"/>
      <c r="Y165" s="354"/>
      <c r="Z165" s="354"/>
    </row>
    <row r="166" spans="1:26" ht="15.75" customHeight="1">
      <c r="A166" s="392" t="s">
        <v>1991</v>
      </c>
      <c r="B166" s="377" t="s">
        <v>2574</v>
      </c>
      <c r="C166" s="387"/>
      <c r="D166" s="371" t="s">
        <v>76</v>
      </c>
      <c r="E166" s="396">
        <v>45667</v>
      </c>
      <c r="F166" s="396">
        <v>45667</v>
      </c>
      <c r="G166" s="396">
        <v>45670</v>
      </c>
      <c r="H166" s="396">
        <v>45667</v>
      </c>
      <c r="I166" s="374">
        <f ca="1">IF(ISBLANK(H166), NETWORKDAYS(F166, TODAY(),fESTIVOS!$A$1:$A$18), NETWORKDAYS(F166, H166, fESTIVOS!$A$1:$A$18))</f>
        <v>1</v>
      </c>
      <c r="J166" s="396"/>
      <c r="K166" s="396"/>
      <c r="L166" s="714"/>
      <c r="M166" s="589"/>
      <c r="N166" s="354"/>
      <c r="O166" s="354"/>
      <c r="P166" s="354"/>
      <c r="Q166" s="354"/>
      <c r="R166" s="354"/>
      <c r="S166" s="354"/>
      <c r="T166" s="354"/>
      <c r="U166" s="354"/>
      <c r="V166" s="354"/>
      <c r="W166" s="354"/>
      <c r="X166" s="354"/>
      <c r="Y166" s="354"/>
      <c r="Z166" s="354"/>
    </row>
    <row r="167" spans="1:26" ht="15.75" customHeight="1">
      <c r="A167" s="377" t="s">
        <v>2239</v>
      </c>
      <c r="B167" s="370" t="s">
        <v>2575</v>
      </c>
      <c r="C167" s="395"/>
      <c r="D167" s="618" t="s">
        <v>76</v>
      </c>
      <c r="E167" s="396">
        <v>45667</v>
      </c>
      <c r="F167" s="396">
        <v>45667</v>
      </c>
      <c r="G167" s="396"/>
      <c r="H167" s="396">
        <v>45667</v>
      </c>
      <c r="I167" s="374">
        <f ca="1">IF(ISBLANK(H167), NETWORKDAYS(F167, TODAY(),fESTIVOS!$A$1:$A$18), NETWORKDAYS(F167, H167, fESTIVOS!$A$1:$A$18))</f>
        <v>1</v>
      </c>
      <c r="J167" s="396"/>
      <c r="K167" s="396"/>
      <c r="L167" s="619"/>
      <c r="M167" s="589"/>
      <c r="N167" s="354"/>
      <c r="O167" s="354"/>
      <c r="P167" s="354"/>
      <c r="Q167" s="354"/>
      <c r="R167" s="354"/>
      <c r="S167" s="354"/>
      <c r="T167" s="354"/>
      <c r="U167" s="354"/>
      <c r="V167" s="354"/>
      <c r="W167" s="354"/>
      <c r="X167" s="354"/>
      <c r="Y167" s="354"/>
      <c r="Z167" s="354"/>
    </row>
    <row r="168" spans="1:26" ht="15.75" customHeight="1">
      <c r="A168" s="392" t="s">
        <v>1991</v>
      </c>
      <c r="B168" s="745" t="s">
        <v>2576</v>
      </c>
      <c r="C168" s="394"/>
      <c r="D168" s="618" t="s">
        <v>76</v>
      </c>
      <c r="E168" s="396">
        <v>45667</v>
      </c>
      <c r="F168" s="397">
        <v>45667</v>
      </c>
      <c r="G168" s="394"/>
      <c r="H168" s="396">
        <v>45671</v>
      </c>
      <c r="I168" s="374">
        <f ca="1">IF(ISBLANK(H168), NETWORKDAYS(F168, TODAY(),fESTIVOS!$A$1:$A$18), NETWORKDAYS(F168, H168, fESTIVOS!$A$1:$A$18))</f>
        <v>3</v>
      </c>
      <c r="J168" s="396">
        <v>45671</v>
      </c>
      <c r="K168" s="396">
        <v>45671</v>
      </c>
      <c r="L168" s="398" t="s">
        <v>2577</v>
      </c>
      <c r="M168" s="399"/>
      <c r="N168" s="399"/>
      <c r="O168" s="399"/>
      <c r="P168" s="399"/>
      <c r="Q168" s="399"/>
      <c r="R168" s="399"/>
      <c r="S168" s="399"/>
      <c r="T168" s="399"/>
      <c r="U168" s="399"/>
      <c r="V168" s="399"/>
      <c r="W168" s="399"/>
      <c r="X168" s="399"/>
      <c r="Y168" s="399"/>
      <c r="Z168" s="399"/>
    </row>
    <row r="169" spans="1:26" ht="15.75" customHeight="1">
      <c r="A169" s="377" t="s">
        <v>2239</v>
      </c>
      <c r="B169" s="370" t="s">
        <v>2578</v>
      </c>
      <c r="C169" s="395"/>
      <c r="D169" s="618" t="s">
        <v>76</v>
      </c>
      <c r="E169" s="396">
        <v>45667</v>
      </c>
      <c r="F169" s="396">
        <v>45670</v>
      </c>
      <c r="G169" s="396"/>
      <c r="H169" s="396">
        <v>45670</v>
      </c>
      <c r="I169" s="374">
        <f ca="1">IF(ISBLANK(H169), NETWORKDAYS(F169, TODAY(),fESTIVOS!$A$1:$A$18), NETWORKDAYS(F169, H169, fESTIVOS!$A$1:$A$18))</f>
        <v>1</v>
      </c>
      <c r="J169" s="396">
        <v>45670</v>
      </c>
      <c r="K169" s="396">
        <v>45672</v>
      </c>
      <c r="L169" s="619"/>
      <c r="M169" s="589"/>
      <c r="N169" s="354"/>
      <c r="O169" s="354"/>
      <c r="P169" s="354"/>
      <c r="Q169" s="354"/>
      <c r="R169" s="354"/>
      <c r="S169" s="354"/>
      <c r="T169" s="354"/>
      <c r="U169" s="354"/>
      <c r="V169" s="354"/>
      <c r="W169" s="354"/>
      <c r="X169" s="354"/>
      <c r="Y169" s="354"/>
      <c r="Z169" s="354"/>
    </row>
    <row r="170" spans="1:26" ht="15.75" customHeight="1">
      <c r="A170" s="377" t="s">
        <v>2239</v>
      </c>
      <c r="B170" s="747" t="s">
        <v>2579</v>
      </c>
      <c r="C170" s="395" t="s">
        <v>2580</v>
      </c>
      <c r="D170" s="618" t="s">
        <v>2360</v>
      </c>
      <c r="E170" s="396">
        <v>45672</v>
      </c>
      <c r="F170" s="396"/>
      <c r="G170" s="396"/>
      <c r="H170" s="618"/>
      <c r="I170" s="374"/>
      <c r="J170" s="396"/>
      <c r="K170" s="714">
        <v>45692</v>
      </c>
      <c r="L170" s="619" t="s">
        <v>2581</v>
      </c>
      <c r="M170" s="589"/>
      <c r="N170" s="354"/>
      <c r="O170" s="354"/>
      <c r="P170" s="354"/>
      <c r="Q170" s="354"/>
      <c r="R170" s="354"/>
      <c r="S170" s="354"/>
      <c r="T170" s="354"/>
      <c r="U170" s="354"/>
      <c r="V170" s="354"/>
      <c r="W170" s="354"/>
      <c r="X170" s="354"/>
      <c r="Y170" s="354"/>
      <c r="Z170" s="354"/>
    </row>
    <row r="171" spans="1:26" ht="15.75" customHeight="1">
      <c r="A171" s="377" t="s">
        <v>2239</v>
      </c>
      <c r="B171" s="747" t="s">
        <v>2579</v>
      </c>
      <c r="C171" s="395" t="s">
        <v>2582</v>
      </c>
      <c r="D171" s="618" t="s">
        <v>2360</v>
      </c>
      <c r="E171" s="396">
        <v>45672</v>
      </c>
      <c r="F171" s="396">
        <v>45673</v>
      </c>
      <c r="G171" s="396"/>
      <c r="H171" s="396">
        <v>45673</v>
      </c>
      <c r="I171" s="374">
        <f ca="1">IF(ISBLANK(H171), NETWORKDAYS(F171, TODAY(),fESTIVOS!$A$1:$A$18), NETWORKDAYS(F171, H171, fESTIVOS!$A$1:$A$18))</f>
        <v>1</v>
      </c>
      <c r="J171" s="372">
        <v>45678</v>
      </c>
      <c r="K171" s="714">
        <v>45692</v>
      </c>
      <c r="L171" s="619"/>
      <c r="M171" s="589"/>
      <c r="N171" s="354"/>
      <c r="O171" s="354"/>
      <c r="P171" s="354"/>
      <c r="Q171" s="354"/>
      <c r="R171" s="354"/>
      <c r="S171" s="354"/>
      <c r="T171" s="354"/>
      <c r="U171" s="354"/>
      <c r="V171" s="354"/>
      <c r="W171" s="354"/>
      <c r="X171" s="354"/>
      <c r="Y171" s="354"/>
      <c r="Z171" s="354"/>
    </row>
    <row r="172" spans="1:26" ht="15.75" customHeight="1">
      <c r="A172" s="377" t="s">
        <v>2239</v>
      </c>
      <c r="B172" s="370" t="s">
        <v>2583</v>
      </c>
      <c r="C172" s="395"/>
      <c r="D172" s="618" t="s">
        <v>76</v>
      </c>
      <c r="E172" s="396">
        <v>45673</v>
      </c>
      <c r="F172" s="396">
        <v>45673</v>
      </c>
      <c r="G172" s="396"/>
      <c r="H172" s="396">
        <v>45673</v>
      </c>
      <c r="I172" s="374">
        <f ca="1">IF(ISBLANK(H172), NETWORKDAYS(F172, TODAY(),fESTIVOS!$A$1:$A$18), NETWORKDAYS(F172, H172, fESTIVOS!$A$1:$A$18))</f>
        <v>1</v>
      </c>
      <c r="J172" s="396"/>
      <c r="K172" s="396"/>
      <c r="L172" s="714" t="s">
        <v>2584</v>
      </c>
      <c r="M172" s="589"/>
      <c r="N172" s="354"/>
      <c r="O172" s="354"/>
      <c r="P172" s="354"/>
      <c r="Q172" s="354"/>
      <c r="R172" s="354"/>
      <c r="S172" s="354"/>
      <c r="T172" s="354"/>
      <c r="U172" s="354"/>
      <c r="V172" s="354"/>
      <c r="W172" s="354"/>
      <c r="X172" s="354"/>
      <c r="Y172" s="354"/>
      <c r="Z172" s="354"/>
    </row>
    <row r="173" spans="1:26" ht="15.75" customHeight="1">
      <c r="A173" s="377" t="s">
        <v>2239</v>
      </c>
      <c r="B173" s="370" t="s">
        <v>2585</v>
      </c>
      <c r="C173" s="395"/>
      <c r="D173" s="618" t="s">
        <v>76</v>
      </c>
      <c r="E173" s="396">
        <v>45671</v>
      </c>
      <c r="F173" s="396">
        <v>45671</v>
      </c>
      <c r="G173" s="396"/>
      <c r="H173" s="396">
        <v>45672</v>
      </c>
      <c r="I173" s="374">
        <f ca="1">IF(ISBLANK(H173), NETWORKDAYS(F173, TODAY(),fESTIVOS!$A$1:$A$18), NETWORKDAYS(F173, H173, fESTIVOS!$A$1:$A$18))</f>
        <v>2</v>
      </c>
      <c r="J173" s="396">
        <v>45672</v>
      </c>
      <c r="K173" s="396">
        <v>45674</v>
      </c>
      <c r="L173" s="619" t="s">
        <v>2586</v>
      </c>
      <c r="M173" s="589"/>
      <c r="N173" s="354"/>
      <c r="O173" s="354"/>
      <c r="P173" s="354"/>
      <c r="Q173" s="354"/>
      <c r="R173" s="354"/>
      <c r="S173" s="354"/>
      <c r="T173" s="354"/>
      <c r="U173" s="354"/>
      <c r="V173" s="354"/>
      <c r="W173" s="354"/>
      <c r="X173" s="354"/>
      <c r="Y173" s="354"/>
      <c r="Z173" s="354"/>
    </row>
    <row r="174" spans="1:26" ht="15.75" customHeight="1">
      <c r="A174" s="377" t="s">
        <v>2239</v>
      </c>
      <c r="B174" s="370" t="s">
        <v>2587</v>
      </c>
      <c r="C174" s="395"/>
      <c r="D174" s="618" t="s">
        <v>11</v>
      </c>
      <c r="E174" s="396">
        <v>45667</v>
      </c>
      <c r="F174" s="396">
        <v>45667</v>
      </c>
      <c r="G174" s="396"/>
      <c r="H174" s="396">
        <v>45673</v>
      </c>
      <c r="I174" s="374">
        <f ca="1">IF(ISBLANK(H174), NETWORKDAYS(F174, TODAY(),fESTIVOS!$A$1:$A$18), NETWORKDAYS(F174, H174, fESTIVOS!$A$1:$A$18))</f>
        <v>5</v>
      </c>
      <c r="J174" s="396"/>
      <c r="K174" s="396"/>
      <c r="L174" s="619" t="s">
        <v>2588</v>
      </c>
      <c r="M174" s="589"/>
      <c r="N174" s="354"/>
      <c r="O174" s="354"/>
      <c r="P174" s="354"/>
      <c r="Q174" s="354"/>
      <c r="R174" s="354"/>
      <c r="S174" s="354"/>
      <c r="T174" s="354"/>
      <c r="U174" s="354"/>
      <c r="V174" s="354"/>
      <c r="W174" s="354"/>
      <c r="X174" s="354"/>
      <c r="Y174" s="354"/>
      <c r="Z174" s="354"/>
    </row>
    <row r="175" spans="1:26" ht="15.75" customHeight="1">
      <c r="A175" s="377" t="s">
        <v>2239</v>
      </c>
      <c r="B175" s="747" t="s">
        <v>2589</v>
      </c>
      <c r="C175" s="395"/>
      <c r="D175" s="618" t="s">
        <v>11</v>
      </c>
      <c r="E175" s="396">
        <v>45677</v>
      </c>
      <c r="F175" s="396">
        <v>45677</v>
      </c>
      <c r="G175" s="396"/>
      <c r="H175" s="396">
        <v>45677</v>
      </c>
      <c r="I175" s="374">
        <f ca="1">IF(ISBLANK(H175), NETWORKDAYS(F175, TODAY(),fESTIVOS!$A$1:$A$18), NETWORKDAYS(F175, H175, fESTIVOS!$A$1:$A$18))</f>
        <v>1</v>
      </c>
      <c r="J175" s="396"/>
      <c r="K175" s="396">
        <v>45677</v>
      </c>
      <c r="L175" s="619"/>
      <c r="M175" s="589"/>
      <c r="N175" s="354"/>
      <c r="O175" s="354"/>
      <c r="P175" s="354"/>
      <c r="Q175" s="354"/>
      <c r="R175" s="354"/>
      <c r="S175" s="354"/>
      <c r="T175" s="354"/>
      <c r="U175" s="354"/>
      <c r="V175" s="354"/>
      <c r="W175" s="354"/>
      <c r="X175" s="354"/>
      <c r="Y175" s="354"/>
      <c r="Z175" s="354"/>
    </row>
    <row r="176" spans="1:26" ht="45" customHeight="1">
      <c r="A176" s="353" t="s">
        <v>1966</v>
      </c>
      <c r="B176" s="591" t="s">
        <v>2590</v>
      </c>
      <c r="C176" s="623"/>
      <c r="D176" s="365" t="s">
        <v>501</v>
      </c>
      <c r="E176" s="364">
        <v>45611</v>
      </c>
      <c r="F176" s="364">
        <v>45622</v>
      </c>
      <c r="G176" s="364">
        <v>45624</v>
      </c>
      <c r="H176" s="365"/>
      <c r="I176" s="366">
        <f ca="1">IF(ISBLANK(H176), NETWORKDAYS(F176, TODAY(),fESTIVOS!$A$1:$A$18), NETWORKDAYS(F176, H176, fESTIVOS!$A$1:$A$18))</f>
        <v>306</v>
      </c>
      <c r="J176" s="623"/>
      <c r="K176" s="623"/>
      <c r="L176" s="384" t="s">
        <v>2591</v>
      </c>
    </row>
    <row r="177" spans="1:33" ht="15.75" customHeight="1">
      <c r="A177" s="353" t="s">
        <v>1966</v>
      </c>
      <c r="B177" s="594"/>
      <c r="C177" s="361" t="s">
        <v>2592</v>
      </c>
      <c r="D177" s="365" t="s">
        <v>2360</v>
      </c>
      <c r="E177" s="364">
        <v>45611</v>
      </c>
      <c r="F177" s="364">
        <v>45624</v>
      </c>
      <c r="G177" s="364">
        <v>45624</v>
      </c>
      <c r="H177" s="364">
        <v>45628</v>
      </c>
      <c r="I177" s="366">
        <f ca="1">IF(ISBLANK(H177), NETWORKDAYS(F177, TODAY(),fESTIVOS!$A$1:$A$18), NETWORKDAYS(F177, H177, fESTIVOS!$A$1:$A$18))</f>
        <v>3</v>
      </c>
      <c r="J177" s="623"/>
      <c r="K177" s="583">
        <v>45631</v>
      </c>
      <c r="L177" s="756" t="s">
        <v>2593</v>
      </c>
    </row>
    <row r="178" spans="1:33" ht="15.75" customHeight="1">
      <c r="A178" s="353" t="s">
        <v>1966</v>
      </c>
      <c r="B178" s="538"/>
      <c r="C178" s="757" t="s">
        <v>2594</v>
      </c>
      <c r="D178" s="365" t="s">
        <v>2360</v>
      </c>
      <c r="E178" s="364">
        <v>45611</v>
      </c>
      <c r="F178" s="364">
        <v>45629</v>
      </c>
      <c r="G178" s="364">
        <v>45631</v>
      </c>
      <c r="H178" s="364"/>
      <c r="I178" s="366">
        <f ca="1">IF(ISBLANK(H178), NETWORKDAYS(F178, TODAY(),fESTIVOS!$A$1:$A$18), NETWORKDAYS(F178, H178, fESTIVOS!$A$1:$A$18))</f>
        <v>301</v>
      </c>
      <c r="J178" s="623"/>
      <c r="K178" s="583">
        <v>45658</v>
      </c>
      <c r="L178" s="756" t="s">
        <v>2595</v>
      </c>
    </row>
    <row r="179" spans="1:33" ht="15.75" customHeight="1">
      <c r="A179" s="691" t="s">
        <v>1966</v>
      </c>
      <c r="B179" s="709" t="s">
        <v>2596</v>
      </c>
      <c r="C179" s="691"/>
      <c r="D179" s="697" t="s">
        <v>76</v>
      </c>
      <c r="E179" s="698">
        <v>45644</v>
      </c>
      <c r="F179" s="698">
        <v>45644</v>
      </c>
      <c r="G179" s="699"/>
      <c r="H179" s="700">
        <v>45658</v>
      </c>
      <c r="I179" s="366">
        <f ca="1">IF(ISBLANK(H179), NETWORKDAYS(F179, TODAY(),fESTIVOS!$A$1:$A$18), NETWORKDAYS(F179, H179, fESTIVOS!$A$1:$A$18))</f>
        <v>10</v>
      </c>
      <c r="J179" s="700"/>
      <c r="K179" s="700"/>
      <c r="L179" s="701" t="s">
        <v>2597</v>
      </c>
      <c r="M179" s="726"/>
      <c r="N179" s="726"/>
      <c r="O179" s="726"/>
      <c r="P179" s="726"/>
      <c r="Q179" s="726"/>
      <c r="R179" s="726"/>
      <c r="S179" s="726"/>
      <c r="T179" s="726"/>
      <c r="U179" s="726"/>
      <c r="V179" s="726"/>
      <c r="W179" s="726"/>
      <c r="X179" s="726"/>
      <c r="Y179" s="726"/>
      <c r="Z179" s="726"/>
      <c r="AA179" s="727"/>
      <c r="AB179" s="727"/>
      <c r="AC179" s="727"/>
      <c r="AD179" s="727"/>
      <c r="AE179" s="727"/>
      <c r="AF179" s="727"/>
      <c r="AG179" s="727"/>
    </row>
    <row r="180" spans="1:33" ht="15.75" customHeight="1">
      <c r="A180" s="392" t="s">
        <v>1991</v>
      </c>
      <c r="B180" s="377" t="s">
        <v>2598</v>
      </c>
      <c r="C180" s="387" t="s">
        <v>2599</v>
      </c>
      <c r="D180" s="371" t="s">
        <v>2360</v>
      </c>
      <c r="E180" s="396">
        <v>45667</v>
      </c>
      <c r="F180" s="396">
        <v>45667</v>
      </c>
      <c r="G180" s="396">
        <v>45670</v>
      </c>
      <c r="H180" s="396">
        <v>45672</v>
      </c>
      <c r="I180" s="374">
        <f ca="1">IF(ISBLANK(H180), NETWORKDAYS(F180, TODAY(),fESTIVOS!$A$1:$A$18), NETWORKDAYS(F180, H180, fESTIVOS!$A$1:$A$18))</f>
        <v>4</v>
      </c>
      <c r="J180" s="396">
        <v>45672</v>
      </c>
      <c r="K180" s="396">
        <v>45678</v>
      </c>
      <c r="L180" s="714" t="s">
        <v>2600</v>
      </c>
      <c r="M180" s="589"/>
      <c r="N180" s="354"/>
      <c r="O180" s="354"/>
      <c r="P180" s="354"/>
      <c r="Q180" s="354"/>
      <c r="R180" s="354"/>
      <c r="S180" s="354"/>
      <c r="T180" s="354"/>
      <c r="U180" s="354"/>
      <c r="V180" s="354"/>
      <c r="W180" s="354"/>
      <c r="X180" s="354"/>
      <c r="Y180" s="354"/>
      <c r="Z180" s="354"/>
    </row>
    <row r="181" spans="1:33" ht="15.75" customHeight="1">
      <c r="A181" s="377" t="s">
        <v>2239</v>
      </c>
      <c r="B181" s="370" t="s">
        <v>2601</v>
      </c>
      <c r="C181" s="395"/>
      <c r="D181" s="618" t="s">
        <v>76</v>
      </c>
      <c r="E181" s="396">
        <v>45678</v>
      </c>
      <c r="F181" s="396">
        <v>45678</v>
      </c>
      <c r="G181" s="396"/>
      <c r="H181" s="396">
        <v>45679</v>
      </c>
      <c r="I181" s="374">
        <f ca="1">IF(ISBLANK(H181), NETWORKDAYS(F181, TODAY(),fESTIVOS!$A$1:$A$18), NETWORKDAYS(F181, H181, fESTIVOS!$A$1:$A$18))</f>
        <v>2</v>
      </c>
      <c r="J181" s="396"/>
      <c r="K181" s="396"/>
      <c r="L181" s="619" t="s">
        <v>2602</v>
      </c>
      <c r="M181" s="589"/>
      <c r="N181" s="354"/>
      <c r="O181" s="354"/>
      <c r="P181" s="354"/>
      <c r="Q181" s="354"/>
      <c r="R181" s="354"/>
      <c r="S181" s="354"/>
      <c r="T181" s="354"/>
      <c r="U181" s="354"/>
      <c r="V181" s="354"/>
      <c r="W181" s="354"/>
      <c r="X181" s="354"/>
      <c r="Y181" s="354"/>
      <c r="Z181" s="354"/>
    </row>
    <row r="182" spans="1:33" ht="15.75" customHeight="1">
      <c r="A182" s="377" t="s">
        <v>2239</v>
      </c>
      <c r="B182" s="370" t="s">
        <v>2603</v>
      </c>
      <c r="C182" s="395"/>
      <c r="D182" s="618" t="s">
        <v>2604</v>
      </c>
      <c r="E182" s="396">
        <v>45671</v>
      </c>
      <c r="F182" s="396">
        <v>45671</v>
      </c>
      <c r="G182" s="396"/>
      <c r="H182" s="396">
        <v>45680</v>
      </c>
      <c r="I182" s="374">
        <f ca="1">IF(ISBLANK(H182), NETWORKDAYS(F182, TODAY(),fESTIVOS!$A$1:$A$18), NETWORKDAYS(F182, H182, fESTIVOS!$A$1:$A$18))</f>
        <v>8</v>
      </c>
      <c r="J182" s="396"/>
      <c r="K182" s="396">
        <v>45680</v>
      </c>
      <c r="L182" s="619" t="s">
        <v>2605</v>
      </c>
      <c r="M182" s="589"/>
      <c r="N182" s="354"/>
      <c r="O182" s="354"/>
      <c r="P182" s="354"/>
      <c r="Q182" s="354"/>
      <c r="R182" s="354"/>
      <c r="S182" s="354"/>
      <c r="T182" s="354"/>
      <c r="U182" s="354"/>
      <c r="V182" s="354"/>
      <c r="W182" s="354"/>
      <c r="X182" s="354"/>
      <c r="Y182" s="354"/>
      <c r="Z182" s="354"/>
    </row>
    <row r="183" spans="1:33" ht="15.75" customHeight="1">
      <c r="A183" s="368" t="s">
        <v>1973</v>
      </c>
      <c r="B183" s="712" t="s">
        <v>2606</v>
      </c>
      <c r="C183" s="617"/>
      <c r="D183" s="371" t="s">
        <v>2360</v>
      </c>
      <c r="E183" s="396">
        <v>45664</v>
      </c>
      <c r="F183" s="396">
        <v>45664</v>
      </c>
      <c r="G183" s="396">
        <v>45665</v>
      </c>
      <c r="H183" s="396">
        <v>45666</v>
      </c>
      <c r="I183" s="374">
        <f ca="1">IF(ISBLANK(H183), NETWORKDAYS(F183, TODAY(),fESTIVOS!$A$1:$A$18), NETWORKDAYS(F183, H183, fESTIVOS!$A$1:$A$18))</f>
        <v>3</v>
      </c>
      <c r="J183" s="396">
        <v>45666</v>
      </c>
      <c r="K183" s="396">
        <v>45674</v>
      </c>
      <c r="L183" s="619" t="s">
        <v>2607</v>
      </c>
      <c r="M183" s="589"/>
      <c r="N183" s="354"/>
      <c r="O183" s="354"/>
      <c r="P183" s="354"/>
      <c r="Q183" s="354"/>
      <c r="R183" s="354"/>
      <c r="S183" s="354"/>
      <c r="T183" s="354"/>
      <c r="U183" s="354"/>
      <c r="V183" s="354"/>
      <c r="W183" s="354"/>
      <c r="X183" s="354"/>
      <c r="Y183" s="354"/>
      <c r="Z183" s="354"/>
    </row>
    <row r="184" spans="1:33" ht="15.75" customHeight="1">
      <c r="A184" s="570" t="s">
        <v>1966</v>
      </c>
      <c r="B184" s="758" t="s">
        <v>1435</v>
      </c>
      <c r="C184" s="572"/>
      <c r="D184" s="586" t="s">
        <v>2360</v>
      </c>
      <c r="E184" s="364">
        <v>45307</v>
      </c>
      <c r="F184" s="364">
        <v>45677</v>
      </c>
      <c r="G184" s="364"/>
      <c r="H184" s="364">
        <v>45678</v>
      </c>
      <c r="I184" s="366">
        <f ca="1">IF(ISBLANK(H184), NETWORKDAYS(F184, TODAY(),fESTIVOS!$A$1:$A$18), NETWORKDAYS(F184, H184, fESTIVOS!$A$1:$A$18))</f>
        <v>2</v>
      </c>
      <c r="J184" s="364"/>
      <c r="K184" s="364">
        <v>45680</v>
      </c>
      <c r="L184" s="367"/>
      <c r="M184" s="354"/>
      <c r="N184" s="354"/>
      <c r="O184" s="354"/>
      <c r="P184" s="354"/>
      <c r="Q184" s="354"/>
      <c r="R184" s="354"/>
      <c r="S184" s="354"/>
      <c r="T184" s="354"/>
      <c r="U184" s="354"/>
      <c r="V184" s="354"/>
      <c r="W184" s="354"/>
      <c r="X184" s="354"/>
      <c r="Y184" s="354"/>
      <c r="Z184" s="354"/>
    </row>
    <row r="185" spans="1:33" ht="15.75" customHeight="1">
      <c r="A185" s="353" t="s">
        <v>1966</v>
      </c>
      <c r="B185" s="759" t="s">
        <v>2608</v>
      </c>
      <c r="C185" s="572"/>
      <c r="D185" s="586" t="s">
        <v>2360</v>
      </c>
      <c r="E185" s="364">
        <v>45678</v>
      </c>
      <c r="F185" s="364">
        <v>45677</v>
      </c>
      <c r="G185" s="364"/>
      <c r="H185" s="364">
        <v>45680</v>
      </c>
      <c r="I185" s="366">
        <f ca="1">IF(ISBLANK(H185), NETWORKDAYS(F185, TODAY(),fESTIVOS!$A$1:$A$18), NETWORKDAYS(F185, H185, fESTIVOS!$A$1:$A$18))</f>
        <v>4</v>
      </c>
      <c r="J185" s="364"/>
      <c r="K185" s="364">
        <v>45680</v>
      </c>
      <c r="L185" s="367"/>
      <c r="M185" s="354"/>
      <c r="N185" s="354"/>
      <c r="O185" s="354"/>
      <c r="P185" s="354"/>
      <c r="Q185" s="354"/>
      <c r="R185" s="354"/>
      <c r="S185" s="354"/>
      <c r="T185" s="354"/>
      <c r="U185" s="354"/>
      <c r="V185" s="354"/>
      <c r="W185" s="354"/>
      <c r="X185" s="354"/>
      <c r="Y185" s="354"/>
      <c r="Z185" s="354"/>
    </row>
    <row r="186" spans="1:33" ht="15.75" customHeight="1">
      <c r="A186" s="353" t="s">
        <v>1966</v>
      </c>
      <c r="B186" s="760" t="s">
        <v>2609</v>
      </c>
      <c r="C186" s="572" t="s">
        <v>2610</v>
      </c>
      <c r="D186" s="586" t="s">
        <v>2360</v>
      </c>
      <c r="E186" s="364">
        <v>45678</v>
      </c>
      <c r="F186" s="364">
        <v>45680</v>
      </c>
      <c r="G186" s="364"/>
      <c r="H186" s="364">
        <v>45680</v>
      </c>
      <c r="I186" s="366">
        <f ca="1">IF(ISBLANK(H186), NETWORKDAYS(F186, TODAY(),fESTIVOS!$A$1:$A$18), NETWORKDAYS(F186, H186, fESTIVOS!$A$1:$A$18))</f>
        <v>1</v>
      </c>
      <c r="J186" s="364"/>
      <c r="K186" s="364">
        <v>45680</v>
      </c>
      <c r="L186" s="367"/>
      <c r="M186" s="354"/>
      <c r="N186" s="354"/>
      <c r="O186" s="354"/>
      <c r="P186" s="354"/>
      <c r="Q186" s="354"/>
      <c r="R186" s="354"/>
      <c r="S186" s="354"/>
      <c r="T186" s="354"/>
      <c r="U186" s="354"/>
      <c r="V186" s="354"/>
      <c r="W186" s="354"/>
      <c r="X186" s="354"/>
      <c r="Y186" s="354"/>
      <c r="Z186" s="354"/>
    </row>
    <row r="187" spans="1:33" ht="15.75" customHeight="1">
      <c r="A187" s="353" t="s">
        <v>1966</v>
      </c>
      <c r="B187" s="759" t="s">
        <v>2611</v>
      </c>
      <c r="C187" s="572"/>
      <c r="D187" s="586" t="s">
        <v>2360</v>
      </c>
      <c r="E187" s="364">
        <v>45678</v>
      </c>
      <c r="F187" s="364">
        <v>45680</v>
      </c>
      <c r="G187" s="364"/>
      <c r="H187" s="364">
        <v>45680</v>
      </c>
      <c r="I187" s="366">
        <f ca="1">IF(ISBLANK(H187), NETWORKDAYS(F187, TODAY(),fESTIVOS!$A$1:$A$18), NETWORKDAYS(F187, H187, fESTIVOS!$A$1:$A$18))</f>
        <v>1</v>
      </c>
      <c r="J187" s="364"/>
      <c r="K187" s="364">
        <v>45680</v>
      </c>
      <c r="L187" s="367"/>
      <c r="M187" s="354"/>
      <c r="N187" s="354"/>
      <c r="O187" s="354"/>
      <c r="P187" s="354"/>
      <c r="Q187" s="354"/>
      <c r="R187" s="354"/>
      <c r="S187" s="354"/>
      <c r="T187" s="354"/>
      <c r="U187" s="354"/>
      <c r="V187" s="354"/>
      <c r="W187" s="354"/>
      <c r="X187" s="354"/>
      <c r="Y187" s="354"/>
      <c r="Z187" s="354"/>
    </row>
    <row r="188" spans="1:33" ht="15.75" customHeight="1">
      <c r="A188" s="353" t="s">
        <v>1966</v>
      </c>
      <c r="B188" s="759" t="s">
        <v>2612</v>
      </c>
      <c r="C188" s="572"/>
      <c r="D188" s="586" t="s">
        <v>2360</v>
      </c>
      <c r="E188" s="364">
        <v>45678</v>
      </c>
      <c r="F188" s="364">
        <v>45680</v>
      </c>
      <c r="G188" s="364"/>
      <c r="H188" s="364">
        <v>45680</v>
      </c>
      <c r="I188" s="366">
        <f ca="1">IF(ISBLANK(H188), NETWORKDAYS(F188, TODAY(),fESTIVOS!$A$1:$A$18), NETWORKDAYS(F188, H188, fESTIVOS!$A$1:$A$18))</f>
        <v>1</v>
      </c>
      <c r="J188" s="364"/>
      <c r="K188" s="364">
        <v>45680</v>
      </c>
      <c r="L188" s="367"/>
      <c r="M188" s="354"/>
      <c r="N188" s="354"/>
      <c r="O188" s="354"/>
      <c r="P188" s="354"/>
      <c r="Q188" s="354"/>
      <c r="R188" s="354"/>
      <c r="S188" s="354"/>
      <c r="T188" s="354"/>
      <c r="U188" s="354"/>
      <c r="V188" s="354"/>
      <c r="W188" s="354"/>
      <c r="X188" s="354"/>
      <c r="Y188" s="354"/>
      <c r="Z188" s="354"/>
    </row>
    <row r="189" spans="1:33" ht="15.75" customHeight="1">
      <c r="A189" s="392" t="s">
        <v>1991</v>
      </c>
      <c r="B189" s="747" t="s">
        <v>2613</v>
      </c>
      <c r="C189" s="761" t="s">
        <v>2614</v>
      </c>
      <c r="D189" s="371" t="s">
        <v>2615</v>
      </c>
      <c r="E189" s="396">
        <v>45667</v>
      </c>
      <c r="F189" s="762">
        <v>45670</v>
      </c>
      <c r="G189" s="395"/>
      <c r="H189" s="762">
        <v>45674</v>
      </c>
      <c r="I189" s="374">
        <f ca="1">IF(ISBLANK(H189), NETWORKDAYS(F189, TODAY(),fESTIVOS!$A$1:$A$18), NETWORKDAYS(F189, H189, fESTIVOS!$A$1:$A$18))</f>
        <v>5</v>
      </c>
      <c r="J189" s="395"/>
      <c r="K189" s="395"/>
      <c r="L189" s="395" t="s">
        <v>2616</v>
      </c>
    </row>
    <row r="190" spans="1:33" ht="15.75" customHeight="1">
      <c r="A190" s="353" t="s">
        <v>1966</v>
      </c>
      <c r="B190" s="759" t="s">
        <v>2617</v>
      </c>
      <c r="C190" s="572"/>
      <c r="D190" s="586" t="s">
        <v>2360</v>
      </c>
      <c r="E190" s="364">
        <v>45678</v>
      </c>
      <c r="F190" s="364">
        <v>45681</v>
      </c>
      <c r="G190" s="364"/>
      <c r="H190" s="364">
        <v>45681</v>
      </c>
      <c r="I190" s="366">
        <f ca="1">IF(ISBLANK(H190), NETWORKDAYS(F190, TODAY(),fESTIVOS!$A$1:$A$18), NETWORKDAYS(F190, H190, fESTIVOS!$A$1:$A$18))</f>
        <v>1</v>
      </c>
      <c r="J190" s="364">
        <v>45686</v>
      </c>
      <c r="K190" s="364">
        <v>45686</v>
      </c>
      <c r="L190" s="367" t="s">
        <v>2618</v>
      </c>
      <c r="M190" s="354"/>
      <c r="N190" s="354"/>
      <c r="O190" s="354"/>
      <c r="P190" s="354"/>
      <c r="Q190" s="354"/>
      <c r="R190" s="354"/>
      <c r="S190" s="354"/>
      <c r="T190" s="354"/>
      <c r="U190" s="354"/>
      <c r="V190" s="354"/>
      <c r="W190" s="354"/>
      <c r="X190" s="354"/>
      <c r="Y190" s="354"/>
      <c r="Z190" s="354"/>
    </row>
    <row r="191" spans="1:33" ht="15.75" customHeight="1">
      <c r="A191" s="377" t="s">
        <v>1981</v>
      </c>
      <c r="B191" s="392" t="s">
        <v>2619</v>
      </c>
      <c r="C191" s="392"/>
      <c r="D191" s="371" t="s">
        <v>2360</v>
      </c>
      <c r="E191" s="396">
        <v>45666</v>
      </c>
      <c r="F191" s="378">
        <v>45685</v>
      </c>
      <c r="G191" s="371" t="s">
        <v>2620</v>
      </c>
      <c r="H191" s="378">
        <v>45686</v>
      </c>
      <c r="I191" s="374">
        <f ca="1">IF(ISBLANK(H191), NETWORKDAYS(F191, TODAY(),fESTIVOS!$A$1:$A$18), NETWORKDAYS(F191, H191, fESTIVOS!$A$1:$A$18))</f>
        <v>2</v>
      </c>
      <c r="J191" s="378">
        <v>45686</v>
      </c>
      <c r="K191" s="378">
        <v>45688</v>
      </c>
      <c r="L191" s="677" t="s">
        <v>2621</v>
      </c>
      <c r="M191" s="589"/>
      <c r="N191" s="354"/>
      <c r="O191" s="354"/>
      <c r="P191" s="354"/>
      <c r="Q191" s="354"/>
      <c r="R191" s="354"/>
      <c r="S191" s="354"/>
      <c r="T191" s="354"/>
      <c r="U191" s="354"/>
      <c r="V191" s="354"/>
      <c r="W191" s="354"/>
      <c r="X191" s="354"/>
      <c r="Y191" s="354"/>
      <c r="Z191" s="354"/>
    </row>
    <row r="192" spans="1:33" ht="15.75" customHeight="1">
      <c r="A192" s="377" t="s">
        <v>2239</v>
      </c>
      <c r="B192" s="370" t="s">
        <v>2622</v>
      </c>
      <c r="C192" s="395"/>
      <c r="D192" s="618" t="s">
        <v>76</v>
      </c>
      <c r="E192" s="396">
        <v>45687</v>
      </c>
      <c r="F192" s="396">
        <v>45687</v>
      </c>
      <c r="G192" s="396"/>
      <c r="H192" s="396">
        <v>45687</v>
      </c>
      <c r="I192" s="374">
        <f ca="1">IF(ISBLANK(H192), NETWORKDAYS(F192, TODAY(),fESTIVOS!$A$1:$A$18), NETWORKDAYS(F192, H192, fESTIVOS!$A$1:$A$18))</f>
        <v>1</v>
      </c>
      <c r="J192" s="396"/>
      <c r="K192" s="396"/>
      <c r="L192" s="619" t="s">
        <v>2623</v>
      </c>
      <c r="M192" s="589"/>
      <c r="N192" s="354"/>
      <c r="O192" s="354"/>
      <c r="P192" s="354"/>
      <c r="Q192" s="354"/>
      <c r="R192" s="354"/>
      <c r="S192" s="354"/>
      <c r="T192" s="354"/>
      <c r="U192" s="354"/>
      <c r="V192" s="354"/>
      <c r="W192" s="354"/>
      <c r="X192" s="354"/>
      <c r="Y192" s="354"/>
      <c r="Z192" s="354"/>
    </row>
    <row r="193" spans="1:26" ht="15.75" customHeight="1">
      <c r="A193" s="392" t="s">
        <v>1991</v>
      </c>
      <c r="B193" s="392" t="s">
        <v>2624</v>
      </c>
      <c r="C193" s="394"/>
      <c r="D193" s="618" t="s">
        <v>2360</v>
      </c>
      <c r="E193" s="396">
        <v>45685</v>
      </c>
      <c r="F193" s="397">
        <v>45685</v>
      </c>
      <c r="G193" s="394"/>
      <c r="H193" s="763">
        <v>45687</v>
      </c>
      <c r="I193" s="374">
        <f ca="1">IF(ISBLANK(H193), NETWORKDAYS(F193, TODAY(),fESTIVOS!$A$1:$A$18), NETWORKDAYS(F193, H193, fESTIVOS!$A$1:$A$18))</f>
        <v>3</v>
      </c>
      <c r="J193" s="763">
        <v>45687</v>
      </c>
      <c r="K193" s="763">
        <v>45687</v>
      </c>
      <c r="L193" s="398" t="s">
        <v>2625</v>
      </c>
      <c r="M193" s="399"/>
      <c r="N193" s="399"/>
      <c r="O193" s="399"/>
      <c r="P193" s="399"/>
      <c r="Q193" s="399"/>
      <c r="R193" s="399"/>
      <c r="S193" s="399"/>
      <c r="T193" s="399"/>
      <c r="U193" s="399"/>
      <c r="V193" s="399"/>
      <c r="W193" s="399"/>
      <c r="X193" s="399"/>
      <c r="Y193" s="399"/>
      <c r="Z193" s="399"/>
    </row>
    <row r="194" spans="1:26" ht="15" customHeight="1">
      <c r="A194" s="392" t="s">
        <v>1991</v>
      </c>
      <c r="B194" s="747" t="s">
        <v>2613</v>
      </c>
      <c r="C194" s="666" t="s">
        <v>2626</v>
      </c>
      <c r="D194" s="371" t="s">
        <v>2615</v>
      </c>
      <c r="E194" s="396">
        <v>45681</v>
      </c>
      <c r="F194" s="396">
        <v>45681</v>
      </c>
      <c r="G194" s="396"/>
      <c r="H194" s="396">
        <v>45681</v>
      </c>
      <c r="I194" s="374">
        <f ca="1">IF(ISBLANK(H194), NETWORKDAYS(F194, TODAY(),fESTIVOS!$A$1:$A$18), NETWORKDAYS(F194, H194, fESTIVOS!$A$1:$A$18))</f>
        <v>1</v>
      </c>
      <c r="J194" s="396">
        <v>45681</v>
      </c>
      <c r="K194" s="396"/>
      <c r="L194" s="619"/>
    </row>
    <row r="195" spans="1:26" ht="15.75" customHeight="1">
      <c r="A195" s="377" t="s">
        <v>1981</v>
      </c>
      <c r="B195" s="377" t="s">
        <v>2627</v>
      </c>
      <c r="C195" s="392"/>
      <c r="D195" s="371" t="s">
        <v>76</v>
      </c>
      <c r="E195" s="396">
        <v>45685</v>
      </c>
      <c r="F195" s="378">
        <v>45685</v>
      </c>
      <c r="G195" s="371"/>
      <c r="H195" s="378">
        <v>45688</v>
      </c>
      <c r="I195" s="374">
        <f ca="1">IF(ISBLANK(H195), NETWORKDAYS(F195, TODAY(),fESTIVOS!$A$1:$A$18), NETWORKDAYS(F195, H195, fESTIVOS!$A$1:$A$18))</f>
        <v>4</v>
      </c>
      <c r="J195" s="378">
        <v>45688</v>
      </c>
      <c r="K195" s="378">
        <v>45688</v>
      </c>
      <c r="L195" s="677" t="s">
        <v>2628</v>
      </c>
      <c r="M195" s="589"/>
      <c r="N195" s="354"/>
      <c r="O195" s="354"/>
      <c r="P195" s="354"/>
      <c r="Q195" s="354"/>
      <c r="R195" s="354"/>
      <c r="S195" s="354"/>
      <c r="T195" s="354"/>
      <c r="U195" s="354"/>
      <c r="V195" s="354"/>
      <c r="W195" s="354"/>
      <c r="X195" s="354"/>
      <c r="Y195" s="354"/>
      <c r="Z195" s="354"/>
    </row>
    <row r="196" spans="1:26" ht="15.75" customHeight="1">
      <c r="A196" s="764" t="s">
        <v>1966</v>
      </c>
      <c r="B196" s="765" t="s">
        <v>2629</v>
      </c>
      <c r="C196" s="766"/>
      <c r="D196" s="767" t="s">
        <v>2360</v>
      </c>
      <c r="E196" s="768">
        <v>45610</v>
      </c>
      <c r="F196" s="768">
        <v>45629</v>
      </c>
      <c r="G196" s="768"/>
      <c r="H196" s="768">
        <v>45636</v>
      </c>
      <c r="I196" s="769">
        <f ca="1">IF(ISBLANK(H196), NETWORKDAYS(F196, TODAY(),fESTIVOS!$A$1:$A$18), NETWORKDAYS(F196, H196, fESTIVOS!$A$1:$A$18))</f>
        <v>6</v>
      </c>
      <c r="J196" s="768">
        <v>45636</v>
      </c>
      <c r="K196" s="768">
        <v>45691</v>
      </c>
      <c r="L196" s="770" t="s">
        <v>2630</v>
      </c>
      <c r="M196" s="354"/>
      <c r="N196" s="354"/>
      <c r="O196" s="354"/>
      <c r="P196" s="354"/>
      <c r="Q196" s="354"/>
      <c r="R196" s="354"/>
      <c r="S196" s="354"/>
      <c r="T196" s="354"/>
      <c r="U196" s="354"/>
      <c r="V196" s="354"/>
      <c r="W196" s="354"/>
      <c r="X196" s="354"/>
      <c r="Y196" s="354"/>
      <c r="Z196" s="354"/>
    </row>
    <row r="197" spans="1:26" ht="15.75" customHeight="1">
      <c r="A197" s="771" t="s">
        <v>1966</v>
      </c>
      <c r="B197" s="591" t="s">
        <v>2631</v>
      </c>
      <c r="C197" s="601" t="s">
        <v>2632</v>
      </c>
      <c r="D197" s="602" t="s">
        <v>2360</v>
      </c>
      <c r="E197" s="634">
        <v>45688</v>
      </c>
      <c r="F197" s="634">
        <v>45688</v>
      </c>
      <c r="G197" s="634"/>
      <c r="H197" s="634">
        <v>45688</v>
      </c>
      <c r="I197" s="579">
        <f ca="1">IF(ISBLANK(H197), NETWORKDAYS(F197, TODAY(),fESTIVOS!$A$1:$A$18), NETWORKDAYS(F197, H197, fESTIVOS!$A$1:$A$18))</f>
        <v>1</v>
      </c>
      <c r="J197" s="634"/>
      <c r="K197" s="634">
        <v>45688</v>
      </c>
      <c r="L197" s="772" t="s">
        <v>2633</v>
      </c>
      <c r="M197" s="354"/>
      <c r="N197" s="354"/>
      <c r="O197" s="354"/>
      <c r="P197" s="354"/>
      <c r="Q197" s="354"/>
      <c r="R197" s="354"/>
      <c r="S197" s="354"/>
      <c r="T197" s="354"/>
      <c r="U197" s="354"/>
      <c r="V197" s="354"/>
      <c r="W197" s="354"/>
      <c r="X197" s="354"/>
      <c r="Y197" s="354"/>
      <c r="Z197" s="354"/>
    </row>
    <row r="198" spans="1:26" ht="15.75" customHeight="1">
      <c r="A198" s="771" t="s">
        <v>1966</v>
      </c>
      <c r="B198" s="600"/>
      <c r="C198" s="773" t="s">
        <v>2634</v>
      </c>
      <c r="D198" s="602" t="s">
        <v>2360</v>
      </c>
      <c r="E198" s="634">
        <v>45555</v>
      </c>
      <c r="F198" s="634">
        <v>45555</v>
      </c>
      <c r="G198" s="634"/>
      <c r="H198" s="634">
        <v>45688</v>
      </c>
      <c r="I198" s="579">
        <f ca="1">IF(ISBLANK(H198), NETWORKDAYS(F198, TODAY(),fESTIVOS!$A$1:$A$18), NETWORKDAYS(F198, H198, fESTIVOS!$A$1:$A$18))</f>
        <v>92</v>
      </c>
      <c r="J198" s="634"/>
      <c r="K198" s="634">
        <v>45688</v>
      </c>
      <c r="L198" s="635" t="s">
        <v>2635</v>
      </c>
      <c r="M198" s="354"/>
      <c r="N198" s="354"/>
      <c r="O198" s="354"/>
      <c r="P198" s="354"/>
      <c r="Q198" s="354"/>
      <c r="R198" s="354"/>
      <c r="S198" s="354"/>
      <c r="T198" s="354"/>
      <c r="U198" s="354"/>
      <c r="V198" s="354"/>
      <c r="W198" s="354"/>
      <c r="X198" s="354"/>
      <c r="Y198" s="354"/>
      <c r="Z198" s="354"/>
    </row>
    <row r="199" spans="1:26" ht="15.75" customHeight="1">
      <c r="A199" s="353" t="s">
        <v>1966</v>
      </c>
      <c r="B199" s="600"/>
      <c r="C199" s="774" t="s">
        <v>2636</v>
      </c>
      <c r="D199" s="602" t="s">
        <v>2360</v>
      </c>
      <c r="E199" s="364">
        <v>45566</v>
      </c>
      <c r="F199" s="364">
        <v>45568</v>
      </c>
      <c r="G199" s="364"/>
      <c r="H199" s="634">
        <v>45688</v>
      </c>
      <c r="I199" s="366">
        <f ca="1">IF(ISBLANK(H199), NETWORKDAYS(F199, TODAY(),fESTIVOS!$A$1:$A$18), NETWORKDAYS(F199, H199, fESTIVOS!$A$1:$A$18))</f>
        <v>83</v>
      </c>
      <c r="J199" s="364"/>
      <c r="K199" s="634">
        <v>45688</v>
      </c>
      <c r="L199" s="367" t="s">
        <v>2637</v>
      </c>
      <c r="M199" s="354"/>
      <c r="N199" s="354"/>
      <c r="O199" s="354"/>
      <c r="P199" s="354"/>
      <c r="Q199" s="354"/>
      <c r="R199" s="354"/>
      <c r="S199" s="354"/>
      <c r="T199" s="354"/>
      <c r="U199" s="354"/>
      <c r="V199" s="354"/>
      <c r="W199" s="354"/>
      <c r="X199" s="354"/>
      <c r="Y199" s="354"/>
      <c r="Z199" s="354"/>
    </row>
    <row r="200" spans="1:26" ht="15.75" customHeight="1">
      <c r="A200" s="353" t="s">
        <v>1966</v>
      </c>
      <c r="B200" s="715"/>
      <c r="C200" s="774" t="s">
        <v>2638</v>
      </c>
      <c r="D200" s="602" t="s">
        <v>2360</v>
      </c>
      <c r="E200" s="364">
        <v>45566</v>
      </c>
      <c r="F200" s="364">
        <v>45566</v>
      </c>
      <c r="G200" s="364"/>
      <c r="H200" s="634">
        <v>45688</v>
      </c>
      <c r="I200" s="366">
        <f ca="1">IF(ISBLANK(H200), NETWORKDAYS(F200, TODAY(),fESTIVOS!$A$1:$A$18), NETWORKDAYS(F200, H200, fESTIVOS!$A$1:$A$18))</f>
        <v>85</v>
      </c>
      <c r="J200" s="364"/>
      <c r="K200" s="634">
        <v>45688</v>
      </c>
      <c r="L200" s="587" t="s">
        <v>2639</v>
      </c>
      <c r="M200" s="354"/>
      <c r="N200" s="354"/>
      <c r="O200" s="354"/>
      <c r="P200" s="354"/>
      <c r="Q200" s="354"/>
      <c r="R200" s="354"/>
      <c r="S200" s="354"/>
      <c r="T200" s="354"/>
      <c r="U200" s="354"/>
      <c r="V200" s="354"/>
      <c r="W200" s="354"/>
      <c r="X200" s="354"/>
      <c r="Y200" s="354"/>
      <c r="Z200" s="354"/>
    </row>
    <row r="201" spans="1:26" ht="15.75" customHeight="1">
      <c r="A201" s="353" t="s">
        <v>1966</v>
      </c>
      <c r="B201" s="387" t="s">
        <v>2640</v>
      </c>
      <c r="C201" s="572"/>
      <c r="D201" s="586" t="s">
        <v>2360</v>
      </c>
      <c r="E201" s="364">
        <v>45386</v>
      </c>
      <c r="F201" s="364">
        <v>45386</v>
      </c>
      <c r="G201" s="364"/>
      <c r="H201" s="364">
        <v>45688</v>
      </c>
      <c r="I201" s="366">
        <f ca="1">IF(ISBLANK(H201), NETWORKDAYS(F201, TODAY(),fESTIVOS!$A$1:$A$18), NETWORKDAYS(F201, H201, fESTIVOS!$A$1:$A$18))</f>
        <v>206</v>
      </c>
      <c r="J201" s="364"/>
      <c r="K201" s="364">
        <v>45688</v>
      </c>
      <c r="L201" s="367" t="s">
        <v>2641</v>
      </c>
      <c r="M201" s="354"/>
      <c r="N201" s="354"/>
      <c r="O201" s="354"/>
      <c r="P201" s="354"/>
      <c r="Q201" s="354"/>
      <c r="R201" s="354"/>
      <c r="S201" s="354"/>
      <c r="T201" s="354"/>
      <c r="U201" s="354"/>
      <c r="V201" s="354"/>
      <c r="W201" s="354"/>
      <c r="X201" s="354"/>
      <c r="Y201" s="354"/>
      <c r="Z201" s="354"/>
    </row>
    <row r="202" spans="1:26" ht="15.75" customHeight="1">
      <c r="A202" s="588" t="s">
        <v>2239</v>
      </c>
      <c r="B202" s="591" t="s">
        <v>2579</v>
      </c>
      <c r="C202" s="682"/>
      <c r="D202" s="618" t="s">
        <v>2360</v>
      </c>
      <c r="E202" s="364">
        <v>45602</v>
      </c>
      <c r="F202" s="636">
        <v>45624</v>
      </c>
      <c r="G202" s="364">
        <v>45630</v>
      </c>
      <c r="H202" s="364">
        <v>45646</v>
      </c>
      <c r="I202" s="366">
        <f ca="1">IF(ISBLANK(H202), NETWORKDAYS(F202, TODAY(),fESTIVOS!$A$1:$A$18), NETWORKDAYS(F202, H202, fESTIVOS!$A$1:$A$18))</f>
        <v>17</v>
      </c>
      <c r="J202" s="364">
        <v>45646</v>
      </c>
      <c r="K202" s="636">
        <v>45692</v>
      </c>
      <c r="L202" s="584" t="s">
        <v>2642</v>
      </c>
      <c r="M202" s="624"/>
      <c r="N202" s="360"/>
      <c r="O202" s="360"/>
      <c r="P202" s="360"/>
      <c r="Q202" s="360"/>
      <c r="R202" s="360"/>
      <c r="S202" s="360"/>
      <c r="T202" s="360"/>
      <c r="U202" s="360"/>
      <c r="V202" s="360"/>
      <c r="W202" s="360"/>
      <c r="X202" s="360"/>
      <c r="Y202" s="360"/>
      <c r="Z202" s="360"/>
    </row>
    <row r="203" spans="1:26" ht="15" customHeight="1">
      <c r="A203" s="588" t="s">
        <v>2239</v>
      </c>
      <c r="B203" s="600"/>
      <c r="C203" s="538" t="s">
        <v>2643</v>
      </c>
      <c r="D203" s="602" t="s">
        <v>501</v>
      </c>
      <c r="E203" s="634">
        <v>45602</v>
      </c>
      <c r="F203" s="603">
        <v>45625</v>
      </c>
      <c r="G203" s="634"/>
      <c r="H203" s="602"/>
      <c r="I203" s="640">
        <f ca="1">IF(ISBLANK(H203), NETWORKDAYS(F203, TODAY(),fESTIVOS!$A$1:$A$18), NETWORKDAYS(F203, H203, fESTIVOS!$A$1:$A$18))</f>
        <v>303</v>
      </c>
      <c r="J203" s="612"/>
      <c r="K203" s="612"/>
      <c r="L203" s="604" t="s">
        <v>2644</v>
      </c>
      <c r="M203" s="624"/>
      <c r="N203" s="360"/>
      <c r="O203" s="360"/>
      <c r="P203" s="360"/>
      <c r="Q203" s="360"/>
      <c r="R203" s="360"/>
      <c r="S203" s="360"/>
      <c r="T203" s="360"/>
      <c r="U203" s="360"/>
      <c r="V203" s="360"/>
      <c r="W203" s="360"/>
      <c r="X203" s="360"/>
      <c r="Y203" s="360"/>
      <c r="Z203" s="360"/>
    </row>
    <row r="204" spans="1:26" ht="15.75" customHeight="1">
      <c r="A204" s="588" t="s">
        <v>2239</v>
      </c>
      <c r="B204" s="600"/>
      <c r="C204" s="775" t="s">
        <v>2645</v>
      </c>
      <c r="D204" s="365" t="s">
        <v>76</v>
      </c>
      <c r="E204" s="662">
        <v>45632</v>
      </c>
      <c r="F204" s="636">
        <v>45642</v>
      </c>
      <c r="G204" s="364"/>
      <c r="H204" s="364">
        <v>45642</v>
      </c>
      <c r="I204" s="366">
        <f ca="1">IF(ISBLANK(H204), NETWORKDAYS(F204, TODAY(),fESTIVOS!$A$1:$A$18), NETWORKDAYS(F204, H204, fESTIVOS!$A$1:$A$18))</f>
        <v>1</v>
      </c>
      <c r="J204" s="364">
        <v>45643</v>
      </c>
      <c r="K204" s="623"/>
      <c r="L204" s="584"/>
      <c r="M204" s="624"/>
      <c r="N204" s="360"/>
      <c r="O204" s="360"/>
      <c r="P204" s="360"/>
      <c r="Q204" s="360"/>
      <c r="R204" s="360"/>
      <c r="S204" s="360"/>
      <c r="T204" s="360"/>
      <c r="U204" s="360"/>
      <c r="V204" s="360"/>
      <c r="W204" s="360"/>
      <c r="X204" s="360"/>
      <c r="Y204" s="360"/>
      <c r="Z204" s="360"/>
    </row>
    <row r="205" spans="1:26" ht="15.75" customHeight="1">
      <c r="A205" s="588" t="s">
        <v>2239</v>
      </c>
      <c r="B205" s="600"/>
      <c r="C205" s="775" t="s">
        <v>2646</v>
      </c>
      <c r="D205" s="365" t="s">
        <v>76</v>
      </c>
      <c r="E205" s="662">
        <v>45632</v>
      </c>
      <c r="F205" s="636">
        <v>45642</v>
      </c>
      <c r="G205" s="364"/>
      <c r="H205" s="364">
        <v>45642</v>
      </c>
      <c r="I205" s="366">
        <f ca="1">IF(ISBLANK(H205), NETWORKDAYS(F205, TODAY(),fESTIVOS!$A$1:$A$18), NETWORKDAYS(F205, H205, fESTIVOS!$A$1:$A$18))</f>
        <v>1</v>
      </c>
      <c r="J205" s="364">
        <v>45643</v>
      </c>
      <c r="K205" s="623"/>
      <c r="L205" s="584"/>
      <c r="M205" s="624"/>
      <c r="N205" s="360"/>
      <c r="O205" s="360"/>
      <c r="P205" s="360"/>
      <c r="Q205" s="360"/>
      <c r="R205" s="360"/>
      <c r="S205" s="360"/>
      <c r="T205" s="360"/>
      <c r="U205" s="360"/>
      <c r="V205" s="360"/>
      <c r="W205" s="360"/>
      <c r="X205" s="360"/>
      <c r="Y205" s="360"/>
      <c r="Z205" s="360"/>
    </row>
    <row r="206" spans="1:26" ht="15.75" customHeight="1">
      <c r="A206" s="588" t="s">
        <v>2239</v>
      </c>
      <c r="B206" s="600"/>
      <c r="C206" s="776" t="s">
        <v>2647</v>
      </c>
      <c r="D206" s="586" t="s">
        <v>2360</v>
      </c>
      <c r="E206" s="662">
        <v>45632</v>
      </c>
      <c r="F206" s="636">
        <v>45632</v>
      </c>
      <c r="G206" s="364"/>
      <c r="H206" s="583">
        <v>45635</v>
      </c>
      <c r="I206" s="366">
        <f ca="1">IF(ISBLANK(H206), NETWORKDAYS(F206, TODAY(),fESTIVOS!$A$1:$A$18), NETWORKDAYS(F206, H206, fESTIVOS!$A$1:$A$18))</f>
        <v>2</v>
      </c>
      <c r="J206" s="583">
        <v>45635</v>
      </c>
      <c r="K206" s="583">
        <v>45636</v>
      </c>
      <c r="L206" s="584" t="s">
        <v>2648</v>
      </c>
      <c r="M206" s="624"/>
      <c r="N206" s="360"/>
      <c r="O206" s="360"/>
      <c r="P206" s="360"/>
      <c r="Q206" s="360"/>
      <c r="R206" s="360"/>
      <c r="S206" s="360"/>
      <c r="T206" s="360"/>
      <c r="U206" s="360"/>
      <c r="V206" s="360"/>
      <c r="W206" s="360"/>
      <c r="X206" s="360"/>
      <c r="Y206" s="360"/>
      <c r="Z206" s="360"/>
    </row>
    <row r="207" spans="1:26" ht="15.75" customHeight="1">
      <c r="A207" s="588" t="s">
        <v>2239</v>
      </c>
      <c r="B207" s="600"/>
      <c r="C207" s="402" t="s">
        <v>2649</v>
      </c>
      <c r="D207" s="586" t="s">
        <v>76</v>
      </c>
      <c r="E207" s="364">
        <v>45644</v>
      </c>
      <c r="F207" s="636">
        <v>45644</v>
      </c>
      <c r="G207" s="364"/>
      <c r="H207" s="583">
        <v>45646</v>
      </c>
      <c r="I207" s="366">
        <f ca="1">IF(ISBLANK(H207), NETWORKDAYS(F207, TODAY(),fESTIVOS!$A$1:$A$18), NETWORKDAYS(F207, H207, fESTIVOS!$A$1:$A$18))</f>
        <v>3</v>
      </c>
      <c r="J207" s="583"/>
      <c r="K207" s="583"/>
      <c r="L207" s="584" t="s">
        <v>2650</v>
      </c>
      <c r="M207" s="624"/>
      <c r="N207" s="360"/>
      <c r="O207" s="360"/>
      <c r="P207" s="360"/>
      <c r="Q207" s="360"/>
      <c r="R207" s="360"/>
      <c r="S207" s="360"/>
      <c r="T207" s="360"/>
      <c r="U207" s="360"/>
      <c r="V207" s="360"/>
      <c r="W207" s="360"/>
      <c r="X207" s="360"/>
      <c r="Y207" s="360"/>
      <c r="Z207" s="360"/>
    </row>
    <row r="208" spans="1:26" ht="15.75" customHeight="1">
      <c r="A208" s="377" t="s">
        <v>2239</v>
      </c>
      <c r="B208" s="715"/>
      <c r="C208" s="370" t="s">
        <v>2651</v>
      </c>
      <c r="D208" s="618" t="s">
        <v>803</v>
      </c>
      <c r="E208" s="396">
        <v>45660</v>
      </c>
      <c r="F208" s="396">
        <v>45660</v>
      </c>
      <c r="G208" s="396"/>
      <c r="H208" s="396">
        <v>45664</v>
      </c>
      <c r="I208" s="374">
        <f ca="1">IF(ISBLANK(H208), NETWORKDAYS(F208, TODAY(),fESTIVOS!$A$1:$A$18), NETWORKDAYS(F208, H208, fESTIVOS!$A$1:$A$18))</f>
        <v>3</v>
      </c>
      <c r="J208" s="396">
        <v>45664</v>
      </c>
      <c r="K208" s="396"/>
      <c r="L208" s="619" t="s">
        <v>2652</v>
      </c>
      <c r="M208" s="589"/>
      <c r="N208" s="354"/>
      <c r="O208" s="354"/>
      <c r="P208" s="354"/>
      <c r="Q208" s="354"/>
      <c r="R208" s="354"/>
      <c r="S208" s="354"/>
      <c r="T208" s="354"/>
      <c r="U208" s="354"/>
      <c r="V208" s="354"/>
      <c r="W208" s="354"/>
      <c r="X208" s="354"/>
      <c r="Y208" s="354"/>
      <c r="Z208" s="354"/>
    </row>
    <row r="209" spans="1:26" ht="15.75" customHeight="1">
      <c r="A209" s="736" t="s">
        <v>1991</v>
      </c>
      <c r="B209" s="777" t="s">
        <v>2613</v>
      </c>
      <c r="C209" s="778" t="s">
        <v>2653</v>
      </c>
      <c r="D209" s="371" t="s">
        <v>2615</v>
      </c>
      <c r="E209" s="631">
        <v>45572</v>
      </c>
      <c r="F209" s="631">
        <v>45573</v>
      </c>
      <c r="G209" s="631">
        <v>45572</v>
      </c>
      <c r="H209" s="631">
        <v>45574</v>
      </c>
      <c r="I209" s="723">
        <f ca="1">IF(ISBLANK(H209), NETWORKDAYS(F209, TODAY(),fESTIVOS!$A$1:$A$18), NETWORKDAYS(F209, H209, fESTIVOS!$A$1:$A$18))</f>
        <v>2</v>
      </c>
      <c r="J209" s="631">
        <v>45629</v>
      </c>
      <c r="K209" s="631"/>
      <c r="L209" s="632" t="s">
        <v>2654</v>
      </c>
      <c r="M209" s="589"/>
      <c r="N209" s="354"/>
      <c r="O209" s="354"/>
      <c r="P209" s="354"/>
      <c r="Q209" s="354"/>
      <c r="R209" s="354"/>
      <c r="S209" s="354"/>
      <c r="T209" s="354"/>
      <c r="U209" s="354"/>
      <c r="V209" s="354"/>
      <c r="W209" s="354"/>
      <c r="X209" s="354"/>
      <c r="Y209" s="354"/>
      <c r="Z209" s="354"/>
    </row>
    <row r="210" spans="1:26" ht="15.75" customHeight="1">
      <c r="A210" s="392" t="s">
        <v>1991</v>
      </c>
      <c r="B210" s="777" t="s">
        <v>2613</v>
      </c>
      <c r="C210" s="395" t="s">
        <v>2655</v>
      </c>
      <c r="D210" s="371" t="s">
        <v>2615</v>
      </c>
      <c r="E210" s="396">
        <v>45574</v>
      </c>
      <c r="F210" s="396">
        <v>45574</v>
      </c>
      <c r="G210" s="396">
        <v>45582</v>
      </c>
      <c r="H210" s="674">
        <v>45596</v>
      </c>
      <c r="I210" s="374">
        <f ca="1">IF(ISBLANK(H210), NETWORKDAYS(F210, TODAY(),fESTIVOS!$A$1:$A$18), NETWORKDAYS(F210, H210, fESTIVOS!$A$1:$A$18))</f>
        <v>16</v>
      </c>
      <c r="J210" s="631">
        <v>45629</v>
      </c>
      <c r="K210" s="396"/>
      <c r="L210" s="619" t="s">
        <v>2656</v>
      </c>
      <c r="M210" s="589"/>
      <c r="N210" s="354"/>
      <c r="O210" s="354"/>
      <c r="P210" s="354"/>
      <c r="Q210" s="354"/>
      <c r="R210" s="354"/>
      <c r="S210" s="354"/>
      <c r="T210" s="354"/>
      <c r="U210" s="354"/>
      <c r="V210" s="354"/>
      <c r="W210" s="354"/>
      <c r="X210" s="354"/>
      <c r="Y210" s="354"/>
      <c r="Z210" s="354"/>
    </row>
    <row r="211" spans="1:26" ht="15.75" customHeight="1">
      <c r="A211" s="671" t="s">
        <v>1991</v>
      </c>
      <c r="B211" s="777" t="s">
        <v>2613</v>
      </c>
      <c r="C211" s="702" t="s">
        <v>2657</v>
      </c>
      <c r="D211" s="371" t="s">
        <v>2615</v>
      </c>
      <c r="E211" s="674">
        <v>45574</v>
      </c>
      <c r="F211" s="674">
        <v>45574</v>
      </c>
      <c r="G211" s="674">
        <v>45582</v>
      </c>
      <c r="H211" s="674">
        <v>45596</v>
      </c>
      <c r="I211" s="675">
        <f ca="1">IF(ISBLANK(H211), NETWORKDAYS(F211, TODAY(),fESTIVOS!$A$1:$A$18), NETWORKDAYS(F211, H211, fESTIVOS!$A$1:$A$18))</f>
        <v>16</v>
      </c>
      <c r="J211" s="631">
        <v>45629</v>
      </c>
      <c r="K211" s="674"/>
      <c r="L211" s="676" t="s">
        <v>2658</v>
      </c>
      <c r="M211" s="589"/>
      <c r="N211" s="354"/>
      <c r="O211" s="354"/>
      <c r="P211" s="354"/>
      <c r="Q211" s="354"/>
      <c r="R211" s="354"/>
      <c r="S211" s="354"/>
      <c r="T211" s="354"/>
      <c r="U211" s="354"/>
      <c r="V211" s="354"/>
      <c r="W211" s="354"/>
      <c r="X211" s="354"/>
      <c r="Y211" s="354"/>
      <c r="Z211" s="354"/>
    </row>
    <row r="212" spans="1:26" ht="15.75" customHeight="1">
      <c r="A212" s="671" t="s">
        <v>1991</v>
      </c>
      <c r="B212" s="777" t="s">
        <v>2613</v>
      </c>
      <c r="C212" s="729" t="s">
        <v>2659</v>
      </c>
      <c r="D212" s="371" t="s">
        <v>2615</v>
      </c>
      <c r="E212" s="674">
        <v>45574</v>
      </c>
      <c r="F212" s="674">
        <v>45594</v>
      </c>
      <c r="G212" s="674">
        <v>45595</v>
      </c>
      <c r="H212" s="674">
        <v>45596</v>
      </c>
      <c r="I212" s="675">
        <f ca="1">IF(ISBLANK(H212), NETWORKDAYS(F212, TODAY(),fESTIVOS!$A$1:$A$18), NETWORKDAYS(F212, H212, fESTIVOS!$A$1:$A$18))</f>
        <v>3</v>
      </c>
      <c r="J212" s="631">
        <v>45629</v>
      </c>
      <c r="K212" s="674"/>
      <c r="L212" s="676" t="s">
        <v>2660</v>
      </c>
      <c r="M212" s="589"/>
      <c r="N212" s="354"/>
      <c r="O212" s="354"/>
      <c r="P212" s="354"/>
      <c r="Q212" s="354"/>
      <c r="R212" s="354"/>
      <c r="S212" s="354"/>
      <c r="T212" s="354"/>
      <c r="U212" s="354"/>
      <c r="V212" s="354"/>
      <c r="W212" s="354"/>
      <c r="X212" s="354"/>
      <c r="Y212" s="354"/>
      <c r="Z212" s="354"/>
    </row>
    <row r="213" spans="1:26" ht="15.75" customHeight="1">
      <c r="A213" s="392" t="s">
        <v>1991</v>
      </c>
      <c r="B213" s="777" t="s">
        <v>2613</v>
      </c>
      <c r="C213" s="395" t="s">
        <v>2661</v>
      </c>
      <c r="D213" s="371" t="s">
        <v>2615</v>
      </c>
      <c r="E213" s="396">
        <v>45574</v>
      </c>
      <c r="F213" s="396">
        <v>45597</v>
      </c>
      <c r="G213" s="396">
        <v>45601</v>
      </c>
      <c r="H213" s="396"/>
      <c r="I213" s="374">
        <f ca="1">IF(ISBLANK(H213), NETWORKDAYS(F213, TODAY(),fESTIVOS!$A$1:$A$18), NETWORKDAYS(F213, H213, fESTIVOS!$A$1:$A$18))</f>
        <v>321</v>
      </c>
      <c r="J213" s="631">
        <v>45629</v>
      </c>
      <c r="K213" s="396"/>
      <c r="L213" s="619" t="s">
        <v>2662</v>
      </c>
      <c r="M213" s="589"/>
      <c r="N213" s="354"/>
      <c r="O213" s="354"/>
      <c r="P213" s="354"/>
      <c r="Q213" s="354"/>
      <c r="R213" s="354"/>
      <c r="S213" s="354"/>
      <c r="T213" s="354"/>
      <c r="U213" s="354"/>
      <c r="V213" s="354"/>
      <c r="W213" s="354"/>
      <c r="X213" s="354"/>
      <c r="Y213" s="354"/>
      <c r="Z213" s="354"/>
    </row>
    <row r="214" spans="1:26" ht="15.75" customHeight="1">
      <c r="A214" s="392" t="s">
        <v>1991</v>
      </c>
      <c r="B214" s="777" t="s">
        <v>2613</v>
      </c>
      <c r="C214" s="735" t="s">
        <v>2663</v>
      </c>
      <c r="D214" s="371" t="s">
        <v>2615</v>
      </c>
      <c r="E214" s="396">
        <v>45574</v>
      </c>
      <c r="F214" s="631">
        <v>45602</v>
      </c>
      <c r="G214" s="631">
        <v>45604</v>
      </c>
      <c r="H214" s="631">
        <v>45609</v>
      </c>
      <c r="I214" s="374">
        <f ca="1">IF(ISBLANK(H214), NETWORKDAYS(F214, TODAY(),fESTIVOS!$A$1:$A$18), NETWORKDAYS(F214, H214, fESTIVOS!$A$1:$A$18))</f>
        <v>5</v>
      </c>
      <c r="J214" s="631">
        <v>45629</v>
      </c>
      <c r="K214" s="631"/>
      <c r="L214" s="632" t="s">
        <v>2664</v>
      </c>
      <c r="M214" s="589"/>
      <c r="N214" s="354"/>
      <c r="O214" s="354"/>
      <c r="P214" s="354"/>
      <c r="Q214" s="354"/>
      <c r="R214" s="354"/>
      <c r="S214" s="354"/>
      <c r="T214" s="354"/>
      <c r="U214" s="354"/>
      <c r="V214" s="354"/>
      <c r="W214" s="354"/>
      <c r="X214" s="354"/>
      <c r="Y214" s="354"/>
      <c r="Z214" s="354"/>
    </row>
    <row r="215" spans="1:26" ht="15.75" customHeight="1">
      <c r="A215" s="392" t="s">
        <v>1991</v>
      </c>
      <c r="B215" s="777" t="s">
        <v>2613</v>
      </c>
      <c r="C215" s="735" t="s">
        <v>2665</v>
      </c>
      <c r="D215" s="371" t="s">
        <v>2615</v>
      </c>
      <c r="E215" s="396">
        <v>45574</v>
      </c>
      <c r="F215" s="631">
        <v>45610</v>
      </c>
      <c r="G215" s="631">
        <v>45617</v>
      </c>
      <c r="H215" s="631">
        <v>45617</v>
      </c>
      <c r="I215" s="374">
        <f ca="1">IF(ISBLANK(H215), NETWORKDAYS(F215, TODAY(),fESTIVOS!$A$1:$A$18), NETWORKDAYS(F215, H215, fESTIVOS!$A$1:$A$18))</f>
        <v>6</v>
      </c>
      <c r="J215" s="631">
        <v>45629</v>
      </c>
      <c r="K215" s="631"/>
      <c r="L215" s="632" t="s">
        <v>2666</v>
      </c>
      <c r="M215" s="589"/>
      <c r="N215" s="354"/>
      <c r="O215" s="354"/>
      <c r="P215" s="354"/>
      <c r="Q215" s="354"/>
      <c r="R215" s="354"/>
      <c r="S215" s="354"/>
      <c r="T215" s="354"/>
      <c r="U215" s="354"/>
      <c r="V215" s="354"/>
      <c r="W215" s="354"/>
      <c r="X215" s="354"/>
      <c r="Y215" s="354"/>
      <c r="Z215" s="354"/>
    </row>
    <row r="216" spans="1:26" ht="15.75" customHeight="1">
      <c r="A216" s="392" t="s">
        <v>1991</v>
      </c>
      <c r="B216" s="777" t="s">
        <v>2613</v>
      </c>
      <c r="C216" s="735" t="s">
        <v>2667</v>
      </c>
      <c r="D216" s="371" t="s">
        <v>2615</v>
      </c>
      <c r="E216" s="396">
        <v>45574</v>
      </c>
      <c r="F216" s="631">
        <v>45617</v>
      </c>
      <c r="G216" s="631">
        <v>45617</v>
      </c>
      <c r="H216" s="631">
        <v>45617</v>
      </c>
      <c r="I216" s="374">
        <f ca="1">IF(ISBLANK(H216), NETWORKDAYS(F216, TODAY(),fESTIVOS!$A$1:$A$18), NETWORKDAYS(F216, H216, fESTIVOS!$A$1:$A$18))</f>
        <v>1</v>
      </c>
      <c r="J216" s="631">
        <v>45629</v>
      </c>
      <c r="K216" s="631"/>
      <c r="L216" s="632" t="s">
        <v>2668</v>
      </c>
      <c r="M216" s="589"/>
      <c r="N216" s="354"/>
      <c r="O216" s="354"/>
      <c r="P216" s="354"/>
      <c r="Q216" s="354"/>
      <c r="R216" s="354"/>
      <c r="S216" s="354"/>
      <c r="T216" s="354"/>
      <c r="U216" s="354"/>
      <c r="V216" s="354"/>
      <c r="W216" s="354"/>
      <c r="X216" s="354"/>
      <c r="Y216" s="354"/>
      <c r="Z216" s="354"/>
    </row>
    <row r="217" spans="1:26" ht="15.75" customHeight="1">
      <c r="A217" s="392" t="s">
        <v>1991</v>
      </c>
      <c r="B217" s="777" t="s">
        <v>2613</v>
      </c>
      <c r="C217" s="735" t="s">
        <v>2669</v>
      </c>
      <c r="D217" s="371" t="s">
        <v>2615</v>
      </c>
      <c r="E217" s="396">
        <v>45574</v>
      </c>
      <c r="F217" s="631">
        <v>45618</v>
      </c>
      <c r="G217" s="631">
        <v>45621</v>
      </c>
      <c r="H217" s="631">
        <v>45625</v>
      </c>
      <c r="I217" s="374">
        <f ca="1">IF(ISBLANK(H217), NETWORKDAYS(F217, TODAY(),fESTIVOS!$A$1:$A$18), NETWORKDAYS(F217, H217, fESTIVOS!$A$1:$A$18))</f>
        <v>6</v>
      </c>
      <c r="J217" s="631">
        <v>45629</v>
      </c>
      <c r="K217" s="631"/>
      <c r="L217" s="632" t="s">
        <v>2670</v>
      </c>
      <c r="M217" s="589"/>
      <c r="N217" s="354"/>
      <c r="O217" s="354"/>
      <c r="P217" s="354"/>
      <c r="Q217" s="354"/>
      <c r="R217" s="354"/>
      <c r="S217" s="354"/>
      <c r="T217" s="354"/>
      <c r="U217" s="354"/>
      <c r="V217" s="354"/>
      <c r="W217" s="354"/>
      <c r="X217" s="354"/>
      <c r="Y217" s="354"/>
      <c r="Z217" s="354"/>
    </row>
    <row r="218" spans="1:26" ht="15.75" customHeight="1">
      <c r="A218" s="392" t="s">
        <v>1991</v>
      </c>
      <c r="B218" s="777" t="s">
        <v>2613</v>
      </c>
      <c r="C218" s="735" t="s">
        <v>2671</v>
      </c>
      <c r="D218" s="371" t="s">
        <v>2615</v>
      </c>
      <c r="E218" s="396">
        <v>45574</v>
      </c>
      <c r="F218" s="631">
        <v>45621</v>
      </c>
      <c r="G218" s="631">
        <v>45621</v>
      </c>
      <c r="H218" s="631">
        <v>45625</v>
      </c>
      <c r="I218" s="374">
        <f ca="1">IF(ISBLANK(H218), NETWORKDAYS(F218, TODAY(),fESTIVOS!$A$1:$A$18), NETWORKDAYS(F218, H218, fESTIVOS!$A$1:$A$18))</f>
        <v>5</v>
      </c>
      <c r="J218" s="631">
        <v>45629</v>
      </c>
      <c r="K218" s="631"/>
      <c r="L218" s="632" t="s">
        <v>2672</v>
      </c>
      <c r="M218" s="589"/>
      <c r="N218" s="354"/>
      <c r="O218" s="354"/>
      <c r="P218" s="354"/>
      <c r="Q218" s="354"/>
      <c r="R218" s="354"/>
      <c r="S218" s="354"/>
      <c r="T218" s="354"/>
      <c r="U218" s="354"/>
      <c r="V218" s="354"/>
      <c r="W218" s="354"/>
      <c r="X218" s="354"/>
      <c r="Y218" s="354"/>
      <c r="Z218" s="354"/>
    </row>
    <row r="219" spans="1:26" ht="15.75" customHeight="1">
      <c r="A219" s="392" t="s">
        <v>1991</v>
      </c>
      <c r="B219" s="777" t="s">
        <v>2613</v>
      </c>
      <c r="C219" s="735" t="s">
        <v>2673</v>
      </c>
      <c r="D219" s="371" t="s">
        <v>2615</v>
      </c>
      <c r="E219" s="396">
        <v>45574</v>
      </c>
      <c r="F219" s="631">
        <v>45625</v>
      </c>
      <c r="G219" s="631"/>
      <c r="H219" s="631">
        <v>45629</v>
      </c>
      <c r="I219" s="374">
        <f ca="1">IF(ISBLANK(H219), NETWORKDAYS(F219, TODAY(),fESTIVOS!$A$1:$A$18), NETWORKDAYS(F219, H219, fESTIVOS!$A$1:$A$18))</f>
        <v>3</v>
      </c>
      <c r="J219" s="631">
        <v>45629</v>
      </c>
      <c r="K219" s="631"/>
      <c r="L219" s="632" t="s">
        <v>2674</v>
      </c>
      <c r="M219" s="589"/>
      <c r="N219" s="354"/>
      <c r="O219" s="354"/>
      <c r="P219" s="354"/>
      <c r="Q219" s="354"/>
      <c r="R219" s="354"/>
      <c r="S219" s="354"/>
      <c r="T219" s="354"/>
      <c r="U219" s="354"/>
      <c r="V219" s="354"/>
      <c r="W219" s="354"/>
      <c r="X219" s="354"/>
      <c r="Y219" s="354"/>
      <c r="Z219" s="354"/>
    </row>
    <row r="220" spans="1:26" ht="15" hidden="1" customHeight="1">
      <c r="A220" s="392"/>
      <c r="B220" s="779"/>
      <c r="C220" s="780"/>
      <c r="D220" s="781"/>
      <c r="E220" s="750"/>
      <c r="F220" s="631"/>
      <c r="G220" s="631"/>
      <c r="H220" s="631"/>
      <c r="I220" s="374"/>
      <c r="J220" s="631"/>
      <c r="K220" s="631"/>
      <c r="L220" s="632"/>
      <c r="M220" s="589"/>
      <c r="N220" s="354"/>
      <c r="O220" s="354"/>
      <c r="P220" s="354"/>
      <c r="Q220" s="354"/>
      <c r="R220" s="354"/>
      <c r="S220" s="354"/>
      <c r="T220" s="354"/>
      <c r="U220" s="354"/>
      <c r="V220" s="354"/>
      <c r="W220" s="354"/>
      <c r="X220" s="354"/>
      <c r="Y220" s="354"/>
      <c r="Z220" s="354"/>
    </row>
    <row r="221" spans="1:26" ht="15.75" hidden="1" customHeight="1">
      <c r="A221" s="392" t="s">
        <v>1991</v>
      </c>
      <c r="B221" s="779"/>
      <c r="C221" s="782" t="s">
        <v>2675</v>
      </c>
      <c r="D221" s="783" t="s">
        <v>1994</v>
      </c>
      <c r="E221" s="713">
        <v>45574</v>
      </c>
      <c r="F221" s="631">
        <v>45631</v>
      </c>
      <c r="G221" s="631"/>
      <c r="H221" s="631"/>
      <c r="I221" s="374">
        <f ca="1">IF(ISBLANK(H221), NETWORKDAYS(F221, TODAY(),fESTIVOS!$A$1:$A$18), NETWORKDAYS(F221, H221, fESTIVOS!$A$1:$A$18))</f>
        <v>299</v>
      </c>
      <c r="J221" s="631"/>
      <c r="K221" s="631"/>
      <c r="L221" s="724" t="s">
        <v>2676</v>
      </c>
      <c r="M221" s="589"/>
      <c r="N221" s="354"/>
      <c r="O221" s="354"/>
      <c r="P221" s="354"/>
      <c r="Q221" s="354"/>
      <c r="R221" s="354"/>
      <c r="S221" s="354"/>
      <c r="T221" s="354"/>
      <c r="U221" s="354"/>
      <c r="V221" s="354"/>
      <c r="W221" s="354"/>
      <c r="X221" s="354"/>
      <c r="Y221" s="354"/>
      <c r="Z221" s="354"/>
    </row>
    <row r="222" spans="1:26" ht="15.75" hidden="1" customHeight="1">
      <c r="A222" s="392" t="s">
        <v>1991</v>
      </c>
      <c r="B222" s="779"/>
      <c r="C222" s="782" t="s">
        <v>2677</v>
      </c>
      <c r="D222" s="783" t="s">
        <v>1994</v>
      </c>
      <c r="E222" s="713">
        <v>45574</v>
      </c>
      <c r="F222" s="631">
        <v>45631</v>
      </c>
      <c r="G222" s="631"/>
      <c r="H222" s="631"/>
      <c r="I222" s="374">
        <f ca="1">IF(ISBLANK(H222), NETWORKDAYS(F222, TODAY(),fESTIVOS!$A$1:$A$18), NETWORKDAYS(F222, H222, fESTIVOS!$A$1:$A$18))</f>
        <v>299</v>
      </c>
      <c r="J222" s="631"/>
      <c r="K222" s="631"/>
      <c r="L222" s="724" t="s">
        <v>2676</v>
      </c>
      <c r="M222" s="589"/>
      <c r="N222" s="354"/>
      <c r="O222" s="354"/>
      <c r="P222" s="354"/>
      <c r="Q222" s="354"/>
      <c r="R222" s="354"/>
      <c r="S222" s="354"/>
      <c r="T222" s="354"/>
      <c r="U222" s="354"/>
      <c r="V222" s="354"/>
      <c r="W222" s="354"/>
      <c r="X222" s="354"/>
      <c r="Y222" s="354"/>
      <c r="Z222" s="354"/>
    </row>
    <row r="223" spans="1:26" ht="15.75" hidden="1" customHeight="1">
      <c r="A223" s="392" t="s">
        <v>1991</v>
      </c>
      <c r="B223" s="779"/>
      <c r="C223" s="784" t="s">
        <v>2678</v>
      </c>
      <c r="D223" s="783" t="s">
        <v>1994</v>
      </c>
      <c r="E223" s="713">
        <v>45574</v>
      </c>
      <c r="F223" s="631">
        <v>45631</v>
      </c>
      <c r="G223" s="631"/>
      <c r="H223" s="631"/>
      <c r="I223" s="374">
        <f ca="1">IF(ISBLANK(H223), NETWORKDAYS(F223, TODAY(),fESTIVOS!$A$1:$A$18), NETWORKDAYS(F223, H223, fESTIVOS!$A$1:$A$18))</f>
        <v>299</v>
      </c>
      <c r="J223" s="631"/>
      <c r="K223" s="631"/>
      <c r="L223" s="724" t="s">
        <v>2679</v>
      </c>
      <c r="M223" s="589"/>
      <c r="N223" s="354"/>
      <c r="O223" s="354"/>
      <c r="P223" s="354"/>
      <c r="Q223" s="354"/>
      <c r="R223" s="354"/>
      <c r="S223" s="354"/>
      <c r="T223" s="354"/>
      <c r="U223" s="354"/>
      <c r="V223" s="354"/>
      <c r="W223" s="354"/>
      <c r="X223" s="354"/>
      <c r="Y223" s="354"/>
      <c r="Z223" s="354"/>
    </row>
    <row r="224" spans="1:26" ht="15.75" hidden="1" customHeight="1">
      <c r="A224" s="671" t="s">
        <v>1991</v>
      </c>
      <c r="B224" s="779"/>
      <c r="C224" s="785" t="s">
        <v>2680</v>
      </c>
      <c r="D224" s="783" t="s">
        <v>1994</v>
      </c>
      <c r="E224" s="786">
        <v>45574</v>
      </c>
      <c r="F224" s="651">
        <v>45638</v>
      </c>
      <c r="G224" s="651"/>
      <c r="H224" s="651"/>
      <c r="I224" s="675">
        <f ca="1">IF(ISBLANK(H224), NETWORKDAYS(F224, TODAY(),fESTIVOS!$A$1:$A$18), NETWORKDAYS(F224, H224, fESTIVOS!$A$1:$A$18))</f>
        <v>294</v>
      </c>
      <c r="J224" s="651"/>
      <c r="K224" s="651"/>
      <c r="L224" s="787" t="s">
        <v>2681</v>
      </c>
      <c r="M224" s="589"/>
      <c r="N224" s="354"/>
      <c r="O224" s="354"/>
      <c r="P224" s="354"/>
      <c r="Q224" s="354"/>
      <c r="R224" s="354"/>
      <c r="S224" s="354"/>
      <c r="T224" s="354"/>
      <c r="U224" s="354"/>
      <c r="V224" s="354"/>
      <c r="W224" s="354"/>
      <c r="X224" s="354"/>
      <c r="Y224" s="354"/>
      <c r="Z224" s="354"/>
    </row>
    <row r="225" spans="1:26" ht="15.75" hidden="1" customHeight="1">
      <c r="A225" s="392" t="s">
        <v>1991</v>
      </c>
      <c r="B225" s="779"/>
      <c r="C225" s="387" t="s">
        <v>2682</v>
      </c>
      <c r="D225" s="783" t="s">
        <v>1994</v>
      </c>
      <c r="E225" s="396">
        <v>45636</v>
      </c>
      <c r="F225" s="396">
        <v>45636</v>
      </c>
      <c r="G225" s="396"/>
      <c r="H225" s="396"/>
      <c r="I225" s="374">
        <f ca="1">IF(ISBLANK(H225), NETWORKDAYS(F225, TODAY(),fESTIVOS!$A$1:$A$18), NETWORKDAYS(F225, H225, fESTIVOS!$A$1:$A$18))</f>
        <v>296</v>
      </c>
      <c r="J225" s="396">
        <v>45645</v>
      </c>
      <c r="K225" s="396"/>
      <c r="L225" s="714" t="s">
        <v>2683</v>
      </c>
      <c r="M225" s="589"/>
      <c r="N225" s="354"/>
      <c r="O225" s="354"/>
      <c r="P225" s="354"/>
      <c r="Q225" s="354"/>
      <c r="R225" s="354"/>
      <c r="S225" s="354"/>
      <c r="T225" s="354"/>
      <c r="U225" s="354"/>
      <c r="V225" s="354"/>
      <c r="W225" s="354"/>
      <c r="X225" s="354"/>
      <c r="Y225" s="354"/>
      <c r="Z225" s="354"/>
    </row>
    <row r="226" spans="1:26" ht="15.75" hidden="1" customHeight="1">
      <c r="A226" s="392" t="s">
        <v>1991</v>
      </c>
      <c r="B226" s="779"/>
      <c r="C226" s="387" t="s">
        <v>2684</v>
      </c>
      <c r="D226" s="618" t="s">
        <v>803</v>
      </c>
      <c r="E226" s="396">
        <v>45645</v>
      </c>
      <c r="F226" s="396">
        <v>45646</v>
      </c>
      <c r="G226" s="396"/>
      <c r="H226" s="396"/>
      <c r="I226" s="374">
        <f ca="1">IF(ISBLANK(H226), NETWORKDAYS(F226, TODAY(),fESTIVOS!$A$1:$A$18), NETWORKDAYS(F226, H226, fESTIVOS!$A$1:$A$18))</f>
        <v>288</v>
      </c>
      <c r="J226" s="396">
        <v>45664</v>
      </c>
      <c r="K226" s="396"/>
      <c r="L226" s="714" t="s">
        <v>2685</v>
      </c>
      <c r="M226" s="589"/>
      <c r="N226" s="354"/>
      <c r="O226" s="354"/>
      <c r="P226" s="354"/>
      <c r="Q226" s="354"/>
      <c r="R226" s="354"/>
      <c r="S226" s="354"/>
      <c r="T226" s="354"/>
      <c r="U226" s="354"/>
      <c r="V226" s="354"/>
      <c r="W226" s="354"/>
      <c r="X226" s="354"/>
      <c r="Y226" s="354"/>
      <c r="Z226" s="354"/>
    </row>
    <row r="227" spans="1:26" ht="15.75" hidden="1" customHeight="1">
      <c r="A227" s="392" t="s">
        <v>1991</v>
      </c>
      <c r="B227" s="788"/>
      <c r="C227" s="387" t="s">
        <v>2686</v>
      </c>
      <c r="D227" s="618" t="s">
        <v>803</v>
      </c>
      <c r="E227" s="396">
        <v>45652</v>
      </c>
      <c r="F227" s="396">
        <v>45652</v>
      </c>
      <c r="G227" s="396"/>
      <c r="H227" s="396"/>
      <c r="I227" s="374">
        <f ca="1">IF(ISBLANK(H227), NETWORKDAYS(F227, TODAY(),fESTIVOS!$A$1:$A$18), NETWORKDAYS(F227, H227, fESTIVOS!$A$1:$A$18))</f>
        <v>285</v>
      </c>
      <c r="J227" s="396">
        <v>45664</v>
      </c>
      <c r="K227" s="396"/>
      <c r="L227" s="714" t="s">
        <v>2687</v>
      </c>
      <c r="M227" s="589"/>
      <c r="N227" s="354"/>
      <c r="O227" s="354"/>
      <c r="P227" s="354"/>
      <c r="Q227" s="354"/>
      <c r="R227" s="354"/>
      <c r="S227" s="354"/>
      <c r="T227" s="354"/>
      <c r="U227" s="354"/>
      <c r="V227" s="354"/>
      <c r="W227" s="354"/>
      <c r="X227" s="354"/>
      <c r="Y227" s="354"/>
      <c r="Z227" s="354"/>
    </row>
    <row r="228" spans="1:26" ht="15.75" customHeight="1">
      <c r="A228" s="377" t="s">
        <v>2239</v>
      </c>
      <c r="B228" s="377" t="s">
        <v>2579</v>
      </c>
      <c r="C228" s="398" t="s">
        <v>2688</v>
      </c>
      <c r="D228" s="618" t="s">
        <v>2360</v>
      </c>
      <c r="E228" s="396">
        <v>45678</v>
      </c>
      <c r="F228" s="396">
        <v>45678</v>
      </c>
      <c r="G228" s="396"/>
      <c r="H228" s="396">
        <v>45678</v>
      </c>
      <c r="I228" s="789">
        <f ca="1">IF(ISBLANK(H228), NETWORKDAYS(F228, TODAY(),fESTIVOS!$A$1:$A$18), NETWORKDAYS(F228, H228, fESTIVOS!$A$1:$A$18))</f>
        <v>1</v>
      </c>
      <c r="J228" s="372">
        <v>45678</v>
      </c>
      <c r="K228" s="636">
        <v>45692</v>
      </c>
      <c r="L228" s="751" t="s">
        <v>2689</v>
      </c>
    </row>
    <row r="229" spans="1:26" ht="15.75" customHeight="1">
      <c r="A229" s="377" t="s">
        <v>2239</v>
      </c>
      <c r="B229" s="370" t="s">
        <v>2690</v>
      </c>
      <c r="C229" s="395"/>
      <c r="D229" s="618" t="s">
        <v>11</v>
      </c>
      <c r="E229" s="396">
        <v>45687</v>
      </c>
      <c r="F229" s="396">
        <v>45688</v>
      </c>
      <c r="G229" s="396"/>
      <c r="H229" s="396">
        <v>45688</v>
      </c>
      <c r="I229" s="374">
        <f ca="1">IF(ISBLANK(H229), NETWORKDAYS(F229, TODAY(),fESTIVOS!$A$1:$A$18), NETWORKDAYS(F229, H229, fESTIVOS!$A$1:$A$18))</f>
        <v>1</v>
      </c>
      <c r="J229" s="396"/>
      <c r="K229" s="396"/>
      <c r="L229" s="619" t="s">
        <v>2691</v>
      </c>
      <c r="M229" s="589"/>
      <c r="N229" s="354"/>
      <c r="O229" s="354"/>
      <c r="P229" s="354"/>
      <c r="Q229" s="354"/>
      <c r="R229" s="354"/>
      <c r="S229" s="354"/>
      <c r="T229" s="354"/>
      <c r="U229" s="354"/>
      <c r="V229" s="354"/>
      <c r="W229" s="354"/>
      <c r="X229" s="354"/>
      <c r="Y229" s="354"/>
      <c r="Z229" s="354"/>
    </row>
    <row r="230" spans="1:26" ht="15.75" customHeight="1">
      <c r="A230" s="392" t="s">
        <v>1991</v>
      </c>
      <c r="B230" s="620" t="s">
        <v>2692</v>
      </c>
      <c r="C230" s="394"/>
      <c r="D230" s="618" t="s">
        <v>76</v>
      </c>
      <c r="E230" s="396">
        <v>45692</v>
      </c>
      <c r="F230" s="397">
        <v>45693</v>
      </c>
      <c r="G230" s="763"/>
      <c r="H230" s="397">
        <v>45693</v>
      </c>
      <c r="I230" s="374">
        <f ca="1">IF(ISBLANK(H230), NETWORKDAYS(F230, TODAY(),fESTIVOS!$A$1:$A$18), NETWORKDAYS(F230, H230, fESTIVOS!$A$1:$A$18))</f>
        <v>1</v>
      </c>
      <c r="J230" s="394"/>
      <c r="K230" s="623"/>
      <c r="L230" s="583" t="s">
        <v>2693</v>
      </c>
      <c r="M230" s="399"/>
      <c r="N230" s="399"/>
      <c r="O230" s="399"/>
      <c r="P230" s="399"/>
      <c r="Q230" s="399"/>
      <c r="R230" s="399"/>
      <c r="S230" s="399"/>
      <c r="T230" s="399"/>
      <c r="U230" s="399"/>
      <c r="V230" s="399"/>
      <c r="W230" s="399"/>
      <c r="X230" s="399"/>
      <c r="Y230" s="399"/>
      <c r="Z230" s="399"/>
    </row>
    <row r="231" spans="1:26" ht="15.75" customHeight="1">
      <c r="A231" s="377" t="s">
        <v>2239</v>
      </c>
      <c r="B231" s="370" t="s">
        <v>2694</v>
      </c>
      <c r="C231" s="395"/>
      <c r="D231" s="618" t="s">
        <v>76</v>
      </c>
      <c r="E231" s="396">
        <v>45692</v>
      </c>
      <c r="F231" s="396">
        <v>45693</v>
      </c>
      <c r="G231" s="396"/>
      <c r="H231" s="396">
        <v>45693</v>
      </c>
      <c r="I231" s="374">
        <f ca="1">IF(ISBLANK(H231), NETWORKDAYS(F231, TODAY(),fESTIVOS!$A$1:$A$18), NETWORKDAYS(F231, H231, fESTIVOS!$A$1:$A$18))</f>
        <v>1</v>
      </c>
      <c r="J231" s="396"/>
      <c r="K231" s="396">
        <v>45693</v>
      </c>
      <c r="L231" s="714" t="s">
        <v>2695</v>
      </c>
      <c r="M231" s="589"/>
      <c r="N231" s="354"/>
      <c r="O231" s="354"/>
      <c r="P231" s="354"/>
      <c r="Q231" s="354"/>
      <c r="R231" s="354"/>
      <c r="S231" s="354"/>
      <c r="T231" s="354"/>
      <c r="U231" s="354"/>
      <c r="V231" s="354"/>
      <c r="W231" s="354"/>
      <c r="X231" s="354"/>
      <c r="Y231" s="354"/>
      <c r="Z231" s="354"/>
    </row>
    <row r="232" spans="1:26" ht="15.75" customHeight="1">
      <c r="A232" s="377" t="s">
        <v>2239</v>
      </c>
      <c r="B232" s="370" t="s">
        <v>2696</v>
      </c>
      <c r="C232" s="395"/>
      <c r="D232" s="618" t="s">
        <v>76</v>
      </c>
      <c r="E232" s="396">
        <v>45692</v>
      </c>
      <c r="F232" s="396">
        <v>45693</v>
      </c>
      <c r="G232" s="396"/>
      <c r="H232" s="396">
        <v>45693</v>
      </c>
      <c r="I232" s="374">
        <f ca="1">IF(ISBLANK(H232), NETWORKDAYS(F232, TODAY(),fESTIVOS!$A$1:$A$18), NETWORKDAYS(F232, H232, fESTIVOS!$A$1:$A$18))</f>
        <v>1</v>
      </c>
      <c r="J232" s="396"/>
      <c r="K232" s="396">
        <v>45693</v>
      </c>
      <c r="L232" s="714" t="s">
        <v>2695</v>
      </c>
      <c r="M232" s="589"/>
      <c r="N232" s="354"/>
      <c r="O232" s="354"/>
      <c r="P232" s="354"/>
      <c r="Q232" s="354"/>
      <c r="R232" s="354"/>
      <c r="S232" s="354"/>
      <c r="T232" s="354"/>
      <c r="U232" s="354"/>
      <c r="V232" s="354"/>
      <c r="W232" s="354"/>
      <c r="X232" s="354"/>
      <c r="Y232" s="354"/>
      <c r="Z232" s="354"/>
    </row>
    <row r="233" spans="1:26" ht="15.75" customHeight="1">
      <c r="A233" s="392" t="s">
        <v>1991</v>
      </c>
      <c r="B233" s="620" t="s">
        <v>2697</v>
      </c>
      <c r="C233" s="751" t="s">
        <v>2698</v>
      </c>
      <c r="D233" s="371" t="s">
        <v>76</v>
      </c>
      <c r="E233" s="396">
        <v>45698</v>
      </c>
      <c r="F233" s="396">
        <v>45698</v>
      </c>
      <c r="G233" s="372"/>
      <c r="H233" s="618"/>
      <c r="I233" s="374">
        <f ca="1">IF(ISBLANK(H233), NETWORKDAYS(F233, TODAY(),fESTIVOS!$A$1:$A$18), NETWORKDAYS(F233, H233, fESTIVOS!$A$1:$A$18))</f>
        <v>253</v>
      </c>
      <c r="J233" s="394"/>
      <c r="K233" s="763"/>
      <c r="L233" s="790"/>
      <c r="M233" s="399"/>
      <c r="N233" s="399"/>
      <c r="O233" s="399"/>
      <c r="P233" s="399"/>
      <c r="Q233" s="399"/>
      <c r="R233" s="399"/>
      <c r="S233" s="399"/>
      <c r="T233" s="399"/>
      <c r="U233" s="399"/>
      <c r="V233" s="399"/>
      <c r="W233" s="399"/>
      <c r="X233" s="399"/>
      <c r="Y233" s="399"/>
      <c r="Z233" s="399"/>
    </row>
    <row r="234" spans="1:26" ht="15.75" customHeight="1">
      <c r="A234" s="392" t="s">
        <v>1991</v>
      </c>
      <c r="B234" s="620" t="s">
        <v>2697</v>
      </c>
      <c r="C234" s="791" t="s">
        <v>2699</v>
      </c>
      <c r="D234" s="371" t="s">
        <v>76</v>
      </c>
      <c r="E234" s="396">
        <v>45698</v>
      </c>
      <c r="F234" s="396">
        <v>45698</v>
      </c>
      <c r="G234" s="372"/>
      <c r="H234" s="396">
        <v>45699</v>
      </c>
      <c r="I234" s="374">
        <f ca="1">IF(ISBLANK(H234), NETWORKDAYS(F234, TODAY(),fESTIVOS!$A$1:$A$18), NETWORKDAYS(F234, H234, fESTIVOS!$A$1:$A$18))</f>
        <v>2</v>
      </c>
      <c r="J234" s="394"/>
      <c r="K234" s="763"/>
      <c r="L234" s="790"/>
      <c r="M234" s="399"/>
      <c r="N234" s="399"/>
      <c r="O234" s="399"/>
      <c r="P234" s="399"/>
      <c r="Q234" s="399"/>
      <c r="R234" s="399"/>
      <c r="S234" s="399"/>
      <c r="T234" s="399"/>
      <c r="U234" s="399"/>
      <c r="V234" s="399"/>
      <c r="W234" s="399"/>
      <c r="X234" s="399"/>
      <c r="Y234" s="399"/>
      <c r="Z234" s="399"/>
    </row>
    <row r="235" spans="1:26" ht="15.75" customHeight="1">
      <c r="A235" s="592" t="s">
        <v>1966</v>
      </c>
      <c r="B235" s="792" t="s">
        <v>2700</v>
      </c>
      <c r="C235" s="793" t="s">
        <v>2701</v>
      </c>
      <c r="D235" s="576" t="s">
        <v>2360</v>
      </c>
      <c r="E235" s="577">
        <v>45684</v>
      </c>
      <c r="F235" s="577">
        <v>45684</v>
      </c>
      <c r="G235" s="577"/>
      <c r="H235" s="577">
        <v>45700</v>
      </c>
      <c r="I235" s="598">
        <f ca="1">IF(ISBLANK(H235), NETWORKDAYS(F235, TODAY(),fESTIVOS!$A$1:$A$18), NETWORKDAYS(F235, H235, fESTIVOS!$A$1:$A$18))</f>
        <v>13</v>
      </c>
      <c r="J235" s="577"/>
      <c r="K235" s="577">
        <v>45700</v>
      </c>
      <c r="L235" s="580" t="s">
        <v>2702</v>
      </c>
      <c r="M235" s="354"/>
      <c r="N235" s="354"/>
      <c r="O235" s="354"/>
      <c r="P235" s="354"/>
      <c r="Q235" s="354"/>
      <c r="R235" s="354"/>
      <c r="S235" s="354"/>
      <c r="T235" s="354"/>
      <c r="U235" s="354"/>
      <c r="V235" s="354"/>
      <c r="W235" s="354"/>
      <c r="X235" s="354"/>
      <c r="Y235" s="354"/>
      <c r="Z235" s="354"/>
    </row>
    <row r="236" spans="1:26" ht="15.75" customHeight="1">
      <c r="A236" s="392" t="s">
        <v>1991</v>
      </c>
      <c r="B236" s="620" t="s">
        <v>2703</v>
      </c>
      <c r="C236" s="394"/>
      <c r="D236" s="618" t="s">
        <v>76</v>
      </c>
      <c r="E236" s="396">
        <v>45700</v>
      </c>
      <c r="F236" s="396">
        <v>45700</v>
      </c>
      <c r="G236" s="372"/>
      <c r="H236" s="396">
        <v>45700</v>
      </c>
      <c r="I236" s="374">
        <f ca="1">IF(ISBLANK(H236), NETWORKDAYS(F236, TODAY(),fESTIVOS!$A$1:$A$18), NETWORKDAYS(F236, H236, fESTIVOS!$A$1:$A$18))</f>
        <v>1</v>
      </c>
      <c r="J236" s="394"/>
      <c r="K236" s="394"/>
      <c r="L236" s="714"/>
      <c r="M236" s="399"/>
      <c r="N236" s="399"/>
      <c r="O236" s="399"/>
      <c r="P236" s="399"/>
      <c r="Q236" s="399"/>
      <c r="R236" s="399"/>
      <c r="S236" s="399"/>
      <c r="T236" s="399"/>
      <c r="U236" s="399"/>
      <c r="V236" s="399"/>
      <c r="W236" s="399"/>
      <c r="X236" s="399"/>
      <c r="Y236" s="399"/>
      <c r="Z236" s="399"/>
    </row>
    <row r="237" spans="1:26" ht="15.75" customHeight="1">
      <c r="A237" s="392" t="s">
        <v>1991</v>
      </c>
      <c r="B237" s="890" t="s">
        <v>2704</v>
      </c>
      <c r="C237" s="582" t="s">
        <v>1993</v>
      </c>
      <c r="D237" s="618" t="s">
        <v>2705</v>
      </c>
      <c r="E237" s="396">
        <v>45665</v>
      </c>
      <c r="F237" s="396">
        <v>45665</v>
      </c>
      <c r="G237" s="396">
        <v>45667</v>
      </c>
      <c r="H237" s="396">
        <v>45670</v>
      </c>
      <c r="I237" s="374">
        <f ca="1">IF(ISBLANK(H237), NETWORKDAYS(F237, TODAY(),fESTIVOS!$A$1:$A$18), NETWORKDAYS(F237, H237, fESTIVOS!$A$1:$A$18))</f>
        <v>4</v>
      </c>
      <c r="J237" s="396"/>
      <c r="K237" s="396"/>
      <c r="L237" s="714"/>
      <c r="M237" s="589"/>
      <c r="N237" s="354"/>
      <c r="O237" s="354"/>
      <c r="P237" s="354"/>
      <c r="Q237" s="354"/>
      <c r="R237" s="354"/>
      <c r="S237" s="354"/>
      <c r="T237" s="354"/>
      <c r="U237" s="354"/>
      <c r="V237" s="354"/>
      <c r="W237" s="354"/>
      <c r="X237" s="354"/>
      <c r="Y237" s="354"/>
      <c r="Z237" s="354"/>
    </row>
    <row r="238" spans="1:26" ht="15.75" customHeight="1">
      <c r="A238" s="392" t="s">
        <v>1991</v>
      </c>
      <c r="B238" s="891"/>
      <c r="C238" s="582" t="s">
        <v>2706</v>
      </c>
      <c r="D238" s="371" t="s">
        <v>2360</v>
      </c>
      <c r="E238" s="396">
        <v>45665</v>
      </c>
      <c r="F238" s="396">
        <v>45666</v>
      </c>
      <c r="G238" s="396"/>
      <c r="H238" s="396">
        <v>45670</v>
      </c>
      <c r="I238" s="374">
        <f ca="1">IF(ISBLANK(H238), NETWORKDAYS(F238, TODAY(),fESTIVOS!$A$1:$A$18), NETWORKDAYS(F238, H238, fESTIVOS!$A$1:$A$18))</f>
        <v>3</v>
      </c>
      <c r="J238" s="396">
        <v>45670</v>
      </c>
      <c r="K238" s="396"/>
      <c r="L238" s="714" t="s">
        <v>2707</v>
      </c>
      <c r="M238" s="589"/>
      <c r="N238" s="354"/>
      <c r="O238" s="354"/>
      <c r="P238" s="354"/>
      <c r="Q238" s="354"/>
      <c r="R238" s="354"/>
      <c r="S238" s="354"/>
      <c r="T238" s="354"/>
      <c r="U238" s="354"/>
      <c r="V238" s="354"/>
      <c r="W238" s="354"/>
      <c r="X238" s="354"/>
      <c r="Y238" s="354"/>
      <c r="Z238" s="354"/>
    </row>
    <row r="239" spans="1:26" ht="15.75" customHeight="1">
      <c r="A239" s="377" t="s">
        <v>1981</v>
      </c>
      <c r="B239" s="377" t="s">
        <v>2708</v>
      </c>
      <c r="C239" s="377" t="s">
        <v>2709</v>
      </c>
      <c r="D239" s="371" t="s">
        <v>76</v>
      </c>
      <c r="E239" s="396">
        <v>45692</v>
      </c>
      <c r="F239" s="378">
        <v>45701</v>
      </c>
      <c r="G239" s="371"/>
      <c r="H239" s="378">
        <v>45701</v>
      </c>
      <c r="I239" s="374">
        <f ca="1">IF(ISBLANK(H239), NETWORKDAYS(F239, TODAY(),fESTIVOS!$A$1:$A$18), NETWORKDAYS(F239, H239, fESTIVOS!$A$1:$A$18))</f>
        <v>1</v>
      </c>
      <c r="J239" s="392"/>
      <c r="K239" s="392"/>
      <c r="L239" s="794" t="s">
        <v>2710</v>
      </c>
      <c r="M239" s="589"/>
      <c r="N239" s="354"/>
      <c r="O239" s="354"/>
      <c r="P239" s="354"/>
      <c r="Q239" s="354"/>
      <c r="R239" s="354"/>
      <c r="S239" s="354"/>
      <c r="T239" s="354"/>
      <c r="U239" s="354"/>
      <c r="V239" s="354"/>
      <c r="W239" s="354"/>
      <c r="X239" s="354"/>
      <c r="Y239" s="354"/>
      <c r="Z239" s="354"/>
    </row>
    <row r="240" spans="1:26" ht="15.75" customHeight="1">
      <c r="A240" s="591" t="s">
        <v>2239</v>
      </c>
      <c r="B240" s="600"/>
      <c r="C240" s="733" t="s">
        <v>2711</v>
      </c>
      <c r="D240" s="596" t="s">
        <v>76</v>
      </c>
      <c r="E240" s="665">
        <v>45588</v>
      </c>
      <c r="F240" s="597">
        <v>45631</v>
      </c>
      <c r="G240" s="597"/>
      <c r="H240" s="597">
        <v>45631</v>
      </c>
      <c r="I240" s="598">
        <f ca="1">IF(ISBLANK(H240), NETWORKDAYS(F240, TODAY(),fESTIVOS!$A$1:$A$18), NETWORKDAYS(F240, H240, fESTIVOS!$A$1:$A$18))</f>
        <v>1</v>
      </c>
      <c r="J240" s="597">
        <v>45631</v>
      </c>
      <c r="K240" s="597">
        <v>45631</v>
      </c>
      <c r="L240" s="625" t="s">
        <v>2712</v>
      </c>
      <c r="M240" s="624"/>
      <c r="N240" s="360"/>
      <c r="O240" s="360"/>
      <c r="P240" s="360"/>
      <c r="Q240" s="360"/>
      <c r="R240" s="360"/>
      <c r="S240" s="360"/>
      <c r="T240" s="360"/>
      <c r="U240" s="360"/>
      <c r="V240" s="360"/>
      <c r="W240" s="360"/>
      <c r="X240" s="360"/>
      <c r="Y240" s="360"/>
      <c r="Z240" s="360"/>
    </row>
    <row r="241" spans="1:26" ht="15.75" customHeight="1">
      <c r="A241" s="591" t="s">
        <v>2239</v>
      </c>
      <c r="B241" s="600"/>
      <c r="C241" s="733" t="s">
        <v>2713</v>
      </c>
      <c r="D241" s="596" t="s">
        <v>76</v>
      </c>
      <c r="E241" s="665">
        <v>45643</v>
      </c>
      <c r="F241" s="597"/>
      <c r="G241" s="597"/>
      <c r="H241" s="597"/>
      <c r="I241" s="598">
        <f ca="1">IF(ISBLANK(H241), NETWORKDAYS(F241, TODAY(),fESTIVOS!$A$1:$A$18), NETWORKDAYS(F241, H241, fESTIVOS!$A$1:$A$18))</f>
        <v>32877</v>
      </c>
      <c r="J241" s="597"/>
      <c r="K241" s="597"/>
      <c r="L241" s="738" t="s">
        <v>2714</v>
      </c>
      <c r="M241" s="624"/>
      <c r="N241" s="360"/>
      <c r="O241" s="360"/>
      <c r="P241" s="360"/>
      <c r="Q241" s="360"/>
      <c r="R241" s="360"/>
      <c r="S241" s="360"/>
      <c r="T241" s="360"/>
      <c r="U241" s="360"/>
      <c r="V241" s="360"/>
      <c r="W241" s="360"/>
      <c r="X241" s="360"/>
      <c r="Y241" s="360"/>
      <c r="Z241" s="360"/>
    </row>
    <row r="242" spans="1:26" ht="15.75" hidden="1" customHeight="1">
      <c r="D242" s="795"/>
    </row>
    <row r="243" spans="1:26" ht="15.75" hidden="1" customHeight="1">
      <c r="A243" s="368" t="s">
        <v>1973</v>
      </c>
      <c r="B243" s="712" t="s">
        <v>2715</v>
      </c>
      <c r="C243" s="617"/>
      <c r="D243" s="618" t="s">
        <v>501</v>
      </c>
      <c r="E243" s="396">
        <v>45686</v>
      </c>
      <c r="F243" s="396">
        <v>45686</v>
      </c>
      <c r="G243" s="396"/>
      <c r="H243" s="396"/>
      <c r="I243" s="374">
        <f ca="1">IF(ISBLANK(H243), NETWORKDAYS(F243, TODAY(),fESTIVOS!$A$1:$A$18), NETWORKDAYS(F243, H243, fESTIVOS!$A$1:$A$18))</f>
        <v>261</v>
      </c>
      <c r="J243" s="396"/>
      <c r="K243" s="396"/>
      <c r="L243" s="619" t="s">
        <v>2716</v>
      </c>
    </row>
    <row r="244" spans="1:26" ht="15.75" hidden="1" customHeight="1">
      <c r="A244" s="368" t="s">
        <v>1973</v>
      </c>
      <c r="B244" s="712" t="s">
        <v>2717</v>
      </c>
      <c r="C244" s="617"/>
      <c r="D244" s="618" t="s">
        <v>803</v>
      </c>
      <c r="E244" s="396">
        <v>45593</v>
      </c>
      <c r="F244" s="396">
        <v>45593</v>
      </c>
      <c r="G244" s="396">
        <v>45596</v>
      </c>
      <c r="H244" s="396">
        <v>45601</v>
      </c>
      <c r="I244" s="374">
        <f ca="1">IF(ISBLANK(H244), NETWORKDAYS(F244, TODAY(),fESTIVOS!$A$1:$A$18), NETWORKDAYS(F244, H244, fESTIVOS!$A$1:$A$18))</f>
        <v>6</v>
      </c>
      <c r="J244" s="396">
        <v>45660</v>
      </c>
      <c r="K244" s="396"/>
      <c r="L244" s="619" t="s">
        <v>2718</v>
      </c>
      <c r="M244" s="354"/>
      <c r="N244" s="354"/>
      <c r="O244" s="354"/>
      <c r="P244" s="354"/>
      <c r="Q244" s="354"/>
      <c r="R244" s="354"/>
      <c r="S244" s="354"/>
      <c r="T244" s="354"/>
      <c r="U244" s="354"/>
      <c r="V244" s="354"/>
      <c r="W244" s="354"/>
      <c r="X244" s="354"/>
      <c r="Y244" s="354"/>
      <c r="Z244" s="354"/>
    </row>
    <row r="245" spans="1:26" ht="15.75" hidden="1" customHeight="1">
      <c r="A245" s="377" t="s">
        <v>1973</v>
      </c>
      <c r="B245" s="890" t="s">
        <v>2719</v>
      </c>
      <c r="C245" s="617" t="s">
        <v>2720</v>
      </c>
      <c r="D245" s="618" t="s">
        <v>2721</v>
      </c>
      <c r="E245" s="396">
        <v>45615</v>
      </c>
      <c r="F245" s="396">
        <v>45615</v>
      </c>
      <c r="G245" s="396"/>
      <c r="H245" s="396">
        <v>45632</v>
      </c>
      <c r="I245" s="374">
        <f ca="1">IF(ISBLANK(H245), NETWORKDAYS(F245, TODAY(),fESTIVOS!$A$1:$A$18), NETWORKDAYS(F245, H245, fESTIVOS!$A$1:$A$18))</f>
        <v>14</v>
      </c>
      <c r="J245" s="396"/>
      <c r="K245" s="396"/>
      <c r="L245" s="619" t="s">
        <v>2722</v>
      </c>
      <c r="M245" s="354"/>
      <c r="N245" s="354"/>
      <c r="O245" s="354"/>
      <c r="P245" s="354"/>
      <c r="Q245" s="354"/>
      <c r="R245" s="354"/>
      <c r="S245" s="354"/>
      <c r="T245" s="354"/>
      <c r="U245" s="354"/>
      <c r="V245" s="354"/>
      <c r="W245" s="354"/>
      <c r="X245" s="354"/>
      <c r="Y245" s="354"/>
      <c r="Z245" s="354"/>
    </row>
    <row r="246" spans="1:26" ht="15.75" hidden="1" customHeight="1">
      <c r="A246" s="377" t="s">
        <v>1973</v>
      </c>
      <c r="B246" s="891"/>
      <c r="C246" s="395" t="s">
        <v>2723</v>
      </c>
      <c r="D246" s="618" t="s">
        <v>76</v>
      </c>
      <c r="E246" s="396">
        <v>45636</v>
      </c>
      <c r="F246" s="396">
        <v>45637</v>
      </c>
      <c r="G246" s="396">
        <v>45638</v>
      </c>
      <c r="H246" s="396">
        <v>45642</v>
      </c>
      <c r="I246" s="374">
        <f ca="1">IF(ISBLANK(H246), NETWORKDAYS(F246, TODAY(),fESTIVOS!$A$1:$A$18), NETWORKDAYS(F246, H246, fESTIVOS!$A$1:$A$18))</f>
        <v>4</v>
      </c>
      <c r="J246" s="396"/>
      <c r="K246" s="396"/>
      <c r="L246" s="619" t="s">
        <v>2724</v>
      </c>
      <c r="M246" s="354"/>
      <c r="N246" s="354"/>
      <c r="O246" s="354"/>
      <c r="P246" s="354"/>
      <c r="Q246" s="354"/>
      <c r="R246" s="354"/>
      <c r="S246" s="354"/>
      <c r="T246" s="354"/>
      <c r="U246" s="354"/>
      <c r="V246" s="354"/>
      <c r="W246" s="354"/>
      <c r="X246" s="354"/>
      <c r="Y246" s="354"/>
      <c r="Z246" s="354"/>
    </row>
    <row r="247" spans="1:26" ht="30" hidden="1" customHeight="1">
      <c r="A247" s="377" t="s">
        <v>1973</v>
      </c>
      <c r="B247" s="370" t="s">
        <v>2454</v>
      </c>
      <c r="C247" s="666" t="s">
        <v>2725</v>
      </c>
      <c r="D247" s="371" t="s">
        <v>232</v>
      </c>
      <c r="E247" s="396"/>
      <c r="F247" s="396"/>
      <c r="G247" s="396"/>
      <c r="H247" s="618">
        <v>0</v>
      </c>
      <c r="I247" s="374">
        <f ca="1">IF(ISBLANK(H247), NETWORKDAYS(F247, TODAY(),fESTIVOS!$A$1:$A$18), NETWORKDAYS(F247, H247, fESTIVOS!$A$1:$A$18))</f>
        <v>0</v>
      </c>
      <c r="J247" s="396"/>
      <c r="K247" s="396"/>
      <c r="L247" s="619"/>
      <c r="M247" s="354"/>
      <c r="N247" s="354"/>
      <c r="O247" s="354"/>
      <c r="P247" s="354"/>
      <c r="Q247" s="354"/>
      <c r="R247" s="354"/>
      <c r="S247" s="354"/>
      <c r="T247" s="354"/>
      <c r="U247" s="354"/>
      <c r="V247" s="354"/>
      <c r="W247" s="354"/>
      <c r="X247" s="354"/>
      <c r="Y247" s="354"/>
      <c r="Z247" s="354"/>
    </row>
    <row r="248" spans="1:26" ht="15.75" hidden="1" customHeight="1">
      <c r="A248" s="796" t="s">
        <v>2726</v>
      </c>
      <c r="B248" s="575" t="s">
        <v>2727</v>
      </c>
      <c r="C248" s="655" t="s">
        <v>2728</v>
      </c>
      <c r="D248" s="576" t="s">
        <v>232</v>
      </c>
      <c r="E248" s="577"/>
      <c r="F248" s="577"/>
      <c r="G248" s="577"/>
      <c r="H248" s="576">
        <v>0</v>
      </c>
      <c r="I248" s="640">
        <f ca="1">IF(ISBLANK(H248), NETWORKDAYS(F248, TODAY(),fESTIVOS!$A$1:$A$18), NETWORKDAYS(F248, H248, fESTIVOS!$A$1:$A$18))</f>
        <v>0</v>
      </c>
      <c r="J248" s="577"/>
      <c r="K248" s="577"/>
      <c r="L248" s="580" t="s">
        <v>2729</v>
      </c>
      <c r="M248" s="589"/>
      <c r="N248" s="354"/>
      <c r="O248" s="354"/>
      <c r="P248" s="354"/>
      <c r="Q248" s="354"/>
      <c r="R248" s="354"/>
      <c r="S248" s="354"/>
      <c r="T248" s="354"/>
      <c r="U248" s="354"/>
      <c r="V248" s="354"/>
      <c r="W248" s="354"/>
      <c r="X248" s="354"/>
      <c r="Y248" s="354"/>
      <c r="Z248" s="354"/>
    </row>
    <row r="249" spans="1:26" ht="15.75" customHeight="1">
      <c r="A249" s="588" t="s">
        <v>2239</v>
      </c>
      <c r="B249" s="582" t="s">
        <v>2730</v>
      </c>
      <c r="C249" s="572"/>
      <c r="D249" s="365" t="s">
        <v>76</v>
      </c>
      <c r="E249" s="364">
        <v>45664</v>
      </c>
      <c r="F249" s="364"/>
      <c r="G249" s="364"/>
      <c r="H249" s="364">
        <v>45674</v>
      </c>
      <c r="I249" s="366">
        <f ca="1">IF(ISBLANK(H249), NETWORKDAYS(F249, TODAY(),fESTIVOS!$A$1:$A$18), NETWORKDAYS(F249, H249, fESTIVOS!$A$1:$A$18))</f>
        <v>32609</v>
      </c>
      <c r="J249" s="364"/>
      <c r="K249" s="364"/>
      <c r="L249" s="367"/>
      <c r="M249" s="589"/>
      <c r="N249" s="354"/>
      <c r="O249" s="354"/>
      <c r="P249" s="354"/>
      <c r="Q249" s="354"/>
      <c r="R249" s="354"/>
      <c r="S249" s="354"/>
      <c r="T249" s="354"/>
      <c r="U249" s="354"/>
      <c r="V249" s="354"/>
      <c r="W249" s="354"/>
      <c r="X249" s="354"/>
      <c r="Y249" s="354"/>
      <c r="Z249" s="354"/>
    </row>
    <row r="250" spans="1:26" ht="15.75" customHeight="1">
      <c r="A250" s="377" t="s">
        <v>1981</v>
      </c>
      <c r="B250" s="401" t="s">
        <v>2731</v>
      </c>
      <c r="C250" s="371" t="s">
        <v>2732</v>
      </c>
      <c r="D250" s="377" t="s">
        <v>76</v>
      </c>
      <c r="E250" s="396">
        <v>45664</v>
      </c>
      <c r="F250" s="396">
        <v>45667</v>
      </c>
      <c r="G250" s="396">
        <v>45670</v>
      </c>
      <c r="H250" s="396">
        <v>45670</v>
      </c>
      <c r="I250" s="374">
        <f ca="1">IF(ISBLANK(H250), NETWORKDAYS(F250, TODAY(),fESTIVOS!$A$1:$A$18), NETWORKDAYS(F250, H250, fESTIVOS!$A$1:$A$18))</f>
        <v>2</v>
      </c>
      <c r="J250" s="618"/>
      <c r="K250" s="618"/>
      <c r="L250" s="395" t="s">
        <v>2733</v>
      </c>
      <c r="M250" s="354"/>
      <c r="N250" s="354"/>
      <c r="O250" s="354"/>
      <c r="P250" s="354"/>
      <c r="Q250" s="354"/>
      <c r="R250" s="354"/>
      <c r="S250" s="354"/>
      <c r="T250" s="354"/>
      <c r="U250" s="354"/>
      <c r="V250" s="354"/>
      <c r="W250" s="354"/>
      <c r="X250" s="354"/>
      <c r="Y250" s="354"/>
      <c r="Z250" s="354"/>
    </row>
    <row r="251" spans="1:26" ht="15.75" customHeight="1">
      <c r="A251" s="615" t="s">
        <v>1981</v>
      </c>
      <c r="B251" s="377" t="s">
        <v>2734</v>
      </c>
      <c r="C251" s="392"/>
      <c r="D251" s="719" t="s">
        <v>2360</v>
      </c>
      <c r="E251" s="378">
        <v>45665</v>
      </c>
      <c r="F251" s="378">
        <v>45670</v>
      </c>
      <c r="G251" s="396">
        <v>45325</v>
      </c>
      <c r="H251" s="378">
        <v>45672</v>
      </c>
      <c r="I251" s="374">
        <f ca="1">IF(ISBLANK(H251), NETWORKDAYS(F251, TODAY(),fESTIVOS!$A$1:$A$18), NETWORKDAYS(F251, H251, fESTIVOS!$A$1:$A$18))</f>
        <v>3</v>
      </c>
      <c r="J251" s="378">
        <v>45672</v>
      </c>
      <c r="K251" s="378">
        <v>45673</v>
      </c>
      <c r="L251" s="619" t="s">
        <v>2735</v>
      </c>
      <c r="M251" s="589"/>
      <c r="N251" s="354"/>
      <c r="O251" s="354"/>
      <c r="P251" s="354"/>
      <c r="Q251" s="354"/>
      <c r="R251" s="354"/>
      <c r="S251" s="354"/>
      <c r="T251" s="354"/>
      <c r="U251" s="354"/>
      <c r="V251" s="354"/>
      <c r="W251" s="354"/>
      <c r="X251" s="354"/>
      <c r="Y251" s="354"/>
      <c r="Z251" s="354"/>
    </row>
    <row r="252" spans="1:26" ht="15.75" customHeight="1">
      <c r="A252" s="377" t="s">
        <v>2239</v>
      </c>
      <c r="B252" s="747" t="s">
        <v>2579</v>
      </c>
      <c r="C252" s="395" t="s">
        <v>2736</v>
      </c>
      <c r="D252" s="618" t="s">
        <v>76</v>
      </c>
      <c r="E252" s="396">
        <v>45693</v>
      </c>
      <c r="F252" s="396">
        <v>45693</v>
      </c>
      <c r="G252" s="396"/>
      <c r="H252" s="618"/>
      <c r="I252" s="374">
        <f ca="1">IF(ISBLANK(H252), NETWORKDAYS(F252, TODAY(),fESTIVOS!$A$1:$A$18), NETWORKDAYS(F252, H252, fESTIVOS!$A$1:$A$18))</f>
        <v>256</v>
      </c>
      <c r="J252" s="396"/>
      <c r="K252" s="396"/>
      <c r="L252" s="619" t="s">
        <v>2737</v>
      </c>
      <c r="M252" s="589"/>
      <c r="N252" s="354"/>
      <c r="O252" s="354"/>
      <c r="P252" s="354"/>
      <c r="Q252" s="354"/>
      <c r="R252" s="354"/>
      <c r="S252" s="354"/>
      <c r="T252" s="354"/>
      <c r="U252" s="354"/>
      <c r="V252" s="354"/>
      <c r="W252" s="354"/>
      <c r="X252" s="354"/>
      <c r="Y252" s="354"/>
      <c r="Z252" s="354"/>
    </row>
    <row r="253" spans="1:26" ht="15.75" customHeight="1">
      <c r="A253" s="377" t="s">
        <v>1981</v>
      </c>
      <c r="B253" s="393" t="s">
        <v>2738</v>
      </c>
      <c r="C253" s="371" t="s">
        <v>2739</v>
      </c>
      <c r="D253" s="371" t="s">
        <v>76</v>
      </c>
      <c r="E253" s="396">
        <v>45636</v>
      </c>
      <c r="F253" s="396">
        <v>45637</v>
      </c>
      <c r="G253" s="618"/>
      <c r="H253" s="618"/>
      <c r="I253" s="374">
        <f ca="1">IF(ISBLANK(H253), NETWORKDAYS(F253, TODAY(),fESTIVOS!$A$1:$A$18), NETWORKDAYS(F253, H253, fESTIVOS!$A$1:$A$18))</f>
        <v>295</v>
      </c>
      <c r="J253" s="618"/>
      <c r="K253" s="618"/>
      <c r="L253" s="395" t="s">
        <v>2740</v>
      </c>
      <c r="M253" s="354"/>
      <c r="N253" s="354"/>
      <c r="O253" s="354"/>
      <c r="P253" s="354"/>
      <c r="Q253" s="354"/>
      <c r="R253" s="354"/>
      <c r="S253" s="354"/>
      <c r="T253" s="354"/>
      <c r="U253" s="354"/>
      <c r="V253" s="354"/>
      <c r="W253" s="354"/>
      <c r="X253" s="354"/>
      <c r="Y253" s="354"/>
      <c r="Z253" s="354"/>
    </row>
    <row r="254" spans="1:26" ht="15.75" customHeight="1">
      <c r="A254" s="377" t="s">
        <v>1981</v>
      </c>
      <c r="B254" s="401"/>
      <c r="C254" s="371" t="s">
        <v>2741</v>
      </c>
      <c r="D254" s="377" t="s">
        <v>501</v>
      </c>
      <c r="E254" s="396">
        <v>45660</v>
      </c>
      <c r="F254" s="396">
        <v>45666</v>
      </c>
      <c r="G254" s="396">
        <v>45667</v>
      </c>
      <c r="H254" s="396">
        <v>45702</v>
      </c>
      <c r="I254" s="374">
        <f ca="1">IF(ISBLANK(H254), NETWORKDAYS(F254, TODAY(),fESTIVOS!$A$1:$A$18), NETWORKDAYS(F254, H254, fESTIVOS!$A$1:$A$18))</f>
        <v>27</v>
      </c>
      <c r="J254" s="618"/>
      <c r="K254" s="618"/>
      <c r="L254" s="395" t="s">
        <v>2742</v>
      </c>
      <c r="M254" s="354"/>
      <c r="N254" s="354"/>
      <c r="O254" s="354"/>
      <c r="P254" s="354"/>
      <c r="Q254" s="354"/>
      <c r="R254" s="354"/>
      <c r="S254" s="354"/>
      <c r="T254" s="354"/>
      <c r="U254" s="354"/>
      <c r="V254" s="354"/>
      <c r="W254" s="354"/>
      <c r="X254" s="354"/>
      <c r="Y254" s="354"/>
      <c r="Z254" s="354"/>
    </row>
    <row r="255" spans="1:26" ht="15.75" customHeight="1">
      <c r="A255" s="771" t="s">
        <v>1966</v>
      </c>
      <c r="B255" s="797" t="s">
        <v>2743</v>
      </c>
      <c r="C255" s="628"/>
      <c r="D255" s="610" t="s">
        <v>2315</v>
      </c>
      <c r="E255" s="634">
        <v>45678</v>
      </c>
      <c r="F255" s="634">
        <v>45680</v>
      </c>
      <c r="G255" s="634"/>
      <c r="H255" s="634">
        <v>45680</v>
      </c>
      <c r="I255" s="579">
        <f ca="1">IF(ISBLANK(H255), NETWORKDAYS(F255, TODAY(),fESTIVOS!$A$1:$A$18), NETWORKDAYS(F255, H255, fESTIVOS!$A$1:$A$18))</f>
        <v>1</v>
      </c>
      <c r="J255" s="634">
        <v>45686</v>
      </c>
      <c r="K255" s="634">
        <v>45706</v>
      </c>
      <c r="L255" s="635" t="s">
        <v>2744</v>
      </c>
      <c r="M255" s="354"/>
      <c r="N255" s="354"/>
      <c r="O255" s="354"/>
      <c r="P255" s="354"/>
      <c r="Q255" s="354"/>
      <c r="R255" s="354"/>
      <c r="S255" s="354"/>
      <c r="T255" s="354"/>
      <c r="U255" s="354"/>
      <c r="V255" s="354"/>
      <c r="W255" s="354"/>
      <c r="X255" s="354"/>
      <c r="Y255" s="354"/>
      <c r="Z255" s="354"/>
    </row>
    <row r="256" spans="1:26" ht="15.75" customHeight="1">
      <c r="A256" s="377" t="s">
        <v>2239</v>
      </c>
      <c r="B256" s="370" t="s">
        <v>2745</v>
      </c>
      <c r="C256" s="395"/>
      <c r="D256" s="618" t="s">
        <v>76</v>
      </c>
      <c r="E256" s="396">
        <v>45707</v>
      </c>
      <c r="F256" s="396">
        <v>45707</v>
      </c>
      <c r="G256" s="396"/>
      <c r="H256" s="396">
        <v>45708</v>
      </c>
      <c r="I256" s="374">
        <f ca="1">IF(ISBLANK(H256), NETWORKDAYS(F256, TODAY(),fESTIVOS!$A$1:$A$18), NETWORKDAYS(F256, H256, fESTIVOS!$A$1:$A$18))</f>
        <v>2</v>
      </c>
      <c r="J256" s="396"/>
      <c r="K256" s="396">
        <v>45708</v>
      </c>
      <c r="L256" s="619" t="s">
        <v>2746</v>
      </c>
      <c r="M256" s="589"/>
      <c r="N256" s="354"/>
      <c r="O256" s="354"/>
      <c r="P256" s="354"/>
      <c r="Q256" s="354"/>
      <c r="R256" s="354"/>
      <c r="S256" s="354"/>
      <c r="T256" s="354"/>
      <c r="U256" s="354"/>
      <c r="V256" s="354"/>
      <c r="W256" s="354"/>
      <c r="X256" s="354"/>
      <c r="Y256" s="354"/>
      <c r="Z256" s="354"/>
    </row>
    <row r="257" spans="1:33" ht="15.75" customHeight="1">
      <c r="A257" s="377" t="s">
        <v>2239</v>
      </c>
      <c r="B257" s="370" t="s">
        <v>2747</v>
      </c>
      <c r="C257" s="395"/>
      <c r="D257" s="618" t="s">
        <v>76</v>
      </c>
      <c r="E257" s="396">
        <v>45707</v>
      </c>
      <c r="F257" s="396">
        <v>45707</v>
      </c>
      <c r="G257" s="396"/>
      <c r="H257" s="396">
        <v>45708</v>
      </c>
      <c r="I257" s="374">
        <f ca="1">IF(ISBLANK(H257), NETWORKDAYS(F257, TODAY(),fESTIVOS!$A$1:$A$18), NETWORKDAYS(F257, H257, fESTIVOS!$A$1:$A$18))</f>
        <v>2</v>
      </c>
      <c r="J257" s="396"/>
      <c r="K257" s="396">
        <v>45708</v>
      </c>
      <c r="L257" s="714" t="s">
        <v>2748</v>
      </c>
      <c r="M257" s="589"/>
      <c r="N257" s="354"/>
      <c r="O257" s="354"/>
      <c r="P257" s="354"/>
      <c r="Q257" s="354"/>
      <c r="R257" s="354"/>
      <c r="S257" s="354"/>
      <c r="T257" s="354"/>
      <c r="U257" s="354"/>
      <c r="V257" s="354"/>
      <c r="W257" s="354"/>
      <c r="X257" s="354"/>
      <c r="Y257" s="354"/>
      <c r="Z257" s="354"/>
    </row>
    <row r="258" spans="1:33" ht="15.75" customHeight="1">
      <c r="A258" s="377" t="s">
        <v>2239</v>
      </c>
      <c r="B258" s="370" t="s">
        <v>2749</v>
      </c>
      <c r="C258" s="395"/>
      <c r="D258" s="618" t="s">
        <v>76</v>
      </c>
      <c r="E258" s="396">
        <v>45707</v>
      </c>
      <c r="F258" s="396">
        <v>45707</v>
      </c>
      <c r="G258" s="396"/>
      <c r="H258" s="396">
        <v>45708</v>
      </c>
      <c r="I258" s="374">
        <f ca="1">IF(ISBLANK(H258), NETWORKDAYS(F258, TODAY(),fESTIVOS!$A$1:$A$18), NETWORKDAYS(F258, H258, fESTIVOS!$A$1:$A$18))</f>
        <v>2</v>
      </c>
      <c r="J258" s="396"/>
      <c r="K258" s="396"/>
      <c r="L258" s="714" t="s">
        <v>2750</v>
      </c>
      <c r="M258" s="589"/>
      <c r="N258" s="354"/>
      <c r="O258" s="354"/>
      <c r="P258" s="354"/>
      <c r="Q258" s="354"/>
      <c r="R258" s="354"/>
      <c r="S258" s="354"/>
      <c r="T258" s="354"/>
      <c r="U258" s="354"/>
      <c r="V258" s="354"/>
      <c r="W258" s="354"/>
      <c r="X258" s="354"/>
      <c r="Y258" s="354"/>
      <c r="Z258" s="354"/>
    </row>
    <row r="259" spans="1:33" ht="15.75" customHeight="1">
      <c r="A259" s="392" t="s">
        <v>1966</v>
      </c>
      <c r="B259" s="620" t="s">
        <v>2751</v>
      </c>
      <c r="C259" s="617"/>
      <c r="D259" s="618" t="s">
        <v>76</v>
      </c>
      <c r="E259" s="396">
        <v>45706</v>
      </c>
      <c r="F259" s="396">
        <v>45706</v>
      </c>
      <c r="G259" s="396"/>
      <c r="H259" s="396">
        <v>45707</v>
      </c>
      <c r="I259" s="374">
        <f ca="1">IF(ISBLANK(H259), NETWORKDAYS(F259, TODAY(),fESTIVOS!$A$1:$A$18), NETWORKDAYS(F259, H259, fESTIVOS!$A$1:$A$18))</f>
        <v>2</v>
      </c>
      <c r="J259" s="396"/>
      <c r="K259" s="396">
        <v>45707</v>
      </c>
      <c r="L259" s="619" t="s">
        <v>2752</v>
      </c>
      <c r="M259" s="354"/>
      <c r="N259" s="354"/>
      <c r="O259" s="354"/>
      <c r="P259" s="354"/>
      <c r="Q259" s="354"/>
      <c r="R259" s="354"/>
      <c r="S259" s="354"/>
      <c r="T259" s="354"/>
      <c r="U259" s="354"/>
      <c r="V259" s="354"/>
      <c r="W259" s="354"/>
      <c r="X259" s="354"/>
      <c r="Y259" s="354"/>
      <c r="Z259" s="354"/>
    </row>
    <row r="260" spans="1:33" ht="15.75" customHeight="1">
      <c r="A260" s="392" t="s">
        <v>1991</v>
      </c>
      <c r="B260" s="747" t="s">
        <v>2613</v>
      </c>
      <c r="C260" s="395" t="s">
        <v>2753</v>
      </c>
      <c r="D260" s="371" t="s">
        <v>76</v>
      </c>
      <c r="E260" s="396">
        <v>45597</v>
      </c>
      <c r="F260" s="396"/>
      <c r="G260" s="396"/>
      <c r="H260" s="618">
        <v>0</v>
      </c>
      <c r="I260" s="374">
        <f ca="1">IF(ISBLANK(H260), NETWORKDAYS(F260, TODAY(),fESTIVOS!$A$1:$A$18), NETWORKDAYS(F260, H260, fESTIVOS!$A$1:$A$18))</f>
        <v>0</v>
      </c>
      <c r="J260" s="396"/>
      <c r="K260" s="396"/>
      <c r="L260" s="619"/>
      <c r="M260" s="589"/>
      <c r="N260" s="354"/>
      <c r="O260" s="354"/>
      <c r="P260" s="354"/>
      <c r="Q260" s="354"/>
      <c r="R260" s="354"/>
      <c r="S260" s="354"/>
      <c r="T260" s="354"/>
      <c r="U260" s="354"/>
      <c r="V260" s="354"/>
      <c r="W260" s="354"/>
      <c r="X260" s="354"/>
      <c r="Y260" s="354"/>
      <c r="Z260" s="354"/>
    </row>
    <row r="261" spans="1:33" ht="15.75" customHeight="1">
      <c r="A261" s="392" t="s">
        <v>1991</v>
      </c>
      <c r="B261" s="620" t="s">
        <v>2697</v>
      </c>
      <c r="C261" s="791" t="s">
        <v>2754</v>
      </c>
      <c r="D261" s="371" t="s">
        <v>2315</v>
      </c>
      <c r="E261" s="396">
        <v>45698</v>
      </c>
      <c r="F261" s="396">
        <v>45698</v>
      </c>
      <c r="G261" s="372"/>
      <c r="H261" s="618"/>
      <c r="I261" s="374">
        <f ca="1">IF(ISBLANK(H261), NETWORKDAYS(F261, TODAY(),fESTIVOS!$A$1:$A$18), NETWORKDAYS(F261, H261, fESTIVOS!$A$1:$A$18))</f>
        <v>253</v>
      </c>
      <c r="J261" s="394"/>
      <c r="K261" s="763">
        <v>45698</v>
      </c>
      <c r="L261" s="790" t="s">
        <v>2755</v>
      </c>
      <c r="M261" s="399"/>
      <c r="N261" s="399"/>
      <c r="O261" s="399"/>
      <c r="P261" s="399"/>
      <c r="Q261" s="399"/>
      <c r="R261" s="399"/>
      <c r="S261" s="399"/>
      <c r="T261" s="399"/>
      <c r="U261" s="399"/>
      <c r="V261" s="399"/>
      <c r="W261" s="399"/>
      <c r="X261" s="399"/>
      <c r="Y261" s="399"/>
      <c r="Z261" s="399"/>
    </row>
    <row r="262" spans="1:33" ht="15.75" customHeight="1">
      <c r="A262" s="392" t="s">
        <v>1991</v>
      </c>
      <c r="B262" s="620" t="s">
        <v>2697</v>
      </c>
      <c r="C262" s="584" t="s">
        <v>2756</v>
      </c>
      <c r="D262" s="371" t="s">
        <v>76</v>
      </c>
      <c r="E262" s="396">
        <v>45707</v>
      </c>
      <c r="F262" s="396">
        <v>45708</v>
      </c>
      <c r="G262" s="372"/>
      <c r="H262" s="396">
        <v>45709</v>
      </c>
      <c r="I262" s="374">
        <f ca="1">IF(ISBLANK(H262), NETWORKDAYS(F262, TODAY(),fESTIVOS!$A$1:$A$18), NETWORKDAYS(F262, H262, fESTIVOS!$A$1:$A$18))</f>
        <v>2</v>
      </c>
      <c r="J262" s="394"/>
      <c r="K262" s="763"/>
      <c r="L262" s="790" t="s">
        <v>2757</v>
      </c>
      <c r="M262" s="399"/>
      <c r="N262" s="399"/>
      <c r="O262" s="399"/>
      <c r="P262" s="399"/>
      <c r="Q262" s="399"/>
      <c r="R262" s="399"/>
      <c r="S262" s="399"/>
      <c r="T262" s="399"/>
      <c r="U262" s="399"/>
      <c r="V262" s="399"/>
      <c r="W262" s="399"/>
      <c r="X262" s="399"/>
      <c r="Y262" s="399"/>
      <c r="Z262" s="399"/>
    </row>
    <row r="263" spans="1:33" ht="15.75" customHeight="1">
      <c r="A263" s="392" t="s">
        <v>1991</v>
      </c>
      <c r="B263" s="620" t="s">
        <v>2697</v>
      </c>
      <c r="C263" s="798" t="s">
        <v>2758</v>
      </c>
      <c r="D263" s="371" t="s">
        <v>501</v>
      </c>
      <c r="E263" s="396">
        <v>45698</v>
      </c>
      <c r="F263" s="396">
        <v>45698</v>
      </c>
      <c r="G263" s="372"/>
      <c r="H263" s="618"/>
      <c r="I263" s="374">
        <f ca="1">IF(ISBLANK(H263), NETWORKDAYS(F263, TODAY(),fESTIVOS!$A$1:$A$18), NETWORKDAYS(F263, H263, fESTIVOS!$A$1:$A$18))</f>
        <v>253</v>
      </c>
      <c r="J263" s="394"/>
      <c r="K263" s="763"/>
      <c r="L263" s="752" t="s">
        <v>2759</v>
      </c>
      <c r="M263" s="399"/>
      <c r="N263" s="399"/>
      <c r="O263" s="399"/>
      <c r="P263" s="399"/>
      <c r="Q263" s="399"/>
      <c r="R263" s="399"/>
      <c r="S263" s="399"/>
      <c r="T263" s="399"/>
      <c r="U263" s="399"/>
      <c r="V263" s="399"/>
      <c r="W263" s="399"/>
      <c r="X263" s="399"/>
      <c r="Y263" s="399"/>
      <c r="Z263" s="399"/>
    </row>
    <row r="264" spans="1:33" ht="15.75" customHeight="1">
      <c r="A264" s="392" t="s">
        <v>1991</v>
      </c>
      <c r="B264" s="620" t="s">
        <v>2697</v>
      </c>
      <c r="C264" s="751" t="s">
        <v>2760</v>
      </c>
      <c r="D264" s="371" t="s">
        <v>76</v>
      </c>
      <c r="E264" s="396">
        <v>45700</v>
      </c>
      <c r="F264" s="396">
        <v>45701</v>
      </c>
      <c r="G264" s="372"/>
      <c r="H264" s="618"/>
      <c r="I264" s="374">
        <f ca="1">IF(ISBLANK(H264), NETWORKDAYS(F264, TODAY(),fESTIVOS!$A$1:$A$18), NETWORKDAYS(F264, H264, fESTIVOS!$A$1:$A$18))</f>
        <v>250</v>
      </c>
      <c r="J264" s="394"/>
      <c r="K264" s="763"/>
      <c r="L264" s="752"/>
      <c r="M264" s="399"/>
      <c r="N264" s="399"/>
      <c r="O264" s="399"/>
      <c r="P264" s="399"/>
      <c r="Q264" s="399"/>
      <c r="R264" s="399"/>
      <c r="S264" s="399"/>
      <c r="T264" s="399"/>
      <c r="U264" s="399"/>
      <c r="V264" s="399"/>
      <c r="W264" s="399"/>
      <c r="X264" s="399"/>
      <c r="Y264" s="399"/>
      <c r="Z264" s="399"/>
    </row>
    <row r="265" spans="1:33" ht="15.75" customHeight="1">
      <c r="A265" s="392" t="s">
        <v>1991</v>
      </c>
      <c r="B265" s="620" t="s">
        <v>2697</v>
      </c>
      <c r="C265" s="751" t="s">
        <v>2761</v>
      </c>
      <c r="D265" s="371" t="s">
        <v>76</v>
      </c>
      <c r="E265" s="396">
        <v>45701</v>
      </c>
      <c r="F265" s="396">
        <v>45701</v>
      </c>
      <c r="G265" s="372"/>
      <c r="H265" s="396">
        <v>45707</v>
      </c>
      <c r="I265" s="374">
        <f ca="1">IF(ISBLANK(H265), NETWORKDAYS(F265, TODAY(),fESTIVOS!$A$1:$A$18), NETWORKDAYS(F265, H265, fESTIVOS!$A$1:$A$18))</f>
        <v>5</v>
      </c>
      <c r="J265" s="394"/>
      <c r="K265" s="763"/>
      <c r="L265" s="752" t="s">
        <v>2762</v>
      </c>
      <c r="M265" s="399"/>
      <c r="N265" s="399"/>
      <c r="O265" s="399"/>
      <c r="P265" s="399"/>
      <c r="Q265" s="399"/>
      <c r="R265" s="399"/>
      <c r="S265" s="399"/>
      <c r="T265" s="399"/>
      <c r="U265" s="399"/>
      <c r="V265" s="399"/>
      <c r="W265" s="399"/>
      <c r="X265" s="399"/>
      <c r="Y265" s="399"/>
      <c r="Z265" s="399"/>
    </row>
    <row r="266" spans="1:33" ht="15.75" customHeight="1">
      <c r="A266" s="392" t="s">
        <v>1991</v>
      </c>
      <c r="B266" s="620" t="s">
        <v>2697</v>
      </c>
      <c r="C266" s="751" t="s">
        <v>2763</v>
      </c>
      <c r="D266" s="371" t="s">
        <v>76</v>
      </c>
      <c r="E266" s="396">
        <v>45700</v>
      </c>
      <c r="F266" s="396"/>
      <c r="G266" s="372"/>
      <c r="H266" s="618"/>
      <c r="I266" s="374">
        <f ca="1">IF(ISBLANK(H266), NETWORKDAYS(F266, TODAY(),fESTIVOS!$A$1:$A$18), NETWORKDAYS(F266, H266, fESTIVOS!$A$1:$A$18))</f>
        <v>32877</v>
      </c>
      <c r="J266" s="394"/>
      <c r="K266" s="763"/>
      <c r="L266" s="752"/>
      <c r="M266" s="399"/>
      <c r="N266" s="399"/>
      <c r="O266" s="399"/>
      <c r="P266" s="399"/>
      <c r="Q266" s="399"/>
      <c r="R266" s="399"/>
      <c r="S266" s="399"/>
      <c r="T266" s="399"/>
      <c r="U266" s="399"/>
      <c r="V266" s="399"/>
      <c r="W266" s="399"/>
      <c r="X266" s="399"/>
      <c r="Y266" s="399"/>
      <c r="Z266" s="399"/>
    </row>
    <row r="267" spans="1:33" ht="15.75" customHeight="1">
      <c r="A267" s="392" t="s">
        <v>1991</v>
      </c>
      <c r="B267" s="620" t="s">
        <v>2697</v>
      </c>
      <c r="C267" s="751" t="s">
        <v>2764</v>
      </c>
      <c r="D267" s="371" t="s">
        <v>76</v>
      </c>
      <c r="E267" s="396">
        <v>45699</v>
      </c>
      <c r="F267" s="396">
        <v>45700</v>
      </c>
      <c r="G267" s="372"/>
      <c r="H267" s="396">
        <v>45701</v>
      </c>
      <c r="I267" s="374">
        <f ca="1">IF(ISBLANK(H267), NETWORKDAYS(F267, TODAY(),fESTIVOS!$A$1:$A$18), NETWORKDAYS(F267, H267, fESTIVOS!$A$1:$A$18))</f>
        <v>2</v>
      </c>
      <c r="J267" s="394"/>
      <c r="K267" s="763">
        <v>45701</v>
      </c>
      <c r="L267" s="752" t="s">
        <v>2765</v>
      </c>
      <c r="M267" s="399"/>
      <c r="N267" s="399"/>
      <c r="O267" s="399"/>
      <c r="P267" s="399"/>
      <c r="Q267" s="399"/>
      <c r="R267" s="399"/>
      <c r="S267" s="399"/>
      <c r="T267" s="399"/>
      <c r="U267" s="399"/>
      <c r="V267" s="399"/>
      <c r="W267" s="399"/>
      <c r="X267" s="399"/>
      <c r="Y267" s="399"/>
      <c r="Z267" s="399"/>
    </row>
    <row r="268" spans="1:33" ht="15.75" customHeight="1">
      <c r="A268" s="392" t="s">
        <v>1991</v>
      </c>
      <c r="B268" s="620" t="s">
        <v>2697</v>
      </c>
      <c r="C268" s="751" t="s">
        <v>2766</v>
      </c>
      <c r="D268" s="371" t="s">
        <v>76</v>
      </c>
      <c r="E268" s="396">
        <v>45702</v>
      </c>
      <c r="F268" s="396">
        <v>45702</v>
      </c>
      <c r="G268" s="372"/>
      <c r="H268" s="396">
        <v>45702</v>
      </c>
      <c r="I268" s="374">
        <f ca="1">IF(ISBLANK(H268), NETWORKDAYS(F268, TODAY(),fESTIVOS!$A$1:$A$18), NETWORKDAYS(F268, H268, fESTIVOS!$A$1:$A$18))</f>
        <v>1</v>
      </c>
      <c r="J268" s="394"/>
      <c r="K268" s="396">
        <v>45702</v>
      </c>
      <c r="L268" s="752"/>
      <c r="M268" s="399"/>
      <c r="N268" s="399"/>
      <c r="O268" s="399"/>
      <c r="P268" s="399"/>
      <c r="Q268" s="399"/>
      <c r="R268" s="399"/>
      <c r="S268" s="399"/>
      <c r="T268" s="399"/>
      <c r="U268" s="399"/>
      <c r="V268" s="399"/>
      <c r="W268" s="399"/>
      <c r="X268" s="399"/>
      <c r="Y268" s="399"/>
      <c r="Z268" s="399"/>
    </row>
    <row r="269" spans="1:33" ht="15.75" customHeight="1">
      <c r="A269" s="377" t="s">
        <v>1981</v>
      </c>
      <c r="B269" s="620" t="s">
        <v>2767</v>
      </c>
      <c r="C269" s="608"/>
      <c r="D269" s="392" t="s">
        <v>76</v>
      </c>
      <c r="E269" s="799">
        <v>45712</v>
      </c>
      <c r="F269" s="799">
        <v>45712</v>
      </c>
      <c r="G269" s="378"/>
      <c r="H269" s="799">
        <v>45712</v>
      </c>
      <c r="I269" s="374">
        <f ca="1">IF(ISBLANK(H269), NETWORKDAYS(F269, TODAY(),fESTIVOS!$A$1:$A$18), NETWORKDAYS(F269, H269, fESTIVOS!$A$1:$A$18))</f>
        <v>1</v>
      </c>
      <c r="J269" s="374"/>
      <c r="K269" s="392"/>
      <c r="L269" s="794" t="s">
        <v>2768</v>
      </c>
      <c r="M269" s="589"/>
      <c r="N269" s="354"/>
      <c r="O269" s="354"/>
      <c r="P269" s="354"/>
      <c r="Q269" s="354"/>
      <c r="R269" s="354"/>
      <c r="S269" s="354"/>
      <c r="T269" s="354"/>
      <c r="U269" s="354"/>
      <c r="V269" s="354"/>
      <c r="W269" s="354"/>
      <c r="X269" s="354"/>
      <c r="Y269" s="354"/>
      <c r="Z269" s="354"/>
    </row>
    <row r="270" spans="1:33" ht="15.75" customHeight="1">
      <c r="A270" s="392" t="s">
        <v>1991</v>
      </c>
      <c r="B270" s="620" t="s">
        <v>2769</v>
      </c>
      <c r="C270" s="800"/>
      <c r="D270" s="618" t="s">
        <v>76</v>
      </c>
      <c r="E270" s="396">
        <v>45698</v>
      </c>
      <c r="F270" s="396">
        <v>45699</v>
      </c>
      <c r="G270" s="372"/>
      <c r="H270" s="396">
        <v>45713</v>
      </c>
      <c r="I270" s="374">
        <f ca="1">IF(ISBLANK(H270), NETWORKDAYS(F270, TODAY(),fESTIVOS!$A$1:$A$18), NETWORKDAYS(F270, H270, fESTIVOS!$A$1:$A$18))</f>
        <v>11</v>
      </c>
      <c r="J270" s="394"/>
      <c r="K270" s="394"/>
      <c r="L270" s="714" t="s">
        <v>2770</v>
      </c>
      <c r="M270" s="399"/>
      <c r="N270" s="399"/>
      <c r="O270" s="399"/>
      <c r="P270" s="399"/>
      <c r="Q270" s="399"/>
      <c r="R270" s="399"/>
      <c r="S270" s="399"/>
      <c r="T270" s="399"/>
      <c r="U270" s="399"/>
      <c r="V270" s="399"/>
      <c r="W270" s="399"/>
      <c r="X270" s="399"/>
      <c r="Y270" s="399"/>
      <c r="Z270" s="399"/>
    </row>
    <row r="271" spans="1:33" ht="15.75" customHeight="1">
      <c r="A271" s="392" t="s">
        <v>1991</v>
      </c>
      <c r="B271" s="620" t="s">
        <v>2697</v>
      </c>
      <c r="C271" s="667" t="s">
        <v>2771</v>
      </c>
      <c r="D271" s="371" t="s">
        <v>2772</v>
      </c>
      <c r="E271" s="396">
        <v>45705</v>
      </c>
      <c r="F271" s="396">
        <v>45705</v>
      </c>
      <c r="G271" s="372">
        <v>45706</v>
      </c>
      <c r="H271" s="618"/>
      <c r="I271" s="374">
        <f ca="1">IF(ISBLANK(H271), NETWORKDAYS(F271, TODAY(),fESTIVOS!$A$1:$A$18), NETWORKDAYS(F271, H271, fESTIVOS!$A$1:$A$18))</f>
        <v>248</v>
      </c>
      <c r="J271" s="394"/>
      <c r="K271" s="763"/>
      <c r="L271" s="752" t="s">
        <v>2773</v>
      </c>
      <c r="M271" s="399"/>
      <c r="N271" s="399"/>
      <c r="O271" s="399"/>
      <c r="P271" s="399"/>
      <c r="Q271" s="399"/>
      <c r="R271" s="399"/>
      <c r="S271" s="399"/>
      <c r="T271" s="399"/>
      <c r="U271" s="399"/>
      <c r="V271" s="399"/>
      <c r="W271" s="399"/>
      <c r="X271" s="399"/>
      <c r="Y271" s="399"/>
      <c r="Z271" s="399"/>
    </row>
    <row r="272" spans="1:33" ht="15.75" customHeight="1">
      <c r="A272" s="667" t="s">
        <v>2088</v>
      </c>
      <c r="B272" s="801" t="s">
        <v>2774</v>
      </c>
      <c r="C272" s="802"/>
      <c r="D272" s="586" t="s">
        <v>76</v>
      </c>
      <c r="E272" s="383">
        <v>45712</v>
      </c>
      <c r="F272" s="383">
        <v>45713</v>
      </c>
      <c r="G272" s="376"/>
      <c r="H272" s="383">
        <v>45713</v>
      </c>
      <c r="I272" s="366">
        <f ca="1">IF(ISBLANK(H272), NETWORKDAYS(F272, TODAY(),fESTIVOS!$A$1:$A$18), NETWORKDAYS(F272, H272, fESTIVOS!$A$1:$A$18))</f>
        <v>1</v>
      </c>
      <c r="J272" s="376"/>
      <c r="K272" s="376"/>
      <c r="L272" s="801" t="s">
        <v>2775</v>
      </c>
      <c r="M272" s="385"/>
      <c r="N272" s="385"/>
      <c r="O272" s="385"/>
      <c r="P272" s="385"/>
      <c r="Q272" s="385"/>
      <c r="R272" s="385"/>
      <c r="S272" s="385"/>
      <c r="T272" s="385"/>
      <c r="U272" s="385"/>
      <c r="V272" s="385"/>
      <c r="W272" s="385"/>
      <c r="X272" s="385"/>
      <c r="Y272" s="385"/>
      <c r="Z272" s="385"/>
      <c r="AA272" s="385"/>
      <c r="AB272" s="385"/>
      <c r="AC272" s="385"/>
      <c r="AD272" s="385"/>
      <c r="AE272" s="385"/>
      <c r="AF272" s="385"/>
      <c r="AG272" s="385"/>
    </row>
    <row r="273" spans="1:33" ht="15.75" customHeight="1">
      <c r="A273" s="392" t="s">
        <v>1991</v>
      </c>
      <c r="B273" s="620" t="s">
        <v>2697</v>
      </c>
      <c r="C273" s="402" t="s">
        <v>2776</v>
      </c>
      <c r="D273" s="371" t="s">
        <v>2777</v>
      </c>
      <c r="E273" s="396">
        <v>45712</v>
      </c>
      <c r="F273" s="396">
        <v>45712</v>
      </c>
      <c r="G273" s="372"/>
      <c r="H273" s="396">
        <v>45713</v>
      </c>
      <c r="I273" s="374">
        <f ca="1">IF(ISBLANK(H273), NETWORKDAYS(F273, TODAY(),fESTIVOS!$A$1:$A$18), NETWORKDAYS(F273, H273, fESTIVOS!$A$1:$A$18))</f>
        <v>2</v>
      </c>
      <c r="J273" s="394"/>
      <c r="K273" s="394"/>
      <c r="L273" s="790" t="s">
        <v>2778</v>
      </c>
      <c r="M273" s="399"/>
      <c r="N273" s="399"/>
      <c r="O273" s="399"/>
      <c r="P273" s="399"/>
      <c r="Q273" s="399"/>
      <c r="R273" s="399"/>
      <c r="S273" s="399"/>
      <c r="T273" s="399"/>
      <c r="U273" s="399"/>
      <c r="V273" s="399"/>
      <c r="W273" s="399"/>
      <c r="X273" s="399"/>
      <c r="Y273" s="399"/>
      <c r="Z273" s="399"/>
    </row>
    <row r="274" spans="1:33" ht="15.75" customHeight="1">
      <c r="A274" s="392" t="s">
        <v>1966</v>
      </c>
      <c r="B274" s="803" t="s">
        <v>2779</v>
      </c>
      <c r="C274" s="802"/>
      <c r="D274" s="742" t="s">
        <v>76</v>
      </c>
      <c r="E274" s="743">
        <v>45714</v>
      </c>
      <c r="F274" s="743">
        <v>45715</v>
      </c>
      <c r="G274" s="741"/>
      <c r="H274" s="743">
        <v>45715</v>
      </c>
      <c r="I274" s="374">
        <f ca="1">IF(ISBLANK(H274), NETWORKDAYS(F274, TODAY(),fESTIVOS!$A$1:$A$18), NETWORKDAYS(F274, H274, fESTIVOS!$A$1:$A$18))</f>
        <v>1</v>
      </c>
      <c r="J274" s="741"/>
      <c r="K274" s="743"/>
      <c r="L274" s="804" t="s">
        <v>2780</v>
      </c>
      <c r="M274" s="354"/>
      <c r="N274" s="354"/>
      <c r="O274" s="354"/>
      <c r="P274" s="354"/>
      <c r="Q274" s="354"/>
      <c r="R274" s="354"/>
      <c r="S274" s="354"/>
      <c r="T274" s="354"/>
      <c r="U274" s="354"/>
      <c r="V274" s="354"/>
      <c r="W274" s="354"/>
      <c r="X274" s="354"/>
      <c r="Y274" s="354"/>
      <c r="Z274" s="354"/>
    </row>
    <row r="275" spans="1:33" ht="15.75" customHeight="1">
      <c r="A275" s="392" t="s">
        <v>1991</v>
      </c>
      <c r="B275" s="620" t="s">
        <v>2781</v>
      </c>
      <c r="C275" s="800"/>
      <c r="D275" s="618" t="s">
        <v>76</v>
      </c>
      <c r="E275" s="396">
        <v>45716</v>
      </c>
      <c r="F275" s="396">
        <v>45716</v>
      </c>
      <c r="G275" s="372"/>
      <c r="H275" s="396">
        <v>45716</v>
      </c>
      <c r="I275" s="374">
        <f ca="1">IF(ISBLANK(H275), NETWORKDAYS(F275, TODAY(),fESTIVOS!$A$1:$A$18), NETWORKDAYS(F275, H275, fESTIVOS!$A$1:$A$18))</f>
        <v>1</v>
      </c>
      <c r="J275" s="394"/>
      <c r="K275" s="394"/>
      <c r="L275" s="714" t="s">
        <v>2782</v>
      </c>
      <c r="M275" s="399"/>
      <c r="N275" s="399"/>
      <c r="O275" s="399"/>
      <c r="P275" s="399"/>
      <c r="Q275" s="399"/>
      <c r="R275" s="399"/>
      <c r="S275" s="399"/>
      <c r="T275" s="399"/>
      <c r="U275" s="399"/>
      <c r="V275" s="399"/>
      <c r="W275" s="399"/>
      <c r="X275" s="399"/>
      <c r="Y275" s="399"/>
      <c r="Z275" s="399"/>
    </row>
    <row r="276" spans="1:33" ht="15.75" customHeight="1">
      <c r="A276" s="353" t="s">
        <v>2088</v>
      </c>
      <c r="B276" s="353" t="s">
        <v>2783</v>
      </c>
      <c r="C276" s="805"/>
      <c r="D276" s="365" t="s">
        <v>76</v>
      </c>
      <c r="E276" s="806">
        <v>45712</v>
      </c>
      <c r="F276" s="806">
        <v>45713</v>
      </c>
      <c r="G276" s="807"/>
      <c r="H276" s="806">
        <v>45715</v>
      </c>
      <c r="I276" s="366">
        <f ca="1">IF(ISBLANK(H276), NETWORKDAYS(F276, TODAY(),fESTIVOS!$A$1:$A$18), NETWORKDAYS(F276, H276, fESTIVOS!$A$1:$A$18))</f>
        <v>3</v>
      </c>
      <c r="J276" s="807"/>
      <c r="K276" s="807"/>
      <c r="L276" s="759" t="s">
        <v>2784</v>
      </c>
      <c r="M276" s="808"/>
      <c r="N276" s="808"/>
      <c r="O276" s="808"/>
      <c r="P276" s="808"/>
      <c r="Q276" s="808"/>
      <c r="R276" s="808"/>
      <c r="S276" s="808"/>
      <c r="T276" s="808"/>
      <c r="U276" s="808"/>
      <c r="V276" s="808"/>
      <c r="W276" s="808"/>
      <c r="X276" s="808"/>
      <c r="Y276" s="808"/>
      <c r="Z276" s="808"/>
      <c r="AA276" s="808"/>
      <c r="AB276" s="808"/>
      <c r="AC276" s="808"/>
      <c r="AD276" s="808"/>
      <c r="AE276" s="808"/>
      <c r="AF276" s="808"/>
      <c r="AG276" s="808"/>
    </row>
    <row r="277" spans="1:33" ht="15.75" customHeight="1">
      <c r="A277" s="392" t="s">
        <v>1991</v>
      </c>
      <c r="B277" s="620" t="s">
        <v>2785</v>
      </c>
      <c r="C277" s="800"/>
      <c r="D277" s="618" t="s">
        <v>76</v>
      </c>
      <c r="E277" s="396">
        <v>45716</v>
      </c>
      <c r="F277" s="396">
        <v>45716</v>
      </c>
      <c r="G277" s="372"/>
      <c r="H277" s="396">
        <v>45716</v>
      </c>
      <c r="I277" s="374">
        <f ca="1">IF(ISBLANK(H277), NETWORKDAYS(F277, TODAY(),fESTIVOS!$A$1:$A$18), NETWORKDAYS(F277, H277, fESTIVOS!$A$1:$A$18))</f>
        <v>1</v>
      </c>
      <c r="J277" s="394"/>
      <c r="K277" s="394"/>
      <c r="L277" s="714" t="s">
        <v>2786</v>
      </c>
      <c r="M277" s="399"/>
      <c r="N277" s="399"/>
      <c r="O277" s="399"/>
      <c r="P277" s="399"/>
      <c r="Q277" s="399"/>
      <c r="R277" s="399"/>
      <c r="S277" s="399"/>
      <c r="T277" s="399"/>
      <c r="U277" s="399"/>
      <c r="V277" s="399"/>
      <c r="W277" s="399"/>
      <c r="X277" s="399"/>
      <c r="Y277" s="399"/>
      <c r="Z277" s="399"/>
    </row>
    <row r="278" spans="1:33" ht="15.75" customHeight="1">
      <c r="A278" s="392" t="s">
        <v>1991</v>
      </c>
      <c r="B278" s="620" t="s">
        <v>2787</v>
      </c>
      <c r="C278" s="800"/>
      <c r="D278" s="618" t="s">
        <v>76</v>
      </c>
      <c r="E278" s="396">
        <v>45712</v>
      </c>
      <c r="F278" s="396">
        <v>45712</v>
      </c>
      <c r="G278" s="372"/>
      <c r="H278" s="396">
        <v>45719</v>
      </c>
      <c r="I278" s="374">
        <f ca="1">IF(ISBLANK(H278), NETWORKDAYS(F278, TODAY(),fESTIVOS!$A$1:$A$18), NETWORKDAYS(F278, H278, fESTIVOS!$A$1:$A$18))</f>
        <v>6</v>
      </c>
      <c r="J278" s="394"/>
      <c r="K278" s="394"/>
      <c r="L278" s="714" t="s">
        <v>2788</v>
      </c>
      <c r="M278" s="399"/>
      <c r="N278" s="399"/>
      <c r="O278" s="399"/>
      <c r="P278" s="399"/>
      <c r="Q278" s="399"/>
      <c r="R278" s="399"/>
      <c r="S278" s="399"/>
      <c r="T278" s="399"/>
      <c r="U278" s="399"/>
      <c r="V278" s="399"/>
      <c r="W278" s="399"/>
      <c r="X278" s="399"/>
      <c r="Y278" s="399"/>
      <c r="Z278" s="399"/>
    </row>
    <row r="279" spans="1:33" ht="15.75" customHeight="1">
      <c r="A279" s="667" t="s">
        <v>2088</v>
      </c>
      <c r="B279" s="572" t="s">
        <v>2789</v>
      </c>
      <c r="C279" s="809"/>
      <c r="D279" s="365" t="s">
        <v>76</v>
      </c>
      <c r="E279" s="364">
        <v>45715</v>
      </c>
      <c r="F279" s="364">
        <v>45715</v>
      </c>
      <c r="G279" s="364"/>
      <c r="H279" s="364">
        <v>45719</v>
      </c>
      <c r="I279" s="366">
        <f ca="1">IF(ISBLANK(H279), NETWORKDAYS(F279, TODAY(),fESTIVOS!$A$1:$A$18), NETWORKDAYS(F279, H279, fESTIVOS!$A$1:$A$18))</f>
        <v>3</v>
      </c>
      <c r="J279" s="364"/>
      <c r="K279" s="364"/>
      <c r="L279" s="367" t="s">
        <v>2790</v>
      </c>
      <c r="M279" s="589"/>
      <c r="N279" s="354"/>
      <c r="O279" s="354"/>
      <c r="P279" s="354"/>
      <c r="Q279" s="354"/>
      <c r="R279" s="354"/>
      <c r="S279" s="354"/>
      <c r="T279" s="354"/>
      <c r="U279" s="354"/>
      <c r="V279" s="354"/>
      <c r="W279" s="354"/>
      <c r="X279" s="354"/>
      <c r="Y279" s="354"/>
      <c r="Z279" s="354"/>
    </row>
    <row r="280" spans="1:33" ht="15.75" customHeight="1">
      <c r="A280" s="667" t="s">
        <v>2088</v>
      </c>
      <c r="B280" s="572" t="s">
        <v>2791</v>
      </c>
      <c r="C280" s="809"/>
      <c r="D280" s="365" t="s">
        <v>76</v>
      </c>
      <c r="E280" s="364">
        <v>45715</v>
      </c>
      <c r="F280" s="364">
        <v>45719</v>
      </c>
      <c r="G280" s="364"/>
      <c r="H280" s="364">
        <v>45719</v>
      </c>
      <c r="I280" s="366">
        <f ca="1">IF(ISBLANK(H280), NETWORKDAYS(F280, TODAY(),fESTIVOS!$A$1:$A$18), NETWORKDAYS(F280, H280, fESTIVOS!$A$1:$A$18))</f>
        <v>1</v>
      </c>
      <c r="J280" s="364"/>
      <c r="K280" s="364"/>
      <c r="L280" s="367" t="s">
        <v>2792</v>
      </c>
      <c r="M280" s="589"/>
      <c r="N280" s="354"/>
      <c r="O280" s="354"/>
      <c r="P280" s="354"/>
      <c r="Q280" s="354"/>
      <c r="R280" s="354"/>
      <c r="S280" s="354"/>
      <c r="T280" s="354"/>
      <c r="U280" s="354"/>
      <c r="V280" s="354"/>
      <c r="W280" s="354"/>
      <c r="X280" s="354"/>
      <c r="Y280" s="354"/>
      <c r="Z280" s="354"/>
    </row>
    <row r="281" spans="1:33" ht="15.75" hidden="1" customHeight="1">
      <c r="A281" s="667" t="s">
        <v>2088</v>
      </c>
      <c r="B281" s="572" t="s">
        <v>2793</v>
      </c>
      <c r="C281" s="572"/>
      <c r="D281" s="365" t="s">
        <v>232</v>
      </c>
      <c r="E281" s="364">
        <v>45715</v>
      </c>
      <c r="F281" s="364"/>
      <c r="G281" s="364"/>
      <c r="H281" s="364"/>
      <c r="I281" s="365"/>
      <c r="J281" s="364"/>
      <c r="K281" s="364"/>
      <c r="L281" s="367"/>
      <c r="M281" s="589"/>
      <c r="N281" s="354"/>
      <c r="O281" s="354"/>
      <c r="P281" s="354"/>
      <c r="Q281" s="354"/>
      <c r="R281" s="354"/>
      <c r="S281" s="354"/>
      <c r="T281" s="354"/>
      <c r="U281" s="354"/>
      <c r="V281" s="354"/>
      <c r="W281" s="354"/>
      <c r="X281" s="354"/>
      <c r="Y281" s="354"/>
      <c r="Z281" s="354"/>
    </row>
    <row r="282" spans="1:33" ht="15.75" customHeight="1">
      <c r="A282" s="667" t="s">
        <v>2088</v>
      </c>
      <c r="B282" s="363" t="s">
        <v>2794</v>
      </c>
      <c r="C282" s="809"/>
      <c r="D282" s="586" t="s">
        <v>76</v>
      </c>
      <c r="E282" s="364">
        <v>45719</v>
      </c>
      <c r="F282" s="364">
        <v>45719</v>
      </c>
      <c r="G282" s="364"/>
      <c r="H282" s="364"/>
      <c r="I282" s="366">
        <f ca="1">IF(ISBLANK(H282), NETWORKDAYS(F282, TODAY(),fESTIVOS!$A$1:$A$18), NETWORKDAYS(F282, H282, fESTIVOS!$A$1:$A$18))</f>
        <v>238</v>
      </c>
      <c r="J282" s="364"/>
      <c r="K282" s="364"/>
      <c r="L282" s="367" t="s">
        <v>2795</v>
      </c>
      <c r="M282" s="589"/>
      <c r="N282" s="354"/>
      <c r="O282" s="354"/>
      <c r="P282" s="354"/>
      <c r="Q282" s="354"/>
      <c r="R282" s="354"/>
      <c r="S282" s="354"/>
      <c r="T282" s="354"/>
      <c r="U282" s="354"/>
      <c r="V282" s="354"/>
      <c r="W282" s="354"/>
      <c r="X282" s="354"/>
      <c r="Y282" s="354"/>
      <c r="Z282" s="354"/>
    </row>
    <row r="283" spans="1:33" ht="15.75" customHeight="1">
      <c r="A283" s="667" t="s">
        <v>2088</v>
      </c>
      <c r="B283" s="774" t="s">
        <v>2796</v>
      </c>
      <c r="C283" s="572"/>
      <c r="D283" s="365" t="s">
        <v>76</v>
      </c>
      <c r="E283" s="364">
        <v>45700</v>
      </c>
      <c r="F283" s="364">
        <v>45701</v>
      </c>
      <c r="G283" s="364">
        <v>45714</v>
      </c>
      <c r="H283" s="364">
        <v>45714</v>
      </c>
      <c r="I283" s="366">
        <f ca="1">IF(ISBLANK(H283), NETWORKDAYS(F283, TODAY(),fESTIVOS!$A$1:$A$18), NETWORKDAYS(F283, H283, fESTIVOS!$A$1:$A$18))</f>
        <v>10</v>
      </c>
      <c r="J283" s="364"/>
      <c r="K283" s="364"/>
      <c r="L283" s="367" t="s">
        <v>2797</v>
      </c>
      <c r="M283" s="589"/>
      <c r="N283" s="354"/>
      <c r="O283" s="354"/>
      <c r="P283" s="354"/>
      <c r="Q283" s="354"/>
      <c r="R283" s="354"/>
      <c r="S283" s="354"/>
      <c r="T283" s="354"/>
      <c r="U283" s="354"/>
      <c r="V283" s="354"/>
      <c r="W283" s="354"/>
      <c r="X283" s="354"/>
      <c r="Y283" s="354"/>
      <c r="Z283" s="354"/>
    </row>
    <row r="284" spans="1:33" ht="15.75" customHeight="1">
      <c r="A284" s="667" t="s">
        <v>2088</v>
      </c>
      <c r="B284" s="362" t="s">
        <v>2798</v>
      </c>
      <c r="C284" s="682"/>
      <c r="D284" s="810" t="s">
        <v>76</v>
      </c>
      <c r="E284" s="683">
        <v>45712</v>
      </c>
      <c r="F284" s="683">
        <v>45712</v>
      </c>
      <c r="G284" s="682"/>
      <c r="H284" s="683">
        <v>45721</v>
      </c>
      <c r="I284" s="366">
        <f ca="1">IF(ISBLANK(H284), NETWORKDAYS(F284, TODAY(),fESTIVOS!$A$1:$A$18), NETWORKDAYS(F284, H284, fESTIVOS!$A$1:$A$18))</f>
        <v>8</v>
      </c>
      <c r="J284" s="682"/>
      <c r="K284" s="682"/>
      <c r="L284" s="811" t="s">
        <v>2799</v>
      </c>
    </row>
    <row r="285" spans="1:33" ht="15.75" customHeight="1">
      <c r="A285" s="392" t="s">
        <v>1991</v>
      </c>
      <c r="B285" s="774" t="s">
        <v>2800</v>
      </c>
      <c r="C285" s="798" t="s">
        <v>2801</v>
      </c>
      <c r="D285" s="371" t="s">
        <v>76</v>
      </c>
      <c r="E285" s="396">
        <v>45687</v>
      </c>
      <c r="F285" s="397">
        <v>45687</v>
      </c>
      <c r="G285" s="394"/>
      <c r="H285" s="396">
        <v>45692</v>
      </c>
      <c r="I285" s="374">
        <f ca="1">IF(ISBLANK(H285), NETWORKDAYS(F285, TODAY(),fESTIVOS!$A$1:$A$18), NETWORKDAYS(F285, H285, fESTIVOS!$A$1:$A$18))</f>
        <v>4</v>
      </c>
      <c r="J285" s="396">
        <v>45692</v>
      </c>
      <c r="K285" s="394"/>
      <c r="L285" s="751" t="s">
        <v>2802</v>
      </c>
      <c r="M285" s="399"/>
      <c r="N285" s="399"/>
      <c r="O285" s="399"/>
      <c r="P285" s="399"/>
      <c r="Q285" s="399"/>
      <c r="R285" s="399"/>
      <c r="S285" s="399"/>
      <c r="T285" s="399"/>
      <c r="U285" s="399"/>
      <c r="V285" s="399"/>
      <c r="W285" s="399"/>
      <c r="X285" s="399"/>
      <c r="Y285" s="399"/>
      <c r="Z285" s="399"/>
    </row>
    <row r="286" spans="1:33" ht="15.75" customHeight="1">
      <c r="A286" s="392" t="s">
        <v>1991</v>
      </c>
      <c r="B286" s="582" t="s">
        <v>2803</v>
      </c>
      <c r="C286" s="798"/>
      <c r="D286" s="371" t="s">
        <v>76</v>
      </c>
      <c r="E286" s="396">
        <v>45720</v>
      </c>
      <c r="F286" s="397">
        <v>45720</v>
      </c>
      <c r="G286" s="394"/>
      <c r="H286" s="396">
        <v>45721</v>
      </c>
      <c r="I286" s="374">
        <f ca="1">IF(ISBLANK(H286), NETWORKDAYS(F286, TODAY(),fESTIVOS!$A$1:$A$18), NETWORKDAYS(F286, H286, fESTIVOS!$A$1:$A$18))</f>
        <v>2</v>
      </c>
      <c r="J286" s="396"/>
      <c r="K286" s="394"/>
      <c r="L286" s="791" t="s">
        <v>2804</v>
      </c>
      <c r="M286" s="399"/>
      <c r="N286" s="399"/>
      <c r="O286" s="399"/>
      <c r="P286" s="399"/>
      <c r="Q286" s="399"/>
      <c r="R286" s="399"/>
      <c r="S286" s="399"/>
      <c r="T286" s="399"/>
      <c r="U286" s="399"/>
      <c r="V286" s="399"/>
      <c r="W286" s="399"/>
      <c r="X286" s="399"/>
      <c r="Y286" s="399"/>
      <c r="Z286" s="399"/>
    </row>
    <row r="287" spans="1:33" ht="15.75" customHeight="1">
      <c r="A287" s="392" t="s">
        <v>1966</v>
      </c>
      <c r="B287" s="608" t="s">
        <v>2805</v>
      </c>
      <c r="C287" s="809"/>
      <c r="D287" s="618" t="s">
        <v>76</v>
      </c>
      <c r="E287" s="396">
        <v>45722</v>
      </c>
      <c r="F287" s="396">
        <v>45722</v>
      </c>
      <c r="G287" s="396"/>
      <c r="H287" s="396">
        <v>45722</v>
      </c>
      <c r="I287" s="374">
        <f ca="1">IF(ISBLANK(H287), NETWORKDAYS(F287, TODAY(),fESTIVOS!$A$1:$A$18), NETWORKDAYS(F287, H287, fESTIVOS!$A$1:$A$18))</f>
        <v>1</v>
      </c>
      <c r="J287" s="396"/>
      <c r="K287" s="396"/>
      <c r="L287" s="812" t="s">
        <v>2806</v>
      </c>
      <c r="M287" s="354"/>
      <c r="N287" s="354"/>
      <c r="O287" s="354"/>
      <c r="P287" s="354"/>
      <c r="Q287" s="354"/>
      <c r="R287" s="354"/>
      <c r="S287" s="354"/>
      <c r="T287" s="354"/>
      <c r="U287" s="354"/>
      <c r="V287" s="354"/>
      <c r="W287" s="354"/>
      <c r="X287" s="354"/>
      <c r="Y287" s="354"/>
      <c r="Z287" s="354"/>
    </row>
    <row r="288" spans="1:33" ht="15.75" customHeight="1">
      <c r="A288" s="392" t="s">
        <v>1966</v>
      </c>
      <c r="B288" s="588" t="s">
        <v>2807</v>
      </c>
      <c r="C288" s="809"/>
      <c r="D288" s="618" t="s">
        <v>76</v>
      </c>
      <c r="E288" s="396">
        <v>45722</v>
      </c>
      <c r="F288" s="396">
        <v>45723</v>
      </c>
      <c r="G288" s="396"/>
      <c r="H288" s="396">
        <v>45723</v>
      </c>
      <c r="I288" s="374">
        <f ca="1">IF(ISBLANK(H288), NETWORKDAYS(F288, TODAY(),fESTIVOS!$A$1:$A$18), NETWORKDAYS(F288, H288, fESTIVOS!$A$1:$A$18))</f>
        <v>1</v>
      </c>
      <c r="J288" s="396"/>
      <c r="K288" s="396"/>
      <c r="L288" s="812" t="s">
        <v>2808</v>
      </c>
      <c r="M288" s="354"/>
      <c r="N288" s="354"/>
      <c r="O288" s="354"/>
      <c r="P288" s="354"/>
      <c r="Q288" s="354"/>
      <c r="R288" s="354"/>
      <c r="S288" s="354"/>
      <c r="T288" s="354"/>
      <c r="U288" s="354"/>
      <c r="V288" s="354"/>
      <c r="W288" s="354"/>
      <c r="X288" s="354"/>
      <c r="Y288" s="354"/>
      <c r="Z288" s="354"/>
    </row>
    <row r="289" spans="1:26" ht="15.75" customHeight="1">
      <c r="A289" s="392" t="s">
        <v>1991</v>
      </c>
      <c r="B289" s="813" t="s">
        <v>2809</v>
      </c>
      <c r="C289" s="800"/>
      <c r="D289" s="365" t="s">
        <v>76</v>
      </c>
      <c r="E289" s="364">
        <v>45722</v>
      </c>
      <c r="F289" s="681">
        <v>45723</v>
      </c>
      <c r="G289" s="623"/>
      <c r="H289" s="681">
        <v>45723</v>
      </c>
      <c r="I289" s="374">
        <f ca="1">IF(ISBLANK(H289), NETWORKDAYS(F289, TODAY(),fESTIVOS!$A$1:$A$18), NETWORKDAYS(F289, H289, fESTIVOS!$A$1:$A$18))</f>
        <v>1</v>
      </c>
      <c r="J289" s="623"/>
      <c r="K289" s="623"/>
      <c r="L289" s="623" t="s">
        <v>2810</v>
      </c>
      <c r="M289" s="814" t="s">
        <v>2811</v>
      </c>
      <c r="N289" s="399"/>
      <c r="O289" s="399"/>
      <c r="P289" s="399"/>
      <c r="Q289" s="399"/>
      <c r="R289" s="399"/>
      <c r="S289" s="399"/>
      <c r="T289" s="399"/>
      <c r="U289" s="399"/>
      <c r="V289" s="399"/>
      <c r="W289" s="399"/>
      <c r="X289" s="399"/>
      <c r="Y289" s="399"/>
      <c r="Z289" s="399"/>
    </row>
    <row r="290" spans="1:26" ht="15.75" hidden="1" customHeight="1">
      <c r="A290" s="392" t="s">
        <v>1991</v>
      </c>
      <c r="B290" s="813" t="s">
        <v>2812</v>
      </c>
      <c r="C290" s="623"/>
      <c r="D290" s="365" t="s">
        <v>232</v>
      </c>
      <c r="E290" s="364">
        <v>45722</v>
      </c>
      <c r="F290" s="815"/>
      <c r="G290" s="623"/>
      <c r="H290" s="365"/>
      <c r="I290" s="374">
        <f ca="1">IF(ISBLANK(H290), NETWORKDAYS(F290, TODAY(),fESTIVOS!$A$1:$A$18), NETWORKDAYS(F290, H290, fESTIVOS!$A$1:$A$18))</f>
        <v>32877</v>
      </c>
      <c r="J290" s="623"/>
      <c r="K290" s="623"/>
      <c r="L290" s="623" t="s">
        <v>2813</v>
      </c>
      <c r="M290" s="399"/>
      <c r="N290" s="399"/>
      <c r="O290" s="399"/>
      <c r="P290" s="399"/>
      <c r="Q290" s="399"/>
      <c r="R290" s="399"/>
      <c r="S290" s="399"/>
      <c r="T290" s="399"/>
      <c r="U290" s="399"/>
      <c r="V290" s="399"/>
      <c r="W290" s="399"/>
      <c r="X290" s="399"/>
      <c r="Y290" s="399"/>
      <c r="Z290" s="399"/>
    </row>
    <row r="291" spans="1:26" ht="15.75" hidden="1" customHeight="1">
      <c r="A291" s="392" t="s">
        <v>1991</v>
      </c>
      <c r="B291" s="813" t="s">
        <v>2814</v>
      </c>
      <c r="C291" s="623"/>
      <c r="D291" s="365" t="s">
        <v>232</v>
      </c>
      <c r="E291" s="364">
        <v>45722</v>
      </c>
      <c r="F291" s="815"/>
      <c r="G291" s="623"/>
      <c r="H291" s="365"/>
      <c r="I291" s="374">
        <f ca="1">IF(ISBLANK(H291), NETWORKDAYS(F291, TODAY(),fESTIVOS!$A$1:$A$18), NETWORKDAYS(F291, H291, fESTIVOS!$A$1:$A$18))</f>
        <v>32877</v>
      </c>
      <c r="J291" s="623"/>
      <c r="K291" s="623"/>
      <c r="L291" s="623"/>
      <c r="M291" s="399"/>
      <c r="N291" s="399"/>
      <c r="O291" s="399"/>
      <c r="P291" s="399"/>
      <c r="Q291" s="399"/>
      <c r="R291" s="399"/>
      <c r="S291" s="399"/>
      <c r="T291" s="399"/>
      <c r="U291" s="399"/>
      <c r="V291" s="399"/>
      <c r="W291" s="399"/>
      <c r="X291" s="399"/>
      <c r="Y291" s="399"/>
      <c r="Z291" s="399"/>
    </row>
    <row r="292" spans="1:26" ht="15.75" customHeight="1">
      <c r="A292" s="392" t="s">
        <v>1991</v>
      </c>
      <c r="B292" s="813" t="s">
        <v>2815</v>
      </c>
      <c r="C292" s="800"/>
      <c r="D292" s="365" t="s">
        <v>76</v>
      </c>
      <c r="E292" s="364">
        <v>45722</v>
      </c>
      <c r="F292" s="681">
        <v>45723</v>
      </c>
      <c r="G292" s="623"/>
      <c r="H292" s="681">
        <v>45723</v>
      </c>
      <c r="I292" s="374">
        <f ca="1">IF(ISBLANK(H292), NETWORKDAYS(F292, TODAY(),fESTIVOS!$A$1:$A$18), NETWORKDAYS(F292, H292, fESTIVOS!$A$1:$A$18))</f>
        <v>1</v>
      </c>
      <c r="J292" s="623"/>
      <c r="K292" s="583">
        <v>45723</v>
      </c>
      <c r="L292" s="623" t="s">
        <v>2816</v>
      </c>
      <c r="M292" s="399" t="s">
        <v>2817</v>
      </c>
      <c r="N292" s="399"/>
      <c r="O292" s="399"/>
      <c r="P292" s="399"/>
      <c r="Q292" s="399"/>
      <c r="R292" s="399"/>
      <c r="S292" s="399"/>
      <c r="T292" s="399"/>
      <c r="U292" s="399"/>
      <c r="V292" s="399"/>
      <c r="W292" s="399"/>
      <c r="X292" s="399"/>
      <c r="Y292" s="399"/>
      <c r="Z292" s="399"/>
    </row>
    <row r="293" spans="1:26" ht="15.75" customHeight="1">
      <c r="A293" s="392" t="s">
        <v>1991</v>
      </c>
      <c r="B293" s="813" t="s">
        <v>2818</v>
      </c>
      <c r="C293" s="800"/>
      <c r="D293" s="365" t="s">
        <v>76</v>
      </c>
      <c r="E293" s="364">
        <v>45722</v>
      </c>
      <c r="F293" s="681">
        <v>45722</v>
      </c>
      <c r="G293" s="623"/>
      <c r="H293" s="681">
        <v>45723</v>
      </c>
      <c r="I293" s="374">
        <f ca="1">IF(ISBLANK(H293), NETWORKDAYS(F293, TODAY(),fESTIVOS!$A$1:$A$18), NETWORKDAYS(F293, H293, fESTIVOS!$A$1:$A$18))</f>
        <v>2</v>
      </c>
      <c r="J293" s="623"/>
      <c r="K293" s="583">
        <v>45723</v>
      </c>
      <c r="L293" s="623" t="s">
        <v>2819</v>
      </c>
      <c r="M293" s="399" t="s">
        <v>2817</v>
      </c>
      <c r="N293" s="399"/>
      <c r="O293" s="399"/>
      <c r="P293" s="399"/>
      <c r="Q293" s="399"/>
      <c r="R293" s="399"/>
      <c r="S293" s="399"/>
      <c r="T293" s="399"/>
      <c r="U293" s="399"/>
      <c r="V293" s="399"/>
      <c r="W293" s="399"/>
      <c r="X293" s="399"/>
      <c r="Y293" s="399"/>
      <c r="Z293" s="399"/>
    </row>
    <row r="294" spans="1:26" ht="15.75" customHeight="1">
      <c r="A294" s="392" t="s">
        <v>1991</v>
      </c>
      <c r="B294" s="816" t="s">
        <v>2820</v>
      </c>
      <c r="C294" s="800"/>
      <c r="D294" s="618" t="s">
        <v>76</v>
      </c>
      <c r="E294" s="364">
        <v>45721</v>
      </c>
      <c r="F294" s="681">
        <v>45721</v>
      </c>
      <c r="G294" s="623"/>
      <c r="H294" s="364">
        <v>45722</v>
      </c>
      <c r="I294" s="374">
        <f ca="1">IF(ISBLANK(H294), NETWORKDAYS(F294, TODAY(),fESTIVOS!$A$1:$A$18), NETWORKDAYS(F294, H294, fESTIVOS!$A$1:$A$18))</f>
        <v>2</v>
      </c>
      <c r="J294" s="364">
        <v>45722</v>
      </c>
      <c r="K294" s="583">
        <v>45723</v>
      </c>
      <c r="L294" s="623" t="s">
        <v>2821</v>
      </c>
      <c r="M294" s="399" t="s">
        <v>2817</v>
      </c>
      <c r="N294" s="399"/>
      <c r="O294" s="399"/>
      <c r="P294" s="399"/>
      <c r="Q294" s="399"/>
      <c r="R294" s="399"/>
      <c r="S294" s="399"/>
      <c r="T294" s="399"/>
      <c r="U294" s="399"/>
      <c r="V294" s="399"/>
      <c r="W294" s="399"/>
      <c r="X294" s="399"/>
      <c r="Y294" s="399"/>
      <c r="Z294" s="399"/>
    </row>
    <row r="295" spans="1:26" ht="15.75" customHeight="1">
      <c r="A295" s="392" t="s">
        <v>1991</v>
      </c>
      <c r="B295" s="817" t="s">
        <v>2822</v>
      </c>
      <c r="C295" s="800"/>
      <c r="D295" s="365" t="s">
        <v>76</v>
      </c>
      <c r="E295" s="364">
        <v>45726</v>
      </c>
      <c r="F295" s="681">
        <v>45727</v>
      </c>
      <c r="G295" s="623"/>
      <c r="H295" s="364">
        <v>45727</v>
      </c>
      <c r="I295" s="374">
        <f ca="1">IF(ISBLANK(H295), NETWORKDAYS(F295, TODAY(),fESTIVOS!$A$1:$A$18), NETWORKDAYS(F295, H295, fESTIVOS!$A$1:$A$18))</f>
        <v>1</v>
      </c>
      <c r="J295" s="623"/>
      <c r="K295" s="623"/>
      <c r="L295" s="623" t="s">
        <v>2823</v>
      </c>
      <c r="M295" s="399"/>
      <c r="N295" s="399"/>
      <c r="O295" s="399"/>
      <c r="P295" s="399"/>
      <c r="Q295" s="399"/>
      <c r="R295" s="399"/>
      <c r="S295" s="399"/>
      <c r="T295" s="399"/>
      <c r="U295" s="399"/>
      <c r="V295" s="399"/>
      <c r="W295" s="399"/>
      <c r="X295" s="399"/>
      <c r="Y295" s="399"/>
      <c r="Z295" s="399"/>
    </row>
    <row r="296" spans="1:26" ht="15.75" customHeight="1">
      <c r="A296" s="392" t="s">
        <v>1991</v>
      </c>
      <c r="B296" s="758" t="s">
        <v>2824</v>
      </c>
      <c r="C296" s="818"/>
      <c r="D296" s="365" t="s">
        <v>76</v>
      </c>
      <c r="E296" s="364">
        <v>45726</v>
      </c>
      <c r="F296" s="364">
        <v>45726</v>
      </c>
      <c r="H296" s="819">
        <v>45727</v>
      </c>
      <c r="I296" s="374">
        <f ca="1">IF(ISBLANK(H296), NETWORKDAYS(F296, TODAY(),fESTIVOS!$A$1:$A$18), NETWORKDAYS(F296, H296, fESTIVOS!$A$1:$A$18))</f>
        <v>2</v>
      </c>
      <c r="K296" s="819">
        <v>45727</v>
      </c>
      <c r="L296" s="758" t="s">
        <v>2825</v>
      </c>
    </row>
    <row r="297" spans="1:26" ht="15.75" customHeight="1">
      <c r="A297" s="392" t="s">
        <v>1991</v>
      </c>
      <c r="B297" s="667" t="s">
        <v>2826</v>
      </c>
      <c r="C297" s="666"/>
      <c r="D297" s="371" t="s">
        <v>76</v>
      </c>
      <c r="E297" s="396">
        <v>45722</v>
      </c>
      <c r="F297" s="396">
        <v>45722</v>
      </c>
      <c r="G297" s="396">
        <v>45694</v>
      </c>
      <c r="H297" s="396">
        <v>45727</v>
      </c>
      <c r="I297" s="374">
        <f ca="1">IF(ISBLANK(H297), NETWORKDAYS(F297, TODAY(),fESTIVOS!$A$1:$A$18), NETWORKDAYS(F297, H297, fESTIVOS!$A$1:$A$18))</f>
        <v>4</v>
      </c>
      <c r="J297" s="396">
        <v>45727</v>
      </c>
      <c r="K297" s="396">
        <v>45728</v>
      </c>
      <c r="L297" s="812" t="s">
        <v>2827</v>
      </c>
      <c r="M297" s="399"/>
      <c r="N297" s="399"/>
      <c r="O297" s="399"/>
      <c r="P297" s="399"/>
      <c r="Q297" s="399"/>
      <c r="R297" s="399"/>
      <c r="S297" s="399"/>
      <c r="T297" s="399"/>
      <c r="U297" s="399"/>
      <c r="V297" s="399"/>
      <c r="W297" s="399"/>
      <c r="X297" s="399"/>
      <c r="Y297" s="399"/>
      <c r="Z297" s="399"/>
    </row>
    <row r="298" spans="1:26" ht="15.75" customHeight="1">
      <c r="A298" s="392" t="s">
        <v>1991</v>
      </c>
      <c r="B298" s="588" t="s">
        <v>2828</v>
      </c>
      <c r="C298" s="387"/>
      <c r="D298" s="371" t="s">
        <v>76</v>
      </c>
      <c r="E298" s="820">
        <v>45714</v>
      </c>
      <c r="F298" s="396">
        <v>45716</v>
      </c>
      <c r="G298" s="396"/>
      <c r="H298" s="372">
        <v>45722</v>
      </c>
      <c r="I298" s="374">
        <f ca="1">IF(ISBLANK(H298), NETWORKDAYS(F298, TODAY(),fESTIVOS!$A$1:$A$18), NETWORKDAYS(F298, H298, fESTIVOS!$A$1:$A$18))</f>
        <v>5</v>
      </c>
      <c r="J298" s="372">
        <v>45722</v>
      </c>
      <c r="K298" s="372">
        <v>45728</v>
      </c>
      <c r="L298" s="791" t="s">
        <v>2829</v>
      </c>
      <c r="M298" s="821" t="s">
        <v>2830</v>
      </c>
      <c r="N298" s="399"/>
      <c r="O298" s="399"/>
      <c r="P298" s="399"/>
      <c r="Q298" s="399"/>
      <c r="R298" s="399"/>
      <c r="S298" s="399"/>
      <c r="T298" s="399"/>
      <c r="U298" s="399"/>
      <c r="V298" s="399"/>
      <c r="W298" s="399"/>
      <c r="X298" s="399"/>
      <c r="Y298" s="399"/>
      <c r="Z298" s="399"/>
    </row>
    <row r="299" spans="1:26" ht="15.75" customHeight="1">
      <c r="A299" s="392" t="s">
        <v>1966</v>
      </c>
      <c r="B299" s="822" t="s">
        <v>2831</v>
      </c>
      <c r="C299" s="802"/>
      <c r="D299" s="823" t="s">
        <v>76</v>
      </c>
      <c r="E299" s="743">
        <v>45694</v>
      </c>
      <c r="F299" s="743">
        <v>45695</v>
      </c>
      <c r="G299" s="741"/>
      <c r="H299" s="824">
        <v>45729</v>
      </c>
      <c r="I299" s="374">
        <f ca="1">IF(ISBLANK(H299), NETWORKDAYS(F299, TODAY(),fESTIVOS!$A$1:$A$18), NETWORKDAYS(F299, H299, fESTIVOS!$A$1:$A$18))</f>
        <v>25</v>
      </c>
      <c r="J299" s="743">
        <v>45715</v>
      </c>
      <c r="K299" s="824">
        <v>45729</v>
      </c>
      <c r="L299" s="825" t="s">
        <v>2832</v>
      </c>
      <c r="M299" s="354"/>
      <c r="N299" s="354"/>
      <c r="O299" s="354"/>
      <c r="P299" s="354"/>
      <c r="Q299" s="354"/>
      <c r="R299" s="354"/>
      <c r="S299" s="354"/>
      <c r="T299" s="354"/>
      <c r="U299" s="354"/>
      <c r="V299" s="354"/>
      <c r="W299" s="354"/>
      <c r="X299" s="354"/>
      <c r="Y299" s="354"/>
      <c r="Z299" s="354"/>
    </row>
    <row r="300" spans="1:26" ht="15.75" customHeight="1">
      <c r="A300" s="392" t="s">
        <v>1966</v>
      </c>
      <c r="B300" s="826" t="s">
        <v>2833</v>
      </c>
      <c r="C300" s="818"/>
      <c r="D300" s="827" t="s">
        <v>76</v>
      </c>
      <c r="E300" s="819">
        <v>45726</v>
      </c>
      <c r="F300" s="819">
        <v>45726</v>
      </c>
      <c r="H300" s="819">
        <v>45733</v>
      </c>
      <c r="I300" s="374">
        <f ca="1">IF(ISBLANK(H300), NETWORKDAYS(F300, TODAY(),fESTIVOS!$A$1:$A$18), NETWORKDAYS(F300, H300, fESTIVOS!$A$1:$A$18))</f>
        <v>6</v>
      </c>
      <c r="L300" s="399" t="s">
        <v>2834</v>
      </c>
    </row>
    <row r="301" spans="1:26" ht="15.75" customHeight="1">
      <c r="A301" s="392" t="s">
        <v>1966</v>
      </c>
      <c r="B301" s="828" t="s">
        <v>2835</v>
      </c>
      <c r="C301" s="829"/>
      <c r="D301" s="381" t="s">
        <v>76</v>
      </c>
      <c r="E301" s="750">
        <v>45730</v>
      </c>
      <c r="F301" s="750">
        <v>45733</v>
      </c>
      <c r="G301" s="750"/>
      <c r="H301" s="750">
        <v>45733</v>
      </c>
      <c r="I301" s="374">
        <f ca="1">IF(ISBLANK(H301), NETWORKDAYS(F301, TODAY(),fESTIVOS!$A$1:$A$18), NETWORKDAYS(F301, H301, fESTIVOS!$A$1:$A$18))</f>
        <v>1</v>
      </c>
      <c r="J301" s="750"/>
      <c r="K301" s="750"/>
      <c r="L301" s="830" t="s">
        <v>2836</v>
      </c>
      <c r="M301" s="354"/>
      <c r="N301" s="354"/>
      <c r="O301" s="354"/>
      <c r="P301" s="354"/>
      <c r="Q301" s="354"/>
      <c r="R301" s="354"/>
      <c r="S301" s="354"/>
      <c r="T301" s="354"/>
      <c r="U301" s="354"/>
      <c r="V301" s="354"/>
      <c r="W301" s="354"/>
      <c r="X301" s="354"/>
      <c r="Y301" s="354"/>
      <c r="Z301" s="354"/>
    </row>
    <row r="302" spans="1:26" ht="15.75" customHeight="1">
      <c r="A302" s="392" t="s">
        <v>1991</v>
      </c>
      <c r="B302" s="811" t="s">
        <v>2837</v>
      </c>
      <c r="C302" s="831"/>
      <c r="D302" s="365" t="s">
        <v>76</v>
      </c>
      <c r="E302" s="683">
        <v>45730</v>
      </c>
      <c r="F302" s="683">
        <v>45730</v>
      </c>
      <c r="G302" s="682"/>
      <c r="H302" s="683">
        <v>45730</v>
      </c>
      <c r="I302" s="374">
        <f ca="1">IF(ISBLANK(H302), NETWORKDAYS(F302, TODAY(),fESTIVOS!$A$1:$A$18), NETWORKDAYS(F302, H302, fESTIVOS!$A$1:$A$18))</f>
        <v>1</v>
      </c>
      <c r="J302" s="682"/>
      <c r="K302" s="682"/>
      <c r="L302" s="682" t="s">
        <v>2838</v>
      </c>
    </row>
    <row r="303" spans="1:26" ht="15.75" customHeight="1">
      <c r="A303" s="392" t="s">
        <v>1991</v>
      </c>
      <c r="B303" s="813" t="s">
        <v>2839</v>
      </c>
      <c r="C303" s="800"/>
      <c r="D303" s="365" t="s">
        <v>76</v>
      </c>
      <c r="E303" s="364">
        <v>45726</v>
      </c>
      <c r="F303" s="681">
        <v>45726</v>
      </c>
      <c r="G303" s="623"/>
      <c r="H303" s="364">
        <v>45727</v>
      </c>
      <c r="I303" s="374">
        <f ca="1">IF(ISBLANK(H303), NETWORKDAYS(F303, TODAY(),fESTIVOS!$A$1:$A$18), NETWORKDAYS(F303, H303, fESTIVOS!$A$1:$A$18))</f>
        <v>2</v>
      </c>
      <c r="J303" s="623"/>
      <c r="K303" s="623"/>
      <c r="L303" s="623" t="s">
        <v>2840</v>
      </c>
      <c r="M303" s="399"/>
      <c r="N303" s="399"/>
      <c r="O303" s="399"/>
      <c r="P303" s="399"/>
      <c r="Q303" s="399"/>
      <c r="R303" s="399"/>
      <c r="S303" s="399"/>
      <c r="T303" s="399"/>
      <c r="U303" s="399"/>
      <c r="V303" s="399"/>
      <c r="W303" s="399"/>
      <c r="X303" s="399"/>
      <c r="Y303" s="399"/>
      <c r="Z303" s="399"/>
    </row>
    <row r="304" spans="1:26" ht="15.75" customHeight="1">
      <c r="A304" s="671" t="s">
        <v>1991</v>
      </c>
      <c r="B304" s="832" t="s">
        <v>2841</v>
      </c>
      <c r="C304" s="833"/>
      <c r="D304" s="596" t="s">
        <v>76</v>
      </c>
      <c r="E304" s="597">
        <v>45726</v>
      </c>
      <c r="F304" s="834">
        <v>45729</v>
      </c>
      <c r="G304" s="357"/>
      <c r="H304" s="597">
        <v>45736</v>
      </c>
      <c r="I304" s="835">
        <f ca="1">IF(ISBLANK(H304), NETWORKDAYS(F304, TODAY(),fESTIVOS!$A$1:$A$18), NETWORKDAYS(F304, H304, fESTIVOS!$A$1:$A$18))</f>
        <v>6</v>
      </c>
      <c r="J304" s="359">
        <v>45735</v>
      </c>
      <c r="K304" s="359">
        <v>45736</v>
      </c>
      <c r="L304" s="357" t="s">
        <v>2842</v>
      </c>
      <c r="M304" s="399"/>
      <c r="N304" s="399"/>
      <c r="O304" s="399"/>
      <c r="P304" s="399"/>
      <c r="Q304" s="399"/>
      <c r="R304" s="399"/>
      <c r="S304" s="399"/>
      <c r="T304" s="399"/>
      <c r="U304" s="399"/>
      <c r="V304" s="399"/>
      <c r="W304" s="399"/>
      <c r="X304" s="399"/>
      <c r="Y304" s="399"/>
      <c r="Z304" s="399"/>
    </row>
    <row r="305" spans="1:33" ht="15.75" customHeight="1">
      <c r="A305" s="392" t="s">
        <v>1966</v>
      </c>
      <c r="B305" s="836" t="s">
        <v>2843</v>
      </c>
      <c r="C305" s="829"/>
      <c r="D305" s="381" t="s">
        <v>76</v>
      </c>
      <c r="E305" s="750">
        <v>45737</v>
      </c>
      <c r="F305" s="750">
        <v>45737</v>
      </c>
      <c r="G305" s="750"/>
      <c r="H305" s="750">
        <v>45737</v>
      </c>
      <c r="I305" s="374">
        <f ca="1">IF(ISBLANK(H305), NETWORKDAYS(F305, TODAY(),fESTIVOS!$A$1:$A$18), NETWORKDAYS(F305, H305, fESTIVOS!$A$1:$A$18))</f>
        <v>1</v>
      </c>
      <c r="J305" s="750"/>
      <c r="K305" s="750"/>
      <c r="L305" s="830" t="s">
        <v>2844</v>
      </c>
      <c r="M305" s="354"/>
      <c r="N305" s="354"/>
      <c r="O305" s="354"/>
      <c r="P305" s="354"/>
      <c r="Q305" s="354"/>
      <c r="R305" s="354"/>
      <c r="S305" s="354"/>
      <c r="T305" s="354"/>
      <c r="U305" s="354"/>
      <c r="V305" s="354"/>
      <c r="W305" s="354"/>
      <c r="X305" s="354"/>
      <c r="Y305" s="354"/>
      <c r="Z305" s="354"/>
    </row>
    <row r="306" spans="1:33" ht="15.75" customHeight="1">
      <c r="A306" s="392" t="s">
        <v>1991</v>
      </c>
      <c r="B306" s="837" t="s">
        <v>2845</v>
      </c>
      <c r="C306" s="663"/>
      <c r="D306" s="365" t="s">
        <v>76</v>
      </c>
      <c r="E306" s="597">
        <v>45737</v>
      </c>
      <c r="F306" s="597">
        <v>45737</v>
      </c>
      <c r="G306" s="357"/>
      <c r="H306" s="597">
        <v>45737</v>
      </c>
      <c r="I306" s="374">
        <f ca="1">IF(ISBLANK(H306), NETWORKDAYS(F306, TODAY(),fESTIVOS!$A$1:$A$18), NETWORKDAYS(F306, H306, fESTIVOS!$A$1:$A$18))</f>
        <v>1</v>
      </c>
      <c r="J306" s="357"/>
      <c r="K306" s="357"/>
      <c r="L306" s="357" t="s">
        <v>2846</v>
      </c>
      <c r="M306" s="399"/>
      <c r="N306" s="399"/>
      <c r="O306" s="399"/>
      <c r="P306" s="399"/>
      <c r="Q306" s="399"/>
      <c r="R306" s="399"/>
      <c r="S306" s="399"/>
      <c r="T306" s="399"/>
      <c r="U306" s="399"/>
      <c r="V306" s="399"/>
      <c r="W306" s="399"/>
      <c r="X306" s="399"/>
      <c r="Y306" s="399"/>
      <c r="Z306" s="399"/>
    </row>
    <row r="307" spans="1:33" ht="15.75" customHeight="1">
      <c r="A307" s="377" t="s">
        <v>1981</v>
      </c>
      <c r="B307" s="582" t="s">
        <v>2847</v>
      </c>
      <c r="C307" s="608"/>
      <c r="D307" s="392" t="s">
        <v>76</v>
      </c>
      <c r="E307" s="799">
        <v>45734</v>
      </c>
      <c r="F307" s="799">
        <v>45734</v>
      </c>
      <c r="G307" s="378"/>
      <c r="H307" s="799">
        <v>45741</v>
      </c>
      <c r="I307" s="366">
        <f ca="1">IF(ISBLANK(H307), NETWORKDAYS(F307, TODAY(),fESTIVOS!$A$1:$A$18), NETWORKDAYS(F307, H307, fESTIVOS!$A$1:$A$18))</f>
        <v>6</v>
      </c>
      <c r="J307" s="374"/>
      <c r="K307" s="799">
        <v>45741</v>
      </c>
      <c r="L307" s="838" t="s">
        <v>2848</v>
      </c>
      <c r="M307" s="839"/>
      <c r="N307" s="354"/>
      <c r="O307" s="354"/>
      <c r="P307" s="354"/>
      <c r="Q307" s="354"/>
      <c r="R307" s="354"/>
      <c r="S307" s="354"/>
      <c r="T307" s="354"/>
      <c r="U307" s="354"/>
      <c r="V307" s="354"/>
      <c r="W307" s="354"/>
      <c r="X307" s="354"/>
      <c r="Y307" s="354"/>
      <c r="Z307" s="354"/>
    </row>
    <row r="308" spans="1:33" ht="15.75" customHeight="1">
      <c r="A308" s="392" t="s">
        <v>1991</v>
      </c>
      <c r="B308" s="837" t="s">
        <v>2849</v>
      </c>
      <c r="C308" s="663"/>
      <c r="D308" s="365" t="s">
        <v>76</v>
      </c>
      <c r="E308" s="597">
        <v>45741</v>
      </c>
      <c r="F308" s="597">
        <v>45741</v>
      </c>
      <c r="G308" s="357"/>
      <c r="H308" s="597">
        <v>45741</v>
      </c>
      <c r="I308" s="374">
        <f ca="1">IF(ISBLANK(H308), NETWORKDAYS(F308, TODAY(),fESTIVOS!$A$1:$A$18), NETWORKDAYS(F308, H308, fESTIVOS!$A$1:$A$18))</f>
        <v>1</v>
      </c>
      <c r="J308" s="357"/>
      <c r="K308" s="597">
        <v>45741</v>
      </c>
      <c r="L308" s="840" t="s">
        <v>2850</v>
      </c>
      <c r="M308" s="399"/>
      <c r="N308" s="399"/>
      <c r="O308" s="399"/>
      <c r="P308" s="399"/>
      <c r="Q308" s="399"/>
      <c r="R308" s="399"/>
      <c r="S308" s="399"/>
      <c r="T308" s="399"/>
      <c r="U308" s="399"/>
      <c r="V308" s="399"/>
      <c r="W308" s="399"/>
      <c r="X308" s="399"/>
      <c r="Y308" s="399"/>
      <c r="Z308" s="399"/>
    </row>
    <row r="309" spans="1:33" ht="15.75" customHeight="1">
      <c r="A309" s="392" t="s">
        <v>1991</v>
      </c>
      <c r="B309" s="837" t="s">
        <v>2851</v>
      </c>
      <c r="C309" s="663"/>
      <c r="D309" s="365" t="s">
        <v>76</v>
      </c>
      <c r="E309" s="597">
        <v>45741</v>
      </c>
      <c r="F309" s="597">
        <v>45741</v>
      </c>
      <c r="G309" s="357"/>
      <c r="H309" s="597">
        <v>45741</v>
      </c>
      <c r="I309" s="374">
        <f ca="1">IF(ISBLANK(H309), NETWORKDAYS(F309, TODAY(),fESTIVOS!$A$1:$A$18), NETWORKDAYS(F309, H309, fESTIVOS!$A$1:$A$18))</f>
        <v>1</v>
      </c>
      <c r="J309" s="357"/>
      <c r="K309" s="357"/>
      <c r="L309" s="840" t="s">
        <v>2852</v>
      </c>
      <c r="M309" s="399"/>
      <c r="N309" s="399"/>
      <c r="O309" s="399"/>
      <c r="P309" s="399"/>
      <c r="Q309" s="399"/>
      <c r="R309" s="399"/>
      <c r="S309" s="399"/>
      <c r="T309" s="399"/>
      <c r="U309" s="399"/>
      <c r="V309" s="399"/>
      <c r="W309" s="399"/>
      <c r="X309" s="399"/>
      <c r="Y309" s="399"/>
      <c r="Z309" s="399"/>
    </row>
    <row r="310" spans="1:33" ht="15" customHeight="1">
      <c r="A310" s="392" t="s">
        <v>1991</v>
      </c>
      <c r="B310" s="841" t="s">
        <v>2853</v>
      </c>
      <c r="C310" s="818"/>
      <c r="D310" s="795" t="s">
        <v>76</v>
      </c>
      <c r="E310" s="819">
        <v>45742</v>
      </c>
      <c r="F310" s="819">
        <v>45743</v>
      </c>
      <c r="I310" s="374">
        <f ca="1">IF(ISBLANK(H310), NETWORKDAYS(F310, TODAY(),fESTIVOS!$A$1:$A$18), NETWORKDAYS(F310, H310, fESTIVOS!$A$1:$A$18))</f>
        <v>220</v>
      </c>
      <c r="L310" s="399" t="s">
        <v>2854</v>
      </c>
    </row>
    <row r="311" spans="1:33" ht="15.75" customHeight="1">
      <c r="A311" s="377" t="s">
        <v>1981</v>
      </c>
      <c r="B311" s="387" t="s">
        <v>2855</v>
      </c>
      <c r="C311" s="608"/>
      <c r="D311" s="392" t="s">
        <v>76</v>
      </c>
      <c r="E311" s="799">
        <v>45744</v>
      </c>
      <c r="F311" s="799">
        <v>45744</v>
      </c>
      <c r="G311" s="378"/>
      <c r="H311" s="799">
        <v>45744</v>
      </c>
      <c r="I311" s="366">
        <f ca="1">IF(ISBLANK(H311), NETWORKDAYS(F311, TODAY(),fESTIVOS!$A$1:$A$18), NETWORKDAYS(F311, H311, fESTIVOS!$A$1:$A$18))</f>
        <v>1</v>
      </c>
      <c r="J311" s="374"/>
      <c r="K311" s="799">
        <v>45744</v>
      </c>
      <c r="L311" s="838" t="s">
        <v>2856</v>
      </c>
      <c r="M311" s="839"/>
      <c r="N311" s="354"/>
      <c r="O311" s="354"/>
      <c r="P311" s="354"/>
      <c r="Q311" s="354"/>
      <c r="R311" s="354"/>
      <c r="S311" s="354"/>
      <c r="T311" s="354"/>
      <c r="U311" s="354"/>
      <c r="V311" s="354"/>
      <c r="W311" s="354"/>
      <c r="X311" s="354"/>
      <c r="Y311" s="354"/>
      <c r="Z311" s="354"/>
    </row>
    <row r="312" spans="1:33" ht="15" customHeight="1">
      <c r="A312" s="736" t="s">
        <v>1991</v>
      </c>
      <c r="B312" s="841" t="s">
        <v>2857</v>
      </c>
      <c r="C312" s="831"/>
      <c r="D312" s="795" t="s">
        <v>76</v>
      </c>
      <c r="E312" s="819">
        <v>45743</v>
      </c>
      <c r="F312" s="819">
        <v>45744</v>
      </c>
      <c r="G312" s="399"/>
      <c r="H312" s="819">
        <v>45744</v>
      </c>
      <c r="I312" s="723">
        <f ca="1">IF(ISBLANK(H312), NETWORKDAYS(F312, TODAY(),fESTIVOS!$A$1:$A$18), NETWORKDAYS(F312, H312, fESTIVOS!$A$1:$A$18))</f>
        <v>1</v>
      </c>
      <c r="J312" s="399"/>
      <c r="K312" s="819">
        <v>45744</v>
      </c>
      <c r="L312" s="399" t="s">
        <v>2858</v>
      </c>
    </row>
    <row r="313" spans="1:33" ht="15.75" customHeight="1">
      <c r="A313" s="392" t="s">
        <v>1991</v>
      </c>
      <c r="B313" s="643" t="s">
        <v>2859</v>
      </c>
      <c r="C313" s="800"/>
      <c r="D313" s="842" t="s">
        <v>76</v>
      </c>
      <c r="E313" s="396">
        <v>45744</v>
      </c>
      <c r="F313" s="396">
        <v>45744</v>
      </c>
      <c r="G313" s="394"/>
      <c r="H313" s="396">
        <v>45744</v>
      </c>
      <c r="I313" s="374">
        <f ca="1">IF(ISBLANK(H313), NETWORKDAYS(F313, TODAY(),fESTIVOS!$A$1:$A$18), NETWORKDAYS(F313, H313, fESTIVOS!$A$1:$A$18))</f>
        <v>1</v>
      </c>
      <c r="J313" s="396"/>
      <c r="K313" s="396">
        <v>45744</v>
      </c>
      <c r="L313" s="394" t="s">
        <v>2860</v>
      </c>
      <c r="M313" s="399"/>
      <c r="N313" s="399"/>
      <c r="O313" s="399"/>
      <c r="P313" s="399"/>
      <c r="Q313" s="399"/>
      <c r="R313" s="399"/>
      <c r="S313" s="399"/>
      <c r="T313" s="399"/>
      <c r="U313" s="399"/>
      <c r="V313" s="399"/>
      <c r="W313" s="399"/>
      <c r="X313" s="399"/>
      <c r="Y313" s="399"/>
      <c r="Z313" s="399"/>
    </row>
    <row r="314" spans="1:33" ht="15.75" customHeight="1">
      <c r="A314" s="392" t="s">
        <v>1991</v>
      </c>
      <c r="B314" s="843" t="s">
        <v>1992</v>
      </c>
      <c r="C314" s="800"/>
      <c r="D314" s="842" t="s">
        <v>76</v>
      </c>
      <c r="E314" s="396">
        <v>45671</v>
      </c>
      <c r="F314" s="397">
        <v>45673</v>
      </c>
      <c r="G314" s="394" t="s">
        <v>1995</v>
      </c>
      <c r="H314" s="396">
        <v>45680</v>
      </c>
      <c r="I314" s="374">
        <f ca="1">IF(ISBLANK(H314), NETWORKDAYS(F314, TODAY(),fESTIVOS!$A$1:$A$18), NETWORKDAYS(F314, H314, fESTIVOS!$A$1:$A$18))</f>
        <v>6</v>
      </c>
      <c r="J314" s="396">
        <v>45680</v>
      </c>
      <c r="K314" s="394"/>
      <c r="L314" s="394" t="s">
        <v>2861</v>
      </c>
      <c r="M314" s="814" t="s">
        <v>2862</v>
      </c>
      <c r="N314" s="399"/>
      <c r="O314" s="399"/>
      <c r="P314" s="399"/>
      <c r="Q314" s="399"/>
      <c r="R314" s="399"/>
      <c r="S314" s="399"/>
      <c r="T314" s="399"/>
      <c r="U314" s="399"/>
      <c r="V314" s="399"/>
      <c r="W314" s="399"/>
      <c r="X314" s="399"/>
      <c r="Y314" s="399"/>
      <c r="Z314" s="399"/>
    </row>
    <row r="315" spans="1:33" ht="15.75" customHeight="1">
      <c r="A315" s="671" t="s">
        <v>1991</v>
      </c>
      <c r="B315" s="844" t="s">
        <v>2863</v>
      </c>
      <c r="C315" s="402"/>
      <c r="D315" s="664" t="s">
        <v>76</v>
      </c>
      <c r="E315" s="597">
        <v>45736</v>
      </c>
      <c r="F315" s="597">
        <v>45736</v>
      </c>
      <c r="G315" s="357"/>
      <c r="H315" s="597">
        <v>45749</v>
      </c>
      <c r="I315" s="675">
        <f ca="1">IF(ISBLANK(H315), NETWORKDAYS(F315, TODAY(),fESTIVOS!$A$1:$A$18), NETWORKDAYS(F315, H315, fESTIVOS!$A$1:$A$18))</f>
        <v>10</v>
      </c>
      <c r="J315" s="359">
        <v>45749</v>
      </c>
      <c r="K315" s="359">
        <v>45755</v>
      </c>
      <c r="L315" s="840" t="s">
        <v>1450</v>
      </c>
      <c r="M315" s="399"/>
      <c r="N315" s="399"/>
      <c r="O315" s="399"/>
      <c r="P315" s="399"/>
      <c r="Q315" s="399"/>
      <c r="R315" s="399"/>
      <c r="S315" s="399"/>
      <c r="T315" s="399"/>
      <c r="U315" s="399"/>
      <c r="V315" s="399"/>
      <c r="W315" s="399"/>
      <c r="X315" s="399"/>
      <c r="Y315" s="399"/>
      <c r="Z315" s="399"/>
    </row>
    <row r="316" spans="1:33" ht="15.75" customHeight="1">
      <c r="A316" s="377" t="s">
        <v>1981</v>
      </c>
      <c r="B316" s="387" t="s">
        <v>2864</v>
      </c>
      <c r="C316" s="608"/>
      <c r="D316" s="377" t="s">
        <v>76</v>
      </c>
      <c r="E316" s="799">
        <v>45741</v>
      </c>
      <c r="F316" s="799">
        <v>45741</v>
      </c>
      <c r="G316" s="378"/>
      <c r="H316" s="378">
        <v>45755</v>
      </c>
      <c r="I316" s="374">
        <f ca="1">IF(ISBLANK(H316), NETWORKDAYS(F316, TODAY(),fESTIVOS!$A$1:$A$18), NETWORKDAYS(F316, H316, fESTIVOS!$A$1:$A$18))</f>
        <v>11</v>
      </c>
      <c r="J316" s="799"/>
      <c r="K316" s="378">
        <v>45755</v>
      </c>
      <c r="L316" s="838" t="s">
        <v>2865</v>
      </c>
      <c r="M316" s="589"/>
      <c r="N316" s="354"/>
      <c r="O316" s="354"/>
      <c r="P316" s="354"/>
      <c r="Q316" s="354"/>
      <c r="R316" s="354"/>
      <c r="S316" s="354"/>
      <c r="T316" s="354"/>
      <c r="U316" s="354"/>
      <c r="V316" s="354"/>
      <c r="W316" s="354"/>
      <c r="X316" s="354"/>
      <c r="Y316" s="354"/>
      <c r="Z316" s="354"/>
    </row>
    <row r="317" spans="1:33" ht="15.75" customHeight="1">
      <c r="A317" s="392" t="s">
        <v>1966</v>
      </c>
      <c r="B317" s="845" t="s">
        <v>2866</v>
      </c>
      <c r="C317" s="802"/>
      <c r="D317" s="586" t="s">
        <v>76</v>
      </c>
      <c r="E317" s="743">
        <v>45709</v>
      </c>
      <c r="F317" s="743">
        <v>45715</v>
      </c>
      <c r="G317" s="741"/>
      <c r="H317" s="743">
        <v>45757</v>
      </c>
      <c r="I317" s="846">
        <f ca="1">IF(ISBLANK(H317), NETWORKDAYS(F317, TODAY(),fESTIVOS!$A$1:$A$18), NETWORKDAYS(F317, H317, fESTIVOS!$A$1:$A$18))</f>
        <v>31</v>
      </c>
      <c r="J317" s="743">
        <v>45716</v>
      </c>
      <c r="K317" s="743">
        <v>45757</v>
      </c>
      <c r="L317" s="825" t="s">
        <v>2867</v>
      </c>
      <c r="M317" s="354"/>
      <c r="N317" s="354"/>
      <c r="O317" s="354"/>
      <c r="P317" s="354"/>
      <c r="Q317" s="354"/>
      <c r="R317" s="354"/>
      <c r="S317" s="354"/>
      <c r="T317" s="354"/>
      <c r="U317" s="354"/>
      <c r="V317" s="354"/>
      <c r="W317" s="354"/>
      <c r="X317" s="354"/>
      <c r="Y317" s="354"/>
      <c r="Z317" s="354"/>
    </row>
    <row r="318" spans="1:33" ht="15.75" customHeight="1">
      <c r="A318" s="588" t="s">
        <v>1966</v>
      </c>
      <c r="B318" s="847" t="s">
        <v>2868</v>
      </c>
      <c r="C318" s="848"/>
      <c r="D318" s="586" t="s">
        <v>76</v>
      </c>
      <c r="E318" s="849">
        <v>45695</v>
      </c>
      <c r="F318" s="804">
        <v>45712</v>
      </c>
      <c r="G318" s="849">
        <v>45715</v>
      </c>
      <c r="H318" s="849">
        <v>45757</v>
      </c>
      <c r="I318" s="366">
        <f ca="1">IF(ISBLANK(H318), NETWORKDAYS(F318, TODAY(),fESTIVOS!$A$1:$A$18), NETWORKDAYS(F318, H318, fESTIVOS!$A$1:$A$18))</f>
        <v>34</v>
      </c>
      <c r="J318" s="849">
        <v>45715</v>
      </c>
      <c r="K318" s="849">
        <v>45757</v>
      </c>
      <c r="L318" s="376" t="s">
        <v>2869</v>
      </c>
      <c r="M318" s="850"/>
      <c r="N318" s="850"/>
      <c r="O318" s="850"/>
      <c r="P318" s="850"/>
      <c r="Q318" s="850"/>
      <c r="R318" s="850"/>
      <c r="S318" s="850"/>
      <c r="T318" s="850"/>
      <c r="U318" s="850"/>
      <c r="V318" s="850"/>
      <c r="W318" s="850"/>
      <c r="X318" s="850"/>
      <c r="Y318" s="850"/>
      <c r="Z318" s="850"/>
      <c r="AA318" s="850"/>
      <c r="AB318" s="850"/>
      <c r="AC318" s="850"/>
      <c r="AD318" s="850"/>
      <c r="AE318" s="850"/>
      <c r="AF318" s="850"/>
      <c r="AG318" s="850"/>
    </row>
    <row r="319" spans="1:33" ht="15.75" customHeight="1">
      <c r="A319" s="392" t="s">
        <v>1966</v>
      </c>
      <c r="B319" s="582" t="s">
        <v>2870</v>
      </c>
      <c r="C319" s="809"/>
      <c r="D319" s="586" t="s">
        <v>76</v>
      </c>
      <c r="E319" s="396">
        <v>45755</v>
      </c>
      <c r="F319" s="396">
        <v>45755</v>
      </c>
      <c r="G319" s="396"/>
      <c r="H319" s="396">
        <v>45757</v>
      </c>
      <c r="I319" s="374">
        <f ca="1">IF(ISBLANK(H319), NETWORKDAYS(F319, TODAY(),fESTIVOS!$A$1:$A$18), NETWORKDAYS(F319, H319, fESTIVOS!$A$1:$A$18))</f>
        <v>3</v>
      </c>
      <c r="J319" s="396"/>
      <c r="K319" s="396">
        <v>45757</v>
      </c>
      <c r="L319" s="812" t="s">
        <v>2871</v>
      </c>
      <c r="M319" s="354"/>
      <c r="N319" s="354"/>
      <c r="O319" s="354"/>
      <c r="P319" s="354"/>
      <c r="Q319" s="354"/>
      <c r="R319" s="354"/>
      <c r="S319" s="354"/>
      <c r="T319" s="354"/>
      <c r="U319" s="354"/>
      <c r="V319" s="354"/>
      <c r="W319" s="354"/>
      <c r="X319" s="354"/>
      <c r="Y319" s="354"/>
      <c r="Z319" s="354"/>
    </row>
    <row r="320" spans="1:33" ht="15.75" customHeight="1">
      <c r="A320" s="392" t="s">
        <v>1991</v>
      </c>
      <c r="B320" s="813" t="s">
        <v>2872</v>
      </c>
      <c r="C320" s="800"/>
      <c r="D320" s="365" t="s">
        <v>76</v>
      </c>
      <c r="E320" s="364">
        <v>45749</v>
      </c>
      <c r="F320" s="364">
        <v>45749</v>
      </c>
      <c r="G320" s="623"/>
      <c r="H320" s="364">
        <v>45757</v>
      </c>
      <c r="I320" s="374">
        <f ca="1">IF(ISBLANK(H320), NETWORKDAYS(F320, TODAY(),fESTIVOS!$A$1:$A$18), NETWORKDAYS(F320, H320, fESTIVOS!$A$1:$A$18))</f>
        <v>7</v>
      </c>
      <c r="J320" s="623"/>
      <c r="K320" s="364">
        <v>45757</v>
      </c>
      <c r="L320" s="851" t="s">
        <v>2873</v>
      </c>
      <c r="M320" s="399"/>
      <c r="N320" s="399"/>
      <c r="O320" s="399"/>
      <c r="P320" s="399"/>
      <c r="Q320" s="399"/>
      <c r="R320" s="399"/>
      <c r="S320" s="399"/>
      <c r="T320" s="399"/>
      <c r="U320" s="399"/>
      <c r="V320" s="399"/>
      <c r="W320" s="399"/>
      <c r="X320" s="399"/>
      <c r="Y320" s="399"/>
      <c r="Z320" s="399"/>
    </row>
    <row r="321" spans="1:27" ht="29.25" customHeight="1">
      <c r="A321" s="696" t="s">
        <v>2239</v>
      </c>
      <c r="B321" s="471" t="s">
        <v>2874</v>
      </c>
      <c r="C321" s="852" t="s">
        <v>2875</v>
      </c>
      <c r="D321" s="428"/>
      <c r="E321" s="704" t="s">
        <v>2876</v>
      </c>
      <c r="F321" s="698">
        <v>45688</v>
      </c>
      <c r="G321" s="698">
        <v>45691</v>
      </c>
      <c r="H321" s="698">
        <v>45694</v>
      </c>
      <c r="I321" s="697"/>
      <c r="J321" s="693">
        <f ca="1">IF(ISBLANK(I321), NETWORKDAYS(G321, TODAY(),fESTIVOS!$A$1:$A$18), NETWORKDAYS(G321, I321, fESTIVOS!$A$1:$A$18))</f>
        <v>258</v>
      </c>
      <c r="K321" s="698"/>
      <c r="L321" s="698"/>
      <c r="M321" s="853" t="s">
        <v>2877</v>
      </c>
      <c r="N321" s="589"/>
      <c r="O321" s="354"/>
      <c r="P321" s="354"/>
      <c r="Q321" s="354"/>
      <c r="R321" s="354"/>
      <c r="S321" s="354"/>
      <c r="T321" s="354"/>
      <c r="U321" s="354"/>
      <c r="V321" s="354"/>
      <c r="W321" s="354"/>
      <c r="X321" s="354"/>
      <c r="Y321" s="354"/>
      <c r="Z321" s="354"/>
      <c r="AA321" s="354"/>
    </row>
    <row r="322" spans="1:27" ht="15.75" customHeight="1">
      <c r="A322" s="446"/>
      <c r="B322" s="446"/>
      <c r="C322" s="446"/>
      <c r="D322" s="854"/>
      <c r="E322" s="446"/>
      <c r="F322" s="446"/>
      <c r="G322" s="446"/>
      <c r="H322" s="446"/>
      <c r="I322" s="446"/>
      <c r="J322" s="446"/>
      <c r="K322" s="446"/>
      <c r="L322" s="446"/>
      <c r="M322" s="446"/>
      <c r="N322" s="446"/>
      <c r="O322" s="446"/>
      <c r="P322" s="446"/>
      <c r="Q322" s="446"/>
      <c r="R322" s="446"/>
      <c r="S322" s="446"/>
      <c r="T322" s="446"/>
      <c r="U322" s="446"/>
      <c r="V322" s="446"/>
      <c r="W322" s="446"/>
      <c r="X322" s="446"/>
      <c r="Y322" s="446"/>
      <c r="Z322" s="446"/>
    </row>
    <row r="323" spans="1:27" ht="15.75" customHeight="1">
      <c r="A323" s="446"/>
      <c r="B323" s="446"/>
      <c r="C323" s="446"/>
      <c r="D323" s="854"/>
      <c r="E323" s="446"/>
      <c r="F323" s="446"/>
      <c r="G323" s="446"/>
      <c r="H323" s="446"/>
      <c r="I323" s="446"/>
      <c r="J323" s="446"/>
      <c r="K323" s="446"/>
      <c r="L323" s="446"/>
      <c r="M323" s="446"/>
      <c r="N323" s="446"/>
      <c r="O323" s="446"/>
      <c r="P323" s="446"/>
      <c r="Q323" s="446"/>
      <c r="R323" s="446"/>
      <c r="S323" s="446"/>
      <c r="T323" s="446"/>
      <c r="U323" s="446"/>
      <c r="V323" s="446"/>
      <c r="W323" s="446"/>
      <c r="X323" s="446"/>
      <c r="Y323" s="446"/>
      <c r="Z323" s="446"/>
    </row>
    <row r="324" spans="1:27" ht="15.75" customHeight="1">
      <c r="A324" s="446"/>
      <c r="B324" s="446"/>
      <c r="C324" s="446"/>
      <c r="D324" s="854"/>
      <c r="E324" s="446"/>
      <c r="F324" s="446"/>
      <c r="G324" s="446"/>
      <c r="H324" s="446"/>
      <c r="I324" s="446"/>
      <c r="J324" s="446"/>
      <c r="K324" s="446"/>
      <c r="L324" s="446"/>
      <c r="M324" s="446"/>
      <c r="N324" s="446"/>
      <c r="O324" s="446"/>
      <c r="P324" s="446"/>
      <c r="Q324" s="446"/>
      <c r="R324" s="446"/>
      <c r="S324" s="446"/>
      <c r="T324" s="446"/>
      <c r="U324" s="446"/>
      <c r="V324" s="446"/>
      <c r="W324" s="446"/>
      <c r="X324" s="446"/>
      <c r="Y324" s="446"/>
      <c r="Z324" s="446"/>
    </row>
    <row r="325" spans="1:27" ht="15.75" customHeight="1">
      <c r="A325" s="446"/>
      <c r="B325" s="446"/>
      <c r="C325" s="446"/>
      <c r="D325" s="854"/>
      <c r="E325" s="446"/>
      <c r="F325" s="446"/>
      <c r="G325" s="446"/>
      <c r="H325" s="446"/>
      <c r="I325" s="446"/>
      <c r="J325" s="446"/>
      <c r="K325" s="446"/>
      <c r="L325" s="446"/>
      <c r="M325" s="446"/>
      <c r="N325" s="446"/>
      <c r="O325" s="446"/>
      <c r="P325" s="446"/>
      <c r="Q325" s="446"/>
      <c r="R325" s="446"/>
      <c r="S325" s="446"/>
      <c r="T325" s="446"/>
      <c r="U325" s="446"/>
      <c r="V325" s="446"/>
      <c r="W325" s="446"/>
      <c r="X325" s="446"/>
      <c r="Y325" s="446"/>
      <c r="Z325" s="446"/>
    </row>
    <row r="326" spans="1:27" ht="15.75" customHeight="1">
      <c r="A326" s="446"/>
      <c r="B326" s="446"/>
      <c r="C326" s="446"/>
      <c r="D326" s="854"/>
      <c r="E326" s="446"/>
      <c r="F326" s="446"/>
      <c r="G326" s="446"/>
      <c r="H326" s="446"/>
      <c r="I326" s="446"/>
      <c r="J326" s="446"/>
      <c r="K326" s="446"/>
      <c r="L326" s="446"/>
      <c r="M326" s="446"/>
      <c r="N326" s="446"/>
      <c r="O326" s="446"/>
      <c r="P326" s="446"/>
      <c r="Q326" s="446"/>
      <c r="R326" s="446"/>
      <c r="S326" s="446"/>
      <c r="T326" s="446"/>
      <c r="U326" s="446"/>
      <c r="V326" s="446"/>
      <c r="W326" s="446"/>
      <c r="X326" s="446"/>
      <c r="Y326" s="446"/>
      <c r="Z326" s="446"/>
    </row>
    <row r="327" spans="1:27" ht="15.75" customHeight="1">
      <c r="A327" s="446"/>
      <c r="B327" s="446"/>
      <c r="C327" s="446"/>
      <c r="D327" s="854"/>
      <c r="E327" s="446"/>
      <c r="F327" s="446"/>
      <c r="G327" s="446"/>
      <c r="H327" s="446"/>
      <c r="I327" s="446"/>
      <c r="J327" s="446"/>
      <c r="K327" s="446"/>
      <c r="L327" s="446"/>
      <c r="M327" s="446"/>
      <c r="N327" s="446"/>
      <c r="O327" s="446"/>
      <c r="P327" s="446"/>
      <c r="Q327" s="446"/>
      <c r="R327" s="446"/>
      <c r="S327" s="446"/>
      <c r="T327" s="446"/>
      <c r="U327" s="446"/>
      <c r="V327" s="446"/>
      <c r="W327" s="446"/>
      <c r="X327" s="446"/>
      <c r="Y327" s="446"/>
      <c r="Z327" s="446"/>
    </row>
    <row r="328" spans="1:27" ht="15.75" customHeight="1">
      <c r="A328" s="446"/>
      <c r="B328" s="446"/>
      <c r="C328" s="446"/>
      <c r="D328" s="854"/>
      <c r="E328" s="446"/>
      <c r="F328" s="446"/>
      <c r="G328" s="446"/>
      <c r="H328" s="446"/>
      <c r="I328" s="446"/>
      <c r="J328" s="446"/>
      <c r="K328" s="446"/>
      <c r="L328" s="446"/>
      <c r="M328" s="446"/>
      <c r="N328" s="446"/>
      <c r="O328" s="446"/>
      <c r="P328" s="446"/>
      <c r="Q328" s="446"/>
      <c r="R328" s="446"/>
      <c r="S328" s="446"/>
      <c r="T328" s="446"/>
      <c r="U328" s="446"/>
      <c r="V328" s="446"/>
      <c r="W328" s="446"/>
      <c r="X328" s="446"/>
      <c r="Y328" s="446"/>
      <c r="Z328" s="446"/>
    </row>
    <row r="329" spans="1:27" ht="15.75" customHeight="1">
      <c r="A329" s="446"/>
      <c r="B329" s="446"/>
      <c r="C329" s="446"/>
      <c r="D329" s="854"/>
      <c r="E329" s="446"/>
      <c r="F329" s="446"/>
      <c r="G329" s="446"/>
      <c r="H329" s="446"/>
      <c r="I329" s="446"/>
      <c r="J329" s="446"/>
      <c r="K329" s="446"/>
      <c r="L329" s="446"/>
      <c r="M329" s="446"/>
      <c r="N329" s="446"/>
      <c r="O329" s="446"/>
      <c r="P329" s="446"/>
      <c r="Q329" s="446"/>
      <c r="R329" s="446"/>
      <c r="S329" s="446"/>
      <c r="T329" s="446"/>
      <c r="U329" s="446"/>
      <c r="V329" s="446"/>
      <c r="W329" s="446"/>
      <c r="X329" s="446"/>
      <c r="Y329" s="446"/>
      <c r="Z329" s="446"/>
    </row>
    <row r="330" spans="1:27" ht="15.75" customHeight="1">
      <c r="A330" s="446"/>
      <c r="B330" s="446"/>
      <c r="C330" s="446"/>
      <c r="D330" s="854"/>
      <c r="E330" s="446"/>
      <c r="F330" s="446"/>
      <c r="G330" s="446"/>
      <c r="H330" s="446"/>
      <c r="I330" s="446"/>
      <c r="J330" s="446"/>
      <c r="K330" s="446"/>
      <c r="L330" s="446"/>
      <c r="M330" s="446"/>
      <c r="N330" s="446"/>
      <c r="O330" s="446"/>
      <c r="P330" s="446"/>
      <c r="Q330" s="446"/>
      <c r="R330" s="446"/>
      <c r="S330" s="446"/>
      <c r="T330" s="446"/>
      <c r="U330" s="446"/>
      <c r="V330" s="446"/>
      <c r="W330" s="446"/>
      <c r="X330" s="446"/>
      <c r="Y330" s="446"/>
      <c r="Z330" s="446"/>
    </row>
    <row r="331" spans="1:27" ht="15.75" customHeight="1">
      <c r="A331" s="446"/>
      <c r="B331" s="446"/>
      <c r="C331" s="446"/>
      <c r="D331" s="854"/>
      <c r="E331" s="446"/>
      <c r="F331" s="446"/>
      <c r="G331" s="446"/>
      <c r="H331" s="446"/>
      <c r="I331" s="446"/>
      <c r="J331" s="446"/>
      <c r="K331" s="446"/>
      <c r="L331" s="446"/>
      <c r="M331" s="446"/>
      <c r="N331" s="446"/>
      <c r="O331" s="446"/>
      <c r="P331" s="446"/>
      <c r="Q331" s="446"/>
      <c r="R331" s="446"/>
      <c r="S331" s="446"/>
      <c r="T331" s="446"/>
      <c r="U331" s="446"/>
      <c r="V331" s="446"/>
      <c r="W331" s="446"/>
      <c r="X331" s="446"/>
      <c r="Y331" s="446"/>
      <c r="Z331" s="446"/>
    </row>
    <row r="332" spans="1:27" ht="15.75" customHeight="1">
      <c r="A332" s="446"/>
      <c r="B332" s="446"/>
      <c r="C332" s="446"/>
      <c r="D332" s="854"/>
      <c r="E332" s="446"/>
      <c r="F332" s="446"/>
      <c r="G332" s="446"/>
      <c r="H332" s="446"/>
      <c r="I332" s="446"/>
      <c r="J332" s="446"/>
      <c r="K332" s="446"/>
      <c r="L332" s="446"/>
      <c r="M332" s="446"/>
      <c r="N332" s="446"/>
      <c r="O332" s="446"/>
      <c r="P332" s="446"/>
      <c r="Q332" s="446"/>
      <c r="R332" s="446"/>
      <c r="S332" s="446"/>
      <c r="T332" s="446"/>
      <c r="U332" s="446"/>
      <c r="V332" s="446"/>
      <c r="W332" s="446"/>
      <c r="X332" s="446"/>
      <c r="Y332" s="446"/>
      <c r="Z332" s="446"/>
    </row>
    <row r="333" spans="1:27" ht="15.75" customHeight="1">
      <c r="A333" s="446"/>
      <c r="B333" s="446"/>
      <c r="C333" s="446"/>
      <c r="D333" s="854"/>
      <c r="E333" s="446"/>
      <c r="F333" s="446"/>
      <c r="G333" s="446"/>
      <c r="H333" s="446"/>
      <c r="I333" s="446"/>
      <c r="J333" s="446"/>
      <c r="K333" s="446"/>
      <c r="L333" s="446"/>
      <c r="M333" s="446"/>
      <c r="N333" s="446"/>
      <c r="O333" s="446"/>
      <c r="P333" s="446"/>
      <c r="Q333" s="446"/>
      <c r="R333" s="446"/>
      <c r="S333" s="446"/>
      <c r="T333" s="446"/>
      <c r="U333" s="446"/>
      <c r="V333" s="446"/>
      <c r="W333" s="446"/>
      <c r="X333" s="446"/>
      <c r="Y333" s="446"/>
      <c r="Z333" s="446"/>
    </row>
    <row r="334" spans="1:27" ht="15.75" customHeight="1">
      <c r="A334" s="446"/>
      <c r="B334" s="446"/>
      <c r="C334" s="446"/>
      <c r="D334" s="854"/>
      <c r="E334" s="446"/>
      <c r="F334" s="446"/>
      <c r="G334" s="446"/>
      <c r="H334" s="446"/>
      <c r="I334" s="446"/>
      <c r="J334" s="446"/>
      <c r="K334" s="446"/>
      <c r="L334" s="446"/>
      <c r="M334" s="446"/>
      <c r="N334" s="446"/>
      <c r="O334" s="446"/>
      <c r="P334" s="446"/>
      <c r="Q334" s="446"/>
      <c r="R334" s="446"/>
      <c r="S334" s="446"/>
      <c r="T334" s="446"/>
      <c r="U334" s="446"/>
      <c r="V334" s="446"/>
      <c r="W334" s="446"/>
      <c r="X334" s="446"/>
      <c r="Y334" s="446"/>
      <c r="Z334" s="446"/>
    </row>
    <row r="335" spans="1:27" ht="15.75" customHeight="1">
      <c r="A335" s="446"/>
      <c r="B335" s="446"/>
      <c r="C335" s="446"/>
      <c r="D335" s="854"/>
      <c r="E335" s="446"/>
      <c r="F335" s="446"/>
      <c r="G335" s="446"/>
      <c r="H335" s="446"/>
      <c r="I335" s="446"/>
      <c r="J335" s="446"/>
      <c r="K335" s="446"/>
      <c r="L335" s="446"/>
      <c r="M335" s="446"/>
      <c r="N335" s="446"/>
      <c r="O335" s="446"/>
      <c r="P335" s="446"/>
      <c r="Q335" s="446"/>
      <c r="R335" s="446"/>
      <c r="S335" s="446"/>
      <c r="T335" s="446"/>
      <c r="U335" s="446"/>
      <c r="V335" s="446"/>
      <c r="W335" s="446"/>
      <c r="X335" s="446"/>
      <c r="Y335" s="446"/>
      <c r="Z335" s="446"/>
    </row>
    <row r="336" spans="1:27" ht="15.75" customHeight="1">
      <c r="A336" s="446"/>
      <c r="B336" s="446"/>
      <c r="C336" s="446"/>
      <c r="D336" s="854"/>
      <c r="E336" s="446"/>
      <c r="F336" s="446"/>
      <c r="G336" s="446"/>
      <c r="H336" s="446"/>
      <c r="I336" s="446"/>
      <c r="J336" s="446"/>
      <c r="K336" s="446"/>
      <c r="L336" s="446"/>
      <c r="M336" s="446"/>
      <c r="N336" s="446"/>
      <c r="O336" s="446"/>
      <c r="P336" s="446"/>
      <c r="Q336" s="446"/>
      <c r="R336" s="446"/>
      <c r="S336" s="446"/>
      <c r="T336" s="446"/>
      <c r="U336" s="446"/>
      <c r="V336" s="446"/>
      <c r="W336" s="446"/>
      <c r="X336" s="446"/>
      <c r="Y336" s="446"/>
      <c r="Z336" s="446"/>
    </row>
    <row r="337" spans="1:26" ht="15.75" customHeight="1">
      <c r="A337" s="446"/>
      <c r="B337" s="446"/>
      <c r="C337" s="446"/>
      <c r="D337" s="854"/>
      <c r="E337" s="446"/>
      <c r="F337" s="446"/>
      <c r="G337" s="446"/>
      <c r="H337" s="446"/>
      <c r="I337" s="446"/>
      <c r="J337" s="446"/>
      <c r="K337" s="446"/>
      <c r="L337" s="446"/>
      <c r="M337" s="446"/>
      <c r="N337" s="446"/>
      <c r="O337" s="446"/>
      <c r="P337" s="446"/>
      <c r="Q337" s="446"/>
      <c r="R337" s="446"/>
      <c r="S337" s="446"/>
      <c r="T337" s="446"/>
      <c r="U337" s="446"/>
      <c r="V337" s="446"/>
      <c r="W337" s="446"/>
      <c r="X337" s="446"/>
      <c r="Y337" s="446"/>
      <c r="Z337" s="446"/>
    </row>
    <row r="338" spans="1:26" ht="15.75" customHeight="1">
      <c r="A338" s="446"/>
      <c r="B338" s="446"/>
      <c r="C338" s="446"/>
      <c r="D338" s="854"/>
      <c r="E338" s="446"/>
      <c r="F338" s="446"/>
      <c r="G338" s="446"/>
      <c r="H338" s="446"/>
      <c r="I338" s="446"/>
      <c r="J338" s="446"/>
      <c r="K338" s="446"/>
      <c r="L338" s="446"/>
      <c r="M338" s="446"/>
      <c r="N338" s="446"/>
      <c r="O338" s="446"/>
      <c r="P338" s="446"/>
      <c r="Q338" s="446"/>
      <c r="R338" s="446"/>
      <c r="S338" s="446"/>
      <c r="T338" s="446"/>
      <c r="U338" s="446"/>
      <c r="V338" s="446"/>
      <c r="W338" s="446"/>
      <c r="X338" s="446"/>
      <c r="Y338" s="446"/>
      <c r="Z338" s="446"/>
    </row>
    <row r="339" spans="1:26" ht="15.75" customHeight="1">
      <c r="A339" s="446"/>
      <c r="B339" s="446"/>
      <c r="C339" s="446"/>
      <c r="D339" s="854"/>
      <c r="E339" s="446"/>
      <c r="F339" s="446"/>
      <c r="G339" s="446"/>
      <c r="H339" s="446"/>
      <c r="I339" s="446"/>
      <c r="J339" s="446"/>
      <c r="K339" s="446"/>
      <c r="L339" s="446"/>
      <c r="M339" s="446"/>
      <c r="N339" s="446"/>
      <c r="O339" s="446"/>
      <c r="P339" s="446"/>
      <c r="Q339" s="446"/>
      <c r="R339" s="446"/>
      <c r="S339" s="446"/>
      <c r="T339" s="446"/>
      <c r="U339" s="446"/>
      <c r="V339" s="446"/>
      <c r="W339" s="446"/>
      <c r="X339" s="446"/>
      <c r="Y339" s="446"/>
      <c r="Z339" s="446"/>
    </row>
    <row r="340" spans="1:26" ht="15.75" customHeight="1">
      <c r="A340" s="446"/>
      <c r="B340" s="446"/>
      <c r="C340" s="446"/>
      <c r="D340" s="854"/>
      <c r="E340" s="446"/>
      <c r="F340" s="446"/>
      <c r="G340" s="446"/>
      <c r="H340" s="446"/>
      <c r="I340" s="446"/>
      <c r="J340" s="446"/>
      <c r="K340" s="446"/>
      <c r="L340" s="446"/>
      <c r="M340" s="446"/>
      <c r="N340" s="446"/>
      <c r="O340" s="446"/>
      <c r="P340" s="446"/>
      <c r="Q340" s="446"/>
      <c r="R340" s="446"/>
      <c r="S340" s="446"/>
      <c r="T340" s="446"/>
      <c r="U340" s="446"/>
      <c r="V340" s="446"/>
      <c r="W340" s="446"/>
      <c r="X340" s="446"/>
      <c r="Y340" s="446"/>
      <c r="Z340" s="446"/>
    </row>
    <row r="341" spans="1:26" ht="15.75" customHeight="1">
      <c r="A341" s="446"/>
      <c r="B341" s="446"/>
      <c r="C341" s="446"/>
      <c r="D341" s="854"/>
      <c r="E341" s="446"/>
      <c r="F341" s="446"/>
      <c r="G341" s="446"/>
      <c r="H341" s="446"/>
      <c r="I341" s="446"/>
      <c r="J341" s="446"/>
      <c r="K341" s="446"/>
      <c r="L341" s="446"/>
      <c r="M341" s="446"/>
      <c r="N341" s="446"/>
      <c r="O341" s="446"/>
      <c r="P341" s="446"/>
      <c r="Q341" s="446"/>
      <c r="R341" s="446"/>
      <c r="S341" s="446"/>
      <c r="T341" s="446"/>
      <c r="U341" s="446"/>
      <c r="V341" s="446"/>
      <c r="W341" s="446"/>
      <c r="X341" s="446"/>
      <c r="Y341" s="446"/>
      <c r="Z341" s="446"/>
    </row>
    <row r="342" spans="1:26" ht="15.75" customHeight="1">
      <c r="A342" s="446"/>
      <c r="B342" s="446"/>
      <c r="C342" s="446"/>
      <c r="D342" s="854"/>
      <c r="E342" s="446"/>
      <c r="F342" s="446"/>
      <c r="G342" s="446"/>
      <c r="H342" s="446"/>
      <c r="I342" s="446"/>
      <c r="J342" s="446"/>
      <c r="K342" s="446"/>
      <c r="L342" s="446"/>
      <c r="M342" s="446"/>
      <c r="N342" s="446"/>
      <c r="O342" s="446"/>
      <c r="P342" s="446"/>
      <c r="Q342" s="446"/>
      <c r="R342" s="446"/>
      <c r="S342" s="446"/>
      <c r="T342" s="446"/>
      <c r="U342" s="446"/>
      <c r="V342" s="446"/>
      <c r="W342" s="446"/>
      <c r="X342" s="446"/>
      <c r="Y342" s="446"/>
      <c r="Z342" s="446"/>
    </row>
    <row r="343" spans="1:26" ht="15.75" customHeight="1">
      <c r="A343" s="446"/>
      <c r="B343" s="446"/>
      <c r="C343" s="446"/>
      <c r="D343" s="854"/>
      <c r="E343" s="446"/>
      <c r="F343" s="446"/>
      <c r="G343" s="446"/>
      <c r="H343" s="446"/>
      <c r="I343" s="446"/>
      <c r="J343" s="446"/>
      <c r="K343" s="446"/>
      <c r="L343" s="446"/>
      <c r="M343" s="446"/>
      <c r="N343" s="446"/>
      <c r="O343" s="446"/>
      <c r="P343" s="446"/>
      <c r="Q343" s="446"/>
      <c r="R343" s="446"/>
      <c r="S343" s="446"/>
      <c r="T343" s="446"/>
      <c r="U343" s="446"/>
      <c r="V343" s="446"/>
      <c r="W343" s="446"/>
      <c r="X343" s="446"/>
      <c r="Y343" s="446"/>
      <c r="Z343" s="446"/>
    </row>
    <row r="344" spans="1:26" ht="15.75" customHeight="1">
      <c r="A344" s="446"/>
      <c r="B344" s="446"/>
      <c r="C344" s="446"/>
      <c r="D344" s="854"/>
      <c r="E344" s="446"/>
      <c r="F344" s="446"/>
      <c r="G344" s="446"/>
      <c r="H344" s="446"/>
      <c r="I344" s="446"/>
      <c r="J344" s="446"/>
      <c r="K344" s="446"/>
      <c r="L344" s="446"/>
      <c r="M344" s="446"/>
      <c r="N344" s="446"/>
      <c r="O344" s="446"/>
      <c r="P344" s="446"/>
      <c r="Q344" s="446"/>
      <c r="R344" s="446"/>
      <c r="S344" s="446"/>
      <c r="T344" s="446"/>
      <c r="U344" s="446"/>
      <c r="V344" s="446"/>
      <c r="W344" s="446"/>
      <c r="X344" s="446"/>
      <c r="Y344" s="446"/>
      <c r="Z344" s="446"/>
    </row>
    <row r="345" spans="1:26" ht="15.75" customHeight="1">
      <c r="A345" s="446"/>
      <c r="B345" s="446"/>
      <c r="C345" s="446"/>
      <c r="D345" s="854"/>
      <c r="E345" s="446"/>
      <c r="F345" s="446"/>
      <c r="G345" s="446"/>
      <c r="H345" s="446"/>
      <c r="I345" s="446"/>
      <c r="J345" s="446"/>
      <c r="K345" s="446"/>
      <c r="L345" s="446"/>
      <c r="M345" s="446"/>
      <c r="N345" s="446"/>
      <c r="O345" s="446"/>
      <c r="P345" s="446"/>
      <c r="Q345" s="446"/>
      <c r="R345" s="446"/>
      <c r="S345" s="446"/>
      <c r="T345" s="446"/>
      <c r="U345" s="446"/>
      <c r="V345" s="446"/>
      <c r="W345" s="446"/>
      <c r="X345" s="446"/>
      <c r="Y345" s="446"/>
      <c r="Z345" s="446"/>
    </row>
    <row r="346" spans="1:26" ht="15.75" customHeight="1">
      <c r="A346" s="446"/>
      <c r="B346" s="446"/>
      <c r="C346" s="446"/>
      <c r="D346" s="854"/>
      <c r="E346" s="446"/>
      <c r="F346" s="446"/>
      <c r="G346" s="446"/>
      <c r="H346" s="446"/>
      <c r="I346" s="446"/>
      <c r="J346" s="446"/>
      <c r="K346" s="446"/>
      <c r="L346" s="446"/>
      <c r="M346" s="446"/>
      <c r="N346" s="446"/>
      <c r="O346" s="446"/>
      <c r="P346" s="446"/>
      <c r="Q346" s="446"/>
      <c r="R346" s="446"/>
      <c r="S346" s="446"/>
      <c r="T346" s="446"/>
      <c r="U346" s="446"/>
      <c r="V346" s="446"/>
      <c r="W346" s="446"/>
      <c r="X346" s="446"/>
      <c r="Y346" s="446"/>
      <c r="Z346" s="446"/>
    </row>
    <row r="347" spans="1:26" ht="15.75" customHeight="1">
      <c r="A347" s="446"/>
      <c r="B347" s="446"/>
      <c r="C347" s="446"/>
      <c r="D347" s="854"/>
      <c r="E347" s="446"/>
      <c r="F347" s="446"/>
      <c r="G347" s="446"/>
      <c r="H347" s="446"/>
      <c r="I347" s="446"/>
      <c r="J347" s="446"/>
      <c r="K347" s="446"/>
      <c r="L347" s="446"/>
      <c r="M347" s="446"/>
      <c r="N347" s="446"/>
      <c r="O347" s="446"/>
      <c r="P347" s="446"/>
      <c r="Q347" s="446"/>
      <c r="R347" s="446"/>
      <c r="S347" s="446"/>
      <c r="T347" s="446"/>
      <c r="U347" s="446"/>
      <c r="V347" s="446"/>
      <c r="W347" s="446"/>
      <c r="X347" s="446"/>
      <c r="Y347" s="446"/>
      <c r="Z347" s="446"/>
    </row>
    <row r="348" spans="1:26" ht="15.75" customHeight="1">
      <c r="A348" s="446"/>
      <c r="B348" s="446"/>
      <c r="C348" s="446"/>
      <c r="D348" s="854"/>
      <c r="E348" s="446"/>
      <c r="F348" s="446"/>
      <c r="G348" s="446"/>
      <c r="H348" s="446"/>
      <c r="I348" s="446"/>
      <c r="J348" s="446"/>
      <c r="K348" s="446"/>
      <c r="L348" s="446"/>
      <c r="M348" s="446"/>
      <c r="N348" s="446"/>
      <c r="O348" s="446"/>
      <c r="P348" s="446"/>
      <c r="Q348" s="446"/>
      <c r="R348" s="446"/>
      <c r="S348" s="446"/>
      <c r="T348" s="446"/>
      <c r="U348" s="446"/>
      <c r="V348" s="446"/>
      <c r="W348" s="446"/>
      <c r="X348" s="446"/>
      <c r="Y348" s="446"/>
      <c r="Z348" s="446"/>
    </row>
    <row r="349" spans="1:26" ht="15.75" customHeight="1">
      <c r="A349" s="446"/>
      <c r="B349" s="446"/>
      <c r="C349" s="446"/>
      <c r="D349" s="854"/>
      <c r="E349" s="446"/>
      <c r="F349" s="446"/>
      <c r="G349" s="446"/>
      <c r="H349" s="446"/>
      <c r="I349" s="446"/>
      <c r="J349" s="446"/>
      <c r="K349" s="446"/>
      <c r="L349" s="446"/>
      <c r="M349" s="446"/>
      <c r="N349" s="446"/>
      <c r="O349" s="446"/>
      <c r="P349" s="446"/>
      <c r="Q349" s="446"/>
      <c r="R349" s="446"/>
      <c r="S349" s="446"/>
      <c r="T349" s="446"/>
      <c r="U349" s="446"/>
      <c r="V349" s="446"/>
      <c r="W349" s="446"/>
      <c r="X349" s="446"/>
      <c r="Y349" s="446"/>
      <c r="Z349" s="446"/>
    </row>
    <row r="350" spans="1:26" ht="15.75" customHeight="1">
      <c r="A350" s="446"/>
      <c r="B350" s="446"/>
      <c r="C350" s="446"/>
      <c r="D350" s="854"/>
      <c r="E350" s="446"/>
      <c r="F350" s="446"/>
      <c r="G350" s="446"/>
      <c r="H350" s="446"/>
      <c r="I350" s="446"/>
      <c r="J350" s="446"/>
      <c r="K350" s="446"/>
      <c r="L350" s="446"/>
      <c r="M350" s="446"/>
      <c r="N350" s="446"/>
      <c r="O350" s="446"/>
      <c r="P350" s="446"/>
      <c r="Q350" s="446"/>
      <c r="R350" s="446"/>
      <c r="S350" s="446"/>
      <c r="T350" s="446"/>
      <c r="U350" s="446"/>
      <c r="V350" s="446"/>
      <c r="W350" s="446"/>
      <c r="X350" s="446"/>
      <c r="Y350" s="446"/>
      <c r="Z350" s="446"/>
    </row>
    <row r="351" spans="1:26" ht="15.75" customHeight="1">
      <c r="A351" s="446"/>
      <c r="B351" s="446"/>
      <c r="C351" s="446"/>
      <c r="D351" s="854"/>
      <c r="E351" s="446"/>
      <c r="F351" s="446"/>
      <c r="G351" s="446"/>
      <c r="H351" s="446"/>
      <c r="I351" s="446"/>
      <c r="J351" s="446"/>
      <c r="K351" s="446"/>
      <c r="L351" s="446"/>
      <c r="M351" s="446"/>
      <c r="N351" s="446"/>
      <c r="O351" s="446"/>
      <c r="P351" s="446"/>
      <c r="Q351" s="446"/>
      <c r="R351" s="446"/>
      <c r="S351" s="446"/>
      <c r="T351" s="446"/>
      <c r="U351" s="446"/>
      <c r="V351" s="446"/>
      <c r="W351" s="446"/>
      <c r="X351" s="446"/>
      <c r="Y351" s="446"/>
      <c r="Z351" s="446"/>
    </row>
    <row r="352" spans="1:26" ht="15.75" customHeight="1">
      <c r="A352" s="446"/>
      <c r="B352" s="446"/>
      <c r="C352" s="446"/>
      <c r="D352" s="854"/>
      <c r="E352" s="446"/>
      <c r="F352" s="446"/>
      <c r="G352" s="446"/>
      <c r="H352" s="446"/>
      <c r="I352" s="446"/>
      <c r="J352" s="446"/>
      <c r="K352" s="446"/>
      <c r="L352" s="446"/>
      <c r="M352" s="446"/>
      <c r="N352" s="446"/>
      <c r="O352" s="446"/>
      <c r="P352" s="446"/>
      <c r="Q352" s="446"/>
      <c r="R352" s="446"/>
      <c r="S352" s="446"/>
      <c r="T352" s="446"/>
      <c r="U352" s="446"/>
      <c r="V352" s="446"/>
      <c r="W352" s="446"/>
      <c r="X352" s="446"/>
      <c r="Y352" s="446"/>
      <c r="Z352" s="446"/>
    </row>
    <row r="353" spans="1:26" ht="15.75" customHeight="1">
      <c r="A353" s="446"/>
      <c r="B353" s="446"/>
      <c r="C353" s="446"/>
      <c r="D353" s="854"/>
      <c r="E353" s="446"/>
      <c r="F353" s="446"/>
      <c r="G353" s="446"/>
      <c r="H353" s="446"/>
      <c r="I353" s="446"/>
      <c r="J353" s="446"/>
      <c r="K353" s="446"/>
      <c r="L353" s="446"/>
      <c r="M353" s="446"/>
      <c r="N353" s="446"/>
      <c r="O353" s="446"/>
      <c r="P353" s="446"/>
      <c r="Q353" s="446"/>
      <c r="R353" s="446"/>
      <c r="S353" s="446"/>
      <c r="T353" s="446"/>
      <c r="U353" s="446"/>
      <c r="V353" s="446"/>
      <c r="W353" s="446"/>
      <c r="X353" s="446"/>
      <c r="Y353" s="446"/>
      <c r="Z353" s="446"/>
    </row>
    <row r="354" spans="1:26" ht="15.75" customHeight="1">
      <c r="A354" s="446"/>
      <c r="B354" s="446"/>
      <c r="C354" s="446"/>
      <c r="D354" s="854"/>
      <c r="E354" s="446"/>
      <c r="F354" s="446"/>
      <c r="G354" s="446"/>
      <c r="H354" s="446"/>
      <c r="I354" s="446"/>
      <c r="J354" s="446"/>
      <c r="K354" s="446"/>
      <c r="L354" s="446"/>
      <c r="M354" s="446"/>
      <c r="N354" s="446"/>
      <c r="O354" s="446"/>
      <c r="P354" s="446"/>
      <c r="Q354" s="446"/>
      <c r="R354" s="446"/>
      <c r="S354" s="446"/>
      <c r="T354" s="446"/>
      <c r="U354" s="446"/>
      <c r="V354" s="446"/>
      <c r="W354" s="446"/>
      <c r="X354" s="446"/>
      <c r="Y354" s="446"/>
      <c r="Z354" s="446"/>
    </row>
    <row r="355" spans="1:26" ht="15.75" customHeight="1">
      <c r="A355" s="446"/>
      <c r="B355" s="446"/>
      <c r="C355" s="446"/>
      <c r="D355" s="854"/>
      <c r="E355" s="446"/>
      <c r="F355" s="446"/>
      <c r="G355" s="446"/>
      <c r="H355" s="446"/>
      <c r="I355" s="446"/>
      <c r="J355" s="446"/>
      <c r="K355" s="446"/>
      <c r="L355" s="446"/>
      <c r="M355" s="446"/>
      <c r="N355" s="446"/>
      <c r="O355" s="446"/>
      <c r="P355" s="446"/>
      <c r="Q355" s="446"/>
      <c r="R355" s="446"/>
      <c r="S355" s="446"/>
      <c r="T355" s="446"/>
      <c r="U355" s="446"/>
      <c r="V355" s="446"/>
      <c r="W355" s="446"/>
      <c r="X355" s="446"/>
      <c r="Y355" s="446"/>
      <c r="Z355" s="446"/>
    </row>
    <row r="356" spans="1:26" ht="15.75" customHeight="1">
      <c r="A356" s="446"/>
      <c r="B356" s="446"/>
      <c r="C356" s="446"/>
      <c r="D356" s="854"/>
      <c r="E356" s="446"/>
      <c r="F356" s="446"/>
      <c r="G356" s="446"/>
      <c r="H356" s="446"/>
      <c r="I356" s="446"/>
      <c r="J356" s="446"/>
      <c r="K356" s="446"/>
      <c r="L356" s="446"/>
      <c r="M356" s="446"/>
      <c r="N356" s="446"/>
      <c r="O356" s="446"/>
      <c r="P356" s="446"/>
      <c r="Q356" s="446"/>
      <c r="R356" s="446"/>
      <c r="S356" s="446"/>
      <c r="T356" s="446"/>
      <c r="U356" s="446"/>
      <c r="V356" s="446"/>
      <c r="W356" s="446"/>
      <c r="X356" s="446"/>
      <c r="Y356" s="446"/>
      <c r="Z356" s="446"/>
    </row>
    <row r="357" spans="1:26" ht="15.75" customHeight="1">
      <c r="A357" s="446"/>
      <c r="B357" s="446"/>
      <c r="C357" s="446"/>
      <c r="D357" s="854"/>
      <c r="E357" s="446"/>
      <c r="F357" s="446"/>
      <c r="G357" s="446"/>
      <c r="H357" s="446"/>
      <c r="I357" s="446"/>
      <c r="J357" s="446"/>
      <c r="K357" s="446"/>
      <c r="L357" s="446"/>
      <c r="M357" s="446"/>
      <c r="N357" s="446"/>
      <c r="O357" s="446"/>
      <c r="P357" s="446"/>
      <c r="Q357" s="446"/>
      <c r="R357" s="446"/>
      <c r="S357" s="446"/>
      <c r="T357" s="446"/>
      <c r="U357" s="446"/>
      <c r="V357" s="446"/>
      <c r="W357" s="446"/>
      <c r="X357" s="446"/>
      <c r="Y357" s="446"/>
      <c r="Z357" s="446"/>
    </row>
    <row r="358" spans="1:26" ht="15.75" customHeight="1">
      <c r="A358" s="446"/>
      <c r="B358" s="446"/>
      <c r="C358" s="446"/>
      <c r="D358" s="854"/>
      <c r="E358" s="446"/>
      <c r="F358" s="446"/>
      <c r="G358" s="446"/>
      <c r="H358" s="446"/>
      <c r="I358" s="446"/>
      <c r="J358" s="446"/>
      <c r="K358" s="446"/>
      <c r="L358" s="446"/>
      <c r="M358" s="446"/>
      <c r="N358" s="446"/>
      <c r="O358" s="446"/>
      <c r="P358" s="446"/>
      <c r="Q358" s="446"/>
      <c r="R358" s="446"/>
      <c r="S358" s="446"/>
      <c r="T358" s="446"/>
      <c r="U358" s="446"/>
      <c r="V358" s="446"/>
      <c r="W358" s="446"/>
      <c r="X358" s="446"/>
      <c r="Y358" s="446"/>
      <c r="Z358" s="446"/>
    </row>
    <row r="359" spans="1:26" ht="15.75" customHeight="1">
      <c r="A359" s="446"/>
      <c r="B359" s="446"/>
      <c r="C359" s="446"/>
      <c r="D359" s="854"/>
      <c r="E359" s="446"/>
      <c r="F359" s="446"/>
      <c r="G359" s="446"/>
      <c r="H359" s="446"/>
      <c r="I359" s="446"/>
      <c r="J359" s="446"/>
      <c r="K359" s="446"/>
      <c r="L359" s="446"/>
      <c r="M359" s="446"/>
      <c r="N359" s="446"/>
      <c r="O359" s="446"/>
      <c r="P359" s="446"/>
      <c r="Q359" s="446"/>
      <c r="R359" s="446"/>
      <c r="S359" s="446"/>
      <c r="T359" s="446"/>
      <c r="U359" s="446"/>
      <c r="V359" s="446"/>
      <c r="W359" s="446"/>
      <c r="X359" s="446"/>
      <c r="Y359" s="446"/>
      <c r="Z359" s="446"/>
    </row>
    <row r="360" spans="1:26" ht="15.75" customHeight="1">
      <c r="A360" s="446"/>
      <c r="B360" s="446"/>
      <c r="C360" s="446"/>
      <c r="D360" s="854"/>
      <c r="E360" s="446"/>
      <c r="F360" s="446"/>
      <c r="G360" s="446"/>
      <c r="H360" s="446"/>
      <c r="I360" s="446"/>
      <c r="J360" s="446"/>
      <c r="K360" s="446"/>
      <c r="L360" s="446"/>
      <c r="M360" s="446"/>
      <c r="N360" s="446"/>
      <c r="O360" s="446"/>
      <c r="P360" s="446"/>
      <c r="Q360" s="446"/>
      <c r="R360" s="446"/>
      <c r="S360" s="446"/>
      <c r="T360" s="446"/>
      <c r="U360" s="446"/>
      <c r="V360" s="446"/>
      <c r="W360" s="446"/>
      <c r="X360" s="446"/>
      <c r="Y360" s="446"/>
      <c r="Z360" s="446"/>
    </row>
    <row r="361" spans="1:26" ht="15.75" customHeight="1">
      <c r="A361" s="446"/>
      <c r="B361" s="446"/>
      <c r="C361" s="446"/>
      <c r="D361" s="854"/>
      <c r="E361" s="446"/>
      <c r="F361" s="446"/>
      <c r="G361" s="446"/>
      <c r="H361" s="446"/>
      <c r="I361" s="446"/>
      <c r="J361" s="446"/>
      <c r="K361" s="446"/>
      <c r="L361" s="446"/>
      <c r="M361" s="446"/>
      <c r="N361" s="446"/>
      <c r="O361" s="446"/>
      <c r="P361" s="446"/>
      <c r="Q361" s="446"/>
      <c r="R361" s="446"/>
      <c r="S361" s="446"/>
      <c r="T361" s="446"/>
      <c r="U361" s="446"/>
      <c r="V361" s="446"/>
      <c r="W361" s="446"/>
      <c r="X361" s="446"/>
      <c r="Y361" s="446"/>
      <c r="Z361" s="446"/>
    </row>
    <row r="362" spans="1:26" ht="15.75" customHeight="1">
      <c r="A362" s="446"/>
      <c r="B362" s="446"/>
      <c r="C362" s="446"/>
      <c r="D362" s="854"/>
      <c r="E362" s="446"/>
      <c r="F362" s="446"/>
      <c r="G362" s="446"/>
      <c r="H362" s="446"/>
      <c r="I362" s="446"/>
      <c r="J362" s="446"/>
      <c r="K362" s="446"/>
      <c r="L362" s="446"/>
      <c r="M362" s="446"/>
      <c r="N362" s="446"/>
      <c r="O362" s="446"/>
      <c r="P362" s="446"/>
      <c r="Q362" s="446"/>
      <c r="R362" s="446"/>
      <c r="S362" s="446"/>
      <c r="T362" s="446"/>
      <c r="U362" s="446"/>
      <c r="V362" s="446"/>
      <c r="W362" s="446"/>
      <c r="X362" s="446"/>
      <c r="Y362" s="446"/>
      <c r="Z362" s="446"/>
    </row>
    <row r="363" spans="1:26" ht="15.75" customHeight="1">
      <c r="A363" s="446"/>
      <c r="B363" s="446"/>
      <c r="C363" s="446"/>
      <c r="D363" s="854"/>
      <c r="E363" s="446"/>
      <c r="F363" s="446"/>
      <c r="G363" s="446"/>
      <c r="H363" s="446"/>
      <c r="I363" s="446"/>
      <c r="J363" s="446"/>
      <c r="K363" s="446"/>
      <c r="L363" s="446"/>
      <c r="M363" s="446"/>
      <c r="N363" s="446"/>
      <c r="O363" s="446"/>
      <c r="P363" s="446"/>
      <c r="Q363" s="446"/>
      <c r="R363" s="446"/>
      <c r="S363" s="446"/>
      <c r="T363" s="446"/>
      <c r="U363" s="446"/>
      <c r="V363" s="446"/>
      <c r="W363" s="446"/>
      <c r="X363" s="446"/>
      <c r="Y363" s="446"/>
      <c r="Z363" s="446"/>
    </row>
    <row r="364" spans="1:26" ht="15.75" customHeight="1">
      <c r="A364" s="446"/>
      <c r="B364" s="446"/>
      <c r="C364" s="446"/>
      <c r="D364" s="854"/>
      <c r="E364" s="446"/>
      <c r="F364" s="446"/>
      <c r="G364" s="446"/>
      <c r="H364" s="446"/>
      <c r="I364" s="446"/>
      <c r="J364" s="446"/>
      <c r="K364" s="446"/>
      <c r="L364" s="446"/>
      <c r="M364" s="446"/>
      <c r="N364" s="446"/>
      <c r="O364" s="446"/>
      <c r="P364" s="446"/>
      <c r="Q364" s="446"/>
      <c r="R364" s="446"/>
      <c r="S364" s="446"/>
      <c r="T364" s="446"/>
      <c r="U364" s="446"/>
      <c r="V364" s="446"/>
      <c r="W364" s="446"/>
      <c r="X364" s="446"/>
      <c r="Y364" s="446"/>
      <c r="Z364" s="446"/>
    </row>
    <row r="365" spans="1:26" ht="15.75" customHeight="1">
      <c r="A365" s="446"/>
      <c r="B365" s="446"/>
      <c r="C365" s="446"/>
      <c r="D365" s="854"/>
      <c r="E365" s="446"/>
      <c r="F365" s="446"/>
      <c r="G365" s="446"/>
      <c r="H365" s="446"/>
      <c r="I365" s="446"/>
      <c r="J365" s="446"/>
      <c r="K365" s="446"/>
      <c r="L365" s="446"/>
      <c r="M365" s="446"/>
      <c r="N365" s="446"/>
      <c r="O365" s="446"/>
      <c r="P365" s="446"/>
      <c r="Q365" s="446"/>
      <c r="R365" s="446"/>
      <c r="S365" s="446"/>
      <c r="T365" s="446"/>
      <c r="U365" s="446"/>
      <c r="V365" s="446"/>
      <c r="W365" s="446"/>
      <c r="X365" s="446"/>
      <c r="Y365" s="446"/>
      <c r="Z365" s="446"/>
    </row>
    <row r="366" spans="1:26" ht="15.75" customHeight="1">
      <c r="A366" s="446"/>
      <c r="B366" s="446"/>
      <c r="C366" s="446"/>
      <c r="D366" s="854"/>
      <c r="E366" s="446"/>
      <c r="F366" s="446"/>
      <c r="G366" s="446"/>
      <c r="H366" s="446"/>
      <c r="I366" s="446"/>
      <c r="J366" s="446"/>
      <c r="K366" s="446"/>
      <c r="L366" s="446"/>
      <c r="M366" s="446"/>
      <c r="N366" s="446"/>
      <c r="O366" s="446"/>
      <c r="P366" s="446"/>
      <c r="Q366" s="446"/>
      <c r="R366" s="446"/>
      <c r="S366" s="446"/>
      <c r="T366" s="446"/>
      <c r="U366" s="446"/>
      <c r="V366" s="446"/>
      <c r="W366" s="446"/>
      <c r="X366" s="446"/>
      <c r="Y366" s="446"/>
      <c r="Z366" s="446"/>
    </row>
    <row r="367" spans="1:26" ht="15.75" customHeight="1">
      <c r="A367" s="446"/>
      <c r="B367" s="446"/>
      <c r="C367" s="446"/>
      <c r="D367" s="854"/>
      <c r="E367" s="446"/>
      <c r="F367" s="446"/>
      <c r="G367" s="446"/>
      <c r="H367" s="446"/>
      <c r="I367" s="446"/>
      <c r="J367" s="446"/>
      <c r="K367" s="446"/>
      <c r="L367" s="446"/>
      <c r="M367" s="446"/>
      <c r="N367" s="446"/>
      <c r="O367" s="446"/>
      <c r="P367" s="446"/>
      <c r="Q367" s="446"/>
      <c r="R367" s="446"/>
      <c r="S367" s="446"/>
      <c r="T367" s="446"/>
      <c r="U367" s="446"/>
      <c r="V367" s="446"/>
      <c r="W367" s="446"/>
      <c r="X367" s="446"/>
      <c r="Y367" s="446"/>
      <c r="Z367" s="446"/>
    </row>
    <row r="368" spans="1:26" ht="15.75" customHeight="1">
      <c r="A368" s="446"/>
      <c r="B368" s="446"/>
      <c r="C368" s="446"/>
      <c r="D368" s="854"/>
      <c r="E368" s="446"/>
      <c r="F368" s="446"/>
      <c r="G368" s="446"/>
      <c r="H368" s="446"/>
      <c r="I368" s="446"/>
      <c r="J368" s="446"/>
      <c r="K368" s="446"/>
      <c r="L368" s="446"/>
      <c r="M368" s="446"/>
      <c r="N368" s="446"/>
      <c r="O368" s="446"/>
      <c r="P368" s="446"/>
      <c r="Q368" s="446"/>
      <c r="R368" s="446"/>
      <c r="S368" s="446"/>
      <c r="T368" s="446"/>
      <c r="U368" s="446"/>
      <c r="V368" s="446"/>
      <c r="W368" s="446"/>
      <c r="X368" s="446"/>
      <c r="Y368" s="446"/>
      <c r="Z368" s="446"/>
    </row>
    <row r="369" spans="1:26" ht="15.75" customHeight="1">
      <c r="A369" s="446"/>
      <c r="B369" s="446"/>
      <c r="C369" s="446"/>
      <c r="D369" s="854"/>
      <c r="E369" s="446"/>
      <c r="F369" s="446"/>
      <c r="G369" s="446"/>
      <c r="H369" s="446"/>
      <c r="I369" s="446"/>
      <c r="J369" s="446"/>
      <c r="K369" s="446"/>
      <c r="L369" s="446"/>
      <c r="M369" s="446"/>
      <c r="N369" s="446"/>
      <c r="O369" s="446"/>
      <c r="P369" s="446"/>
      <c r="Q369" s="446"/>
      <c r="R369" s="446"/>
      <c r="S369" s="446"/>
      <c r="T369" s="446"/>
      <c r="U369" s="446"/>
      <c r="V369" s="446"/>
      <c r="W369" s="446"/>
      <c r="X369" s="446"/>
      <c r="Y369" s="446"/>
      <c r="Z369" s="446"/>
    </row>
    <row r="370" spans="1:26" ht="15.75" customHeight="1">
      <c r="A370" s="446"/>
      <c r="B370" s="446"/>
      <c r="C370" s="446"/>
      <c r="D370" s="854"/>
      <c r="E370" s="446"/>
      <c r="F370" s="446"/>
      <c r="G370" s="446"/>
      <c r="H370" s="446"/>
      <c r="I370" s="446"/>
      <c r="J370" s="446"/>
      <c r="K370" s="446"/>
      <c r="L370" s="446"/>
      <c r="M370" s="446"/>
      <c r="N370" s="446"/>
      <c r="O370" s="446"/>
      <c r="P370" s="446"/>
      <c r="Q370" s="446"/>
      <c r="R370" s="446"/>
      <c r="S370" s="446"/>
      <c r="T370" s="446"/>
      <c r="U370" s="446"/>
      <c r="V370" s="446"/>
      <c r="W370" s="446"/>
      <c r="X370" s="446"/>
      <c r="Y370" s="446"/>
      <c r="Z370" s="446"/>
    </row>
    <row r="371" spans="1:26" ht="15.75" customHeight="1">
      <c r="A371" s="446"/>
      <c r="B371" s="446"/>
      <c r="C371" s="446"/>
      <c r="D371" s="854"/>
      <c r="E371" s="446"/>
      <c r="F371" s="446"/>
      <c r="G371" s="446"/>
      <c r="H371" s="446"/>
      <c r="I371" s="446"/>
      <c r="J371" s="446"/>
      <c r="K371" s="446"/>
      <c r="L371" s="446"/>
      <c r="M371" s="446"/>
      <c r="N371" s="446"/>
      <c r="O371" s="446"/>
      <c r="P371" s="446"/>
      <c r="Q371" s="446"/>
      <c r="R371" s="446"/>
      <c r="S371" s="446"/>
      <c r="T371" s="446"/>
      <c r="U371" s="446"/>
      <c r="V371" s="446"/>
      <c r="W371" s="446"/>
      <c r="X371" s="446"/>
      <c r="Y371" s="446"/>
      <c r="Z371" s="446"/>
    </row>
    <row r="372" spans="1:26" ht="15.75" customHeight="1">
      <c r="A372" s="446"/>
      <c r="B372" s="446"/>
      <c r="C372" s="446"/>
      <c r="D372" s="854"/>
      <c r="E372" s="446"/>
      <c r="F372" s="446"/>
      <c r="G372" s="446"/>
      <c r="H372" s="446"/>
      <c r="I372" s="446"/>
      <c r="J372" s="446"/>
      <c r="K372" s="446"/>
      <c r="L372" s="446"/>
      <c r="M372" s="446"/>
      <c r="N372" s="446"/>
      <c r="O372" s="446"/>
      <c r="P372" s="446"/>
      <c r="Q372" s="446"/>
      <c r="R372" s="446"/>
      <c r="S372" s="446"/>
      <c r="T372" s="446"/>
      <c r="U372" s="446"/>
      <c r="V372" s="446"/>
      <c r="W372" s="446"/>
      <c r="X372" s="446"/>
      <c r="Y372" s="446"/>
      <c r="Z372" s="446"/>
    </row>
    <row r="373" spans="1:26" ht="15.75" customHeight="1">
      <c r="A373" s="446"/>
      <c r="B373" s="446"/>
      <c r="C373" s="446"/>
      <c r="D373" s="854"/>
      <c r="E373" s="446"/>
      <c r="F373" s="446"/>
      <c r="G373" s="446"/>
      <c r="H373" s="446"/>
      <c r="I373" s="446"/>
      <c r="J373" s="446"/>
      <c r="K373" s="446"/>
      <c r="L373" s="446"/>
      <c r="M373" s="446"/>
      <c r="N373" s="446"/>
      <c r="O373" s="446"/>
      <c r="P373" s="446"/>
      <c r="Q373" s="446"/>
      <c r="R373" s="446"/>
      <c r="S373" s="446"/>
      <c r="T373" s="446"/>
      <c r="U373" s="446"/>
      <c r="V373" s="446"/>
      <c r="W373" s="446"/>
      <c r="X373" s="446"/>
      <c r="Y373" s="446"/>
      <c r="Z373" s="446"/>
    </row>
    <row r="374" spans="1:26" ht="15.75" customHeight="1">
      <c r="A374" s="446"/>
      <c r="B374" s="446"/>
      <c r="C374" s="446"/>
      <c r="D374" s="854"/>
      <c r="E374" s="446"/>
      <c r="F374" s="446"/>
      <c r="G374" s="446"/>
      <c r="H374" s="446"/>
      <c r="I374" s="446"/>
      <c r="J374" s="446"/>
      <c r="K374" s="446"/>
      <c r="L374" s="446"/>
      <c r="M374" s="446"/>
      <c r="N374" s="446"/>
      <c r="O374" s="446"/>
      <c r="P374" s="446"/>
      <c r="Q374" s="446"/>
      <c r="R374" s="446"/>
      <c r="S374" s="446"/>
      <c r="T374" s="446"/>
      <c r="U374" s="446"/>
      <c r="V374" s="446"/>
      <c r="W374" s="446"/>
      <c r="X374" s="446"/>
      <c r="Y374" s="446"/>
      <c r="Z374" s="446"/>
    </row>
    <row r="375" spans="1:26" ht="15.75" customHeight="1">
      <c r="A375" s="446"/>
      <c r="B375" s="446"/>
      <c r="C375" s="446"/>
      <c r="D375" s="854"/>
      <c r="E375" s="446"/>
      <c r="F375" s="446"/>
      <c r="G375" s="446"/>
      <c r="H375" s="446"/>
      <c r="I375" s="446"/>
      <c r="J375" s="446"/>
      <c r="K375" s="446"/>
      <c r="L375" s="446"/>
      <c r="M375" s="446"/>
      <c r="N375" s="446"/>
      <c r="O375" s="446"/>
      <c r="P375" s="446"/>
      <c r="Q375" s="446"/>
      <c r="R375" s="446"/>
      <c r="S375" s="446"/>
      <c r="T375" s="446"/>
      <c r="U375" s="446"/>
      <c r="V375" s="446"/>
      <c r="W375" s="446"/>
      <c r="X375" s="446"/>
      <c r="Y375" s="446"/>
      <c r="Z375" s="446"/>
    </row>
    <row r="376" spans="1:26" ht="15.75" customHeight="1">
      <c r="A376" s="446"/>
      <c r="B376" s="446"/>
      <c r="C376" s="446"/>
      <c r="D376" s="854"/>
      <c r="E376" s="446"/>
      <c r="F376" s="446"/>
      <c r="G376" s="446"/>
      <c r="H376" s="446"/>
      <c r="I376" s="446"/>
      <c r="J376" s="446"/>
      <c r="K376" s="446"/>
      <c r="L376" s="446"/>
      <c r="M376" s="446"/>
      <c r="N376" s="446"/>
      <c r="O376" s="446"/>
      <c r="P376" s="446"/>
      <c r="Q376" s="446"/>
      <c r="R376" s="446"/>
      <c r="S376" s="446"/>
      <c r="T376" s="446"/>
      <c r="U376" s="446"/>
      <c r="V376" s="446"/>
      <c r="W376" s="446"/>
      <c r="X376" s="446"/>
      <c r="Y376" s="446"/>
      <c r="Z376" s="446"/>
    </row>
    <row r="377" spans="1:26" ht="15.75" customHeight="1">
      <c r="A377" s="446"/>
      <c r="B377" s="446"/>
      <c r="C377" s="446"/>
      <c r="D377" s="854"/>
      <c r="E377" s="446"/>
      <c r="F377" s="446"/>
      <c r="G377" s="446"/>
      <c r="H377" s="446"/>
      <c r="I377" s="446"/>
      <c r="J377" s="446"/>
      <c r="K377" s="446"/>
      <c r="L377" s="446"/>
      <c r="M377" s="446"/>
      <c r="N377" s="446"/>
      <c r="O377" s="446"/>
      <c r="P377" s="446"/>
      <c r="Q377" s="446"/>
      <c r="R377" s="446"/>
      <c r="S377" s="446"/>
      <c r="T377" s="446"/>
      <c r="U377" s="446"/>
      <c r="V377" s="446"/>
      <c r="W377" s="446"/>
      <c r="X377" s="446"/>
      <c r="Y377" s="446"/>
      <c r="Z377" s="446"/>
    </row>
    <row r="378" spans="1:26" ht="15.75" customHeight="1">
      <c r="A378" s="446"/>
      <c r="B378" s="446"/>
      <c r="C378" s="446"/>
      <c r="D378" s="854"/>
      <c r="E378" s="446"/>
      <c r="F378" s="446"/>
      <c r="G378" s="446"/>
      <c r="H378" s="446"/>
      <c r="I378" s="446"/>
      <c r="J378" s="446"/>
      <c r="K378" s="446"/>
      <c r="L378" s="446"/>
      <c r="M378" s="446"/>
      <c r="N378" s="446"/>
      <c r="O378" s="446"/>
      <c r="P378" s="446"/>
      <c r="Q378" s="446"/>
      <c r="R378" s="446"/>
      <c r="S378" s="446"/>
      <c r="T378" s="446"/>
      <c r="U378" s="446"/>
      <c r="V378" s="446"/>
      <c r="W378" s="446"/>
      <c r="X378" s="446"/>
      <c r="Y378" s="446"/>
      <c r="Z378" s="446"/>
    </row>
    <row r="379" spans="1:26" ht="15.75" customHeight="1">
      <c r="A379" s="446"/>
      <c r="B379" s="446"/>
      <c r="C379" s="446"/>
      <c r="D379" s="854"/>
      <c r="E379" s="446"/>
      <c r="F379" s="446"/>
      <c r="G379" s="446"/>
      <c r="H379" s="446"/>
      <c r="I379" s="446"/>
      <c r="J379" s="446"/>
      <c r="K379" s="446"/>
      <c r="L379" s="446"/>
      <c r="M379" s="446"/>
      <c r="N379" s="446"/>
      <c r="O379" s="446"/>
      <c r="P379" s="446"/>
      <c r="Q379" s="446"/>
      <c r="R379" s="446"/>
      <c r="S379" s="446"/>
      <c r="T379" s="446"/>
      <c r="U379" s="446"/>
      <c r="V379" s="446"/>
      <c r="W379" s="446"/>
      <c r="X379" s="446"/>
      <c r="Y379" s="446"/>
      <c r="Z379" s="446"/>
    </row>
    <row r="380" spans="1:26" ht="15.75" customHeight="1">
      <c r="A380" s="446"/>
      <c r="B380" s="446"/>
      <c r="C380" s="446"/>
      <c r="D380" s="854"/>
      <c r="E380" s="446"/>
      <c r="F380" s="446"/>
      <c r="G380" s="446"/>
      <c r="H380" s="446"/>
      <c r="I380" s="446"/>
      <c r="J380" s="446"/>
      <c r="K380" s="446"/>
      <c r="L380" s="446"/>
      <c r="M380" s="446"/>
      <c r="N380" s="446"/>
      <c r="O380" s="446"/>
      <c r="P380" s="446"/>
      <c r="Q380" s="446"/>
      <c r="R380" s="446"/>
      <c r="S380" s="446"/>
      <c r="T380" s="446"/>
      <c r="U380" s="446"/>
      <c r="V380" s="446"/>
      <c r="W380" s="446"/>
      <c r="X380" s="446"/>
      <c r="Y380" s="446"/>
      <c r="Z380" s="446"/>
    </row>
    <row r="381" spans="1:26" ht="15.75" customHeight="1">
      <c r="A381" s="446"/>
      <c r="B381" s="446"/>
      <c r="C381" s="446"/>
      <c r="D381" s="854"/>
      <c r="E381" s="446"/>
      <c r="F381" s="446"/>
      <c r="G381" s="446"/>
      <c r="H381" s="446"/>
      <c r="I381" s="446"/>
      <c r="J381" s="446"/>
      <c r="K381" s="446"/>
      <c r="L381" s="446"/>
      <c r="M381" s="446"/>
      <c r="N381" s="446"/>
      <c r="O381" s="446"/>
      <c r="P381" s="446"/>
      <c r="Q381" s="446"/>
      <c r="R381" s="446"/>
      <c r="S381" s="446"/>
      <c r="T381" s="446"/>
      <c r="U381" s="446"/>
      <c r="V381" s="446"/>
      <c r="W381" s="446"/>
      <c r="X381" s="446"/>
      <c r="Y381" s="446"/>
      <c r="Z381" s="446"/>
    </row>
    <row r="382" spans="1:26" ht="15.75" customHeight="1">
      <c r="A382" s="446"/>
      <c r="B382" s="446"/>
      <c r="C382" s="446"/>
      <c r="D382" s="854"/>
      <c r="E382" s="446"/>
      <c r="F382" s="446"/>
      <c r="G382" s="446"/>
      <c r="H382" s="446"/>
      <c r="I382" s="446"/>
      <c r="J382" s="446"/>
      <c r="K382" s="446"/>
      <c r="L382" s="446"/>
      <c r="M382" s="446"/>
      <c r="N382" s="446"/>
      <c r="O382" s="446"/>
      <c r="P382" s="446"/>
      <c r="Q382" s="446"/>
      <c r="R382" s="446"/>
      <c r="S382" s="446"/>
      <c r="T382" s="446"/>
      <c r="U382" s="446"/>
      <c r="V382" s="446"/>
      <c r="W382" s="446"/>
      <c r="X382" s="446"/>
      <c r="Y382" s="446"/>
      <c r="Z382" s="446"/>
    </row>
    <row r="383" spans="1:26" ht="15.75" customHeight="1">
      <c r="A383" s="446"/>
      <c r="B383" s="446"/>
      <c r="C383" s="446"/>
      <c r="D383" s="854"/>
      <c r="E383" s="446"/>
      <c r="F383" s="446"/>
      <c r="G383" s="446"/>
      <c r="H383" s="446"/>
      <c r="I383" s="446"/>
      <c r="J383" s="446"/>
      <c r="K383" s="446"/>
      <c r="L383" s="446"/>
      <c r="M383" s="446"/>
      <c r="N383" s="446"/>
      <c r="O383" s="446"/>
      <c r="P383" s="446"/>
      <c r="Q383" s="446"/>
      <c r="R383" s="446"/>
      <c r="S383" s="446"/>
      <c r="T383" s="446"/>
      <c r="U383" s="446"/>
      <c r="V383" s="446"/>
      <c r="W383" s="446"/>
      <c r="X383" s="446"/>
      <c r="Y383" s="446"/>
      <c r="Z383" s="446"/>
    </row>
    <row r="384" spans="1:26" ht="15.75" customHeight="1">
      <c r="A384" s="446"/>
      <c r="B384" s="446"/>
      <c r="C384" s="446"/>
      <c r="D384" s="854"/>
      <c r="E384" s="446"/>
      <c r="F384" s="446"/>
      <c r="G384" s="446"/>
      <c r="H384" s="446"/>
      <c r="I384" s="446"/>
      <c r="J384" s="446"/>
      <c r="K384" s="446"/>
      <c r="L384" s="446"/>
      <c r="M384" s="446"/>
      <c r="N384" s="446"/>
      <c r="O384" s="446"/>
      <c r="P384" s="446"/>
      <c r="Q384" s="446"/>
      <c r="R384" s="446"/>
      <c r="S384" s="446"/>
      <c r="T384" s="446"/>
      <c r="U384" s="446"/>
      <c r="V384" s="446"/>
      <c r="W384" s="446"/>
      <c r="X384" s="446"/>
      <c r="Y384" s="446"/>
      <c r="Z384" s="446"/>
    </row>
    <row r="385" spans="1:26" ht="15.75" customHeight="1">
      <c r="A385" s="446"/>
      <c r="B385" s="446"/>
      <c r="C385" s="446"/>
      <c r="D385" s="854"/>
      <c r="E385" s="446"/>
      <c r="F385" s="446"/>
      <c r="G385" s="446"/>
      <c r="H385" s="446"/>
      <c r="I385" s="446"/>
      <c r="J385" s="446"/>
      <c r="K385" s="446"/>
      <c r="L385" s="446"/>
      <c r="M385" s="446"/>
      <c r="N385" s="446"/>
      <c r="O385" s="446"/>
      <c r="P385" s="446"/>
      <c r="Q385" s="446"/>
      <c r="R385" s="446"/>
      <c r="S385" s="446"/>
      <c r="T385" s="446"/>
      <c r="U385" s="446"/>
      <c r="V385" s="446"/>
      <c r="W385" s="446"/>
      <c r="X385" s="446"/>
      <c r="Y385" s="446"/>
      <c r="Z385" s="446"/>
    </row>
    <row r="386" spans="1:26" ht="15.75" customHeight="1">
      <c r="A386" s="446"/>
      <c r="B386" s="446"/>
      <c r="C386" s="446"/>
      <c r="D386" s="854"/>
      <c r="E386" s="446"/>
      <c r="F386" s="446"/>
      <c r="G386" s="446"/>
      <c r="H386" s="446"/>
      <c r="I386" s="446"/>
      <c r="J386" s="446"/>
      <c r="K386" s="446"/>
      <c r="L386" s="446"/>
      <c r="M386" s="446"/>
      <c r="N386" s="446"/>
      <c r="O386" s="446"/>
      <c r="P386" s="446"/>
      <c r="Q386" s="446"/>
      <c r="R386" s="446"/>
      <c r="S386" s="446"/>
      <c r="T386" s="446"/>
      <c r="U386" s="446"/>
      <c r="V386" s="446"/>
      <c r="W386" s="446"/>
      <c r="X386" s="446"/>
      <c r="Y386" s="446"/>
      <c r="Z386" s="446"/>
    </row>
    <row r="387" spans="1:26" ht="15.75" customHeight="1">
      <c r="A387" s="446"/>
      <c r="B387" s="446"/>
      <c r="C387" s="446"/>
      <c r="D387" s="854"/>
      <c r="E387" s="446"/>
      <c r="F387" s="446"/>
      <c r="G387" s="446"/>
      <c r="H387" s="446"/>
      <c r="I387" s="446"/>
      <c r="J387" s="446"/>
      <c r="K387" s="446"/>
      <c r="L387" s="446"/>
      <c r="M387" s="446"/>
      <c r="N387" s="446"/>
      <c r="O387" s="446"/>
      <c r="P387" s="446"/>
      <c r="Q387" s="446"/>
      <c r="R387" s="446"/>
      <c r="S387" s="446"/>
      <c r="T387" s="446"/>
      <c r="U387" s="446"/>
      <c r="V387" s="446"/>
      <c r="W387" s="446"/>
      <c r="X387" s="446"/>
      <c r="Y387" s="446"/>
      <c r="Z387" s="446"/>
    </row>
    <row r="388" spans="1:26" ht="15.75" customHeight="1">
      <c r="A388" s="446"/>
      <c r="B388" s="446"/>
      <c r="C388" s="446"/>
      <c r="D388" s="854"/>
      <c r="E388" s="446"/>
      <c r="F388" s="446"/>
      <c r="G388" s="446"/>
      <c r="H388" s="446"/>
      <c r="I388" s="446"/>
      <c r="J388" s="446"/>
      <c r="K388" s="446"/>
      <c r="L388" s="446"/>
      <c r="M388" s="446"/>
      <c r="N388" s="446"/>
      <c r="O388" s="446"/>
      <c r="P388" s="446"/>
      <c r="Q388" s="446"/>
      <c r="R388" s="446"/>
      <c r="S388" s="446"/>
      <c r="T388" s="446"/>
      <c r="U388" s="446"/>
      <c r="V388" s="446"/>
      <c r="W388" s="446"/>
      <c r="X388" s="446"/>
      <c r="Y388" s="446"/>
      <c r="Z388" s="446"/>
    </row>
    <row r="389" spans="1:26" ht="15.75" customHeight="1">
      <c r="A389" s="446"/>
      <c r="B389" s="446"/>
      <c r="C389" s="446"/>
      <c r="D389" s="854"/>
      <c r="E389" s="446"/>
      <c r="F389" s="446"/>
      <c r="G389" s="446"/>
      <c r="H389" s="446"/>
      <c r="I389" s="446"/>
      <c r="J389" s="446"/>
      <c r="K389" s="446"/>
      <c r="L389" s="446"/>
      <c r="M389" s="446"/>
      <c r="N389" s="446"/>
      <c r="O389" s="446"/>
      <c r="P389" s="446"/>
      <c r="Q389" s="446"/>
      <c r="R389" s="446"/>
      <c r="S389" s="446"/>
      <c r="T389" s="446"/>
      <c r="U389" s="446"/>
      <c r="V389" s="446"/>
      <c r="W389" s="446"/>
      <c r="X389" s="446"/>
      <c r="Y389" s="446"/>
      <c r="Z389" s="446"/>
    </row>
    <row r="390" spans="1:26" ht="15.75" customHeight="1">
      <c r="A390" s="446"/>
      <c r="B390" s="446"/>
      <c r="C390" s="446"/>
      <c r="D390" s="854"/>
      <c r="E390" s="446"/>
      <c r="F390" s="446"/>
      <c r="G390" s="446"/>
      <c r="H390" s="446"/>
      <c r="I390" s="446"/>
      <c r="J390" s="446"/>
      <c r="K390" s="446"/>
      <c r="L390" s="446"/>
      <c r="M390" s="446"/>
      <c r="N390" s="446"/>
      <c r="O390" s="446"/>
      <c r="P390" s="446"/>
      <c r="Q390" s="446"/>
      <c r="R390" s="446"/>
      <c r="S390" s="446"/>
      <c r="T390" s="446"/>
      <c r="U390" s="446"/>
      <c r="V390" s="446"/>
      <c r="W390" s="446"/>
      <c r="X390" s="446"/>
      <c r="Y390" s="446"/>
      <c r="Z390" s="446"/>
    </row>
    <row r="391" spans="1:26" ht="15.75" customHeight="1">
      <c r="A391" s="446"/>
      <c r="B391" s="446"/>
      <c r="C391" s="446"/>
      <c r="D391" s="854"/>
      <c r="E391" s="446"/>
      <c r="F391" s="446"/>
      <c r="G391" s="446"/>
      <c r="H391" s="446"/>
      <c r="I391" s="446"/>
      <c r="J391" s="446"/>
      <c r="K391" s="446"/>
      <c r="L391" s="446"/>
      <c r="M391" s="446"/>
      <c r="N391" s="446"/>
      <c r="O391" s="446"/>
      <c r="P391" s="446"/>
      <c r="Q391" s="446"/>
      <c r="R391" s="446"/>
      <c r="S391" s="446"/>
      <c r="T391" s="446"/>
      <c r="U391" s="446"/>
      <c r="V391" s="446"/>
      <c r="W391" s="446"/>
      <c r="X391" s="446"/>
      <c r="Y391" s="446"/>
      <c r="Z391" s="446"/>
    </row>
    <row r="392" spans="1:26" ht="15.75" customHeight="1">
      <c r="A392" s="446"/>
      <c r="B392" s="446"/>
      <c r="C392" s="446"/>
      <c r="D392" s="854"/>
      <c r="E392" s="446"/>
      <c r="F392" s="446"/>
      <c r="G392" s="446"/>
      <c r="H392" s="446"/>
      <c r="I392" s="446"/>
      <c r="J392" s="446"/>
      <c r="K392" s="446"/>
      <c r="L392" s="446"/>
      <c r="M392" s="446"/>
      <c r="N392" s="446"/>
      <c r="O392" s="446"/>
      <c r="P392" s="446"/>
      <c r="Q392" s="446"/>
      <c r="R392" s="446"/>
      <c r="S392" s="446"/>
      <c r="T392" s="446"/>
      <c r="U392" s="446"/>
      <c r="V392" s="446"/>
      <c r="W392" s="446"/>
      <c r="X392" s="446"/>
      <c r="Y392" s="446"/>
      <c r="Z392" s="446"/>
    </row>
    <row r="393" spans="1:26" ht="15.75" customHeight="1">
      <c r="A393" s="446"/>
      <c r="B393" s="446"/>
      <c r="C393" s="446"/>
      <c r="D393" s="854"/>
      <c r="E393" s="446"/>
      <c r="F393" s="446"/>
      <c r="G393" s="446"/>
      <c r="H393" s="446"/>
      <c r="I393" s="446"/>
      <c r="J393" s="446"/>
      <c r="K393" s="446"/>
      <c r="L393" s="446"/>
      <c r="M393" s="446"/>
      <c r="N393" s="446"/>
      <c r="O393" s="446"/>
      <c r="P393" s="446"/>
      <c r="Q393" s="446"/>
      <c r="R393" s="446"/>
      <c r="S393" s="446"/>
      <c r="T393" s="446"/>
      <c r="U393" s="446"/>
      <c r="V393" s="446"/>
      <c r="W393" s="446"/>
      <c r="X393" s="446"/>
      <c r="Y393" s="446"/>
      <c r="Z393" s="446"/>
    </row>
    <row r="394" spans="1:26" ht="15.75" customHeight="1">
      <c r="A394" s="446"/>
      <c r="B394" s="446"/>
      <c r="C394" s="446"/>
      <c r="D394" s="854"/>
      <c r="E394" s="446"/>
      <c r="F394" s="446"/>
      <c r="G394" s="446"/>
      <c r="H394" s="446"/>
      <c r="I394" s="446"/>
      <c r="J394" s="446"/>
      <c r="K394" s="446"/>
      <c r="L394" s="446"/>
      <c r="M394" s="446"/>
      <c r="N394" s="446"/>
      <c r="O394" s="446"/>
      <c r="P394" s="446"/>
      <c r="Q394" s="446"/>
      <c r="R394" s="446"/>
      <c r="S394" s="446"/>
      <c r="T394" s="446"/>
      <c r="U394" s="446"/>
      <c r="V394" s="446"/>
      <c r="W394" s="446"/>
      <c r="X394" s="446"/>
      <c r="Y394" s="446"/>
      <c r="Z394" s="446"/>
    </row>
    <row r="395" spans="1:26" ht="15.75" customHeight="1">
      <c r="A395" s="446"/>
      <c r="B395" s="446"/>
      <c r="C395" s="446"/>
      <c r="D395" s="854"/>
      <c r="E395" s="446"/>
      <c r="F395" s="446"/>
      <c r="G395" s="446"/>
      <c r="H395" s="446"/>
      <c r="I395" s="446"/>
      <c r="J395" s="446"/>
      <c r="K395" s="446"/>
      <c r="L395" s="446"/>
      <c r="M395" s="446"/>
      <c r="N395" s="446"/>
      <c r="O395" s="446"/>
      <c r="P395" s="446"/>
      <c r="Q395" s="446"/>
      <c r="R395" s="446"/>
      <c r="S395" s="446"/>
      <c r="T395" s="446"/>
      <c r="U395" s="446"/>
      <c r="V395" s="446"/>
      <c r="W395" s="446"/>
      <c r="X395" s="446"/>
      <c r="Y395" s="446"/>
      <c r="Z395" s="446"/>
    </row>
    <row r="396" spans="1:26" ht="15.75" customHeight="1">
      <c r="A396" s="446"/>
      <c r="B396" s="446"/>
      <c r="C396" s="446"/>
      <c r="D396" s="854"/>
      <c r="E396" s="446"/>
      <c r="F396" s="446"/>
      <c r="G396" s="446"/>
      <c r="H396" s="446"/>
      <c r="I396" s="446"/>
      <c r="J396" s="446"/>
      <c r="K396" s="446"/>
      <c r="L396" s="446"/>
      <c r="M396" s="446"/>
      <c r="N396" s="446"/>
      <c r="O396" s="446"/>
      <c r="P396" s="446"/>
      <c r="Q396" s="446"/>
      <c r="R396" s="446"/>
      <c r="S396" s="446"/>
      <c r="T396" s="446"/>
      <c r="U396" s="446"/>
      <c r="V396" s="446"/>
      <c r="W396" s="446"/>
      <c r="X396" s="446"/>
      <c r="Y396" s="446"/>
      <c r="Z396" s="446"/>
    </row>
    <row r="397" spans="1:26" ht="15.75" customHeight="1">
      <c r="A397" s="446"/>
      <c r="B397" s="446"/>
      <c r="C397" s="446"/>
      <c r="D397" s="854"/>
      <c r="E397" s="446"/>
      <c r="F397" s="446"/>
      <c r="G397" s="446"/>
      <c r="H397" s="446"/>
      <c r="I397" s="446"/>
      <c r="J397" s="446"/>
      <c r="K397" s="446"/>
      <c r="L397" s="446"/>
      <c r="M397" s="446"/>
      <c r="N397" s="446"/>
      <c r="O397" s="446"/>
      <c r="P397" s="446"/>
      <c r="Q397" s="446"/>
      <c r="R397" s="446"/>
      <c r="S397" s="446"/>
      <c r="T397" s="446"/>
      <c r="U397" s="446"/>
      <c r="V397" s="446"/>
      <c r="W397" s="446"/>
      <c r="X397" s="446"/>
      <c r="Y397" s="446"/>
      <c r="Z397" s="446"/>
    </row>
    <row r="398" spans="1:26" ht="15.75" customHeight="1">
      <c r="A398" s="446"/>
      <c r="B398" s="446"/>
      <c r="C398" s="446"/>
      <c r="D398" s="854"/>
      <c r="E398" s="446"/>
      <c r="F398" s="446"/>
      <c r="G398" s="446"/>
      <c r="H398" s="446"/>
      <c r="I398" s="446"/>
      <c r="J398" s="446"/>
      <c r="K398" s="446"/>
      <c r="L398" s="446"/>
      <c r="M398" s="446"/>
      <c r="N398" s="446"/>
      <c r="O398" s="446"/>
      <c r="P398" s="446"/>
      <c r="Q398" s="446"/>
      <c r="R398" s="446"/>
      <c r="S398" s="446"/>
      <c r="T398" s="446"/>
      <c r="U398" s="446"/>
      <c r="V398" s="446"/>
      <c r="W398" s="446"/>
      <c r="X398" s="446"/>
      <c r="Y398" s="446"/>
      <c r="Z398" s="446"/>
    </row>
    <row r="399" spans="1:26" ht="15.75" customHeight="1">
      <c r="A399" s="446"/>
      <c r="B399" s="446"/>
      <c r="C399" s="446"/>
      <c r="D399" s="854"/>
      <c r="E399" s="446"/>
      <c r="F399" s="446"/>
      <c r="G399" s="446"/>
      <c r="H399" s="446"/>
      <c r="I399" s="446"/>
      <c r="J399" s="446"/>
      <c r="K399" s="446"/>
      <c r="L399" s="446"/>
      <c r="M399" s="446"/>
      <c r="N399" s="446"/>
      <c r="O399" s="446"/>
      <c r="P399" s="446"/>
      <c r="Q399" s="446"/>
      <c r="R399" s="446"/>
      <c r="S399" s="446"/>
      <c r="T399" s="446"/>
      <c r="U399" s="446"/>
      <c r="V399" s="446"/>
      <c r="W399" s="446"/>
      <c r="X399" s="446"/>
      <c r="Y399" s="446"/>
      <c r="Z399" s="446"/>
    </row>
    <row r="400" spans="1:26" ht="15.75" customHeight="1">
      <c r="A400" s="446"/>
      <c r="B400" s="446"/>
      <c r="C400" s="446"/>
      <c r="D400" s="854"/>
      <c r="E400" s="446"/>
      <c r="F400" s="446"/>
      <c r="G400" s="446"/>
      <c r="H400" s="446"/>
      <c r="I400" s="446"/>
      <c r="J400" s="446"/>
      <c r="K400" s="446"/>
      <c r="L400" s="446"/>
      <c r="M400" s="446"/>
      <c r="N400" s="446"/>
      <c r="O400" s="446"/>
      <c r="P400" s="446"/>
      <c r="Q400" s="446"/>
      <c r="R400" s="446"/>
      <c r="S400" s="446"/>
      <c r="T400" s="446"/>
      <c r="U400" s="446"/>
      <c r="V400" s="446"/>
      <c r="W400" s="446"/>
      <c r="X400" s="446"/>
      <c r="Y400" s="446"/>
      <c r="Z400" s="446"/>
    </row>
    <row r="401" spans="1:26" ht="15.75" customHeight="1">
      <c r="A401" s="446"/>
      <c r="B401" s="446"/>
      <c r="C401" s="446"/>
      <c r="D401" s="854"/>
      <c r="E401" s="446"/>
      <c r="F401" s="446"/>
      <c r="G401" s="446"/>
      <c r="H401" s="446"/>
      <c r="I401" s="446"/>
      <c r="J401" s="446"/>
      <c r="K401" s="446"/>
      <c r="L401" s="446"/>
      <c r="M401" s="446"/>
      <c r="N401" s="446"/>
      <c r="O401" s="446"/>
      <c r="P401" s="446"/>
      <c r="Q401" s="446"/>
      <c r="R401" s="446"/>
      <c r="S401" s="446"/>
      <c r="T401" s="446"/>
      <c r="U401" s="446"/>
      <c r="V401" s="446"/>
      <c r="W401" s="446"/>
      <c r="X401" s="446"/>
      <c r="Y401" s="446"/>
      <c r="Z401" s="446"/>
    </row>
    <row r="402" spans="1:26" ht="15.75" customHeight="1">
      <c r="A402" s="446"/>
      <c r="B402" s="446"/>
      <c r="C402" s="446"/>
      <c r="D402" s="854"/>
      <c r="E402" s="446"/>
      <c r="F402" s="446"/>
      <c r="G402" s="446"/>
      <c r="H402" s="446"/>
      <c r="I402" s="446"/>
      <c r="J402" s="446"/>
      <c r="K402" s="446"/>
      <c r="L402" s="446"/>
      <c r="M402" s="446"/>
      <c r="N402" s="446"/>
      <c r="O402" s="446"/>
      <c r="P402" s="446"/>
      <c r="Q402" s="446"/>
      <c r="R402" s="446"/>
      <c r="S402" s="446"/>
      <c r="T402" s="446"/>
      <c r="U402" s="446"/>
      <c r="V402" s="446"/>
      <c r="W402" s="446"/>
      <c r="X402" s="446"/>
      <c r="Y402" s="446"/>
      <c r="Z402" s="446"/>
    </row>
    <row r="403" spans="1:26" ht="15.75" customHeight="1">
      <c r="A403" s="446"/>
      <c r="B403" s="446"/>
      <c r="C403" s="446"/>
      <c r="D403" s="854"/>
      <c r="E403" s="446"/>
      <c r="F403" s="446"/>
      <c r="G403" s="446"/>
      <c r="H403" s="446"/>
      <c r="I403" s="446"/>
      <c r="J403" s="446"/>
      <c r="K403" s="446"/>
      <c r="L403" s="446"/>
      <c r="M403" s="446"/>
      <c r="N403" s="446"/>
      <c r="O403" s="446"/>
      <c r="P403" s="446"/>
      <c r="Q403" s="446"/>
      <c r="R403" s="446"/>
      <c r="S403" s="446"/>
      <c r="T403" s="446"/>
      <c r="U403" s="446"/>
      <c r="V403" s="446"/>
      <c r="W403" s="446"/>
      <c r="X403" s="446"/>
      <c r="Y403" s="446"/>
      <c r="Z403" s="446"/>
    </row>
    <row r="404" spans="1:26" ht="15.75" customHeight="1">
      <c r="A404" s="446"/>
      <c r="B404" s="446"/>
      <c r="C404" s="446"/>
      <c r="D404" s="854"/>
      <c r="E404" s="446"/>
      <c r="F404" s="446"/>
      <c r="G404" s="446"/>
      <c r="H404" s="446"/>
      <c r="I404" s="446"/>
      <c r="J404" s="446"/>
      <c r="K404" s="446"/>
      <c r="L404" s="446"/>
      <c r="M404" s="446"/>
      <c r="N404" s="446"/>
      <c r="O404" s="446"/>
      <c r="P404" s="446"/>
      <c r="Q404" s="446"/>
      <c r="R404" s="446"/>
      <c r="S404" s="446"/>
      <c r="T404" s="446"/>
      <c r="U404" s="446"/>
      <c r="V404" s="446"/>
      <c r="W404" s="446"/>
      <c r="X404" s="446"/>
      <c r="Y404" s="446"/>
      <c r="Z404" s="446"/>
    </row>
    <row r="405" spans="1:26" ht="15.75" customHeight="1">
      <c r="A405" s="446"/>
      <c r="B405" s="446"/>
      <c r="C405" s="446"/>
      <c r="D405" s="854"/>
      <c r="E405" s="446"/>
      <c r="F405" s="446"/>
      <c r="G405" s="446"/>
      <c r="H405" s="446"/>
      <c r="I405" s="446"/>
      <c r="J405" s="446"/>
      <c r="K405" s="446"/>
      <c r="L405" s="446"/>
      <c r="M405" s="446"/>
      <c r="N405" s="446"/>
      <c r="O405" s="446"/>
      <c r="P405" s="446"/>
      <c r="Q405" s="446"/>
      <c r="R405" s="446"/>
      <c r="S405" s="446"/>
      <c r="T405" s="446"/>
      <c r="U405" s="446"/>
      <c r="V405" s="446"/>
      <c r="W405" s="446"/>
      <c r="X405" s="446"/>
      <c r="Y405" s="446"/>
      <c r="Z405" s="446"/>
    </row>
    <row r="406" spans="1:26" ht="15.75" customHeight="1">
      <c r="A406" s="446"/>
      <c r="B406" s="446"/>
      <c r="C406" s="446"/>
      <c r="D406" s="854"/>
      <c r="E406" s="446"/>
      <c r="F406" s="446"/>
      <c r="G406" s="446"/>
      <c r="H406" s="446"/>
      <c r="I406" s="446"/>
      <c r="J406" s="446"/>
      <c r="K406" s="446"/>
      <c r="L406" s="446"/>
      <c r="M406" s="446"/>
      <c r="N406" s="446"/>
      <c r="O406" s="446"/>
      <c r="P406" s="446"/>
      <c r="Q406" s="446"/>
      <c r="R406" s="446"/>
      <c r="S406" s="446"/>
      <c r="T406" s="446"/>
      <c r="U406" s="446"/>
      <c r="V406" s="446"/>
      <c r="W406" s="446"/>
      <c r="X406" s="446"/>
      <c r="Y406" s="446"/>
      <c r="Z406" s="446"/>
    </row>
    <row r="407" spans="1:26" ht="15.75" customHeight="1">
      <c r="A407" s="446"/>
      <c r="B407" s="446"/>
      <c r="C407" s="446"/>
      <c r="D407" s="854"/>
      <c r="E407" s="446"/>
      <c r="F407" s="446"/>
      <c r="G407" s="446"/>
      <c r="H407" s="446"/>
      <c r="I407" s="446"/>
      <c r="J407" s="446"/>
      <c r="K407" s="446"/>
      <c r="L407" s="446"/>
      <c r="M407" s="446"/>
      <c r="N407" s="446"/>
      <c r="O407" s="446"/>
      <c r="P407" s="446"/>
      <c r="Q407" s="446"/>
      <c r="R407" s="446"/>
      <c r="S407" s="446"/>
      <c r="T407" s="446"/>
      <c r="U407" s="446"/>
      <c r="V407" s="446"/>
      <c r="W407" s="446"/>
      <c r="X407" s="446"/>
      <c r="Y407" s="446"/>
      <c r="Z407" s="446"/>
    </row>
    <row r="408" spans="1:26" ht="15.75" customHeight="1">
      <c r="A408" s="446"/>
      <c r="B408" s="446"/>
      <c r="C408" s="446"/>
      <c r="D408" s="854"/>
      <c r="E408" s="446"/>
      <c r="F408" s="446"/>
      <c r="G408" s="446"/>
      <c r="H408" s="446"/>
      <c r="I408" s="446"/>
      <c r="J408" s="446"/>
      <c r="K408" s="446"/>
      <c r="L408" s="446"/>
      <c r="M408" s="446"/>
      <c r="N408" s="446"/>
      <c r="O408" s="446"/>
      <c r="P408" s="446"/>
      <c r="Q408" s="446"/>
      <c r="R408" s="446"/>
      <c r="S408" s="446"/>
      <c r="T408" s="446"/>
      <c r="U408" s="446"/>
      <c r="V408" s="446"/>
      <c r="W408" s="446"/>
      <c r="X408" s="446"/>
      <c r="Y408" s="446"/>
      <c r="Z408" s="446"/>
    </row>
    <row r="409" spans="1:26" ht="15.75" customHeight="1">
      <c r="A409" s="446"/>
      <c r="B409" s="446"/>
      <c r="C409" s="446"/>
      <c r="D409" s="854"/>
      <c r="E409" s="446"/>
      <c r="F409" s="446"/>
      <c r="G409" s="446"/>
      <c r="H409" s="446"/>
      <c r="I409" s="446"/>
      <c r="J409" s="446"/>
      <c r="K409" s="446"/>
      <c r="L409" s="446"/>
      <c r="M409" s="446"/>
      <c r="N409" s="446"/>
      <c r="O409" s="446"/>
      <c r="P409" s="446"/>
      <c r="Q409" s="446"/>
      <c r="R409" s="446"/>
      <c r="S409" s="446"/>
      <c r="T409" s="446"/>
      <c r="U409" s="446"/>
      <c r="V409" s="446"/>
      <c r="W409" s="446"/>
      <c r="X409" s="446"/>
      <c r="Y409" s="446"/>
      <c r="Z409" s="446"/>
    </row>
    <row r="410" spans="1:26" ht="15.75" customHeight="1">
      <c r="A410" s="446"/>
      <c r="B410" s="446"/>
      <c r="C410" s="446"/>
      <c r="D410" s="854"/>
      <c r="E410" s="446"/>
      <c r="F410" s="446"/>
      <c r="G410" s="446"/>
      <c r="H410" s="446"/>
      <c r="I410" s="446"/>
      <c r="J410" s="446"/>
      <c r="K410" s="446"/>
      <c r="L410" s="446"/>
      <c r="M410" s="446"/>
      <c r="N410" s="446"/>
      <c r="O410" s="446"/>
      <c r="P410" s="446"/>
      <c r="Q410" s="446"/>
      <c r="R410" s="446"/>
      <c r="S410" s="446"/>
      <c r="T410" s="446"/>
      <c r="U410" s="446"/>
      <c r="V410" s="446"/>
      <c r="W410" s="446"/>
      <c r="X410" s="446"/>
      <c r="Y410" s="446"/>
      <c r="Z410" s="446"/>
    </row>
    <row r="411" spans="1:26" ht="15.75" customHeight="1">
      <c r="A411" s="446"/>
      <c r="B411" s="446"/>
      <c r="C411" s="446"/>
      <c r="D411" s="854"/>
      <c r="E411" s="446"/>
      <c r="F411" s="446"/>
      <c r="G411" s="446"/>
      <c r="H411" s="446"/>
      <c r="I411" s="446"/>
      <c r="J411" s="446"/>
      <c r="K411" s="446"/>
      <c r="L411" s="446"/>
      <c r="M411" s="446"/>
      <c r="N411" s="446"/>
      <c r="O411" s="446"/>
      <c r="P411" s="446"/>
      <c r="Q411" s="446"/>
      <c r="R411" s="446"/>
      <c r="S411" s="446"/>
      <c r="T411" s="446"/>
      <c r="U411" s="446"/>
      <c r="V411" s="446"/>
      <c r="W411" s="446"/>
      <c r="X411" s="446"/>
      <c r="Y411" s="446"/>
      <c r="Z411" s="446"/>
    </row>
    <row r="412" spans="1:26" ht="15.75" customHeight="1">
      <c r="A412" s="446"/>
      <c r="B412" s="446"/>
      <c r="C412" s="446"/>
      <c r="D412" s="854"/>
      <c r="E412" s="446"/>
      <c r="F412" s="446"/>
      <c r="G412" s="446"/>
      <c r="H412" s="446"/>
      <c r="I412" s="446"/>
      <c r="J412" s="446"/>
      <c r="K412" s="446"/>
      <c r="L412" s="446"/>
      <c r="M412" s="446"/>
      <c r="N412" s="446"/>
      <c r="O412" s="446"/>
      <c r="P412" s="446"/>
      <c r="Q412" s="446"/>
      <c r="R412" s="446"/>
      <c r="S412" s="446"/>
      <c r="T412" s="446"/>
      <c r="U412" s="446"/>
      <c r="V412" s="446"/>
      <c r="W412" s="446"/>
      <c r="X412" s="446"/>
      <c r="Y412" s="446"/>
      <c r="Z412" s="446"/>
    </row>
    <row r="413" spans="1:26" ht="15.75" customHeight="1">
      <c r="A413" s="446"/>
      <c r="B413" s="446"/>
      <c r="C413" s="446"/>
      <c r="D413" s="854"/>
      <c r="E413" s="446"/>
      <c r="F413" s="446"/>
      <c r="G413" s="446"/>
      <c r="H413" s="446"/>
      <c r="I413" s="446"/>
      <c r="J413" s="446"/>
      <c r="K413" s="446"/>
      <c r="L413" s="446"/>
      <c r="M413" s="446"/>
      <c r="N413" s="446"/>
      <c r="O413" s="446"/>
      <c r="P413" s="446"/>
      <c r="Q413" s="446"/>
      <c r="R413" s="446"/>
      <c r="S413" s="446"/>
      <c r="T413" s="446"/>
      <c r="U413" s="446"/>
      <c r="V413" s="446"/>
      <c r="W413" s="446"/>
      <c r="X413" s="446"/>
      <c r="Y413" s="446"/>
      <c r="Z413" s="446"/>
    </row>
    <row r="414" spans="1:26" ht="15.75" customHeight="1">
      <c r="A414" s="446"/>
      <c r="B414" s="446"/>
      <c r="C414" s="446"/>
      <c r="D414" s="854"/>
      <c r="E414" s="446"/>
      <c r="F414" s="446"/>
      <c r="G414" s="446"/>
      <c r="H414" s="446"/>
      <c r="I414" s="446"/>
      <c r="J414" s="446"/>
      <c r="K414" s="446"/>
      <c r="L414" s="446"/>
      <c r="M414" s="446"/>
      <c r="N414" s="446"/>
      <c r="O414" s="446"/>
      <c r="P414" s="446"/>
      <c r="Q414" s="446"/>
      <c r="R414" s="446"/>
      <c r="S414" s="446"/>
      <c r="T414" s="446"/>
      <c r="U414" s="446"/>
      <c r="V414" s="446"/>
      <c r="W414" s="446"/>
      <c r="X414" s="446"/>
      <c r="Y414" s="446"/>
      <c r="Z414" s="446"/>
    </row>
    <row r="415" spans="1:26" ht="15.75" customHeight="1">
      <c r="A415" s="446"/>
      <c r="B415" s="446"/>
      <c r="C415" s="446"/>
      <c r="D415" s="854"/>
      <c r="E415" s="446"/>
      <c r="F415" s="446"/>
      <c r="G415" s="446"/>
      <c r="H415" s="446"/>
      <c r="I415" s="446"/>
      <c r="J415" s="446"/>
      <c r="K415" s="446"/>
      <c r="L415" s="446"/>
      <c r="M415" s="446"/>
      <c r="N415" s="446"/>
      <c r="O415" s="446"/>
      <c r="P415" s="446"/>
      <c r="Q415" s="446"/>
      <c r="R415" s="446"/>
      <c r="S415" s="446"/>
      <c r="T415" s="446"/>
      <c r="U415" s="446"/>
      <c r="V415" s="446"/>
      <c r="W415" s="446"/>
      <c r="X415" s="446"/>
      <c r="Y415" s="446"/>
      <c r="Z415" s="446"/>
    </row>
    <row r="416" spans="1:26" ht="15.75" customHeight="1">
      <c r="A416" s="446"/>
      <c r="B416" s="446"/>
      <c r="C416" s="446"/>
      <c r="D416" s="854"/>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row>
    <row r="417" spans="1:26" ht="15.75" customHeight="1">
      <c r="A417" s="446"/>
      <c r="B417" s="446"/>
      <c r="C417" s="446"/>
      <c r="D417" s="854"/>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row>
    <row r="418" spans="1:26" ht="15.75" customHeight="1">
      <c r="A418" s="446"/>
      <c r="B418" s="446"/>
      <c r="C418" s="446"/>
      <c r="D418" s="854"/>
      <c r="E418" s="446"/>
      <c r="F418" s="446"/>
      <c r="G418" s="446"/>
      <c r="H418" s="446"/>
      <c r="I418" s="446"/>
      <c r="J418" s="446"/>
      <c r="K418" s="446"/>
      <c r="L418" s="446"/>
      <c r="M418" s="446"/>
      <c r="N418" s="446"/>
      <c r="O418" s="446"/>
      <c r="P418" s="446"/>
      <c r="Q418" s="446"/>
      <c r="R418" s="446"/>
      <c r="S418" s="446"/>
      <c r="T418" s="446"/>
      <c r="U418" s="446"/>
      <c r="V418" s="446"/>
      <c r="W418" s="446"/>
      <c r="X418" s="446"/>
      <c r="Y418" s="446"/>
      <c r="Z418" s="446"/>
    </row>
    <row r="419" spans="1:26" ht="15.75" customHeight="1">
      <c r="A419" s="446"/>
      <c r="B419" s="446"/>
      <c r="C419" s="446"/>
      <c r="D419" s="854"/>
      <c r="E419" s="446"/>
      <c r="F419" s="446"/>
      <c r="G419" s="446"/>
      <c r="H419" s="446"/>
      <c r="I419" s="446"/>
      <c r="J419" s="446"/>
      <c r="K419" s="446"/>
      <c r="L419" s="446"/>
      <c r="M419" s="446"/>
      <c r="N419" s="446"/>
      <c r="O419" s="446"/>
      <c r="P419" s="446"/>
      <c r="Q419" s="446"/>
      <c r="R419" s="446"/>
      <c r="S419" s="446"/>
      <c r="T419" s="446"/>
      <c r="U419" s="446"/>
      <c r="V419" s="446"/>
      <c r="W419" s="446"/>
      <c r="X419" s="446"/>
      <c r="Y419" s="446"/>
      <c r="Z419" s="446"/>
    </row>
    <row r="420" spans="1:26" ht="15.75" customHeight="1">
      <c r="A420" s="446"/>
      <c r="B420" s="446"/>
      <c r="C420" s="446"/>
      <c r="D420" s="854"/>
      <c r="E420" s="446"/>
      <c r="F420" s="446"/>
      <c r="G420" s="446"/>
      <c r="H420" s="446"/>
      <c r="I420" s="446"/>
      <c r="J420" s="446"/>
      <c r="K420" s="446"/>
      <c r="L420" s="446"/>
      <c r="M420" s="446"/>
      <c r="N420" s="446"/>
      <c r="O420" s="446"/>
      <c r="P420" s="446"/>
      <c r="Q420" s="446"/>
      <c r="R420" s="446"/>
      <c r="S420" s="446"/>
      <c r="T420" s="446"/>
      <c r="U420" s="446"/>
      <c r="V420" s="446"/>
      <c r="W420" s="446"/>
      <c r="X420" s="446"/>
      <c r="Y420" s="446"/>
      <c r="Z420" s="446"/>
    </row>
    <row r="421" spans="1:26" ht="15.75" customHeight="1">
      <c r="A421" s="446"/>
      <c r="B421" s="446"/>
      <c r="C421" s="446"/>
      <c r="D421" s="854"/>
      <c r="E421" s="446"/>
      <c r="F421" s="446"/>
      <c r="G421" s="446"/>
      <c r="H421" s="446"/>
      <c r="I421" s="446"/>
      <c r="J421" s="446"/>
      <c r="K421" s="446"/>
      <c r="L421" s="446"/>
      <c r="M421" s="446"/>
      <c r="N421" s="446"/>
      <c r="O421" s="446"/>
      <c r="P421" s="446"/>
      <c r="Q421" s="446"/>
      <c r="R421" s="446"/>
      <c r="S421" s="446"/>
      <c r="T421" s="446"/>
      <c r="U421" s="446"/>
      <c r="V421" s="446"/>
      <c r="W421" s="446"/>
      <c r="X421" s="446"/>
      <c r="Y421" s="446"/>
      <c r="Z421" s="446"/>
    </row>
    <row r="422" spans="1:26" ht="15.75" customHeight="1">
      <c r="A422" s="446"/>
      <c r="B422" s="446"/>
      <c r="C422" s="446"/>
      <c r="D422" s="854"/>
      <c r="E422" s="446"/>
      <c r="F422" s="446"/>
      <c r="G422" s="446"/>
      <c r="H422" s="446"/>
      <c r="I422" s="446"/>
      <c r="J422" s="446"/>
      <c r="K422" s="446"/>
      <c r="L422" s="446"/>
      <c r="M422" s="446"/>
      <c r="N422" s="446"/>
      <c r="O422" s="446"/>
      <c r="P422" s="446"/>
      <c r="Q422" s="446"/>
      <c r="R422" s="446"/>
      <c r="S422" s="446"/>
      <c r="T422" s="446"/>
      <c r="U422" s="446"/>
      <c r="V422" s="446"/>
      <c r="W422" s="446"/>
      <c r="X422" s="446"/>
      <c r="Y422" s="446"/>
      <c r="Z422" s="446"/>
    </row>
    <row r="423" spans="1:26" ht="15.75" customHeight="1">
      <c r="A423" s="446"/>
      <c r="B423" s="446"/>
      <c r="C423" s="446"/>
      <c r="D423" s="854"/>
      <c r="E423" s="446"/>
      <c r="F423" s="446"/>
      <c r="G423" s="446"/>
      <c r="H423" s="446"/>
      <c r="I423" s="446"/>
      <c r="J423" s="446"/>
      <c r="K423" s="446"/>
      <c r="L423" s="446"/>
      <c r="M423" s="446"/>
      <c r="N423" s="446"/>
      <c r="O423" s="446"/>
      <c r="P423" s="446"/>
      <c r="Q423" s="446"/>
      <c r="R423" s="446"/>
      <c r="S423" s="446"/>
      <c r="T423" s="446"/>
      <c r="U423" s="446"/>
      <c r="V423" s="446"/>
      <c r="W423" s="446"/>
      <c r="X423" s="446"/>
      <c r="Y423" s="446"/>
      <c r="Z423" s="446"/>
    </row>
    <row r="424" spans="1:26" ht="15.75" customHeight="1">
      <c r="A424" s="446"/>
      <c r="B424" s="446"/>
      <c r="C424" s="446"/>
      <c r="D424" s="854"/>
      <c r="E424" s="446"/>
      <c r="F424" s="446"/>
      <c r="G424" s="446"/>
      <c r="H424" s="446"/>
      <c r="I424" s="446"/>
      <c r="J424" s="446"/>
      <c r="K424" s="446"/>
      <c r="L424" s="446"/>
      <c r="M424" s="446"/>
      <c r="N424" s="446"/>
      <c r="O424" s="446"/>
      <c r="P424" s="446"/>
      <c r="Q424" s="446"/>
      <c r="R424" s="446"/>
      <c r="S424" s="446"/>
      <c r="T424" s="446"/>
      <c r="U424" s="446"/>
      <c r="V424" s="446"/>
      <c r="W424" s="446"/>
      <c r="X424" s="446"/>
      <c r="Y424" s="446"/>
      <c r="Z424" s="446"/>
    </row>
    <row r="425" spans="1:26" ht="15.75" customHeight="1">
      <c r="A425" s="446"/>
      <c r="B425" s="446"/>
      <c r="C425" s="446"/>
      <c r="D425" s="854"/>
      <c r="E425" s="446"/>
      <c r="F425" s="446"/>
      <c r="G425" s="446"/>
      <c r="H425" s="446"/>
      <c r="I425" s="446"/>
      <c r="J425" s="446"/>
      <c r="K425" s="446"/>
      <c r="L425" s="446"/>
      <c r="M425" s="446"/>
      <c r="N425" s="446"/>
      <c r="O425" s="446"/>
      <c r="P425" s="446"/>
      <c r="Q425" s="446"/>
      <c r="R425" s="446"/>
      <c r="S425" s="446"/>
      <c r="T425" s="446"/>
      <c r="U425" s="446"/>
      <c r="V425" s="446"/>
      <c r="W425" s="446"/>
      <c r="X425" s="446"/>
      <c r="Y425" s="446"/>
      <c r="Z425" s="446"/>
    </row>
    <row r="426" spans="1:26" ht="15.75" customHeight="1">
      <c r="A426" s="446"/>
      <c r="B426" s="446"/>
      <c r="C426" s="446"/>
      <c r="D426" s="854"/>
      <c r="E426" s="446"/>
      <c r="F426" s="446"/>
      <c r="G426" s="446"/>
      <c r="H426" s="446"/>
      <c r="I426" s="446"/>
      <c r="J426" s="446"/>
      <c r="K426" s="446"/>
      <c r="L426" s="446"/>
      <c r="M426" s="446"/>
      <c r="N426" s="446"/>
      <c r="O426" s="446"/>
      <c r="P426" s="446"/>
      <c r="Q426" s="446"/>
      <c r="R426" s="446"/>
      <c r="S426" s="446"/>
      <c r="T426" s="446"/>
      <c r="U426" s="446"/>
      <c r="V426" s="446"/>
      <c r="W426" s="446"/>
      <c r="X426" s="446"/>
      <c r="Y426" s="446"/>
      <c r="Z426" s="446"/>
    </row>
    <row r="427" spans="1:26" ht="15.75" customHeight="1">
      <c r="A427" s="446"/>
      <c r="B427" s="446"/>
      <c r="C427" s="446"/>
      <c r="D427" s="854"/>
      <c r="E427" s="446"/>
      <c r="F427" s="446"/>
      <c r="G427" s="446"/>
      <c r="H427" s="446"/>
      <c r="I427" s="446"/>
      <c r="J427" s="446"/>
      <c r="K427" s="446"/>
      <c r="L427" s="446"/>
      <c r="M427" s="446"/>
      <c r="N427" s="446"/>
      <c r="O427" s="446"/>
      <c r="P427" s="446"/>
      <c r="Q427" s="446"/>
      <c r="R427" s="446"/>
      <c r="S427" s="446"/>
      <c r="T427" s="446"/>
      <c r="U427" s="446"/>
      <c r="V427" s="446"/>
      <c r="W427" s="446"/>
      <c r="X427" s="446"/>
      <c r="Y427" s="446"/>
      <c r="Z427" s="446"/>
    </row>
    <row r="428" spans="1:26" ht="15.75" customHeight="1">
      <c r="A428" s="446"/>
      <c r="B428" s="446"/>
      <c r="C428" s="446"/>
      <c r="D428" s="854"/>
      <c r="E428" s="446"/>
      <c r="F428" s="446"/>
      <c r="G428" s="446"/>
      <c r="H428" s="446"/>
      <c r="I428" s="446"/>
      <c r="J428" s="446"/>
      <c r="K428" s="446"/>
      <c r="L428" s="446"/>
      <c r="M428" s="446"/>
      <c r="N428" s="446"/>
      <c r="O428" s="446"/>
      <c r="P428" s="446"/>
      <c r="Q428" s="446"/>
      <c r="R428" s="446"/>
      <c r="S428" s="446"/>
      <c r="T428" s="446"/>
      <c r="U428" s="446"/>
      <c r="V428" s="446"/>
      <c r="W428" s="446"/>
      <c r="X428" s="446"/>
      <c r="Y428" s="446"/>
      <c r="Z428" s="446"/>
    </row>
    <row r="429" spans="1:26" ht="15.75" customHeight="1">
      <c r="A429" s="446"/>
      <c r="B429" s="446"/>
      <c r="C429" s="446"/>
      <c r="D429" s="854"/>
      <c r="E429" s="446"/>
      <c r="F429" s="446"/>
      <c r="G429" s="446"/>
      <c r="H429" s="446"/>
      <c r="I429" s="446"/>
      <c r="J429" s="446"/>
      <c r="K429" s="446"/>
      <c r="L429" s="446"/>
      <c r="M429" s="446"/>
      <c r="N429" s="446"/>
      <c r="O429" s="446"/>
      <c r="P429" s="446"/>
      <c r="Q429" s="446"/>
      <c r="R429" s="446"/>
      <c r="S429" s="446"/>
      <c r="T429" s="446"/>
      <c r="U429" s="446"/>
      <c r="V429" s="446"/>
      <c r="W429" s="446"/>
      <c r="X429" s="446"/>
      <c r="Y429" s="446"/>
      <c r="Z429" s="446"/>
    </row>
    <row r="430" spans="1:26" ht="15.75" customHeight="1">
      <c r="A430" s="446"/>
      <c r="B430" s="446"/>
      <c r="C430" s="446"/>
      <c r="D430" s="854"/>
      <c r="E430" s="446"/>
      <c r="F430" s="446"/>
      <c r="G430" s="446"/>
      <c r="H430" s="446"/>
      <c r="I430" s="446"/>
      <c r="J430" s="446"/>
      <c r="K430" s="446"/>
      <c r="L430" s="446"/>
      <c r="M430" s="446"/>
      <c r="N430" s="446"/>
      <c r="O430" s="446"/>
      <c r="P430" s="446"/>
      <c r="Q430" s="446"/>
      <c r="R430" s="446"/>
      <c r="S430" s="446"/>
      <c r="T430" s="446"/>
      <c r="U430" s="446"/>
      <c r="V430" s="446"/>
      <c r="W430" s="446"/>
      <c r="X430" s="446"/>
      <c r="Y430" s="446"/>
      <c r="Z430" s="446"/>
    </row>
    <row r="431" spans="1:26" ht="15.75" customHeight="1">
      <c r="A431" s="446"/>
      <c r="B431" s="446"/>
      <c r="C431" s="446"/>
      <c r="D431" s="854"/>
      <c r="E431" s="446"/>
      <c r="F431" s="446"/>
      <c r="G431" s="446"/>
      <c r="H431" s="446"/>
      <c r="I431" s="446"/>
      <c r="J431" s="446"/>
      <c r="K431" s="446"/>
      <c r="L431" s="446"/>
      <c r="M431" s="446"/>
      <c r="N431" s="446"/>
      <c r="O431" s="446"/>
      <c r="P431" s="446"/>
      <c r="Q431" s="446"/>
      <c r="R431" s="446"/>
      <c r="S431" s="446"/>
      <c r="T431" s="446"/>
      <c r="U431" s="446"/>
      <c r="V431" s="446"/>
      <c r="W431" s="446"/>
      <c r="X431" s="446"/>
      <c r="Y431" s="446"/>
      <c r="Z431" s="446"/>
    </row>
    <row r="432" spans="1:26" ht="15.75" customHeight="1">
      <c r="A432" s="446"/>
      <c r="B432" s="446"/>
      <c r="C432" s="446"/>
      <c r="D432" s="854"/>
      <c r="E432" s="446"/>
      <c r="F432" s="446"/>
      <c r="G432" s="446"/>
      <c r="H432" s="446"/>
      <c r="I432" s="446"/>
      <c r="J432" s="446"/>
      <c r="K432" s="446"/>
      <c r="L432" s="446"/>
      <c r="M432" s="446"/>
      <c r="N432" s="446"/>
      <c r="O432" s="446"/>
      <c r="P432" s="446"/>
      <c r="Q432" s="446"/>
      <c r="R432" s="446"/>
      <c r="S432" s="446"/>
      <c r="T432" s="446"/>
      <c r="U432" s="446"/>
      <c r="V432" s="446"/>
      <c r="W432" s="446"/>
      <c r="X432" s="446"/>
      <c r="Y432" s="446"/>
      <c r="Z432" s="446"/>
    </row>
    <row r="433" spans="1:26" ht="15.75" customHeight="1">
      <c r="A433" s="446"/>
      <c r="B433" s="446"/>
      <c r="C433" s="446"/>
      <c r="D433" s="854"/>
      <c r="E433" s="446"/>
      <c r="F433" s="446"/>
      <c r="G433" s="446"/>
      <c r="H433" s="446"/>
      <c r="I433" s="446"/>
      <c r="J433" s="446"/>
      <c r="K433" s="446"/>
      <c r="L433" s="446"/>
      <c r="M433" s="446"/>
      <c r="N433" s="446"/>
      <c r="O433" s="446"/>
      <c r="P433" s="446"/>
      <c r="Q433" s="446"/>
      <c r="R433" s="446"/>
      <c r="S433" s="446"/>
      <c r="T433" s="446"/>
      <c r="U433" s="446"/>
      <c r="V433" s="446"/>
      <c r="W433" s="446"/>
      <c r="X433" s="446"/>
      <c r="Y433" s="446"/>
      <c r="Z433" s="446"/>
    </row>
    <row r="434" spans="1:26" ht="15.75" customHeight="1">
      <c r="A434" s="446"/>
      <c r="B434" s="446"/>
      <c r="C434" s="446"/>
      <c r="D434" s="854"/>
      <c r="E434" s="446"/>
      <c r="F434" s="446"/>
      <c r="G434" s="446"/>
      <c r="H434" s="446"/>
      <c r="I434" s="446"/>
      <c r="J434" s="446"/>
      <c r="K434" s="446"/>
      <c r="L434" s="446"/>
      <c r="M434" s="446"/>
      <c r="N434" s="446"/>
      <c r="O434" s="446"/>
      <c r="P434" s="446"/>
      <c r="Q434" s="446"/>
      <c r="R434" s="446"/>
      <c r="S434" s="446"/>
      <c r="T434" s="446"/>
      <c r="U434" s="446"/>
      <c r="V434" s="446"/>
      <c r="W434" s="446"/>
      <c r="X434" s="446"/>
      <c r="Y434" s="446"/>
      <c r="Z434" s="446"/>
    </row>
    <row r="435" spans="1:26" ht="15.75" customHeight="1">
      <c r="A435" s="446"/>
      <c r="B435" s="446"/>
      <c r="C435" s="446"/>
      <c r="D435" s="854"/>
      <c r="E435" s="446"/>
      <c r="F435" s="446"/>
      <c r="G435" s="446"/>
      <c r="H435" s="446"/>
      <c r="I435" s="446"/>
      <c r="J435" s="446"/>
      <c r="K435" s="446"/>
      <c r="L435" s="446"/>
      <c r="M435" s="446"/>
      <c r="N435" s="446"/>
      <c r="O435" s="446"/>
      <c r="P435" s="446"/>
      <c r="Q435" s="446"/>
      <c r="R435" s="446"/>
      <c r="S435" s="446"/>
      <c r="T435" s="446"/>
      <c r="U435" s="446"/>
      <c r="V435" s="446"/>
      <c r="W435" s="446"/>
      <c r="X435" s="446"/>
      <c r="Y435" s="446"/>
      <c r="Z435" s="446"/>
    </row>
    <row r="436" spans="1:26" ht="15.75" customHeight="1">
      <c r="A436" s="446"/>
      <c r="B436" s="446"/>
      <c r="C436" s="446"/>
      <c r="D436" s="854"/>
      <c r="E436" s="446"/>
      <c r="F436" s="446"/>
      <c r="G436" s="446"/>
      <c r="H436" s="446"/>
      <c r="I436" s="446"/>
      <c r="J436" s="446"/>
      <c r="K436" s="446"/>
      <c r="L436" s="446"/>
      <c r="M436" s="446"/>
      <c r="N436" s="446"/>
      <c r="O436" s="446"/>
      <c r="P436" s="446"/>
      <c r="Q436" s="446"/>
      <c r="R436" s="446"/>
      <c r="S436" s="446"/>
      <c r="T436" s="446"/>
      <c r="U436" s="446"/>
      <c r="V436" s="446"/>
      <c r="W436" s="446"/>
      <c r="X436" s="446"/>
      <c r="Y436" s="446"/>
      <c r="Z436" s="446"/>
    </row>
    <row r="437" spans="1:26" ht="15.75" customHeight="1">
      <c r="A437" s="446"/>
      <c r="B437" s="446"/>
      <c r="C437" s="446"/>
      <c r="D437" s="854"/>
      <c r="E437" s="446"/>
      <c r="F437" s="446"/>
      <c r="G437" s="446"/>
      <c r="H437" s="446"/>
      <c r="I437" s="446"/>
      <c r="J437" s="446"/>
      <c r="K437" s="446"/>
      <c r="L437" s="446"/>
      <c r="M437" s="446"/>
      <c r="N437" s="446"/>
      <c r="O437" s="446"/>
      <c r="P437" s="446"/>
      <c r="Q437" s="446"/>
      <c r="R437" s="446"/>
      <c r="S437" s="446"/>
      <c r="T437" s="446"/>
      <c r="U437" s="446"/>
      <c r="V437" s="446"/>
      <c r="W437" s="446"/>
      <c r="X437" s="446"/>
      <c r="Y437" s="446"/>
      <c r="Z437" s="446"/>
    </row>
    <row r="438" spans="1:26" ht="15.75" customHeight="1">
      <c r="A438" s="446"/>
      <c r="B438" s="446"/>
      <c r="C438" s="446"/>
      <c r="D438" s="854"/>
      <c r="E438" s="446"/>
      <c r="F438" s="446"/>
      <c r="G438" s="446"/>
      <c r="H438" s="446"/>
      <c r="I438" s="446"/>
      <c r="J438" s="446"/>
      <c r="K438" s="446"/>
      <c r="L438" s="446"/>
      <c r="M438" s="446"/>
      <c r="N438" s="446"/>
      <c r="O438" s="446"/>
      <c r="P438" s="446"/>
      <c r="Q438" s="446"/>
      <c r="R438" s="446"/>
      <c r="S438" s="446"/>
      <c r="T438" s="446"/>
      <c r="U438" s="446"/>
      <c r="V438" s="446"/>
      <c r="W438" s="446"/>
      <c r="X438" s="446"/>
      <c r="Y438" s="446"/>
      <c r="Z438" s="446"/>
    </row>
    <row r="439" spans="1:26" ht="15.75" customHeight="1">
      <c r="A439" s="446"/>
      <c r="B439" s="446"/>
      <c r="C439" s="446"/>
      <c r="D439" s="854"/>
      <c r="E439" s="446"/>
      <c r="F439" s="446"/>
      <c r="G439" s="446"/>
      <c r="H439" s="446"/>
      <c r="I439" s="446"/>
      <c r="J439" s="446"/>
      <c r="K439" s="446"/>
      <c r="L439" s="446"/>
      <c r="M439" s="446"/>
      <c r="N439" s="446"/>
      <c r="O439" s="446"/>
      <c r="P439" s="446"/>
      <c r="Q439" s="446"/>
      <c r="R439" s="446"/>
      <c r="S439" s="446"/>
      <c r="T439" s="446"/>
      <c r="U439" s="446"/>
      <c r="V439" s="446"/>
      <c r="W439" s="446"/>
      <c r="X439" s="446"/>
      <c r="Y439" s="446"/>
      <c r="Z439" s="446"/>
    </row>
    <row r="440" spans="1:26" ht="15.75" customHeight="1">
      <c r="A440" s="446"/>
      <c r="B440" s="446"/>
      <c r="C440" s="446"/>
      <c r="D440" s="854"/>
      <c r="E440" s="446"/>
      <c r="F440" s="446"/>
      <c r="G440" s="446"/>
      <c r="H440" s="446"/>
      <c r="I440" s="446"/>
      <c r="J440" s="446"/>
      <c r="K440" s="446"/>
      <c r="L440" s="446"/>
      <c r="M440" s="446"/>
      <c r="N440" s="446"/>
      <c r="O440" s="446"/>
      <c r="P440" s="446"/>
      <c r="Q440" s="446"/>
      <c r="R440" s="446"/>
      <c r="S440" s="446"/>
      <c r="T440" s="446"/>
      <c r="U440" s="446"/>
      <c r="V440" s="446"/>
      <c r="W440" s="446"/>
      <c r="X440" s="446"/>
      <c r="Y440" s="446"/>
      <c r="Z440" s="446"/>
    </row>
    <row r="441" spans="1:26" ht="15.75" customHeight="1">
      <c r="A441" s="446"/>
      <c r="B441" s="446"/>
      <c r="C441" s="446"/>
      <c r="D441" s="854"/>
      <c r="E441" s="446"/>
      <c r="F441" s="446"/>
      <c r="G441" s="446"/>
      <c r="H441" s="446"/>
      <c r="I441" s="446"/>
      <c r="J441" s="446"/>
      <c r="K441" s="446"/>
      <c r="L441" s="446"/>
      <c r="M441" s="446"/>
      <c r="N441" s="446"/>
      <c r="O441" s="446"/>
      <c r="P441" s="446"/>
      <c r="Q441" s="446"/>
      <c r="R441" s="446"/>
      <c r="S441" s="446"/>
      <c r="T441" s="446"/>
      <c r="U441" s="446"/>
      <c r="V441" s="446"/>
      <c r="W441" s="446"/>
      <c r="X441" s="446"/>
      <c r="Y441" s="446"/>
      <c r="Z441" s="446"/>
    </row>
    <row r="442" spans="1:26" ht="15.75" customHeight="1">
      <c r="A442" s="446"/>
      <c r="B442" s="446"/>
      <c r="C442" s="446"/>
      <c r="D442" s="854"/>
      <c r="E442" s="446"/>
      <c r="F442" s="446"/>
      <c r="G442" s="446"/>
      <c r="H442" s="446"/>
      <c r="I442" s="446"/>
      <c r="J442" s="446"/>
      <c r="K442" s="446"/>
      <c r="L442" s="446"/>
      <c r="M442" s="446"/>
      <c r="N442" s="446"/>
      <c r="O442" s="446"/>
      <c r="P442" s="446"/>
      <c r="Q442" s="446"/>
      <c r="R442" s="446"/>
      <c r="S442" s="446"/>
      <c r="T442" s="446"/>
      <c r="U442" s="446"/>
      <c r="V442" s="446"/>
      <c r="W442" s="446"/>
      <c r="X442" s="446"/>
      <c r="Y442" s="446"/>
      <c r="Z442" s="446"/>
    </row>
    <row r="443" spans="1:26" ht="15.75" customHeight="1">
      <c r="A443" s="446"/>
      <c r="B443" s="446"/>
      <c r="C443" s="446"/>
      <c r="D443" s="854"/>
      <c r="E443" s="446"/>
      <c r="F443" s="446"/>
      <c r="G443" s="446"/>
      <c r="H443" s="446"/>
      <c r="I443" s="446"/>
      <c r="J443" s="446"/>
      <c r="K443" s="446"/>
      <c r="L443" s="446"/>
      <c r="M443" s="446"/>
      <c r="N443" s="446"/>
      <c r="O443" s="446"/>
      <c r="P443" s="446"/>
      <c r="Q443" s="446"/>
      <c r="R443" s="446"/>
      <c r="S443" s="446"/>
      <c r="T443" s="446"/>
      <c r="U443" s="446"/>
      <c r="V443" s="446"/>
      <c r="W443" s="446"/>
      <c r="X443" s="446"/>
      <c r="Y443" s="446"/>
      <c r="Z443" s="446"/>
    </row>
    <row r="444" spans="1:26" ht="15.75" customHeight="1">
      <c r="A444" s="446"/>
      <c r="B444" s="446"/>
      <c r="C444" s="446"/>
      <c r="D444" s="854"/>
      <c r="E444" s="446"/>
      <c r="F444" s="446"/>
      <c r="G444" s="446"/>
      <c r="H444" s="446"/>
      <c r="I444" s="446"/>
      <c r="J444" s="446"/>
      <c r="K444" s="446"/>
      <c r="L444" s="446"/>
      <c r="M444" s="446"/>
      <c r="N444" s="446"/>
      <c r="O444" s="446"/>
      <c r="P444" s="446"/>
      <c r="Q444" s="446"/>
      <c r="R444" s="446"/>
      <c r="S444" s="446"/>
      <c r="T444" s="446"/>
      <c r="U444" s="446"/>
      <c r="V444" s="446"/>
      <c r="W444" s="446"/>
      <c r="X444" s="446"/>
      <c r="Y444" s="446"/>
      <c r="Z444" s="446"/>
    </row>
    <row r="445" spans="1:26" ht="15.75" customHeight="1">
      <c r="A445" s="446"/>
      <c r="B445" s="446"/>
      <c r="C445" s="446"/>
      <c r="D445" s="854"/>
      <c r="E445" s="446"/>
      <c r="F445" s="446"/>
      <c r="G445" s="446"/>
      <c r="H445" s="446"/>
      <c r="I445" s="446"/>
      <c r="J445" s="446"/>
      <c r="K445" s="446"/>
      <c r="L445" s="446"/>
      <c r="M445" s="446"/>
      <c r="N445" s="446"/>
      <c r="O445" s="446"/>
      <c r="P445" s="446"/>
      <c r="Q445" s="446"/>
      <c r="R445" s="446"/>
      <c r="S445" s="446"/>
      <c r="T445" s="446"/>
      <c r="U445" s="446"/>
      <c r="V445" s="446"/>
      <c r="W445" s="446"/>
      <c r="X445" s="446"/>
      <c r="Y445" s="446"/>
      <c r="Z445" s="446"/>
    </row>
    <row r="446" spans="1:26" ht="15.75" customHeight="1">
      <c r="A446" s="446"/>
      <c r="B446" s="446"/>
      <c r="C446" s="446"/>
      <c r="D446" s="854"/>
      <c r="E446" s="446"/>
      <c r="F446" s="446"/>
      <c r="G446" s="446"/>
      <c r="H446" s="446"/>
      <c r="I446" s="446"/>
      <c r="J446" s="446"/>
      <c r="K446" s="446"/>
      <c r="L446" s="446"/>
      <c r="M446" s="446"/>
      <c r="N446" s="446"/>
      <c r="O446" s="446"/>
      <c r="P446" s="446"/>
      <c r="Q446" s="446"/>
      <c r="R446" s="446"/>
      <c r="S446" s="446"/>
      <c r="T446" s="446"/>
      <c r="U446" s="446"/>
      <c r="V446" s="446"/>
      <c r="W446" s="446"/>
      <c r="X446" s="446"/>
      <c r="Y446" s="446"/>
      <c r="Z446" s="446"/>
    </row>
    <row r="447" spans="1:26" ht="15.75" customHeight="1">
      <c r="A447" s="446"/>
      <c r="B447" s="446"/>
      <c r="C447" s="446"/>
      <c r="D447" s="854"/>
      <c r="E447" s="446"/>
      <c r="F447" s="446"/>
      <c r="G447" s="446"/>
      <c r="H447" s="446"/>
      <c r="I447" s="446"/>
      <c r="J447" s="446"/>
      <c r="K447" s="446"/>
      <c r="L447" s="446"/>
      <c r="M447" s="446"/>
      <c r="N447" s="446"/>
      <c r="O447" s="446"/>
      <c r="P447" s="446"/>
      <c r="Q447" s="446"/>
      <c r="R447" s="446"/>
      <c r="S447" s="446"/>
      <c r="T447" s="446"/>
      <c r="U447" s="446"/>
      <c r="V447" s="446"/>
      <c r="W447" s="446"/>
      <c r="X447" s="446"/>
      <c r="Y447" s="446"/>
      <c r="Z447" s="446"/>
    </row>
    <row r="448" spans="1:26" ht="15.75" customHeight="1">
      <c r="A448" s="446"/>
      <c r="B448" s="446"/>
      <c r="C448" s="446"/>
      <c r="D448" s="854"/>
      <c r="E448" s="446"/>
      <c r="F448" s="446"/>
      <c r="G448" s="446"/>
      <c r="H448" s="446"/>
      <c r="I448" s="446"/>
      <c r="J448" s="446"/>
      <c r="K448" s="446"/>
      <c r="L448" s="446"/>
      <c r="M448" s="446"/>
      <c r="N448" s="446"/>
      <c r="O448" s="446"/>
      <c r="P448" s="446"/>
      <c r="Q448" s="446"/>
      <c r="R448" s="446"/>
      <c r="S448" s="446"/>
      <c r="T448" s="446"/>
      <c r="U448" s="446"/>
      <c r="V448" s="446"/>
      <c r="W448" s="446"/>
      <c r="X448" s="446"/>
      <c r="Y448" s="446"/>
      <c r="Z448" s="446"/>
    </row>
    <row r="449" spans="1:26" ht="15.75" customHeight="1">
      <c r="A449" s="446"/>
      <c r="B449" s="446"/>
      <c r="C449" s="446"/>
      <c r="D449" s="854"/>
      <c r="E449" s="446"/>
      <c r="F449" s="446"/>
      <c r="G449" s="446"/>
      <c r="H449" s="446"/>
      <c r="I449" s="446"/>
      <c r="J449" s="446"/>
      <c r="K449" s="446"/>
      <c r="L449" s="446"/>
      <c r="M449" s="446"/>
      <c r="N449" s="446"/>
      <c r="O449" s="446"/>
      <c r="P449" s="446"/>
      <c r="Q449" s="446"/>
      <c r="R449" s="446"/>
      <c r="S449" s="446"/>
      <c r="T449" s="446"/>
      <c r="U449" s="446"/>
      <c r="V449" s="446"/>
      <c r="W449" s="446"/>
      <c r="X449" s="446"/>
      <c r="Y449" s="446"/>
      <c r="Z449" s="446"/>
    </row>
    <row r="450" spans="1:26" ht="15.75" customHeight="1">
      <c r="A450" s="446"/>
      <c r="B450" s="446"/>
      <c r="C450" s="446"/>
      <c r="D450" s="854"/>
      <c r="E450" s="446"/>
      <c r="F450" s="446"/>
      <c r="G450" s="446"/>
      <c r="H450" s="446"/>
      <c r="I450" s="446"/>
      <c r="J450" s="446"/>
      <c r="K450" s="446"/>
      <c r="L450" s="446"/>
      <c r="M450" s="446"/>
      <c r="N450" s="446"/>
      <c r="O450" s="446"/>
      <c r="P450" s="446"/>
      <c r="Q450" s="446"/>
      <c r="R450" s="446"/>
      <c r="S450" s="446"/>
      <c r="T450" s="446"/>
      <c r="U450" s="446"/>
      <c r="V450" s="446"/>
      <c r="W450" s="446"/>
      <c r="X450" s="446"/>
      <c r="Y450" s="446"/>
      <c r="Z450" s="446"/>
    </row>
    <row r="451" spans="1:26" ht="15.75" customHeight="1">
      <c r="A451" s="446"/>
      <c r="B451" s="446"/>
      <c r="C451" s="446"/>
      <c r="D451" s="854"/>
      <c r="E451" s="446"/>
      <c r="F451" s="446"/>
      <c r="G451" s="446"/>
      <c r="H451" s="446"/>
      <c r="I451" s="446"/>
      <c r="J451" s="446"/>
      <c r="K451" s="446"/>
      <c r="L451" s="446"/>
      <c r="M451" s="446"/>
      <c r="N451" s="446"/>
      <c r="O451" s="446"/>
      <c r="P451" s="446"/>
      <c r="Q451" s="446"/>
      <c r="R451" s="446"/>
      <c r="S451" s="446"/>
      <c r="T451" s="446"/>
      <c r="U451" s="446"/>
      <c r="V451" s="446"/>
      <c r="W451" s="446"/>
      <c r="X451" s="446"/>
      <c r="Y451" s="446"/>
      <c r="Z451" s="446"/>
    </row>
    <row r="452" spans="1:26" ht="15.75" customHeight="1">
      <c r="A452" s="446"/>
      <c r="B452" s="446"/>
      <c r="C452" s="446"/>
      <c r="D452" s="854"/>
      <c r="E452" s="446"/>
      <c r="F452" s="446"/>
      <c r="G452" s="446"/>
      <c r="H452" s="446"/>
      <c r="I452" s="446"/>
      <c r="J452" s="446"/>
      <c r="K452" s="446"/>
      <c r="L452" s="446"/>
      <c r="M452" s="446"/>
      <c r="N452" s="446"/>
      <c r="O452" s="446"/>
      <c r="P452" s="446"/>
      <c r="Q452" s="446"/>
      <c r="R452" s="446"/>
      <c r="S452" s="446"/>
      <c r="T452" s="446"/>
      <c r="U452" s="446"/>
      <c r="V452" s="446"/>
      <c r="W452" s="446"/>
      <c r="X452" s="446"/>
      <c r="Y452" s="446"/>
      <c r="Z452" s="446"/>
    </row>
    <row r="453" spans="1:26" ht="15.75" customHeight="1">
      <c r="A453" s="446"/>
      <c r="B453" s="446"/>
      <c r="C453" s="446"/>
      <c r="D453" s="854"/>
      <c r="E453" s="446"/>
      <c r="F453" s="446"/>
      <c r="G453" s="446"/>
      <c r="H453" s="446"/>
      <c r="I453" s="446"/>
      <c r="J453" s="446"/>
      <c r="K453" s="446"/>
      <c r="L453" s="446"/>
      <c r="M453" s="446"/>
      <c r="N453" s="446"/>
      <c r="O453" s="446"/>
      <c r="P453" s="446"/>
      <c r="Q453" s="446"/>
      <c r="R453" s="446"/>
      <c r="S453" s="446"/>
      <c r="T453" s="446"/>
      <c r="U453" s="446"/>
      <c r="V453" s="446"/>
      <c r="W453" s="446"/>
      <c r="X453" s="446"/>
      <c r="Y453" s="446"/>
      <c r="Z453" s="446"/>
    </row>
    <row r="454" spans="1:26" ht="15.75" customHeight="1">
      <c r="A454" s="446"/>
      <c r="B454" s="446"/>
      <c r="C454" s="446"/>
      <c r="D454" s="854"/>
      <c r="E454" s="446"/>
      <c r="F454" s="446"/>
      <c r="G454" s="446"/>
      <c r="H454" s="446"/>
      <c r="I454" s="446"/>
      <c r="J454" s="446"/>
      <c r="K454" s="446"/>
      <c r="L454" s="446"/>
      <c r="M454" s="446"/>
      <c r="N454" s="446"/>
      <c r="O454" s="446"/>
      <c r="P454" s="446"/>
      <c r="Q454" s="446"/>
      <c r="R454" s="446"/>
      <c r="S454" s="446"/>
      <c r="T454" s="446"/>
      <c r="U454" s="446"/>
      <c r="V454" s="446"/>
      <c r="W454" s="446"/>
      <c r="X454" s="446"/>
      <c r="Y454" s="446"/>
      <c r="Z454" s="446"/>
    </row>
    <row r="455" spans="1:26" ht="15.75" customHeight="1">
      <c r="A455" s="446"/>
      <c r="B455" s="446"/>
      <c r="C455" s="446"/>
      <c r="D455" s="854"/>
      <c r="E455" s="446"/>
      <c r="F455" s="446"/>
      <c r="G455" s="446"/>
      <c r="H455" s="446"/>
      <c r="I455" s="446"/>
      <c r="J455" s="446"/>
      <c r="K455" s="446"/>
      <c r="L455" s="446"/>
      <c r="M455" s="446"/>
      <c r="N455" s="446"/>
      <c r="O455" s="446"/>
      <c r="P455" s="446"/>
      <c r="Q455" s="446"/>
      <c r="R455" s="446"/>
      <c r="S455" s="446"/>
      <c r="T455" s="446"/>
      <c r="U455" s="446"/>
      <c r="V455" s="446"/>
      <c r="W455" s="446"/>
      <c r="X455" s="446"/>
      <c r="Y455" s="446"/>
      <c r="Z455" s="446"/>
    </row>
    <row r="456" spans="1:26" ht="15.75" customHeight="1">
      <c r="A456" s="446"/>
      <c r="B456" s="446"/>
      <c r="C456" s="446"/>
      <c r="D456" s="854"/>
      <c r="E456" s="446"/>
      <c r="F456" s="446"/>
      <c r="G456" s="446"/>
      <c r="H456" s="446"/>
      <c r="I456" s="446"/>
      <c r="J456" s="446"/>
      <c r="K456" s="446"/>
      <c r="L456" s="446"/>
      <c r="M456" s="446"/>
      <c r="N456" s="446"/>
      <c r="O456" s="446"/>
      <c r="P456" s="446"/>
      <c r="Q456" s="446"/>
      <c r="R456" s="446"/>
      <c r="S456" s="446"/>
      <c r="T456" s="446"/>
      <c r="U456" s="446"/>
      <c r="V456" s="446"/>
      <c r="W456" s="446"/>
      <c r="X456" s="446"/>
      <c r="Y456" s="446"/>
      <c r="Z456" s="446"/>
    </row>
    <row r="457" spans="1:26" ht="15.75" customHeight="1">
      <c r="A457" s="446"/>
      <c r="B457" s="446"/>
      <c r="C457" s="446"/>
      <c r="D457" s="854"/>
      <c r="E457" s="446"/>
      <c r="F457" s="446"/>
      <c r="G457" s="446"/>
      <c r="H457" s="446"/>
      <c r="I457" s="446"/>
      <c r="J457" s="446"/>
      <c r="K457" s="446"/>
      <c r="L457" s="446"/>
      <c r="M457" s="446"/>
      <c r="N457" s="446"/>
      <c r="O457" s="446"/>
      <c r="P457" s="446"/>
      <c r="Q457" s="446"/>
      <c r="R457" s="446"/>
      <c r="S457" s="446"/>
      <c r="T457" s="446"/>
      <c r="U457" s="446"/>
      <c r="V457" s="446"/>
      <c r="W457" s="446"/>
      <c r="X457" s="446"/>
      <c r="Y457" s="446"/>
      <c r="Z457" s="446"/>
    </row>
    <row r="458" spans="1:26" ht="15.75" customHeight="1">
      <c r="A458" s="446"/>
      <c r="B458" s="446"/>
      <c r="C458" s="446"/>
      <c r="D458" s="854"/>
      <c r="E458" s="446"/>
      <c r="F458" s="446"/>
      <c r="G458" s="446"/>
      <c r="H458" s="446"/>
      <c r="I458" s="446"/>
      <c r="J458" s="446"/>
      <c r="K458" s="446"/>
      <c r="L458" s="446"/>
      <c r="M458" s="446"/>
      <c r="N458" s="446"/>
      <c r="O458" s="446"/>
      <c r="P458" s="446"/>
      <c r="Q458" s="446"/>
      <c r="R458" s="446"/>
      <c r="S458" s="446"/>
      <c r="T458" s="446"/>
      <c r="U458" s="446"/>
      <c r="V458" s="446"/>
      <c r="W458" s="446"/>
      <c r="X458" s="446"/>
      <c r="Y458" s="446"/>
      <c r="Z458" s="446"/>
    </row>
    <row r="459" spans="1:26" ht="15.75" customHeight="1">
      <c r="A459" s="446"/>
      <c r="B459" s="446"/>
      <c r="C459" s="446"/>
      <c r="D459" s="854"/>
      <c r="E459" s="446"/>
      <c r="F459" s="446"/>
      <c r="G459" s="446"/>
      <c r="H459" s="446"/>
      <c r="I459" s="446"/>
      <c r="J459" s="446"/>
      <c r="K459" s="446"/>
      <c r="L459" s="446"/>
      <c r="M459" s="446"/>
      <c r="N459" s="446"/>
      <c r="O459" s="446"/>
      <c r="P459" s="446"/>
      <c r="Q459" s="446"/>
      <c r="R459" s="446"/>
      <c r="S459" s="446"/>
      <c r="T459" s="446"/>
      <c r="U459" s="446"/>
      <c r="V459" s="446"/>
      <c r="W459" s="446"/>
      <c r="X459" s="446"/>
      <c r="Y459" s="446"/>
      <c r="Z459" s="446"/>
    </row>
    <row r="460" spans="1:26" ht="15.75" customHeight="1">
      <c r="A460" s="446"/>
      <c r="B460" s="446"/>
      <c r="C460" s="446"/>
      <c r="D460" s="854"/>
      <c r="E460" s="446"/>
      <c r="F460" s="446"/>
      <c r="G460" s="446"/>
      <c r="H460" s="446"/>
      <c r="I460" s="446"/>
      <c r="J460" s="446"/>
      <c r="K460" s="446"/>
      <c r="L460" s="446"/>
      <c r="M460" s="446"/>
      <c r="N460" s="446"/>
      <c r="O460" s="446"/>
      <c r="P460" s="446"/>
      <c r="Q460" s="446"/>
      <c r="R460" s="446"/>
      <c r="S460" s="446"/>
      <c r="T460" s="446"/>
      <c r="U460" s="446"/>
      <c r="V460" s="446"/>
      <c r="W460" s="446"/>
      <c r="X460" s="446"/>
      <c r="Y460" s="446"/>
      <c r="Z460" s="446"/>
    </row>
    <row r="461" spans="1:26" ht="15.75" customHeight="1">
      <c r="A461" s="446"/>
      <c r="B461" s="446"/>
      <c r="C461" s="446"/>
      <c r="D461" s="854"/>
      <c r="E461" s="446"/>
      <c r="F461" s="446"/>
      <c r="G461" s="446"/>
      <c r="H461" s="446"/>
      <c r="I461" s="446"/>
      <c r="J461" s="446"/>
      <c r="K461" s="446"/>
      <c r="L461" s="446"/>
      <c r="M461" s="446"/>
      <c r="N461" s="446"/>
      <c r="O461" s="446"/>
      <c r="P461" s="446"/>
      <c r="Q461" s="446"/>
      <c r="R461" s="446"/>
      <c r="S461" s="446"/>
      <c r="T461" s="446"/>
      <c r="U461" s="446"/>
      <c r="V461" s="446"/>
      <c r="W461" s="446"/>
      <c r="X461" s="446"/>
      <c r="Y461" s="446"/>
      <c r="Z461" s="446"/>
    </row>
    <row r="462" spans="1:26" ht="15.75" customHeight="1">
      <c r="A462" s="446"/>
      <c r="B462" s="446"/>
      <c r="C462" s="446"/>
      <c r="D462" s="854"/>
      <c r="E462" s="446"/>
      <c r="F462" s="446"/>
      <c r="G462" s="446"/>
      <c r="H462" s="446"/>
      <c r="I462" s="446"/>
      <c r="J462" s="446"/>
      <c r="K462" s="446"/>
      <c r="L462" s="446"/>
      <c r="M462" s="446"/>
      <c r="N462" s="446"/>
      <c r="O462" s="446"/>
      <c r="P462" s="446"/>
      <c r="Q462" s="446"/>
      <c r="R462" s="446"/>
      <c r="S462" s="446"/>
      <c r="T462" s="446"/>
      <c r="U462" s="446"/>
      <c r="V462" s="446"/>
      <c r="W462" s="446"/>
      <c r="X462" s="446"/>
      <c r="Y462" s="446"/>
      <c r="Z462" s="446"/>
    </row>
    <row r="463" spans="1:26" ht="15.75" customHeight="1">
      <c r="A463" s="446"/>
      <c r="B463" s="446"/>
      <c r="C463" s="446"/>
      <c r="D463" s="854"/>
      <c r="E463" s="446"/>
      <c r="F463" s="446"/>
      <c r="G463" s="446"/>
      <c r="H463" s="446"/>
      <c r="I463" s="446"/>
      <c r="J463" s="446"/>
      <c r="K463" s="446"/>
      <c r="L463" s="446"/>
      <c r="M463" s="446"/>
      <c r="N463" s="446"/>
      <c r="O463" s="446"/>
      <c r="P463" s="446"/>
      <c r="Q463" s="446"/>
      <c r="R463" s="446"/>
      <c r="S463" s="446"/>
      <c r="T463" s="446"/>
      <c r="U463" s="446"/>
      <c r="V463" s="446"/>
      <c r="W463" s="446"/>
      <c r="X463" s="446"/>
      <c r="Y463" s="446"/>
      <c r="Z463" s="446"/>
    </row>
    <row r="464" spans="1:26" ht="15.75" customHeight="1">
      <c r="A464" s="446"/>
      <c r="B464" s="446"/>
      <c r="C464" s="446"/>
      <c r="D464" s="854"/>
      <c r="E464" s="446"/>
      <c r="F464" s="446"/>
      <c r="G464" s="446"/>
      <c r="H464" s="446"/>
      <c r="I464" s="446"/>
      <c r="J464" s="446"/>
      <c r="K464" s="446"/>
      <c r="L464" s="446"/>
      <c r="M464" s="446"/>
      <c r="N464" s="446"/>
      <c r="O464" s="446"/>
      <c r="P464" s="446"/>
      <c r="Q464" s="446"/>
      <c r="R464" s="446"/>
      <c r="S464" s="446"/>
      <c r="T464" s="446"/>
      <c r="U464" s="446"/>
      <c r="V464" s="446"/>
      <c r="W464" s="446"/>
      <c r="X464" s="446"/>
      <c r="Y464" s="446"/>
      <c r="Z464" s="446"/>
    </row>
    <row r="465" spans="1:26" ht="15.75" customHeight="1">
      <c r="A465" s="446"/>
      <c r="B465" s="446"/>
      <c r="C465" s="446"/>
      <c r="D465" s="854"/>
      <c r="E465" s="446"/>
      <c r="F465" s="446"/>
      <c r="G465" s="446"/>
      <c r="H465" s="446"/>
      <c r="I465" s="446"/>
      <c r="J465" s="446"/>
      <c r="K465" s="446"/>
      <c r="L465" s="446"/>
      <c r="M465" s="446"/>
      <c r="N465" s="446"/>
      <c r="O465" s="446"/>
      <c r="P465" s="446"/>
      <c r="Q465" s="446"/>
      <c r="R465" s="446"/>
      <c r="S465" s="446"/>
      <c r="T465" s="446"/>
      <c r="U465" s="446"/>
      <c r="V465" s="446"/>
      <c r="W465" s="446"/>
      <c r="X465" s="446"/>
      <c r="Y465" s="446"/>
      <c r="Z465" s="446"/>
    </row>
    <row r="466" spans="1:26" ht="15.75" customHeight="1">
      <c r="A466" s="446"/>
      <c r="B466" s="446"/>
      <c r="C466" s="446"/>
      <c r="D466" s="854"/>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row>
    <row r="467" spans="1:26" ht="15.75" customHeight="1">
      <c r="A467" s="446"/>
      <c r="B467" s="446"/>
      <c r="C467" s="446"/>
      <c r="D467" s="854"/>
      <c r="E467" s="446"/>
      <c r="F467" s="446"/>
      <c r="G467" s="446"/>
      <c r="H467" s="446"/>
      <c r="I467" s="446"/>
      <c r="J467" s="446"/>
      <c r="K467" s="446"/>
      <c r="L467" s="446"/>
      <c r="M467" s="446"/>
      <c r="N467" s="446"/>
      <c r="O467" s="446"/>
      <c r="P467" s="446"/>
      <c r="Q467" s="446"/>
      <c r="R467" s="446"/>
      <c r="S467" s="446"/>
      <c r="T467" s="446"/>
      <c r="U467" s="446"/>
      <c r="V467" s="446"/>
      <c r="W467" s="446"/>
      <c r="X467" s="446"/>
      <c r="Y467" s="446"/>
      <c r="Z467" s="446"/>
    </row>
    <row r="468" spans="1:26" ht="15.75" customHeight="1">
      <c r="A468" s="446"/>
      <c r="B468" s="446"/>
      <c r="C468" s="446"/>
      <c r="D468" s="854"/>
      <c r="E468" s="446"/>
      <c r="F468" s="446"/>
      <c r="G468" s="446"/>
      <c r="H468" s="446"/>
      <c r="I468" s="446"/>
      <c r="J468" s="446"/>
      <c r="K468" s="446"/>
      <c r="L468" s="446"/>
      <c r="M468" s="446"/>
      <c r="N468" s="446"/>
      <c r="O468" s="446"/>
      <c r="P468" s="446"/>
      <c r="Q468" s="446"/>
      <c r="R468" s="446"/>
      <c r="S468" s="446"/>
      <c r="T468" s="446"/>
      <c r="U468" s="446"/>
      <c r="V468" s="446"/>
      <c r="W468" s="446"/>
      <c r="X468" s="446"/>
      <c r="Y468" s="446"/>
      <c r="Z468" s="446"/>
    </row>
    <row r="469" spans="1:26" ht="15.75" customHeight="1">
      <c r="A469" s="446"/>
      <c r="B469" s="446"/>
      <c r="C469" s="446"/>
      <c r="D469" s="854"/>
      <c r="E469" s="446"/>
      <c r="F469" s="446"/>
      <c r="G469" s="446"/>
      <c r="H469" s="446"/>
      <c r="I469" s="446"/>
      <c r="J469" s="446"/>
      <c r="K469" s="446"/>
      <c r="L469" s="446"/>
      <c r="M469" s="446"/>
      <c r="N469" s="446"/>
      <c r="O469" s="446"/>
      <c r="P469" s="446"/>
      <c r="Q469" s="446"/>
      <c r="R469" s="446"/>
      <c r="S469" s="446"/>
      <c r="T469" s="446"/>
      <c r="U469" s="446"/>
      <c r="V469" s="446"/>
      <c r="W469" s="446"/>
      <c r="X469" s="446"/>
      <c r="Y469" s="446"/>
      <c r="Z469" s="446"/>
    </row>
    <row r="470" spans="1:26" ht="15.75" customHeight="1">
      <c r="A470" s="446"/>
      <c r="B470" s="446"/>
      <c r="C470" s="446"/>
      <c r="D470" s="854"/>
      <c r="E470" s="446"/>
      <c r="F470" s="446"/>
      <c r="G470" s="446"/>
      <c r="H470" s="446"/>
      <c r="I470" s="446"/>
      <c r="J470" s="446"/>
      <c r="K470" s="446"/>
      <c r="L470" s="446"/>
      <c r="M470" s="446"/>
      <c r="N470" s="446"/>
      <c r="O470" s="446"/>
      <c r="P470" s="446"/>
      <c r="Q470" s="446"/>
      <c r="R470" s="446"/>
      <c r="S470" s="446"/>
      <c r="T470" s="446"/>
      <c r="U470" s="446"/>
      <c r="V470" s="446"/>
      <c r="W470" s="446"/>
      <c r="X470" s="446"/>
      <c r="Y470" s="446"/>
      <c r="Z470" s="446"/>
    </row>
    <row r="471" spans="1:26" ht="15.75" customHeight="1">
      <c r="A471" s="446"/>
      <c r="B471" s="446"/>
      <c r="C471" s="446"/>
      <c r="D471" s="854"/>
      <c r="E471" s="446"/>
      <c r="F471" s="446"/>
      <c r="G471" s="446"/>
      <c r="H471" s="446"/>
      <c r="I471" s="446"/>
      <c r="J471" s="446"/>
      <c r="K471" s="446"/>
      <c r="L471" s="446"/>
      <c r="M471" s="446"/>
      <c r="N471" s="446"/>
      <c r="O471" s="446"/>
      <c r="P471" s="446"/>
      <c r="Q471" s="446"/>
      <c r="R471" s="446"/>
      <c r="S471" s="446"/>
      <c r="T471" s="446"/>
      <c r="U471" s="446"/>
      <c r="V471" s="446"/>
      <c r="W471" s="446"/>
      <c r="X471" s="446"/>
      <c r="Y471" s="446"/>
      <c r="Z471" s="446"/>
    </row>
    <row r="472" spans="1:26" ht="15.75" customHeight="1">
      <c r="A472" s="446"/>
      <c r="B472" s="446"/>
      <c r="C472" s="446"/>
      <c r="D472" s="854"/>
      <c r="E472" s="446"/>
      <c r="F472" s="446"/>
      <c r="G472" s="446"/>
      <c r="H472" s="446"/>
      <c r="I472" s="446"/>
      <c r="J472" s="446"/>
      <c r="K472" s="446"/>
      <c r="L472" s="446"/>
      <c r="M472" s="446"/>
      <c r="N472" s="446"/>
      <c r="O472" s="446"/>
      <c r="P472" s="446"/>
      <c r="Q472" s="446"/>
      <c r="R472" s="446"/>
      <c r="S472" s="446"/>
      <c r="T472" s="446"/>
      <c r="U472" s="446"/>
      <c r="V472" s="446"/>
      <c r="W472" s="446"/>
      <c r="X472" s="446"/>
      <c r="Y472" s="446"/>
      <c r="Z472" s="446"/>
    </row>
    <row r="473" spans="1:26" ht="15.75" customHeight="1">
      <c r="A473" s="446"/>
      <c r="B473" s="446"/>
      <c r="C473" s="446"/>
      <c r="D473" s="854"/>
      <c r="E473" s="446"/>
      <c r="F473" s="446"/>
      <c r="G473" s="446"/>
      <c r="H473" s="446"/>
      <c r="I473" s="446"/>
      <c r="J473" s="446"/>
      <c r="K473" s="446"/>
      <c r="L473" s="446"/>
      <c r="M473" s="446"/>
      <c r="N473" s="446"/>
      <c r="O473" s="446"/>
      <c r="P473" s="446"/>
      <c r="Q473" s="446"/>
      <c r="R473" s="446"/>
      <c r="S473" s="446"/>
      <c r="T473" s="446"/>
      <c r="U473" s="446"/>
      <c r="V473" s="446"/>
      <c r="W473" s="446"/>
      <c r="X473" s="446"/>
      <c r="Y473" s="446"/>
      <c r="Z473" s="446"/>
    </row>
    <row r="474" spans="1:26" ht="15.75" customHeight="1">
      <c r="A474" s="446"/>
      <c r="B474" s="446"/>
      <c r="C474" s="446"/>
      <c r="D474" s="854"/>
      <c r="E474" s="446"/>
      <c r="F474" s="446"/>
      <c r="G474" s="446"/>
      <c r="H474" s="446"/>
      <c r="I474" s="446"/>
      <c r="J474" s="446"/>
      <c r="K474" s="446"/>
      <c r="L474" s="446"/>
      <c r="M474" s="446"/>
      <c r="N474" s="446"/>
      <c r="O474" s="446"/>
      <c r="P474" s="446"/>
      <c r="Q474" s="446"/>
      <c r="R474" s="446"/>
      <c r="S474" s="446"/>
      <c r="T474" s="446"/>
      <c r="U474" s="446"/>
      <c r="V474" s="446"/>
      <c r="W474" s="446"/>
      <c r="X474" s="446"/>
      <c r="Y474" s="446"/>
      <c r="Z474" s="446"/>
    </row>
    <row r="475" spans="1:26" ht="15.75" customHeight="1">
      <c r="A475" s="446"/>
      <c r="B475" s="446"/>
      <c r="C475" s="446"/>
      <c r="D475" s="854"/>
      <c r="E475" s="446"/>
      <c r="F475" s="446"/>
      <c r="G475" s="446"/>
      <c r="H475" s="446"/>
      <c r="I475" s="446"/>
      <c r="J475" s="446"/>
      <c r="K475" s="446"/>
      <c r="L475" s="446"/>
      <c r="M475" s="446"/>
      <c r="N475" s="446"/>
      <c r="O475" s="446"/>
      <c r="P475" s="446"/>
      <c r="Q475" s="446"/>
      <c r="R475" s="446"/>
      <c r="S475" s="446"/>
      <c r="T475" s="446"/>
      <c r="U475" s="446"/>
      <c r="V475" s="446"/>
      <c r="W475" s="446"/>
      <c r="X475" s="446"/>
      <c r="Y475" s="446"/>
      <c r="Z475" s="446"/>
    </row>
    <row r="476" spans="1:26" ht="15.75" customHeight="1">
      <c r="A476" s="446"/>
      <c r="B476" s="446"/>
      <c r="C476" s="446"/>
      <c r="D476" s="854"/>
      <c r="E476" s="446"/>
      <c r="F476" s="446"/>
      <c r="G476" s="446"/>
      <c r="H476" s="446"/>
      <c r="I476" s="446"/>
      <c r="J476" s="446"/>
      <c r="K476" s="446"/>
      <c r="L476" s="446"/>
      <c r="M476" s="446"/>
      <c r="N476" s="446"/>
      <c r="O476" s="446"/>
      <c r="P476" s="446"/>
      <c r="Q476" s="446"/>
      <c r="R476" s="446"/>
      <c r="S476" s="446"/>
      <c r="T476" s="446"/>
      <c r="U476" s="446"/>
      <c r="V476" s="446"/>
      <c r="W476" s="446"/>
      <c r="X476" s="446"/>
      <c r="Y476" s="446"/>
      <c r="Z476" s="446"/>
    </row>
    <row r="477" spans="1:26" ht="15.75" customHeight="1">
      <c r="A477" s="446"/>
      <c r="B477" s="446"/>
      <c r="C477" s="446"/>
      <c r="D477" s="854"/>
      <c r="E477" s="446"/>
      <c r="F477" s="446"/>
      <c r="G477" s="446"/>
      <c r="H477" s="446"/>
      <c r="I477" s="446"/>
      <c r="J477" s="446"/>
      <c r="K477" s="446"/>
      <c r="L477" s="446"/>
      <c r="M477" s="446"/>
      <c r="N477" s="446"/>
      <c r="O477" s="446"/>
      <c r="P477" s="446"/>
      <c r="Q477" s="446"/>
      <c r="R477" s="446"/>
      <c r="S477" s="446"/>
      <c r="T477" s="446"/>
      <c r="U477" s="446"/>
      <c r="V477" s="446"/>
      <c r="W477" s="446"/>
      <c r="X477" s="446"/>
      <c r="Y477" s="446"/>
      <c r="Z477" s="446"/>
    </row>
    <row r="478" spans="1:26" ht="15.75" customHeight="1">
      <c r="A478" s="446"/>
      <c r="B478" s="446"/>
      <c r="C478" s="446"/>
      <c r="D478" s="854"/>
      <c r="E478" s="446"/>
      <c r="F478" s="446"/>
      <c r="G478" s="446"/>
      <c r="H478" s="446"/>
      <c r="I478" s="446"/>
      <c r="J478" s="446"/>
      <c r="K478" s="446"/>
      <c r="L478" s="446"/>
      <c r="M478" s="446"/>
      <c r="N478" s="446"/>
      <c r="O478" s="446"/>
      <c r="P478" s="446"/>
      <c r="Q478" s="446"/>
      <c r="R478" s="446"/>
      <c r="S478" s="446"/>
      <c r="T478" s="446"/>
      <c r="U478" s="446"/>
      <c r="V478" s="446"/>
      <c r="W478" s="446"/>
      <c r="X478" s="446"/>
      <c r="Y478" s="446"/>
      <c r="Z478" s="446"/>
    </row>
    <row r="479" spans="1:26" ht="15.75" customHeight="1">
      <c r="A479" s="446"/>
      <c r="B479" s="446"/>
      <c r="C479" s="446"/>
      <c r="D479" s="854"/>
      <c r="E479" s="446"/>
      <c r="F479" s="446"/>
      <c r="G479" s="446"/>
      <c r="H479" s="446"/>
      <c r="I479" s="446"/>
      <c r="J479" s="446"/>
      <c r="K479" s="446"/>
      <c r="L479" s="446"/>
      <c r="M479" s="446"/>
      <c r="N479" s="446"/>
      <c r="O479" s="446"/>
      <c r="P479" s="446"/>
      <c r="Q479" s="446"/>
      <c r="R479" s="446"/>
      <c r="S479" s="446"/>
      <c r="T479" s="446"/>
      <c r="U479" s="446"/>
      <c r="V479" s="446"/>
      <c r="W479" s="446"/>
      <c r="X479" s="446"/>
      <c r="Y479" s="446"/>
      <c r="Z479" s="446"/>
    </row>
    <row r="480" spans="1:26" ht="15.75" customHeight="1">
      <c r="A480" s="446"/>
      <c r="B480" s="446"/>
      <c r="C480" s="446"/>
      <c r="D480" s="854"/>
      <c r="E480" s="446"/>
      <c r="F480" s="446"/>
      <c r="G480" s="446"/>
      <c r="H480" s="446"/>
      <c r="I480" s="446"/>
      <c r="J480" s="446"/>
      <c r="K480" s="446"/>
      <c r="L480" s="446"/>
      <c r="M480" s="446"/>
      <c r="N480" s="446"/>
      <c r="O480" s="446"/>
      <c r="P480" s="446"/>
      <c r="Q480" s="446"/>
      <c r="R480" s="446"/>
      <c r="S480" s="446"/>
      <c r="T480" s="446"/>
      <c r="U480" s="446"/>
      <c r="V480" s="446"/>
      <c r="W480" s="446"/>
      <c r="X480" s="446"/>
      <c r="Y480" s="446"/>
      <c r="Z480" s="446"/>
    </row>
    <row r="481" spans="1:26" ht="15.75" customHeight="1">
      <c r="A481" s="446"/>
      <c r="B481" s="446"/>
      <c r="C481" s="446"/>
      <c r="D481" s="854"/>
      <c r="E481" s="446"/>
      <c r="F481" s="446"/>
      <c r="G481" s="446"/>
      <c r="H481" s="446"/>
      <c r="I481" s="446"/>
      <c r="J481" s="446"/>
      <c r="K481" s="446"/>
      <c r="L481" s="446"/>
      <c r="M481" s="446"/>
      <c r="N481" s="446"/>
      <c r="O481" s="446"/>
      <c r="P481" s="446"/>
      <c r="Q481" s="446"/>
      <c r="R481" s="446"/>
      <c r="S481" s="446"/>
      <c r="T481" s="446"/>
      <c r="U481" s="446"/>
      <c r="V481" s="446"/>
      <c r="W481" s="446"/>
      <c r="X481" s="446"/>
      <c r="Y481" s="446"/>
      <c r="Z481" s="446"/>
    </row>
    <row r="482" spans="1:26" ht="15.75" customHeight="1">
      <c r="A482" s="446"/>
      <c r="B482" s="446"/>
      <c r="C482" s="446"/>
      <c r="D482" s="854"/>
      <c r="E482" s="446"/>
      <c r="F482" s="446"/>
      <c r="G482" s="446"/>
      <c r="H482" s="446"/>
      <c r="I482" s="446"/>
      <c r="J482" s="446"/>
      <c r="K482" s="446"/>
      <c r="L482" s="446"/>
      <c r="M482" s="446"/>
      <c r="N482" s="446"/>
      <c r="O482" s="446"/>
      <c r="P482" s="446"/>
      <c r="Q482" s="446"/>
      <c r="R482" s="446"/>
      <c r="S482" s="446"/>
      <c r="T482" s="446"/>
      <c r="U482" s="446"/>
      <c r="V482" s="446"/>
      <c r="W482" s="446"/>
      <c r="X482" s="446"/>
      <c r="Y482" s="446"/>
      <c r="Z482" s="446"/>
    </row>
    <row r="483" spans="1:26" ht="15.75" customHeight="1">
      <c r="A483" s="446"/>
      <c r="B483" s="446"/>
      <c r="C483" s="446"/>
      <c r="D483" s="854"/>
      <c r="E483" s="446"/>
      <c r="F483" s="446"/>
      <c r="G483" s="446"/>
      <c r="H483" s="446"/>
      <c r="I483" s="446"/>
      <c r="J483" s="446"/>
      <c r="K483" s="446"/>
      <c r="L483" s="446"/>
      <c r="M483" s="446"/>
      <c r="N483" s="446"/>
      <c r="O483" s="446"/>
      <c r="P483" s="446"/>
      <c r="Q483" s="446"/>
      <c r="R483" s="446"/>
      <c r="S483" s="446"/>
      <c r="T483" s="446"/>
      <c r="U483" s="446"/>
      <c r="V483" s="446"/>
      <c r="W483" s="446"/>
      <c r="X483" s="446"/>
      <c r="Y483" s="446"/>
      <c r="Z483" s="446"/>
    </row>
    <row r="484" spans="1:26" ht="15.75" customHeight="1">
      <c r="A484" s="446"/>
      <c r="B484" s="446"/>
      <c r="C484" s="446"/>
      <c r="D484" s="854"/>
      <c r="E484" s="446"/>
      <c r="F484" s="446"/>
      <c r="G484" s="446"/>
      <c r="H484" s="446"/>
      <c r="I484" s="446"/>
      <c r="J484" s="446"/>
      <c r="K484" s="446"/>
      <c r="L484" s="446"/>
      <c r="M484" s="446"/>
      <c r="N484" s="446"/>
      <c r="O484" s="446"/>
      <c r="P484" s="446"/>
      <c r="Q484" s="446"/>
      <c r="R484" s="446"/>
      <c r="S484" s="446"/>
      <c r="T484" s="446"/>
      <c r="U484" s="446"/>
      <c r="V484" s="446"/>
      <c r="W484" s="446"/>
      <c r="X484" s="446"/>
      <c r="Y484" s="446"/>
      <c r="Z484" s="446"/>
    </row>
    <row r="485" spans="1:26" ht="15.75" customHeight="1">
      <c r="A485" s="446"/>
      <c r="B485" s="446"/>
      <c r="C485" s="446"/>
      <c r="D485" s="854"/>
      <c r="E485" s="446"/>
      <c r="F485" s="446"/>
      <c r="G485" s="446"/>
      <c r="H485" s="446"/>
      <c r="I485" s="446"/>
      <c r="J485" s="446"/>
      <c r="K485" s="446"/>
      <c r="L485" s="446"/>
      <c r="M485" s="446"/>
      <c r="N485" s="446"/>
      <c r="O485" s="446"/>
      <c r="P485" s="446"/>
      <c r="Q485" s="446"/>
      <c r="R485" s="446"/>
      <c r="S485" s="446"/>
      <c r="T485" s="446"/>
      <c r="U485" s="446"/>
      <c r="V485" s="446"/>
      <c r="W485" s="446"/>
      <c r="X485" s="446"/>
      <c r="Y485" s="446"/>
      <c r="Z485" s="446"/>
    </row>
    <row r="486" spans="1:26" ht="15.75" customHeight="1">
      <c r="A486" s="446"/>
      <c r="B486" s="446"/>
      <c r="C486" s="446"/>
      <c r="D486" s="854"/>
      <c r="E486" s="446"/>
      <c r="F486" s="446"/>
      <c r="G486" s="446"/>
      <c r="H486" s="446"/>
      <c r="I486" s="446"/>
      <c r="J486" s="446"/>
      <c r="K486" s="446"/>
      <c r="L486" s="446"/>
      <c r="M486" s="446"/>
      <c r="N486" s="446"/>
      <c r="O486" s="446"/>
      <c r="P486" s="446"/>
      <c r="Q486" s="446"/>
      <c r="R486" s="446"/>
      <c r="S486" s="446"/>
      <c r="T486" s="446"/>
      <c r="U486" s="446"/>
      <c r="V486" s="446"/>
      <c r="W486" s="446"/>
      <c r="X486" s="446"/>
      <c r="Y486" s="446"/>
      <c r="Z486" s="446"/>
    </row>
    <row r="487" spans="1:26" ht="15.75" customHeight="1">
      <c r="A487" s="446"/>
      <c r="B487" s="446"/>
      <c r="C487" s="446"/>
      <c r="D487" s="854"/>
      <c r="E487" s="446"/>
      <c r="F487" s="446"/>
      <c r="G487" s="446"/>
      <c r="H487" s="446"/>
      <c r="I487" s="446"/>
      <c r="J487" s="446"/>
      <c r="K487" s="446"/>
      <c r="L487" s="446"/>
      <c r="M487" s="446"/>
      <c r="N487" s="446"/>
      <c r="O487" s="446"/>
      <c r="P487" s="446"/>
      <c r="Q487" s="446"/>
      <c r="R487" s="446"/>
      <c r="S487" s="446"/>
      <c r="T487" s="446"/>
      <c r="U487" s="446"/>
      <c r="V487" s="446"/>
      <c r="W487" s="446"/>
      <c r="X487" s="446"/>
      <c r="Y487" s="446"/>
      <c r="Z487" s="446"/>
    </row>
    <row r="488" spans="1:26" ht="15.75" customHeight="1">
      <c r="A488" s="446"/>
      <c r="B488" s="446"/>
      <c r="C488" s="446"/>
      <c r="D488" s="854"/>
      <c r="E488" s="446"/>
      <c r="F488" s="446"/>
      <c r="G488" s="446"/>
      <c r="H488" s="446"/>
      <c r="I488" s="446"/>
      <c r="J488" s="446"/>
      <c r="K488" s="446"/>
      <c r="L488" s="446"/>
      <c r="M488" s="446"/>
      <c r="N488" s="446"/>
      <c r="O488" s="446"/>
      <c r="P488" s="446"/>
      <c r="Q488" s="446"/>
      <c r="R488" s="446"/>
      <c r="S488" s="446"/>
      <c r="T488" s="446"/>
      <c r="U488" s="446"/>
      <c r="V488" s="446"/>
      <c r="W488" s="446"/>
      <c r="X488" s="446"/>
      <c r="Y488" s="446"/>
      <c r="Z488" s="446"/>
    </row>
    <row r="489" spans="1:26" ht="15.75" customHeight="1">
      <c r="A489" s="446"/>
      <c r="B489" s="446"/>
      <c r="C489" s="446"/>
      <c r="D489" s="854"/>
      <c r="E489" s="446"/>
      <c r="F489" s="446"/>
      <c r="G489" s="446"/>
      <c r="H489" s="446"/>
      <c r="I489" s="446"/>
      <c r="J489" s="446"/>
      <c r="K489" s="446"/>
      <c r="L489" s="446"/>
      <c r="M489" s="446"/>
      <c r="N489" s="446"/>
      <c r="O489" s="446"/>
      <c r="P489" s="446"/>
      <c r="Q489" s="446"/>
      <c r="R489" s="446"/>
      <c r="S489" s="446"/>
      <c r="T489" s="446"/>
      <c r="U489" s="446"/>
      <c r="V489" s="446"/>
      <c r="W489" s="446"/>
      <c r="X489" s="446"/>
      <c r="Y489" s="446"/>
      <c r="Z489" s="446"/>
    </row>
    <row r="490" spans="1:26" ht="15.75" customHeight="1">
      <c r="A490" s="446"/>
      <c r="B490" s="446"/>
      <c r="C490" s="446"/>
      <c r="D490" s="854"/>
      <c r="E490" s="446"/>
      <c r="F490" s="446"/>
      <c r="G490" s="446"/>
      <c r="H490" s="446"/>
      <c r="I490" s="446"/>
      <c r="J490" s="446"/>
      <c r="K490" s="446"/>
      <c r="L490" s="446"/>
      <c r="M490" s="446"/>
      <c r="N490" s="446"/>
      <c r="O490" s="446"/>
      <c r="P490" s="446"/>
      <c r="Q490" s="446"/>
      <c r="R490" s="446"/>
      <c r="S490" s="446"/>
      <c r="T490" s="446"/>
      <c r="U490" s="446"/>
      <c r="V490" s="446"/>
      <c r="W490" s="446"/>
      <c r="X490" s="446"/>
      <c r="Y490" s="446"/>
      <c r="Z490" s="446"/>
    </row>
    <row r="491" spans="1:26" ht="15.75" customHeight="1">
      <c r="A491" s="446"/>
      <c r="B491" s="446"/>
      <c r="C491" s="446"/>
      <c r="D491" s="854"/>
      <c r="E491" s="446"/>
      <c r="F491" s="446"/>
      <c r="G491" s="446"/>
      <c r="H491" s="446"/>
      <c r="I491" s="446"/>
      <c r="J491" s="446"/>
      <c r="K491" s="446"/>
      <c r="L491" s="446"/>
      <c r="M491" s="446"/>
      <c r="N491" s="446"/>
      <c r="O491" s="446"/>
      <c r="P491" s="446"/>
      <c r="Q491" s="446"/>
      <c r="R491" s="446"/>
      <c r="S491" s="446"/>
      <c r="T491" s="446"/>
      <c r="U491" s="446"/>
      <c r="V491" s="446"/>
      <c r="W491" s="446"/>
      <c r="X491" s="446"/>
      <c r="Y491" s="446"/>
      <c r="Z491" s="446"/>
    </row>
    <row r="492" spans="1:26" ht="15.75" customHeight="1">
      <c r="A492" s="446"/>
      <c r="B492" s="446"/>
      <c r="C492" s="446"/>
      <c r="D492" s="854"/>
      <c r="E492" s="446"/>
      <c r="F492" s="446"/>
      <c r="G492" s="446"/>
      <c r="H492" s="446"/>
      <c r="I492" s="446"/>
      <c r="J492" s="446"/>
      <c r="K492" s="446"/>
      <c r="L492" s="446"/>
      <c r="M492" s="446"/>
      <c r="N492" s="446"/>
      <c r="O492" s="446"/>
      <c r="P492" s="446"/>
      <c r="Q492" s="446"/>
      <c r="R492" s="446"/>
      <c r="S492" s="446"/>
      <c r="T492" s="446"/>
      <c r="U492" s="446"/>
      <c r="V492" s="446"/>
      <c r="W492" s="446"/>
      <c r="X492" s="446"/>
      <c r="Y492" s="446"/>
      <c r="Z492" s="446"/>
    </row>
    <row r="493" spans="1:26" ht="15.75" customHeight="1">
      <c r="A493" s="446"/>
      <c r="B493" s="446"/>
      <c r="C493" s="446"/>
      <c r="D493" s="854"/>
      <c r="E493" s="446"/>
      <c r="F493" s="446"/>
      <c r="G493" s="446"/>
      <c r="H493" s="446"/>
      <c r="I493" s="446"/>
      <c r="J493" s="446"/>
      <c r="K493" s="446"/>
      <c r="L493" s="446"/>
      <c r="M493" s="446"/>
      <c r="N493" s="446"/>
      <c r="O493" s="446"/>
      <c r="P493" s="446"/>
      <c r="Q493" s="446"/>
      <c r="R493" s="446"/>
      <c r="S493" s="446"/>
      <c r="T493" s="446"/>
      <c r="U493" s="446"/>
      <c r="V493" s="446"/>
      <c r="W493" s="446"/>
      <c r="X493" s="446"/>
      <c r="Y493" s="446"/>
      <c r="Z493" s="446"/>
    </row>
    <row r="494" spans="1:26" ht="15.75" customHeight="1">
      <c r="A494" s="446"/>
      <c r="B494" s="446"/>
      <c r="C494" s="446"/>
      <c r="D494" s="854"/>
      <c r="E494" s="446"/>
      <c r="F494" s="446"/>
      <c r="G494" s="446"/>
      <c r="H494" s="446"/>
      <c r="I494" s="446"/>
      <c r="J494" s="446"/>
      <c r="K494" s="446"/>
      <c r="L494" s="446"/>
      <c r="M494" s="446"/>
      <c r="N494" s="446"/>
      <c r="O494" s="446"/>
      <c r="P494" s="446"/>
      <c r="Q494" s="446"/>
      <c r="R494" s="446"/>
      <c r="S494" s="446"/>
      <c r="T494" s="446"/>
      <c r="U494" s="446"/>
      <c r="V494" s="446"/>
      <c r="W494" s="446"/>
      <c r="X494" s="446"/>
      <c r="Y494" s="446"/>
      <c r="Z494" s="446"/>
    </row>
    <row r="495" spans="1:26" ht="15.75" customHeight="1">
      <c r="A495" s="446"/>
      <c r="B495" s="446"/>
      <c r="C495" s="446"/>
      <c r="D495" s="854"/>
      <c r="E495" s="446"/>
      <c r="F495" s="446"/>
      <c r="G495" s="446"/>
      <c r="H495" s="446"/>
      <c r="I495" s="446"/>
      <c r="J495" s="446"/>
      <c r="K495" s="446"/>
      <c r="L495" s="446"/>
      <c r="M495" s="446"/>
      <c r="N495" s="446"/>
      <c r="O495" s="446"/>
      <c r="P495" s="446"/>
      <c r="Q495" s="446"/>
      <c r="R495" s="446"/>
      <c r="S495" s="446"/>
      <c r="T495" s="446"/>
      <c r="U495" s="446"/>
      <c r="V495" s="446"/>
      <c r="W495" s="446"/>
      <c r="X495" s="446"/>
      <c r="Y495" s="446"/>
      <c r="Z495" s="446"/>
    </row>
    <row r="496" spans="1:26" ht="15.75" customHeight="1">
      <c r="A496" s="446"/>
      <c r="B496" s="446"/>
      <c r="C496" s="446"/>
      <c r="D496" s="854"/>
      <c r="E496" s="446"/>
      <c r="F496" s="446"/>
      <c r="G496" s="446"/>
      <c r="H496" s="446"/>
      <c r="I496" s="446"/>
      <c r="J496" s="446"/>
      <c r="K496" s="446"/>
      <c r="L496" s="446"/>
      <c r="M496" s="446"/>
      <c r="N496" s="446"/>
      <c r="O496" s="446"/>
      <c r="P496" s="446"/>
      <c r="Q496" s="446"/>
      <c r="R496" s="446"/>
      <c r="S496" s="446"/>
      <c r="T496" s="446"/>
      <c r="U496" s="446"/>
      <c r="V496" s="446"/>
      <c r="W496" s="446"/>
      <c r="X496" s="446"/>
      <c r="Y496" s="446"/>
      <c r="Z496" s="446"/>
    </row>
    <row r="497" spans="1:26" ht="15.75" customHeight="1">
      <c r="A497" s="446"/>
      <c r="B497" s="446"/>
      <c r="C497" s="446"/>
      <c r="D497" s="854"/>
      <c r="E497" s="446"/>
      <c r="F497" s="446"/>
      <c r="G497" s="446"/>
      <c r="H497" s="446"/>
      <c r="I497" s="446"/>
      <c r="J497" s="446"/>
      <c r="K497" s="446"/>
      <c r="L497" s="446"/>
      <c r="M497" s="446"/>
      <c r="N497" s="446"/>
      <c r="O497" s="446"/>
      <c r="P497" s="446"/>
      <c r="Q497" s="446"/>
      <c r="R497" s="446"/>
      <c r="S497" s="446"/>
      <c r="T497" s="446"/>
      <c r="U497" s="446"/>
      <c r="V497" s="446"/>
      <c r="W497" s="446"/>
      <c r="X497" s="446"/>
      <c r="Y497" s="446"/>
      <c r="Z497" s="446"/>
    </row>
    <row r="498" spans="1:26" ht="15.75" customHeight="1">
      <c r="A498" s="446"/>
      <c r="B498" s="446"/>
      <c r="C498" s="446"/>
      <c r="D498" s="854"/>
      <c r="E498" s="446"/>
      <c r="F498" s="446"/>
      <c r="G498" s="446"/>
      <c r="H498" s="446"/>
      <c r="I498" s="446"/>
      <c r="J498" s="446"/>
      <c r="K498" s="446"/>
      <c r="L498" s="446"/>
      <c r="M498" s="446"/>
      <c r="N498" s="446"/>
      <c r="O498" s="446"/>
      <c r="P498" s="446"/>
      <c r="Q498" s="446"/>
      <c r="R498" s="446"/>
      <c r="S498" s="446"/>
      <c r="T498" s="446"/>
      <c r="U498" s="446"/>
      <c r="V498" s="446"/>
      <c r="W498" s="446"/>
      <c r="X498" s="446"/>
      <c r="Y498" s="446"/>
      <c r="Z498" s="446"/>
    </row>
    <row r="499" spans="1:26" ht="15.75" customHeight="1">
      <c r="A499" s="446"/>
      <c r="B499" s="446"/>
      <c r="C499" s="446"/>
      <c r="D499" s="854"/>
      <c r="E499" s="446"/>
      <c r="F499" s="446"/>
      <c r="G499" s="446"/>
      <c r="H499" s="446"/>
      <c r="I499" s="446"/>
      <c r="J499" s="446"/>
      <c r="K499" s="446"/>
      <c r="L499" s="446"/>
      <c r="M499" s="446"/>
      <c r="N499" s="446"/>
      <c r="O499" s="446"/>
      <c r="P499" s="446"/>
      <c r="Q499" s="446"/>
      <c r="R499" s="446"/>
      <c r="S499" s="446"/>
      <c r="T499" s="446"/>
      <c r="U499" s="446"/>
      <c r="V499" s="446"/>
      <c r="W499" s="446"/>
      <c r="X499" s="446"/>
      <c r="Y499" s="446"/>
      <c r="Z499" s="446"/>
    </row>
    <row r="500" spans="1:26" ht="15.75" customHeight="1">
      <c r="A500" s="446"/>
      <c r="B500" s="446"/>
      <c r="C500" s="446"/>
      <c r="D500" s="854"/>
      <c r="E500" s="446"/>
      <c r="F500" s="446"/>
      <c r="G500" s="446"/>
      <c r="H500" s="446"/>
      <c r="I500" s="446"/>
      <c r="J500" s="446"/>
      <c r="K500" s="446"/>
      <c r="L500" s="446"/>
      <c r="M500" s="446"/>
      <c r="N500" s="446"/>
      <c r="O500" s="446"/>
      <c r="P500" s="446"/>
      <c r="Q500" s="446"/>
      <c r="R500" s="446"/>
      <c r="S500" s="446"/>
      <c r="T500" s="446"/>
      <c r="U500" s="446"/>
      <c r="V500" s="446"/>
      <c r="W500" s="446"/>
      <c r="X500" s="446"/>
      <c r="Y500" s="446"/>
      <c r="Z500" s="446"/>
    </row>
    <row r="501" spans="1:26" ht="15.75" customHeight="1">
      <c r="A501" s="446"/>
      <c r="B501" s="446"/>
      <c r="C501" s="446"/>
      <c r="D501" s="854"/>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row>
    <row r="502" spans="1:26" ht="15.75" customHeight="1">
      <c r="A502" s="446"/>
      <c r="B502" s="446"/>
      <c r="C502" s="446"/>
      <c r="D502" s="854"/>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row>
    <row r="503" spans="1:26" ht="15.75" customHeight="1">
      <c r="A503" s="446"/>
      <c r="B503" s="446"/>
      <c r="C503" s="446"/>
      <c r="D503" s="854"/>
      <c r="E503" s="446"/>
      <c r="F503" s="446"/>
      <c r="G503" s="446"/>
      <c r="H503" s="446"/>
      <c r="I503" s="446"/>
      <c r="J503" s="446"/>
      <c r="K503" s="446"/>
      <c r="L503" s="446"/>
      <c r="M503" s="446"/>
      <c r="N503" s="446"/>
      <c r="O503" s="446"/>
      <c r="P503" s="446"/>
      <c r="Q503" s="446"/>
      <c r="R503" s="446"/>
      <c r="S503" s="446"/>
      <c r="T503" s="446"/>
      <c r="U503" s="446"/>
      <c r="V503" s="446"/>
      <c r="W503" s="446"/>
      <c r="X503" s="446"/>
      <c r="Y503" s="446"/>
      <c r="Z503" s="446"/>
    </row>
    <row r="504" spans="1:26" ht="15.75" customHeight="1">
      <c r="A504" s="446"/>
      <c r="B504" s="446"/>
      <c r="C504" s="446"/>
      <c r="D504" s="854"/>
      <c r="E504" s="446"/>
      <c r="F504" s="446"/>
      <c r="G504" s="446"/>
      <c r="H504" s="446"/>
      <c r="I504" s="446"/>
      <c r="J504" s="446"/>
      <c r="K504" s="446"/>
      <c r="L504" s="446"/>
      <c r="M504" s="446"/>
      <c r="N504" s="446"/>
      <c r="O504" s="446"/>
      <c r="P504" s="446"/>
      <c r="Q504" s="446"/>
      <c r="R504" s="446"/>
      <c r="S504" s="446"/>
      <c r="T504" s="446"/>
      <c r="U504" s="446"/>
      <c r="V504" s="446"/>
      <c r="W504" s="446"/>
      <c r="X504" s="446"/>
      <c r="Y504" s="446"/>
      <c r="Z504" s="446"/>
    </row>
    <row r="505" spans="1:26" ht="15.75" customHeight="1">
      <c r="A505" s="446"/>
      <c r="B505" s="446"/>
      <c r="C505" s="446"/>
      <c r="D505" s="854"/>
      <c r="E505" s="446"/>
      <c r="F505" s="446"/>
      <c r="G505" s="446"/>
      <c r="H505" s="446"/>
      <c r="I505" s="446"/>
      <c r="J505" s="446"/>
      <c r="K505" s="446"/>
      <c r="L505" s="446"/>
      <c r="M505" s="446"/>
      <c r="N505" s="446"/>
      <c r="O505" s="446"/>
      <c r="P505" s="446"/>
      <c r="Q505" s="446"/>
      <c r="R505" s="446"/>
      <c r="S505" s="446"/>
      <c r="T505" s="446"/>
      <c r="U505" s="446"/>
      <c r="V505" s="446"/>
      <c r="W505" s="446"/>
      <c r="X505" s="446"/>
      <c r="Y505" s="446"/>
      <c r="Z505" s="446"/>
    </row>
    <row r="506" spans="1:26" ht="15.75" customHeight="1">
      <c r="A506" s="446"/>
      <c r="B506" s="446"/>
      <c r="C506" s="446"/>
      <c r="D506" s="854"/>
      <c r="E506" s="446"/>
      <c r="F506" s="446"/>
      <c r="G506" s="446"/>
      <c r="H506" s="446"/>
      <c r="I506" s="446"/>
      <c r="J506" s="446"/>
      <c r="K506" s="446"/>
      <c r="L506" s="446"/>
      <c r="M506" s="446"/>
      <c r="N506" s="446"/>
      <c r="O506" s="446"/>
      <c r="P506" s="446"/>
      <c r="Q506" s="446"/>
      <c r="R506" s="446"/>
      <c r="S506" s="446"/>
      <c r="T506" s="446"/>
      <c r="U506" s="446"/>
      <c r="V506" s="446"/>
      <c r="W506" s="446"/>
      <c r="X506" s="446"/>
      <c r="Y506" s="446"/>
      <c r="Z506" s="446"/>
    </row>
    <row r="507" spans="1:26" ht="15.75" customHeight="1">
      <c r="A507" s="446"/>
      <c r="B507" s="446"/>
      <c r="C507" s="446"/>
      <c r="D507" s="854"/>
      <c r="E507" s="446"/>
      <c r="F507" s="446"/>
      <c r="G507" s="446"/>
      <c r="H507" s="446"/>
      <c r="I507" s="446"/>
      <c r="J507" s="446"/>
      <c r="K507" s="446"/>
      <c r="L507" s="446"/>
      <c r="M507" s="446"/>
      <c r="N507" s="446"/>
      <c r="O507" s="446"/>
      <c r="P507" s="446"/>
      <c r="Q507" s="446"/>
      <c r="R507" s="446"/>
      <c r="S507" s="446"/>
      <c r="T507" s="446"/>
      <c r="U507" s="446"/>
      <c r="V507" s="446"/>
      <c r="W507" s="446"/>
      <c r="X507" s="446"/>
      <c r="Y507" s="446"/>
      <c r="Z507" s="446"/>
    </row>
    <row r="508" spans="1:26" ht="15.75" customHeight="1">
      <c r="A508" s="446"/>
      <c r="B508" s="446"/>
      <c r="C508" s="446"/>
      <c r="D508" s="854"/>
      <c r="E508" s="446"/>
      <c r="F508" s="446"/>
      <c r="G508" s="446"/>
      <c r="H508" s="446"/>
      <c r="I508" s="446"/>
      <c r="J508" s="446"/>
      <c r="K508" s="446"/>
      <c r="L508" s="446"/>
      <c r="M508" s="446"/>
      <c r="N508" s="446"/>
      <c r="O508" s="446"/>
      <c r="P508" s="446"/>
      <c r="Q508" s="446"/>
      <c r="R508" s="446"/>
      <c r="S508" s="446"/>
      <c r="T508" s="446"/>
      <c r="U508" s="446"/>
      <c r="V508" s="446"/>
      <c r="W508" s="446"/>
      <c r="X508" s="446"/>
      <c r="Y508" s="446"/>
      <c r="Z508" s="446"/>
    </row>
    <row r="509" spans="1:26" ht="15.75" customHeight="1">
      <c r="A509" s="446"/>
      <c r="B509" s="446"/>
      <c r="C509" s="446"/>
      <c r="D509" s="854"/>
      <c r="E509" s="446"/>
      <c r="F509" s="446"/>
      <c r="G509" s="446"/>
      <c r="H509" s="446"/>
      <c r="I509" s="446"/>
      <c r="J509" s="446"/>
      <c r="K509" s="446"/>
      <c r="L509" s="446"/>
      <c r="M509" s="446"/>
      <c r="N509" s="446"/>
      <c r="O509" s="446"/>
      <c r="P509" s="446"/>
      <c r="Q509" s="446"/>
      <c r="R509" s="446"/>
      <c r="S509" s="446"/>
      <c r="T509" s="446"/>
      <c r="U509" s="446"/>
      <c r="V509" s="446"/>
      <c r="W509" s="446"/>
      <c r="X509" s="446"/>
      <c r="Y509" s="446"/>
      <c r="Z509" s="446"/>
    </row>
    <row r="510" spans="1:26" ht="15.75" customHeight="1">
      <c r="A510" s="446"/>
      <c r="B510" s="446"/>
      <c r="C510" s="446"/>
      <c r="D510" s="854"/>
      <c r="E510" s="446"/>
      <c r="F510" s="446"/>
      <c r="G510" s="446"/>
      <c r="H510" s="446"/>
      <c r="I510" s="446"/>
      <c r="J510" s="446"/>
      <c r="K510" s="446"/>
      <c r="L510" s="446"/>
      <c r="M510" s="446"/>
      <c r="N510" s="446"/>
      <c r="O510" s="446"/>
      <c r="P510" s="446"/>
      <c r="Q510" s="446"/>
      <c r="R510" s="446"/>
      <c r="S510" s="446"/>
      <c r="T510" s="446"/>
      <c r="U510" s="446"/>
      <c r="V510" s="446"/>
      <c r="W510" s="446"/>
      <c r="X510" s="446"/>
      <c r="Y510" s="446"/>
      <c r="Z510" s="446"/>
    </row>
    <row r="511" spans="1:26" ht="15.75" customHeight="1">
      <c r="A511" s="446"/>
      <c r="B511" s="446"/>
      <c r="C511" s="446"/>
      <c r="D511" s="854"/>
      <c r="E511" s="446"/>
      <c r="F511" s="446"/>
      <c r="G511" s="446"/>
      <c r="H511" s="446"/>
      <c r="I511" s="446"/>
      <c r="J511" s="446"/>
      <c r="K511" s="446"/>
      <c r="L511" s="446"/>
      <c r="M511" s="446"/>
      <c r="N511" s="446"/>
      <c r="O511" s="446"/>
      <c r="P511" s="446"/>
      <c r="Q511" s="446"/>
      <c r="R511" s="446"/>
      <c r="S511" s="446"/>
      <c r="T511" s="446"/>
      <c r="U511" s="446"/>
      <c r="V511" s="446"/>
      <c r="W511" s="446"/>
      <c r="X511" s="446"/>
      <c r="Y511" s="446"/>
      <c r="Z511" s="446"/>
    </row>
    <row r="512" spans="1:26" ht="15.75" customHeight="1">
      <c r="A512" s="446"/>
      <c r="B512" s="446"/>
      <c r="C512" s="446"/>
      <c r="D512" s="854"/>
      <c r="E512" s="446"/>
      <c r="F512" s="446"/>
      <c r="G512" s="446"/>
      <c r="H512" s="446"/>
      <c r="I512" s="446"/>
      <c r="J512" s="446"/>
      <c r="K512" s="446"/>
      <c r="L512" s="446"/>
      <c r="M512" s="446"/>
      <c r="N512" s="446"/>
      <c r="O512" s="446"/>
      <c r="P512" s="446"/>
      <c r="Q512" s="446"/>
      <c r="R512" s="446"/>
      <c r="S512" s="446"/>
      <c r="T512" s="446"/>
      <c r="U512" s="446"/>
      <c r="V512" s="446"/>
      <c r="W512" s="446"/>
      <c r="X512" s="446"/>
      <c r="Y512" s="446"/>
      <c r="Z512" s="446"/>
    </row>
    <row r="513" spans="1:26" ht="15.75" customHeight="1">
      <c r="A513" s="446"/>
      <c r="B513" s="446"/>
      <c r="C513" s="446"/>
      <c r="D513" s="854"/>
      <c r="E513" s="446"/>
      <c r="F513" s="446"/>
      <c r="G513" s="446"/>
      <c r="H513" s="446"/>
      <c r="I513" s="446"/>
      <c r="J513" s="446"/>
      <c r="K513" s="446"/>
      <c r="L513" s="446"/>
      <c r="M513" s="446"/>
      <c r="N513" s="446"/>
      <c r="O513" s="446"/>
      <c r="P513" s="446"/>
      <c r="Q513" s="446"/>
      <c r="R513" s="446"/>
      <c r="S513" s="446"/>
      <c r="T513" s="446"/>
      <c r="U513" s="446"/>
      <c r="V513" s="446"/>
      <c r="W513" s="446"/>
      <c r="X513" s="446"/>
      <c r="Y513" s="446"/>
      <c r="Z513" s="446"/>
    </row>
    <row r="514" spans="1:26" ht="15.75" customHeight="1">
      <c r="A514" s="446"/>
      <c r="B514" s="446"/>
      <c r="C514" s="446"/>
      <c r="D514" s="854"/>
      <c r="E514" s="446"/>
      <c r="F514" s="446"/>
      <c r="G514" s="446"/>
      <c r="H514" s="446"/>
      <c r="I514" s="446"/>
      <c r="J514" s="446"/>
      <c r="K514" s="446"/>
      <c r="L514" s="446"/>
      <c r="M514" s="446"/>
      <c r="N514" s="446"/>
      <c r="O514" s="446"/>
      <c r="P514" s="446"/>
      <c r="Q514" s="446"/>
      <c r="R514" s="446"/>
      <c r="S514" s="446"/>
      <c r="T514" s="446"/>
      <c r="U514" s="446"/>
      <c r="V514" s="446"/>
      <c r="W514" s="446"/>
      <c r="X514" s="446"/>
      <c r="Y514" s="446"/>
      <c r="Z514" s="446"/>
    </row>
    <row r="515" spans="1:26" ht="15.75" customHeight="1">
      <c r="A515" s="446"/>
      <c r="B515" s="446"/>
      <c r="C515" s="446"/>
      <c r="D515" s="854"/>
      <c r="E515" s="446"/>
      <c r="F515" s="446"/>
      <c r="G515" s="446"/>
      <c r="H515" s="446"/>
      <c r="I515" s="446"/>
      <c r="J515" s="446"/>
      <c r="K515" s="446"/>
      <c r="L515" s="446"/>
      <c r="M515" s="446"/>
      <c r="N515" s="446"/>
      <c r="O515" s="446"/>
      <c r="P515" s="446"/>
      <c r="Q515" s="446"/>
      <c r="R515" s="446"/>
      <c r="S515" s="446"/>
      <c r="T515" s="446"/>
      <c r="U515" s="446"/>
      <c r="V515" s="446"/>
      <c r="W515" s="446"/>
      <c r="X515" s="446"/>
      <c r="Y515" s="446"/>
      <c r="Z515" s="446"/>
    </row>
    <row r="516" spans="1:26" ht="15.75" customHeight="1">
      <c r="A516" s="446"/>
      <c r="B516" s="446"/>
      <c r="C516" s="446"/>
      <c r="D516" s="854"/>
      <c r="E516" s="446"/>
      <c r="F516" s="446"/>
      <c r="G516" s="446"/>
      <c r="H516" s="446"/>
      <c r="I516" s="446"/>
      <c r="J516" s="446"/>
      <c r="K516" s="446"/>
      <c r="L516" s="446"/>
      <c r="M516" s="446"/>
      <c r="N516" s="446"/>
      <c r="O516" s="446"/>
      <c r="P516" s="446"/>
      <c r="Q516" s="446"/>
      <c r="R516" s="446"/>
      <c r="S516" s="446"/>
      <c r="T516" s="446"/>
      <c r="U516" s="446"/>
      <c r="V516" s="446"/>
      <c r="W516" s="446"/>
      <c r="X516" s="446"/>
      <c r="Y516" s="446"/>
      <c r="Z516" s="446"/>
    </row>
    <row r="517" spans="1:26" ht="15.75" customHeight="1">
      <c r="A517" s="446"/>
      <c r="B517" s="446"/>
      <c r="C517" s="446"/>
      <c r="D517" s="854"/>
      <c r="E517" s="446"/>
      <c r="F517" s="446"/>
      <c r="G517" s="446"/>
      <c r="H517" s="446"/>
      <c r="I517" s="446"/>
      <c r="J517" s="446"/>
      <c r="K517" s="446"/>
      <c r="L517" s="446"/>
      <c r="M517" s="446"/>
      <c r="N517" s="446"/>
      <c r="O517" s="446"/>
      <c r="P517" s="446"/>
      <c r="Q517" s="446"/>
      <c r="R517" s="446"/>
      <c r="S517" s="446"/>
      <c r="T517" s="446"/>
      <c r="U517" s="446"/>
      <c r="V517" s="446"/>
      <c r="W517" s="446"/>
      <c r="X517" s="446"/>
      <c r="Y517" s="446"/>
      <c r="Z517" s="446"/>
    </row>
    <row r="518" spans="1:26" ht="15.75" customHeight="1">
      <c r="A518" s="446"/>
      <c r="B518" s="446"/>
      <c r="C518" s="446"/>
      <c r="D518" s="854"/>
      <c r="E518" s="446"/>
      <c r="F518" s="446"/>
      <c r="G518" s="446"/>
      <c r="H518" s="446"/>
      <c r="I518" s="446"/>
      <c r="J518" s="446"/>
      <c r="K518" s="446"/>
      <c r="L518" s="446"/>
      <c r="M518" s="446"/>
      <c r="N518" s="446"/>
      <c r="O518" s="446"/>
      <c r="P518" s="446"/>
      <c r="Q518" s="446"/>
      <c r="R518" s="446"/>
      <c r="S518" s="446"/>
      <c r="T518" s="446"/>
      <c r="U518" s="446"/>
      <c r="V518" s="446"/>
      <c r="W518" s="446"/>
      <c r="X518" s="446"/>
      <c r="Y518" s="446"/>
      <c r="Z518" s="446"/>
    </row>
    <row r="519" spans="1:26" ht="15.75" customHeight="1">
      <c r="A519" s="446"/>
      <c r="B519" s="446"/>
      <c r="C519" s="446"/>
      <c r="D519" s="854"/>
      <c r="E519" s="446"/>
      <c r="F519" s="446"/>
      <c r="G519" s="446"/>
      <c r="H519" s="446"/>
      <c r="I519" s="446"/>
      <c r="J519" s="446"/>
      <c r="K519" s="446"/>
      <c r="L519" s="446"/>
      <c r="M519" s="446"/>
      <c r="N519" s="446"/>
      <c r="O519" s="446"/>
      <c r="P519" s="446"/>
      <c r="Q519" s="446"/>
      <c r="R519" s="446"/>
      <c r="S519" s="446"/>
      <c r="T519" s="446"/>
      <c r="U519" s="446"/>
      <c r="V519" s="446"/>
      <c r="W519" s="446"/>
      <c r="X519" s="446"/>
      <c r="Y519" s="446"/>
      <c r="Z519" s="446"/>
    </row>
    <row r="520" spans="1:26" ht="15.75" customHeight="1">
      <c r="A520" s="446"/>
      <c r="B520" s="446"/>
      <c r="C520" s="446"/>
      <c r="D520" s="854"/>
      <c r="E520" s="446"/>
      <c r="F520" s="446"/>
      <c r="G520" s="446"/>
      <c r="H520" s="446"/>
      <c r="I520" s="446"/>
      <c r="J520" s="446"/>
      <c r="K520" s="446"/>
      <c r="L520" s="446"/>
      <c r="M520" s="446"/>
      <c r="N520" s="446"/>
      <c r="O520" s="446"/>
      <c r="P520" s="446"/>
      <c r="Q520" s="446"/>
      <c r="R520" s="446"/>
      <c r="S520" s="446"/>
      <c r="T520" s="446"/>
      <c r="U520" s="446"/>
      <c r="V520" s="446"/>
      <c r="W520" s="446"/>
      <c r="X520" s="446"/>
      <c r="Y520" s="446"/>
      <c r="Z520" s="446"/>
    </row>
    <row r="521" spans="1:26" ht="15.75" customHeight="1">
      <c r="D521" s="855"/>
    </row>
    <row r="522" spans="1:26" ht="15.75" customHeight="1">
      <c r="D522" s="855"/>
    </row>
    <row r="523" spans="1:26" ht="15.75" customHeight="1">
      <c r="D523" s="855"/>
    </row>
    <row r="524" spans="1:26" ht="15.75" customHeight="1">
      <c r="D524" s="855"/>
    </row>
    <row r="525" spans="1:26" ht="15.75" customHeight="1">
      <c r="D525" s="855"/>
    </row>
    <row r="526" spans="1:26" ht="15.75" customHeight="1">
      <c r="D526" s="855"/>
    </row>
    <row r="527" spans="1:26" ht="15.75" customHeight="1">
      <c r="D527" s="855"/>
    </row>
    <row r="528" spans="1:26" ht="15.75" customHeight="1">
      <c r="D528" s="855"/>
    </row>
    <row r="529" spans="4:4" ht="15.75" customHeight="1">
      <c r="D529" s="855"/>
    </row>
    <row r="530" spans="4:4" ht="15.75" customHeight="1">
      <c r="D530" s="855"/>
    </row>
    <row r="531" spans="4:4" ht="15.75" customHeight="1">
      <c r="D531" s="855"/>
    </row>
    <row r="532" spans="4:4" ht="15.75" customHeight="1">
      <c r="D532" s="855"/>
    </row>
    <row r="533" spans="4:4" ht="15.75" customHeight="1">
      <c r="D533" s="855"/>
    </row>
    <row r="534" spans="4:4" ht="15.75" customHeight="1">
      <c r="D534" s="855"/>
    </row>
    <row r="535" spans="4:4" ht="15.75" customHeight="1">
      <c r="D535" s="855"/>
    </row>
    <row r="536" spans="4:4" ht="15.75" customHeight="1">
      <c r="D536" s="855"/>
    </row>
    <row r="537" spans="4:4" ht="15.75" customHeight="1">
      <c r="D537" s="855"/>
    </row>
    <row r="538" spans="4:4" ht="15.75" customHeight="1">
      <c r="D538" s="855"/>
    </row>
    <row r="539" spans="4:4" ht="15.75" customHeight="1">
      <c r="D539" s="855"/>
    </row>
    <row r="540" spans="4:4" ht="15.75" customHeight="1">
      <c r="D540" s="855"/>
    </row>
    <row r="541" spans="4:4" ht="15.75" customHeight="1">
      <c r="D541" s="855"/>
    </row>
    <row r="542" spans="4:4" ht="15.75" customHeight="1">
      <c r="D542" s="855"/>
    </row>
    <row r="543" spans="4:4" ht="15.75" customHeight="1">
      <c r="D543" s="855"/>
    </row>
    <row r="544" spans="4:4" ht="15.75" customHeight="1">
      <c r="D544" s="855"/>
    </row>
    <row r="545" spans="4:4" ht="15.75" customHeight="1">
      <c r="D545" s="855"/>
    </row>
    <row r="546" spans="4:4" ht="15.75" customHeight="1">
      <c r="D546" s="855"/>
    </row>
    <row r="547" spans="4:4" ht="15.75" customHeight="1">
      <c r="D547" s="855"/>
    </row>
    <row r="548" spans="4:4" ht="15.75" customHeight="1">
      <c r="D548" s="855"/>
    </row>
    <row r="549" spans="4:4" ht="15.75" customHeight="1">
      <c r="D549" s="855"/>
    </row>
    <row r="550" spans="4:4" ht="15.75" customHeight="1">
      <c r="D550" s="855"/>
    </row>
    <row r="551" spans="4:4" ht="15.75" customHeight="1">
      <c r="D551" s="855"/>
    </row>
    <row r="552" spans="4:4" ht="15.75" customHeight="1">
      <c r="D552" s="855"/>
    </row>
    <row r="553" spans="4:4" ht="15.75" customHeight="1">
      <c r="D553" s="855"/>
    </row>
    <row r="554" spans="4:4" ht="15.75" customHeight="1">
      <c r="D554" s="855"/>
    </row>
    <row r="555" spans="4:4" ht="15.75" customHeight="1">
      <c r="D555" s="855"/>
    </row>
    <row r="556" spans="4:4" ht="15.75" customHeight="1">
      <c r="D556" s="855"/>
    </row>
    <row r="557" spans="4:4" ht="15.75" customHeight="1">
      <c r="D557" s="855"/>
    </row>
    <row r="558" spans="4:4" ht="15.75" customHeight="1">
      <c r="D558" s="855"/>
    </row>
    <row r="559" spans="4:4" ht="15.75" customHeight="1">
      <c r="D559" s="855"/>
    </row>
    <row r="560" spans="4:4" ht="15.75" customHeight="1">
      <c r="D560" s="855"/>
    </row>
    <row r="561" spans="4:4" ht="15.75" customHeight="1">
      <c r="D561" s="855"/>
    </row>
    <row r="562" spans="4:4" ht="15.75" customHeight="1">
      <c r="D562" s="855"/>
    </row>
    <row r="563" spans="4:4" ht="15.75" customHeight="1">
      <c r="D563" s="855"/>
    </row>
    <row r="564" spans="4:4" ht="15.75" customHeight="1">
      <c r="D564" s="855"/>
    </row>
    <row r="565" spans="4:4" ht="15.75" customHeight="1">
      <c r="D565" s="855"/>
    </row>
    <row r="566" spans="4:4" ht="15.75" customHeight="1">
      <c r="D566" s="855"/>
    </row>
    <row r="567" spans="4:4" ht="15.75" customHeight="1">
      <c r="D567" s="855"/>
    </row>
    <row r="568" spans="4:4" ht="15.75" customHeight="1">
      <c r="D568" s="855"/>
    </row>
    <row r="569" spans="4:4" ht="15.75" customHeight="1">
      <c r="D569" s="855"/>
    </row>
    <row r="570" spans="4:4" ht="15.75" customHeight="1">
      <c r="D570" s="855"/>
    </row>
    <row r="571" spans="4:4" ht="15.75" customHeight="1">
      <c r="D571" s="855"/>
    </row>
    <row r="572" spans="4:4" ht="15.75" customHeight="1">
      <c r="D572" s="855"/>
    </row>
    <row r="573" spans="4:4" ht="15.75" customHeight="1">
      <c r="D573" s="855"/>
    </row>
    <row r="574" spans="4:4" ht="15.75" customHeight="1">
      <c r="D574" s="855"/>
    </row>
    <row r="575" spans="4:4" ht="15.75" customHeight="1">
      <c r="D575" s="855"/>
    </row>
    <row r="576" spans="4:4" ht="15.75" customHeight="1">
      <c r="D576" s="855"/>
    </row>
    <row r="577" spans="4:4" ht="15.75" customHeight="1">
      <c r="D577" s="855"/>
    </row>
    <row r="578" spans="4:4" ht="15.75" customHeight="1">
      <c r="D578" s="855"/>
    </row>
    <row r="579" spans="4:4" ht="15.75" customHeight="1">
      <c r="D579" s="855"/>
    </row>
    <row r="580" spans="4:4" ht="15.75" customHeight="1">
      <c r="D580" s="855"/>
    </row>
    <row r="581" spans="4:4" ht="15.75" customHeight="1">
      <c r="D581" s="855"/>
    </row>
    <row r="582" spans="4:4" ht="15.75" customHeight="1">
      <c r="D582" s="855"/>
    </row>
    <row r="583" spans="4:4" ht="15.75" customHeight="1">
      <c r="D583" s="855"/>
    </row>
    <row r="584" spans="4:4" ht="15.75" customHeight="1">
      <c r="D584" s="855"/>
    </row>
    <row r="585" spans="4:4" ht="15.75" customHeight="1">
      <c r="D585" s="855"/>
    </row>
    <row r="586" spans="4:4" ht="15.75" customHeight="1">
      <c r="D586" s="855"/>
    </row>
    <row r="587" spans="4:4" ht="15.75" customHeight="1">
      <c r="D587" s="855"/>
    </row>
    <row r="588" spans="4:4" ht="15.75" customHeight="1">
      <c r="D588" s="855"/>
    </row>
    <row r="589" spans="4:4" ht="15.75" customHeight="1">
      <c r="D589" s="855"/>
    </row>
    <row r="590" spans="4:4" ht="15.75" customHeight="1">
      <c r="D590" s="855"/>
    </row>
    <row r="591" spans="4:4" ht="15.75" customHeight="1">
      <c r="D591" s="855"/>
    </row>
    <row r="592" spans="4:4" ht="15.75" customHeight="1">
      <c r="D592" s="855"/>
    </row>
    <row r="593" spans="4:4" ht="15.75" customHeight="1">
      <c r="D593" s="855"/>
    </row>
    <row r="594" spans="4:4" ht="15.75" customHeight="1">
      <c r="D594" s="855"/>
    </row>
    <row r="595" spans="4:4" ht="15.75" customHeight="1">
      <c r="D595" s="855"/>
    </row>
    <row r="596" spans="4:4" ht="15.75" customHeight="1">
      <c r="D596" s="855"/>
    </row>
    <row r="597" spans="4:4" ht="15.75" customHeight="1">
      <c r="D597" s="855"/>
    </row>
    <row r="598" spans="4:4" ht="15.75" customHeight="1">
      <c r="D598" s="855"/>
    </row>
    <row r="599" spans="4:4" ht="15.75" customHeight="1">
      <c r="D599" s="855"/>
    </row>
    <row r="600" spans="4:4" ht="15.75" customHeight="1">
      <c r="D600" s="855"/>
    </row>
    <row r="601" spans="4:4" ht="15.75" customHeight="1">
      <c r="D601" s="855"/>
    </row>
    <row r="602" spans="4:4" ht="15.75" customHeight="1">
      <c r="D602" s="855"/>
    </row>
    <row r="603" spans="4:4" ht="15.75" customHeight="1">
      <c r="D603" s="855"/>
    </row>
    <row r="604" spans="4:4" ht="15.75" customHeight="1">
      <c r="D604" s="855"/>
    </row>
    <row r="605" spans="4:4" ht="15.75" customHeight="1">
      <c r="D605" s="855"/>
    </row>
    <row r="606" spans="4:4" ht="15.75" customHeight="1">
      <c r="D606" s="855"/>
    </row>
    <row r="607" spans="4:4" ht="15.75" customHeight="1">
      <c r="D607" s="855"/>
    </row>
    <row r="608" spans="4:4" ht="15.75" customHeight="1">
      <c r="D608" s="855"/>
    </row>
    <row r="609" spans="4:4" ht="15.75" customHeight="1">
      <c r="D609" s="855"/>
    </row>
    <row r="610" spans="4:4" ht="15.75" customHeight="1">
      <c r="D610" s="855"/>
    </row>
    <row r="611" spans="4:4" ht="15.75" customHeight="1">
      <c r="D611" s="855"/>
    </row>
    <row r="612" spans="4:4" ht="15.75" customHeight="1">
      <c r="D612" s="855"/>
    </row>
    <row r="613" spans="4:4" ht="15.75" customHeight="1">
      <c r="D613" s="855"/>
    </row>
    <row r="614" spans="4:4" ht="15.75" customHeight="1">
      <c r="D614" s="855"/>
    </row>
    <row r="615" spans="4:4" ht="15.75" customHeight="1">
      <c r="D615" s="855"/>
    </row>
    <row r="616" spans="4:4" ht="15.75" customHeight="1">
      <c r="D616" s="855"/>
    </row>
    <row r="617" spans="4:4" ht="15.75" customHeight="1">
      <c r="D617" s="855"/>
    </row>
    <row r="618" spans="4:4" ht="15.75" customHeight="1">
      <c r="D618" s="855"/>
    </row>
    <row r="619" spans="4:4" ht="15.75" customHeight="1">
      <c r="D619" s="855"/>
    </row>
    <row r="620" spans="4:4" ht="15.75" customHeight="1">
      <c r="D620" s="855"/>
    </row>
    <row r="621" spans="4:4" ht="15.75" customHeight="1">
      <c r="D621" s="855"/>
    </row>
    <row r="622" spans="4:4" ht="15.75" customHeight="1">
      <c r="D622" s="855"/>
    </row>
    <row r="623" spans="4:4" ht="15.75" customHeight="1">
      <c r="D623" s="855"/>
    </row>
    <row r="624" spans="4:4" ht="15.75" customHeight="1">
      <c r="D624" s="855"/>
    </row>
    <row r="625" spans="4:4" ht="15.75" customHeight="1">
      <c r="D625" s="855"/>
    </row>
    <row r="626" spans="4:4" ht="15.75" customHeight="1">
      <c r="D626" s="855"/>
    </row>
    <row r="627" spans="4:4" ht="15.75" customHeight="1">
      <c r="D627" s="855"/>
    </row>
    <row r="628" spans="4:4" ht="15.75" customHeight="1">
      <c r="D628" s="855"/>
    </row>
    <row r="629" spans="4:4" ht="15.75" customHeight="1">
      <c r="D629" s="855"/>
    </row>
    <row r="630" spans="4:4" ht="15.75" customHeight="1">
      <c r="D630" s="855"/>
    </row>
    <row r="631" spans="4:4" ht="15.75" customHeight="1">
      <c r="D631" s="855"/>
    </row>
    <row r="632" spans="4:4" ht="15.75" customHeight="1">
      <c r="D632" s="855"/>
    </row>
    <row r="633" spans="4:4" ht="15.75" customHeight="1">
      <c r="D633" s="855"/>
    </row>
    <row r="634" spans="4:4" ht="15.75" customHeight="1">
      <c r="D634" s="855"/>
    </row>
    <row r="635" spans="4:4" ht="15.75" customHeight="1">
      <c r="D635" s="855"/>
    </row>
    <row r="636" spans="4:4" ht="15.75" customHeight="1">
      <c r="D636" s="855"/>
    </row>
    <row r="637" spans="4:4" ht="15.75" customHeight="1">
      <c r="D637" s="855"/>
    </row>
    <row r="638" spans="4:4" ht="15.75" customHeight="1">
      <c r="D638" s="855"/>
    </row>
    <row r="639" spans="4:4" ht="15.75" customHeight="1">
      <c r="D639" s="855"/>
    </row>
    <row r="640" spans="4:4" ht="15.75" customHeight="1">
      <c r="D640" s="855"/>
    </row>
    <row r="641" spans="4:4" ht="15.75" customHeight="1">
      <c r="D641" s="855"/>
    </row>
    <row r="642" spans="4:4" ht="15.75" customHeight="1">
      <c r="D642" s="855"/>
    </row>
    <row r="643" spans="4:4" ht="15.75" customHeight="1">
      <c r="D643" s="855"/>
    </row>
    <row r="644" spans="4:4" ht="15.75" customHeight="1">
      <c r="D644" s="855"/>
    </row>
    <row r="645" spans="4:4" ht="15.75" customHeight="1">
      <c r="D645" s="855"/>
    </row>
    <row r="646" spans="4:4" ht="15.75" customHeight="1">
      <c r="D646" s="855"/>
    </row>
    <row r="647" spans="4:4" ht="15.75" customHeight="1">
      <c r="D647" s="855"/>
    </row>
    <row r="648" spans="4:4" ht="15.75" customHeight="1">
      <c r="D648" s="855"/>
    </row>
    <row r="649" spans="4:4" ht="15.75" customHeight="1">
      <c r="D649" s="855"/>
    </row>
    <row r="650" spans="4:4" ht="15.75" customHeight="1">
      <c r="D650" s="855"/>
    </row>
    <row r="651" spans="4:4" ht="15.75" customHeight="1">
      <c r="D651" s="855"/>
    </row>
    <row r="652" spans="4:4" ht="15.75" customHeight="1">
      <c r="D652" s="855"/>
    </row>
    <row r="653" spans="4:4" ht="15.75" customHeight="1">
      <c r="D653" s="855"/>
    </row>
    <row r="654" spans="4:4" ht="15.75" customHeight="1">
      <c r="D654" s="855"/>
    </row>
    <row r="655" spans="4:4" ht="15.75" customHeight="1">
      <c r="D655" s="855"/>
    </row>
    <row r="656" spans="4:4" ht="15.75" customHeight="1">
      <c r="D656" s="855"/>
    </row>
    <row r="657" spans="4:4" ht="15.75" customHeight="1">
      <c r="D657" s="855"/>
    </row>
    <row r="658" spans="4:4" ht="15.75" customHeight="1">
      <c r="D658" s="855"/>
    </row>
    <row r="659" spans="4:4" ht="15.75" customHeight="1">
      <c r="D659" s="855"/>
    </row>
    <row r="660" spans="4:4" ht="15.75" customHeight="1">
      <c r="D660" s="855"/>
    </row>
    <row r="661" spans="4:4" ht="15.75" customHeight="1">
      <c r="D661" s="855"/>
    </row>
    <row r="662" spans="4:4" ht="15.75" customHeight="1">
      <c r="D662" s="855"/>
    </row>
    <row r="663" spans="4:4" ht="15.75" customHeight="1">
      <c r="D663" s="855"/>
    </row>
    <row r="664" spans="4:4" ht="15.75" customHeight="1">
      <c r="D664" s="855"/>
    </row>
    <row r="665" spans="4:4" ht="15.75" customHeight="1">
      <c r="D665" s="855"/>
    </row>
    <row r="666" spans="4:4" ht="15.75" customHeight="1">
      <c r="D666" s="855"/>
    </row>
    <row r="667" spans="4:4" ht="15.75" customHeight="1">
      <c r="D667" s="855"/>
    </row>
    <row r="668" spans="4:4" ht="15.75" customHeight="1">
      <c r="D668" s="855"/>
    </row>
    <row r="669" spans="4:4" ht="15.75" customHeight="1">
      <c r="D669" s="855"/>
    </row>
    <row r="670" spans="4:4" ht="15.75" customHeight="1">
      <c r="D670" s="855"/>
    </row>
    <row r="671" spans="4:4" ht="15.75" customHeight="1">
      <c r="D671" s="855"/>
    </row>
    <row r="672" spans="4:4" ht="15.75" customHeight="1">
      <c r="D672" s="855"/>
    </row>
    <row r="673" spans="4:4" ht="15.75" customHeight="1">
      <c r="D673" s="855"/>
    </row>
    <row r="674" spans="4:4" ht="15.75" customHeight="1">
      <c r="D674" s="855"/>
    </row>
    <row r="675" spans="4:4" ht="15.75" customHeight="1">
      <c r="D675" s="855"/>
    </row>
    <row r="676" spans="4:4" ht="15.75" customHeight="1">
      <c r="D676" s="855"/>
    </row>
    <row r="677" spans="4:4" ht="15.75" customHeight="1">
      <c r="D677" s="855"/>
    </row>
    <row r="678" spans="4:4" ht="15.75" customHeight="1">
      <c r="D678" s="855"/>
    </row>
    <row r="679" spans="4:4" ht="15.75" customHeight="1">
      <c r="D679" s="855"/>
    </row>
    <row r="680" spans="4:4" ht="15.75" customHeight="1">
      <c r="D680" s="855"/>
    </row>
    <row r="681" spans="4:4" ht="15.75" customHeight="1">
      <c r="D681" s="855"/>
    </row>
    <row r="682" spans="4:4" ht="15.75" customHeight="1">
      <c r="D682" s="855"/>
    </row>
    <row r="683" spans="4:4" ht="15.75" customHeight="1">
      <c r="D683" s="855"/>
    </row>
    <row r="684" spans="4:4" ht="15.75" customHeight="1">
      <c r="D684" s="855"/>
    </row>
    <row r="685" spans="4:4" ht="15.75" customHeight="1">
      <c r="D685" s="855"/>
    </row>
    <row r="686" spans="4:4" ht="15.75" customHeight="1">
      <c r="D686" s="855"/>
    </row>
    <row r="687" spans="4:4" ht="15.75" customHeight="1">
      <c r="D687" s="855"/>
    </row>
    <row r="688" spans="4:4" ht="15.75" customHeight="1">
      <c r="D688" s="855"/>
    </row>
    <row r="689" spans="4:4" ht="15.75" customHeight="1">
      <c r="D689" s="855"/>
    </row>
    <row r="690" spans="4:4" ht="15.75" customHeight="1">
      <c r="D690" s="855"/>
    </row>
    <row r="691" spans="4:4" ht="15.75" customHeight="1">
      <c r="D691" s="855"/>
    </row>
    <row r="692" spans="4:4" ht="15.75" customHeight="1">
      <c r="D692" s="855"/>
    </row>
    <row r="693" spans="4:4" ht="15.75" customHeight="1">
      <c r="D693" s="855"/>
    </row>
    <row r="694" spans="4:4" ht="15.75" customHeight="1">
      <c r="D694" s="855"/>
    </row>
    <row r="695" spans="4:4" ht="15.75" customHeight="1">
      <c r="D695" s="855"/>
    </row>
    <row r="696" spans="4:4" ht="15.75" customHeight="1">
      <c r="D696" s="855"/>
    </row>
    <row r="697" spans="4:4" ht="15.75" customHeight="1">
      <c r="D697" s="855"/>
    </row>
    <row r="698" spans="4:4" ht="15.75" customHeight="1">
      <c r="D698" s="855"/>
    </row>
    <row r="699" spans="4:4" ht="15.75" customHeight="1">
      <c r="D699" s="855"/>
    </row>
    <row r="700" spans="4:4" ht="15.75" customHeight="1">
      <c r="D700" s="855"/>
    </row>
    <row r="701" spans="4:4" ht="15.75" customHeight="1">
      <c r="D701" s="855"/>
    </row>
    <row r="702" spans="4:4" ht="15.75" customHeight="1">
      <c r="D702" s="855"/>
    </row>
    <row r="703" spans="4:4" ht="15.75" customHeight="1">
      <c r="D703" s="855"/>
    </row>
    <row r="704" spans="4:4" ht="15.75" customHeight="1">
      <c r="D704" s="855"/>
    </row>
    <row r="705" spans="4:4" ht="15.75" customHeight="1">
      <c r="D705" s="855"/>
    </row>
    <row r="706" spans="4:4" ht="15.75" customHeight="1">
      <c r="D706" s="855"/>
    </row>
    <row r="707" spans="4:4" ht="15.75" customHeight="1">
      <c r="D707" s="855"/>
    </row>
    <row r="708" spans="4:4" ht="15.75" customHeight="1">
      <c r="D708" s="855"/>
    </row>
    <row r="709" spans="4:4" ht="15.75" customHeight="1">
      <c r="D709" s="855"/>
    </row>
    <row r="710" spans="4:4" ht="15.75" customHeight="1">
      <c r="D710" s="855"/>
    </row>
    <row r="711" spans="4:4" ht="15.75" customHeight="1">
      <c r="D711" s="855"/>
    </row>
    <row r="712" spans="4:4" ht="15.75" customHeight="1">
      <c r="D712" s="855"/>
    </row>
    <row r="713" spans="4:4" ht="15.75" customHeight="1">
      <c r="D713" s="855"/>
    </row>
    <row r="714" spans="4:4" ht="15.75" customHeight="1">
      <c r="D714" s="855"/>
    </row>
    <row r="715" spans="4:4" ht="15.75" customHeight="1">
      <c r="D715" s="855"/>
    </row>
    <row r="716" spans="4:4" ht="15.75" customHeight="1">
      <c r="D716" s="855"/>
    </row>
    <row r="717" spans="4:4" ht="15.75" customHeight="1">
      <c r="D717" s="855"/>
    </row>
    <row r="718" spans="4:4" ht="15.75" customHeight="1">
      <c r="D718" s="855"/>
    </row>
    <row r="719" spans="4:4" ht="15.75" customHeight="1">
      <c r="D719" s="855"/>
    </row>
    <row r="720" spans="4:4" ht="15.75" customHeight="1">
      <c r="D720" s="855"/>
    </row>
    <row r="721" spans="4:4" ht="15.75" customHeight="1">
      <c r="D721" s="855"/>
    </row>
    <row r="722" spans="4:4" ht="15.75" customHeight="1">
      <c r="D722" s="855"/>
    </row>
    <row r="723" spans="4:4" ht="15.75" customHeight="1">
      <c r="D723" s="855"/>
    </row>
    <row r="724" spans="4:4" ht="15.75" customHeight="1">
      <c r="D724" s="855"/>
    </row>
    <row r="725" spans="4:4" ht="15.75" customHeight="1">
      <c r="D725" s="855"/>
    </row>
    <row r="726" spans="4:4" ht="15.75" customHeight="1">
      <c r="D726" s="855"/>
    </row>
    <row r="727" spans="4:4" ht="15.75" customHeight="1">
      <c r="D727" s="855"/>
    </row>
    <row r="728" spans="4:4" ht="15.75" customHeight="1">
      <c r="D728" s="855"/>
    </row>
    <row r="729" spans="4:4" ht="15.75" customHeight="1">
      <c r="D729" s="855"/>
    </row>
    <row r="730" spans="4:4" ht="15.75" customHeight="1">
      <c r="D730" s="855"/>
    </row>
    <row r="731" spans="4:4" ht="15.75" customHeight="1">
      <c r="D731" s="855"/>
    </row>
    <row r="732" spans="4:4" ht="15.75" customHeight="1">
      <c r="D732" s="855"/>
    </row>
    <row r="733" spans="4:4" ht="15.75" customHeight="1">
      <c r="D733" s="855"/>
    </row>
    <row r="734" spans="4:4" ht="15.75" customHeight="1">
      <c r="D734" s="855"/>
    </row>
    <row r="735" spans="4:4" ht="15.75" customHeight="1">
      <c r="D735" s="855"/>
    </row>
    <row r="736" spans="4:4" ht="15.75" customHeight="1">
      <c r="D736" s="855"/>
    </row>
    <row r="737" spans="4:4" ht="15.75" customHeight="1">
      <c r="D737" s="855"/>
    </row>
    <row r="738" spans="4:4" ht="15.75" customHeight="1">
      <c r="D738" s="855"/>
    </row>
    <row r="739" spans="4:4" ht="15.75" customHeight="1">
      <c r="D739" s="855"/>
    </row>
    <row r="740" spans="4:4" ht="15.75" customHeight="1">
      <c r="D740" s="855"/>
    </row>
    <row r="741" spans="4:4" ht="15.75" customHeight="1">
      <c r="D741" s="855"/>
    </row>
    <row r="742" spans="4:4" ht="15.75" customHeight="1">
      <c r="D742" s="855"/>
    </row>
    <row r="743" spans="4:4" ht="15.75" customHeight="1">
      <c r="D743" s="855"/>
    </row>
    <row r="744" spans="4:4" ht="15.75" customHeight="1">
      <c r="D744" s="855"/>
    </row>
    <row r="745" spans="4:4" ht="15.75" customHeight="1">
      <c r="D745" s="855"/>
    </row>
    <row r="746" spans="4:4" ht="15.75" customHeight="1">
      <c r="D746" s="855"/>
    </row>
    <row r="747" spans="4:4" ht="15.75" customHeight="1">
      <c r="D747" s="855"/>
    </row>
    <row r="748" spans="4:4" ht="15.75" customHeight="1">
      <c r="D748" s="855"/>
    </row>
    <row r="749" spans="4:4" ht="15.75" customHeight="1">
      <c r="D749" s="855"/>
    </row>
    <row r="750" spans="4:4" ht="15.75" customHeight="1">
      <c r="D750" s="855"/>
    </row>
    <row r="751" spans="4:4" ht="15.75" customHeight="1">
      <c r="D751" s="855"/>
    </row>
    <row r="752" spans="4:4" ht="15.75" customHeight="1">
      <c r="D752" s="855"/>
    </row>
    <row r="753" spans="4:4" ht="15.75" customHeight="1">
      <c r="D753" s="855"/>
    </row>
    <row r="754" spans="4:4" ht="15.75" customHeight="1">
      <c r="D754" s="855"/>
    </row>
    <row r="755" spans="4:4" ht="15.75" customHeight="1">
      <c r="D755" s="855"/>
    </row>
    <row r="756" spans="4:4" ht="15.75" customHeight="1">
      <c r="D756" s="855"/>
    </row>
    <row r="757" spans="4:4" ht="15.75" customHeight="1">
      <c r="D757" s="855"/>
    </row>
    <row r="758" spans="4:4" ht="15.75" customHeight="1">
      <c r="D758" s="855"/>
    </row>
    <row r="759" spans="4:4" ht="15.75" customHeight="1">
      <c r="D759" s="855"/>
    </row>
    <row r="760" spans="4:4" ht="15.75" customHeight="1">
      <c r="D760" s="855"/>
    </row>
    <row r="761" spans="4:4" ht="15.75" customHeight="1">
      <c r="D761" s="855"/>
    </row>
    <row r="762" spans="4:4" ht="15.75" customHeight="1">
      <c r="D762" s="855"/>
    </row>
    <row r="763" spans="4:4" ht="15.75" customHeight="1">
      <c r="D763" s="855"/>
    </row>
    <row r="764" spans="4:4" ht="15.75" customHeight="1">
      <c r="D764" s="855"/>
    </row>
    <row r="765" spans="4:4" ht="15.75" customHeight="1">
      <c r="D765" s="855"/>
    </row>
    <row r="766" spans="4:4" ht="15.75" customHeight="1">
      <c r="D766" s="855"/>
    </row>
    <row r="767" spans="4:4" ht="15.75" customHeight="1">
      <c r="D767" s="855"/>
    </row>
    <row r="768" spans="4:4" ht="15.75" customHeight="1">
      <c r="D768" s="855"/>
    </row>
    <row r="769" spans="4:4" ht="15.75" customHeight="1">
      <c r="D769" s="855"/>
    </row>
    <row r="770" spans="4:4" ht="15.75" customHeight="1">
      <c r="D770" s="855"/>
    </row>
    <row r="771" spans="4:4" ht="15.75" customHeight="1">
      <c r="D771" s="855"/>
    </row>
    <row r="772" spans="4:4" ht="15.75" customHeight="1">
      <c r="D772" s="855"/>
    </row>
    <row r="773" spans="4:4" ht="15.75" customHeight="1">
      <c r="D773" s="855"/>
    </row>
    <row r="774" spans="4:4" ht="15.75" customHeight="1">
      <c r="D774" s="855"/>
    </row>
    <row r="775" spans="4:4" ht="15.75" customHeight="1">
      <c r="D775" s="855"/>
    </row>
    <row r="776" spans="4:4" ht="15.75" customHeight="1">
      <c r="D776" s="855"/>
    </row>
    <row r="777" spans="4:4" ht="15.75" customHeight="1">
      <c r="D777" s="855"/>
    </row>
    <row r="778" spans="4:4" ht="15.75" customHeight="1">
      <c r="D778" s="855"/>
    </row>
    <row r="779" spans="4:4" ht="15.75" customHeight="1">
      <c r="D779" s="855"/>
    </row>
    <row r="780" spans="4:4" ht="15.75" customHeight="1">
      <c r="D780" s="855"/>
    </row>
    <row r="781" spans="4:4" ht="15.75" customHeight="1">
      <c r="D781" s="855"/>
    </row>
    <row r="782" spans="4:4" ht="15.75" customHeight="1">
      <c r="D782" s="855"/>
    </row>
    <row r="783" spans="4:4" ht="15.75" customHeight="1">
      <c r="D783" s="855"/>
    </row>
    <row r="784" spans="4:4" ht="15.75" customHeight="1">
      <c r="D784" s="855"/>
    </row>
    <row r="785" spans="4:4" ht="15.75" customHeight="1">
      <c r="D785" s="855"/>
    </row>
    <row r="786" spans="4:4" ht="15.75" customHeight="1">
      <c r="D786" s="855"/>
    </row>
    <row r="787" spans="4:4" ht="15.75" customHeight="1">
      <c r="D787" s="855"/>
    </row>
    <row r="788" spans="4:4" ht="15.75" customHeight="1">
      <c r="D788" s="855"/>
    </row>
    <row r="789" spans="4:4" ht="15.75" customHeight="1">
      <c r="D789" s="855"/>
    </row>
    <row r="790" spans="4:4" ht="15.75" customHeight="1">
      <c r="D790" s="855"/>
    </row>
    <row r="791" spans="4:4" ht="15.75" customHeight="1">
      <c r="D791" s="855"/>
    </row>
    <row r="792" spans="4:4" ht="15.75" customHeight="1">
      <c r="D792" s="855"/>
    </row>
    <row r="793" spans="4:4" ht="15.75" customHeight="1">
      <c r="D793" s="855"/>
    </row>
    <row r="794" spans="4:4" ht="15.75" customHeight="1">
      <c r="D794" s="855"/>
    </row>
    <row r="795" spans="4:4" ht="15.75" customHeight="1">
      <c r="D795" s="855"/>
    </row>
    <row r="796" spans="4:4" ht="15.75" customHeight="1">
      <c r="D796" s="855"/>
    </row>
    <row r="797" spans="4:4" ht="15.75" customHeight="1">
      <c r="D797" s="855"/>
    </row>
    <row r="798" spans="4:4" ht="15.75" customHeight="1">
      <c r="D798" s="855"/>
    </row>
    <row r="799" spans="4:4" ht="15.75" customHeight="1">
      <c r="D799" s="855"/>
    </row>
    <row r="800" spans="4:4" ht="15.75" customHeight="1">
      <c r="D800" s="855"/>
    </row>
    <row r="801" spans="4:4" ht="15.75" customHeight="1">
      <c r="D801" s="855"/>
    </row>
    <row r="802" spans="4:4" ht="15.75" customHeight="1">
      <c r="D802" s="855"/>
    </row>
    <row r="803" spans="4:4" ht="15.75" customHeight="1">
      <c r="D803" s="855"/>
    </row>
    <row r="804" spans="4:4" ht="15.75" customHeight="1">
      <c r="D804" s="855"/>
    </row>
    <row r="805" spans="4:4" ht="15.75" customHeight="1">
      <c r="D805" s="855"/>
    </row>
    <row r="806" spans="4:4" ht="15.75" customHeight="1">
      <c r="D806" s="855"/>
    </row>
    <row r="807" spans="4:4" ht="15.75" customHeight="1">
      <c r="D807" s="855"/>
    </row>
    <row r="808" spans="4:4" ht="15.75" customHeight="1">
      <c r="D808" s="855"/>
    </row>
    <row r="809" spans="4:4" ht="15.75" customHeight="1">
      <c r="D809" s="855"/>
    </row>
    <row r="810" spans="4:4" ht="15.75" customHeight="1">
      <c r="D810" s="855"/>
    </row>
    <row r="811" spans="4:4" ht="15.75" customHeight="1">
      <c r="D811" s="855"/>
    </row>
    <row r="812" spans="4:4" ht="15.75" customHeight="1">
      <c r="D812" s="855"/>
    </row>
    <row r="813" spans="4:4" ht="15.75" customHeight="1">
      <c r="D813" s="855"/>
    </row>
    <row r="814" spans="4:4" ht="15.75" customHeight="1">
      <c r="D814" s="855"/>
    </row>
    <row r="815" spans="4:4" ht="15.75" customHeight="1">
      <c r="D815" s="855"/>
    </row>
    <row r="816" spans="4:4" ht="15.75" customHeight="1">
      <c r="D816" s="855"/>
    </row>
    <row r="817" spans="4:4" ht="15.75" customHeight="1">
      <c r="D817" s="855"/>
    </row>
    <row r="818" spans="4:4" ht="15.75" customHeight="1">
      <c r="D818" s="855"/>
    </row>
    <row r="819" spans="4:4" ht="15.75" customHeight="1">
      <c r="D819" s="855"/>
    </row>
    <row r="820" spans="4:4" ht="15.75" customHeight="1">
      <c r="D820" s="855"/>
    </row>
    <row r="821" spans="4:4" ht="15.75" customHeight="1">
      <c r="D821" s="855"/>
    </row>
    <row r="822" spans="4:4" ht="15.75" customHeight="1">
      <c r="D822" s="855"/>
    </row>
    <row r="823" spans="4:4" ht="15.75" customHeight="1">
      <c r="D823" s="855"/>
    </row>
    <row r="824" spans="4:4" ht="15.75" customHeight="1">
      <c r="D824" s="855"/>
    </row>
    <row r="825" spans="4:4" ht="15.75" customHeight="1">
      <c r="D825" s="855"/>
    </row>
    <row r="826" spans="4:4" ht="15.75" customHeight="1">
      <c r="D826" s="855"/>
    </row>
    <row r="827" spans="4:4" ht="15.75" customHeight="1">
      <c r="D827" s="855"/>
    </row>
    <row r="828" spans="4:4" ht="15.75" customHeight="1">
      <c r="D828" s="855"/>
    </row>
    <row r="829" spans="4:4" ht="15.75" customHeight="1">
      <c r="D829" s="855"/>
    </row>
    <row r="830" spans="4:4" ht="15.75" customHeight="1">
      <c r="D830" s="855"/>
    </row>
    <row r="831" spans="4:4" ht="15.75" customHeight="1">
      <c r="D831" s="855"/>
    </row>
    <row r="832" spans="4:4" ht="15.75" customHeight="1">
      <c r="D832" s="855"/>
    </row>
    <row r="833" spans="4:4" ht="15.75" customHeight="1">
      <c r="D833" s="855"/>
    </row>
    <row r="834" spans="4:4" ht="15.75" customHeight="1">
      <c r="D834" s="855"/>
    </row>
    <row r="835" spans="4:4" ht="15.75" customHeight="1">
      <c r="D835" s="855"/>
    </row>
    <row r="836" spans="4:4" ht="15.75" customHeight="1">
      <c r="D836" s="855"/>
    </row>
    <row r="837" spans="4:4" ht="15.75" customHeight="1">
      <c r="D837" s="855"/>
    </row>
    <row r="838" spans="4:4" ht="15.75" customHeight="1">
      <c r="D838" s="855"/>
    </row>
    <row r="839" spans="4:4" ht="15.75" customHeight="1">
      <c r="D839" s="855"/>
    </row>
    <row r="840" spans="4:4" ht="15.75" customHeight="1">
      <c r="D840" s="855"/>
    </row>
    <row r="841" spans="4:4" ht="15.75" customHeight="1">
      <c r="D841" s="855"/>
    </row>
    <row r="842" spans="4:4" ht="15.75" customHeight="1">
      <c r="D842" s="855"/>
    </row>
    <row r="843" spans="4:4" ht="15.75" customHeight="1">
      <c r="D843" s="855"/>
    </row>
    <row r="844" spans="4:4" ht="15.75" customHeight="1">
      <c r="D844" s="855"/>
    </row>
    <row r="845" spans="4:4" ht="15.75" customHeight="1">
      <c r="D845" s="855"/>
    </row>
    <row r="846" spans="4:4" ht="15.75" customHeight="1">
      <c r="D846" s="855"/>
    </row>
    <row r="847" spans="4:4" ht="15.75" customHeight="1">
      <c r="D847" s="855"/>
    </row>
    <row r="848" spans="4:4" ht="15.75" customHeight="1">
      <c r="D848" s="855"/>
    </row>
    <row r="849" spans="4:4" ht="15.75" customHeight="1">
      <c r="D849" s="855"/>
    </row>
    <row r="850" spans="4:4" ht="15.75" customHeight="1">
      <c r="D850" s="855"/>
    </row>
    <row r="851" spans="4:4" ht="15.75" customHeight="1">
      <c r="D851" s="855"/>
    </row>
    <row r="852" spans="4:4" ht="15.75" customHeight="1">
      <c r="D852" s="855"/>
    </row>
    <row r="853" spans="4:4" ht="15.75" customHeight="1">
      <c r="D853" s="855"/>
    </row>
    <row r="854" spans="4:4" ht="15.75" customHeight="1">
      <c r="D854" s="855"/>
    </row>
    <row r="855" spans="4:4" ht="15.75" customHeight="1">
      <c r="D855" s="855"/>
    </row>
    <row r="856" spans="4:4" ht="15.75" customHeight="1">
      <c r="D856" s="855"/>
    </row>
    <row r="857" spans="4:4" ht="15.75" customHeight="1">
      <c r="D857" s="855"/>
    </row>
    <row r="858" spans="4:4" ht="15.75" customHeight="1">
      <c r="D858" s="855"/>
    </row>
    <row r="859" spans="4:4" ht="15.75" customHeight="1">
      <c r="D859" s="855"/>
    </row>
    <row r="860" spans="4:4" ht="15.75" customHeight="1">
      <c r="D860" s="855"/>
    </row>
    <row r="861" spans="4:4" ht="15.75" customHeight="1">
      <c r="D861" s="855"/>
    </row>
    <row r="862" spans="4:4" ht="15.75" customHeight="1">
      <c r="D862" s="855"/>
    </row>
    <row r="863" spans="4:4" ht="15.75" customHeight="1">
      <c r="D863" s="855"/>
    </row>
    <row r="864" spans="4:4" ht="15.75" customHeight="1">
      <c r="D864" s="855"/>
    </row>
    <row r="865" spans="4:4" ht="15.75" customHeight="1">
      <c r="D865" s="855"/>
    </row>
    <row r="866" spans="4:4" ht="15.75" customHeight="1">
      <c r="D866" s="855"/>
    </row>
    <row r="867" spans="4:4" ht="15.75" customHeight="1">
      <c r="D867" s="855"/>
    </row>
    <row r="868" spans="4:4" ht="15.75" customHeight="1">
      <c r="D868" s="855"/>
    </row>
    <row r="869" spans="4:4" ht="15.75" customHeight="1">
      <c r="D869" s="855"/>
    </row>
    <row r="870" spans="4:4" ht="15.75" customHeight="1">
      <c r="D870" s="855"/>
    </row>
    <row r="871" spans="4:4" ht="15.75" customHeight="1">
      <c r="D871" s="855"/>
    </row>
    <row r="872" spans="4:4" ht="15.75" customHeight="1">
      <c r="D872" s="855"/>
    </row>
    <row r="873" spans="4:4" ht="15.75" customHeight="1">
      <c r="D873" s="855"/>
    </row>
    <row r="874" spans="4:4" ht="15.75" customHeight="1">
      <c r="D874" s="855"/>
    </row>
    <row r="875" spans="4:4" ht="15.75" customHeight="1">
      <c r="D875" s="855"/>
    </row>
    <row r="876" spans="4:4" ht="15.75" customHeight="1">
      <c r="D876" s="855"/>
    </row>
    <row r="877" spans="4:4" ht="15.75" customHeight="1">
      <c r="D877" s="855"/>
    </row>
    <row r="878" spans="4:4" ht="15.75" customHeight="1">
      <c r="D878" s="855"/>
    </row>
    <row r="879" spans="4:4" ht="15.75" customHeight="1">
      <c r="D879" s="855"/>
    </row>
    <row r="880" spans="4:4" ht="15.75" customHeight="1">
      <c r="D880" s="855"/>
    </row>
    <row r="881" spans="4:4" ht="15.75" customHeight="1">
      <c r="D881" s="855"/>
    </row>
    <row r="882" spans="4:4" ht="15.75" customHeight="1">
      <c r="D882" s="855"/>
    </row>
    <row r="883" spans="4:4" ht="15.75" customHeight="1">
      <c r="D883" s="855"/>
    </row>
    <row r="884" spans="4:4" ht="15.75" customHeight="1">
      <c r="D884" s="855"/>
    </row>
    <row r="885" spans="4:4" ht="15.75" customHeight="1">
      <c r="D885" s="855"/>
    </row>
    <row r="886" spans="4:4" ht="15.75" customHeight="1">
      <c r="D886" s="855"/>
    </row>
    <row r="887" spans="4:4" ht="15.75" customHeight="1">
      <c r="D887" s="855"/>
    </row>
    <row r="888" spans="4:4" ht="15.75" customHeight="1">
      <c r="D888" s="855"/>
    </row>
    <row r="889" spans="4:4" ht="15.75" customHeight="1">
      <c r="D889" s="855"/>
    </row>
    <row r="890" spans="4:4" ht="15.75" customHeight="1">
      <c r="D890" s="855"/>
    </row>
    <row r="891" spans="4:4" ht="15.75" customHeight="1">
      <c r="D891" s="855"/>
    </row>
    <row r="892" spans="4:4" ht="15.75" customHeight="1">
      <c r="D892" s="855"/>
    </row>
    <row r="893" spans="4:4" ht="15.75" customHeight="1">
      <c r="D893" s="855"/>
    </row>
    <row r="894" spans="4:4" ht="15.75" customHeight="1">
      <c r="D894" s="855"/>
    </row>
    <row r="895" spans="4:4" ht="15.75" customHeight="1">
      <c r="D895" s="855"/>
    </row>
    <row r="896" spans="4:4" ht="15.75" customHeight="1">
      <c r="D896" s="855"/>
    </row>
    <row r="897" spans="4:4" ht="15.75" customHeight="1">
      <c r="D897" s="855"/>
    </row>
    <row r="898" spans="4:4" ht="15.75" customHeight="1">
      <c r="D898" s="855"/>
    </row>
    <row r="899" spans="4:4" ht="15.75" customHeight="1">
      <c r="D899" s="855"/>
    </row>
    <row r="900" spans="4:4" ht="15.75" customHeight="1">
      <c r="D900" s="855"/>
    </row>
    <row r="901" spans="4:4" ht="15.75" customHeight="1">
      <c r="D901" s="855"/>
    </row>
    <row r="902" spans="4:4" ht="15.75" customHeight="1">
      <c r="D902" s="855"/>
    </row>
    <row r="903" spans="4:4" ht="15.75" customHeight="1">
      <c r="D903" s="855"/>
    </row>
    <row r="904" spans="4:4" ht="15.75" customHeight="1">
      <c r="D904" s="855"/>
    </row>
    <row r="905" spans="4:4" ht="15.75" customHeight="1">
      <c r="D905" s="855"/>
    </row>
    <row r="906" spans="4:4" ht="15.75" customHeight="1">
      <c r="D906" s="855"/>
    </row>
    <row r="907" spans="4:4" ht="15.75" customHeight="1">
      <c r="D907" s="855"/>
    </row>
    <row r="908" spans="4:4" ht="15.75" customHeight="1">
      <c r="D908" s="855"/>
    </row>
    <row r="909" spans="4:4" ht="15.75" customHeight="1">
      <c r="D909" s="855"/>
    </row>
    <row r="910" spans="4:4" ht="15.75" customHeight="1">
      <c r="D910" s="855"/>
    </row>
    <row r="911" spans="4:4" ht="15.75" customHeight="1">
      <c r="D911" s="855"/>
    </row>
    <row r="912" spans="4:4" ht="15.75" customHeight="1">
      <c r="D912" s="855"/>
    </row>
    <row r="913" spans="4:4" ht="15.75" customHeight="1">
      <c r="D913" s="855"/>
    </row>
    <row r="914" spans="4:4" ht="15.75" customHeight="1">
      <c r="D914" s="855"/>
    </row>
    <row r="915" spans="4:4" ht="15.75" customHeight="1">
      <c r="D915" s="855"/>
    </row>
    <row r="916" spans="4:4" ht="15.75" customHeight="1">
      <c r="D916" s="855"/>
    </row>
    <row r="917" spans="4:4" ht="15.75" customHeight="1">
      <c r="D917" s="855"/>
    </row>
    <row r="918" spans="4:4" ht="15.75" customHeight="1">
      <c r="D918" s="855"/>
    </row>
    <row r="919" spans="4:4" ht="15.75" customHeight="1">
      <c r="D919" s="855"/>
    </row>
    <row r="920" spans="4:4" ht="15.75" customHeight="1">
      <c r="D920" s="855"/>
    </row>
    <row r="921" spans="4:4" ht="15.75" customHeight="1">
      <c r="D921" s="855"/>
    </row>
    <row r="922" spans="4:4" ht="15.75" customHeight="1">
      <c r="D922" s="855"/>
    </row>
    <row r="923" spans="4:4" ht="15.75" customHeight="1">
      <c r="D923" s="855"/>
    </row>
    <row r="924" spans="4:4" ht="15.75" customHeight="1">
      <c r="D924" s="855"/>
    </row>
    <row r="925" spans="4:4" ht="15.75" customHeight="1">
      <c r="D925" s="855"/>
    </row>
    <row r="926" spans="4:4" ht="15.75" customHeight="1">
      <c r="D926" s="855"/>
    </row>
    <row r="927" spans="4:4" ht="15.75" customHeight="1">
      <c r="D927" s="855"/>
    </row>
    <row r="928" spans="4:4" ht="15.75" customHeight="1">
      <c r="D928" s="855"/>
    </row>
    <row r="929" spans="4:4" ht="15.75" customHeight="1">
      <c r="D929" s="855"/>
    </row>
    <row r="930" spans="4:4" ht="15.75" customHeight="1">
      <c r="D930" s="855"/>
    </row>
    <row r="931" spans="4:4" ht="15.75" customHeight="1">
      <c r="D931" s="855"/>
    </row>
    <row r="932" spans="4:4" ht="15.75" customHeight="1">
      <c r="D932" s="855"/>
    </row>
    <row r="933" spans="4:4" ht="15.75" customHeight="1">
      <c r="D933" s="855"/>
    </row>
    <row r="934" spans="4:4" ht="15.75" customHeight="1">
      <c r="D934" s="855"/>
    </row>
    <row r="935" spans="4:4" ht="15.75" customHeight="1">
      <c r="D935" s="855"/>
    </row>
    <row r="936" spans="4:4" ht="15.75" customHeight="1">
      <c r="D936" s="855"/>
    </row>
    <row r="937" spans="4:4" ht="15.75" customHeight="1">
      <c r="D937" s="855"/>
    </row>
    <row r="938" spans="4:4" ht="15.75" customHeight="1">
      <c r="D938" s="855"/>
    </row>
    <row r="939" spans="4:4" ht="15.75" customHeight="1">
      <c r="D939" s="855"/>
    </row>
    <row r="940" spans="4:4" ht="15.75" customHeight="1">
      <c r="D940" s="855"/>
    </row>
    <row r="941" spans="4:4" ht="15.75" customHeight="1">
      <c r="D941" s="855"/>
    </row>
    <row r="942" spans="4:4" ht="15.75" customHeight="1">
      <c r="D942" s="855"/>
    </row>
    <row r="943" spans="4:4" ht="15.75" customHeight="1">
      <c r="D943" s="855"/>
    </row>
    <row r="944" spans="4:4" ht="15.75" customHeight="1">
      <c r="D944" s="855"/>
    </row>
    <row r="945" spans="4:4" ht="15.75" customHeight="1">
      <c r="D945" s="855"/>
    </row>
    <row r="946" spans="4:4" ht="15.75" customHeight="1">
      <c r="D946" s="855"/>
    </row>
    <row r="947" spans="4:4" ht="15.75" customHeight="1">
      <c r="D947" s="855"/>
    </row>
    <row r="948" spans="4:4" ht="15.75" customHeight="1">
      <c r="D948" s="855"/>
    </row>
    <row r="949" spans="4:4" ht="15.75" customHeight="1">
      <c r="D949" s="855"/>
    </row>
    <row r="950" spans="4:4" ht="15.75" customHeight="1">
      <c r="D950" s="855"/>
    </row>
    <row r="951" spans="4:4" ht="15.75" customHeight="1">
      <c r="D951" s="855"/>
    </row>
    <row r="952" spans="4:4" ht="15.75" customHeight="1">
      <c r="D952" s="855"/>
    </row>
    <row r="953" spans="4:4" ht="15.75" customHeight="1">
      <c r="D953" s="855"/>
    </row>
    <row r="954" spans="4:4" ht="15.75" customHeight="1">
      <c r="D954" s="855"/>
    </row>
    <row r="955" spans="4:4" ht="15.75" customHeight="1">
      <c r="D955" s="855"/>
    </row>
    <row r="956" spans="4:4" ht="15.75" customHeight="1">
      <c r="D956" s="855"/>
    </row>
    <row r="957" spans="4:4" ht="15.75" customHeight="1">
      <c r="D957" s="855"/>
    </row>
    <row r="958" spans="4:4" ht="15.75" customHeight="1">
      <c r="D958" s="855"/>
    </row>
    <row r="959" spans="4:4" ht="15.75" customHeight="1">
      <c r="D959" s="855"/>
    </row>
    <row r="960" spans="4:4" ht="15.75" customHeight="1">
      <c r="D960" s="855"/>
    </row>
    <row r="961" spans="4:4" ht="15.75" customHeight="1">
      <c r="D961" s="855"/>
    </row>
    <row r="962" spans="4:4" ht="15.75" customHeight="1">
      <c r="D962" s="855"/>
    </row>
    <row r="963" spans="4:4" ht="15.75" customHeight="1">
      <c r="D963" s="855"/>
    </row>
    <row r="964" spans="4:4" ht="15.75" customHeight="1">
      <c r="D964" s="855"/>
    </row>
    <row r="965" spans="4:4" ht="15.75" customHeight="1">
      <c r="D965" s="855"/>
    </row>
    <row r="966" spans="4:4" ht="15.75" customHeight="1">
      <c r="D966" s="855"/>
    </row>
    <row r="967" spans="4:4" ht="15.75" customHeight="1">
      <c r="D967" s="855"/>
    </row>
    <row r="968" spans="4:4" ht="15.75" customHeight="1">
      <c r="D968" s="855"/>
    </row>
    <row r="969" spans="4:4" ht="15.75" customHeight="1">
      <c r="D969" s="855"/>
    </row>
    <row r="970" spans="4:4" ht="15.75" customHeight="1">
      <c r="D970" s="855"/>
    </row>
    <row r="971" spans="4:4" ht="15.75" customHeight="1">
      <c r="D971" s="855"/>
    </row>
    <row r="972" spans="4:4" ht="15.75" customHeight="1">
      <c r="D972" s="855"/>
    </row>
    <row r="973" spans="4:4" ht="15.75" customHeight="1">
      <c r="D973" s="855"/>
    </row>
    <row r="974" spans="4:4" ht="15.75" customHeight="1">
      <c r="D974" s="855"/>
    </row>
    <row r="975" spans="4:4" ht="15.75" customHeight="1">
      <c r="D975" s="855"/>
    </row>
    <row r="976" spans="4:4" ht="15.75" customHeight="1">
      <c r="D976" s="855"/>
    </row>
    <row r="977" spans="4:4" ht="15.75" customHeight="1">
      <c r="D977" s="855"/>
    </row>
    <row r="978" spans="4:4" ht="15.75" customHeight="1">
      <c r="D978" s="855"/>
    </row>
    <row r="979" spans="4:4" ht="15.75" customHeight="1">
      <c r="D979" s="855"/>
    </row>
    <row r="980" spans="4:4" ht="15.75" customHeight="1">
      <c r="D980" s="855"/>
    </row>
    <row r="981" spans="4:4" ht="15.75" customHeight="1">
      <c r="D981" s="855"/>
    </row>
    <row r="982" spans="4:4" ht="15.75" customHeight="1">
      <c r="D982" s="855"/>
    </row>
    <row r="983" spans="4:4" ht="15.75" customHeight="1">
      <c r="D983" s="855"/>
    </row>
    <row r="984" spans="4:4" ht="15.75" customHeight="1">
      <c r="D984" s="855"/>
    </row>
    <row r="985" spans="4:4" ht="15.75" customHeight="1">
      <c r="D985" s="855"/>
    </row>
    <row r="986" spans="4:4" ht="15.75" customHeight="1">
      <c r="D986" s="855"/>
    </row>
    <row r="987" spans="4:4" ht="15.75" customHeight="1">
      <c r="D987" s="855"/>
    </row>
    <row r="988" spans="4:4" ht="15.75" customHeight="1">
      <c r="D988" s="855"/>
    </row>
    <row r="989" spans="4:4" ht="15.75" customHeight="1">
      <c r="D989" s="855"/>
    </row>
    <row r="990" spans="4:4" ht="15.75" customHeight="1">
      <c r="D990" s="855"/>
    </row>
    <row r="991" spans="4:4" ht="15.75" customHeight="1">
      <c r="D991" s="855"/>
    </row>
    <row r="992" spans="4:4" ht="15.75" customHeight="1">
      <c r="D992" s="855"/>
    </row>
    <row r="993" spans="4:4" ht="15.75" customHeight="1">
      <c r="D993" s="855"/>
    </row>
    <row r="994" spans="4:4" ht="15.75" customHeight="1">
      <c r="D994" s="855"/>
    </row>
    <row r="995" spans="4:4" ht="15.75" customHeight="1">
      <c r="D995" s="855"/>
    </row>
    <row r="996" spans="4:4" ht="15.75" customHeight="1">
      <c r="D996" s="855"/>
    </row>
    <row r="997" spans="4:4" ht="15.75" customHeight="1">
      <c r="D997" s="855"/>
    </row>
    <row r="998" spans="4:4" ht="15.75" customHeight="1">
      <c r="D998" s="855"/>
    </row>
    <row r="999" spans="4:4" ht="15.75" customHeight="1">
      <c r="D999" s="855"/>
    </row>
    <row r="1000" spans="4:4" ht="15.75" customHeight="1">
      <c r="D1000" s="855"/>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856">
        <v>45292</v>
      </c>
      <c r="B1" s="399" t="s">
        <v>2878</v>
      </c>
    </row>
    <row r="2" spans="1:2" ht="17.25" customHeight="1">
      <c r="A2" s="856">
        <v>45299</v>
      </c>
      <c r="B2" s="399" t="s">
        <v>2879</v>
      </c>
    </row>
    <row r="3" spans="1:2" ht="17.25" customHeight="1">
      <c r="A3" s="856">
        <v>45376</v>
      </c>
      <c r="B3" s="399" t="s">
        <v>2880</v>
      </c>
    </row>
    <row r="4" spans="1:2" ht="17.25" customHeight="1">
      <c r="A4" s="856">
        <v>45379</v>
      </c>
      <c r="B4" s="399" t="s">
        <v>2881</v>
      </c>
    </row>
    <row r="5" spans="1:2" ht="17.25" customHeight="1">
      <c r="A5" s="856">
        <v>45380</v>
      </c>
      <c r="B5" s="399" t="s">
        <v>2882</v>
      </c>
    </row>
    <row r="6" spans="1:2" ht="17.25" customHeight="1">
      <c r="A6" s="856">
        <v>45413</v>
      </c>
      <c r="B6" s="399" t="s">
        <v>2883</v>
      </c>
    </row>
    <row r="7" spans="1:2" ht="17.25" customHeight="1">
      <c r="A7" s="856">
        <v>45425</v>
      </c>
      <c r="B7" s="399" t="s">
        <v>2884</v>
      </c>
    </row>
    <row r="8" spans="1:2" ht="17.25" customHeight="1">
      <c r="A8" s="856">
        <v>45446</v>
      </c>
      <c r="B8" s="399" t="s">
        <v>2885</v>
      </c>
    </row>
    <row r="9" spans="1:2" ht="17.25" customHeight="1">
      <c r="A9" s="856">
        <v>45453</v>
      </c>
      <c r="B9" s="399" t="s">
        <v>2886</v>
      </c>
    </row>
    <row r="10" spans="1:2" ht="17.25" customHeight="1">
      <c r="A10" s="856">
        <v>45474</v>
      </c>
      <c r="B10" s="399" t="s">
        <v>2887</v>
      </c>
    </row>
    <row r="11" spans="1:2" ht="17.25" customHeight="1">
      <c r="A11" s="856">
        <v>45493</v>
      </c>
      <c r="B11" s="399" t="s">
        <v>2888</v>
      </c>
    </row>
    <row r="12" spans="1:2" ht="17.25" customHeight="1">
      <c r="A12" s="856">
        <v>45511</v>
      </c>
      <c r="B12" s="399" t="s">
        <v>2889</v>
      </c>
    </row>
    <row r="13" spans="1:2" ht="17.25" customHeight="1">
      <c r="A13" s="856">
        <v>45523</v>
      </c>
      <c r="B13" s="399" t="s">
        <v>2890</v>
      </c>
    </row>
    <row r="14" spans="1:2" ht="17.25" customHeight="1">
      <c r="A14" s="856">
        <v>45579</v>
      </c>
      <c r="B14" s="399" t="s">
        <v>2891</v>
      </c>
    </row>
    <row r="15" spans="1:2" ht="17.25" customHeight="1">
      <c r="A15" s="856">
        <v>45600</v>
      </c>
      <c r="B15" s="399" t="s">
        <v>2892</v>
      </c>
    </row>
    <row r="16" spans="1:2" ht="17.25" customHeight="1">
      <c r="A16" s="856">
        <v>45607</v>
      </c>
      <c r="B16" s="399" t="s">
        <v>2893</v>
      </c>
    </row>
    <row r="17" spans="1:2" ht="17.25" customHeight="1">
      <c r="A17" s="856">
        <v>45634</v>
      </c>
      <c r="B17" s="399" t="s">
        <v>2894</v>
      </c>
    </row>
    <row r="18" spans="1:2">
      <c r="A18" s="856">
        <v>45651</v>
      </c>
      <c r="B18" s="399" t="s">
        <v>2895</v>
      </c>
    </row>
    <row r="19" spans="1:2" ht="17.25" customHeight="1">
      <c r="A19" s="856">
        <v>45658</v>
      </c>
      <c r="B19" s="857" t="s">
        <v>2896</v>
      </c>
    </row>
    <row r="20" spans="1:2" ht="17.25" customHeight="1">
      <c r="A20" s="856">
        <v>45663</v>
      </c>
      <c r="B20" s="857" t="s">
        <v>2897</v>
      </c>
    </row>
    <row r="21" spans="1:2" ht="17.25" customHeight="1">
      <c r="A21" s="856">
        <v>45740</v>
      </c>
      <c r="B21" s="857" t="s">
        <v>2898</v>
      </c>
    </row>
    <row r="22" spans="1:2" ht="17.25" customHeight="1">
      <c r="A22" s="856">
        <v>45764</v>
      </c>
      <c r="B22" s="857" t="s">
        <v>2899</v>
      </c>
    </row>
    <row r="23" spans="1:2" ht="17.25" customHeight="1">
      <c r="A23" s="856">
        <v>45765</v>
      </c>
      <c r="B23" s="857" t="s">
        <v>2900</v>
      </c>
    </row>
    <row r="24" spans="1:2" ht="17.25" customHeight="1">
      <c r="A24" s="856">
        <v>45778</v>
      </c>
      <c r="B24" s="857" t="s">
        <v>2901</v>
      </c>
    </row>
    <row r="25" spans="1:2" ht="17.25" customHeight="1">
      <c r="A25" s="856">
        <v>45810</v>
      </c>
      <c r="B25" s="857" t="s">
        <v>2902</v>
      </c>
    </row>
    <row r="26" spans="1:2" ht="17.25" customHeight="1">
      <c r="A26" s="856">
        <v>45831</v>
      </c>
      <c r="B26" s="857" t="s">
        <v>2903</v>
      </c>
    </row>
    <row r="27" spans="1:2" ht="17.25" customHeight="1">
      <c r="A27" s="856">
        <v>45838</v>
      </c>
      <c r="B27" s="857" t="s">
        <v>2904</v>
      </c>
    </row>
    <row r="28" spans="1:2" ht="17.25" customHeight="1">
      <c r="A28" s="856">
        <v>45858</v>
      </c>
      <c r="B28" s="857" t="s">
        <v>2905</v>
      </c>
    </row>
    <row r="29" spans="1:2" ht="17.25" customHeight="1">
      <c r="A29" s="856">
        <v>45876</v>
      </c>
      <c r="B29" s="857" t="s">
        <v>2906</v>
      </c>
    </row>
    <row r="30" spans="1:2" ht="17.25" customHeight="1">
      <c r="A30" s="856">
        <v>45887</v>
      </c>
      <c r="B30" s="857" t="s">
        <v>2907</v>
      </c>
    </row>
    <row r="31" spans="1:2" ht="17.25" customHeight="1">
      <c r="A31" s="856">
        <v>45943</v>
      </c>
      <c r="B31" s="857" t="s">
        <v>2908</v>
      </c>
    </row>
    <row r="32" spans="1:2" ht="17.25" customHeight="1">
      <c r="A32" s="856">
        <v>45964</v>
      </c>
      <c r="B32" s="857" t="s">
        <v>2909</v>
      </c>
    </row>
    <row r="33" spans="1:2" ht="17.25" customHeight="1">
      <c r="A33" s="856">
        <v>45978</v>
      </c>
      <c r="B33" s="857" t="s">
        <v>2910</v>
      </c>
    </row>
    <row r="34" spans="1:2" ht="17.25" customHeight="1">
      <c r="A34" s="856">
        <v>45999</v>
      </c>
      <c r="B34" s="857" t="s">
        <v>2911</v>
      </c>
    </row>
    <row r="35" spans="1:2" ht="17.25" customHeight="1">
      <c r="A35" s="856">
        <v>46016</v>
      </c>
      <c r="B35" s="857" t="s">
        <v>2912</v>
      </c>
    </row>
    <row r="36" spans="1:2" ht="17.25" customHeight="1">
      <c r="A36" s="858">
        <v>46023</v>
      </c>
      <c r="B36" s="857" t="s">
        <v>2896</v>
      </c>
    </row>
    <row r="37" spans="1:2" ht="17.25" customHeight="1">
      <c r="A37" s="858">
        <v>46034</v>
      </c>
      <c r="B37" s="857" t="s">
        <v>2897</v>
      </c>
    </row>
    <row r="38" spans="1:2" ht="17.25" customHeight="1">
      <c r="A38" s="858">
        <v>46104</v>
      </c>
      <c r="B38" s="857" t="s">
        <v>2898</v>
      </c>
    </row>
    <row r="39" spans="1:2" ht="17.25" customHeight="1">
      <c r="A39" s="858">
        <v>46114</v>
      </c>
      <c r="B39" s="857" t="s">
        <v>2899</v>
      </c>
    </row>
    <row r="40" spans="1:2" ht="17.25" customHeight="1">
      <c r="A40" s="858">
        <v>46115</v>
      </c>
      <c r="B40" s="857" t="s">
        <v>2900</v>
      </c>
    </row>
    <row r="41" spans="1:2" ht="17.25" customHeight="1">
      <c r="A41" s="858">
        <v>46143</v>
      </c>
      <c r="B41" s="857" t="s">
        <v>2901</v>
      </c>
    </row>
    <row r="42" spans="1:2" ht="17.25" customHeight="1">
      <c r="A42" s="858">
        <v>46160</v>
      </c>
      <c r="B42" s="857" t="s">
        <v>2902</v>
      </c>
    </row>
    <row r="43" spans="1:2" ht="17.25" customHeight="1">
      <c r="A43" s="858">
        <v>46181</v>
      </c>
      <c r="B43" s="857" t="s">
        <v>2903</v>
      </c>
    </row>
    <row r="44" spans="1:2" ht="17.25" customHeight="1">
      <c r="A44" s="858">
        <v>46188</v>
      </c>
      <c r="B44" s="857" t="s">
        <v>2913</v>
      </c>
    </row>
    <row r="45" spans="1:2" ht="17.25" customHeight="1">
      <c r="A45" s="858">
        <v>46202</v>
      </c>
      <c r="B45" s="857" t="s">
        <v>2914</v>
      </c>
    </row>
    <row r="46" spans="1:2" ht="17.25" customHeight="1">
      <c r="A46" s="858">
        <v>46223</v>
      </c>
      <c r="B46" s="857" t="s">
        <v>2905</v>
      </c>
    </row>
    <row r="47" spans="1:2" ht="17.25" customHeight="1">
      <c r="A47" s="858">
        <v>46241</v>
      </c>
      <c r="B47" s="857" t="s">
        <v>2906</v>
      </c>
    </row>
    <row r="48" spans="1:2" ht="17.25" customHeight="1">
      <c r="A48" s="858">
        <v>46251</v>
      </c>
      <c r="B48" s="857" t="s">
        <v>2907</v>
      </c>
    </row>
    <row r="49" spans="1:2" ht="17.25" customHeight="1">
      <c r="A49" s="858">
        <v>46307</v>
      </c>
      <c r="B49" s="857" t="s">
        <v>2908</v>
      </c>
    </row>
    <row r="50" spans="1:2" ht="17.25" customHeight="1">
      <c r="A50" s="858">
        <v>46328</v>
      </c>
      <c r="B50" s="857" t="s">
        <v>2909</v>
      </c>
    </row>
    <row r="51" spans="1:2" ht="17.25" customHeight="1">
      <c r="A51" s="858">
        <v>46342</v>
      </c>
      <c r="B51" s="857" t="s">
        <v>2910</v>
      </c>
    </row>
    <row r="52" spans="1:2" ht="17.25" customHeight="1">
      <c r="A52" s="858">
        <v>46364</v>
      </c>
      <c r="B52" s="857" t="s">
        <v>2911</v>
      </c>
    </row>
    <row r="53" spans="1:2" ht="17.25" customHeight="1">
      <c r="A53" s="858">
        <v>46381</v>
      </c>
      <c r="B53" s="857" t="s">
        <v>2912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41" t="s">
        <v>2915</v>
      </c>
      <c r="B1" s="399"/>
      <c r="C1" s="399"/>
      <c r="D1" s="399"/>
      <c r="E1" s="399"/>
      <c r="F1" s="399"/>
      <c r="G1" s="399"/>
      <c r="H1" s="399"/>
      <c r="I1" s="399"/>
      <c r="J1" s="399"/>
      <c r="K1" s="399"/>
      <c r="L1" s="399"/>
      <c r="M1" s="399"/>
      <c r="N1" s="399"/>
      <c r="O1" s="399"/>
      <c r="P1" s="399"/>
      <c r="Q1" s="399"/>
      <c r="R1" s="399"/>
      <c r="S1" s="399"/>
      <c r="T1" s="399"/>
      <c r="U1" s="399"/>
      <c r="V1" s="399"/>
      <c r="W1" s="399"/>
      <c r="X1" s="399"/>
      <c r="Y1" s="399"/>
      <c r="Z1" s="399"/>
    </row>
    <row r="2" spans="1:97">
      <c r="A2" s="399"/>
      <c r="B2" s="399"/>
      <c r="C2" s="399"/>
      <c r="D2" s="399"/>
      <c r="E2" s="399"/>
      <c r="F2" s="399"/>
      <c r="G2" s="399"/>
      <c r="H2" s="399"/>
      <c r="I2" s="399"/>
      <c r="J2" s="399"/>
      <c r="K2" s="399"/>
      <c r="L2" s="399"/>
      <c r="M2" s="399"/>
      <c r="N2" s="399"/>
      <c r="O2" s="399"/>
      <c r="P2" s="399"/>
      <c r="Q2" s="399"/>
      <c r="R2" s="399"/>
      <c r="S2" s="399"/>
      <c r="T2" s="399"/>
      <c r="U2" s="399"/>
      <c r="V2" s="399"/>
      <c r="W2" s="399"/>
      <c r="X2" s="399"/>
      <c r="Y2" s="399"/>
      <c r="Z2" s="399"/>
    </row>
    <row r="3" spans="1:97" ht="32.25" customHeight="1">
      <c r="A3" s="859" t="s">
        <v>2916</v>
      </c>
      <c r="B3" s="860">
        <v>45596</v>
      </c>
      <c r="C3" s="860">
        <v>45597</v>
      </c>
      <c r="D3" s="860">
        <v>45601</v>
      </c>
      <c r="E3" s="860">
        <v>45602</v>
      </c>
      <c r="F3" s="860">
        <v>45603</v>
      </c>
      <c r="G3" s="860">
        <v>45604</v>
      </c>
      <c r="H3" s="860">
        <v>45608</v>
      </c>
      <c r="I3" s="860">
        <v>45609</v>
      </c>
      <c r="J3" s="860">
        <v>45610</v>
      </c>
      <c r="K3" s="860">
        <v>45611</v>
      </c>
      <c r="L3" s="860">
        <v>45614</v>
      </c>
      <c r="M3" s="860">
        <v>45615</v>
      </c>
      <c r="N3" s="860">
        <v>45616</v>
      </c>
      <c r="O3" s="860">
        <v>45617</v>
      </c>
      <c r="P3" s="860">
        <v>45618</v>
      </c>
      <c r="Q3" s="861">
        <v>45621</v>
      </c>
      <c r="R3" s="861">
        <v>45622</v>
      </c>
      <c r="S3" s="861">
        <v>45623</v>
      </c>
      <c r="T3" s="861">
        <v>45624</v>
      </c>
      <c r="U3" s="861">
        <v>45625</v>
      </c>
      <c r="V3" s="861">
        <v>45628</v>
      </c>
      <c r="W3" s="861">
        <v>45629</v>
      </c>
      <c r="X3" s="861">
        <v>45630</v>
      </c>
      <c r="Y3" s="861">
        <v>45631</v>
      </c>
      <c r="Z3" s="861">
        <v>45632</v>
      </c>
      <c r="AA3" s="861">
        <v>45635</v>
      </c>
      <c r="AB3" s="861">
        <v>45636</v>
      </c>
      <c r="AC3" s="861">
        <v>45637</v>
      </c>
      <c r="AD3" s="861">
        <v>45638</v>
      </c>
      <c r="AE3" s="862">
        <v>45639</v>
      </c>
      <c r="AF3" s="860">
        <v>45642</v>
      </c>
      <c r="AG3" s="860">
        <v>45643</v>
      </c>
      <c r="AH3" s="860">
        <v>45644</v>
      </c>
      <c r="AI3" s="860">
        <v>45645</v>
      </c>
      <c r="AJ3" s="860">
        <v>45646</v>
      </c>
      <c r="AK3" s="860">
        <v>45649</v>
      </c>
      <c r="AL3" s="860">
        <v>45650</v>
      </c>
      <c r="AM3" s="860">
        <v>45652</v>
      </c>
      <c r="AN3" s="860">
        <v>45653</v>
      </c>
      <c r="AO3" s="860">
        <v>45656</v>
      </c>
      <c r="AP3" s="860">
        <v>45656</v>
      </c>
      <c r="AQ3" s="860">
        <v>45664</v>
      </c>
      <c r="AR3" s="860">
        <v>45665</v>
      </c>
      <c r="AS3" s="860">
        <v>45666</v>
      </c>
      <c r="AT3" s="860">
        <v>45667</v>
      </c>
      <c r="AU3" s="860">
        <v>45670</v>
      </c>
      <c r="AV3" s="860">
        <v>45671</v>
      </c>
      <c r="AW3" s="860">
        <v>45672</v>
      </c>
      <c r="AX3" s="860">
        <v>45673</v>
      </c>
      <c r="AY3" s="860">
        <v>45674</v>
      </c>
      <c r="AZ3" s="860">
        <v>45677</v>
      </c>
      <c r="BA3" s="860">
        <v>45678</v>
      </c>
      <c r="BB3" s="860">
        <v>45679</v>
      </c>
      <c r="BC3" s="860">
        <v>45680</v>
      </c>
      <c r="BD3" s="860">
        <v>45681</v>
      </c>
      <c r="BE3" s="860">
        <v>45684</v>
      </c>
      <c r="BF3" s="860">
        <v>45685</v>
      </c>
      <c r="BG3" s="860">
        <v>45686</v>
      </c>
      <c r="BH3" s="860">
        <v>45687</v>
      </c>
      <c r="BI3" s="860">
        <v>45688</v>
      </c>
      <c r="BJ3" s="861">
        <v>45691</v>
      </c>
      <c r="BK3" s="861">
        <v>45692</v>
      </c>
      <c r="BL3" s="861">
        <v>45693</v>
      </c>
      <c r="BM3" s="861">
        <v>45694</v>
      </c>
      <c r="BN3" s="861">
        <v>45695</v>
      </c>
      <c r="BO3" s="861">
        <v>45698</v>
      </c>
      <c r="BP3" s="861">
        <v>45699</v>
      </c>
      <c r="BQ3" s="861">
        <v>45700</v>
      </c>
      <c r="BR3" s="861">
        <v>45701</v>
      </c>
      <c r="BS3" s="861">
        <v>45702</v>
      </c>
      <c r="BT3" s="861">
        <v>45705</v>
      </c>
      <c r="BU3" s="861">
        <v>45706</v>
      </c>
      <c r="BV3" s="861">
        <v>45707</v>
      </c>
      <c r="BW3" s="861">
        <v>45708</v>
      </c>
      <c r="BX3" s="861">
        <v>45709</v>
      </c>
      <c r="BY3" s="861">
        <v>45712</v>
      </c>
      <c r="BZ3" s="861">
        <v>45713</v>
      </c>
      <c r="CA3" s="861">
        <v>45714</v>
      </c>
      <c r="CB3" s="861">
        <v>45715</v>
      </c>
      <c r="CC3" s="861">
        <v>45716</v>
      </c>
      <c r="CD3" s="861">
        <v>45719</v>
      </c>
      <c r="CE3" s="861">
        <v>45720</v>
      </c>
      <c r="CF3" s="861">
        <v>45721</v>
      </c>
      <c r="CG3" s="861">
        <v>45722</v>
      </c>
      <c r="CH3" s="861">
        <v>45723</v>
      </c>
      <c r="CI3" s="861">
        <v>45726</v>
      </c>
      <c r="CJ3" s="861">
        <v>45727</v>
      </c>
      <c r="CK3" s="861">
        <v>45728</v>
      </c>
      <c r="CL3" s="861">
        <v>45729</v>
      </c>
      <c r="CM3" s="861">
        <v>45730</v>
      </c>
      <c r="CN3" s="861">
        <v>45733</v>
      </c>
      <c r="CO3" s="861">
        <v>45734</v>
      </c>
      <c r="CP3" s="861">
        <v>45735</v>
      </c>
      <c r="CQ3" s="861">
        <v>45736</v>
      </c>
      <c r="CR3" s="861">
        <v>45737</v>
      </c>
      <c r="CS3" s="861">
        <v>45741</v>
      </c>
    </row>
    <row r="4" spans="1:97" ht="30.75" customHeight="1">
      <c r="A4" s="863" t="s">
        <v>1981</v>
      </c>
      <c r="B4" s="864" t="s">
        <v>2917</v>
      </c>
      <c r="C4" s="865" t="s">
        <v>2918</v>
      </c>
      <c r="D4" s="682" t="s">
        <v>2917</v>
      </c>
      <c r="E4" s="682" t="s">
        <v>2917</v>
      </c>
      <c r="F4" s="682" t="s">
        <v>2917</v>
      </c>
      <c r="G4" s="682" t="s">
        <v>2917</v>
      </c>
      <c r="H4" s="682" t="s">
        <v>2917</v>
      </c>
      <c r="I4" s="682" t="s">
        <v>2917</v>
      </c>
      <c r="J4" s="682" t="s">
        <v>2917</v>
      </c>
      <c r="K4" s="682" t="s">
        <v>2917</v>
      </c>
      <c r="L4" s="682" t="s">
        <v>2917</v>
      </c>
      <c r="M4" s="682" t="s">
        <v>2917</v>
      </c>
      <c r="N4" s="682" t="s">
        <v>2917</v>
      </c>
      <c r="O4" s="682" t="s">
        <v>2919</v>
      </c>
      <c r="P4" s="866" t="s">
        <v>2917</v>
      </c>
      <c r="Q4" s="682" t="s">
        <v>2917</v>
      </c>
      <c r="R4" s="682" t="s">
        <v>2917</v>
      </c>
      <c r="S4" s="682" t="s">
        <v>2917</v>
      </c>
      <c r="T4" s="682" t="s">
        <v>2917</v>
      </c>
      <c r="U4" s="866" t="s">
        <v>2920</v>
      </c>
      <c r="V4" s="682" t="s">
        <v>2917</v>
      </c>
      <c r="W4" s="682" t="s">
        <v>2917</v>
      </c>
      <c r="X4" s="682" t="s">
        <v>2917</v>
      </c>
      <c r="Y4" s="682" t="s">
        <v>2917</v>
      </c>
      <c r="Z4" s="682" t="s">
        <v>2917</v>
      </c>
      <c r="AA4" s="682" t="s">
        <v>2917</v>
      </c>
      <c r="AB4" s="682" t="s">
        <v>2917</v>
      </c>
      <c r="AC4" s="682" t="s">
        <v>2917</v>
      </c>
      <c r="AD4" s="682" t="s">
        <v>2917</v>
      </c>
      <c r="AE4" s="892" t="s">
        <v>2921</v>
      </c>
      <c r="AF4" s="682" t="s">
        <v>2917</v>
      </c>
      <c r="AG4" s="682" t="s">
        <v>2917</v>
      </c>
      <c r="AH4" s="682" t="s">
        <v>2917</v>
      </c>
      <c r="AI4" s="682" t="s">
        <v>2917</v>
      </c>
      <c r="AJ4" s="682" t="s">
        <v>2917</v>
      </c>
      <c r="AK4" s="682" t="s">
        <v>2917</v>
      </c>
      <c r="AL4" s="892" t="s">
        <v>2922</v>
      </c>
      <c r="AM4" s="682" t="s">
        <v>2920</v>
      </c>
      <c r="AN4" s="682" t="s">
        <v>2920</v>
      </c>
      <c r="AO4" s="682" t="s">
        <v>2917</v>
      </c>
      <c r="AP4" s="892" t="s">
        <v>2923</v>
      </c>
      <c r="AQ4" s="682" t="s">
        <v>2917</v>
      </c>
      <c r="AR4" s="682" t="s">
        <v>2917</v>
      </c>
      <c r="AS4" s="892" t="s">
        <v>2923</v>
      </c>
      <c r="AT4" s="807" t="s">
        <v>2917</v>
      </c>
      <c r="AU4" s="682" t="s">
        <v>2917</v>
      </c>
      <c r="AV4" s="682" t="s">
        <v>2917</v>
      </c>
      <c r="AW4" s="682" t="s">
        <v>2917</v>
      </c>
      <c r="AX4" s="682" t="s">
        <v>2917</v>
      </c>
      <c r="AY4" s="892" t="s">
        <v>2923</v>
      </c>
      <c r="AZ4" s="682" t="s">
        <v>2917</v>
      </c>
      <c r="BA4" s="682" t="s">
        <v>2917</v>
      </c>
      <c r="BB4" s="682" t="s">
        <v>2917</v>
      </c>
      <c r="BC4" s="682" t="s">
        <v>2917</v>
      </c>
      <c r="BD4" s="682" t="s">
        <v>2917</v>
      </c>
      <c r="BE4" s="682" t="s">
        <v>2917</v>
      </c>
      <c r="BF4" s="682" t="s">
        <v>2917</v>
      </c>
      <c r="BG4" s="682" t="s">
        <v>2917</v>
      </c>
      <c r="BH4" s="682" t="s">
        <v>2917</v>
      </c>
      <c r="BI4" s="866" t="s">
        <v>2917</v>
      </c>
      <c r="BJ4" s="892" t="s">
        <v>2923</v>
      </c>
      <c r="BK4" s="866" t="s">
        <v>2924</v>
      </c>
      <c r="BL4" s="866" t="s">
        <v>2924</v>
      </c>
      <c r="BM4" s="866" t="s">
        <v>2924</v>
      </c>
      <c r="BN4" s="866" t="s">
        <v>2924</v>
      </c>
      <c r="BO4" s="866" t="s">
        <v>2924</v>
      </c>
      <c r="BP4" s="866" t="s">
        <v>2924</v>
      </c>
      <c r="BQ4" s="866" t="s">
        <v>2924</v>
      </c>
      <c r="BR4" s="682" t="s">
        <v>2917</v>
      </c>
      <c r="BS4" s="682" t="s">
        <v>2917</v>
      </c>
      <c r="BT4" s="682" t="s">
        <v>2917</v>
      </c>
      <c r="BU4" s="682" t="s">
        <v>2917</v>
      </c>
      <c r="BV4" s="682" t="s">
        <v>2917</v>
      </c>
      <c r="BW4" s="682" t="s">
        <v>2917</v>
      </c>
      <c r="BX4" s="682" t="s">
        <v>2917</v>
      </c>
      <c r="BY4" s="682" t="s">
        <v>2917</v>
      </c>
      <c r="BZ4" s="682" t="s">
        <v>2917</v>
      </c>
      <c r="CA4" s="682" t="s">
        <v>2917</v>
      </c>
      <c r="CB4" s="682" t="s">
        <v>2917</v>
      </c>
      <c r="CC4" s="682" t="s">
        <v>2917</v>
      </c>
      <c r="CD4" s="682" t="s">
        <v>2917</v>
      </c>
      <c r="CE4" s="682" t="s">
        <v>2917</v>
      </c>
      <c r="CF4" s="682" t="s">
        <v>2917</v>
      </c>
      <c r="CG4" s="682"/>
      <c r="CH4" s="682"/>
      <c r="CI4" s="892" t="s">
        <v>2925</v>
      </c>
      <c r="CJ4" s="682"/>
      <c r="CK4" s="682"/>
      <c r="CL4" s="682"/>
      <c r="CM4" s="682"/>
      <c r="CN4" s="682"/>
      <c r="CO4" s="682"/>
      <c r="CP4" s="682"/>
      <c r="CQ4" s="682"/>
      <c r="CR4" s="682"/>
      <c r="CS4" s="682" t="s">
        <v>2917</v>
      </c>
    </row>
    <row r="5" spans="1:97" ht="15.75" customHeight="1">
      <c r="A5" s="863" t="s">
        <v>1966</v>
      </c>
      <c r="B5" s="864" t="s">
        <v>2917</v>
      </c>
      <c r="C5" s="682" t="s">
        <v>2917</v>
      </c>
      <c r="D5" s="682" t="s">
        <v>2917</v>
      </c>
      <c r="E5" s="682" t="s">
        <v>2917</v>
      </c>
      <c r="F5" s="682" t="s">
        <v>2917</v>
      </c>
      <c r="G5" s="682" t="s">
        <v>2917</v>
      </c>
      <c r="H5" s="682" t="s">
        <v>2917</v>
      </c>
      <c r="I5" s="682" t="s">
        <v>2917</v>
      </c>
      <c r="J5" s="682" t="s">
        <v>2917</v>
      </c>
      <c r="K5" s="682" t="s">
        <v>2917</v>
      </c>
      <c r="L5" s="682" t="s">
        <v>2924</v>
      </c>
      <c r="M5" s="682" t="s">
        <v>2924</v>
      </c>
      <c r="N5" s="682" t="s">
        <v>2924</v>
      </c>
      <c r="O5" s="682" t="s">
        <v>2924</v>
      </c>
      <c r="P5" s="866" t="s">
        <v>2924</v>
      </c>
      <c r="Q5" s="682" t="s">
        <v>2917</v>
      </c>
      <c r="R5" s="682" t="s">
        <v>2917</v>
      </c>
      <c r="S5" s="682" t="s">
        <v>2917</v>
      </c>
      <c r="T5" s="682" t="s">
        <v>2917</v>
      </c>
      <c r="U5" s="866" t="s">
        <v>2917</v>
      </c>
      <c r="V5" s="682" t="s">
        <v>2917</v>
      </c>
      <c r="W5" s="682" t="s">
        <v>2917</v>
      </c>
      <c r="X5" s="682" t="s">
        <v>2917</v>
      </c>
      <c r="Y5" s="682" t="s">
        <v>2917</v>
      </c>
      <c r="Z5" s="682" t="s">
        <v>2917</v>
      </c>
      <c r="AA5" s="682" t="s">
        <v>2917</v>
      </c>
      <c r="AB5" s="682" t="s">
        <v>2917</v>
      </c>
      <c r="AC5" s="682" t="s">
        <v>2917</v>
      </c>
      <c r="AD5" s="682" t="s">
        <v>2917</v>
      </c>
      <c r="AE5" s="893"/>
      <c r="AF5" s="682" t="s">
        <v>2917</v>
      </c>
      <c r="AG5" s="682" t="s">
        <v>2917</v>
      </c>
      <c r="AH5" s="682" t="s">
        <v>2917</v>
      </c>
      <c r="AI5" s="682" t="s">
        <v>2917</v>
      </c>
      <c r="AJ5" s="682" t="s">
        <v>2917</v>
      </c>
      <c r="AK5" s="682" t="s">
        <v>2917</v>
      </c>
      <c r="AL5" s="893"/>
      <c r="AM5" s="682" t="s">
        <v>2917</v>
      </c>
      <c r="AN5" s="682" t="s">
        <v>2917</v>
      </c>
      <c r="AO5" s="682" t="s">
        <v>2917</v>
      </c>
      <c r="AP5" s="893"/>
      <c r="AQ5" s="682" t="s">
        <v>2924</v>
      </c>
      <c r="AR5" s="682" t="s">
        <v>2924</v>
      </c>
      <c r="AS5" s="893"/>
      <c r="AT5" s="682" t="s">
        <v>2924</v>
      </c>
      <c r="AU5" s="682" t="s">
        <v>2924</v>
      </c>
      <c r="AV5" s="682" t="s">
        <v>2924</v>
      </c>
      <c r="AW5" s="682" t="s">
        <v>2924</v>
      </c>
      <c r="AX5" s="682" t="s">
        <v>2924</v>
      </c>
      <c r="AY5" s="893"/>
      <c r="AZ5" s="682" t="s">
        <v>2924</v>
      </c>
      <c r="BA5" s="682" t="s">
        <v>2917</v>
      </c>
      <c r="BB5" s="682" t="s">
        <v>2917</v>
      </c>
      <c r="BC5" s="682" t="s">
        <v>2917</v>
      </c>
      <c r="BD5" s="682" t="s">
        <v>2917</v>
      </c>
      <c r="BE5" s="682" t="s">
        <v>2917</v>
      </c>
      <c r="BF5" s="682" t="s">
        <v>2917</v>
      </c>
      <c r="BG5" s="682" t="s">
        <v>2917</v>
      </c>
      <c r="BH5" s="682" t="s">
        <v>2917</v>
      </c>
      <c r="BI5" s="866" t="s">
        <v>2917</v>
      </c>
      <c r="BJ5" s="893"/>
      <c r="BK5" s="866" t="s">
        <v>2917</v>
      </c>
      <c r="BL5" s="866" t="s">
        <v>2917</v>
      </c>
      <c r="BM5" s="682" t="s">
        <v>2917</v>
      </c>
      <c r="BN5" s="866" t="s">
        <v>2917</v>
      </c>
      <c r="BO5" s="682" t="s">
        <v>2917</v>
      </c>
      <c r="BP5" s="682" t="s">
        <v>2917</v>
      </c>
      <c r="BQ5" s="682" t="s">
        <v>2917</v>
      </c>
      <c r="BR5" s="682" t="s">
        <v>2917</v>
      </c>
      <c r="BS5" s="682" t="s">
        <v>2917</v>
      </c>
      <c r="BT5" s="682" t="s">
        <v>2917</v>
      </c>
      <c r="BU5" s="682" t="s">
        <v>2917</v>
      </c>
      <c r="BV5" s="682" t="s">
        <v>2917</v>
      </c>
      <c r="BW5" s="682" t="s">
        <v>2917</v>
      </c>
      <c r="BX5" s="682" t="s">
        <v>2917</v>
      </c>
      <c r="BY5" s="682" t="s">
        <v>2917</v>
      </c>
      <c r="BZ5" s="682" t="s">
        <v>2917</v>
      </c>
      <c r="CA5" s="682" t="s">
        <v>2917</v>
      </c>
      <c r="CB5" s="682" t="s">
        <v>2917</v>
      </c>
      <c r="CC5" s="682" t="s">
        <v>2917</v>
      </c>
      <c r="CD5" s="682" t="s">
        <v>2917</v>
      </c>
      <c r="CE5" s="682" t="s">
        <v>2917</v>
      </c>
      <c r="CF5" s="682" t="s">
        <v>2917</v>
      </c>
      <c r="CG5" s="682"/>
      <c r="CH5" s="682"/>
      <c r="CI5" s="893"/>
      <c r="CJ5" s="682"/>
      <c r="CK5" s="682"/>
      <c r="CL5" s="682"/>
      <c r="CM5" s="682"/>
      <c r="CN5" s="682"/>
      <c r="CO5" s="682"/>
      <c r="CP5" s="682"/>
      <c r="CQ5" s="682"/>
      <c r="CR5" s="682"/>
      <c r="CS5" s="682" t="s">
        <v>2917</v>
      </c>
    </row>
    <row r="6" spans="1:97" ht="15.75">
      <c r="A6" s="863" t="s">
        <v>1991</v>
      </c>
      <c r="B6" s="864" t="s">
        <v>2917</v>
      </c>
      <c r="C6" s="682" t="s">
        <v>2917</v>
      </c>
      <c r="D6" s="682" t="s">
        <v>2917</v>
      </c>
      <c r="E6" s="682" t="s">
        <v>2917</v>
      </c>
      <c r="F6" s="682" t="s">
        <v>2917</v>
      </c>
      <c r="G6" s="682" t="s">
        <v>2917</v>
      </c>
      <c r="H6" s="682" t="s">
        <v>2917</v>
      </c>
      <c r="I6" s="682" t="s">
        <v>2917</v>
      </c>
      <c r="J6" s="682" t="s">
        <v>2917</v>
      </c>
      <c r="K6" s="867" t="s">
        <v>2926</v>
      </c>
      <c r="L6" s="682" t="s">
        <v>2917</v>
      </c>
      <c r="M6" s="682" t="s">
        <v>2917</v>
      </c>
      <c r="N6" s="682" t="s">
        <v>2917</v>
      </c>
      <c r="O6" s="682" t="s">
        <v>2919</v>
      </c>
      <c r="P6" s="866" t="s">
        <v>2917</v>
      </c>
      <c r="Q6" s="682" t="s">
        <v>2917</v>
      </c>
      <c r="R6" s="682" t="s">
        <v>2917</v>
      </c>
      <c r="S6" s="682" t="s">
        <v>2917</v>
      </c>
      <c r="T6" s="682" t="s">
        <v>2917</v>
      </c>
      <c r="U6" s="866" t="s">
        <v>2917</v>
      </c>
      <c r="V6" s="682" t="s">
        <v>2917</v>
      </c>
      <c r="W6" s="682" t="s">
        <v>2917</v>
      </c>
      <c r="X6" s="682" t="s">
        <v>2917</v>
      </c>
      <c r="Y6" s="682" t="s">
        <v>2917</v>
      </c>
      <c r="Z6" s="682" t="s">
        <v>2917</v>
      </c>
      <c r="AA6" s="682" t="s">
        <v>2917</v>
      </c>
      <c r="AB6" s="682" t="s">
        <v>2917</v>
      </c>
      <c r="AC6" s="682" t="s">
        <v>2917</v>
      </c>
      <c r="AD6" s="682" t="s">
        <v>2917</v>
      </c>
      <c r="AE6" s="893"/>
      <c r="AF6" s="682" t="s">
        <v>2917</v>
      </c>
      <c r="AG6" s="682" t="s">
        <v>2917</v>
      </c>
      <c r="AH6" s="682" t="s">
        <v>2917</v>
      </c>
      <c r="AI6" s="682" t="s">
        <v>2917</v>
      </c>
      <c r="AJ6" s="682" t="s">
        <v>2917</v>
      </c>
      <c r="AK6" s="682" t="s">
        <v>2917</v>
      </c>
      <c r="AL6" s="893"/>
      <c r="AM6" s="682" t="s">
        <v>2917</v>
      </c>
      <c r="AN6" s="682" t="s">
        <v>2917</v>
      </c>
      <c r="AO6" s="682" t="s">
        <v>2917</v>
      </c>
      <c r="AP6" s="893"/>
      <c r="AQ6" s="682" t="s">
        <v>2917</v>
      </c>
      <c r="AR6" s="682" t="s">
        <v>2917</v>
      </c>
      <c r="AS6" s="893"/>
      <c r="AT6" s="682" t="s">
        <v>2917</v>
      </c>
      <c r="AU6" s="682" t="s">
        <v>2917</v>
      </c>
      <c r="AV6" s="682" t="s">
        <v>2917</v>
      </c>
      <c r="AW6" s="682" t="s">
        <v>2917</v>
      </c>
      <c r="AX6" s="682" t="s">
        <v>2917</v>
      </c>
      <c r="AY6" s="893"/>
      <c r="AZ6" s="682" t="s">
        <v>2917</v>
      </c>
      <c r="BA6" s="682" t="s">
        <v>2917</v>
      </c>
      <c r="BB6" s="682" t="s">
        <v>2917</v>
      </c>
      <c r="BC6" s="682" t="s">
        <v>2917</v>
      </c>
      <c r="BD6" s="682" t="s">
        <v>2917</v>
      </c>
      <c r="BE6" s="682" t="s">
        <v>2917</v>
      </c>
      <c r="BF6" s="682" t="s">
        <v>2917</v>
      </c>
      <c r="BG6" s="682" t="s">
        <v>2917</v>
      </c>
      <c r="BH6" s="682" t="s">
        <v>2917</v>
      </c>
      <c r="BI6" s="866" t="s">
        <v>2917</v>
      </c>
      <c r="BJ6" s="893"/>
      <c r="BK6" s="866" t="s">
        <v>2917</v>
      </c>
      <c r="BL6" s="866" t="s">
        <v>2917</v>
      </c>
      <c r="BM6" s="682" t="s">
        <v>2927</v>
      </c>
      <c r="BN6" s="866" t="s">
        <v>2917</v>
      </c>
      <c r="BO6" s="682" t="s">
        <v>2917</v>
      </c>
      <c r="BP6" s="682" t="s">
        <v>2917</v>
      </c>
      <c r="BQ6" s="682" t="s">
        <v>2917</v>
      </c>
      <c r="BR6" s="682" t="s">
        <v>2917</v>
      </c>
      <c r="BS6" s="682" t="s">
        <v>2917</v>
      </c>
      <c r="BT6" s="682" t="s">
        <v>2917</v>
      </c>
      <c r="BU6" s="682" t="s">
        <v>2917</v>
      </c>
      <c r="BV6" s="682" t="s">
        <v>2917</v>
      </c>
      <c r="BW6" s="682" t="s">
        <v>2917</v>
      </c>
      <c r="BX6" s="682" t="s">
        <v>2917</v>
      </c>
      <c r="BY6" s="682" t="s">
        <v>2917</v>
      </c>
      <c r="BZ6" s="682" t="s">
        <v>2917</v>
      </c>
      <c r="CA6" s="682" t="s">
        <v>2917</v>
      </c>
      <c r="CB6" s="682" t="s">
        <v>2917</v>
      </c>
      <c r="CC6" s="682" t="s">
        <v>2917</v>
      </c>
      <c r="CD6" s="682" t="s">
        <v>2917</v>
      </c>
      <c r="CE6" s="682" t="s">
        <v>2917</v>
      </c>
      <c r="CF6" s="682" t="s">
        <v>2917</v>
      </c>
      <c r="CG6" s="682"/>
      <c r="CH6" s="682"/>
      <c r="CI6" s="893"/>
      <c r="CJ6" s="682"/>
      <c r="CK6" s="682"/>
      <c r="CL6" s="682"/>
      <c r="CM6" s="682"/>
      <c r="CN6" s="682"/>
      <c r="CO6" s="682"/>
      <c r="CP6" s="682"/>
      <c r="CQ6" s="682"/>
      <c r="CR6" s="682"/>
      <c r="CS6" s="682" t="s">
        <v>2917</v>
      </c>
    </row>
    <row r="7" spans="1:97" ht="15.75" hidden="1" customHeight="1">
      <c r="A7" s="863" t="s">
        <v>2928</v>
      </c>
      <c r="B7" s="864" t="s">
        <v>2917</v>
      </c>
      <c r="C7" s="682" t="s">
        <v>2917</v>
      </c>
      <c r="D7" s="682" t="s">
        <v>2917</v>
      </c>
      <c r="E7" s="682" t="s">
        <v>2917</v>
      </c>
      <c r="F7" s="682" t="s">
        <v>2917</v>
      </c>
      <c r="G7" s="682" t="s">
        <v>2917</v>
      </c>
      <c r="H7" s="682" t="s">
        <v>2917</v>
      </c>
      <c r="I7" s="682" t="s">
        <v>2917</v>
      </c>
      <c r="J7" s="682" t="s">
        <v>2917</v>
      </c>
      <c r="K7" s="682" t="s">
        <v>2917</v>
      </c>
      <c r="L7" s="867" t="s">
        <v>2926</v>
      </c>
      <c r="M7" s="682" t="s">
        <v>2917</v>
      </c>
      <c r="N7" s="682" t="s">
        <v>2917</v>
      </c>
      <c r="O7" s="682" t="s">
        <v>2919</v>
      </c>
      <c r="P7" s="866" t="s">
        <v>2917</v>
      </c>
      <c r="Q7" s="682" t="s">
        <v>2917</v>
      </c>
      <c r="R7" s="682" t="s">
        <v>2917</v>
      </c>
      <c r="S7" s="682" t="s">
        <v>2917</v>
      </c>
      <c r="T7" s="682" t="s">
        <v>2917</v>
      </c>
      <c r="U7" s="866" t="s">
        <v>2929</v>
      </c>
      <c r="V7" s="682" t="s">
        <v>2917</v>
      </c>
      <c r="W7" s="682" t="s">
        <v>2917</v>
      </c>
      <c r="X7" s="682" t="s">
        <v>2917</v>
      </c>
      <c r="Y7" s="682" t="s">
        <v>2917</v>
      </c>
      <c r="Z7" s="682" t="s">
        <v>2920</v>
      </c>
      <c r="AA7" s="682" t="s">
        <v>2917</v>
      </c>
      <c r="AB7" s="682" t="s">
        <v>2917</v>
      </c>
      <c r="AC7" s="682" t="s">
        <v>2917</v>
      </c>
      <c r="AD7" s="682" t="s">
        <v>2917</v>
      </c>
      <c r="AE7" s="893"/>
      <c r="AF7" s="682" t="s">
        <v>2917</v>
      </c>
      <c r="AG7" s="682" t="s">
        <v>2917</v>
      </c>
      <c r="AH7" s="682" t="s">
        <v>2917</v>
      </c>
      <c r="AI7" s="682" t="s">
        <v>2917</v>
      </c>
      <c r="AJ7" s="682" t="s">
        <v>2917</v>
      </c>
      <c r="AK7" s="682" t="s">
        <v>2917</v>
      </c>
      <c r="AL7" s="893"/>
      <c r="AM7" s="682" t="s">
        <v>2917</v>
      </c>
      <c r="AN7" s="682" t="s">
        <v>2917</v>
      </c>
      <c r="AO7" s="682" t="s">
        <v>2917</v>
      </c>
      <c r="AP7" s="893"/>
      <c r="AQ7" s="682" t="s">
        <v>2917</v>
      </c>
      <c r="AR7" s="682" t="s">
        <v>2917</v>
      </c>
      <c r="AS7" s="893"/>
      <c r="AT7" s="682" t="s">
        <v>2917</v>
      </c>
      <c r="AU7" s="682" t="s">
        <v>2920</v>
      </c>
      <c r="AV7" s="682" t="s">
        <v>2917</v>
      </c>
      <c r="AW7" s="682" t="s">
        <v>2917</v>
      </c>
      <c r="AX7" s="682" t="s">
        <v>2917</v>
      </c>
      <c r="AY7" s="893"/>
      <c r="AZ7" s="682" t="s">
        <v>2917</v>
      </c>
      <c r="BA7" s="682" t="s">
        <v>2917</v>
      </c>
      <c r="BB7" s="682" t="s">
        <v>2917</v>
      </c>
      <c r="BC7" s="682" t="s">
        <v>2917</v>
      </c>
      <c r="BD7" s="682" t="s">
        <v>2917</v>
      </c>
      <c r="BE7" s="682" t="s">
        <v>2917</v>
      </c>
      <c r="BF7" s="682" t="s">
        <v>2917</v>
      </c>
      <c r="BG7" s="682" t="s">
        <v>2917</v>
      </c>
      <c r="BH7" s="682" t="s">
        <v>2917</v>
      </c>
      <c r="BI7" s="866" t="s">
        <v>2917</v>
      </c>
      <c r="BJ7" s="893"/>
      <c r="BK7" s="866" t="s">
        <v>2917</v>
      </c>
      <c r="BL7" s="866" t="s">
        <v>2917</v>
      </c>
      <c r="BM7" s="682" t="s">
        <v>2917</v>
      </c>
      <c r="BN7" s="866" t="s">
        <v>2917</v>
      </c>
      <c r="BO7" s="682" t="s">
        <v>2920</v>
      </c>
      <c r="BP7" s="682"/>
      <c r="BQ7" s="682"/>
      <c r="BR7" s="682"/>
      <c r="BS7" s="682"/>
      <c r="BT7" s="682"/>
      <c r="BU7" s="682" t="s">
        <v>2917</v>
      </c>
      <c r="BV7" s="682" t="s">
        <v>2917</v>
      </c>
      <c r="BW7" s="682" t="s">
        <v>2917</v>
      </c>
      <c r="BX7" s="682" t="s">
        <v>2917</v>
      </c>
      <c r="BY7" s="682"/>
      <c r="BZ7" s="682"/>
      <c r="CA7" s="682"/>
      <c r="CB7" s="682"/>
      <c r="CC7" s="682"/>
      <c r="CD7" s="682"/>
      <c r="CE7" s="682"/>
      <c r="CF7" s="682"/>
      <c r="CG7" s="682"/>
      <c r="CH7" s="682"/>
      <c r="CI7" s="893"/>
      <c r="CJ7" s="682"/>
      <c r="CK7" s="682"/>
      <c r="CL7" s="682"/>
      <c r="CM7" s="682"/>
      <c r="CN7" s="682"/>
      <c r="CO7" s="682"/>
      <c r="CP7" s="682"/>
      <c r="CQ7" s="682"/>
      <c r="CR7" s="682"/>
      <c r="CS7" s="682"/>
    </row>
    <row r="8" spans="1:97" ht="15.75" hidden="1" customHeight="1">
      <c r="A8" s="863" t="s">
        <v>2930</v>
      </c>
      <c r="B8" s="864" t="s">
        <v>2917</v>
      </c>
      <c r="C8" s="682" t="s">
        <v>2917</v>
      </c>
      <c r="D8" s="682" t="s">
        <v>2917</v>
      </c>
      <c r="E8" s="682" t="s">
        <v>2917</v>
      </c>
      <c r="F8" s="682" t="s">
        <v>2917</v>
      </c>
      <c r="G8" s="682" t="s">
        <v>2917</v>
      </c>
      <c r="H8" s="682" t="s">
        <v>2917</v>
      </c>
      <c r="I8" s="682" t="s">
        <v>2917</v>
      </c>
      <c r="J8" s="682" t="s">
        <v>2917</v>
      </c>
      <c r="K8" s="682" t="s">
        <v>2917</v>
      </c>
      <c r="L8" s="682" t="s">
        <v>2920</v>
      </c>
      <c r="M8" s="682" t="s">
        <v>2917</v>
      </c>
      <c r="N8" s="682" t="s">
        <v>2917</v>
      </c>
      <c r="O8" s="682" t="s">
        <v>2919</v>
      </c>
      <c r="P8" s="866" t="s">
        <v>2917</v>
      </c>
      <c r="Q8" s="682" t="s">
        <v>2917</v>
      </c>
      <c r="R8" s="682" t="s">
        <v>2917</v>
      </c>
      <c r="S8" s="682" t="s">
        <v>2917</v>
      </c>
      <c r="T8" s="682" t="s">
        <v>2917</v>
      </c>
      <c r="U8" s="866" t="s">
        <v>2917</v>
      </c>
      <c r="V8" s="682" t="s">
        <v>2917</v>
      </c>
      <c r="W8" s="682" t="s">
        <v>2931</v>
      </c>
      <c r="X8" s="682" t="s">
        <v>2917</v>
      </c>
      <c r="Y8" s="682" t="s">
        <v>2917</v>
      </c>
      <c r="Z8" s="682" t="s">
        <v>2917</v>
      </c>
      <c r="AA8" s="682" t="s">
        <v>2917</v>
      </c>
      <c r="AB8" s="682" t="s">
        <v>2920</v>
      </c>
      <c r="AC8" s="682" t="s">
        <v>2917</v>
      </c>
      <c r="AD8" s="682" t="s">
        <v>2917</v>
      </c>
      <c r="AE8" s="893"/>
      <c r="AF8" s="682" t="s">
        <v>2917</v>
      </c>
      <c r="AG8" s="682" t="s">
        <v>2917</v>
      </c>
      <c r="AH8" s="682" t="s">
        <v>2917</v>
      </c>
      <c r="AI8" s="682" t="s">
        <v>2917</v>
      </c>
      <c r="AJ8" s="682" t="s">
        <v>2917</v>
      </c>
      <c r="AK8" s="682" t="s">
        <v>2917</v>
      </c>
      <c r="AL8" s="893"/>
      <c r="AM8" s="682" t="s">
        <v>2917</v>
      </c>
      <c r="AN8" s="682" t="s">
        <v>2920</v>
      </c>
      <c r="AO8" s="682" t="s">
        <v>2917</v>
      </c>
      <c r="AP8" s="893"/>
      <c r="AQ8" s="682" t="s">
        <v>2917</v>
      </c>
      <c r="AR8" s="682" t="s">
        <v>2917</v>
      </c>
      <c r="AS8" s="893"/>
      <c r="AT8" s="682" t="s">
        <v>2917</v>
      </c>
      <c r="AU8" s="682" t="s">
        <v>2917</v>
      </c>
      <c r="AV8" s="682" t="s">
        <v>2917</v>
      </c>
      <c r="AW8" s="682" t="s">
        <v>2917</v>
      </c>
      <c r="AX8" s="682" t="s">
        <v>2917</v>
      </c>
      <c r="AY8" s="893"/>
      <c r="AZ8" s="682" t="s">
        <v>2917</v>
      </c>
      <c r="BA8" s="682" t="s">
        <v>2917</v>
      </c>
      <c r="BB8" s="682" t="s">
        <v>2917</v>
      </c>
      <c r="BC8" s="682" t="s">
        <v>2917</v>
      </c>
      <c r="BD8" s="682" t="s">
        <v>2917</v>
      </c>
      <c r="BE8" s="682" t="s">
        <v>2917</v>
      </c>
      <c r="BF8" s="682" t="s">
        <v>2917</v>
      </c>
      <c r="BG8" s="682" t="s">
        <v>2932</v>
      </c>
      <c r="BH8" s="682" t="s">
        <v>2917</v>
      </c>
      <c r="BI8" s="866" t="s">
        <v>2917</v>
      </c>
      <c r="BJ8" s="893"/>
      <c r="BK8" s="866" t="s">
        <v>2917</v>
      </c>
      <c r="BL8" s="866" t="s">
        <v>2917</v>
      </c>
      <c r="BM8" s="682" t="s">
        <v>2917</v>
      </c>
      <c r="BN8" s="866" t="s">
        <v>2917</v>
      </c>
      <c r="BO8" s="682" t="s">
        <v>2917</v>
      </c>
      <c r="BP8" s="682" t="s">
        <v>2917</v>
      </c>
      <c r="BQ8" s="682" t="s">
        <v>2917</v>
      </c>
      <c r="BR8" s="682" t="s">
        <v>2917</v>
      </c>
      <c r="BS8" s="682" t="s">
        <v>2917</v>
      </c>
      <c r="BT8" s="682" t="s">
        <v>2917</v>
      </c>
      <c r="BU8" s="682" t="s">
        <v>2917</v>
      </c>
      <c r="BV8" s="682" t="s">
        <v>2917</v>
      </c>
      <c r="BW8" s="682" t="s">
        <v>2917</v>
      </c>
      <c r="BX8" s="682" t="s">
        <v>2933</v>
      </c>
      <c r="BY8" s="682"/>
      <c r="BZ8" s="682"/>
      <c r="CA8" s="682"/>
      <c r="CB8" s="682"/>
      <c r="CC8" s="682"/>
      <c r="CD8" s="682"/>
      <c r="CE8" s="682"/>
      <c r="CF8" s="682"/>
      <c r="CG8" s="682"/>
      <c r="CH8" s="682"/>
      <c r="CI8" s="893"/>
      <c r="CJ8" s="682"/>
      <c r="CK8" s="682"/>
      <c r="CL8" s="682"/>
      <c r="CM8" s="682"/>
      <c r="CN8" s="682"/>
      <c r="CO8" s="682"/>
      <c r="CP8" s="682"/>
      <c r="CQ8" s="682"/>
      <c r="CR8" s="682"/>
      <c r="CS8" s="682"/>
    </row>
    <row r="9" spans="1:97" ht="15.75">
      <c r="A9" s="863" t="s">
        <v>2088</v>
      </c>
      <c r="B9" s="864" t="s">
        <v>2917</v>
      </c>
      <c r="C9" s="682" t="s">
        <v>2917</v>
      </c>
      <c r="D9" s="682" t="s">
        <v>2917</v>
      </c>
      <c r="E9" s="682" t="s">
        <v>2917</v>
      </c>
      <c r="F9" s="682" t="s">
        <v>2917</v>
      </c>
      <c r="G9" s="682" t="s">
        <v>2917</v>
      </c>
      <c r="H9" s="682" t="s">
        <v>2917</v>
      </c>
      <c r="I9" s="682" t="s">
        <v>2917</v>
      </c>
      <c r="J9" s="682" t="s">
        <v>2917</v>
      </c>
      <c r="K9" s="682" t="s">
        <v>2917</v>
      </c>
      <c r="L9" s="682" t="s">
        <v>2917</v>
      </c>
      <c r="M9" s="682" t="s">
        <v>2917</v>
      </c>
      <c r="N9" s="682" t="s">
        <v>2917</v>
      </c>
      <c r="O9" s="867" t="s">
        <v>2926</v>
      </c>
      <c r="P9" s="866" t="s">
        <v>2917</v>
      </c>
      <c r="Q9" s="682" t="s">
        <v>2917</v>
      </c>
      <c r="R9" s="682" t="s">
        <v>2917</v>
      </c>
      <c r="S9" s="682" t="s">
        <v>2917</v>
      </c>
      <c r="T9" s="682" t="s">
        <v>2917</v>
      </c>
      <c r="U9" s="866" t="s">
        <v>2917</v>
      </c>
      <c r="V9" s="682" t="s">
        <v>2917</v>
      </c>
      <c r="W9" s="682" t="s">
        <v>2917</v>
      </c>
      <c r="X9" s="682" t="s">
        <v>2917</v>
      </c>
      <c r="Y9" s="682" t="s">
        <v>2917</v>
      </c>
      <c r="Z9" s="682" t="s">
        <v>2917</v>
      </c>
      <c r="AA9" s="682" t="s">
        <v>2917</v>
      </c>
      <c r="AB9" s="682" t="s">
        <v>2917</v>
      </c>
      <c r="AC9" s="682" t="s">
        <v>2917</v>
      </c>
      <c r="AD9" s="682" t="s">
        <v>2917</v>
      </c>
      <c r="AE9" s="893"/>
      <c r="AF9" s="682" t="s">
        <v>2917</v>
      </c>
      <c r="AG9" s="682" t="s">
        <v>2917</v>
      </c>
      <c r="AH9" s="682" t="s">
        <v>2917</v>
      </c>
      <c r="AI9" s="682" t="s">
        <v>2917</v>
      </c>
      <c r="AJ9" s="682" t="s">
        <v>2917</v>
      </c>
      <c r="AK9" s="682" t="s">
        <v>2917</v>
      </c>
      <c r="AL9" s="893"/>
      <c r="AM9" s="682" t="s">
        <v>2917</v>
      </c>
      <c r="AN9" s="682" t="s">
        <v>2917</v>
      </c>
      <c r="AO9" s="682" t="s">
        <v>2917</v>
      </c>
      <c r="AP9" s="893"/>
      <c r="AQ9" s="682" t="s">
        <v>2917</v>
      </c>
      <c r="AR9" s="682" t="s">
        <v>2917</v>
      </c>
      <c r="AS9" s="893"/>
      <c r="AT9" s="682" t="s">
        <v>2917</v>
      </c>
      <c r="AU9" s="682" t="s">
        <v>2917</v>
      </c>
      <c r="AV9" s="682" t="s">
        <v>2917</v>
      </c>
      <c r="AW9" s="682" t="s">
        <v>2917</v>
      </c>
      <c r="AX9" s="682" t="s">
        <v>2917</v>
      </c>
      <c r="AY9" s="893"/>
      <c r="AZ9" s="682" t="s">
        <v>2917</v>
      </c>
      <c r="BA9" s="682" t="s">
        <v>2917</v>
      </c>
      <c r="BB9" s="682" t="s">
        <v>2917</v>
      </c>
      <c r="BC9" s="682" t="s">
        <v>2917</v>
      </c>
      <c r="BD9" s="682" t="s">
        <v>2917</v>
      </c>
      <c r="BE9" s="682" t="s">
        <v>2917</v>
      </c>
      <c r="BF9" s="682" t="s">
        <v>2917</v>
      </c>
      <c r="BG9" s="682" t="s">
        <v>2917</v>
      </c>
      <c r="BH9" s="682" t="s">
        <v>2917</v>
      </c>
      <c r="BI9" s="866" t="s">
        <v>2917</v>
      </c>
      <c r="BJ9" s="893"/>
      <c r="BK9" s="866" t="s">
        <v>2917</v>
      </c>
      <c r="BL9" s="866" t="s">
        <v>2917</v>
      </c>
      <c r="BM9" s="682" t="s">
        <v>2917</v>
      </c>
      <c r="BN9" s="866" t="s">
        <v>2917</v>
      </c>
      <c r="BO9" s="682" t="s">
        <v>2917</v>
      </c>
      <c r="BP9" s="682" t="s">
        <v>2917</v>
      </c>
      <c r="BQ9" s="682" t="s">
        <v>2917</v>
      </c>
      <c r="BR9" s="682" t="s">
        <v>2917</v>
      </c>
      <c r="BS9" s="682" t="s">
        <v>2917</v>
      </c>
      <c r="BT9" s="682" t="s">
        <v>2917</v>
      </c>
      <c r="BU9" s="682" t="s">
        <v>2917</v>
      </c>
      <c r="BV9" s="682" t="s">
        <v>2917</v>
      </c>
      <c r="BW9" s="682" t="s">
        <v>2917</v>
      </c>
      <c r="BX9" s="682" t="s">
        <v>2917</v>
      </c>
      <c r="BY9" s="682" t="s">
        <v>2917</v>
      </c>
      <c r="BZ9" s="682" t="s">
        <v>2917</v>
      </c>
      <c r="CA9" s="682" t="s">
        <v>2917</v>
      </c>
      <c r="CB9" s="682" t="s">
        <v>2917</v>
      </c>
      <c r="CC9" s="682" t="s">
        <v>2917</v>
      </c>
      <c r="CD9" s="682" t="s">
        <v>2917</v>
      </c>
      <c r="CE9" s="682" t="s">
        <v>2917</v>
      </c>
      <c r="CF9" s="682" t="s">
        <v>2917</v>
      </c>
      <c r="CG9" s="682"/>
      <c r="CH9" s="682"/>
      <c r="CI9" s="893"/>
      <c r="CJ9" s="682"/>
      <c r="CK9" s="682"/>
      <c r="CL9" s="682"/>
      <c r="CM9" s="682"/>
      <c r="CN9" s="682"/>
      <c r="CO9" s="682"/>
      <c r="CP9" s="682"/>
      <c r="CQ9" s="682"/>
      <c r="CR9" s="682"/>
      <c r="CS9" s="682" t="s">
        <v>2917</v>
      </c>
    </row>
    <row r="10" spans="1:97" ht="15.75">
      <c r="A10" s="863" t="s">
        <v>2934</v>
      </c>
      <c r="B10" s="864" t="s">
        <v>2917</v>
      </c>
      <c r="C10" s="682" t="s">
        <v>2917</v>
      </c>
      <c r="D10" s="682" t="s">
        <v>2917</v>
      </c>
      <c r="E10" s="682" t="s">
        <v>2917</v>
      </c>
      <c r="F10" s="682" t="s">
        <v>2917</v>
      </c>
      <c r="G10" s="682" t="s">
        <v>2917</v>
      </c>
      <c r="H10" s="682" t="s">
        <v>2917</v>
      </c>
      <c r="I10" s="682" t="s">
        <v>2920</v>
      </c>
      <c r="J10" s="682" t="s">
        <v>2917</v>
      </c>
      <c r="K10" s="682" t="s">
        <v>2920</v>
      </c>
      <c r="L10" s="682" t="s">
        <v>2917</v>
      </c>
      <c r="M10" s="682" t="s">
        <v>2917</v>
      </c>
      <c r="N10" s="682" t="s">
        <v>2920</v>
      </c>
      <c r="O10" s="682" t="s">
        <v>2919</v>
      </c>
      <c r="P10" s="866" t="s">
        <v>2920</v>
      </c>
      <c r="Q10" s="682" t="s">
        <v>2920</v>
      </c>
      <c r="R10" s="682" t="s">
        <v>2917</v>
      </c>
      <c r="S10" s="682" t="s">
        <v>2917</v>
      </c>
      <c r="T10" s="682" t="s">
        <v>2917</v>
      </c>
      <c r="U10" s="866" t="s">
        <v>2920</v>
      </c>
      <c r="V10" s="682" t="s">
        <v>2917</v>
      </c>
      <c r="W10" s="682" t="s">
        <v>2917</v>
      </c>
      <c r="X10" s="682" t="s">
        <v>2917</v>
      </c>
      <c r="Y10" s="682" t="s">
        <v>2917</v>
      </c>
      <c r="Z10" s="682" t="s">
        <v>2917</v>
      </c>
      <c r="AA10" s="682" t="s">
        <v>2917</v>
      </c>
      <c r="AB10" s="682" t="s">
        <v>2917</v>
      </c>
      <c r="AC10" s="682" t="s">
        <v>2917</v>
      </c>
      <c r="AD10" s="682" t="s">
        <v>2917</v>
      </c>
      <c r="AE10" s="893"/>
      <c r="AF10" s="682" t="s">
        <v>2917</v>
      </c>
      <c r="AG10" s="682" t="s">
        <v>2917</v>
      </c>
      <c r="AH10" s="682" t="s">
        <v>2917</v>
      </c>
      <c r="AI10" s="682" t="s">
        <v>2917</v>
      </c>
      <c r="AJ10" s="682" t="s">
        <v>2917</v>
      </c>
      <c r="AK10" s="682" t="s">
        <v>2920</v>
      </c>
      <c r="AL10" s="893"/>
      <c r="AM10" s="682" t="s">
        <v>2920</v>
      </c>
      <c r="AN10" s="682" t="s">
        <v>2917</v>
      </c>
      <c r="AO10" s="682" t="s">
        <v>2917</v>
      </c>
      <c r="AP10" s="893"/>
      <c r="AQ10" s="682" t="s">
        <v>2917</v>
      </c>
      <c r="AR10" s="682" t="s">
        <v>2917</v>
      </c>
      <c r="AS10" s="893"/>
      <c r="AT10" s="682" t="s">
        <v>2917</v>
      </c>
      <c r="AU10" s="682" t="s">
        <v>2917</v>
      </c>
      <c r="AV10" s="682" t="s">
        <v>2917</v>
      </c>
      <c r="AW10" s="682" t="s">
        <v>2917</v>
      </c>
      <c r="AX10" s="682" t="s">
        <v>2917</v>
      </c>
      <c r="AY10" s="893"/>
      <c r="AZ10" s="682" t="s">
        <v>2917</v>
      </c>
      <c r="BA10" s="682" t="s">
        <v>2920</v>
      </c>
      <c r="BB10" s="682" t="s">
        <v>2920</v>
      </c>
      <c r="BC10" s="682" t="s">
        <v>2920</v>
      </c>
      <c r="BD10" s="682" t="s">
        <v>2920</v>
      </c>
      <c r="BE10" s="682" t="s">
        <v>2920</v>
      </c>
      <c r="BF10" s="682" t="s">
        <v>2917</v>
      </c>
      <c r="BG10" s="682" t="s">
        <v>2917</v>
      </c>
      <c r="BH10" s="682" t="s">
        <v>2917</v>
      </c>
      <c r="BI10" s="866" t="s">
        <v>2917</v>
      </c>
      <c r="BJ10" s="893"/>
      <c r="BK10" s="866" t="s">
        <v>2917</v>
      </c>
      <c r="BL10" s="866" t="s">
        <v>2917</v>
      </c>
      <c r="BM10" s="682" t="s">
        <v>2917</v>
      </c>
      <c r="BN10" s="866" t="s">
        <v>2917</v>
      </c>
      <c r="BO10" s="682" t="s">
        <v>2917</v>
      </c>
      <c r="BP10" s="682" t="s">
        <v>2917</v>
      </c>
      <c r="BQ10" s="682" t="s">
        <v>2917</v>
      </c>
      <c r="BR10" s="682" t="s">
        <v>2917</v>
      </c>
      <c r="BS10" s="682" t="s">
        <v>2917</v>
      </c>
      <c r="BT10" s="682" t="s">
        <v>2917</v>
      </c>
      <c r="BU10" s="682" t="s">
        <v>2917</v>
      </c>
      <c r="BV10" s="682" t="s">
        <v>2917</v>
      </c>
      <c r="BW10" s="682" t="s">
        <v>2920</v>
      </c>
      <c r="BX10" s="682" t="s">
        <v>2917</v>
      </c>
      <c r="BY10" s="682" t="s">
        <v>2917</v>
      </c>
      <c r="BZ10" s="682" t="s">
        <v>2917</v>
      </c>
      <c r="CA10" s="682" t="s">
        <v>2917</v>
      </c>
      <c r="CB10" s="682" t="s">
        <v>2917</v>
      </c>
      <c r="CC10" s="682" t="s">
        <v>2917</v>
      </c>
      <c r="CD10" s="682" t="s">
        <v>2917</v>
      </c>
      <c r="CE10" s="682" t="s">
        <v>2917</v>
      </c>
      <c r="CF10" s="682" t="s">
        <v>2917</v>
      </c>
      <c r="CG10" s="682"/>
      <c r="CH10" s="682"/>
      <c r="CI10" s="893"/>
      <c r="CJ10" s="682"/>
      <c r="CK10" s="682"/>
      <c r="CL10" s="682"/>
      <c r="CM10" s="682"/>
      <c r="CN10" s="682"/>
      <c r="CO10" s="682"/>
      <c r="CP10" s="682"/>
      <c r="CQ10" s="682"/>
      <c r="CR10" s="682"/>
      <c r="CS10" s="682" t="s">
        <v>2917</v>
      </c>
    </row>
    <row r="11" spans="1:97" ht="15.75">
      <c r="A11" s="863" t="s">
        <v>2935</v>
      </c>
      <c r="B11" s="864" t="s">
        <v>2917</v>
      </c>
      <c r="C11" s="682" t="s">
        <v>2917</v>
      </c>
      <c r="D11" s="682" t="s">
        <v>2917</v>
      </c>
      <c r="E11" s="682" t="s">
        <v>2917</v>
      </c>
      <c r="F11" s="682" t="s">
        <v>2917</v>
      </c>
      <c r="G11" s="682" t="s">
        <v>2917</v>
      </c>
      <c r="H11" s="682" t="s">
        <v>2917</v>
      </c>
      <c r="I11" s="682" t="s">
        <v>2917</v>
      </c>
      <c r="J11" s="682" t="s">
        <v>2936</v>
      </c>
      <c r="K11" s="682" t="s">
        <v>2920</v>
      </c>
      <c r="L11" s="682" t="s">
        <v>2917</v>
      </c>
      <c r="M11" s="682" t="s">
        <v>2920</v>
      </c>
      <c r="N11" s="682" t="s">
        <v>2917</v>
      </c>
      <c r="O11" s="682" t="s">
        <v>2919</v>
      </c>
      <c r="P11" s="866" t="s">
        <v>2917</v>
      </c>
      <c r="Q11" s="682" t="s">
        <v>2917</v>
      </c>
      <c r="R11" s="682" t="s">
        <v>2917</v>
      </c>
      <c r="S11" s="682" t="s">
        <v>2920</v>
      </c>
      <c r="T11" s="682" t="s">
        <v>2920</v>
      </c>
      <c r="U11" s="866" t="s">
        <v>2920</v>
      </c>
      <c r="V11" s="682" t="s">
        <v>2917</v>
      </c>
      <c r="W11" s="682" t="s">
        <v>2917</v>
      </c>
      <c r="X11" s="682" t="s">
        <v>2917</v>
      </c>
      <c r="Y11" s="682" t="s">
        <v>2917</v>
      </c>
      <c r="Z11" s="682" t="s">
        <v>2917</v>
      </c>
      <c r="AA11" s="682" t="s">
        <v>2917</v>
      </c>
      <c r="AB11" s="682" t="s">
        <v>2917</v>
      </c>
      <c r="AC11" s="682" t="s">
        <v>2917</v>
      </c>
      <c r="AD11" s="682" t="s">
        <v>2920</v>
      </c>
      <c r="AE11" s="893"/>
      <c r="AF11" s="682" t="s">
        <v>2917</v>
      </c>
      <c r="AG11" s="682" t="s">
        <v>2917</v>
      </c>
      <c r="AH11" s="682" t="s">
        <v>2917</v>
      </c>
      <c r="AI11" s="682" t="s">
        <v>2917</v>
      </c>
      <c r="AJ11" s="682" t="s">
        <v>2917</v>
      </c>
      <c r="AK11" s="682" t="s">
        <v>2917</v>
      </c>
      <c r="AL11" s="893"/>
      <c r="AM11" s="682" t="s">
        <v>2917</v>
      </c>
      <c r="AN11" s="682" t="s">
        <v>2917</v>
      </c>
      <c r="AO11" s="682" t="s">
        <v>2917</v>
      </c>
      <c r="AP11" s="893"/>
      <c r="AQ11" s="682" t="s">
        <v>2917</v>
      </c>
      <c r="AR11" s="682" t="s">
        <v>2917</v>
      </c>
      <c r="AS11" s="893"/>
      <c r="AT11" s="682" t="s">
        <v>2917</v>
      </c>
      <c r="AU11" s="682" t="s">
        <v>2920</v>
      </c>
      <c r="AV11" s="682" t="s">
        <v>2920</v>
      </c>
      <c r="AW11" s="682" t="s">
        <v>2917</v>
      </c>
      <c r="AX11" s="682" t="s">
        <v>2917</v>
      </c>
      <c r="AY11" s="893"/>
      <c r="AZ11" s="682" t="s">
        <v>2920</v>
      </c>
      <c r="BA11" s="682" t="s">
        <v>2917</v>
      </c>
      <c r="BB11" s="682" t="s">
        <v>2917</v>
      </c>
      <c r="BC11" s="682" t="s">
        <v>2917</v>
      </c>
      <c r="BD11" s="682" t="s">
        <v>2917</v>
      </c>
      <c r="BE11" s="682" t="s">
        <v>2920</v>
      </c>
      <c r="BF11" s="682" t="s">
        <v>2920</v>
      </c>
      <c r="BG11" s="682" t="s">
        <v>2920</v>
      </c>
      <c r="BH11" s="682" t="s">
        <v>2917</v>
      </c>
      <c r="BI11" s="866" t="s">
        <v>2917</v>
      </c>
      <c r="BJ11" s="893"/>
      <c r="BK11" s="866" t="s">
        <v>2917</v>
      </c>
      <c r="BL11" s="866" t="s">
        <v>2917</v>
      </c>
      <c r="BM11" s="682" t="s">
        <v>2917</v>
      </c>
      <c r="BN11" s="866" t="s">
        <v>2917</v>
      </c>
      <c r="BO11" s="682" t="s">
        <v>2920</v>
      </c>
      <c r="BP11" s="682" t="s">
        <v>2917</v>
      </c>
      <c r="BQ11" s="682" t="s">
        <v>2917</v>
      </c>
      <c r="BR11" s="682" t="s">
        <v>2937</v>
      </c>
      <c r="BS11" s="682" t="s">
        <v>2917</v>
      </c>
      <c r="BT11" s="682" t="s">
        <v>2917</v>
      </c>
      <c r="BU11" s="682" t="s">
        <v>2917</v>
      </c>
      <c r="BV11" s="682" t="s">
        <v>2917</v>
      </c>
      <c r="BW11" s="682" t="s">
        <v>2917</v>
      </c>
      <c r="BX11" s="682" t="s">
        <v>2917</v>
      </c>
      <c r="BY11" s="682" t="s">
        <v>2917</v>
      </c>
      <c r="BZ11" s="682" t="s">
        <v>2917</v>
      </c>
      <c r="CA11" s="682" t="s">
        <v>2917</v>
      </c>
      <c r="CB11" s="682" t="s">
        <v>2920</v>
      </c>
      <c r="CC11" s="682" t="s">
        <v>2920</v>
      </c>
      <c r="CD11" s="682" t="s">
        <v>2917</v>
      </c>
      <c r="CE11" s="682" t="s">
        <v>2917</v>
      </c>
      <c r="CF11" s="682" t="s">
        <v>2917</v>
      </c>
      <c r="CG11" s="682"/>
      <c r="CH11" s="682"/>
      <c r="CI11" s="893"/>
      <c r="CJ11" s="682"/>
      <c r="CK11" s="682"/>
      <c r="CL11" s="682"/>
      <c r="CM11" s="682"/>
      <c r="CN11" s="682"/>
      <c r="CO11" s="682"/>
      <c r="CP11" s="682"/>
      <c r="CQ11" s="682"/>
      <c r="CR11" s="682"/>
      <c r="CS11" s="682" t="s">
        <v>2917</v>
      </c>
    </row>
    <row r="12" spans="1:97" ht="15.75">
      <c r="A12" s="863" t="s">
        <v>2081</v>
      </c>
      <c r="B12" s="864" t="s">
        <v>2917</v>
      </c>
      <c r="C12" s="682" t="s">
        <v>2920</v>
      </c>
      <c r="D12" s="682" t="s">
        <v>2917</v>
      </c>
      <c r="E12" s="682" t="s">
        <v>2917</v>
      </c>
      <c r="F12" s="682" t="s">
        <v>2920</v>
      </c>
      <c r="G12" s="682" t="s">
        <v>2920</v>
      </c>
      <c r="H12" s="682" t="s">
        <v>2917</v>
      </c>
      <c r="I12" s="682" t="s">
        <v>2920</v>
      </c>
      <c r="J12" s="682" t="s">
        <v>2917</v>
      </c>
      <c r="K12" s="682" t="s">
        <v>2920</v>
      </c>
      <c r="L12" s="682" t="s">
        <v>2917</v>
      </c>
      <c r="M12" s="682" t="s">
        <v>2920</v>
      </c>
      <c r="N12" s="682" t="s">
        <v>2920</v>
      </c>
      <c r="O12" s="682" t="s">
        <v>2919</v>
      </c>
      <c r="P12" s="866" t="s">
        <v>2917</v>
      </c>
      <c r="Q12" s="682" t="s">
        <v>2920</v>
      </c>
      <c r="R12" s="682" t="s">
        <v>2920</v>
      </c>
      <c r="S12" s="682" t="s">
        <v>2920</v>
      </c>
      <c r="T12" s="682" t="s">
        <v>2920</v>
      </c>
      <c r="U12" s="866" t="s">
        <v>2920</v>
      </c>
      <c r="V12" s="682" t="s">
        <v>2920</v>
      </c>
      <c r="W12" s="682" t="s">
        <v>2917</v>
      </c>
      <c r="X12" s="682" t="s">
        <v>2920</v>
      </c>
      <c r="Y12" s="682" t="s">
        <v>2920</v>
      </c>
      <c r="Z12" s="682" t="s">
        <v>2917</v>
      </c>
      <c r="AA12" s="682" t="s">
        <v>2920</v>
      </c>
      <c r="AB12" s="682" t="s">
        <v>2920</v>
      </c>
      <c r="AC12" s="682" t="s">
        <v>2917</v>
      </c>
      <c r="AD12" s="682" t="s">
        <v>2920</v>
      </c>
      <c r="AE12" s="893"/>
      <c r="AF12" s="682" t="s">
        <v>2920</v>
      </c>
      <c r="AG12" s="682" t="s">
        <v>2920</v>
      </c>
      <c r="AH12" s="682" t="s">
        <v>2920</v>
      </c>
      <c r="AI12" s="682" t="s">
        <v>2920</v>
      </c>
      <c r="AJ12" s="682" t="s">
        <v>2917</v>
      </c>
      <c r="AK12" s="682" t="s">
        <v>2917</v>
      </c>
      <c r="AL12" s="893"/>
      <c r="AM12" s="682" t="s">
        <v>2920</v>
      </c>
      <c r="AN12" s="682" t="s">
        <v>2920</v>
      </c>
      <c r="AO12" s="682" t="s">
        <v>2920</v>
      </c>
      <c r="AP12" s="893"/>
      <c r="AQ12" s="682" t="s">
        <v>2920</v>
      </c>
      <c r="AR12" s="682" t="s">
        <v>2920</v>
      </c>
      <c r="AS12" s="893"/>
      <c r="AT12" s="682" t="s">
        <v>2920</v>
      </c>
      <c r="AU12" s="682" t="s">
        <v>2920</v>
      </c>
      <c r="AV12" s="682" t="s">
        <v>2917</v>
      </c>
      <c r="AW12" s="682" t="s">
        <v>2917</v>
      </c>
      <c r="AX12" s="682" t="s">
        <v>2920</v>
      </c>
      <c r="AY12" s="893"/>
      <c r="AZ12" s="682" t="s">
        <v>2920</v>
      </c>
      <c r="BA12" s="682" t="s">
        <v>2920</v>
      </c>
      <c r="BB12" s="682" t="s">
        <v>2920</v>
      </c>
      <c r="BC12" s="682" t="s">
        <v>2917</v>
      </c>
      <c r="BD12" s="682" t="s">
        <v>2920</v>
      </c>
      <c r="BE12" s="682" t="s">
        <v>2917</v>
      </c>
      <c r="BF12" s="682" t="s">
        <v>2920</v>
      </c>
      <c r="BG12" s="682" t="s">
        <v>2920</v>
      </c>
      <c r="BH12" s="682" t="s">
        <v>2917</v>
      </c>
      <c r="BI12" s="866" t="s">
        <v>2920</v>
      </c>
      <c r="BJ12" s="893"/>
      <c r="BK12" s="866" t="s">
        <v>2920</v>
      </c>
      <c r="BL12" s="866" t="s">
        <v>2920</v>
      </c>
      <c r="BM12" s="682" t="s">
        <v>2917</v>
      </c>
      <c r="BN12" s="866" t="s">
        <v>2920</v>
      </c>
      <c r="BO12" s="682" t="s">
        <v>2920</v>
      </c>
      <c r="BP12" s="682" t="s">
        <v>2920</v>
      </c>
      <c r="BQ12" s="682" t="s">
        <v>2920</v>
      </c>
      <c r="BR12" s="682" t="s">
        <v>2917</v>
      </c>
      <c r="BS12" s="682" t="s">
        <v>2920</v>
      </c>
      <c r="BT12" s="682" t="s">
        <v>2920</v>
      </c>
      <c r="BU12" s="682" t="s">
        <v>2917</v>
      </c>
      <c r="BV12" s="682" t="s">
        <v>2917</v>
      </c>
      <c r="BW12" s="682" t="s">
        <v>2920</v>
      </c>
      <c r="BX12" s="682" t="s">
        <v>2920</v>
      </c>
      <c r="BY12" s="682" t="s">
        <v>2917</v>
      </c>
      <c r="BZ12" s="682" t="s">
        <v>2920</v>
      </c>
      <c r="CA12" s="682" t="s">
        <v>2920</v>
      </c>
      <c r="CB12" s="682" t="s">
        <v>2917</v>
      </c>
      <c r="CC12" s="682" t="s">
        <v>2920</v>
      </c>
      <c r="CD12" s="682" t="s">
        <v>2920</v>
      </c>
      <c r="CE12" s="682" t="s">
        <v>2917</v>
      </c>
      <c r="CF12" s="682" t="s">
        <v>2920</v>
      </c>
      <c r="CG12" s="682"/>
      <c r="CH12" s="682"/>
      <c r="CI12" s="893"/>
      <c r="CJ12" s="682"/>
      <c r="CK12" s="682"/>
      <c r="CL12" s="682"/>
      <c r="CM12" s="682"/>
      <c r="CN12" s="682"/>
      <c r="CO12" s="682"/>
      <c r="CP12" s="682"/>
      <c r="CQ12" s="682"/>
      <c r="CR12" s="682"/>
      <c r="CS12" s="682" t="s">
        <v>2920</v>
      </c>
    </row>
    <row r="13" spans="1:97" ht="15.75">
      <c r="A13" s="863" t="s">
        <v>2267</v>
      </c>
      <c r="B13" s="864" t="s">
        <v>2917</v>
      </c>
      <c r="C13" s="682" t="s">
        <v>2920</v>
      </c>
      <c r="D13" s="682" t="s">
        <v>2920</v>
      </c>
      <c r="E13" s="682" t="s">
        <v>2920</v>
      </c>
      <c r="F13" s="682" t="s">
        <v>2920</v>
      </c>
      <c r="G13" s="682" t="s">
        <v>2920</v>
      </c>
      <c r="H13" s="682" t="s">
        <v>2920</v>
      </c>
      <c r="I13" s="682" t="s">
        <v>2920</v>
      </c>
      <c r="J13" s="682" t="s">
        <v>2917</v>
      </c>
      <c r="K13" s="682" t="s">
        <v>2920</v>
      </c>
      <c r="L13" s="682" t="s">
        <v>2920</v>
      </c>
      <c r="M13" s="682" t="s">
        <v>2917</v>
      </c>
      <c r="N13" s="682" t="s">
        <v>2920</v>
      </c>
      <c r="O13" s="682" t="s">
        <v>2919</v>
      </c>
      <c r="P13" s="866" t="s">
        <v>2920</v>
      </c>
      <c r="Q13" s="682" t="s">
        <v>2920</v>
      </c>
      <c r="R13" s="682" t="s">
        <v>2920</v>
      </c>
      <c r="S13" s="682" t="s">
        <v>2920</v>
      </c>
      <c r="T13" s="682" t="s">
        <v>2920</v>
      </c>
      <c r="U13" s="866" t="s">
        <v>2920</v>
      </c>
      <c r="V13" s="682" t="s">
        <v>2917</v>
      </c>
      <c r="W13" s="682" t="s">
        <v>2920</v>
      </c>
      <c r="X13" s="682" t="s">
        <v>2920</v>
      </c>
      <c r="Y13" s="682" t="s">
        <v>2920</v>
      </c>
      <c r="Z13" s="682" t="s">
        <v>2920</v>
      </c>
      <c r="AA13" s="682" t="s">
        <v>2920</v>
      </c>
      <c r="AB13" s="682" t="s">
        <v>2920</v>
      </c>
      <c r="AC13" s="682" t="s">
        <v>2917</v>
      </c>
      <c r="AD13" s="682" t="s">
        <v>2920</v>
      </c>
      <c r="AE13" s="891"/>
      <c r="AF13" s="682" t="s">
        <v>2920</v>
      </c>
      <c r="AG13" s="682" t="s">
        <v>2920</v>
      </c>
      <c r="AH13" s="682" t="s">
        <v>2920</v>
      </c>
      <c r="AI13" s="682" t="s">
        <v>2917</v>
      </c>
      <c r="AJ13" s="682" t="s">
        <v>2920</v>
      </c>
      <c r="AK13" s="682" t="s">
        <v>2920</v>
      </c>
      <c r="AL13" s="891"/>
      <c r="AM13" s="682" t="s">
        <v>2920</v>
      </c>
      <c r="AN13" s="682" t="s">
        <v>2920</v>
      </c>
      <c r="AO13" s="682" t="s">
        <v>2920</v>
      </c>
      <c r="AP13" s="891"/>
      <c r="AQ13" s="682" t="s">
        <v>2920</v>
      </c>
      <c r="AR13" s="682" t="s">
        <v>2920</v>
      </c>
      <c r="AS13" s="891"/>
      <c r="AT13" s="682" t="s">
        <v>2920</v>
      </c>
      <c r="AU13" s="682" t="s">
        <v>2920</v>
      </c>
      <c r="AV13" s="682" t="s">
        <v>2920</v>
      </c>
      <c r="AW13" s="682" t="s">
        <v>2920</v>
      </c>
      <c r="AX13" s="682" t="s">
        <v>2920</v>
      </c>
      <c r="AY13" s="891"/>
      <c r="AZ13" s="682" t="s">
        <v>2920</v>
      </c>
      <c r="BA13" s="682" t="s">
        <v>2920</v>
      </c>
      <c r="BB13" s="682" t="s">
        <v>2920</v>
      </c>
      <c r="BC13" s="682" t="s">
        <v>2920</v>
      </c>
      <c r="BD13" s="682" t="s">
        <v>2920</v>
      </c>
      <c r="BE13" s="682" t="s">
        <v>2920</v>
      </c>
      <c r="BF13" s="682" t="s">
        <v>2920</v>
      </c>
      <c r="BG13" s="682" t="s">
        <v>2920</v>
      </c>
      <c r="BH13" s="682" t="s">
        <v>2920</v>
      </c>
      <c r="BI13" s="866" t="s">
        <v>2920</v>
      </c>
      <c r="BJ13" s="891"/>
      <c r="BK13" s="866" t="s">
        <v>2920</v>
      </c>
      <c r="BL13" s="866" t="s">
        <v>2920</v>
      </c>
      <c r="BM13" s="682" t="s">
        <v>2920</v>
      </c>
      <c r="BN13" s="866" t="s">
        <v>2920</v>
      </c>
      <c r="BO13" s="682" t="s">
        <v>2920</v>
      </c>
      <c r="BP13" s="682" t="s">
        <v>2920</v>
      </c>
      <c r="BQ13" s="682" t="s">
        <v>2920</v>
      </c>
      <c r="BR13" s="682" t="s">
        <v>2937</v>
      </c>
      <c r="BS13" s="682" t="s">
        <v>2920</v>
      </c>
      <c r="BT13" s="682" t="s">
        <v>2920</v>
      </c>
      <c r="BU13" s="682" t="s">
        <v>2920</v>
      </c>
      <c r="BV13" s="682" t="s">
        <v>2920</v>
      </c>
      <c r="BW13" s="682" t="s">
        <v>2920</v>
      </c>
      <c r="BX13" s="682" t="s">
        <v>2920</v>
      </c>
      <c r="BY13" s="682" t="s">
        <v>2920</v>
      </c>
      <c r="BZ13" s="682" t="s">
        <v>2920</v>
      </c>
      <c r="CA13" s="682" t="s">
        <v>2920</v>
      </c>
      <c r="CB13" s="682" t="s">
        <v>2920</v>
      </c>
      <c r="CC13" s="682" t="s">
        <v>2920</v>
      </c>
      <c r="CD13" s="682" t="s">
        <v>2917</v>
      </c>
      <c r="CE13" s="682" t="s">
        <v>2917</v>
      </c>
      <c r="CF13" s="682" t="s">
        <v>2917</v>
      </c>
      <c r="CG13" s="682"/>
      <c r="CH13" s="682"/>
      <c r="CI13" s="891"/>
      <c r="CJ13" s="682"/>
      <c r="CK13" s="682"/>
      <c r="CL13" s="682"/>
      <c r="CM13" s="682"/>
      <c r="CN13" s="682"/>
      <c r="CO13" s="682"/>
      <c r="CP13" s="682"/>
      <c r="CQ13" s="682"/>
      <c r="CR13" s="682"/>
      <c r="CS13" s="682" t="s">
        <v>2920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68" t="s">
        <v>2938</v>
      </c>
      <c r="B1" s="869" t="s">
        <v>2939</v>
      </c>
      <c r="C1" s="869" t="s">
        <v>2940</v>
      </c>
      <c r="D1" s="869" t="s">
        <v>2941</v>
      </c>
      <c r="E1" s="869" t="s">
        <v>2942</v>
      </c>
      <c r="F1" s="870" t="s">
        <v>2943</v>
      </c>
    </row>
    <row r="2" spans="1:27" ht="15" customHeight="1">
      <c r="A2" s="871">
        <v>45793</v>
      </c>
      <c r="B2" s="872">
        <v>0.38333333333333336</v>
      </c>
      <c r="C2" s="872">
        <v>0.46527777777777779</v>
      </c>
      <c r="D2" s="872">
        <f t="shared" ref="D2:D4" si="0">C2-B2</f>
        <v>8.1944444444444431E-2</v>
      </c>
      <c r="E2" s="873" t="s">
        <v>2944</v>
      </c>
      <c r="F2" s="874" t="s">
        <v>2945</v>
      </c>
      <c r="G2" s="875"/>
      <c r="H2" s="875"/>
      <c r="I2" s="875"/>
      <c r="J2" s="875"/>
      <c r="K2" s="875"/>
      <c r="L2" s="875"/>
      <c r="M2" s="875"/>
      <c r="N2" s="875"/>
      <c r="O2" s="875"/>
      <c r="P2" s="875"/>
      <c r="Q2" s="875"/>
      <c r="R2" s="875"/>
      <c r="S2" s="875"/>
      <c r="T2" s="875"/>
      <c r="U2" s="875"/>
      <c r="V2" s="875"/>
      <c r="W2" s="875"/>
      <c r="X2" s="875"/>
      <c r="Y2" s="875"/>
      <c r="Z2" s="875"/>
      <c r="AA2" s="875"/>
    </row>
    <row r="3" spans="1:27" ht="15" customHeight="1">
      <c r="A3" s="871">
        <v>45817</v>
      </c>
      <c r="B3" s="876">
        <v>0.44236111111111109</v>
      </c>
      <c r="C3" s="876">
        <v>0.45069444444444445</v>
      </c>
      <c r="D3" s="872">
        <f t="shared" si="0"/>
        <v>8.3333333333333592E-3</v>
      </c>
      <c r="E3" s="877" t="s">
        <v>2944</v>
      </c>
      <c r="F3" s="878" t="s">
        <v>2946</v>
      </c>
    </row>
    <row r="4" spans="1:27" ht="15" customHeight="1">
      <c r="A4" s="879">
        <v>45817</v>
      </c>
      <c r="B4" s="880">
        <v>0.63263888888888886</v>
      </c>
      <c r="C4" s="880">
        <v>0.6479166666666667</v>
      </c>
      <c r="D4" s="881">
        <f t="shared" si="0"/>
        <v>1.5277777777777835E-2</v>
      </c>
      <c r="E4" s="882" t="s">
        <v>2944</v>
      </c>
      <c r="F4" s="883" t="s">
        <v>2947</v>
      </c>
    </row>
    <row r="5" spans="1:27" ht="15" customHeight="1">
      <c r="A5" s="884"/>
      <c r="B5" s="885"/>
      <c r="C5" s="885"/>
      <c r="D5" s="885"/>
      <c r="E5" s="885"/>
      <c r="F5" s="886"/>
    </row>
    <row r="6" spans="1:27" ht="15" customHeight="1">
      <c r="A6" s="884"/>
      <c r="B6" s="885"/>
      <c r="C6" s="885"/>
      <c r="D6" s="885"/>
      <c r="E6" s="885"/>
      <c r="F6" s="886"/>
    </row>
    <row r="7" spans="1:27" ht="15" customHeight="1">
      <c r="A7" s="884"/>
      <c r="B7" s="885"/>
      <c r="C7" s="885"/>
      <c r="D7" s="885"/>
      <c r="E7" s="885"/>
      <c r="F7" s="886"/>
    </row>
    <row r="8" spans="1:27" ht="15" customHeight="1">
      <c r="A8" s="884"/>
      <c r="B8" s="885"/>
      <c r="C8" s="885"/>
      <c r="D8" s="885"/>
      <c r="E8" s="885"/>
      <c r="F8" s="886"/>
    </row>
    <row r="9" spans="1:27" ht="15" customHeight="1">
      <c r="A9" s="884"/>
      <c r="B9" s="885"/>
      <c r="C9" s="885"/>
      <c r="D9" s="885"/>
      <c r="E9" s="885"/>
      <c r="F9" s="886"/>
    </row>
    <row r="10" spans="1:27" ht="15" customHeight="1">
      <c r="A10" s="884"/>
      <c r="B10" s="885"/>
      <c r="C10" s="885"/>
      <c r="D10" s="885"/>
      <c r="E10" s="885"/>
      <c r="F10" s="886"/>
    </row>
    <row r="11" spans="1:27" ht="15" customHeight="1">
      <c r="A11" s="884"/>
      <c r="B11" s="885"/>
      <c r="C11" s="885"/>
      <c r="D11" s="885"/>
      <c r="E11" s="885"/>
      <c r="F11" s="886"/>
    </row>
    <row r="12" spans="1:27" ht="15" customHeight="1">
      <c r="A12" s="884"/>
      <c r="B12" s="885"/>
      <c r="C12" s="885"/>
      <c r="D12" s="885"/>
      <c r="E12" s="885"/>
      <c r="F12" s="886"/>
    </row>
    <row r="13" spans="1:27" ht="15" customHeight="1">
      <c r="A13" s="884"/>
      <c r="B13" s="885"/>
      <c r="C13" s="885"/>
      <c r="D13" s="885"/>
      <c r="E13" s="885"/>
      <c r="F13" s="886"/>
    </row>
    <row r="14" spans="1:27" ht="15" customHeight="1">
      <c r="A14" s="884"/>
      <c r="B14" s="885"/>
      <c r="C14" s="885"/>
      <c r="D14" s="885"/>
      <c r="E14" s="885"/>
      <c r="F14" s="886"/>
    </row>
    <row r="15" spans="1:27" ht="15" customHeight="1">
      <c r="B15" s="855"/>
      <c r="C15" s="855"/>
      <c r="D15" s="855"/>
      <c r="E15" s="855"/>
      <c r="F15" s="887"/>
    </row>
    <row r="16" spans="1:27" ht="15" customHeight="1">
      <c r="B16" s="855"/>
      <c r="C16" s="855"/>
      <c r="D16" s="855"/>
      <c r="E16" s="855"/>
      <c r="F16" s="887"/>
    </row>
    <row r="17" spans="2:6" ht="15" customHeight="1">
      <c r="B17" s="855"/>
      <c r="C17" s="855"/>
      <c r="D17" s="855"/>
      <c r="E17" s="855"/>
      <c r="F17" s="887"/>
    </row>
    <row r="18" spans="2:6" ht="15" customHeight="1">
      <c r="B18" s="855"/>
      <c r="C18" s="855"/>
      <c r="D18" s="855"/>
      <c r="E18" s="855"/>
      <c r="F18" s="887"/>
    </row>
    <row r="19" spans="2:6" ht="15" customHeight="1">
      <c r="B19" s="855"/>
      <c r="C19" s="855"/>
      <c r="D19" s="855"/>
      <c r="E19" s="855"/>
      <c r="F19" s="887"/>
    </row>
    <row r="20" spans="2:6" ht="15" customHeight="1">
      <c r="B20" s="855"/>
      <c r="C20" s="855"/>
      <c r="D20" s="855"/>
      <c r="E20" s="855"/>
      <c r="F20" s="887"/>
    </row>
    <row r="21" spans="2:6" ht="15" customHeight="1">
      <c r="B21" s="855"/>
      <c r="C21" s="855"/>
      <c r="D21" s="855"/>
      <c r="E21" s="855"/>
      <c r="F21" s="887"/>
    </row>
    <row r="22" spans="2:6" ht="15" customHeight="1">
      <c r="B22" s="855"/>
      <c r="C22" s="855"/>
      <c r="D22" s="855"/>
      <c r="E22" s="855"/>
      <c r="F22" s="887"/>
    </row>
    <row r="23" spans="2:6" ht="15" customHeight="1">
      <c r="B23" s="855"/>
      <c r="C23" s="855"/>
      <c r="D23" s="855"/>
      <c r="E23" s="855"/>
      <c r="F23" s="887"/>
    </row>
    <row r="24" spans="2:6" ht="15" customHeight="1">
      <c r="B24" s="855"/>
      <c r="C24" s="855"/>
      <c r="D24" s="855"/>
      <c r="E24" s="855"/>
      <c r="F24" s="887"/>
    </row>
    <row r="25" spans="2:6" ht="15" customHeight="1">
      <c r="B25" s="855"/>
      <c r="C25" s="855"/>
      <c r="D25" s="855"/>
      <c r="E25" s="855"/>
      <c r="F25" s="887"/>
    </row>
    <row r="26" spans="2:6" ht="15" customHeight="1">
      <c r="B26" s="855"/>
      <c r="C26" s="855"/>
      <c r="D26" s="855"/>
      <c r="E26" s="855"/>
      <c r="F26" s="887"/>
    </row>
    <row r="27" spans="2:6" ht="15" customHeight="1">
      <c r="B27" s="855"/>
      <c r="C27" s="855"/>
      <c r="D27" s="855"/>
      <c r="E27" s="855"/>
      <c r="F27" s="887"/>
    </row>
    <row r="28" spans="2:6" ht="15" customHeight="1">
      <c r="B28" s="855"/>
      <c r="C28" s="855"/>
      <c r="D28" s="855"/>
      <c r="E28" s="855"/>
      <c r="F28" s="887"/>
    </row>
    <row r="29" spans="2:6" ht="15" customHeight="1">
      <c r="B29" s="855"/>
      <c r="C29" s="855"/>
      <c r="D29" s="855"/>
      <c r="E29" s="855"/>
      <c r="F29" s="887"/>
    </row>
    <row r="30" spans="2:6" ht="15" customHeight="1">
      <c r="B30" s="855"/>
      <c r="C30" s="855"/>
      <c r="D30" s="855"/>
      <c r="E30" s="855"/>
      <c r="F30" s="887"/>
    </row>
    <row r="31" spans="2:6" ht="15" customHeight="1">
      <c r="B31" s="855"/>
      <c r="C31" s="855"/>
      <c r="D31" s="855"/>
      <c r="E31" s="855"/>
      <c r="F31" s="887"/>
    </row>
    <row r="32" spans="2:6" ht="15" customHeight="1">
      <c r="B32" s="855"/>
      <c r="C32" s="855"/>
      <c r="D32" s="855"/>
      <c r="E32" s="855"/>
      <c r="F32" s="887"/>
    </row>
    <row r="33" spans="2:6" ht="15" customHeight="1">
      <c r="B33" s="855"/>
      <c r="C33" s="855"/>
      <c r="D33" s="855"/>
      <c r="E33" s="855"/>
      <c r="F33" s="887"/>
    </row>
    <row r="34" spans="2:6" ht="15" customHeight="1">
      <c r="B34" s="855"/>
      <c r="C34" s="855"/>
      <c r="D34" s="855"/>
      <c r="E34" s="855"/>
      <c r="F34" s="887"/>
    </row>
    <row r="35" spans="2:6" ht="15" customHeight="1">
      <c r="B35" s="855"/>
      <c r="C35" s="855"/>
      <c r="D35" s="855"/>
      <c r="E35" s="855"/>
      <c r="F35" s="887"/>
    </row>
    <row r="36" spans="2:6" ht="15" customHeight="1">
      <c r="B36" s="855"/>
      <c r="C36" s="855"/>
      <c r="D36" s="855"/>
      <c r="E36" s="855"/>
      <c r="F36" s="887"/>
    </row>
    <row r="37" spans="2:6" ht="15" customHeight="1">
      <c r="B37" s="855"/>
      <c r="C37" s="855"/>
      <c r="D37" s="855"/>
      <c r="E37" s="855"/>
      <c r="F37" s="887"/>
    </row>
    <row r="38" spans="2:6" ht="15" customHeight="1">
      <c r="B38" s="855"/>
      <c r="C38" s="855"/>
      <c r="D38" s="855"/>
      <c r="E38" s="855"/>
      <c r="F38" s="887"/>
    </row>
    <row r="39" spans="2:6" ht="15" customHeight="1">
      <c r="B39" s="855"/>
      <c r="C39" s="855"/>
      <c r="D39" s="855"/>
      <c r="E39" s="855"/>
      <c r="F39" s="887"/>
    </row>
    <row r="40" spans="2:6">
      <c r="B40" s="855"/>
      <c r="C40" s="855"/>
      <c r="D40" s="855"/>
      <c r="E40" s="855"/>
      <c r="F40" s="887"/>
    </row>
    <row r="41" spans="2:6">
      <c r="B41" s="855"/>
      <c r="C41" s="855"/>
      <c r="D41" s="855"/>
      <c r="E41" s="855"/>
      <c r="F41" s="887"/>
    </row>
    <row r="42" spans="2:6">
      <c r="B42" s="855"/>
      <c r="C42" s="855"/>
      <c r="D42" s="855"/>
      <c r="E42" s="855"/>
      <c r="F42" s="887"/>
    </row>
    <row r="43" spans="2:6">
      <c r="B43" s="855"/>
      <c r="C43" s="855"/>
      <c r="D43" s="855"/>
      <c r="E43" s="855"/>
      <c r="F43" s="887"/>
    </row>
    <row r="44" spans="2:6">
      <c r="B44" s="855"/>
      <c r="C44" s="855"/>
      <c r="D44" s="855"/>
      <c r="E44" s="855"/>
      <c r="F44" s="887"/>
    </row>
    <row r="45" spans="2:6">
      <c r="B45" s="855"/>
      <c r="C45" s="855"/>
      <c r="D45" s="855"/>
      <c r="E45" s="855"/>
      <c r="F45" s="887"/>
    </row>
    <row r="46" spans="2:6">
      <c r="B46" s="855"/>
      <c r="C46" s="855"/>
      <c r="D46" s="855"/>
      <c r="E46" s="855"/>
      <c r="F46" s="887"/>
    </row>
    <row r="47" spans="2:6">
      <c r="B47" s="855"/>
      <c r="C47" s="855"/>
      <c r="D47" s="855"/>
      <c r="E47" s="855"/>
      <c r="F47" s="887"/>
    </row>
    <row r="48" spans="2:6">
      <c r="B48" s="855"/>
      <c r="C48" s="855"/>
      <c r="D48" s="855"/>
      <c r="E48" s="855"/>
      <c r="F48" s="887"/>
    </row>
    <row r="49" spans="2:6">
      <c r="B49" s="855"/>
      <c r="C49" s="855"/>
      <c r="D49" s="855"/>
      <c r="E49" s="855"/>
      <c r="F49" s="887"/>
    </row>
    <row r="50" spans="2:6">
      <c r="B50" s="855"/>
      <c r="C50" s="855"/>
      <c r="D50" s="855"/>
      <c r="E50" s="855"/>
      <c r="F50" s="887"/>
    </row>
    <row r="51" spans="2:6">
      <c r="B51" s="855"/>
      <c r="C51" s="855"/>
      <c r="D51" s="855"/>
      <c r="E51" s="855"/>
      <c r="F51" s="887"/>
    </row>
    <row r="52" spans="2:6">
      <c r="B52" s="855"/>
      <c r="C52" s="855"/>
      <c r="D52" s="855"/>
      <c r="E52" s="855"/>
      <c r="F52" s="887"/>
    </row>
    <row r="53" spans="2:6">
      <c r="B53" s="855"/>
      <c r="C53" s="855"/>
      <c r="D53" s="855"/>
      <c r="E53" s="855"/>
      <c r="F53" s="887"/>
    </row>
    <row r="54" spans="2:6">
      <c r="B54" s="855"/>
      <c r="C54" s="855"/>
      <c r="D54" s="855"/>
      <c r="E54" s="855"/>
      <c r="F54" s="887"/>
    </row>
    <row r="55" spans="2:6">
      <c r="B55" s="855"/>
      <c r="C55" s="855"/>
      <c r="D55" s="855"/>
      <c r="E55" s="855"/>
      <c r="F55" s="887"/>
    </row>
    <row r="56" spans="2:6">
      <c r="B56" s="855"/>
      <c r="C56" s="855"/>
      <c r="D56" s="855"/>
      <c r="E56" s="855"/>
      <c r="F56" s="887"/>
    </row>
    <row r="57" spans="2:6">
      <c r="B57" s="855"/>
      <c r="C57" s="855"/>
      <c r="D57" s="855"/>
      <c r="E57" s="855"/>
      <c r="F57" s="887"/>
    </row>
    <row r="58" spans="2:6">
      <c r="B58" s="855"/>
      <c r="C58" s="855"/>
      <c r="D58" s="855"/>
      <c r="E58" s="855"/>
      <c r="F58" s="887"/>
    </row>
    <row r="59" spans="2:6">
      <c r="B59" s="855"/>
      <c r="C59" s="855"/>
      <c r="D59" s="855"/>
      <c r="E59" s="855"/>
      <c r="F59" s="887"/>
    </row>
    <row r="60" spans="2:6">
      <c r="B60" s="855"/>
      <c r="C60" s="855"/>
      <c r="D60" s="855"/>
      <c r="E60" s="855"/>
      <c r="F60" s="887"/>
    </row>
    <row r="61" spans="2:6">
      <c r="B61" s="855"/>
      <c r="C61" s="855"/>
      <c r="D61" s="855"/>
      <c r="E61" s="855"/>
      <c r="F61" s="887"/>
    </row>
    <row r="62" spans="2:6">
      <c r="B62" s="855"/>
      <c r="C62" s="855"/>
      <c r="D62" s="855"/>
      <c r="E62" s="855"/>
      <c r="F62" s="887"/>
    </row>
    <row r="63" spans="2:6">
      <c r="B63" s="855"/>
      <c r="C63" s="855"/>
      <c r="D63" s="855"/>
      <c r="E63" s="855"/>
      <c r="F63" s="887"/>
    </row>
    <row r="64" spans="2:6">
      <c r="B64" s="855"/>
      <c r="C64" s="855"/>
      <c r="D64" s="855"/>
      <c r="E64" s="855"/>
      <c r="F64" s="887"/>
    </row>
    <row r="65" spans="2:6">
      <c r="B65" s="855"/>
      <c r="C65" s="855"/>
      <c r="D65" s="855"/>
      <c r="E65" s="855"/>
      <c r="F65" s="887"/>
    </row>
    <row r="66" spans="2:6">
      <c r="B66" s="855"/>
      <c r="C66" s="855"/>
      <c r="D66" s="855"/>
      <c r="E66" s="855"/>
      <c r="F66" s="887"/>
    </row>
    <row r="67" spans="2:6">
      <c r="B67" s="855"/>
      <c r="C67" s="855"/>
      <c r="D67" s="855"/>
      <c r="E67" s="855"/>
      <c r="F67" s="887"/>
    </row>
    <row r="68" spans="2:6">
      <c r="B68" s="855"/>
      <c r="C68" s="855"/>
      <c r="D68" s="855"/>
      <c r="E68" s="855"/>
      <c r="F68" s="887"/>
    </row>
    <row r="69" spans="2:6">
      <c r="B69" s="855"/>
      <c r="C69" s="855"/>
      <c r="D69" s="855"/>
      <c r="E69" s="855"/>
      <c r="F69" s="887"/>
    </row>
    <row r="70" spans="2:6">
      <c r="B70" s="855"/>
      <c r="C70" s="855"/>
      <c r="D70" s="855"/>
      <c r="E70" s="855"/>
      <c r="F70" s="887"/>
    </row>
    <row r="71" spans="2:6">
      <c r="B71" s="855"/>
      <c r="C71" s="855"/>
      <c r="D71" s="855"/>
      <c r="E71" s="855"/>
      <c r="F71" s="887"/>
    </row>
    <row r="72" spans="2:6">
      <c r="B72" s="855"/>
      <c r="C72" s="855"/>
      <c r="D72" s="855"/>
      <c r="E72" s="855"/>
      <c r="F72" s="887"/>
    </row>
    <row r="73" spans="2:6">
      <c r="B73" s="855"/>
      <c r="C73" s="855"/>
      <c r="D73" s="855"/>
      <c r="E73" s="855"/>
      <c r="F73" s="887"/>
    </row>
    <row r="74" spans="2:6">
      <c r="B74" s="855"/>
      <c r="C74" s="855"/>
      <c r="D74" s="855"/>
      <c r="E74" s="855"/>
      <c r="F74" s="887"/>
    </row>
    <row r="75" spans="2:6">
      <c r="B75" s="855"/>
      <c r="C75" s="855"/>
      <c r="D75" s="855"/>
      <c r="E75" s="855"/>
      <c r="F75" s="887"/>
    </row>
    <row r="76" spans="2:6">
      <c r="B76" s="855"/>
      <c r="C76" s="855"/>
      <c r="D76" s="855"/>
      <c r="E76" s="855"/>
      <c r="F76" s="887"/>
    </row>
    <row r="77" spans="2:6">
      <c r="B77" s="855"/>
      <c r="C77" s="855"/>
      <c r="D77" s="855"/>
      <c r="E77" s="855"/>
      <c r="F77" s="887"/>
    </row>
    <row r="78" spans="2:6">
      <c r="B78" s="855"/>
      <c r="C78" s="855"/>
      <c r="D78" s="855"/>
      <c r="E78" s="855"/>
      <c r="F78" s="887"/>
    </row>
    <row r="79" spans="2:6">
      <c r="B79" s="855"/>
      <c r="C79" s="855"/>
      <c r="D79" s="855"/>
      <c r="E79" s="855"/>
      <c r="F79" s="887"/>
    </row>
    <row r="80" spans="2:6">
      <c r="B80" s="855"/>
      <c r="C80" s="855"/>
      <c r="D80" s="855"/>
      <c r="E80" s="855"/>
      <c r="F80" s="887"/>
    </row>
    <row r="81" spans="2:6">
      <c r="B81" s="855"/>
      <c r="C81" s="855"/>
      <c r="D81" s="855"/>
      <c r="E81" s="855"/>
      <c r="F81" s="887"/>
    </row>
    <row r="82" spans="2:6">
      <c r="B82" s="855"/>
      <c r="C82" s="855"/>
      <c r="D82" s="855"/>
      <c r="E82" s="855"/>
      <c r="F82" s="887"/>
    </row>
    <row r="83" spans="2:6">
      <c r="B83" s="855"/>
      <c r="C83" s="855"/>
      <c r="D83" s="855"/>
      <c r="E83" s="855"/>
      <c r="F83" s="887"/>
    </row>
    <row r="84" spans="2:6">
      <c r="B84" s="855"/>
      <c r="C84" s="855"/>
      <c r="D84" s="855"/>
      <c r="E84" s="855"/>
      <c r="F84" s="887"/>
    </row>
    <row r="85" spans="2:6">
      <c r="B85" s="855"/>
      <c r="C85" s="855"/>
      <c r="D85" s="855"/>
      <c r="E85" s="855"/>
      <c r="F85" s="887"/>
    </row>
    <row r="86" spans="2:6">
      <c r="B86" s="855"/>
      <c r="C86" s="855"/>
      <c r="D86" s="855"/>
      <c r="E86" s="855"/>
      <c r="F86" s="887"/>
    </row>
    <row r="87" spans="2:6">
      <c r="B87" s="855"/>
      <c r="C87" s="855"/>
      <c r="D87" s="855"/>
      <c r="E87" s="855"/>
      <c r="F87" s="887"/>
    </row>
    <row r="88" spans="2:6">
      <c r="B88" s="855"/>
      <c r="C88" s="855"/>
      <c r="D88" s="855"/>
      <c r="E88" s="855"/>
      <c r="F88" s="887"/>
    </row>
    <row r="89" spans="2:6">
      <c r="B89" s="855"/>
      <c r="C89" s="855"/>
      <c r="D89" s="855"/>
      <c r="E89" s="855"/>
      <c r="F89" s="887"/>
    </row>
    <row r="90" spans="2:6">
      <c r="B90" s="855"/>
      <c r="C90" s="855"/>
      <c r="D90" s="855"/>
      <c r="E90" s="855"/>
      <c r="F90" s="887"/>
    </row>
    <row r="91" spans="2:6">
      <c r="B91" s="855"/>
      <c r="C91" s="855"/>
      <c r="D91" s="855"/>
      <c r="E91" s="855"/>
      <c r="F91" s="887"/>
    </row>
    <row r="92" spans="2:6">
      <c r="B92" s="855"/>
      <c r="C92" s="855"/>
      <c r="D92" s="855"/>
      <c r="E92" s="855"/>
      <c r="F92" s="887"/>
    </row>
    <row r="93" spans="2:6">
      <c r="B93" s="855"/>
      <c r="C93" s="855"/>
      <c r="D93" s="855"/>
      <c r="E93" s="855"/>
      <c r="F93" s="887"/>
    </row>
    <row r="94" spans="2:6">
      <c r="B94" s="855"/>
      <c r="C94" s="855"/>
      <c r="D94" s="855"/>
      <c r="E94" s="855"/>
      <c r="F94" s="887"/>
    </row>
    <row r="95" spans="2:6">
      <c r="B95" s="855"/>
      <c r="C95" s="855"/>
      <c r="D95" s="855"/>
      <c r="E95" s="855"/>
      <c r="F95" s="887"/>
    </row>
    <row r="96" spans="2:6">
      <c r="B96" s="855"/>
      <c r="C96" s="855"/>
      <c r="D96" s="855"/>
      <c r="E96" s="855"/>
      <c r="F96" s="887"/>
    </row>
    <row r="97" spans="2:6">
      <c r="B97" s="855"/>
      <c r="C97" s="855"/>
      <c r="D97" s="855"/>
      <c r="E97" s="855"/>
      <c r="F97" s="887"/>
    </row>
    <row r="98" spans="2:6">
      <c r="B98" s="855"/>
      <c r="C98" s="855"/>
      <c r="D98" s="855"/>
      <c r="E98" s="855"/>
      <c r="F98" s="887"/>
    </row>
    <row r="99" spans="2:6">
      <c r="B99" s="855"/>
      <c r="C99" s="855"/>
      <c r="D99" s="855"/>
      <c r="E99" s="855"/>
      <c r="F99" s="887"/>
    </row>
    <row r="100" spans="2:6">
      <c r="B100" s="855"/>
      <c r="C100" s="855"/>
      <c r="D100" s="855"/>
      <c r="E100" s="855"/>
      <c r="F100" s="887"/>
    </row>
    <row r="101" spans="2:6">
      <c r="B101" s="855"/>
      <c r="C101" s="855"/>
      <c r="D101" s="855"/>
      <c r="E101" s="855"/>
      <c r="F101" s="887"/>
    </row>
    <row r="102" spans="2:6">
      <c r="B102" s="855"/>
      <c r="C102" s="855"/>
      <c r="D102" s="855"/>
      <c r="E102" s="855"/>
      <c r="F102" s="887"/>
    </row>
    <row r="103" spans="2:6">
      <c r="B103" s="855"/>
      <c r="C103" s="855"/>
      <c r="D103" s="855"/>
      <c r="E103" s="855"/>
      <c r="F103" s="887"/>
    </row>
    <row r="104" spans="2:6">
      <c r="B104" s="855"/>
      <c r="C104" s="855"/>
      <c r="D104" s="855"/>
      <c r="E104" s="855"/>
      <c r="F104" s="887"/>
    </row>
    <row r="105" spans="2:6">
      <c r="B105" s="855"/>
      <c r="C105" s="855"/>
      <c r="D105" s="855"/>
      <c r="E105" s="855"/>
      <c r="F105" s="887"/>
    </row>
    <row r="106" spans="2:6">
      <c r="B106" s="855"/>
      <c r="C106" s="855"/>
      <c r="D106" s="855"/>
      <c r="E106" s="855"/>
      <c r="F106" s="887"/>
    </row>
    <row r="107" spans="2:6">
      <c r="B107" s="855"/>
      <c r="C107" s="855"/>
      <c r="D107" s="855"/>
      <c r="E107" s="855"/>
      <c r="F107" s="887"/>
    </row>
    <row r="108" spans="2:6">
      <c r="B108" s="855"/>
      <c r="C108" s="855"/>
      <c r="D108" s="855"/>
      <c r="E108" s="855"/>
      <c r="F108" s="887"/>
    </row>
    <row r="109" spans="2:6">
      <c r="B109" s="855"/>
      <c r="C109" s="855"/>
      <c r="D109" s="855"/>
      <c r="E109" s="855"/>
      <c r="F109" s="887"/>
    </row>
    <row r="110" spans="2:6">
      <c r="B110" s="855"/>
      <c r="C110" s="855"/>
      <c r="D110" s="855"/>
      <c r="E110" s="855"/>
      <c r="F110" s="887"/>
    </row>
    <row r="111" spans="2:6">
      <c r="B111" s="855"/>
      <c r="C111" s="855"/>
      <c r="D111" s="855"/>
      <c r="E111" s="855"/>
      <c r="F111" s="887"/>
    </row>
    <row r="112" spans="2:6">
      <c r="B112" s="855"/>
      <c r="C112" s="855"/>
      <c r="D112" s="855"/>
      <c r="E112" s="855"/>
      <c r="F112" s="887"/>
    </row>
    <row r="113" spans="2:6">
      <c r="B113" s="855"/>
      <c r="C113" s="855"/>
      <c r="D113" s="855"/>
      <c r="E113" s="855"/>
      <c r="F113" s="887"/>
    </row>
    <row r="114" spans="2:6">
      <c r="B114" s="855"/>
      <c r="C114" s="855"/>
      <c r="D114" s="855"/>
      <c r="E114" s="855"/>
      <c r="F114" s="887"/>
    </row>
    <row r="115" spans="2:6">
      <c r="B115" s="855"/>
      <c r="C115" s="855"/>
      <c r="D115" s="855"/>
      <c r="E115" s="855"/>
      <c r="F115" s="887"/>
    </row>
    <row r="116" spans="2:6">
      <c r="B116" s="855"/>
      <c r="C116" s="855"/>
      <c r="D116" s="855"/>
      <c r="E116" s="855"/>
      <c r="F116" s="887"/>
    </row>
    <row r="117" spans="2:6">
      <c r="B117" s="855"/>
      <c r="C117" s="855"/>
      <c r="D117" s="855"/>
      <c r="E117" s="855"/>
      <c r="F117" s="887"/>
    </row>
    <row r="118" spans="2:6">
      <c r="B118" s="855"/>
      <c r="C118" s="855"/>
      <c r="D118" s="855"/>
      <c r="E118" s="855"/>
      <c r="F118" s="887"/>
    </row>
    <row r="119" spans="2:6">
      <c r="B119" s="855"/>
      <c r="C119" s="855"/>
      <c r="D119" s="855"/>
      <c r="E119" s="855"/>
      <c r="F119" s="887"/>
    </row>
    <row r="120" spans="2:6">
      <c r="B120" s="855"/>
      <c r="C120" s="855"/>
      <c r="D120" s="855"/>
      <c r="E120" s="855"/>
      <c r="F120" s="887"/>
    </row>
    <row r="121" spans="2:6">
      <c r="B121" s="855"/>
      <c r="C121" s="855"/>
      <c r="D121" s="855"/>
      <c r="E121" s="855"/>
      <c r="F121" s="887"/>
    </row>
    <row r="122" spans="2:6">
      <c r="B122" s="855"/>
      <c r="C122" s="855"/>
      <c r="D122" s="855"/>
      <c r="E122" s="855"/>
      <c r="F122" s="887"/>
    </row>
    <row r="123" spans="2:6">
      <c r="B123" s="855"/>
      <c r="C123" s="855"/>
      <c r="D123" s="855"/>
      <c r="E123" s="855"/>
      <c r="F123" s="887"/>
    </row>
    <row r="124" spans="2:6">
      <c r="B124" s="855"/>
      <c r="C124" s="855"/>
      <c r="D124" s="855"/>
      <c r="E124" s="855"/>
      <c r="F124" s="887"/>
    </row>
    <row r="125" spans="2:6">
      <c r="B125" s="855"/>
      <c r="C125" s="855"/>
      <c r="D125" s="855"/>
      <c r="E125" s="855"/>
      <c r="F125" s="887"/>
    </row>
    <row r="126" spans="2:6">
      <c r="B126" s="855"/>
      <c r="C126" s="855"/>
      <c r="D126" s="855"/>
      <c r="E126" s="855"/>
      <c r="F126" s="887"/>
    </row>
    <row r="127" spans="2:6">
      <c r="B127" s="855"/>
      <c r="C127" s="855"/>
      <c r="D127" s="855"/>
      <c r="E127" s="855"/>
      <c r="F127" s="887"/>
    </row>
    <row r="128" spans="2:6">
      <c r="B128" s="855"/>
      <c r="C128" s="855"/>
      <c r="D128" s="855"/>
      <c r="E128" s="855"/>
      <c r="F128" s="887"/>
    </row>
    <row r="129" spans="2:6">
      <c r="B129" s="855"/>
      <c r="C129" s="855"/>
      <c r="D129" s="855"/>
      <c r="E129" s="855"/>
      <c r="F129" s="887"/>
    </row>
    <row r="130" spans="2:6">
      <c r="B130" s="855"/>
      <c r="C130" s="855"/>
      <c r="D130" s="855"/>
      <c r="E130" s="855"/>
      <c r="F130" s="887"/>
    </row>
    <row r="131" spans="2:6">
      <c r="B131" s="855"/>
      <c r="C131" s="855"/>
      <c r="D131" s="855"/>
      <c r="E131" s="855"/>
      <c r="F131" s="887"/>
    </row>
    <row r="132" spans="2:6">
      <c r="B132" s="855"/>
      <c r="C132" s="855"/>
      <c r="D132" s="855"/>
      <c r="E132" s="855"/>
      <c r="F132" s="887"/>
    </row>
    <row r="133" spans="2:6">
      <c r="B133" s="855"/>
      <c r="C133" s="855"/>
      <c r="D133" s="855"/>
      <c r="E133" s="855"/>
      <c r="F133" s="887"/>
    </row>
    <row r="134" spans="2:6">
      <c r="B134" s="855"/>
      <c r="C134" s="855"/>
      <c r="D134" s="855"/>
      <c r="E134" s="855"/>
      <c r="F134" s="887"/>
    </row>
    <row r="135" spans="2:6">
      <c r="B135" s="855"/>
      <c r="C135" s="855"/>
      <c r="D135" s="855"/>
      <c r="E135" s="855"/>
      <c r="F135" s="887"/>
    </row>
    <row r="136" spans="2:6">
      <c r="B136" s="855"/>
      <c r="C136" s="855"/>
      <c r="D136" s="855"/>
      <c r="E136" s="855"/>
      <c r="F136" s="887"/>
    </row>
    <row r="137" spans="2:6">
      <c r="B137" s="855"/>
      <c r="C137" s="855"/>
      <c r="D137" s="855"/>
      <c r="E137" s="855"/>
      <c r="F137" s="887"/>
    </row>
    <row r="138" spans="2:6">
      <c r="B138" s="855"/>
      <c r="C138" s="855"/>
      <c r="D138" s="855"/>
      <c r="E138" s="855"/>
      <c r="F138" s="887"/>
    </row>
    <row r="139" spans="2:6">
      <c r="B139" s="855"/>
      <c r="C139" s="855"/>
      <c r="D139" s="855"/>
      <c r="E139" s="855"/>
      <c r="F139" s="887"/>
    </row>
    <row r="140" spans="2:6">
      <c r="B140" s="855"/>
      <c r="C140" s="855"/>
      <c r="D140" s="855"/>
      <c r="E140" s="855"/>
      <c r="F140" s="887"/>
    </row>
    <row r="141" spans="2:6">
      <c r="B141" s="855"/>
      <c r="C141" s="855"/>
      <c r="D141" s="855"/>
      <c r="E141" s="855"/>
      <c r="F141" s="887"/>
    </row>
    <row r="142" spans="2:6">
      <c r="B142" s="855"/>
      <c r="C142" s="855"/>
      <c r="D142" s="855"/>
      <c r="E142" s="855"/>
      <c r="F142" s="887"/>
    </row>
    <row r="143" spans="2:6">
      <c r="B143" s="855"/>
      <c r="C143" s="855"/>
      <c r="D143" s="855"/>
      <c r="E143" s="855"/>
      <c r="F143" s="887"/>
    </row>
    <row r="144" spans="2:6">
      <c r="B144" s="855"/>
      <c r="C144" s="855"/>
      <c r="D144" s="855"/>
      <c r="E144" s="855"/>
      <c r="F144" s="887"/>
    </row>
    <row r="145" spans="2:6">
      <c r="B145" s="855"/>
      <c r="C145" s="855"/>
      <c r="D145" s="855"/>
      <c r="E145" s="855"/>
      <c r="F145" s="887"/>
    </row>
    <row r="146" spans="2:6">
      <c r="B146" s="855"/>
      <c r="C146" s="855"/>
      <c r="D146" s="855"/>
      <c r="E146" s="855"/>
      <c r="F146" s="887"/>
    </row>
    <row r="147" spans="2:6">
      <c r="B147" s="855"/>
      <c r="C147" s="855"/>
      <c r="D147" s="855"/>
      <c r="E147" s="855"/>
      <c r="F147" s="887"/>
    </row>
    <row r="148" spans="2:6">
      <c r="B148" s="855"/>
      <c r="C148" s="855"/>
      <c r="D148" s="855"/>
      <c r="E148" s="855"/>
      <c r="F148" s="887"/>
    </row>
    <row r="149" spans="2:6">
      <c r="B149" s="855"/>
      <c r="C149" s="855"/>
      <c r="D149" s="855"/>
      <c r="E149" s="855"/>
      <c r="F149" s="887"/>
    </row>
    <row r="150" spans="2:6">
      <c r="B150" s="855"/>
      <c r="C150" s="855"/>
      <c r="D150" s="855"/>
      <c r="E150" s="855"/>
      <c r="F150" s="887"/>
    </row>
    <row r="151" spans="2:6">
      <c r="B151" s="855"/>
      <c r="C151" s="855"/>
      <c r="D151" s="855"/>
      <c r="E151" s="855"/>
      <c r="F151" s="887"/>
    </row>
    <row r="152" spans="2:6">
      <c r="B152" s="855"/>
      <c r="C152" s="855"/>
      <c r="D152" s="855"/>
      <c r="E152" s="855"/>
      <c r="F152" s="887"/>
    </row>
    <row r="153" spans="2:6">
      <c r="B153" s="855"/>
      <c r="C153" s="855"/>
      <c r="D153" s="855"/>
      <c r="E153" s="855"/>
      <c r="F153" s="887"/>
    </row>
    <row r="154" spans="2:6">
      <c r="B154" s="855"/>
      <c r="C154" s="855"/>
      <c r="D154" s="855"/>
      <c r="E154" s="855"/>
      <c r="F154" s="887"/>
    </row>
    <row r="155" spans="2:6">
      <c r="B155" s="855"/>
      <c r="C155" s="855"/>
      <c r="D155" s="855"/>
      <c r="E155" s="855"/>
      <c r="F155" s="887"/>
    </row>
    <row r="156" spans="2:6">
      <c r="B156" s="855"/>
      <c r="C156" s="855"/>
      <c r="D156" s="855"/>
      <c r="E156" s="855"/>
      <c r="F156" s="887"/>
    </row>
    <row r="157" spans="2:6">
      <c r="B157" s="855"/>
      <c r="C157" s="855"/>
      <c r="D157" s="855"/>
      <c r="E157" s="855"/>
      <c r="F157" s="887"/>
    </row>
    <row r="158" spans="2:6">
      <c r="B158" s="855"/>
      <c r="C158" s="855"/>
      <c r="D158" s="855"/>
      <c r="E158" s="855"/>
      <c r="F158" s="887"/>
    </row>
    <row r="159" spans="2:6">
      <c r="B159" s="855"/>
      <c r="C159" s="855"/>
      <c r="D159" s="855"/>
      <c r="E159" s="855"/>
      <c r="F159" s="887"/>
    </row>
    <row r="160" spans="2:6">
      <c r="B160" s="855"/>
      <c r="C160" s="855"/>
      <c r="D160" s="855"/>
      <c r="E160" s="855"/>
      <c r="F160" s="887"/>
    </row>
    <row r="161" spans="2:6">
      <c r="B161" s="855"/>
      <c r="C161" s="855"/>
      <c r="D161" s="855"/>
      <c r="E161" s="855"/>
      <c r="F161" s="887"/>
    </row>
    <row r="162" spans="2:6">
      <c r="B162" s="855"/>
      <c r="C162" s="855"/>
      <c r="D162" s="855"/>
      <c r="E162" s="855"/>
      <c r="F162" s="887"/>
    </row>
    <row r="163" spans="2:6">
      <c r="B163" s="855"/>
      <c r="C163" s="855"/>
      <c r="D163" s="855"/>
      <c r="E163" s="855"/>
      <c r="F163" s="887"/>
    </row>
    <row r="164" spans="2:6">
      <c r="B164" s="855"/>
      <c r="C164" s="855"/>
      <c r="D164" s="855"/>
      <c r="E164" s="855"/>
      <c r="F164" s="887"/>
    </row>
    <row r="165" spans="2:6">
      <c r="B165" s="855"/>
      <c r="C165" s="855"/>
      <c r="D165" s="855"/>
      <c r="E165" s="855"/>
      <c r="F165" s="887"/>
    </row>
    <row r="166" spans="2:6">
      <c r="B166" s="855"/>
      <c r="C166" s="855"/>
      <c r="D166" s="855"/>
      <c r="E166" s="855"/>
      <c r="F166" s="887"/>
    </row>
    <row r="167" spans="2:6">
      <c r="B167" s="855"/>
      <c r="C167" s="855"/>
      <c r="D167" s="855"/>
      <c r="E167" s="855"/>
      <c r="F167" s="887"/>
    </row>
    <row r="168" spans="2:6">
      <c r="B168" s="855"/>
      <c r="C168" s="855"/>
      <c r="D168" s="855"/>
      <c r="E168" s="855"/>
      <c r="F168" s="887"/>
    </row>
    <row r="169" spans="2:6">
      <c r="B169" s="855"/>
      <c r="C169" s="855"/>
      <c r="D169" s="855"/>
      <c r="E169" s="855"/>
      <c r="F169" s="887"/>
    </row>
    <row r="170" spans="2:6">
      <c r="B170" s="855"/>
      <c r="C170" s="855"/>
      <c r="D170" s="855"/>
      <c r="E170" s="855"/>
      <c r="F170" s="887"/>
    </row>
    <row r="171" spans="2:6">
      <c r="B171" s="855"/>
      <c r="C171" s="855"/>
      <c r="D171" s="855"/>
      <c r="E171" s="855"/>
      <c r="F171" s="887"/>
    </row>
    <row r="172" spans="2:6">
      <c r="B172" s="855"/>
      <c r="C172" s="855"/>
      <c r="D172" s="855"/>
      <c r="E172" s="855"/>
      <c r="F172" s="887"/>
    </row>
    <row r="173" spans="2:6">
      <c r="B173" s="855"/>
      <c r="C173" s="855"/>
      <c r="D173" s="855"/>
      <c r="E173" s="855"/>
      <c r="F173" s="887"/>
    </row>
    <row r="174" spans="2:6">
      <c r="B174" s="855"/>
      <c r="C174" s="855"/>
      <c r="D174" s="855"/>
      <c r="E174" s="855"/>
      <c r="F174" s="887"/>
    </row>
    <row r="175" spans="2:6">
      <c r="B175" s="855"/>
      <c r="C175" s="855"/>
      <c r="D175" s="855"/>
      <c r="E175" s="855"/>
      <c r="F175" s="887"/>
    </row>
    <row r="176" spans="2:6">
      <c r="B176" s="855"/>
      <c r="C176" s="855"/>
      <c r="D176" s="855"/>
      <c r="E176" s="855"/>
      <c r="F176" s="887"/>
    </row>
    <row r="177" spans="2:6">
      <c r="B177" s="855"/>
      <c r="C177" s="855"/>
      <c r="D177" s="855"/>
      <c r="E177" s="855"/>
      <c r="F177" s="887"/>
    </row>
    <row r="178" spans="2:6">
      <c r="B178" s="855"/>
      <c r="C178" s="855"/>
      <c r="D178" s="855"/>
      <c r="E178" s="855"/>
      <c r="F178" s="887"/>
    </row>
    <row r="179" spans="2:6">
      <c r="B179" s="855"/>
      <c r="C179" s="855"/>
      <c r="D179" s="855"/>
      <c r="E179" s="855"/>
      <c r="F179" s="887"/>
    </row>
    <row r="180" spans="2:6">
      <c r="B180" s="855"/>
      <c r="C180" s="855"/>
      <c r="D180" s="855"/>
      <c r="E180" s="855"/>
      <c r="F180" s="887"/>
    </row>
    <row r="181" spans="2:6">
      <c r="B181" s="855"/>
      <c r="C181" s="855"/>
      <c r="D181" s="855"/>
      <c r="E181" s="855"/>
      <c r="F181" s="887"/>
    </row>
    <row r="182" spans="2:6">
      <c r="B182" s="855"/>
      <c r="C182" s="855"/>
      <c r="D182" s="855"/>
      <c r="E182" s="855"/>
      <c r="F182" s="887"/>
    </row>
    <row r="183" spans="2:6">
      <c r="B183" s="855"/>
      <c r="C183" s="855"/>
      <c r="D183" s="855"/>
      <c r="E183" s="855"/>
      <c r="F183" s="887"/>
    </row>
    <row r="184" spans="2:6">
      <c r="B184" s="855"/>
      <c r="C184" s="855"/>
      <c r="D184" s="855"/>
      <c r="E184" s="855"/>
      <c r="F184" s="887"/>
    </row>
    <row r="185" spans="2:6">
      <c r="B185" s="855"/>
      <c r="C185" s="855"/>
      <c r="D185" s="855"/>
      <c r="E185" s="855"/>
      <c r="F185" s="887"/>
    </row>
    <row r="186" spans="2:6">
      <c r="B186" s="855"/>
      <c r="C186" s="855"/>
      <c r="D186" s="855"/>
      <c r="E186" s="855"/>
      <c r="F186" s="887"/>
    </row>
    <row r="187" spans="2:6">
      <c r="B187" s="855"/>
      <c r="C187" s="855"/>
      <c r="D187" s="855"/>
      <c r="E187" s="855"/>
      <c r="F187" s="887"/>
    </row>
    <row r="188" spans="2:6">
      <c r="B188" s="855"/>
      <c r="C188" s="855"/>
      <c r="D188" s="855"/>
      <c r="E188" s="855"/>
      <c r="F188" s="887"/>
    </row>
    <row r="189" spans="2:6">
      <c r="B189" s="855"/>
      <c r="C189" s="855"/>
      <c r="D189" s="855"/>
      <c r="E189" s="855"/>
      <c r="F189" s="887"/>
    </row>
    <row r="190" spans="2:6">
      <c r="B190" s="855"/>
      <c r="C190" s="855"/>
      <c r="D190" s="855"/>
      <c r="E190" s="855"/>
      <c r="F190" s="887"/>
    </row>
    <row r="191" spans="2:6">
      <c r="B191" s="855"/>
      <c r="C191" s="855"/>
      <c r="D191" s="855"/>
      <c r="E191" s="855"/>
      <c r="F191" s="887"/>
    </row>
    <row r="192" spans="2:6">
      <c r="B192" s="855"/>
      <c r="C192" s="855"/>
      <c r="D192" s="855"/>
      <c r="E192" s="855"/>
      <c r="F192" s="887"/>
    </row>
    <row r="193" spans="2:6">
      <c r="B193" s="855"/>
      <c r="C193" s="855"/>
      <c r="D193" s="855"/>
      <c r="E193" s="855"/>
      <c r="F193" s="887"/>
    </row>
    <row r="194" spans="2:6">
      <c r="B194" s="855"/>
      <c r="C194" s="855"/>
      <c r="D194" s="855"/>
      <c r="E194" s="855"/>
      <c r="F194" s="887"/>
    </row>
    <row r="195" spans="2:6">
      <c r="B195" s="855"/>
      <c r="C195" s="855"/>
      <c r="D195" s="855"/>
      <c r="E195" s="855"/>
      <c r="F195" s="887"/>
    </row>
    <row r="196" spans="2:6">
      <c r="B196" s="855"/>
      <c r="C196" s="855"/>
      <c r="D196" s="855"/>
      <c r="E196" s="855"/>
      <c r="F196" s="887"/>
    </row>
    <row r="197" spans="2:6">
      <c r="B197" s="855"/>
      <c r="C197" s="855"/>
      <c r="D197" s="855"/>
      <c r="E197" s="855"/>
      <c r="F197" s="887"/>
    </row>
    <row r="198" spans="2:6">
      <c r="B198" s="855"/>
      <c r="C198" s="855"/>
      <c r="D198" s="855"/>
      <c r="E198" s="855"/>
      <c r="F198" s="887"/>
    </row>
    <row r="199" spans="2:6">
      <c r="B199" s="855"/>
      <c r="C199" s="855"/>
      <c r="D199" s="855"/>
      <c r="E199" s="855"/>
      <c r="F199" s="887"/>
    </row>
    <row r="200" spans="2:6">
      <c r="B200" s="855"/>
      <c r="C200" s="855"/>
      <c r="D200" s="855"/>
      <c r="E200" s="855"/>
      <c r="F200" s="887"/>
    </row>
    <row r="201" spans="2:6">
      <c r="B201" s="855"/>
      <c r="C201" s="855"/>
      <c r="D201" s="855"/>
      <c r="E201" s="855"/>
      <c r="F201" s="887"/>
    </row>
    <row r="202" spans="2:6">
      <c r="B202" s="855"/>
      <c r="C202" s="855"/>
      <c r="D202" s="855"/>
      <c r="E202" s="855"/>
      <c r="F202" s="887"/>
    </row>
    <row r="203" spans="2:6">
      <c r="B203" s="855"/>
      <c r="C203" s="855"/>
      <c r="D203" s="855"/>
      <c r="E203" s="855"/>
      <c r="F203" s="887"/>
    </row>
    <row r="204" spans="2:6">
      <c r="B204" s="855"/>
      <c r="C204" s="855"/>
      <c r="D204" s="855"/>
      <c r="E204" s="855"/>
      <c r="F204" s="887"/>
    </row>
    <row r="205" spans="2:6">
      <c r="B205" s="855"/>
      <c r="C205" s="855"/>
      <c r="D205" s="855"/>
      <c r="E205" s="855"/>
      <c r="F205" s="887"/>
    </row>
    <row r="206" spans="2:6">
      <c r="B206" s="855"/>
      <c r="C206" s="855"/>
      <c r="D206" s="855"/>
      <c r="E206" s="855"/>
      <c r="F206" s="887"/>
    </row>
    <row r="207" spans="2:6">
      <c r="B207" s="855"/>
      <c r="C207" s="855"/>
      <c r="D207" s="855"/>
      <c r="E207" s="855"/>
      <c r="F207" s="887"/>
    </row>
    <row r="208" spans="2:6">
      <c r="B208" s="855"/>
      <c r="C208" s="855"/>
      <c r="D208" s="855"/>
      <c r="E208" s="855"/>
      <c r="F208" s="887"/>
    </row>
    <row r="209" spans="2:6">
      <c r="B209" s="855"/>
      <c r="C209" s="855"/>
      <c r="D209" s="855"/>
      <c r="E209" s="855"/>
      <c r="F209" s="887"/>
    </row>
    <row r="210" spans="2:6">
      <c r="B210" s="855"/>
      <c r="C210" s="855"/>
      <c r="D210" s="855"/>
      <c r="E210" s="855"/>
      <c r="F210" s="887"/>
    </row>
    <row r="211" spans="2:6">
      <c r="B211" s="855"/>
      <c r="C211" s="855"/>
      <c r="D211" s="855"/>
      <c r="E211" s="855"/>
      <c r="F211" s="887"/>
    </row>
    <row r="212" spans="2:6">
      <c r="B212" s="855"/>
      <c r="C212" s="855"/>
      <c r="D212" s="855"/>
      <c r="E212" s="855"/>
      <c r="F212" s="887"/>
    </row>
    <row r="213" spans="2:6">
      <c r="B213" s="855"/>
      <c r="C213" s="855"/>
      <c r="D213" s="855"/>
      <c r="E213" s="855"/>
      <c r="F213" s="887"/>
    </row>
    <row r="214" spans="2:6">
      <c r="B214" s="855"/>
      <c r="C214" s="855"/>
      <c r="D214" s="855"/>
      <c r="E214" s="855"/>
      <c r="F214" s="887"/>
    </row>
    <row r="215" spans="2:6">
      <c r="B215" s="855"/>
      <c r="C215" s="855"/>
      <c r="D215" s="855"/>
      <c r="E215" s="855"/>
      <c r="F215" s="887"/>
    </row>
    <row r="216" spans="2:6">
      <c r="B216" s="855"/>
      <c r="C216" s="855"/>
      <c r="D216" s="855"/>
      <c r="E216" s="855"/>
      <c r="F216" s="887"/>
    </row>
    <row r="217" spans="2:6">
      <c r="B217" s="855"/>
      <c r="C217" s="855"/>
      <c r="D217" s="855"/>
      <c r="E217" s="855"/>
      <c r="F217" s="887"/>
    </row>
    <row r="218" spans="2:6">
      <c r="B218" s="855"/>
      <c r="C218" s="855"/>
      <c r="D218" s="855"/>
      <c r="E218" s="855"/>
      <c r="F218" s="887"/>
    </row>
    <row r="219" spans="2:6">
      <c r="B219" s="855"/>
      <c r="C219" s="855"/>
      <c r="D219" s="855"/>
      <c r="E219" s="855"/>
      <c r="F219" s="887"/>
    </row>
    <row r="220" spans="2:6">
      <c r="B220" s="855"/>
      <c r="C220" s="855"/>
      <c r="D220" s="855"/>
      <c r="E220" s="855"/>
      <c r="F220" s="887"/>
    </row>
    <row r="221" spans="2:6">
      <c r="B221" s="855"/>
      <c r="C221" s="855"/>
      <c r="D221" s="855"/>
      <c r="E221" s="855"/>
      <c r="F221" s="887"/>
    </row>
    <row r="222" spans="2:6">
      <c r="B222" s="855"/>
      <c r="C222" s="855"/>
      <c r="D222" s="855"/>
      <c r="E222" s="855"/>
      <c r="F222" s="887"/>
    </row>
    <row r="223" spans="2:6">
      <c r="B223" s="855"/>
      <c r="C223" s="855"/>
      <c r="D223" s="855"/>
      <c r="E223" s="855"/>
      <c r="F223" s="887"/>
    </row>
    <row r="224" spans="2:6">
      <c r="B224" s="855"/>
      <c r="C224" s="855"/>
      <c r="D224" s="855"/>
      <c r="E224" s="855"/>
      <c r="F224" s="887"/>
    </row>
    <row r="225" spans="2:6">
      <c r="B225" s="855"/>
      <c r="C225" s="855"/>
      <c r="D225" s="855"/>
      <c r="E225" s="855"/>
      <c r="F225" s="887"/>
    </row>
    <row r="226" spans="2:6">
      <c r="B226" s="855"/>
      <c r="C226" s="855"/>
      <c r="D226" s="855"/>
      <c r="E226" s="855"/>
      <c r="F226" s="887"/>
    </row>
    <row r="227" spans="2:6">
      <c r="B227" s="855"/>
      <c r="C227" s="855"/>
      <c r="D227" s="855"/>
      <c r="E227" s="855"/>
      <c r="F227" s="887"/>
    </row>
    <row r="228" spans="2:6">
      <c r="B228" s="855"/>
      <c r="C228" s="855"/>
      <c r="D228" s="855"/>
      <c r="E228" s="855"/>
      <c r="F228" s="887"/>
    </row>
    <row r="229" spans="2:6">
      <c r="B229" s="855"/>
      <c r="C229" s="855"/>
      <c r="D229" s="855"/>
      <c r="E229" s="855"/>
      <c r="F229" s="887"/>
    </row>
    <row r="230" spans="2:6">
      <c r="B230" s="855"/>
      <c r="C230" s="855"/>
      <c r="D230" s="855"/>
      <c r="E230" s="855"/>
      <c r="F230" s="887"/>
    </row>
    <row r="231" spans="2:6">
      <c r="B231" s="855"/>
      <c r="C231" s="855"/>
      <c r="D231" s="855"/>
      <c r="E231" s="855"/>
      <c r="F231" s="887"/>
    </row>
    <row r="232" spans="2:6">
      <c r="B232" s="855"/>
      <c r="C232" s="855"/>
      <c r="D232" s="855"/>
      <c r="E232" s="855"/>
      <c r="F232" s="887"/>
    </row>
    <row r="233" spans="2:6">
      <c r="B233" s="855"/>
      <c r="C233" s="855"/>
      <c r="D233" s="855"/>
      <c r="E233" s="855"/>
      <c r="F233" s="887"/>
    </row>
    <row r="234" spans="2:6">
      <c r="B234" s="855"/>
      <c r="C234" s="855"/>
      <c r="D234" s="855"/>
      <c r="E234" s="855"/>
      <c r="F234" s="887"/>
    </row>
    <row r="235" spans="2:6">
      <c r="B235" s="855"/>
      <c r="C235" s="855"/>
      <c r="D235" s="855"/>
      <c r="E235" s="855"/>
      <c r="F235" s="887"/>
    </row>
    <row r="236" spans="2:6">
      <c r="B236" s="855"/>
      <c r="C236" s="855"/>
      <c r="D236" s="855"/>
      <c r="E236" s="855"/>
      <c r="F236" s="887"/>
    </row>
    <row r="237" spans="2:6">
      <c r="B237" s="855"/>
      <c r="C237" s="855"/>
      <c r="D237" s="855"/>
      <c r="E237" s="855"/>
      <c r="F237" s="887"/>
    </row>
    <row r="238" spans="2:6">
      <c r="B238" s="855"/>
      <c r="C238" s="855"/>
      <c r="D238" s="855"/>
      <c r="E238" s="855"/>
      <c r="F238" s="887"/>
    </row>
    <row r="239" spans="2:6">
      <c r="B239" s="855"/>
      <c r="C239" s="855"/>
      <c r="D239" s="855"/>
      <c r="E239" s="855"/>
      <c r="F239" s="887"/>
    </row>
    <row r="240" spans="2:6">
      <c r="B240" s="855"/>
      <c r="C240" s="855"/>
      <c r="D240" s="855"/>
      <c r="E240" s="855"/>
      <c r="F240" s="887"/>
    </row>
    <row r="241" spans="2:6">
      <c r="B241" s="855"/>
      <c r="C241" s="855"/>
      <c r="D241" s="855"/>
      <c r="E241" s="855"/>
      <c r="F241" s="887"/>
    </row>
    <row r="242" spans="2:6">
      <c r="B242" s="855"/>
      <c r="C242" s="855"/>
      <c r="D242" s="855"/>
      <c r="E242" s="855"/>
      <c r="F242" s="887"/>
    </row>
    <row r="243" spans="2:6">
      <c r="B243" s="855"/>
      <c r="C243" s="855"/>
      <c r="D243" s="855"/>
      <c r="E243" s="855"/>
      <c r="F243" s="887"/>
    </row>
    <row r="244" spans="2:6">
      <c r="B244" s="855"/>
      <c r="C244" s="855"/>
      <c r="D244" s="855"/>
      <c r="E244" s="855"/>
      <c r="F244" s="887"/>
    </row>
    <row r="245" spans="2:6">
      <c r="B245" s="855"/>
      <c r="C245" s="855"/>
      <c r="D245" s="855"/>
      <c r="E245" s="855"/>
      <c r="F245" s="887"/>
    </row>
    <row r="246" spans="2:6">
      <c r="B246" s="855"/>
      <c r="C246" s="855"/>
      <c r="D246" s="855"/>
      <c r="E246" s="855"/>
      <c r="F246" s="887"/>
    </row>
    <row r="247" spans="2:6">
      <c r="B247" s="855"/>
      <c r="C247" s="855"/>
      <c r="D247" s="855"/>
      <c r="E247" s="855"/>
      <c r="F247" s="887"/>
    </row>
    <row r="248" spans="2:6">
      <c r="B248" s="855"/>
      <c r="C248" s="855"/>
      <c r="D248" s="855"/>
      <c r="E248" s="855"/>
      <c r="F248" s="887"/>
    </row>
    <row r="249" spans="2:6">
      <c r="B249" s="855"/>
      <c r="C249" s="855"/>
      <c r="D249" s="855"/>
      <c r="E249" s="855"/>
      <c r="F249" s="887"/>
    </row>
    <row r="250" spans="2:6">
      <c r="B250" s="855"/>
      <c r="C250" s="855"/>
      <c r="D250" s="855"/>
      <c r="E250" s="855"/>
      <c r="F250" s="887"/>
    </row>
    <row r="251" spans="2:6">
      <c r="B251" s="855"/>
      <c r="C251" s="855"/>
      <c r="D251" s="855"/>
      <c r="E251" s="855"/>
      <c r="F251" s="887"/>
    </row>
    <row r="252" spans="2:6">
      <c r="B252" s="855"/>
      <c r="C252" s="855"/>
      <c r="D252" s="855"/>
      <c r="E252" s="855"/>
      <c r="F252" s="887"/>
    </row>
    <row r="253" spans="2:6">
      <c r="B253" s="855"/>
      <c r="C253" s="855"/>
      <c r="D253" s="855"/>
      <c r="E253" s="855"/>
      <c r="F253" s="887"/>
    </row>
    <row r="254" spans="2:6">
      <c r="B254" s="855"/>
      <c r="C254" s="855"/>
      <c r="D254" s="855"/>
      <c r="E254" s="855"/>
      <c r="F254" s="887"/>
    </row>
    <row r="255" spans="2:6">
      <c r="B255" s="855"/>
      <c r="C255" s="855"/>
      <c r="D255" s="855"/>
      <c r="E255" s="855"/>
      <c r="F255" s="887"/>
    </row>
    <row r="256" spans="2:6">
      <c r="B256" s="855"/>
      <c r="C256" s="855"/>
      <c r="D256" s="855"/>
      <c r="E256" s="855"/>
      <c r="F256" s="887"/>
    </row>
    <row r="257" spans="2:6">
      <c r="B257" s="855"/>
      <c r="C257" s="855"/>
      <c r="D257" s="855"/>
      <c r="E257" s="855"/>
      <c r="F257" s="887"/>
    </row>
    <row r="258" spans="2:6">
      <c r="B258" s="855"/>
      <c r="C258" s="855"/>
      <c r="D258" s="855"/>
      <c r="E258" s="855"/>
      <c r="F258" s="887"/>
    </row>
    <row r="259" spans="2:6">
      <c r="B259" s="855"/>
      <c r="C259" s="855"/>
      <c r="D259" s="855"/>
      <c r="E259" s="855"/>
      <c r="F259" s="887"/>
    </row>
    <row r="260" spans="2:6">
      <c r="B260" s="855"/>
      <c r="C260" s="855"/>
      <c r="D260" s="855"/>
      <c r="E260" s="855"/>
      <c r="F260" s="887"/>
    </row>
    <row r="261" spans="2:6">
      <c r="B261" s="855"/>
      <c r="C261" s="855"/>
      <c r="D261" s="855"/>
      <c r="E261" s="855"/>
      <c r="F261" s="887"/>
    </row>
    <row r="262" spans="2:6">
      <c r="B262" s="855"/>
      <c r="C262" s="855"/>
      <c r="D262" s="855"/>
      <c r="E262" s="855"/>
      <c r="F262" s="887"/>
    </row>
    <row r="263" spans="2:6">
      <c r="B263" s="855"/>
      <c r="C263" s="855"/>
      <c r="D263" s="855"/>
      <c r="E263" s="855"/>
      <c r="F263" s="887"/>
    </row>
    <row r="264" spans="2:6">
      <c r="B264" s="855"/>
      <c r="C264" s="855"/>
      <c r="D264" s="855"/>
      <c r="E264" s="855"/>
      <c r="F264" s="887"/>
    </row>
    <row r="265" spans="2:6">
      <c r="B265" s="855"/>
      <c r="C265" s="855"/>
      <c r="D265" s="855"/>
      <c r="E265" s="855"/>
      <c r="F265" s="887"/>
    </row>
    <row r="266" spans="2:6">
      <c r="B266" s="855"/>
      <c r="C266" s="855"/>
      <c r="D266" s="855"/>
      <c r="E266" s="855"/>
      <c r="F266" s="887"/>
    </row>
    <row r="267" spans="2:6">
      <c r="B267" s="855"/>
      <c r="C267" s="855"/>
      <c r="D267" s="855"/>
      <c r="E267" s="855"/>
      <c r="F267" s="887"/>
    </row>
    <row r="268" spans="2:6">
      <c r="B268" s="855"/>
      <c r="C268" s="855"/>
      <c r="D268" s="855"/>
      <c r="E268" s="855"/>
      <c r="F268" s="887"/>
    </row>
    <row r="269" spans="2:6">
      <c r="B269" s="855"/>
      <c r="C269" s="855"/>
      <c r="D269" s="855"/>
      <c r="E269" s="855"/>
      <c r="F269" s="887"/>
    </row>
    <row r="270" spans="2:6">
      <c r="B270" s="855"/>
      <c r="C270" s="855"/>
      <c r="D270" s="855"/>
      <c r="E270" s="855"/>
      <c r="F270" s="887"/>
    </row>
    <row r="271" spans="2:6">
      <c r="B271" s="855"/>
      <c r="C271" s="855"/>
      <c r="D271" s="855"/>
      <c r="E271" s="855"/>
      <c r="F271" s="887"/>
    </row>
    <row r="272" spans="2:6">
      <c r="B272" s="855"/>
      <c r="C272" s="855"/>
      <c r="D272" s="855"/>
      <c r="E272" s="855"/>
      <c r="F272" s="887"/>
    </row>
    <row r="273" spans="2:6">
      <c r="B273" s="855"/>
      <c r="C273" s="855"/>
      <c r="D273" s="855"/>
      <c r="E273" s="855"/>
      <c r="F273" s="887"/>
    </row>
    <row r="274" spans="2:6">
      <c r="B274" s="855"/>
      <c r="C274" s="855"/>
      <c r="D274" s="855"/>
      <c r="E274" s="855"/>
      <c r="F274" s="887"/>
    </row>
    <row r="275" spans="2:6">
      <c r="B275" s="855"/>
      <c r="C275" s="855"/>
      <c r="D275" s="855"/>
      <c r="E275" s="855"/>
      <c r="F275" s="887"/>
    </row>
    <row r="276" spans="2:6">
      <c r="B276" s="855"/>
      <c r="C276" s="855"/>
      <c r="D276" s="855"/>
      <c r="E276" s="855"/>
      <c r="F276" s="887"/>
    </row>
    <row r="277" spans="2:6">
      <c r="B277" s="855"/>
      <c r="C277" s="855"/>
      <c r="D277" s="855"/>
      <c r="E277" s="855"/>
      <c r="F277" s="887"/>
    </row>
    <row r="278" spans="2:6">
      <c r="B278" s="855"/>
      <c r="C278" s="855"/>
      <c r="D278" s="855"/>
      <c r="E278" s="855"/>
      <c r="F278" s="887"/>
    </row>
    <row r="279" spans="2:6">
      <c r="B279" s="855"/>
      <c r="C279" s="855"/>
      <c r="D279" s="855"/>
      <c r="E279" s="855"/>
      <c r="F279" s="887"/>
    </row>
    <row r="280" spans="2:6">
      <c r="B280" s="855"/>
      <c r="C280" s="855"/>
      <c r="D280" s="855"/>
      <c r="E280" s="855"/>
      <c r="F280" s="887"/>
    </row>
    <row r="281" spans="2:6">
      <c r="B281" s="855"/>
      <c r="C281" s="855"/>
      <c r="D281" s="855"/>
      <c r="E281" s="855"/>
      <c r="F281" s="887"/>
    </row>
    <row r="282" spans="2:6">
      <c r="B282" s="855"/>
      <c r="C282" s="855"/>
      <c r="D282" s="855"/>
      <c r="E282" s="855"/>
      <c r="F282" s="887"/>
    </row>
    <row r="283" spans="2:6">
      <c r="B283" s="855"/>
      <c r="C283" s="855"/>
      <c r="D283" s="855"/>
      <c r="E283" s="855"/>
      <c r="F283" s="887"/>
    </row>
    <row r="284" spans="2:6">
      <c r="B284" s="855"/>
      <c r="C284" s="855"/>
      <c r="D284" s="855"/>
      <c r="E284" s="855"/>
      <c r="F284" s="887"/>
    </row>
    <row r="285" spans="2:6">
      <c r="B285" s="855"/>
      <c r="C285" s="855"/>
      <c r="D285" s="855"/>
      <c r="E285" s="855"/>
      <c r="F285" s="887"/>
    </row>
    <row r="286" spans="2:6">
      <c r="B286" s="855"/>
      <c r="C286" s="855"/>
      <c r="D286" s="855"/>
      <c r="E286" s="855"/>
      <c r="F286" s="887"/>
    </row>
    <row r="287" spans="2:6">
      <c r="B287" s="855"/>
      <c r="C287" s="855"/>
      <c r="D287" s="855"/>
      <c r="E287" s="855"/>
      <c r="F287" s="887"/>
    </row>
    <row r="288" spans="2:6">
      <c r="B288" s="855"/>
      <c r="C288" s="855"/>
      <c r="D288" s="855"/>
      <c r="E288" s="855"/>
      <c r="F288" s="887"/>
    </row>
    <row r="289" spans="2:6">
      <c r="B289" s="855"/>
      <c r="C289" s="855"/>
      <c r="D289" s="855"/>
      <c r="E289" s="855"/>
      <c r="F289" s="887"/>
    </row>
    <row r="290" spans="2:6">
      <c r="B290" s="855"/>
      <c r="C290" s="855"/>
      <c r="D290" s="855"/>
      <c r="E290" s="855"/>
      <c r="F290" s="887"/>
    </row>
    <row r="291" spans="2:6">
      <c r="B291" s="855"/>
      <c r="C291" s="855"/>
      <c r="D291" s="855"/>
      <c r="E291" s="855"/>
      <c r="F291" s="887"/>
    </row>
    <row r="292" spans="2:6">
      <c r="B292" s="855"/>
      <c r="C292" s="855"/>
      <c r="D292" s="855"/>
      <c r="E292" s="855"/>
      <c r="F292" s="887"/>
    </row>
    <row r="293" spans="2:6">
      <c r="B293" s="855"/>
      <c r="C293" s="855"/>
      <c r="D293" s="855"/>
      <c r="E293" s="855"/>
      <c r="F293" s="887"/>
    </row>
    <row r="294" spans="2:6">
      <c r="B294" s="855"/>
      <c r="C294" s="855"/>
      <c r="D294" s="855"/>
      <c r="E294" s="855"/>
      <c r="F294" s="887"/>
    </row>
    <row r="295" spans="2:6">
      <c r="B295" s="855"/>
      <c r="C295" s="855"/>
      <c r="D295" s="855"/>
      <c r="E295" s="855"/>
      <c r="F295" s="887"/>
    </row>
    <row r="296" spans="2:6">
      <c r="B296" s="855"/>
      <c r="C296" s="855"/>
      <c r="D296" s="855"/>
      <c r="E296" s="855"/>
      <c r="F296" s="887"/>
    </row>
    <row r="297" spans="2:6">
      <c r="B297" s="855"/>
      <c r="C297" s="855"/>
      <c r="D297" s="855"/>
      <c r="E297" s="855"/>
      <c r="F297" s="887"/>
    </row>
    <row r="298" spans="2:6">
      <c r="B298" s="855"/>
      <c r="C298" s="855"/>
      <c r="D298" s="855"/>
      <c r="E298" s="855"/>
      <c r="F298" s="887"/>
    </row>
    <row r="299" spans="2:6">
      <c r="B299" s="855"/>
      <c r="C299" s="855"/>
      <c r="D299" s="855"/>
      <c r="E299" s="855"/>
      <c r="F299" s="887"/>
    </row>
    <row r="300" spans="2:6">
      <c r="B300" s="855"/>
      <c r="C300" s="855"/>
      <c r="D300" s="855"/>
      <c r="E300" s="855"/>
      <c r="F300" s="887"/>
    </row>
    <row r="301" spans="2:6">
      <c r="B301" s="855"/>
      <c r="C301" s="855"/>
      <c r="D301" s="855"/>
      <c r="E301" s="855"/>
      <c r="F301" s="887"/>
    </row>
    <row r="302" spans="2:6">
      <c r="B302" s="855"/>
      <c r="C302" s="855"/>
      <c r="D302" s="855"/>
      <c r="E302" s="855"/>
      <c r="F302" s="887"/>
    </row>
    <row r="303" spans="2:6">
      <c r="B303" s="855"/>
      <c r="C303" s="855"/>
      <c r="D303" s="855"/>
      <c r="E303" s="855"/>
      <c r="F303" s="887"/>
    </row>
    <row r="304" spans="2:6">
      <c r="B304" s="855"/>
      <c r="C304" s="855"/>
      <c r="D304" s="855"/>
      <c r="E304" s="855"/>
      <c r="F304" s="887"/>
    </row>
    <row r="305" spans="2:6">
      <c r="B305" s="855"/>
      <c r="C305" s="855"/>
      <c r="D305" s="855"/>
      <c r="E305" s="855"/>
      <c r="F305" s="887"/>
    </row>
    <row r="306" spans="2:6">
      <c r="B306" s="855"/>
      <c r="C306" s="855"/>
      <c r="D306" s="855"/>
      <c r="E306" s="855"/>
      <c r="F306" s="887"/>
    </row>
    <row r="307" spans="2:6">
      <c r="B307" s="855"/>
      <c r="C307" s="855"/>
      <c r="D307" s="855"/>
      <c r="E307" s="855"/>
      <c r="F307" s="887"/>
    </row>
    <row r="308" spans="2:6">
      <c r="B308" s="855"/>
      <c r="C308" s="855"/>
      <c r="D308" s="855"/>
      <c r="E308" s="855"/>
      <c r="F308" s="887"/>
    </row>
    <row r="309" spans="2:6">
      <c r="B309" s="855"/>
      <c r="C309" s="855"/>
      <c r="D309" s="855"/>
      <c r="E309" s="855"/>
      <c r="F309" s="887"/>
    </row>
    <row r="310" spans="2:6">
      <c r="B310" s="855"/>
      <c r="C310" s="855"/>
      <c r="D310" s="855"/>
      <c r="E310" s="855"/>
      <c r="F310" s="887"/>
    </row>
    <row r="311" spans="2:6">
      <c r="B311" s="855"/>
      <c r="C311" s="855"/>
      <c r="D311" s="855"/>
      <c r="E311" s="855"/>
      <c r="F311" s="887"/>
    </row>
    <row r="312" spans="2:6">
      <c r="B312" s="855"/>
      <c r="C312" s="855"/>
      <c r="D312" s="855"/>
      <c r="E312" s="855"/>
      <c r="F312" s="887"/>
    </row>
    <row r="313" spans="2:6">
      <c r="B313" s="855"/>
      <c r="C313" s="855"/>
      <c r="D313" s="855"/>
      <c r="E313" s="855"/>
      <c r="F313" s="887"/>
    </row>
    <row r="314" spans="2:6">
      <c r="B314" s="855"/>
      <c r="C314" s="855"/>
      <c r="D314" s="855"/>
      <c r="E314" s="855"/>
      <c r="F314" s="887"/>
    </row>
    <row r="315" spans="2:6">
      <c r="B315" s="855"/>
      <c r="C315" s="855"/>
      <c r="D315" s="855"/>
      <c r="E315" s="855"/>
      <c r="F315" s="887"/>
    </row>
    <row r="316" spans="2:6">
      <c r="B316" s="855"/>
      <c r="C316" s="855"/>
      <c r="D316" s="855"/>
      <c r="E316" s="855"/>
      <c r="F316" s="887"/>
    </row>
    <row r="317" spans="2:6">
      <c r="B317" s="855"/>
      <c r="C317" s="855"/>
      <c r="D317" s="855"/>
      <c r="E317" s="855"/>
      <c r="F317" s="887"/>
    </row>
    <row r="318" spans="2:6">
      <c r="B318" s="855"/>
      <c r="C318" s="855"/>
      <c r="D318" s="855"/>
      <c r="E318" s="855"/>
      <c r="F318" s="887"/>
    </row>
    <row r="319" spans="2:6">
      <c r="B319" s="855"/>
      <c r="C319" s="855"/>
      <c r="D319" s="855"/>
      <c r="E319" s="855"/>
      <c r="F319" s="887"/>
    </row>
    <row r="320" spans="2:6">
      <c r="B320" s="855"/>
      <c r="C320" s="855"/>
      <c r="D320" s="855"/>
      <c r="E320" s="855"/>
      <c r="F320" s="887"/>
    </row>
    <row r="321" spans="2:6">
      <c r="B321" s="855"/>
      <c r="C321" s="855"/>
      <c r="D321" s="855"/>
      <c r="E321" s="855"/>
      <c r="F321" s="887"/>
    </row>
    <row r="322" spans="2:6">
      <c r="B322" s="855"/>
      <c r="C322" s="855"/>
      <c r="D322" s="855"/>
      <c r="E322" s="855"/>
      <c r="F322" s="887"/>
    </row>
    <row r="323" spans="2:6">
      <c r="B323" s="855"/>
      <c r="C323" s="855"/>
      <c r="D323" s="855"/>
      <c r="E323" s="855"/>
      <c r="F323" s="887"/>
    </row>
    <row r="324" spans="2:6">
      <c r="B324" s="855"/>
      <c r="C324" s="855"/>
      <c r="D324" s="855"/>
      <c r="E324" s="855"/>
      <c r="F324" s="887"/>
    </row>
    <row r="325" spans="2:6">
      <c r="B325" s="855"/>
      <c r="C325" s="855"/>
      <c r="D325" s="855"/>
      <c r="E325" s="855"/>
      <c r="F325" s="887"/>
    </row>
    <row r="326" spans="2:6">
      <c r="B326" s="855"/>
      <c r="C326" s="855"/>
      <c r="D326" s="855"/>
      <c r="E326" s="855"/>
      <c r="F326" s="887"/>
    </row>
    <row r="327" spans="2:6">
      <c r="B327" s="855"/>
      <c r="C327" s="855"/>
      <c r="D327" s="855"/>
      <c r="E327" s="855"/>
      <c r="F327" s="887"/>
    </row>
    <row r="328" spans="2:6">
      <c r="B328" s="855"/>
      <c r="C328" s="855"/>
      <c r="D328" s="855"/>
      <c r="E328" s="855"/>
      <c r="F328" s="887"/>
    </row>
    <row r="329" spans="2:6">
      <c r="B329" s="855"/>
      <c r="C329" s="855"/>
      <c r="D329" s="855"/>
      <c r="E329" s="855"/>
      <c r="F329" s="887"/>
    </row>
    <row r="330" spans="2:6">
      <c r="B330" s="855"/>
      <c r="C330" s="855"/>
      <c r="D330" s="855"/>
      <c r="E330" s="855"/>
      <c r="F330" s="887"/>
    </row>
    <row r="331" spans="2:6">
      <c r="B331" s="855"/>
      <c r="C331" s="855"/>
      <c r="D331" s="855"/>
      <c r="E331" s="855"/>
      <c r="F331" s="887"/>
    </row>
    <row r="332" spans="2:6">
      <c r="B332" s="855"/>
      <c r="C332" s="855"/>
      <c r="D332" s="855"/>
      <c r="E332" s="855"/>
      <c r="F332" s="887"/>
    </row>
    <row r="333" spans="2:6">
      <c r="B333" s="855"/>
      <c r="C333" s="855"/>
      <c r="D333" s="855"/>
      <c r="E333" s="855"/>
      <c r="F333" s="887"/>
    </row>
    <row r="334" spans="2:6">
      <c r="B334" s="855"/>
      <c r="C334" s="855"/>
      <c r="D334" s="855"/>
      <c r="E334" s="855"/>
      <c r="F334" s="887"/>
    </row>
    <row r="335" spans="2:6">
      <c r="B335" s="855"/>
      <c r="C335" s="855"/>
      <c r="D335" s="855"/>
      <c r="E335" s="855"/>
      <c r="F335" s="887"/>
    </row>
    <row r="336" spans="2:6">
      <c r="B336" s="855"/>
      <c r="C336" s="855"/>
      <c r="D336" s="855"/>
      <c r="E336" s="855"/>
      <c r="F336" s="887"/>
    </row>
    <row r="337" spans="2:6">
      <c r="B337" s="855"/>
      <c r="C337" s="855"/>
      <c r="D337" s="855"/>
      <c r="E337" s="855"/>
      <c r="F337" s="887"/>
    </row>
    <row r="338" spans="2:6">
      <c r="B338" s="855"/>
      <c r="C338" s="855"/>
      <c r="D338" s="855"/>
      <c r="E338" s="855"/>
      <c r="F338" s="887"/>
    </row>
    <row r="339" spans="2:6">
      <c r="B339" s="855"/>
      <c r="C339" s="855"/>
      <c r="D339" s="855"/>
      <c r="E339" s="855"/>
      <c r="F339" s="887"/>
    </row>
    <row r="340" spans="2:6">
      <c r="B340" s="855"/>
      <c r="C340" s="855"/>
      <c r="D340" s="855"/>
      <c r="E340" s="855"/>
      <c r="F340" s="887"/>
    </row>
    <row r="341" spans="2:6">
      <c r="B341" s="855"/>
      <c r="C341" s="855"/>
      <c r="D341" s="855"/>
      <c r="E341" s="855"/>
      <c r="F341" s="887"/>
    </row>
    <row r="342" spans="2:6">
      <c r="B342" s="855"/>
      <c r="C342" s="855"/>
      <c r="D342" s="855"/>
      <c r="E342" s="855"/>
      <c r="F342" s="887"/>
    </row>
    <row r="343" spans="2:6">
      <c r="B343" s="855"/>
      <c r="C343" s="855"/>
      <c r="D343" s="855"/>
      <c r="E343" s="855"/>
      <c r="F343" s="887"/>
    </row>
    <row r="344" spans="2:6">
      <c r="B344" s="855"/>
      <c r="C344" s="855"/>
      <c r="D344" s="855"/>
      <c r="E344" s="855"/>
      <c r="F344" s="887"/>
    </row>
    <row r="345" spans="2:6">
      <c r="B345" s="855"/>
      <c r="C345" s="855"/>
      <c r="D345" s="855"/>
      <c r="E345" s="855"/>
      <c r="F345" s="887"/>
    </row>
    <row r="346" spans="2:6">
      <c r="B346" s="855"/>
      <c r="C346" s="855"/>
      <c r="D346" s="855"/>
      <c r="E346" s="855"/>
      <c r="F346" s="887"/>
    </row>
    <row r="347" spans="2:6">
      <c r="B347" s="855"/>
      <c r="C347" s="855"/>
      <c r="D347" s="855"/>
      <c r="E347" s="855"/>
      <c r="F347" s="887"/>
    </row>
    <row r="348" spans="2:6">
      <c r="B348" s="855"/>
      <c r="C348" s="855"/>
      <c r="D348" s="855"/>
      <c r="E348" s="855"/>
      <c r="F348" s="887"/>
    </row>
    <row r="349" spans="2:6">
      <c r="B349" s="855"/>
      <c r="C349" s="855"/>
      <c r="D349" s="855"/>
      <c r="E349" s="855"/>
      <c r="F349" s="887"/>
    </row>
    <row r="350" spans="2:6">
      <c r="B350" s="855"/>
      <c r="C350" s="855"/>
      <c r="D350" s="855"/>
      <c r="E350" s="855"/>
      <c r="F350" s="887"/>
    </row>
    <row r="351" spans="2:6">
      <c r="B351" s="855"/>
      <c r="C351" s="855"/>
      <c r="D351" s="855"/>
      <c r="E351" s="855"/>
      <c r="F351" s="887"/>
    </row>
    <row r="352" spans="2:6">
      <c r="B352" s="855"/>
      <c r="C352" s="855"/>
      <c r="D352" s="855"/>
      <c r="E352" s="855"/>
      <c r="F352" s="887"/>
    </row>
    <row r="353" spans="2:6">
      <c r="B353" s="855"/>
      <c r="C353" s="855"/>
      <c r="D353" s="855"/>
      <c r="E353" s="855"/>
      <c r="F353" s="887"/>
    </row>
    <row r="354" spans="2:6">
      <c r="B354" s="855"/>
      <c r="C354" s="855"/>
      <c r="D354" s="855"/>
      <c r="E354" s="855"/>
      <c r="F354" s="887"/>
    </row>
    <row r="355" spans="2:6">
      <c r="B355" s="855"/>
      <c r="C355" s="855"/>
      <c r="D355" s="855"/>
      <c r="E355" s="855"/>
      <c r="F355" s="887"/>
    </row>
    <row r="356" spans="2:6">
      <c r="B356" s="855"/>
      <c r="C356" s="855"/>
      <c r="D356" s="855"/>
      <c r="E356" s="855"/>
      <c r="F356" s="887"/>
    </row>
    <row r="357" spans="2:6">
      <c r="B357" s="855"/>
      <c r="C357" s="855"/>
      <c r="D357" s="855"/>
      <c r="E357" s="855"/>
      <c r="F357" s="887"/>
    </row>
    <row r="358" spans="2:6">
      <c r="B358" s="855"/>
      <c r="C358" s="855"/>
      <c r="D358" s="855"/>
      <c r="E358" s="855"/>
      <c r="F358" s="887"/>
    </row>
    <row r="359" spans="2:6">
      <c r="B359" s="855"/>
      <c r="C359" s="855"/>
      <c r="D359" s="855"/>
      <c r="E359" s="855"/>
      <c r="F359" s="887"/>
    </row>
    <row r="360" spans="2:6">
      <c r="B360" s="855"/>
      <c r="C360" s="855"/>
      <c r="D360" s="855"/>
      <c r="E360" s="855"/>
      <c r="F360" s="887"/>
    </row>
    <row r="361" spans="2:6">
      <c r="B361" s="855"/>
      <c r="C361" s="855"/>
      <c r="D361" s="855"/>
      <c r="E361" s="855"/>
      <c r="F361" s="887"/>
    </row>
    <row r="362" spans="2:6">
      <c r="B362" s="855"/>
      <c r="C362" s="855"/>
      <c r="D362" s="855"/>
      <c r="E362" s="855"/>
      <c r="F362" s="887"/>
    </row>
    <row r="363" spans="2:6">
      <c r="B363" s="855"/>
      <c r="C363" s="855"/>
      <c r="D363" s="855"/>
      <c r="E363" s="855"/>
      <c r="F363" s="887"/>
    </row>
    <row r="364" spans="2:6">
      <c r="B364" s="855"/>
      <c r="C364" s="855"/>
      <c r="D364" s="855"/>
      <c r="E364" s="855"/>
      <c r="F364" s="887"/>
    </row>
    <row r="365" spans="2:6">
      <c r="B365" s="855"/>
      <c r="C365" s="855"/>
      <c r="D365" s="855"/>
      <c r="E365" s="855"/>
      <c r="F365" s="887"/>
    </row>
    <row r="366" spans="2:6">
      <c r="B366" s="855"/>
      <c r="C366" s="855"/>
      <c r="D366" s="855"/>
      <c r="E366" s="855"/>
      <c r="F366" s="887"/>
    </row>
    <row r="367" spans="2:6">
      <c r="B367" s="855"/>
      <c r="C367" s="855"/>
      <c r="D367" s="855"/>
      <c r="E367" s="855"/>
      <c r="F367" s="887"/>
    </row>
    <row r="368" spans="2:6">
      <c r="B368" s="855"/>
      <c r="C368" s="855"/>
      <c r="D368" s="855"/>
      <c r="E368" s="855"/>
      <c r="F368" s="887"/>
    </row>
    <row r="369" spans="2:6">
      <c r="B369" s="855"/>
      <c r="C369" s="855"/>
      <c r="D369" s="855"/>
      <c r="E369" s="855"/>
      <c r="F369" s="887"/>
    </row>
    <row r="370" spans="2:6">
      <c r="B370" s="855"/>
      <c r="C370" s="855"/>
      <c r="D370" s="855"/>
      <c r="E370" s="855"/>
      <c r="F370" s="887"/>
    </row>
    <row r="371" spans="2:6">
      <c r="B371" s="855"/>
      <c r="C371" s="855"/>
      <c r="D371" s="855"/>
      <c r="E371" s="855"/>
      <c r="F371" s="887"/>
    </row>
    <row r="372" spans="2:6">
      <c r="B372" s="855"/>
      <c r="C372" s="855"/>
      <c r="D372" s="855"/>
      <c r="E372" s="855"/>
      <c r="F372" s="887"/>
    </row>
    <row r="373" spans="2:6">
      <c r="B373" s="855"/>
      <c r="C373" s="855"/>
      <c r="D373" s="855"/>
      <c r="E373" s="855"/>
      <c r="F373" s="887"/>
    </row>
    <row r="374" spans="2:6">
      <c r="B374" s="855"/>
      <c r="C374" s="855"/>
      <c r="D374" s="855"/>
      <c r="E374" s="855"/>
      <c r="F374" s="887"/>
    </row>
    <row r="375" spans="2:6">
      <c r="B375" s="855"/>
      <c r="C375" s="855"/>
      <c r="D375" s="855"/>
      <c r="E375" s="855"/>
      <c r="F375" s="887"/>
    </row>
    <row r="376" spans="2:6">
      <c r="B376" s="855"/>
      <c r="C376" s="855"/>
      <c r="D376" s="855"/>
      <c r="E376" s="855"/>
      <c r="F376" s="887"/>
    </row>
    <row r="377" spans="2:6">
      <c r="B377" s="855"/>
      <c r="C377" s="855"/>
      <c r="D377" s="855"/>
      <c r="E377" s="855"/>
      <c r="F377" s="887"/>
    </row>
    <row r="378" spans="2:6">
      <c r="B378" s="855"/>
      <c r="C378" s="855"/>
      <c r="D378" s="855"/>
      <c r="E378" s="855"/>
      <c r="F378" s="887"/>
    </row>
    <row r="379" spans="2:6">
      <c r="B379" s="855"/>
      <c r="C379" s="855"/>
      <c r="D379" s="855"/>
      <c r="E379" s="855"/>
      <c r="F379" s="887"/>
    </row>
    <row r="380" spans="2:6">
      <c r="B380" s="855"/>
      <c r="C380" s="855"/>
      <c r="D380" s="855"/>
      <c r="E380" s="855"/>
      <c r="F380" s="887"/>
    </row>
    <row r="381" spans="2:6">
      <c r="B381" s="855"/>
      <c r="C381" s="855"/>
      <c r="D381" s="855"/>
      <c r="E381" s="855"/>
      <c r="F381" s="887"/>
    </row>
    <row r="382" spans="2:6">
      <c r="B382" s="855"/>
      <c r="C382" s="855"/>
      <c r="D382" s="855"/>
      <c r="E382" s="855"/>
      <c r="F382" s="887"/>
    </row>
    <row r="383" spans="2:6">
      <c r="B383" s="855"/>
      <c r="C383" s="855"/>
      <c r="D383" s="855"/>
      <c r="E383" s="855"/>
      <c r="F383" s="887"/>
    </row>
    <row r="384" spans="2:6">
      <c r="B384" s="855"/>
      <c r="C384" s="855"/>
      <c r="D384" s="855"/>
      <c r="E384" s="855"/>
      <c r="F384" s="887"/>
    </row>
    <row r="385" spans="2:6">
      <c r="B385" s="855"/>
      <c r="C385" s="855"/>
      <c r="D385" s="855"/>
      <c r="E385" s="855"/>
      <c r="F385" s="887"/>
    </row>
    <row r="386" spans="2:6">
      <c r="B386" s="855"/>
      <c r="C386" s="855"/>
      <c r="D386" s="855"/>
      <c r="E386" s="855"/>
      <c r="F386" s="887"/>
    </row>
    <row r="387" spans="2:6">
      <c r="B387" s="855"/>
      <c r="C387" s="855"/>
      <c r="D387" s="855"/>
      <c r="E387" s="855"/>
      <c r="F387" s="887"/>
    </row>
    <row r="388" spans="2:6">
      <c r="B388" s="855"/>
      <c r="C388" s="855"/>
      <c r="D388" s="855"/>
      <c r="E388" s="855"/>
      <c r="F388" s="887"/>
    </row>
    <row r="389" spans="2:6">
      <c r="B389" s="855"/>
      <c r="C389" s="855"/>
      <c r="D389" s="855"/>
      <c r="E389" s="855"/>
      <c r="F389" s="887"/>
    </row>
    <row r="390" spans="2:6">
      <c r="B390" s="855"/>
      <c r="C390" s="855"/>
      <c r="D390" s="855"/>
      <c r="E390" s="855"/>
      <c r="F390" s="887"/>
    </row>
    <row r="391" spans="2:6">
      <c r="B391" s="855"/>
      <c r="C391" s="855"/>
      <c r="D391" s="855"/>
      <c r="E391" s="855"/>
      <c r="F391" s="887"/>
    </row>
    <row r="392" spans="2:6">
      <c r="B392" s="855"/>
      <c r="C392" s="855"/>
      <c r="D392" s="855"/>
      <c r="E392" s="855"/>
      <c r="F392" s="887"/>
    </row>
    <row r="393" spans="2:6">
      <c r="B393" s="855"/>
      <c r="C393" s="855"/>
      <c r="D393" s="855"/>
      <c r="E393" s="855"/>
      <c r="F393" s="887"/>
    </row>
    <row r="394" spans="2:6">
      <c r="B394" s="855"/>
      <c r="C394" s="855"/>
      <c r="D394" s="855"/>
      <c r="E394" s="855"/>
      <c r="F394" s="887"/>
    </row>
    <row r="395" spans="2:6">
      <c r="B395" s="855"/>
      <c r="C395" s="855"/>
      <c r="D395" s="855"/>
      <c r="E395" s="855"/>
      <c r="F395" s="887"/>
    </row>
    <row r="396" spans="2:6">
      <c r="B396" s="855"/>
      <c r="C396" s="855"/>
      <c r="D396" s="855"/>
      <c r="E396" s="855"/>
      <c r="F396" s="887"/>
    </row>
    <row r="397" spans="2:6">
      <c r="B397" s="855"/>
      <c r="C397" s="855"/>
      <c r="D397" s="855"/>
      <c r="E397" s="855"/>
      <c r="F397" s="887"/>
    </row>
    <row r="398" spans="2:6">
      <c r="B398" s="855"/>
      <c r="C398" s="855"/>
      <c r="D398" s="855"/>
      <c r="E398" s="855"/>
      <c r="F398" s="887"/>
    </row>
    <row r="399" spans="2:6">
      <c r="B399" s="855"/>
      <c r="C399" s="855"/>
      <c r="D399" s="855"/>
      <c r="E399" s="855"/>
      <c r="F399" s="887"/>
    </row>
    <row r="400" spans="2:6">
      <c r="B400" s="855"/>
      <c r="C400" s="855"/>
      <c r="D400" s="855"/>
      <c r="E400" s="855"/>
      <c r="F400" s="887"/>
    </row>
    <row r="401" spans="2:6">
      <c r="B401" s="855"/>
      <c r="C401" s="855"/>
      <c r="D401" s="855"/>
      <c r="E401" s="855"/>
      <c r="F401" s="887"/>
    </row>
    <row r="402" spans="2:6">
      <c r="B402" s="855"/>
      <c r="C402" s="855"/>
      <c r="D402" s="855"/>
      <c r="E402" s="855"/>
      <c r="F402" s="887"/>
    </row>
    <row r="403" spans="2:6">
      <c r="B403" s="855"/>
      <c r="C403" s="855"/>
      <c r="D403" s="855"/>
      <c r="E403" s="855"/>
      <c r="F403" s="887"/>
    </row>
    <row r="404" spans="2:6">
      <c r="B404" s="855"/>
      <c r="C404" s="855"/>
      <c r="D404" s="855"/>
      <c r="E404" s="855"/>
      <c r="F404" s="887"/>
    </row>
    <row r="405" spans="2:6">
      <c r="B405" s="855"/>
      <c r="C405" s="855"/>
      <c r="D405" s="855"/>
      <c r="E405" s="855"/>
      <c r="F405" s="887"/>
    </row>
    <row r="406" spans="2:6">
      <c r="B406" s="855"/>
      <c r="C406" s="855"/>
      <c r="D406" s="855"/>
      <c r="E406" s="855"/>
      <c r="F406" s="887"/>
    </row>
    <row r="407" spans="2:6">
      <c r="B407" s="855"/>
      <c r="C407" s="855"/>
      <c r="D407" s="855"/>
      <c r="E407" s="855"/>
      <c r="F407" s="887"/>
    </row>
    <row r="408" spans="2:6">
      <c r="B408" s="855"/>
      <c r="C408" s="855"/>
      <c r="D408" s="855"/>
      <c r="E408" s="855"/>
      <c r="F408" s="887"/>
    </row>
    <row r="409" spans="2:6">
      <c r="B409" s="855"/>
      <c r="C409" s="855"/>
      <c r="D409" s="855"/>
      <c r="E409" s="855"/>
      <c r="F409" s="887"/>
    </row>
    <row r="410" spans="2:6">
      <c r="B410" s="855"/>
      <c r="C410" s="855"/>
      <c r="D410" s="855"/>
      <c r="E410" s="855"/>
      <c r="F410" s="887"/>
    </row>
    <row r="411" spans="2:6">
      <c r="B411" s="855"/>
      <c r="C411" s="855"/>
      <c r="D411" s="855"/>
      <c r="E411" s="855"/>
      <c r="F411" s="887"/>
    </row>
    <row r="412" spans="2:6">
      <c r="B412" s="855"/>
      <c r="C412" s="855"/>
      <c r="D412" s="855"/>
      <c r="E412" s="855"/>
      <c r="F412" s="887"/>
    </row>
    <row r="413" spans="2:6">
      <c r="B413" s="855"/>
      <c r="C413" s="855"/>
      <c r="D413" s="855"/>
      <c r="E413" s="855"/>
      <c r="F413" s="887"/>
    </row>
    <row r="414" spans="2:6">
      <c r="B414" s="855"/>
      <c r="C414" s="855"/>
      <c r="D414" s="855"/>
      <c r="E414" s="855"/>
      <c r="F414" s="887"/>
    </row>
    <row r="415" spans="2:6">
      <c r="B415" s="855"/>
      <c r="C415" s="855"/>
      <c r="D415" s="855"/>
      <c r="E415" s="855"/>
      <c r="F415" s="887"/>
    </row>
    <row r="416" spans="2:6">
      <c r="B416" s="855"/>
      <c r="C416" s="855"/>
      <c r="D416" s="855"/>
      <c r="E416" s="855"/>
      <c r="F416" s="887"/>
    </row>
    <row r="417" spans="2:6">
      <c r="B417" s="855"/>
      <c r="C417" s="855"/>
      <c r="D417" s="855"/>
      <c r="E417" s="855"/>
      <c r="F417" s="887"/>
    </row>
    <row r="418" spans="2:6">
      <c r="B418" s="855"/>
      <c r="C418" s="855"/>
      <c r="D418" s="855"/>
      <c r="E418" s="855"/>
      <c r="F418" s="887"/>
    </row>
    <row r="419" spans="2:6">
      <c r="B419" s="855"/>
      <c r="C419" s="855"/>
      <c r="D419" s="855"/>
      <c r="E419" s="855"/>
      <c r="F419" s="887"/>
    </row>
    <row r="420" spans="2:6">
      <c r="B420" s="855"/>
      <c r="C420" s="855"/>
      <c r="D420" s="855"/>
      <c r="E420" s="855"/>
      <c r="F420" s="887"/>
    </row>
    <row r="421" spans="2:6">
      <c r="B421" s="855"/>
      <c r="C421" s="855"/>
      <c r="D421" s="855"/>
      <c r="E421" s="855"/>
      <c r="F421" s="887"/>
    </row>
    <row r="422" spans="2:6">
      <c r="B422" s="855"/>
      <c r="C422" s="855"/>
      <c r="D422" s="855"/>
      <c r="E422" s="855"/>
      <c r="F422" s="887"/>
    </row>
    <row r="423" spans="2:6">
      <c r="B423" s="855"/>
      <c r="C423" s="855"/>
      <c r="D423" s="855"/>
      <c r="E423" s="855"/>
      <c r="F423" s="887"/>
    </row>
    <row r="424" spans="2:6">
      <c r="B424" s="855"/>
      <c r="C424" s="855"/>
      <c r="D424" s="855"/>
      <c r="E424" s="855"/>
      <c r="F424" s="887"/>
    </row>
    <row r="425" spans="2:6">
      <c r="B425" s="855"/>
      <c r="C425" s="855"/>
      <c r="D425" s="855"/>
      <c r="E425" s="855"/>
      <c r="F425" s="887"/>
    </row>
    <row r="426" spans="2:6">
      <c r="B426" s="855"/>
      <c r="C426" s="855"/>
      <c r="D426" s="855"/>
      <c r="E426" s="855"/>
      <c r="F426" s="887"/>
    </row>
    <row r="427" spans="2:6">
      <c r="B427" s="855"/>
      <c r="C427" s="855"/>
      <c r="D427" s="855"/>
      <c r="E427" s="855"/>
      <c r="F427" s="887"/>
    </row>
    <row r="428" spans="2:6">
      <c r="B428" s="855"/>
      <c r="C428" s="855"/>
      <c r="D428" s="855"/>
      <c r="E428" s="855"/>
      <c r="F428" s="887"/>
    </row>
    <row r="429" spans="2:6">
      <c r="B429" s="855"/>
      <c r="C429" s="855"/>
      <c r="D429" s="855"/>
      <c r="E429" s="855"/>
      <c r="F429" s="887"/>
    </row>
    <row r="430" spans="2:6">
      <c r="B430" s="855"/>
      <c r="C430" s="855"/>
      <c r="D430" s="855"/>
      <c r="E430" s="855"/>
      <c r="F430" s="887"/>
    </row>
    <row r="431" spans="2:6">
      <c r="B431" s="855"/>
      <c r="C431" s="855"/>
      <c r="D431" s="855"/>
      <c r="E431" s="855"/>
      <c r="F431" s="887"/>
    </row>
    <row r="432" spans="2:6">
      <c r="B432" s="855"/>
      <c r="C432" s="855"/>
      <c r="D432" s="855"/>
      <c r="E432" s="855"/>
      <c r="F432" s="887"/>
    </row>
    <row r="433" spans="2:6">
      <c r="B433" s="855"/>
      <c r="C433" s="855"/>
      <c r="D433" s="855"/>
      <c r="E433" s="855"/>
      <c r="F433" s="887"/>
    </row>
    <row r="434" spans="2:6">
      <c r="B434" s="855"/>
      <c r="C434" s="855"/>
      <c r="D434" s="855"/>
      <c r="E434" s="855"/>
      <c r="F434" s="887"/>
    </row>
    <row r="435" spans="2:6">
      <c r="B435" s="855"/>
      <c r="C435" s="855"/>
      <c r="D435" s="855"/>
      <c r="E435" s="855"/>
      <c r="F435" s="887"/>
    </row>
    <row r="436" spans="2:6">
      <c r="B436" s="855"/>
      <c r="C436" s="855"/>
      <c r="D436" s="855"/>
      <c r="E436" s="855"/>
      <c r="F436" s="887"/>
    </row>
    <row r="437" spans="2:6">
      <c r="B437" s="855"/>
      <c r="C437" s="855"/>
      <c r="D437" s="855"/>
      <c r="E437" s="855"/>
      <c r="F437" s="887"/>
    </row>
    <row r="438" spans="2:6">
      <c r="B438" s="855"/>
      <c r="C438" s="855"/>
      <c r="D438" s="855"/>
      <c r="E438" s="855"/>
      <c r="F438" s="887"/>
    </row>
    <row r="439" spans="2:6">
      <c r="B439" s="855"/>
      <c r="C439" s="855"/>
      <c r="D439" s="855"/>
      <c r="E439" s="855"/>
      <c r="F439" s="887"/>
    </row>
    <row r="440" spans="2:6">
      <c r="B440" s="855"/>
      <c r="C440" s="855"/>
      <c r="D440" s="855"/>
      <c r="E440" s="855"/>
      <c r="F440" s="887"/>
    </row>
    <row r="441" spans="2:6">
      <c r="B441" s="855"/>
      <c r="C441" s="855"/>
      <c r="D441" s="855"/>
      <c r="E441" s="855"/>
      <c r="F441" s="887"/>
    </row>
    <row r="442" spans="2:6">
      <c r="B442" s="855"/>
      <c r="C442" s="855"/>
      <c r="D442" s="855"/>
      <c r="E442" s="855"/>
      <c r="F442" s="887"/>
    </row>
    <row r="443" spans="2:6">
      <c r="B443" s="855"/>
      <c r="C443" s="855"/>
      <c r="D443" s="855"/>
      <c r="E443" s="855"/>
      <c r="F443" s="887"/>
    </row>
    <row r="444" spans="2:6">
      <c r="B444" s="855"/>
      <c r="C444" s="855"/>
      <c r="D444" s="855"/>
      <c r="E444" s="855"/>
      <c r="F444" s="887"/>
    </row>
    <row r="445" spans="2:6">
      <c r="B445" s="855"/>
      <c r="C445" s="855"/>
      <c r="D445" s="855"/>
      <c r="E445" s="855"/>
      <c r="F445" s="887"/>
    </row>
    <row r="446" spans="2:6">
      <c r="B446" s="855"/>
      <c r="C446" s="855"/>
      <c r="D446" s="855"/>
      <c r="E446" s="855"/>
      <c r="F446" s="887"/>
    </row>
    <row r="447" spans="2:6">
      <c r="B447" s="855"/>
      <c r="C447" s="855"/>
      <c r="D447" s="855"/>
      <c r="E447" s="855"/>
      <c r="F447" s="887"/>
    </row>
    <row r="448" spans="2:6">
      <c r="B448" s="855"/>
      <c r="C448" s="855"/>
      <c r="D448" s="855"/>
      <c r="E448" s="855"/>
      <c r="F448" s="887"/>
    </row>
    <row r="449" spans="2:6">
      <c r="B449" s="855"/>
      <c r="C449" s="855"/>
      <c r="D449" s="855"/>
      <c r="E449" s="855"/>
      <c r="F449" s="887"/>
    </row>
    <row r="450" spans="2:6">
      <c r="B450" s="855"/>
      <c r="C450" s="855"/>
      <c r="D450" s="855"/>
      <c r="E450" s="855"/>
      <c r="F450" s="887"/>
    </row>
    <row r="451" spans="2:6">
      <c r="B451" s="855"/>
      <c r="C451" s="855"/>
      <c r="D451" s="855"/>
      <c r="E451" s="855"/>
      <c r="F451" s="887"/>
    </row>
    <row r="452" spans="2:6">
      <c r="B452" s="855"/>
      <c r="C452" s="855"/>
      <c r="D452" s="855"/>
      <c r="E452" s="855"/>
      <c r="F452" s="887"/>
    </row>
    <row r="453" spans="2:6">
      <c r="B453" s="855"/>
      <c r="C453" s="855"/>
      <c r="D453" s="855"/>
      <c r="E453" s="855"/>
      <c r="F453" s="887"/>
    </row>
    <row r="454" spans="2:6">
      <c r="B454" s="855"/>
      <c r="C454" s="855"/>
      <c r="D454" s="855"/>
      <c r="E454" s="855"/>
      <c r="F454" s="887"/>
    </row>
    <row r="455" spans="2:6">
      <c r="B455" s="855"/>
      <c r="C455" s="855"/>
      <c r="D455" s="855"/>
      <c r="E455" s="855"/>
      <c r="F455" s="887"/>
    </row>
    <row r="456" spans="2:6">
      <c r="B456" s="855"/>
      <c r="C456" s="855"/>
      <c r="D456" s="855"/>
      <c r="E456" s="855"/>
      <c r="F456" s="887"/>
    </row>
    <row r="457" spans="2:6">
      <c r="B457" s="855"/>
      <c r="C457" s="855"/>
      <c r="D457" s="855"/>
      <c r="E457" s="855"/>
      <c r="F457" s="887"/>
    </row>
    <row r="458" spans="2:6">
      <c r="B458" s="855"/>
      <c r="C458" s="855"/>
      <c r="D458" s="855"/>
      <c r="E458" s="855"/>
      <c r="F458" s="887"/>
    </row>
    <row r="459" spans="2:6">
      <c r="B459" s="855"/>
      <c r="C459" s="855"/>
      <c r="D459" s="855"/>
      <c r="E459" s="855"/>
      <c r="F459" s="887"/>
    </row>
    <row r="460" spans="2:6">
      <c r="B460" s="855"/>
      <c r="C460" s="855"/>
      <c r="D460" s="855"/>
      <c r="E460" s="855"/>
      <c r="F460" s="887"/>
    </row>
    <row r="461" spans="2:6">
      <c r="B461" s="855"/>
      <c r="C461" s="855"/>
      <c r="D461" s="855"/>
      <c r="E461" s="855"/>
      <c r="F461" s="887"/>
    </row>
    <row r="462" spans="2:6">
      <c r="B462" s="855"/>
      <c r="C462" s="855"/>
      <c r="D462" s="855"/>
      <c r="E462" s="855"/>
      <c r="F462" s="887"/>
    </row>
    <row r="463" spans="2:6">
      <c r="B463" s="855"/>
      <c r="C463" s="855"/>
      <c r="D463" s="855"/>
      <c r="E463" s="855"/>
      <c r="F463" s="887"/>
    </row>
    <row r="464" spans="2:6">
      <c r="B464" s="855"/>
      <c r="C464" s="855"/>
      <c r="D464" s="855"/>
      <c r="E464" s="855"/>
      <c r="F464" s="887"/>
    </row>
    <row r="465" spans="2:6">
      <c r="B465" s="855"/>
      <c r="C465" s="855"/>
      <c r="D465" s="855"/>
      <c r="E465" s="855"/>
      <c r="F465" s="887"/>
    </row>
    <row r="466" spans="2:6">
      <c r="B466" s="855"/>
      <c r="C466" s="855"/>
      <c r="D466" s="855"/>
      <c r="E466" s="855"/>
      <c r="F466" s="887"/>
    </row>
    <row r="467" spans="2:6">
      <c r="B467" s="855"/>
      <c r="C467" s="855"/>
      <c r="D467" s="855"/>
      <c r="E467" s="855"/>
      <c r="F467" s="887"/>
    </row>
    <row r="468" spans="2:6">
      <c r="B468" s="855"/>
      <c r="C468" s="855"/>
      <c r="D468" s="855"/>
      <c r="E468" s="855"/>
      <c r="F468" s="887"/>
    </row>
    <row r="469" spans="2:6">
      <c r="B469" s="855"/>
      <c r="C469" s="855"/>
      <c r="D469" s="855"/>
      <c r="E469" s="855"/>
      <c r="F469" s="887"/>
    </row>
    <row r="470" spans="2:6">
      <c r="B470" s="855"/>
      <c r="C470" s="855"/>
      <c r="D470" s="855"/>
      <c r="E470" s="855"/>
      <c r="F470" s="887"/>
    </row>
    <row r="471" spans="2:6">
      <c r="B471" s="855"/>
      <c r="C471" s="855"/>
      <c r="D471" s="855"/>
      <c r="E471" s="855"/>
      <c r="F471" s="887"/>
    </row>
    <row r="472" spans="2:6">
      <c r="B472" s="855"/>
      <c r="C472" s="855"/>
      <c r="D472" s="855"/>
      <c r="E472" s="855"/>
      <c r="F472" s="887"/>
    </row>
    <row r="473" spans="2:6">
      <c r="B473" s="855"/>
      <c r="C473" s="855"/>
      <c r="D473" s="855"/>
      <c r="E473" s="855"/>
      <c r="F473" s="887"/>
    </row>
    <row r="474" spans="2:6">
      <c r="B474" s="855"/>
      <c r="C474" s="855"/>
      <c r="D474" s="855"/>
      <c r="E474" s="855"/>
      <c r="F474" s="887"/>
    </row>
    <row r="475" spans="2:6">
      <c r="B475" s="855"/>
      <c r="C475" s="855"/>
      <c r="D475" s="855"/>
      <c r="E475" s="855"/>
      <c r="F475" s="887"/>
    </row>
    <row r="476" spans="2:6">
      <c r="B476" s="855"/>
      <c r="C476" s="855"/>
      <c r="D476" s="855"/>
      <c r="E476" s="855"/>
      <c r="F476" s="887"/>
    </row>
    <row r="477" spans="2:6">
      <c r="B477" s="855"/>
      <c r="C477" s="855"/>
      <c r="D477" s="855"/>
      <c r="E477" s="855"/>
      <c r="F477" s="887"/>
    </row>
    <row r="478" spans="2:6">
      <c r="B478" s="855"/>
      <c r="C478" s="855"/>
      <c r="D478" s="855"/>
      <c r="E478" s="855"/>
      <c r="F478" s="887"/>
    </row>
    <row r="479" spans="2:6">
      <c r="B479" s="855"/>
      <c r="C479" s="855"/>
      <c r="D479" s="855"/>
      <c r="E479" s="855"/>
      <c r="F479" s="887"/>
    </row>
    <row r="480" spans="2:6">
      <c r="B480" s="855"/>
      <c r="C480" s="855"/>
      <c r="D480" s="855"/>
      <c r="E480" s="855"/>
      <c r="F480" s="887"/>
    </row>
    <row r="481" spans="2:6">
      <c r="B481" s="855"/>
      <c r="C481" s="855"/>
      <c r="D481" s="855"/>
      <c r="E481" s="855"/>
      <c r="F481" s="887"/>
    </row>
    <row r="482" spans="2:6">
      <c r="B482" s="855"/>
      <c r="C482" s="855"/>
      <c r="D482" s="855"/>
      <c r="E482" s="855"/>
      <c r="F482" s="887"/>
    </row>
    <row r="483" spans="2:6">
      <c r="B483" s="855"/>
      <c r="C483" s="855"/>
      <c r="D483" s="855"/>
      <c r="E483" s="855"/>
      <c r="F483" s="887"/>
    </row>
    <row r="484" spans="2:6">
      <c r="B484" s="855"/>
      <c r="C484" s="855"/>
      <c r="D484" s="855"/>
      <c r="E484" s="855"/>
      <c r="F484" s="887"/>
    </row>
    <row r="485" spans="2:6">
      <c r="B485" s="855"/>
      <c r="C485" s="855"/>
      <c r="D485" s="855"/>
      <c r="E485" s="855"/>
      <c r="F485" s="887"/>
    </row>
    <row r="486" spans="2:6">
      <c r="B486" s="855"/>
      <c r="C486" s="855"/>
      <c r="D486" s="855"/>
      <c r="E486" s="855"/>
      <c r="F486" s="887"/>
    </row>
    <row r="487" spans="2:6">
      <c r="B487" s="855"/>
      <c r="C487" s="855"/>
      <c r="D487" s="855"/>
      <c r="E487" s="855"/>
      <c r="F487" s="887"/>
    </row>
    <row r="488" spans="2:6">
      <c r="B488" s="855"/>
      <c r="C488" s="855"/>
      <c r="D488" s="855"/>
      <c r="E488" s="855"/>
      <c r="F488" s="887"/>
    </row>
    <row r="489" spans="2:6">
      <c r="B489" s="855"/>
      <c r="C489" s="855"/>
      <c r="D489" s="855"/>
      <c r="E489" s="855"/>
      <c r="F489" s="887"/>
    </row>
    <row r="490" spans="2:6">
      <c r="B490" s="855"/>
      <c r="C490" s="855"/>
      <c r="D490" s="855"/>
      <c r="E490" s="855"/>
      <c r="F490" s="887"/>
    </row>
    <row r="491" spans="2:6">
      <c r="B491" s="855"/>
      <c r="C491" s="855"/>
      <c r="D491" s="855"/>
      <c r="E491" s="855"/>
      <c r="F491" s="887"/>
    </row>
    <row r="492" spans="2:6">
      <c r="B492" s="855"/>
      <c r="C492" s="855"/>
      <c r="D492" s="855"/>
      <c r="E492" s="855"/>
      <c r="F492" s="887"/>
    </row>
    <row r="493" spans="2:6">
      <c r="B493" s="855"/>
      <c r="C493" s="855"/>
      <c r="D493" s="855"/>
      <c r="E493" s="855"/>
      <c r="F493" s="887"/>
    </row>
    <row r="494" spans="2:6">
      <c r="B494" s="855"/>
      <c r="C494" s="855"/>
      <c r="D494" s="855"/>
      <c r="E494" s="855"/>
      <c r="F494" s="887"/>
    </row>
    <row r="495" spans="2:6">
      <c r="B495" s="855"/>
      <c r="C495" s="855"/>
      <c r="D495" s="855"/>
      <c r="E495" s="855"/>
      <c r="F495" s="887"/>
    </row>
    <row r="496" spans="2:6">
      <c r="B496" s="855"/>
      <c r="C496" s="855"/>
      <c r="D496" s="855"/>
      <c r="E496" s="855"/>
      <c r="F496" s="887"/>
    </row>
    <row r="497" spans="2:6">
      <c r="B497" s="855"/>
      <c r="C497" s="855"/>
      <c r="D497" s="855"/>
      <c r="E497" s="855"/>
      <c r="F497" s="887"/>
    </row>
    <row r="498" spans="2:6">
      <c r="B498" s="855"/>
      <c r="C498" s="855"/>
      <c r="D498" s="855"/>
      <c r="E498" s="855"/>
      <c r="F498" s="887"/>
    </row>
    <row r="499" spans="2:6">
      <c r="B499" s="855"/>
      <c r="C499" s="855"/>
      <c r="D499" s="855"/>
      <c r="E499" s="855"/>
      <c r="F499" s="887"/>
    </row>
    <row r="500" spans="2:6">
      <c r="B500" s="855"/>
      <c r="C500" s="855"/>
      <c r="D500" s="855"/>
      <c r="E500" s="855"/>
      <c r="F500" s="887"/>
    </row>
    <row r="501" spans="2:6">
      <c r="B501" s="855"/>
      <c r="C501" s="855"/>
      <c r="D501" s="855"/>
      <c r="E501" s="855"/>
      <c r="F501" s="887"/>
    </row>
    <row r="502" spans="2:6">
      <c r="B502" s="855"/>
      <c r="C502" s="855"/>
      <c r="D502" s="855"/>
      <c r="E502" s="855"/>
      <c r="F502" s="887"/>
    </row>
    <row r="503" spans="2:6">
      <c r="B503" s="855"/>
      <c r="C503" s="855"/>
      <c r="D503" s="855"/>
      <c r="E503" s="855"/>
      <c r="F503" s="887"/>
    </row>
    <row r="504" spans="2:6">
      <c r="B504" s="855"/>
      <c r="C504" s="855"/>
      <c r="D504" s="855"/>
      <c r="E504" s="855"/>
      <c r="F504" s="887"/>
    </row>
    <row r="505" spans="2:6">
      <c r="B505" s="855"/>
      <c r="C505" s="855"/>
      <c r="D505" s="855"/>
      <c r="E505" s="855"/>
      <c r="F505" s="887"/>
    </row>
    <row r="506" spans="2:6">
      <c r="B506" s="855"/>
      <c r="C506" s="855"/>
      <c r="D506" s="855"/>
      <c r="E506" s="855"/>
      <c r="F506" s="887"/>
    </row>
    <row r="507" spans="2:6">
      <c r="B507" s="855"/>
      <c r="C507" s="855"/>
      <c r="D507" s="855"/>
      <c r="E507" s="855"/>
      <c r="F507" s="887"/>
    </row>
    <row r="508" spans="2:6">
      <c r="B508" s="855"/>
      <c r="C508" s="855"/>
      <c r="D508" s="855"/>
      <c r="E508" s="855"/>
      <c r="F508" s="887"/>
    </row>
    <row r="509" spans="2:6">
      <c r="B509" s="855"/>
      <c r="C509" s="855"/>
      <c r="D509" s="855"/>
      <c r="E509" s="855"/>
      <c r="F509" s="887"/>
    </row>
    <row r="510" spans="2:6">
      <c r="B510" s="855"/>
      <c r="C510" s="855"/>
      <c r="D510" s="855"/>
      <c r="E510" s="855"/>
      <c r="F510" s="887"/>
    </row>
    <row r="511" spans="2:6">
      <c r="B511" s="855"/>
      <c r="C511" s="855"/>
      <c r="D511" s="855"/>
      <c r="E511" s="855"/>
      <c r="F511" s="887"/>
    </row>
    <row r="512" spans="2:6">
      <c r="B512" s="855"/>
      <c r="C512" s="855"/>
      <c r="D512" s="855"/>
      <c r="E512" s="855"/>
      <c r="F512" s="887"/>
    </row>
    <row r="513" spans="2:6">
      <c r="B513" s="855"/>
      <c r="C513" s="855"/>
      <c r="D513" s="855"/>
      <c r="E513" s="855"/>
      <c r="F513" s="887"/>
    </row>
    <row r="514" spans="2:6">
      <c r="B514" s="855"/>
      <c r="C514" s="855"/>
      <c r="D514" s="855"/>
      <c r="E514" s="855"/>
      <c r="F514" s="887"/>
    </row>
    <row r="515" spans="2:6">
      <c r="B515" s="855"/>
      <c r="C515" s="855"/>
      <c r="D515" s="855"/>
      <c r="E515" s="855"/>
      <c r="F515" s="887"/>
    </row>
    <row r="516" spans="2:6">
      <c r="B516" s="855"/>
      <c r="C516" s="855"/>
      <c r="D516" s="855"/>
      <c r="E516" s="855"/>
      <c r="F516" s="887"/>
    </row>
    <row r="517" spans="2:6">
      <c r="B517" s="855"/>
      <c r="C517" s="855"/>
      <c r="D517" s="855"/>
      <c r="E517" s="855"/>
      <c r="F517" s="887"/>
    </row>
    <row r="518" spans="2:6">
      <c r="B518" s="855"/>
      <c r="C518" s="855"/>
      <c r="D518" s="855"/>
      <c r="E518" s="855"/>
      <c r="F518" s="887"/>
    </row>
    <row r="519" spans="2:6">
      <c r="B519" s="855"/>
      <c r="C519" s="855"/>
      <c r="D519" s="855"/>
      <c r="E519" s="855"/>
      <c r="F519" s="887"/>
    </row>
    <row r="520" spans="2:6">
      <c r="B520" s="855"/>
      <c r="C520" s="855"/>
      <c r="D520" s="855"/>
      <c r="E520" s="855"/>
      <c r="F520" s="887"/>
    </row>
    <row r="521" spans="2:6">
      <c r="B521" s="855"/>
      <c r="C521" s="855"/>
      <c r="D521" s="855"/>
      <c r="E521" s="855"/>
      <c r="F521" s="887"/>
    </row>
    <row r="522" spans="2:6">
      <c r="B522" s="855"/>
      <c r="C522" s="855"/>
      <c r="D522" s="855"/>
      <c r="E522" s="855"/>
      <c r="F522" s="887"/>
    </row>
    <row r="523" spans="2:6">
      <c r="B523" s="855"/>
      <c r="C523" s="855"/>
      <c r="D523" s="855"/>
      <c r="E523" s="855"/>
      <c r="F523" s="887"/>
    </row>
    <row r="524" spans="2:6">
      <c r="B524" s="855"/>
      <c r="C524" s="855"/>
      <c r="D524" s="855"/>
      <c r="E524" s="855"/>
      <c r="F524" s="887"/>
    </row>
    <row r="525" spans="2:6">
      <c r="B525" s="855"/>
      <c r="C525" s="855"/>
      <c r="D525" s="855"/>
      <c r="E525" s="855"/>
      <c r="F525" s="887"/>
    </row>
    <row r="526" spans="2:6">
      <c r="B526" s="855"/>
      <c r="C526" s="855"/>
      <c r="D526" s="855"/>
      <c r="E526" s="855"/>
      <c r="F526" s="887"/>
    </row>
    <row r="527" spans="2:6">
      <c r="B527" s="855"/>
      <c r="C527" s="855"/>
      <c r="D527" s="855"/>
      <c r="E527" s="855"/>
      <c r="F527" s="887"/>
    </row>
    <row r="528" spans="2:6">
      <c r="B528" s="855"/>
      <c r="C528" s="855"/>
      <c r="D528" s="855"/>
      <c r="E528" s="855"/>
      <c r="F528" s="887"/>
    </row>
    <row r="529" spans="2:6">
      <c r="B529" s="855"/>
      <c r="C529" s="855"/>
      <c r="D529" s="855"/>
      <c r="E529" s="855"/>
      <c r="F529" s="887"/>
    </row>
    <row r="530" spans="2:6">
      <c r="B530" s="855"/>
      <c r="C530" s="855"/>
      <c r="D530" s="855"/>
      <c r="E530" s="855"/>
      <c r="F530" s="887"/>
    </row>
    <row r="531" spans="2:6">
      <c r="B531" s="855"/>
      <c r="C531" s="855"/>
      <c r="D531" s="855"/>
      <c r="E531" s="855"/>
      <c r="F531" s="887"/>
    </row>
    <row r="532" spans="2:6">
      <c r="B532" s="855"/>
      <c r="C532" s="855"/>
      <c r="D532" s="855"/>
      <c r="E532" s="855"/>
      <c r="F532" s="887"/>
    </row>
    <row r="533" spans="2:6">
      <c r="B533" s="855"/>
      <c r="C533" s="855"/>
      <c r="D533" s="855"/>
      <c r="E533" s="855"/>
      <c r="F533" s="887"/>
    </row>
    <row r="534" spans="2:6">
      <c r="B534" s="855"/>
      <c r="C534" s="855"/>
      <c r="D534" s="855"/>
      <c r="E534" s="855"/>
      <c r="F534" s="887"/>
    </row>
    <row r="535" spans="2:6">
      <c r="B535" s="855"/>
      <c r="C535" s="855"/>
      <c r="D535" s="855"/>
      <c r="E535" s="855"/>
      <c r="F535" s="887"/>
    </row>
    <row r="536" spans="2:6">
      <c r="B536" s="855"/>
      <c r="C536" s="855"/>
      <c r="D536" s="855"/>
      <c r="E536" s="855"/>
      <c r="F536" s="887"/>
    </row>
    <row r="537" spans="2:6">
      <c r="B537" s="855"/>
      <c r="C537" s="855"/>
      <c r="D537" s="855"/>
      <c r="E537" s="855"/>
      <c r="F537" s="887"/>
    </row>
    <row r="538" spans="2:6">
      <c r="B538" s="855"/>
      <c r="C538" s="855"/>
      <c r="D538" s="855"/>
      <c r="E538" s="855"/>
      <c r="F538" s="887"/>
    </row>
    <row r="539" spans="2:6">
      <c r="B539" s="855"/>
      <c r="C539" s="855"/>
      <c r="D539" s="855"/>
      <c r="E539" s="855"/>
      <c r="F539" s="887"/>
    </row>
    <row r="540" spans="2:6">
      <c r="B540" s="855"/>
      <c r="C540" s="855"/>
      <c r="D540" s="855"/>
      <c r="E540" s="855"/>
      <c r="F540" s="887"/>
    </row>
    <row r="541" spans="2:6">
      <c r="B541" s="855"/>
      <c r="C541" s="855"/>
      <c r="D541" s="855"/>
      <c r="E541" s="855"/>
      <c r="F541" s="887"/>
    </row>
    <row r="542" spans="2:6">
      <c r="B542" s="855"/>
      <c r="C542" s="855"/>
      <c r="D542" s="855"/>
      <c r="E542" s="855"/>
      <c r="F542" s="887"/>
    </row>
    <row r="543" spans="2:6">
      <c r="B543" s="855"/>
      <c r="C543" s="855"/>
      <c r="D543" s="855"/>
      <c r="E543" s="855"/>
      <c r="F543" s="887"/>
    </row>
    <row r="544" spans="2:6">
      <c r="B544" s="855"/>
      <c r="C544" s="855"/>
      <c r="D544" s="855"/>
      <c r="E544" s="855"/>
      <c r="F544" s="887"/>
    </row>
    <row r="545" spans="2:6">
      <c r="B545" s="855"/>
      <c r="C545" s="855"/>
      <c r="D545" s="855"/>
      <c r="E545" s="855"/>
      <c r="F545" s="887"/>
    </row>
    <row r="546" spans="2:6">
      <c r="B546" s="855"/>
      <c r="C546" s="855"/>
      <c r="D546" s="855"/>
      <c r="E546" s="855"/>
      <c r="F546" s="887"/>
    </row>
    <row r="547" spans="2:6">
      <c r="B547" s="855"/>
      <c r="C547" s="855"/>
      <c r="D547" s="855"/>
      <c r="E547" s="855"/>
      <c r="F547" s="887"/>
    </row>
    <row r="548" spans="2:6">
      <c r="B548" s="855"/>
      <c r="C548" s="855"/>
      <c r="D548" s="855"/>
      <c r="E548" s="855"/>
      <c r="F548" s="887"/>
    </row>
    <row r="549" spans="2:6">
      <c r="B549" s="855"/>
      <c r="C549" s="855"/>
      <c r="D549" s="855"/>
      <c r="E549" s="855"/>
      <c r="F549" s="887"/>
    </row>
    <row r="550" spans="2:6">
      <c r="B550" s="855"/>
      <c r="C550" s="855"/>
      <c r="D550" s="855"/>
      <c r="E550" s="855"/>
      <c r="F550" s="887"/>
    </row>
    <row r="551" spans="2:6">
      <c r="B551" s="855"/>
      <c r="C551" s="855"/>
      <c r="D551" s="855"/>
      <c r="E551" s="855"/>
      <c r="F551" s="887"/>
    </row>
    <row r="552" spans="2:6">
      <c r="B552" s="855"/>
      <c r="C552" s="855"/>
      <c r="D552" s="855"/>
      <c r="E552" s="855"/>
      <c r="F552" s="887"/>
    </row>
    <row r="553" spans="2:6">
      <c r="B553" s="855"/>
      <c r="C553" s="855"/>
      <c r="D553" s="855"/>
      <c r="E553" s="855"/>
      <c r="F553" s="887"/>
    </row>
    <row r="554" spans="2:6">
      <c r="B554" s="855"/>
      <c r="C554" s="855"/>
      <c r="D554" s="855"/>
      <c r="E554" s="855"/>
      <c r="F554" s="887"/>
    </row>
    <row r="555" spans="2:6">
      <c r="B555" s="855"/>
      <c r="C555" s="855"/>
      <c r="D555" s="855"/>
      <c r="E555" s="855"/>
      <c r="F555" s="887"/>
    </row>
    <row r="556" spans="2:6">
      <c r="B556" s="855"/>
      <c r="C556" s="855"/>
      <c r="D556" s="855"/>
      <c r="E556" s="855"/>
      <c r="F556" s="887"/>
    </row>
    <row r="557" spans="2:6">
      <c r="B557" s="855"/>
      <c r="C557" s="855"/>
      <c r="D557" s="855"/>
      <c r="E557" s="855"/>
      <c r="F557" s="887"/>
    </row>
    <row r="558" spans="2:6">
      <c r="B558" s="855"/>
      <c r="C558" s="855"/>
      <c r="D558" s="855"/>
      <c r="E558" s="855"/>
      <c r="F558" s="887"/>
    </row>
    <row r="559" spans="2:6">
      <c r="B559" s="855"/>
      <c r="C559" s="855"/>
      <c r="D559" s="855"/>
      <c r="E559" s="855"/>
      <c r="F559" s="887"/>
    </row>
    <row r="560" spans="2:6">
      <c r="B560" s="855"/>
      <c r="C560" s="855"/>
      <c r="D560" s="855"/>
      <c r="E560" s="855"/>
      <c r="F560" s="887"/>
    </row>
    <row r="561" spans="2:6">
      <c r="B561" s="855"/>
      <c r="C561" s="855"/>
      <c r="D561" s="855"/>
      <c r="E561" s="855"/>
      <c r="F561" s="887"/>
    </row>
    <row r="562" spans="2:6">
      <c r="B562" s="855"/>
      <c r="C562" s="855"/>
      <c r="D562" s="855"/>
      <c r="E562" s="855"/>
      <c r="F562" s="887"/>
    </row>
    <row r="563" spans="2:6">
      <c r="B563" s="855"/>
      <c r="C563" s="855"/>
      <c r="D563" s="855"/>
      <c r="E563" s="855"/>
      <c r="F563" s="887"/>
    </row>
    <row r="564" spans="2:6">
      <c r="B564" s="855"/>
      <c r="C564" s="855"/>
      <c r="D564" s="855"/>
      <c r="E564" s="855"/>
      <c r="F564" s="887"/>
    </row>
    <row r="565" spans="2:6">
      <c r="B565" s="855"/>
      <c r="C565" s="855"/>
      <c r="D565" s="855"/>
      <c r="E565" s="855"/>
      <c r="F565" s="887"/>
    </row>
    <row r="566" spans="2:6">
      <c r="B566" s="855"/>
      <c r="C566" s="855"/>
      <c r="D566" s="855"/>
      <c r="E566" s="855"/>
      <c r="F566" s="887"/>
    </row>
    <row r="567" spans="2:6">
      <c r="B567" s="855"/>
      <c r="C567" s="855"/>
      <c r="D567" s="855"/>
      <c r="E567" s="855"/>
      <c r="F567" s="887"/>
    </row>
    <row r="568" spans="2:6">
      <c r="B568" s="855"/>
      <c r="C568" s="855"/>
      <c r="D568" s="855"/>
      <c r="E568" s="855"/>
      <c r="F568" s="887"/>
    </row>
    <row r="569" spans="2:6">
      <c r="B569" s="855"/>
      <c r="C569" s="855"/>
      <c r="D569" s="855"/>
      <c r="E569" s="855"/>
      <c r="F569" s="887"/>
    </row>
    <row r="570" spans="2:6">
      <c r="B570" s="855"/>
      <c r="C570" s="855"/>
      <c r="D570" s="855"/>
      <c r="E570" s="855"/>
      <c r="F570" s="887"/>
    </row>
    <row r="571" spans="2:6">
      <c r="B571" s="855"/>
      <c r="C571" s="855"/>
      <c r="D571" s="855"/>
      <c r="E571" s="855"/>
      <c r="F571" s="887"/>
    </row>
    <row r="572" spans="2:6">
      <c r="B572" s="855"/>
      <c r="C572" s="855"/>
      <c r="D572" s="855"/>
      <c r="E572" s="855"/>
      <c r="F572" s="887"/>
    </row>
    <row r="573" spans="2:6">
      <c r="B573" s="855"/>
      <c r="C573" s="855"/>
      <c r="D573" s="855"/>
      <c r="E573" s="855"/>
      <c r="F573" s="887"/>
    </row>
    <row r="574" spans="2:6">
      <c r="B574" s="855"/>
      <c r="C574" s="855"/>
      <c r="D574" s="855"/>
      <c r="E574" s="855"/>
      <c r="F574" s="887"/>
    </row>
    <row r="575" spans="2:6">
      <c r="B575" s="855"/>
      <c r="C575" s="855"/>
      <c r="D575" s="855"/>
      <c r="E575" s="855"/>
      <c r="F575" s="887"/>
    </row>
    <row r="576" spans="2:6">
      <c r="B576" s="855"/>
      <c r="C576" s="855"/>
      <c r="D576" s="855"/>
      <c r="E576" s="855"/>
      <c r="F576" s="887"/>
    </row>
    <row r="577" spans="2:6">
      <c r="B577" s="855"/>
      <c r="C577" s="855"/>
      <c r="D577" s="855"/>
      <c r="E577" s="855"/>
      <c r="F577" s="887"/>
    </row>
    <row r="578" spans="2:6">
      <c r="B578" s="855"/>
      <c r="C578" s="855"/>
      <c r="D578" s="855"/>
      <c r="E578" s="855"/>
      <c r="F578" s="887"/>
    </row>
    <row r="579" spans="2:6">
      <c r="B579" s="855"/>
      <c r="C579" s="855"/>
      <c r="D579" s="855"/>
      <c r="E579" s="855"/>
      <c r="F579" s="887"/>
    </row>
    <row r="580" spans="2:6">
      <c r="B580" s="855"/>
      <c r="C580" s="855"/>
      <c r="D580" s="855"/>
      <c r="E580" s="855"/>
      <c r="F580" s="887"/>
    </row>
    <row r="581" spans="2:6">
      <c r="B581" s="855"/>
      <c r="C581" s="855"/>
      <c r="D581" s="855"/>
      <c r="E581" s="855"/>
      <c r="F581" s="887"/>
    </row>
    <row r="582" spans="2:6">
      <c r="B582" s="855"/>
      <c r="C582" s="855"/>
      <c r="D582" s="855"/>
      <c r="E582" s="855"/>
      <c r="F582" s="887"/>
    </row>
    <row r="583" spans="2:6">
      <c r="B583" s="855"/>
      <c r="C583" s="855"/>
      <c r="D583" s="855"/>
      <c r="E583" s="855"/>
      <c r="F583" s="887"/>
    </row>
    <row r="584" spans="2:6">
      <c r="B584" s="855"/>
      <c r="C584" s="855"/>
      <c r="D584" s="855"/>
      <c r="E584" s="855"/>
      <c r="F584" s="887"/>
    </row>
    <row r="585" spans="2:6">
      <c r="B585" s="855"/>
      <c r="C585" s="855"/>
      <c r="D585" s="855"/>
      <c r="E585" s="855"/>
      <c r="F585" s="887"/>
    </row>
    <row r="586" spans="2:6">
      <c r="B586" s="855"/>
      <c r="C586" s="855"/>
      <c r="D586" s="855"/>
      <c r="E586" s="855"/>
      <c r="F586" s="887"/>
    </row>
    <row r="587" spans="2:6">
      <c r="B587" s="855"/>
      <c r="C587" s="855"/>
      <c r="D587" s="855"/>
      <c r="E587" s="855"/>
      <c r="F587" s="887"/>
    </row>
    <row r="588" spans="2:6">
      <c r="B588" s="855"/>
      <c r="C588" s="855"/>
      <c r="D588" s="855"/>
      <c r="E588" s="855"/>
      <c r="F588" s="887"/>
    </row>
    <row r="589" spans="2:6">
      <c r="B589" s="855"/>
      <c r="C589" s="855"/>
      <c r="D589" s="855"/>
      <c r="E589" s="855"/>
      <c r="F589" s="887"/>
    </row>
    <row r="590" spans="2:6">
      <c r="B590" s="855"/>
      <c r="C590" s="855"/>
      <c r="D590" s="855"/>
      <c r="E590" s="855"/>
      <c r="F590" s="887"/>
    </row>
    <row r="591" spans="2:6">
      <c r="B591" s="855"/>
      <c r="C591" s="855"/>
      <c r="D591" s="855"/>
      <c r="E591" s="855"/>
      <c r="F591" s="887"/>
    </row>
    <row r="592" spans="2:6">
      <c r="B592" s="855"/>
      <c r="C592" s="855"/>
      <c r="D592" s="855"/>
      <c r="E592" s="855"/>
      <c r="F592" s="887"/>
    </row>
    <row r="593" spans="2:6">
      <c r="B593" s="855"/>
      <c r="C593" s="855"/>
      <c r="D593" s="855"/>
      <c r="E593" s="855"/>
      <c r="F593" s="887"/>
    </row>
    <row r="594" spans="2:6">
      <c r="B594" s="855"/>
      <c r="C594" s="855"/>
      <c r="D594" s="855"/>
      <c r="E594" s="855"/>
      <c r="F594" s="887"/>
    </row>
    <row r="595" spans="2:6">
      <c r="B595" s="855"/>
      <c r="C595" s="855"/>
      <c r="D595" s="855"/>
      <c r="E595" s="855"/>
      <c r="F595" s="887"/>
    </row>
    <row r="596" spans="2:6">
      <c r="B596" s="855"/>
      <c r="C596" s="855"/>
      <c r="D596" s="855"/>
      <c r="E596" s="855"/>
      <c r="F596" s="887"/>
    </row>
    <row r="597" spans="2:6">
      <c r="B597" s="855"/>
      <c r="C597" s="855"/>
      <c r="D597" s="855"/>
      <c r="E597" s="855"/>
      <c r="F597" s="887"/>
    </row>
    <row r="598" spans="2:6">
      <c r="B598" s="855"/>
      <c r="C598" s="855"/>
      <c r="D598" s="855"/>
      <c r="E598" s="855"/>
      <c r="F598" s="887"/>
    </row>
    <row r="599" spans="2:6">
      <c r="B599" s="855"/>
      <c r="C599" s="855"/>
      <c r="D599" s="855"/>
      <c r="E599" s="855"/>
      <c r="F599" s="887"/>
    </row>
    <row r="600" spans="2:6">
      <c r="B600" s="855"/>
      <c r="C600" s="855"/>
      <c r="D600" s="855"/>
      <c r="E600" s="855"/>
      <c r="F600" s="887"/>
    </row>
    <row r="601" spans="2:6">
      <c r="B601" s="855"/>
      <c r="C601" s="855"/>
      <c r="D601" s="855"/>
      <c r="E601" s="855"/>
      <c r="F601" s="887"/>
    </row>
    <row r="602" spans="2:6">
      <c r="B602" s="855"/>
      <c r="C602" s="855"/>
      <c r="D602" s="855"/>
      <c r="E602" s="855"/>
      <c r="F602" s="887"/>
    </row>
    <row r="603" spans="2:6">
      <c r="B603" s="855"/>
      <c r="C603" s="855"/>
      <c r="D603" s="855"/>
      <c r="E603" s="855"/>
      <c r="F603" s="887"/>
    </row>
    <row r="604" spans="2:6">
      <c r="B604" s="855"/>
      <c r="C604" s="855"/>
      <c r="D604" s="855"/>
      <c r="E604" s="855"/>
      <c r="F604" s="887"/>
    </row>
    <row r="605" spans="2:6">
      <c r="B605" s="855"/>
      <c r="C605" s="855"/>
      <c r="D605" s="855"/>
      <c r="E605" s="855"/>
      <c r="F605" s="887"/>
    </row>
    <row r="606" spans="2:6">
      <c r="B606" s="855"/>
      <c r="C606" s="855"/>
      <c r="D606" s="855"/>
      <c r="E606" s="855"/>
      <c r="F606" s="887"/>
    </row>
    <row r="607" spans="2:6">
      <c r="B607" s="855"/>
      <c r="C607" s="855"/>
      <c r="D607" s="855"/>
      <c r="E607" s="855"/>
      <c r="F607" s="887"/>
    </row>
    <row r="608" spans="2:6">
      <c r="B608" s="855"/>
      <c r="C608" s="855"/>
      <c r="D608" s="855"/>
      <c r="E608" s="855"/>
      <c r="F608" s="887"/>
    </row>
    <row r="609" spans="2:6">
      <c r="B609" s="855"/>
      <c r="C609" s="855"/>
      <c r="D609" s="855"/>
      <c r="E609" s="855"/>
      <c r="F609" s="887"/>
    </row>
    <row r="610" spans="2:6">
      <c r="B610" s="855"/>
      <c r="C610" s="855"/>
      <c r="D610" s="855"/>
      <c r="E610" s="855"/>
      <c r="F610" s="887"/>
    </row>
    <row r="611" spans="2:6">
      <c r="B611" s="855"/>
      <c r="C611" s="855"/>
      <c r="D611" s="855"/>
      <c r="E611" s="855"/>
      <c r="F611" s="887"/>
    </row>
    <row r="612" spans="2:6">
      <c r="B612" s="855"/>
      <c r="C612" s="855"/>
      <c r="D612" s="855"/>
      <c r="E612" s="855"/>
      <c r="F612" s="887"/>
    </row>
    <row r="613" spans="2:6">
      <c r="B613" s="855"/>
      <c r="C613" s="855"/>
      <c r="D613" s="855"/>
      <c r="E613" s="855"/>
      <c r="F613" s="887"/>
    </row>
    <row r="614" spans="2:6">
      <c r="B614" s="855"/>
      <c r="C614" s="855"/>
      <c r="D614" s="855"/>
      <c r="E614" s="855"/>
      <c r="F614" s="887"/>
    </row>
    <row r="615" spans="2:6">
      <c r="B615" s="855"/>
      <c r="C615" s="855"/>
      <c r="D615" s="855"/>
      <c r="E615" s="855"/>
      <c r="F615" s="887"/>
    </row>
    <row r="616" spans="2:6">
      <c r="B616" s="855"/>
      <c r="C616" s="855"/>
      <c r="D616" s="855"/>
      <c r="E616" s="855"/>
      <c r="F616" s="887"/>
    </row>
    <row r="617" spans="2:6">
      <c r="B617" s="855"/>
      <c r="C617" s="855"/>
      <c r="D617" s="855"/>
      <c r="E617" s="855"/>
      <c r="F617" s="887"/>
    </row>
    <row r="618" spans="2:6">
      <c r="B618" s="855"/>
      <c r="C618" s="855"/>
      <c r="D618" s="855"/>
      <c r="E618" s="855"/>
      <c r="F618" s="887"/>
    </row>
    <row r="619" spans="2:6">
      <c r="B619" s="855"/>
      <c r="C619" s="855"/>
      <c r="D619" s="855"/>
      <c r="E619" s="855"/>
      <c r="F619" s="887"/>
    </row>
    <row r="620" spans="2:6">
      <c r="B620" s="855"/>
      <c r="C620" s="855"/>
      <c r="D620" s="855"/>
      <c r="E620" s="855"/>
      <c r="F620" s="887"/>
    </row>
    <row r="621" spans="2:6">
      <c r="B621" s="855"/>
      <c r="C621" s="855"/>
      <c r="D621" s="855"/>
      <c r="E621" s="855"/>
      <c r="F621" s="887"/>
    </row>
    <row r="622" spans="2:6">
      <c r="B622" s="855"/>
      <c r="C622" s="855"/>
      <c r="D622" s="855"/>
      <c r="E622" s="855"/>
      <c r="F622" s="887"/>
    </row>
    <row r="623" spans="2:6">
      <c r="B623" s="855"/>
      <c r="C623" s="855"/>
      <c r="D623" s="855"/>
      <c r="E623" s="855"/>
      <c r="F623" s="887"/>
    </row>
    <row r="624" spans="2:6">
      <c r="B624" s="855"/>
      <c r="C624" s="855"/>
      <c r="D624" s="855"/>
      <c r="E624" s="855"/>
      <c r="F624" s="887"/>
    </row>
    <row r="625" spans="2:6">
      <c r="B625" s="855"/>
      <c r="C625" s="855"/>
      <c r="D625" s="855"/>
      <c r="E625" s="855"/>
      <c r="F625" s="887"/>
    </row>
    <row r="626" spans="2:6">
      <c r="B626" s="855"/>
      <c r="C626" s="855"/>
      <c r="D626" s="855"/>
      <c r="E626" s="855"/>
      <c r="F626" s="887"/>
    </row>
    <row r="627" spans="2:6">
      <c r="B627" s="855"/>
      <c r="C627" s="855"/>
      <c r="D627" s="855"/>
      <c r="E627" s="855"/>
      <c r="F627" s="887"/>
    </row>
    <row r="628" spans="2:6">
      <c r="B628" s="855"/>
      <c r="C628" s="855"/>
      <c r="D628" s="855"/>
      <c r="E628" s="855"/>
      <c r="F628" s="887"/>
    </row>
    <row r="629" spans="2:6">
      <c r="B629" s="855"/>
      <c r="C629" s="855"/>
      <c r="D629" s="855"/>
      <c r="E629" s="855"/>
      <c r="F629" s="887"/>
    </row>
    <row r="630" spans="2:6">
      <c r="B630" s="855"/>
      <c r="C630" s="855"/>
      <c r="D630" s="855"/>
      <c r="E630" s="855"/>
      <c r="F630" s="887"/>
    </row>
    <row r="631" spans="2:6">
      <c r="B631" s="855"/>
      <c r="C631" s="855"/>
      <c r="D631" s="855"/>
      <c r="E631" s="855"/>
      <c r="F631" s="887"/>
    </row>
    <row r="632" spans="2:6">
      <c r="B632" s="855"/>
      <c r="C632" s="855"/>
      <c r="D632" s="855"/>
      <c r="E632" s="855"/>
      <c r="F632" s="887"/>
    </row>
    <row r="633" spans="2:6">
      <c r="B633" s="855"/>
      <c r="C633" s="855"/>
      <c r="D633" s="855"/>
      <c r="E633" s="855"/>
      <c r="F633" s="887"/>
    </row>
    <row r="634" spans="2:6">
      <c r="B634" s="855"/>
      <c r="C634" s="855"/>
      <c r="D634" s="855"/>
      <c r="E634" s="855"/>
      <c r="F634" s="887"/>
    </row>
    <row r="635" spans="2:6">
      <c r="B635" s="855"/>
      <c r="C635" s="855"/>
      <c r="D635" s="855"/>
      <c r="E635" s="855"/>
      <c r="F635" s="887"/>
    </row>
    <row r="636" spans="2:6">
      <c r="B636" s="855"/>
      <c r="C636" s="855"/>
      <c r="D636" s="855"/>
      <c r="E636" s="855"/>
      <c r="F636" s="887"/>
    </row>
    <row r="637" spans="2:6">
      <c r="B637" s="855"/>
      <c r="C637" s="855"/>
      <c r="D637" s="855"/>
      <c r="E637" s="855"/>
      <c r="F637" s="887"/>
    </row>
    <row r="638" spans="2:6">
      <c r="B638" s="855"/>
      <c r="C638" s="855"/>
      <c r="D638" s="855"/>
      <c r="E638" s="855"/>
      <c r="F638" s="887"/>
    </row>
    <row r="639" spans="2:6">
      <c r="B639" s="855"/>
      <c r="C639" s="855"/>
      <c r="D639" s="855"/>
      <c r="E639" s="855"/>
      <c r="F639" s="887"/>
    </row>
    <row r="640" spans="2:6">
      <c r="B640" s="855"/>
      <c r="C640" s="855"/>
      <c r="D640" s="855"/>
      <c r="E640" s="855"/>
      <c r="F640" s="887"/>
    </row>
    <row r="641" spans="2:6">
      <c r="B641" s="855"/>
      <c r="C641" s="855"/>
      <c r="D641" s="855"/>
      <c r="E641" s="855"/>
      <c r="F641" s="887"/>
    </row>
    <row r="642" spans="2:6">
      <c r="B642" s="855"/>
      <c r="C642" s="855"/>
      <c r="D642" s="855"/>
      <c r="E642" s="855"/>
      <c r="F642" s="887"/>
    </row>
    <row r="643" spans="2:6">
      <c r="B643" s="855"/>
      <c r="C643" s="855"/>
      <c r="D643" s="855"/>
      <c r="E643" s="855"/>
      <c r="F643" s="887"/>
    </row>
    <row r="644" spans="2:6">
      <c r="B644" s="855"/>
      <c r="C644" s="855"/>
      <c r="D644" s="855"/>
      <c r="E644" s="855"/>
      <c r="F644" s="887"/>
    </row>
    <row r="645" spans="2:6">
      <c r="B645" s="855"/>
      <c r="C645" s="855"/>
      <c r="D645" s="855"/>
      <c r="E645" s="855"/>
      <c r="F645" s="887"/>
    </row>
    <row r="646" spans="2:6">
      <c r="B646" s="855"/>
      <c r="C646" s="855"/>
      <c r="D646" s="855"/>
      <c r="E646" s="855"/>
      <c r="F646" s="887"/>
    </row>
    <row r="647" spans="2:6">
      <c r="B647" s="855"/>
      <c r="C647" s="855"/>
      <c r="D647" s="855"/>
      <c r="E647" s="855"/>
      <c r="F647" s="887"/>
    </row>
    <row r="648" spans="2:6">
      <c r="B648" s="855"/>
      <c r="C648" s="855"/>
      <c r="D648" s="855"/>
      <c r="E648" s="855"/>
      <c r="F648" s="887"/>
    </row>
    <row r="649" spans="2:6">
      <c r="B649" s="855"/>
      <c r="C649" s="855"/>
      <c r="D649" s="855"/>
      <c r="E649" s="855"/>
      <c r="F649" s="887"/>
    </row>
    <row r="650" spans="2:6">
      <c r="B650" s="855"/>
      <c r="C650" s="855"/>
      <c r="D650" s="855"/>
      <c r="E650" s="855"/>
      <c r="F650" s="887"/>
    </row>
    <row r="651" spans="2:6">
      <c r="B651" s="855"/>
      <c r="C651" s="855"/>
      <c r="D651" s="855"/>
      <c r="E651" s="855"/>
      <c r="F651" s="887"/>
    </row>
    <row r="652" spans="2:6">
      <c r="B652" s="855"/>
      <c r="C652" s="855"/>
      <c r="D652" s="855"/>
      <c r="E652" s="855"/>
      <c r="F652" s="887"/>
    </row>
    <row r="653" spans="2:6">
      <c r="B653" s="855"/>
      <c r="C653" s="855"/>
      <c r="D653" s="855"/>
      <c r="E653" s="855"/>
      <c r="F653" s="887"/>
    </row>
    <row r="654" spans="2:6">
      <c r="B654" s="855"/>
      <c r="C654" s="855"/>
      <c r="D654" s="855"/>
      <c r="E654" s="855"/>
      <c r="F654" s="887"/>
    </row>
    <row r="655" spans="2:6">
      <c r="B655" s="855"/>
      <c r="C655" s="855"/>
      <c r="D655" s="855"/>
      <c r="E655" s="855"/>
      <c r="F655" s="887"/>
    </row>
    <row r="656" spans="2:6">
      <c r="B656" s="855"/>
      <c r="C656" s="855"/>
      <c r="D656" s="855"/>
      <c r="E656" s="855"/>
      <c r="F656" s="887"/>
    </row>
    <row r="657" spans="2:6">
      <c r="B657" s="855"/>
      <c r="C657" s="855"/>
      <c r="D657" s="855"/>
      <c r="E657" s="855"/>
      <c r="F657" s="887"/>
    </row>
    <row r="658" spans="2:6">
      <c r="B658" s="855"/>
      <c r="C658" s="855"/>
      <c r="D658" s="855"/>
      <c r="E658" s="855"/>
      <c r="F658" s="887"/>
    </row>
    <row r="659" spans="2:6">
      <c r="B659" s="855"/>
      <c r="C659" s="855"/>
      <c r="D659" s="855"/>
      <c r="E659" s="855"/>
      <c r="F659" s="887"/>
    </row>
    <row r="660" spans="2:6">
      <c r="B660" s="855"/>
      <c r="C660" s="855"/>
      <c r="D660" s="855"/>
      <c r="E660" s="855"/>
      <c r="F660" s="887"/>
    </row>
    <row r="661" spans="2:6">
      <c r="B661" s="855"/>
      <c r="C661" s="855"/>
      <c r="D661" s="855"/>
      <c r="E661" s="855"/>
      <c r="F661" s="887"/>
    </row>
    <row r="662" spans="2:6">
      <c r="B662" s="855"/>
      <c r="C662" s="855"/>
      <c r="D662" s="855"/>
      <c r="E662" s="855"/>
      <c r="F662" s="887"/>
    </row>
    <row r="663" spans="2:6">
      <c r="B663" s="855"/>
      <c r="C663" s="855"/>
      <c r="D663" s="855"/>
      <c r="E663" s="855"/>
      <c r="F663" s="887"/>
    </row>
    <row r="664" spans="2:6">
      <c r="B664" s="855"/>
      <c r="C664" s="855"/>
      <c r="D664" s="855"/>
      <c r="E664" s="855"/>
      <c r="F664" s="887"/>
    </row>
    <row r="665" spans="2:6">
      <c r="B665" s="855"/>
      <c r="C665" s="855"/>
      <c r="D665" s="855"/>
      <c r="E665" s="855"/>
      <c r="F665" s="887"/>
    </row>
    <row r="666" spans="2:6">
      <c r="B666" s="855"/>
      <c r="C666" s="855"/>
      <c r="D666" s="855"/>
      <c r="E666" s="855"/>
      <c r="F666" s="887"/>
    </row>
    <row r="667" spans="2:6">
      <c r="B667" s="855"/>
      <c r="C667" s="855"/>
      <c r="D667" s="855"/>
      <c r="E667" s="855"/>
      <c r="F667" s="887"/>
    </row>
    <row r="668" spans="2:6">
      <c r="B668" s="855"/>
      <c r="C668" s="855"/>
      <c r="D668" s="855"/>
      <c r="E668" s="855"/>
      <c r="F668" s="887"/>
    </row>
    <row r="669" spans="2:6">
      <c r="B669" s="855"/>
      <c r="C669" s="855"/>
      <c r="D669" s="855"/>
      <c r="E669" s="855"/>
      <c r="F669" s="887"/>
    </row>
    <row r="670" spans="2:6">
      <c r="B670" s="855"/>
      <c r="C670" s="855"/>
      <c r="D670" s="855"/>
      <c r="E670" s="855"/>
      <c r="F670" s="887"/>
    </row>
    <row r="671" spans="2:6">
      <c r="B671" s="855"/>
      <c r="C671" s="855"/>
      <c r="D671" s="855"/>
      <c r="E671" s="855"/>
      <c r="F671" s="887"/>
    </row>
    <row r="672" spans="2:6">
      <c r="B672" s="855"/>
      <c r="C672" s="855"/>
      <c r="D672" s="855"/>
      <c r="E672" s="855"/>
      <c r="F672" s="887"/>
    </row>
    <row r="673" spans="2:6">
      <c r="B673" s="855"/>
      <c r="C673" s="855"/>
      <c r="D673" s="855"/>
      <c r="E673" s="855"/>
      <c r="F673" s="887"/>
    </row>
    <row r="674" spans="2:6">
      <c r="B674" s="855"/>
      <c r="C674" s="855"/>
      <c r="D674" s="855"/>
      <c r="E674" s="855"/>
      <c r="F674" s="887"/>
    </row>
    <row r="675" spans="2:6">
      <c r="B675" s="855"/>
      <c r="C675" s="855"/>
      <c r="D675" s="855"/>
      <c r="E675" s="855"/>
      <c r="F675" s="887"/>
    </row>
    <row r="676" spans="2:6">
      <c r="B676" s="855"/>
      <c r="C676" s="855"/>
      <c r="D676" s="855"/>
      <c r="E676" s="855"/>
      <c r="F676" s="887"/>
    </row>
    <row r="677" spans="2:6">
      <c r="B677" s="855"/>
      <c r="C677" s="855"/>
      <c r="D677" s="855"/>
      <c r="E677" s="855"/>
      <c r="F677" s="887"/>
    </row>
    <row r="678" spans="2:6">
      <c r="B678" s="855"/>
      <c r="C678" s="855"/>
      <c r="D678" s="855"/>
      <c r="E678" s="855"/>
      <c r="F678" s="887"/>
    </row>
    <row r="679" spans="2:6">
      <c r="B679" s="855"/>
      <c r="C679" s="855"/>
      <c r="D679" s="855"/>
      <c r="E679" s="855"/>
      <c r="F679" s="887"/>
    </row>
    <row r="680" spans="2:6">
      <c r="B680" s="855"/>
      <c r="C680" s="855"/>
      <c r="D680" s="855"/>
      <c r="E680" s="855"/>
      <c r="F680" s="887"/>
    </row>
    <row r="681" spans="2:6">
      <c r="B681" s="855"/>
      <c r="C681" s="855"/>
      <c r="D681" s="855"/>
      <c r="E681" s="855"/>
      <c r="F681" s="887"/>
    </row>
    <row r="682" spans="2:6">
      <c r="B682" s="855"/>
      <c r="C682" s="855"/>
      <c r="D682" s="855"/>
      <c r="E682" s="855"/>
      <c r="F682" s="887"/>
    </row>
    <row r="683" spans="2:6">
      <c r="B683" s="855"/>
      <c r="C683" s="855"/>
      <c r="D683" s="855"/>
      <c r="E683" s="855"/>
      <c r="F683" s="887"/>
    </row>
    <row r="684" spans="2:6">
      <c r="B684" s="855"/>
      <c r="C684" s="855"/>
      <c r="D684" s="855"/>
      <c r="E684" s="855"/>
      <c r="F684" s="887"/>
    </row>
    <row r="685" spans="2:6">
      <c r="B685" s="855"/>
      <c r="C685" s="855"/>
      <c r="D685" s="855"/>
      <c r="E685" s="855"/>
      <c r="F685" s="887"/>
    </row>
    <row r="686" spans="2:6">
      <c r="B686" s="855"/>
      <c r="C686" s="855"/>
      <c r="D686" s="855"/>
      <c r="E686" s="855"/>
      <c r="F686" s="887"/>
    </row>
    <row r="687" spans="2:6">
      <c r="B687" s="855"/>
      <c r="C687" s="855"/>
      <c r="D687" s="855"/>
      <c r="E687" s="855"/>
      <c r="F687" s="887"/>
    </row>
    <row r="688" spans="2:6">
      <c r="B688" s="855"/>
      <c r="C688" s="855"/>
      <c r="D688" s="855"/>
      <c r="E688" s="855"/>
      <c r="F688" s="887"/>
    </row>
    <row r="689" spans="2:6">
      <c r="B689" s="855"/>
      <c r="C689" s="855"/>
      <c r="D689" s="855"/>
      <c r="E689" s="855"/>
      <c r="F689" s="887"/>
    </row>
    <row r="690" spans="2:6">
      <c r="B690" s="855"/>
      <c r="C690" s="855"/>
      <c r="D690" s="855"/>
      <c r="E690" s="855"/>
      <c r="F690" s="887"/>
    </row>
    <row r="691" spans="2:6">
      <c r="B691" s="855"/>
      <c r="C691" s="855"/>
      <c r="D691" s="855"/>
      <c r="E691" s="855"/>
      <c r="F691" s="887"/>
    </row>
    <row r="692" spans="2:6">
      <c r="B692" s="855"/>
      <c r="C692" s="855"/>
      <c r="D692" s="855"/>
      <c r="E692" s="855"/>
      <c r="F692" s="887"/>
    </row>
    <row r="693" spans="2:6">
      <c r="B693" s="855"/>
      <c r="C693" s="855"/>
      <c r="D693" s="855"/>
      <c r="E693" s="855"/>
      <c r="F693" s="887"/>
    </row>
    <row r="694" spans="2:6">
      <c r="B694" s="855"/>
      <c r="C694" s="855"/>
      <c r="D694" s="855"/>
      <c r="E694" s="855"/>
      <c r="F694" s="887"/>
    </row>
    <row r="695" spans="2:6">
      <c r="B695" s="855"/>
      <c r="C695" s="855"/>
      <c r="D695" s="855"/>
      <c r="E695" s="855"/>
      <c r="F695" s="887"/>
    </row>
    <row r="696" spans="2:6">
      <c r="B696" s="855"/>
      <c r="C696" s="855"/>
      <c r="D696" s="855"/>
      <c r="E696" s="855"/>
      <c r="F696" s="887"/>
    </row>
    <row r="697" spans="2:6">
      <c r="B697" s="855"/>
      <c r="C697" s="855"/>
      <c r="D697" s="855"/>
      <c r="E697" s="855"/>
      <c r="F697" s="887"/>
    </row>
    <row r="698" spans="2:6">
      <c r="B698" s="855"/>
      <c r="C698" s="855"/>
      <c r="D698" s="855"/>
      <c r="E698" s="855"/>
      <c r="F698" s="887"/>
    </row>
    <row r="699" spans="2:6">
      <c r="B699" s="855"/>
      <c r="C699" s="855"/>
      <c r="D699" s="855"/>
      <c r="E699" s="855"/>
      <c r="F699" s="887"/>
    </row>
    <row r="700" spans="2:6">
      <c r="B700" s="855"/>
      <c r="C700" s="855"/>
      <c r="D700" s="855"/>
      <c r="E700" s="855"/>
      <c r="F700" s="887"/>
    </row>
    <row r="701" spans="2:6">
      <c r="B701" s="855"/>
      <c r="C701" s="855"/>
      <c r="D701" s="855"/>
      <c r="E701" s="855"/>
      <c r="F701" s="887"/>
    </row>
    <row r="702" spans="2:6">
      <c r="B702" s="855"/>
      <c r="C702" s="855"/>
      <c r="D702" s="855"/>
      <c r="E702" s="855"/>
      <c r="F702" s="887"/>
    </row>
    <row r="703" spans="2:6">
      <c r="B703" s="855"/>
      <c r="C703" s="855"/>
      <c r="D703" s="855"/>
      <c r="E703" s="855"/>
      <c r="F703" s="887"/>
    </row>
    <row r="704" spans="2:6">
      <c r="B704" s="855"/>
      <c r="C704" s="855"/>
      <c r="D704" s="855"/>
      <c r="E704" s="855"/>
      <c r="F704" s="887"/>
    </row>
    <row r="705" spans="2:6">
      <c r="B705" s="855"/>
      <c r="C705" s="855"/>
      <c r="D705" s="855"/>
      <c r="E705" s="855"/>
      <c r="F705" s="887"/>
    </row>
    <row r="706" spans="2:6">
      <c r="B706" s="855"/>
      <c r="C706" s="855"/>
      <c r="D706" s="855"/>
      <c r="E706" s="855"/>
      <c r="F706" s="887"/>
    </row>
    <row r="707" spans="2:6">
      <c r="B707" s="855"/>
      <c r="C707" s="855"/>
      <c r="D707" s="855"/>
      <c r="E707" s="855"/>
      <c r="F707" s="887"/>
    </row>
    <row r="708" spans="2:6">
      <c r="B708" s="855"/>
      <c r="C708" s="855"/>
      <c r="D708" s="855"/>
      <c r="E708" s="855"/>
      <c r="F708" s="887"/>
    </row>
    <row r="709" spans="2:6">
      <c r="B709" s="855"/>
      <c r="C709" s="855"/>
      <c r="D709" s="855"/>
      <c r="E709" s="855"/>
      <c r="F709" s="887"/>
    </row>
    <row r="710" spans="2:6">
      <c r="B710" s="855"/>
      <c r="C710" s="855"/>
      <c r="D710" s="855"/>
      <c r="E710" s="855"/>
      <c r="F710" s="887"/>
    </row>
    <row r="711" spans="2:6">
      <c r="B711" s="855"/>
      <c r="C711" s="855"/>
      <c r="D711" s="855"/>
      <c r="E711" s="855"/>
      <c r="F711" s="887"/>
    </row>
    <row r="712" spans="2:6">
      <c r="B712" s="855"/>
      <c r="C712" s="855"/>
      <c r="D712" s="855"/>
      <c r="E712" s="855"/>
      <c r="F712" s="887"/>
    </row>
    <row r="713" spans="2:6">
      <c r="B713" s="855"/>
      <c r="C713" s="855"/>
      <c r="D713" s="855"/>
      <c r="E713" s="855"/>
      <c r="F713" s="887"/>
    </row>
    <row r="714" spans="2:6">
      <c r="B714" s="855"/>
      <c r="C714" s="855"/>
      <c r="D714" s="855"/>
      <c r="E714" s="855"/>
      <c r="F714" s="887"/>
    </row>
    <row r="715" spans="2:6">
      <c r="B715" s="855"/>
      <c r="C715" s="855"/>
      <c r="D715" s="855"/>
      <c r="E715" s="855"/>
      <c r="F715" s="887"/>
    </row>
    <row r="716" spans="2:6">
      <c r="B716" s="855"/>
      <c r="C716" s="855"/>
      <c r="D716" s="855"/>
      <c r="E716" s="855"/>
      <c r="F716" s="887"/>
    </row>
    <row r="717" spans="2:6">
      <c r="B717" s="855"/>
      <c r="C717" s="855"/>
      <c r="D717" s="855"/>
      <c r="E717" s="855"/>
      <c r="F717" s="887"/>
    </row>
    <row r="718" spans="2:6">
      <c r="B718" s="855"/>
      <c r="C718" s="855"/>
      <c r="D718" s="855"/>
      <c r="E718" s="855"/>
      <c r="F718" s="887"/>
    </row>
    <row r="719" spans="2:6">
      <c r="B719" s="855"/>
      <c r="C719" s="855"/>
      <c r="D719" s="855"/>
      <c r="E719" s="855"/>
      <c r="F719" s="887"/>
    </row>
    <row r="720" spans="2:6">
      <c r="B720" s="855"/>
      <c r="C720" s="855"/>
      <c r="D720" s="855"/>
      <c r="E720" s="855"/>
      <c r="F720" s="887"/>
    </row>
    <row r="721" spans="2:6">
      <c r="B721" s="855"/>
      <c r="C721" s="855"/>
      <c r="D721" s="855"/>
      <c r="E721" s="855"/>
      <c r="F721" s="887"/>
    </row>
    <row r="722" spans="2:6">
      <c r="B722" s="855"/>
      <c r="C722" s="855"/>
      <c r="D722" s="855"/>
      <c r="E722" s="855"/>
      <c r="F722" s="887"/>
    </row>
    <row r="723" spans="2:6">
      <c r="B723" s="855"/>
      <c r="C723" s="855"/>
      <c r="D723" s="855"/>
      <c r="E723" s="855"/>
      <c r="F723" s="887"/>
    </row>
    <row r="724" spans="2:6">
      <c r="B724" s="855"/>
      <c r="C724" s="855"/>
      <c r="D724" s="855"/>
      <c r="E724" s="855"/>
      <c r="F724" s="887"/>
    </row>
    <row r="725" spans="2:6">
      <c r="B725" s="855"/>
      <c r="C725" s="855"/>
      <c r="D725" s="855"/>
      <c r="E725" s="855"/>
      <c r="F725" s="887"/>
    </row>
    <row r="726" spans="2:6">
      <c r="B726" s="855"/>
      <c r="C726" s="855"/>
      <c r="D726" s="855"/>
      <c r="E726" s="855"/>
      <c r="F726" s="887"/>
    </row>
    <row r="727" spans="2:6">
      <c r="B727" s="855"/>
      <c r="C727" s="855"/>
      <c r="D727" s="855"/>
      <c r="E727" s="855"/>
      <c r="F727" s="887"/>
    </row>
    <row r="728" spans="2:6">
      <c r="B728" s="855"/>
      <c r="C728" s="855"/>
      <c r="D728" s="855"/>
      <c r="E728" s="855"/>
      <c r="F728" s="887"/>
    </row>
    <row r="729" spans="2:6">
      <c r="B729" s="855"/>
      <c r="C729" s="855"/>
      <c r="D729" s="855"/>
      <c r="E729" s="855"/>
      <c r="F729" s="887"/>
    </row>
    <row r="730" spans="2:6">
      <c r="B730" s="855"/>
      <c r="C730" s="855"/>
      <c r="D730" s="855"/>
      <c r="E730" s="855"/>
      <c r="F730" s="887"/>
    </row>
    <row r="731" spans="2:6">
      <c r="B731" s="855"/>
      <c r="C731" s="855"/>
      <c r="D731" s="855"/>
      <c r="E731" s="855"/>
      <c r="F731" s="887"/>
    </row>
    <row r="732" spans="2:6">
      <c r="B732" s="855"/>
      <c r="C732" s="855"/>
      <c r="D732" s="855"/>
      <c r="E732" s="855"/>
      <c r="F732" s="887"/>
    </row>
    <row r="733" spans="2:6">
      <c r="B733" s="855"/>
      <c r="C733" s="855"/>
      <c r="D733" s="855"/>
      <c r="E733" s="855"/>
      <c r="F733" s="887"/>
    </row>
    <row r="734" spans="2:6">
      <c r="B734" s="855"/>
      <c r="C734" s="855"/>
      <c r="D734" s="855"/>
      <c r="E734" s="855"/>
      <c r="F734" s="887"/>
    </row>
    <row r="735" spans="2:6">
      <c r="B735" s="855"/>
      <c r="C735" s="855"/>
      <c r="D735" s="855"/>
      <c r="E735" s="855"/>
      <c r="F735" s="887"/>
    </row>
    <row r="736" spans="2:6">
      <c r="B736" s="855"/>
      <c r="C736" s="855"/>
      <c r="D736" s="855"/>
      <c r="E736" s="855"/>
      <c r="F736" s="887"/>
    </row>
    <row r="737" spans="2:6">
      <c r="B737" s="855"/>
      <c r="C737" s="855"/>
      <c r="D737" s="855"/>
      <c r="E737" s="855"/>
      <c r="F737" s="887"/>
    </row>
    <row r="738" spans="2:6">
      <c r="B738" s="855"/>
      <c r="C738" s="855"/>
      <c r="D738" s="855"/>
      <c r="E738" s="855"/>
      <c r="F738" s="887"/>
    </row>
    <row r="739" spans="2:6">
      <c r="B739" s="855"/>
      <c r="C739" s="855"/>
      <c r="D739" s="855"/>
      <c r="E739" s="855"/>
      <c r="F739" s="887"/>
    </row>
    <row r="740" spans="2:6">
      <c r="B740" s="855"/>
      <c r="C740" s="855"/>
      <c r="D740" s="855"/>
      <c r="E740" s="855"/>
      <c r="F740" s="887"/>
    </row>
    <row r="741" spans="2:6">
      <c r="B741" s="855"/>
      <c r="C741" s="855"/>
      <c r="D741" s="855"/>
      <c r="E741" s="855"/>
      <c r="F741" s="887"/>
    </row>
    <row r="742" spans="2:6">
      <c r="B742" s="855"/>
      <c r="C742" s="855"/>
      <c r="D742" s="855"/>
      <c r="E742" s="855"/>
      <c r="F742" s="887"/>
    </row>
    <row r="743" spans="2:6">
      <c r="B743" s="855"/>
      <c r="C743" s="855"/>
      <c r="D743" s="855"/>
      <c r="E743" s="855"/>
      <c r="F743" s="887"/>
    </row>
    <row r="744" spans="2:6">
      <c r="B744" s="855"/>
      <c r="C744" s="855"/>
      <c r="D744" s="855"/>
      <c r="E744" s="855"/>
      <c r="F744" s="887"/>
    </row>
    <row r="745" spans="2:6">
      <c r="B745" s="855"/>
      <c r="C745" s="855"/>
      <c r="D745" s="855"/>
      <c r="E745" s="855"/>
      <c r="F745" s="887"/>
    </row>
    <row r="746" spans="2:6">
      <c r="B746" s="855"/>
      <c r="C746" s="855"/>
      <c r="D746" s="855"/>
      <c r="E746" s="855"/>
      <c r="F746" s="887"/>
    </row>
    <row r="747" spans="2:6">
      <c r="B747" s="855"/>
      <c r="C747" s="855"/>
      <c r="D747" s="855"/>
      <c r="E747" s="855"/>
      <c r="F747" s="887"/>
    </row>
    <row r="748" spans="2:6">
      <c r="B748" s="855"/>
      <c r="C748" s="855"/>
      <c r="D748" s="855"/>
      <c r="E748" s="855"/>
      <c r="F748" s="887"/>
    </row>
    <row r="749" spans="2:6">
      <c r="B749" s="855"/>
      <c r="C749" s="855"/>
      <c r="D749" s="855"/>
      <c r="E749" s="855"/>
      <c r="F749" s="887"/>
    </row>
    <row r="750" spans="2:6">
      <c r="B750" s="855"/>
      <c r="C750" s="855"/>
      <c r="D750" s="855"/>
      <c r="E750" s="855"/>
      <c r="F750" s="887"/>
    </row>
    <row r="751" spans="2:6">
      <c r="B751" s="855"/>
      <c r="C751" s="855"/>
      <c r="D751" s="855"/>
      <c r="E751" s="855"/>
      <c r="F751" s="887"/>
    </row>
    <row r="752" spans="2:6">
      <c r="B752" s="855"/>
      <c r="C752" s="855"/>
      <c r="D752" s="855"/>
      <c r="E752" s="855"/>
      <c r="F752" s="887"/>
    </row>
    <row r="753" spans="2:6">
      <c r="B753" s="855"/>
      <c r="C753" s="855"/>
      <c r="D753" s="855"/>
      <c r="E753" s="855"/>
      <c r="F753" s="887"/>
    </row>
    <row r="754" spans="2:6">
      <c r="B754" s="855"/>
      <c r="C754" s="855"/>
      <c r="D754" s="855"/>
      <c r="E754" s="855"/>
      <c r="F754" s="887"/>
    </row>
    <row r="755" spans="2:6">
      <c r="B755" s="855"/>
      <c r="C755" s="855"/>
      <c r="D755" s="855"/>
      <c r="E755" s="855"/>
      <c r="F755" s="887"/>
    </row>
    <row r="756" spans="2:6">
      <c r="B756" s="855"/>
      <c r="C756" s="855"/>
      <c r="D756" s="855"/>
      <c r="E756" s="855"/>
      <c r="F756" s="887"/>
    </row>
    <row r="757" spans="2:6">
      <c r="B757" s="855"/>
      <c r="C757" s="855"/>
      <c r="D757" s="855"/>
      <c r="E757" s="855"/>
      <c r="F757" s="887"/>
    </row>
    <row r="758" spans="2:6">
      <c r="B758" s="855"/>
      <c r="C758" s="855"/>
      <c r="D758" s="855"/>
      <c r="E758" s="855"/>
      <c r="F758" s="887"/>
    </row>
    <row r="759" spans="2:6">
      <c r="B759" s="855"/>
      <c r="C759" s="855"/>
      <c r="D759" s="855"/>
      <c r="E759" s="855"/>
      <c r="F759" s="887"/>
    </row>
    <row r="760" spans="2:6">
      <c r="B760" s="855"/>
      <c r="C760" s="855"/>
      <c r="D760" s="855"/>
      <c r="E760" s="855"/>
      <c r="F760" s="887"/>
    </row>
    <row r="761" spans="2:6">
      <c r="B761" s="855"/>
      <c r="C761" s="855"/>
      <c r="D761" s="855"/>
      <c r="E761" s="855"/>
      <c r="F761" s="887"/>
    </row>
    <row r="762" spans="2:6">
      <c r="B762" s="855"/>
      <c r="C762" s="855"/>
      <c r="D762" s="855"/>
      <c r="E762" s="855"/>
      <c r="F762" s="887"/>
    </row>
    <row r="763" spans="2:6">
      <c r="B763" s="855"/>
      <c r="C763" s="855"/>
      <c r="D763" s="855"/>
      <c r="E763" s="855"/>
      <c r="F763" s="887"/>
    </row>
    <row r="764" spans="2:6">
      <c r="B764" s="855"/>
      <c r="C764" s="855"/>
      <c r="D764" s="855"/>
      <c r="E764" s="855"/>
      <c r="F764" s="887"/>
    </row>
    <row r="765" spans="2:6">
      <c r="B765" s="855"/>
      <c r="C765" s="855"/>
      <c r="D765" s="855"/>
      <c r="E765" s="855"/>
      <c r="F765" s="887"/>
    </row>
    <row r="766" spans="2:6">
      <c r="B766" s="855"/>
      <c r="C766" s="855"/>
      <c r="D766" s="855"/>
      <c r="E766" s="855"/>
      <c r="F766" s="887"/>
    </row>
    <row r="767" spans="2:6">
      <c r="B767" s="855"/>
      <c r="C767" s="855"/>
      <c r="D767" s="855"/>
      <c r="E767" s="855"/>
      <c r="F767" s="887"/>
    </row>
    <row r="768" spans="2:6">
      <c r="B768" s="855"/>
      <c r="C768" s="855"/>
      <c r="D768" s="855"/>
      <c r="E768" s="855"/>
      <c r="F768" s="887"/>
    </row>
    <row r="769" spans="2:6">
      <c r="B769" s="855"/>
      <c r="C769" s="855"/>
      <c r="D769" s="855"/>
      <c r="E769" s="855"/>
      <c r="F769" s="887"/>
    </row>
    <row r="770" spans="2:6">
      <c r="B770" s="855"/>
      <c r="C770" s="855"/>
      <c r="D770" s="855"/>
      <c r="E770" s="855"/>
      <c r="F770" s="887"/>
    </row>
    <row r="771" spans="2:6">
      <c r="B771" s="855"/>
      <c r="C771" s="855"/>
      <c r="D771" s="855"/>
      <c r="E771" s="855"/>
      <c r="F771" s="887"/>
    </row>
    <row r="772" spans="2:6">
      <c r="B772" s="855"/>
      <c r="C772" s="855"/>
      <c r="D772" s="855"/>
      <c r="E772" s="855"/>
      <c r="F772" s="887"/>
    </row>
    <row r="773" spans="2:6">
      <c r="B773" s="855"/>
      <c r="C773" s="855"/>
      <c r="D773" s="855"/>
      <c r="E773" s="855"/>
      <c r="F773" s="887"/>
    </row>
    <row r="774" spans="2:6">
      <c r="B774" s="855"/>
      <c r="C774" s="855"/>
      <c r="D774" s="855"/>
      <c r="E774" s="855"/>
      <c r="F774" s="887"/>
    </row>
    <row r="775" spans="2:6">
      <c r="B775" s="855"/>
      <c r="C775" s="855"/>
      <c r="D775" s="855"/>
      <c r="E775" s="855"/>
      <c r="F775" s="887"/>
    </row>
    <row r="776" spans="2:6">
      <c r="B776" s="855"/>
      <c r="C776" s="855"/>
      <c r="D776" s="855"/>
      <c r="E776" s="855"/>
      <c r="F776" s="887"/>
    </row>
    <row r="777" spans="2:6">
      <c r="B777" s="855"/>
      <c r="C777" s="855"/>
      <c r="D777" s="855"/>
      <c r="E777" s="855"/>
      <c r="F777" s="887"/>
    </row>
    <row r="778" spans="2:6">
      <c r="B778" s="855"/>
      <c r="C778" s="855"/>
      <c r="D778" s="855"/>
      <c r="E778" s="855"/>
      <c r="F778" s="887"/>
    </row>
    <row r="779" spans="2:6">
      <c r="B779" s="855"/>
      <c r="C779" s="855"/>
      <c r="D779" s="855"/>
      <c r="E779" s="855"/>
      <c r="F779" s="887"/>
    </row>
    <row r="780" spans="2:6">
      <c r="B780" s="855"/>
      <c r="C780" s="855"/>
      <c r="D780" s="855"/>
      <c r="E780" s="855"/>
      <c r="F780" s="887"/>
    </row>
    <row r="781" spans="2:6">
      <c r="B781" s="855"/>
      <c r="C781" s="855"/>
      <c r="D781" s="855"/>
      <c r="E781" s="855"/>
      <c r="F781" s="887"/>
    </row>
    <row r="782" spans="2:6">
      <c r="B782" s="855"/>
      <c r="C782" s="855"/>
      <c r="D782" s="855"/>
      <c r="E782" s="855"/>
      <c r="F782" s="887"/>
    </row>
    <row r="783" spans="2:6">
      <c r="B783" s="855"/>
      <c r="C783" s="855"/>
      <c r="D783" s="855"/>
      <c r="E783" s="855"/>
      <c r="F783" s="887"/>
    </row>
    <row r="784" spans="2:6">
      <c r="B784" s="855"/>
      <c r="C784" s="855"/>
      <c r="D784" s="855"/>
      <c r="E784" s="855"/>
      <c r="F784" s="887"/>
    </row>
    <row r="785" spans="2:6">
      <c r="B785" s="855"/>
      <c r="C785" s="855"/>
      <c r="D785" s="855"/>
      <c r="E785" s="855"/>
      <c r="F785" s="887"/>
    </row>
    <row r="786" spans="2:6">
      <c r="B786" s="855"/>
      <c r="C786" s="855"/>
      <c r="D786" s="855"/>
      <c r="E786" s="855"/>
      <c r="F786" s="887"/>
    </row>
    <row r="787" spans="2:6">
      <c r="B787" s="855"/>
      <c r="C787" s="855"/>
      <c r="D787" s="855"/>
      <c r="E787" s="855"/>
      <c r="F787" s="887"/>
    </row>
    <row r="788" spans="2:6">
      <c r="B788" s="855"/>
      <c r="C788" s="855"/>
      <c r="D788" s="855"/>
      <c r="E788" s="855"/>
      <c r="F788" s="887"/>
    </row>
    <row r="789" spans="2:6">
      <c r="B789" s="855"/>
      <c r="C789" s="855"/>
      <c r="D789" s="855"/>
      <c r="E789" s="855"/>
      <c r="F789" s="887"/>
    </row>
    <row r="790" spans="2:6">
      <c r="B790" s="855"/>
      <c r="C790" s="855"/>
      <c r="D790" s="855"/>
      <c r="E790" s="855"/>
      <c r="F790" s="887"/>
    </row>
    <row r="791" spans="2:6">
      <c r="B791" s="855"/>
      <c r="C791" s="855"/>
      <c r="D791" s="855"/>
      <c r="E791" s="855"/>
      <c r="F791" s="887"/>
    </row>
    <row r="792" spans="2:6">
      <c r="B792" s="855"/>
      <c r="C792" s="855"/>
      <c r="D792" s="855"/>
      <c r="E792" s="855"/>
      <c r="F792" s="887"/>
    </row>
    <row r="793" spans="2:6">
      <c r="B793" s="855"/>
      <c r="C793" s="855"/>
      <c r="D793" s="855"/>
      <c r="E793" s="855"/>
      <c r="F793" s="887"/>
    </row>
    <row r="794" spans="2:6">
      <c r="B794" s="855"/>
      <c r="C794" s="855"/>
      <c r="D794" s="855"/>
      <c r="E794" s="855"/>
      <c r="F794" s="887"/>
    </row>
    <row r="795" spans="2:6">
      <c r="B795" s="855"/>
      <c r="C795" s="855"/>
      <c r="D795" s="855"/>
      <c r="E795" s="855"/>
      <c r="F795" s="887"/>
    </row>
    <row r="796" spans="2:6">
      <c r="B796" s="855"/>
      <c r="C796" s="855"/>
      <c r="D796" s="855"/>
      <c r="E796" s="855"/>
      <c r="F796" s="887"/>
    </row>
    <row r="797" spans="2:6">
      <c r="B797" s="855"/>
      <c r="C797" s="855"/>
      <c r="D797" s="855"/>
      <c r="E797" s="855"/>
      <c r="F797" s="887"/>
    </row>
    <row r="798" spans="2:6">
      <c r="B798" s="855"/>
      <c r="C798" s="855"/>
      <c r="D798" s="855"/>
      <c r="E798" s="855"/>
      <c r="F798" s="887"/>
    </row>
    <row r="799" spans="2:6">
      <c r="B799" s="855"/>
      <c r="C799" s="855"/>
      <c r="D799" s="855"/>
      <c r="E799" s="855"/>
      <c r="F799" s="887"/>
    </row>
    <row r="800" spans="2:6">
      <c r="B800" s="855"/>
      <c r="C800" s="855"/>
      <c r="D800" s="855"/>
      <c r="E800" s="855"/>
      <c r="F800" s="887"/>
    </row>
    <row r="801" spans="2:6">
      <c r="B801" s="855"/>
      <c r="C801" s="855"/>
      <c r="D801" s="855"/>
      <c r="E801" s="855"/>
      <c r="F801" s="887"/>
    </row>
    <row r="802" spans="2:6">
      <c r="B802" s="855"/>
      <c r="C802" s="855"/>
      <c r="D802" s="855"/>
      <c r="E802" s="855"/>
      <c r="F802" s="887"/>
    </row>
    <row r="803" spans="2:6">
      <c r="B803" s="855"/>
      <c r="C803" s="855"/>
      <c r="D803" s="855"/>
      <c r="E803" s="855"/>
      <c r="F803" s="887"/>
    </row>
    <row r="804" spans="2:6">
      <c r="B804" s="855"/>
      <c r="C804" s="855"/>
      <c r="D804" s="855"/>
      <c r="E804" s="855"/>
      <c r="F804" s="887"/>
    </row>
    <row r="805" spans="2:6">
      <c r="B805" s="855"/>
      <c r="C805" s="855"/>
      <c r="D805" s="855"/>
      <c r="E805" s="855"/>
      <c r="F805" s="887"/>
    </row>
    <row r="806" spans="2:6">
      <c r="B806" s="855"/>
      <c r="C806" s="855"/>
      <c r="D806" s="855"/>
      <c r="E806" s="855"/>
      <c r="F806" s="887"/>
    </row>
    <row r="807" spans="2:6">
      <c r="B807" s="855"/>
      <c r="C807" s="855"/>
      <c r="D807" s="855"/>
      <c r="E807" s="855"/>
      <c r="F807" s="887"/>
    </row>
    <row r="808" spans="2:6">
      <c r="B808" s="855"/>
      <c r="C808" s="855"/>
      <c r="D808" s="855"/>
      <c r="E808" s="855"/>
      <c r="F808" s="887"/>
    </row>
    <row r="809" spans="2:6">
      <c r="B809" s="855"/>
      <c r="C809" s="855"/>
      <c r="D809" s="855"/>
      <c r="E809" s="855"/>
      <c r="F809" s="887"/>
    </row>
    <row r="810" spans="2:6">
      <c r="B810" s="855"/>
      <c r="C810" s="855"/>
      <c r="D810" s="855"/>
      <c r="E810" s="855"/>
      <c r="F810" s="887"/>
    </row>
    <row r="811" spans="2:6">
      <c r="B811" s="855"/>
      <c r="C811" s="855"/>
      <c r="D811" s="855"/>
      <c r="E811" s="855"/>
      <c r="F811" s="887"/>
    </row>
    <row r="812" spans="2:6">
      <c r="B812" s="855"/>
      <c r="C812" s="855"/>
      <c r="D812" s="855"/>
      <c r="E812" s="855"/>
      <c r="F812" s="887"/>
    </row>
    <row r="813" spans="2:6">
      <c r="B813" s="855"/>
      <c r="C813" s="855"/>
      <c r="D813" s="855"/>
      <c r="E813" s="855"/>
      <c r="F813" s="887"/>
    </row>
    <row r="814" spans="2:6">
      <c r="B814" s="855"/>
      <c r="C814" s="855"/>
      <c r="D814" s="855"/>
      <c r="E814" s="855"/>
      <c r="F814" s="887"/>
    </row>
    <row r="815" spans="2:6">
      <c r="B815" s="855"/>
      <c r="C815" s="855"/>
      <c r="D815" s="855"/>
      <c r="E815" s="855"/>
      <c r="F815" s="887"/>
    </row>
    <row r="816" spans="2:6">
      <c r="B816" s="855"/>
      <c r="C816" s="855"/>
      <c r="D816" s="855"/>
      <c r="E816" s="855"/>
      <c r="F816" s="887"/>
    </row>
    <row r="817" spans="2:6">
      <c r="B817" s="855"/>
      <c r="C817" s="855"/>
      <c r="D817" s="855"/>
      <c r="E817" s="855"/>
      <c r="F817" s="887"/>
    </row>
    <row r="818" spans="2:6">
      <c r="B818" s="855"/>
      <c r="C818" s="855"/>
      <c r="D818" s="855"/>
      <c r="E818" s="855"/>
      <c r="F818" s="887"/>
    </row>
    <row r="819" spans="2:6">
      <c r="B819" s="855"/>
      <c r="C819" s="855"/>
      <c r="D819" s="855"/>
      <c r="E819" s="855"/>
      <c r="F819" s="887"/>
    </row>
    <row r="820" spans="2:6">
      <c r="B820" s="855"/>
      <c r="C820" s="855"/>
      <c r="D820" s="855"/>
      <c r="E820" s="855"/>
      <c r="F820" s="887"/>
    </row>
    <row r="821" spans="2:6">
      <c r="B821" s="855"/>
      <c r="C821" s="855"/>
      <c r="D821" s="855"/>
      <c r="E821" s="855"/>
      <c r="F821" s="887"/>
    </row>
    <row r="822" spans="2:6">
      <c r="B822" s="855"/>
      <c r="C822" s="855"/>
      <c r="D822" s="855"/>
      <c r="E822" s="855"/>
      <c r="F822" s="887"/>
    </row>
    <row r="823" spans="2:6">
      <c r="B823" s="855"/>
      <c r="C823" s="855"/>
      <c r="D823" s="855"/>
      <c r="E823" s="855"/>
      <c r="F823" s="887"/>
    </row>
    <row r="824" spans="2:6">
      <c r="B824" s="855"/>
      <c r="C824" s="855"/>
      <c r="D824" s="855"/>
      <c r="E824" s="855"/>
      <c r="F824" s="887"/>
    </row>
    <row r="825" spans="2:6">
      <c r="B825" s="855"/>
      <c r="C825" s="855"/>
      <c r="D825" s="855"/>
      <c r="E825" s="855"/>
      <c r="F825" s="887"/>
    </row>
    <row r="826" spans="2:6">
      <c r="B826" s="855"/>
      <c r="C826" s="855"/>
      <c r="D826" s="855"/>
      <c r="E826" s="855"/>
      <c r="F826" s="887"/>
    </row>
    <row r="827" spans="2:6">
      <c r="B827" s="855"/>
      <c r="C827" s="855"/>
      <c r="D827" s="855"/>
      <c r="E827" s="855"/>
      <c r="F827" s="887"/>
    </row>
    <row r="828" spans="2:6">
      <c r="B828" s="855"/>
      <c r="C828" s="855"/>
      <c r="D828" s="855"/>
      <c r="E828" s="855"/>
      <c r="F828" s="887"/>
    </row>
    <row r="829" spans="2:6">
      <c r="B829" s="855"/>
      <c r="C829" s="855"/>
      <c r="D829" s="855"/>
      <c r="E829" s="855"/>
      <c r="F829" s="887"/>
    </row>
    <row r="830" spans="2:6">
      <c r="B830" s="855"/>
      <c r="C830" s="855"/>
      <c r="D830" s="855"/>
      <c r="E830" s="855"/>
      <c r="F830" s="887"/>
    </row>
    <row r="831" spans="2:6">
      <c r="B831" s="855"/>
      <c r="C831" s="855"/>
      <c r="D831" s="855"/>
      <c r="E831" s="855"/>
      <c r="F831" s="887"/>
    </row>
    <row r="832" spans="2:6">
      <c r="B832" s="855"/>
      <c r="C832" s="855"/>
      <c r="D832" s="855"/>
      <c r="E832" s="855"/>
      <c r="F832" s="887"/>
    </row>
    <row r="833" spans="2:6">
      <c r="B833" s="855"/>
      <c r="C833" s="855"/>
      <c r="D833" s="855"/>
      <c r="E833" s="855"/>
      <c r="F833" s="887"/>
    </row>
    <row r="834" spans="2:6">
      <c r="B834" s="855"/>
      <c r="C834" s="855"/>
      <c r="D834" s="855"/>
      <c r="E834" s="855"/>
      <c r="F834" s="887"/>
    </row>
    <row r="835" spans="2:6">
      <c r="B835" s="855"/>
      <c r="C835" s="855"/>
      <c r="D835" s="855"/>
      <c r="E835" s="855"/>
      <c r="F835" s="887"/>
    </row>
    <row r="836" spans="2:6">
      <c r="B836" s="855"/>
      <c r="C836" s="855"/>
      <c r="D836" s="855"/>
      <c r="E836" s="855"/>
      <c r="F836" s="887"/>
    </row>
    <row r="837" spans="2:6">
      <c r="B837" s="855"/>
      <c r="C837" s="855"/>
      <c r="D837" s="855"/>
      <c r="E837" s="855"/>
      <c r="F837" s="887"/>
    </row>
    <row r="838" spans="2:6">
      <c r="B838" s="855"/>
      <c r="C838" s="855"/>
      <c r="D838" s="855"/>
      <c r="E838" s="855"/>
      <c r="F838" s="887"/>
    </row>
    <row r="839" spans="2:6">
      <c r="B839" s="855"/>
      <c r="C839" s="855"/>
      <c r="D839" s="855"/>
      <c r="E839" s="855"/>
      <c r="F839" s="887"/>
    </row>
    <row r="840" spans="2:6">
      <c r="B840" s="855"/>
      <c r="C840" s="855"/>
      <c r="D840" s="855"/>
      <c r="E840" s="855"/>
      <c r="F840" s="887"/>
    </row>
    <row r="841" spans="2:6">
      <c r="B841" s="855"/>
      <c r="C841" s="855"/>
      <c r="D841" s="855"/>
      <c r="E841" s="855"/>
      <c r="F841" s="887"/>
    </row>
    <row r="842" spans="2:6">
      <c r="B842" s="855"/>
      <c r="C842" s="855"/>
      <c r="D842" s="855"/>
      <c r="E842" s="855"/>
      <c r="F842" s="887"/>
    </row>
    <row r="843" spans="2:6">
      <c r="B843" s="855"/>
      <c r="C843" s="855"/>
      <c r="D843" s="855"/>
      <c r="E843" s="855"/>
      <c r="F843" s="887"/>
    </row>
    <row r="844" spans="2:6">
      <c r="B844" s="855"/>
      <c r="C844" s="855"/>
      <c r="D844" s="855"/>
      <c r="E844" s="855"/>
      <c r="F844" s="887"/>
    </row>
    <row r="845" spans="2:6">
      <c r="B845" s="855"/>
      <c r="C845" s="855"/>
      <c r="D845" s="855"/>
      <c r="E845" s="855"/>
      <c r="F845" s="887"/>
    </row>
    <row r="846" spans="2:6">
      <c r="B846" s="855"/>
      <c r="C846" s="855"/>
      <c r="D846" s="855"/>
      <c r="E846" s="855"/>
      <c r="F846" s="887"/>
    </row>
    <row r="847" spans="2:6">
      <c r="B847" s="855"/>
      <c r="C847" s="855"/>
      <c r="D847" s="855"/>
      <c r="E847" s="855"/>
      <c r="F847" s="887"/>
    </row>
    <row r="848" spans="2:6">
      <c r="B848" s="855"/>
      <c r="C848" s="855"/>
      <c r="D848" s="855"/>
      <c r="E848" s="855"/>
      <c r="F848" s="887"/>
    </row>
    <row r="849" spans="2:6">
      <c r="B849" s="855"/>
      <c r="C849" s="855"/>
      <c r="D849" s="855"/>
      <c r="E849" s="855"/>
      <c r="F849" s="887"/>
    </row>
    <row r="850" spans="2:6">
      <c r="B850" s="855"/>
      <c r="C850" s="855"/>
      <c r="D850" s="855"/>
      <c r="E850" s="855"/>
      <c r="F850" s="887"/>
    </row>
    <row r="851" spans="2:6">
      <c r="B851" s="855"/>
      <c r="C851" s="855"/>
      <c r="D851" s="855"/>
      <c r="E851" s="855"/>
      <c r="F851" s="887"/>
    </row>
    <row r="852" spans="2:6">
      <c r="B852" s="855"/>
      <c r="C852" s="855"/>
      <c r="D852" s="855"/>
      <c r="E852" s="855"/>
      <c r="F852" s="887"/>
    </row>
    <row r="853" spans="2:6">
      <c r="B853" s="855"/>
      <c r="C853" s="855"/>
      <c r="D853" s="855"/>
      <c r="E853" s="855"/>
      <c r="F853" s="887"/>
    </row>
    <row r="854" spans="2:6">
      <c r="B854" s="855"/>
      <c r="C854" s="855"/>
      <c r="D854" s="855"/>
      <c r="E854" s="855"/>
      <c r="F854" s="887"/>
    </row>
    <row r="855" spans="2:6">
      <c r="B855" s="855"/>
      <c r="C855" s="855"/>
      <c r="D855" s="855"/>
      <c r="E855" s="855"/>
      <c r="F855" s="887"/>
    </row>
    <row r="856" spans="2:6">
      <c r="B856" s="855"/>
      <c r="C856" s="855"/>
      <c r="D856" s="855"/>
      <c r="E856" s="855"/>
      <c r="F856" s="887"/>
    </row>
    <row r="857" spans="2:6">
      <c r="B857" s="855"/>
      <c r="C857" s="855"/>
      <c r="D857" s="855"/>
      <c r="E857" s="855"/>
      <c r="F857" s="887"/>
    </row>
    <row r="858" spans="2:6">
      <c r="B858" s="855"/>
      <c r="C858" s="855"/>
      <c r="D858" s="855"/>
      <c r="E858" s="855"/>
      <c r="F858" s="887"/>
    </row>
    <row r="859" spans="2:6">
      <c r="B859" s="855"/>
      <c r="C859" s="855"/>
      <c r="D859" s="855"/>
      <c r="E859" s="855"/>
      <c r="F859" s="887"/>
    </row>
    <row r="860" spans="2:6">
      <c r="B860" s="855"/>
      <c r="C860" s="855"/>
      <c r="D860" s="855"/>
      <c r="E860" s="855"/>
      <c r="F860" s="887"/>
    </row>
    <row r="861" spans="2:6">
      <c r="B861" s="855"/>
      <c r="C861" s="855"/>
      <c r="D861" s="855"/>
      <c r="E861" s="855"/>
      <c r="F861" s="887"/>
    </row>
    <row r="862" spans="2:6">
      <c r="B862" s="855"/>
      <c r="C862" s="855"/>
      <c r="D862" s="855"/>
      <c r="E862" s="855"/>
      <c r="F862" s="887"/>
    </row>
    <row r="863" spans="2:6">
      <c r="B863" s="855"/>
      <c r="C863" s="855"/>
      <c r="D863" s="855"/>
      <c r="E863" s="855"/>
      <c r="F863" s="887"/>
    </row>
    <row r="864" spans="2:6">
      <c r="B864" s="855"/>
      <c r="C864" s="855"/>
      <c r="D864" s="855"/>
      <c r="E864" s="855"/>
      <c r="F864" s="887"/>
    </row>
    <row r="865" spans="2:6">
      <c r="B865" s="855"/>
      <c r="C865" s="855"/>
      <c r="D865" s="855"/>
      <c r="E865" s="855"/>
      <c r="F865" s="887"/>
    </row>
    <row r="866" spans="2:6">
      <c r="B866" s="855"/>
      <c r="C866" s="855"/>
      <c r="D866" s="855"/>
      <c r="E866" s="855"/>
      <c r="F866" s="887"/>
    </row>
    <row r="867" spans="2:6">
      <c r="B867" s="855"/>
      <c r="C867" s="855"/>
      <c r="D867" s="855"/>
      <c r="E867" s="855"/>
      <c r="F867" s="887"/>
    </row>
    <row r="868" spans="2:6">
      <c r="B868" s="855"/>
      <c r="C868" s="855"/>
      <c r="D868" s="855"/>
      <c r="E868" s="855"/>
      <c r="F868" s="887"/>
    </row>
    <row r="869" spans="2:6">
      <c r="B869" s="855"/>
      <c r="C869" s="855"/>
      <c r="D869" s="855"/>
      <c r="E869" s="855"/>
      <c r="F869" s="887"/>
    </row>
    <row r="870" spans="2:6">
      <c r="B870" s="855"/>
      <c r="C870" s="855"/>
      <c r="D870" s="855"/>
      <c r="E870" s="855"/>
      <c r="F870" s="887"/>
    </row>
    <row r="871" spans="2:6">
      <c r="B871" s="855"/>
      <c r="C871" s="855"/>
      <c r="D871" s="855"/>
      <c r="E871" s="855"/>
      <c r="F871" s="887"/>
    </row>
    <row r="872" spans="2:6">
      <c r="B872" s="855"/>
      <c r="C872" s="855"/>
      <c r="D872" s="855"/>
      <c r="E872" s="855"/>
      <c r="F872" s="887"/>
    </row>
    <row r="873" spans="2:6">
      <c r="B873" s="855"/>
      <c r="C873" s="855"/>
      <c r="D873" s="855"/>
      <c r="E873" s="855"/>
      <c r="F873" s="887"/>
    </row>
    <row r="874" spans="2:6">
      <c r="B874" s="855"/>
      <c r="C874" s="855"/>
      <c r="D874" s="855"/>
      <c r="E874" s="855"/>
      <c r="F874" s="887"/>
    </row>
    <row r="875" spans="2:6">
      <c r="B875" s="855"/>
      <c r="C875" s="855"/>
      <c r="D875" s="855"/>
      <c r="E875" s="855"/>
      <c r="F875" s="887"/>
    </row>
    <row r="876" spans="2:6">
      <c r="B876" s="855"/>
      <c r="C876" s="855"/>
      <c r="D876" s="855"/>
      <c r="E876" s="855"/>
      <c r="F876" s="887"/>
    </row>
    <row r="877" spans="2:6">
      <c r="B877" s="855"/>
      <c r="C877" s="855"/>
      <c r="D877" s="855"/>
      <c r="E877" s="855"/>
      <c r="F877" s="887"/>
    </row>
    <row r="878" spans="2:6">
      <c r="B878" s="855"/>
      <c r="C878" s="855"/>
      <c r="D878" s="855"/>
      <c r="E878" s="855"/>
      <c r="F878" s="887"/>
    </row>
    <row r="879" spans="2:6">
      <c r="B879" s="855"/>
      <c r="C879" s="855"/>
      <c r="D879" s="855"/>
      <c r="E879" s="855"/>
      <c r="F879" s="887"/>
    </row>
    <row r="880" spans="2:6">
      <c r="B880" s="855"/>
      <c r="C880" s="855"/>
      <c r="D880" s="855"/>
      <c r="E880" s="855"/>
      <c r="F880" s="887"/>
    </row>
    <row r="881" spans="2:6">
      <c r="B881" s="855"/>
      <c r="C881" s="855"/>
      <c r="D881" s="855"/>
      <c r="E881" s="855"/>
      <c r="F881" s="887"/>
    </row>
    <row r="882" spans="2:6">
      <c r="B882" s="855"/>
      <c r="C882" s="855"/>
      <c r="D882" s="855"/>
      <c r="E882" s="855"/>
      <c r="F882" s="887"/>
    </row>
    <row r="883" spans="2:6">
      <c r="B883" s="855"/>
      <c r="C883" s="855"/>
      <c r="D883" s="855"/>
      <c r="E883" s="855"/>
      <c r="F883" s="887"/>
    </row>
    <row r="884" spans="2:6">
      <c r="B884" s="855"/>
      <c r="C884" s="855"/>
      <c r="D884" s="855"/>
      <c r="E884" s="855"/>
      <c r="F884" s="887"/>
    </row>
    <row r="885" spans="2:6">
      <c r="B885" s="855"/>
      <c r="C885" s="855"/>
      <c r="D885" s="855"/>
      <c r="E885" s="855"/>
      <c r="F885" s="887"/>
    </row>
    <row r="886" spans="2:6">
      <c r="B886" s="855"/>
      <c r="C886" s="855"/>
      <c r="D886" s="855"/>
      <c r="E886" s="855"/>
      <c r="F886" s="887"/>
    </row>
    <row r="887" spans="2:6">
      <c r="B887" s="855"/>
      <c r="C887" s="855"/>
      <c r="D887" s="855"/>
      <c r="E887" s="855"/>
      <c r="F887" s="887"/>
    </row>
    <row r="888" spans="2:6">
      <c r="B888" s="855"/>
      <c r="C888" s="855"/>
      <c r="D888" s="855"/>
      <c r="E888" s="855"/>
      <c r="F888" s="887"/>
    </row>
    <row r="889" spans="2:6">
      <c r="B889" s="855"/>
      <c r="C889" s="855"/>
      <c r="D889" s="855"/>
      <c r="E889" s="855"/>
      <c r="F889" s="887"/>
    </row>
    <row r="890" spans="2:6">
      <c r="B890" s="855"/>
      <c r="C890" s="855"/>
      <c r="D890" s="855"/>
      <c r="E890" s="855"/>
      <c r="F890" s="887"/>
    </row>
    <row r="891" spans="2:6">
      <c r="B891" s="855"/>
      <c r="C891" s="855"/>
      <c r="D891" s="855"/>
      <c r="E891" s="855"/>
      <c r="F891" s="887"/>
    </row>
    <row r="892" spans="2:6">
      <c r="B892" s="855"/>
      <c r="C892" s="855"/>
      <c r="D892" s="855"/>
      <c r="E892" s="855"/>
      <c r="F892" s="887"/>
    </row>
    <row r="893" spans="2:6">
      <c r="B893" s="855"/>
      <c r="C893" s="855"/>
      <c r="D893" s="855"/>
      <c r="E893" s="855"/>
      <c r="F893" s="887"/>
    </row>
    <row r="894" spans="2:6">
      <c r="B894" s="855"/>
      <c r="C894" s="855"/>
      <c r="D894" s="855"/>
      <c r="E894" s="855"/>
      <c r="F894" s="887"/>
    </row>
    <row r="895" spans="2:6">
      <c r="B895" s="855"/>
      <c r="C895" s="855"/>
      <c r="D895" s="855"/>
      <c r="E895" s="855"/>
      <c r="F895" s="887"/>
    </row>
    <row r="896" spans="2:6">
      <c r="B896" s="855"/>
      <c r="C896" s="855"/>
      <c r="D896" s="855"/>
      <c r="E896" s="855"/>
      <c r="F896" s="887"/>
    </row>
    <row r="897" spans="2:6">
      <c r="B897" s="855"/>
      <c r="C897" s="855"/>
      <c r="D897" s="855"/>
      <c r="E897" s="855"/>
      <c r="F897" s="887"/>
    </row>
    <row r="898" spans="2:6">
      <c r="B898" s="855"/>
      <c r="C898" s="855"/>
      <c r="D898" s="855"/>
      <c r="E898" s="855"/>
      <c r="F898" s="887"/>
    </row>
    <row r="899" spans="2:6">
      <c r="B899" s="855"/>
      <c r="C899" s="855"/>
      <c r="D899" s="855"/>
      <c r="E899" s="855"/>
      <c r="F899" s="887"/>
    </row>
    <row r="900" spans="2:6">
      <c r="B900" s="855"/>
      <c r="C900" s="855"/>
      <c r="D900" s="855"/>
      <c r="E900" s="855"/>
      <c r="F900" s="887"/>
    </row>
    <row r="901" spans="2:6">
      <c r="B901" s="855"/>
      <c r="C901" s="855"/>
      <c r="D901" s="855"/>
      <c r="E901" s="855"/>
      <c r="F901" s="887"/>
    </row>
    <row r="902" spans="2:6">
      <c r="B902" s="855"/>
      <c r="C902" s="855"/>
      <c r="D902" s="855"/>
      <c r="E902" s="855"/>
      <c r="F902" s="887"/>
    </row>
    <row r="903" spans="2:6">
      <c r="B903" s="855"/>
      <c r="C903" s="855"/>
      <c r="D903" s="855"/>
      <c r="E903" s="855"/>
      <c r="F903" s="887"/>
    </row>
    <row r="904" spans="2:6">
      <c r="B904" s="855"/>
      <c r="C904" s="855"/>
      <c r="D904" s="855"/>
      <c r="E904" s="855"/>
      <c r="F904" s="887"/>
    </row>
    <row r="905" spans="2:6">
      <c r="B905" s="855"/>
      <c r="C905" s="855"/>
      <c r="D905" s="855"/>
      <c r="E905" s="855"/>
      <c r="F905" s="887"/>
    </row>
    <row r="906" spans="2:6">
      <c r="B906" s="855"/>
      <c r="C906" s="855"/>
      <c r="D906" s="855"/>
      <c r="E906" s="855"/>
      <c r="F906" s="887"/>
    </row>
    <row r="907" spans="2:6">
      <c r="B907" s="855"/>
      <c r="C907" s="855"/>
      <c r="D907" s="855"/>
      <c r="E907" s="855"/>
      <c r="F907" s="887"/>
    </row>
    <row r="908" spans="2:6">
      <c r="B908" s="855"/>
      <c r="C908" s="855"/>
      <c r="D908" s="855"/>
      <c r="E908" s="855"/>
      <c r="F908" s="887"/>
    </row>
    <row r="909" spans="2:6">
      <c r="B909" s="855"/>
      <c r="C909" s="855"/>
      <c r="D909" s="855"/>
      <c r="E909" s="855"/>
      <c r="F909" s="887"/>
    </row>
    <row r="910" spans="2:6">
      <c r="B910" s="855"/>
      <c r="C910" s="855"/>
      <c r="D910" s="855"/>
      <c r="E910" s="855"/>
      <c r="F910" s="887"/>
    </row>
    <row r="911" spans="2:6">
      <c r="B911" s="855"/>
      <c r="C911" s="855"/>
      <c r="D911" s="855"/>
      <c r="E911" s="855"/>
      <c r="F911" s="887"/>
    </row>
    <row r="912" spans="2:6">
      <c r="B912" s="855"/>
      <c r="C912" s="855"/>
      <c r="D912" s="855"/>
      <c r="E912" s="855"/>
      <c r="F912" s="887"/>
    </row>
    <row r="913" spans="2:6">
      <c r="B913" s="855"/>
      <c r="C913" s="855"/>
      <c r="D913" s="855"/>
      <c r="E913" s="855"/>
      <c r="F913" s="887"/>
    </row>
    <row r="914" spans="2:6">
      <c r="B914" s="855"/>
      <c r="C914" s="855"/>
      <c r="D914" s="855"/>
      <c r="E914" s="855"/>
      <c r="F914" s="887"/>
    </row>
    <row r="915" spans="2:6">
      <c r="B915" s="855"/>
      <c r="C915" s="855"/>
      <c r="D915" s="855"/>
      <c r="E915" s="855"/>
      <c r="F915" s="887"/>
    </row>
    <row r="916" spans="2:6">
      <c r="B916" s="855"/>
      <c r="C916" s="855"/>
      <c r="D916" s="855"/>
      <c r="E916" s="855"/>
      <c r="F916" s="887"/>
    </row>
    <row r="917" spans="2:6">
      <c r="B917" s="855"/>
      <c r="C917" s="855"/>
      <c r="D917" s="855"/>
      <c r="E917" s="855"/>
      <c r="F917" s="887"/>
    </row>
    <row r="918" spans="2:6">
      <c r="B918" s="855"/>
      <c r="C918" s="855"/>
      <c r="D918" s="855"/>
      <c r="E918" s="855"/>
      <c r="F918" s="887"/>
    </row>
    <row r="919" spans="2:6">
      <c r="B919" s="855"/>
      <c r="C919" s="855"/>
      <c r="D919" s="855"/>
      <c r="E919" s="855"/>
      <c r="F919" s="887"/>
    </row>
    <row r="920" spans="2:6">
      <c r="B920" s="855"/>
      <c r="C920" s="855"/>
      <c r="D920" s="855"/>
      <c r="E920" s="855"/>
      <c r="F920" s="887"/>
    </row>
    <row r="921" spans="2:6">
      <c r="B921" s="855"/>
      <c r="C921" s="855"/>
      <c r="D921" s="855"/>
      <c r="E921" s="855"/>
      <c r="F921" s="887"/>
    </row>
    <row r="922" spans="2:6">
      <c r="B922" s="855"/>
      <c r="C922" s="855"/>
      <c r="D922" s="855"/>
      <c r="E922" s="855"/>
      <c r="F922" s="887"/>
    </row>
    <row r="923" spans="2:6">
      <c r="B923" s="855"/>
      <c r="C923" s="855"/>
      <c r="D923" s="855"/>
      <c r="E923" s="855"/>
      <c r="F923" s="887"/>
    </row>
    <row r="924" spans="2:6">
      <c r="B924" s="855"/>
      <c r="C924" s="855"/>
      <c r="D924" s="855"/>
      <c r="E924" s="855"/>
      <c r="F924" s="887"/>
    </row>
    <row r="925" spans="2:6">
      <c r="B925" s="855"/>
      <c r="C925" s="855"/>
      <c r="D925" s="855"/>
      <c r="E925" s="855"/>
      <c r="F925" s="887"/>
    </row>
    <row r="926" spans="2:6">
      <c r="B926" s="855"/>
      <c r="C926" s="855"/>
      <c r="D926" s="855"/>
      <c r="E926" s="855"/>
      <c r="F926" s="887"/>
    </row>
    <row r="927" spans="2:6">
      <c r="B927" s="855"/>
      <c r="C927" s="855"/>
      <c r="D927" s="855"/>
      <c r="E927" s="855"/>
      <c r="F927" s="887"/>
    </row>
    <row r="928" spans="2:6">
      <c r="B928" s="855"/>
      <c r="C928" s="855"/>
      <c r="D928" s="855"/>
      <c r="E928" s="855"/>
      <c r="F928" s="887"/>
    </row>
    <row r="929" spans="2:6">
      <c r="B929" s="855"/>
      <c r="C929" s="855"/>
      <c r="D929" s="855"/>
      <c r="E929" s="855"/>
      <c r="F929" s="887"/>
    </row>
    <row r="930" spans="2:6">
      <c r="B930" s="855"/>
      <c r="C930" s="855"/>
      <c r="D930" s="855"/>
      <c r="E930" s="855"/>
      <c r="F930" s="887"/>
    </row>
    <row r="931" spans="2:6">
      <c r="B931" s="855"/>
      <c r="C931" s="855"/>
      <c r="D931" s="855"/>
      <c r="E931" s="855"/>
      <c r="F931" s="887"/>
    </row>
    <row r="932" spans="2:6">
      <c r="B932" s="855"/>
      <c r="C932" s="855"/>
      <c r="D932" s="855"/>
      <c r="E932" s="855"/>
      <c r="F932" s="887"/>
    </row>
    <row r="933" spans="2:6">
      <c r="B933" s="855"/>
      <c r="C933" s="855"/>
      <c r="D933" s="855"/>
      <c r="E933" s="855"/>
      <c r="F933" s="887"/>
    </row>
    <row r="934" spans="2:6">
      <c r="B934" s="855"/>
      <c r="C934" s="855"/>
      <c r="D934" s="855"/>
      <c r="E934" s="855"/>
      <c r="F934" s="887"/>
    </row>
    <row r="935" spans="2:6">
      <c r="B935" s="855"/>
      <c r="C935" s="855"/>
      <c r="D935" s="855"/>
      <c r="E935" s="855"/>
      <c r="F935" s="887"/>
    </row>
    <row r="936" spans="2:6">
      <c r="B936" s="855"/>
      <c r="C936" s="855"/>
      <c r="D936" s="855"/>
      <c r="E936" s="855"/>
      <c r="F936" s="887"/>
    </row>
    <row r="937" spans="2:6">
      <c r="B937" s="855"/>
      <c r="C937" s="855"/>
      <c r="D937" s="855"/>
      <c r="E937" s="855"/>
      <c r="F937" s="887"/>
    </row>
    <row r="938" spans="2:6">
      <c r="B938" s="855"/>
      <c r="C938" s="855"/>
      <c r="D938" s="855"/>
      <c r="E938" s="855"/>
      <c r="F938" s="887"/>
    </row>
    <row r="939" spans="2:6">
      <c r="B939" s="855"/>
      <c r="C939" s="855"/>
      <c r="D939" s="855"/>
      <c r="E939" s="855"/>
      <c r="F939" s="887"/>
    </row>
    <row r="940" spans="2:6">
      <c r="B940" s="855"/>
      <c r="C940" s="855"/>
      <c r="D940" s="855"/>
      <c r="E940" s="855"/>
      <c r="F940" s="887"/>
    </row>
    <row r="941" spans="2:6">
      <c r="B941" s="855"/>
      <c r="C941" s="855"/>
      <c r="D941" s="855"/>
      <c r="E941" s="855"/>
      <c r="F941" s="887"/>
    </row>
    <row r="942" spans="2:6">
      <c r="B942" s="855"/>
      <c r="C942" s="855"/>
      <c r="D942" s="855"/>
      <c r="E942" s="855"/>
      <c r="F942" s="887"/>
    </row>
    <row r="943" spans="2:6">
      <c r="B943" s="855"/>
      <c r="C943" s="855"/>
      <c r="D943" s="855"/>
      <c r="E943" s="855"/>
      <c r="F943" s="887"/>
    </row>
    <row r="944" spans="2:6">
      <c r="B944" s="855"/>
      <c r="C944" s="855"/>
      <c r="D944" s="855"/>
      <c r="E944" s="855"/>
      <c r="F944" s="887"/>
    </row>
    <row r="945" spans="2:6">
      <c r="B945" s="855"/>
      <c r="C945" s="855"/>
      <c r="D945" s="855"/>
      <c r="E945" s="855"/>
      <c r="F945" s="887"/>
    </row>
    <row r="946" spans="2:6">
      <c r="B946" s="855"/>
      <c r="C946" s="855"/>
      <c r="D946" s="855"/>
      <c r="E946" s="855"/>
      <c r="F946" s="887"/>
    </row>
    <row r="947" spans="2:6">
      <c r="B947" s="855"/>
      <c r="C947" s="855"/>
      <c r="D947" s="855"/>
      <c r="E947" s="855"/>
      <c r="F947" s="887"/>
    </row>
    <row r="948" spans="2:6">
      <c r="B948" s="855"/>
      <c r="C948" s="855"/>
      <c r="D948" s="855"/>
      <c r="E948" s="855"/>
      <c r="F948" s="887"/>
    </row>
    <row r="949" spans="2:6">
      <c r="B949" s="855"/>
      <c r="C949" s="855"/>
      <c r="D949" s="855"/>
      <c r="E949" s="855"/>
      <c r="F949" s="887"/>
    </row>
    <row r="950" spans="2:6">
      <c r="B950" s="855"/>
      <c r="C950" s="855"/>
      <c r="D950" s="855"/>
      <c r="E950" s="855"/>
      <c r="F950" s="887"/>
    </row>
    <row r="951" spans="2:6">
      <c r="B951" s="855"/>
      <c r="C951" s="855"/>
      <c r="D951" s="855"/>
      <c r="E951" s="855"/>
      <c r="F951" s="887"/>
    </row>
    <row r="952" spans="2:6">
      <c r="B952" s="855"/>
      <c r="C952" s="855"/>
      <c r="D952" s="855"/>
      <c r="E952" s="855"/>
      <c r="F952" s="887"/>
    </row>
    <row r="953" spans="2:6">
      <c r="B953" s="855"/>
      <c r="C953" s="855"/>
      <c r="D953" s="855"/>
      <c r="E953" s="855"/>
      <c r="F953" s="887"/>
    </row>
    <row r="954" spans="2:6">
      <c r="B954" s="855"/>
      <c r="C954" s="855"/>
      <c r="D954" s="855"/>
      <c r="E954" s="855"/>
      <c r="F954" s="887"/>
    </row>
    <row r="955" spans="2:6">
      <c r="B955" s="855"/>
      <c r="C955" s="855"/>
      <c r="D955" s="855"/>
      <c r="E955" s="855"/>
      <c r="F955" s="887"/>
    </row>
    <row r="956" spans="2:6">
      <c r="B956" s="855"/>
      <c r="C956" s="855"/>
      <c r="D956" s="855"/>
      <c r="E956" s="855"/>
      <c r="F956" s="887"/>
    </row>
    <row r="957" spans="2:6">
      <c r="B957" s="855"/>
      <c r="C957" s="855"/>
      <c r="D957" s="855"/>
      <c r="E957" s="855"/>
      <c r="F957" s="887"/>
    </row>
    <row r="958" spans="2:6">
      <c r="B958" s="855"/>
      <c r="C958" s="855"/>
      <c r="D958" s="855"/>
      <c r="E958" s="855"/>
      <c r="F958" s="887"/>
    </row>
    <row r="959" spans="2:6">
      <c r="B959" s="855"/>
      <c r="C959" s="855"/>
      <c r="D959" s="855"/>
      <c r="E959" s="855"/>
      <c r="F959" s="887"/>
    </row>
    <row r="960" spans="2:6">
      <c r="B960" s="855"/>
      <c r="C960" s="855"/>
      <c r="D960" s="855"/>
      <c r="E960" s="855"/>
      <c r="F960" s="887"/>
    </row>
    <row r="961" spans="2:6">
      <c r="B961" s="855"/>
      <c r="C961" s="855"/>
      <c r="D961" s="855"/>
      <c r="E961" s="855"/>
      <c r="F961" s="887"/>
    </row>
    <row r="962" spans="2:6">
      <c r="B962" s="855"/>
      <c r="C962" s="855"/>
      <c r="D962" s="855"/>
      <c r="E962" s="855"/>
      <c r="F962" s="887"/>
    </row>
    <row r="963" spans="2:6">
      <c r="B963" s="855"/>
      <c r="C963" s="855"/>
      <c r="D963" s="855"/>
      <c r="E963" s="855"/>
      <c r="F963" s="887"/>
    </row>
    <row r="964" spans="2:6">
      <c r="B964" s="855"/>
      <c r="C964" s="855"/>
      <c r="D964" s="855"/>
      <c r="E964" s="855"/>
      <c r="F964" s="887"/>
    </row>
    <row r="965" spans="2:6">
      <c r="B965" s="855"/>
      <c r="C965" s="855"/>
      <c r="D965" s="855"/>
      <c r="E965" s="855"/>
      <c r="F965" s="887"/>
    </row>
    <row r="966" spans="2:6">
      <c r="B966" s="855"/>
      <c r="C966" s="855"/>
      <c r="D966" s="855"/>
      <c r="E966" s="855"/>
      <c r="F966" s="887"/>
    </row>
    <row r="967" spans="2:6">
      <c r="B967" s="855"/>
      <c r="C967" s="855"/>
      <c r="D967" s="855"/>
      <c r="E967" s="855"/>
      <c r="F967" s="887"/>
    </row>
    <row r="968" spans="2:6">
      <c r="B968" s="855"/>
      <c r="C968" s="855"/>
      <c r="D968" s="855"/>
      <c r="E968" s="855"/>
      <c r="F968" s="887"/>
    </row>
    <row r="969" spans="2:6">
      <c r="B969" s="855"/>
      <c r="C969" s="855"/>
      <c r="D969" s="855"/>
      <c r="E969" s="855"/>
      <c r="F969" s="887"/>
    </row>
    <row r="970" spans="2:6">
      <c r="B970" s="855"/>
      <c r="C970" s="855"/>
      <c r="D970" s="855"/>
      <c r="E970" s="855"/>
      <c r="F970" s="887"/>
    </row>
    <row r="971" spans="2:6">
      <c r="B971" s="855"/>
      <c r="C971" s="855"/>
      <c r="D971" s="855"/>
      <c r="E971" s="855"/>
      <c r="F971" s="887"/>
    </row>
    <row r="972" spans="2:6">
      <c r="B972" s="855"/>
      <c r="C972" s="855"/>
      <c r="D972" s="855"/>
      <c r="E972" s="855"/>
      <c r="F972" s="887"/>
    </row>
    <row r="973" spans="2:6">
      <c r="B973" s="855"/>
      <c r="C973" s="855"/>
      <c r="D973" s="855"/>
      <c r="E973" s="855"/>
      <c r="F973" s="887"/>
    </row>
    <row r="974" spans="2:6">
      <c r="B974" s="855"/>
      <c r="C974" s="855"/>
      <c r="D974" s="855"/>
      <c r="E974" s="855"/>
      <c r="F974" s="887"/>
    </row>
    <row r="975" spans="2:6">
      <c r="B975" s="855"/>
      <c r="C975" s="855"/>
      <c r="D975" s="855"/>
      <c r="E975" s="855"/>
      <c r="F975" s="887"/>
    </row>
    <row r="976" spans="2:6">
      <c r="B976" s="855"/>
      <c r="C976" s="855"/>
      <c r="D976" s="855"/>
      <c r="E976" s="855"/>
      <c r="F976" s="887"/>
    </row>
    <row r="977" spans="2:6">
      <c r="B977" s="855"/>
      <c r="C977" s="855"/>
      <c r="D977" s="855"/>
      <c r="E977" s="855"/>
      <c r="F977" s="887"/>
    </row>
    <row r="978" spans="2:6">
      <c r="B978" s="855"/>
      <c r="C978" s="855"/>
      <c r="D978" s="855"/>
      <c r="E978" s="855"/>
      <c r="F978" s="887"/>
    </row>
    <row r="979" spans="2:6">
      <c r="B979" s="855"/>
      <c r="C979" s="855"/>
      <c r="D979" s="855"/>
      <c r="E979" s="855"/>
      <c r="F979" s="887"/>
    </row>
    <row r="980" spans="2:6">
      <c r="B980" s="855"/>
      <c r="C980" s="855"/>
      <c r="D980" s="855"/>
      <c r="E980" s="855"/>
      <c r="F980" s="887"/>
    </row>
    <row r="981" spans="2:6">
      <c r="B981" s="855"/>
      <c r="C981" s="855"/>
      <c r="D981" s="855"/>
      <c r="E981" s="855"/>
      <c r="F981" s="887"/>
    </row>
    <row r="982" spans="2:6">
      <c r="B982" s="855"/>
      <c r="C982" s="855"/>
      <c r="D982" s="855"/>
      <c r="E982" s="855"/>
      <c r="F982" s="887"/>
    </row>
    <row r="983" spans="2:6">
      <c r="B983" s="855"/>
      <c r="C983" s="855"/>
      <c r="D983" s="855"/>
      <c r="E983" s="855"/>
      <c r="F983" s="887"/>
    </row>
    <row r="984" spans="2:6">
      <c r="B984" s="855"/>
      <c r="C984" s="855"/>
      <c r="D984" s="855"/>
      <c r="E984" s="855"/>
      <c r="F984" s="887"/>
    </row>
    <row r="985" spans="2:6">
      <c r="B985" s="855"/>
      <c r="C985" s="855"/>
      <c r="D985" s="855"/>
      <c r="E985" s="855"/>
      <c r="F985" s="887"/>
    </row>
    <row r="986" spans="2:6">
      <c r="B986" s="855"/>
      <c r="C986" s="855"/>
      <c r="D986" s="855"/>
      <c r="E986" s="855"/>
      <c r="F986" s="887"/>
    </row>
    <row r="987" spans="2:6">
      <c r="B987" s="855"/>
      <c r="C987" s="855"/>
      <c r="D987" s="855"/>
      <c r="E987" s="855"/>
      <c r="F987" s="887"/>
    </row>
    <row r="988" spans="2:6">
      <c r="B988" s="855"/>
      <c r="C988" s="855"/>
      <c r="D988" s="855"/>
      <c r="E988" s="855"/>
      <c r="F988" s="887"/>
    </row>
    <row r="989" spans="2:6">
      <c r="B989" s="855"/>
      <c r="C989" s="855"/>
      <c r="D989" s="855"/>
      <c r="E989" s="855"/>
      <c r="F989" s="887"/>
    </row>
    <row r="990" spans="2:6">
      <c r="B990" s="855"/>
      <c r="C990" s="855"/>
      <c r="D990" s="855"/>
      <c r="E990" s="855"/>
      <c r="F990" s="887"/>
    </row>
    <row r="991" spans="2:6">
      <c r="B991" s="855"/>
      <c r="C991" s="855"/>
      <c r="D991" s="855"/>
      <c r="E991" s="855"/>
      <c r="F991" s="887"/>
    </row>
    <row r="992" spans="2:6">
      <c r="B992" s="855"/>
      <c r="C992" s="855"/>
      <c r="D992" s="855"/>
      <c r="E992" s="855"/>
      <c r="F992" s="887"/>
    </row>
    <row r="993" spans="2:6">
      <c r="B993" s="855"/>
      <c r="C993" s="855"/>
      <c r="D993" s="855"/>
      <c r="E993" s="855"/>
      <c r="F993" s="887"/>
    </row>
    <row r="994" spans="2:6">
      <c r="B994" s="855"/>
      <c r="C994" s="855"/>
      <c r="D994" s="855"/>
      <c r="E994" s="855"/>
      <c r="F994" s="887"/>
    </row>
    <row r="995" spans="2:6">
      <c r="B995" s="855"/>
      <c r="C995" s="855"/>
      <c r="D995" s="855"/>
      <c r="E995" s="855"/>
      <c r="F995" s="887"/>
    </row>
    <row r="996" spans="2:6">
      <c r="B996" s="855"/>
      <c r="C996" s="855"/>
      <c r="D996" s="855"/>
      <c r="E996" s="855"/>
      <c r="F996" s="887"/>
    </row>
    <row r="997" spans="2:6">
      <c r="B997" s="855"/>
      <c r="C997" s="855"/>
      <c r="D997" s="855"/>
      <c r="E997" s="855"/>
      <c r="F997" s="887"/>
    </row>
    <row r="998" spans="2:6">
      <c r="B998" s="855"/>
      <c r="C998" s="855"/>
      <c r="D998" s="855"/>
      <c r="E998" s="855"/>
      <c r="F998" s="887"/>
    </row>
    <row r="999" spans="2:6">
      <c r="B999" s="855"/>
      <c r="C999" s="855"/>
      <c r="D999" s="855"/>
      <c r="E999" s="855"/>
      <c r="F999" s="887"/>
    </row>
    <row r="1000" spans="2:6">
      <c r="B1000" s="855"/>
      <c r="C1000" s="855"/>
      <c r="D1000" s="855"/>
      <c r="E1000" s="855"/>
      <c r="F1000" s="88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88" t="s">
        <v>1963</v>
      </c>
      <c r="B1" s="888" t="s">
        <v>2</v>
      </c>
      <c r="C1" s="888" t="s">
        <v>4</v>
      </c>
      <c r="D1" s="888" t="s">
        <v>5</v>
      </c>
      <c r="E1" s="525" t="s">
        <v>8</v>
      </c>
      <c r="F1" s="525" t="s">
        <v>9</v>
      </c>
      <c r="G1" s="526" t="s">
        <v>1964</v>
      </c>
      <c r="H1" s="525" t="s">
        <v>11</v>
      </c>
      <c r="I1" s="529" t="s">
        <v>1551</v>
      </c>
      <c r="J1" s="527" t="s">
        <v>14</v>
      </c>
      <c r="K1" s="528" t="s">
        <v>15</v>
      </c>
      <c r="L1" s="529" t="s">
        <v>1965</v>
      </c>
      <c r="M1" s="436"/>
      <c r="N1" s="436"/>
      <c r="O1" s="436"/>
      <c r="P1" s="436"/>
      <c r="Q1" s="436"/>
      <c r="R1" s="436"/>
      <c r="S1" s="436"/>
      <c r="T1" s="436"/>
      <c r="U1" s="436"/>
      <c r="V1" s="436"/>
      <c r="W1" s="436"/>
      <c r="X1" s="436"/>
      <c r="Y1" s="436"/>
      <c r="Z1" s="436"/>
    </row>
    <row r="2" spans="1:26" ht="38.25">
      <c r="A2" s="565" t="s">
        <v>1973</v>
      </c>
      <c r="B2" s="545" t="s">
        <v>2948</v>
      </c>
      <c r="C2" s="532"/>
      <c r="D2" s="532" t="s">
        <v>76</v>
      </c>
      <c r="E2" s="534">
        <v>45567</v>
      </c>
      <c r="F2" s="534">
        <v>45567</v>
      </c>
      <c r="G2" s="534">
        <v>45568</v>
      </c>
      <c r="H2" s="534">
        <v>45569</v>
      </c>
      <c r="I2" s="536">
        <f ca="1">IF(ISBLANK(H2), NETWORKDAYS(F2, TODAY(),fESTIVOS!$A$1:$A$18), NETWORKDAYS(F2, H2, fESTIVOS!$A$1:$A$18))</f>
        <v>3</v>
      </c>
      <c r="J2" s="534">
        <v>45572</v>
      </c>
      <c r="K2" s="533"/>
      <c r="L2" s="537" t="s">
        <v>2949</v>
      </c>
      <c r="M2" s="436"/>
      <c r="N2" s="436"/>
      <c r="O2" s="436"/>
      <c r="P2" s="436"/>
      <c r="Q2" s="436"/>
      <c r="R2" s="436"/>
      <c r="S2" s="436"/>
      <c r="T2" s="436"/>
      <c r="U2" s="436"/>
      <c r="V2" s="436"/>
      <c r="W2" s="436"/>
      <c r="X2" s="436"/>
      <c r="Y2" s="436"/>
      <c r="Z2" s="436"/>
    </row>
    <row r="3" spans="1:26" ht="51">
      <c r="A3" s="565" t="s">
        <v>2088</v>
      </c>
      <c r="B3" s="894" t="s">
        <v>2296</v>
      </c>
      <c r="C3" s="541" t="s">
        <v>2297</v>
      </c>
      <c r="D3" s="532" t="s">
        <v>232</v>
      </c>
      <c r="E3" s="534">
        <v>45575</v>
      </c>
      <c r="F3" s="534"/>
      <c r="G3" s="534"/>
      <c r="H3" s="533">
        <v>0</v>
      </c>
      <c r="I3" s="536">
        <f ca="1">IF(ISBLANK(H3), NETWORKDAYS(F3, TODAY(),fESTIVOS!$A$1:$A$18), NETWORKDAYS(F3, H3, fESTIVOS!$A$1:$A$18))</f>
        <v>0</v>
      </c>
      <c r="J3" s="534">
        <v>45569</v>
      </c>
      <c r="K3" s="534"/>
      <c r="L3" s="537" t="s">
        <v>2950</v>
      </c>
      <c r="M3" s="889"/>
      <c r="N3" s="436"/>
      <c r="O3" s="436"/>
      <c r="P3" s="436"/>
      <c r="Q3" s="436"/>
      <c r="R3" s="436"/>
      <c r="S3" s="436"/>
      <c r="T3" s="436"/>
      <c r="U3" s="436"/>
      <c r="V3" s="436"/>
      <c r="W3" s="436"/>
      <c r="X3" s="436"/>
      <c r="Y3" s="436"/>
      <c r="Z3" s="436"/>
    </row>
    <row r="4" spans="1:26" ht="51">
      <c r="A4" s="565" t="s">
        <v>2088</v>
      </c>
      <c r="B4" s="893"/>
      <c r="C4" s="569" t="s">
        <v>2951</v>
      </c>
      <c r="D4" s="532" t="s">
        <v>232</v>
      </c>
      <c r="E4" s="534">
        <v>45575</v>
      </c>
      <c r="F4" s="558"/>
      <c r="G4" s="558"/>
      <c r="H4" s="560">
        <v>0</v>
      </c>
      <c r="I4" s="559">
        <f ca="1">IF(ISBLANK(H4), NETWORKDAYS(F4, TODAY(),fESTIVOS!$A$1:$A$18), NETWORKDAYS(F4, H4, fESTIVOS!$A$1:$A$18))</f>
        <v>0</v>
      </c>
      <c r="J4" s="558">
        <v>45569</v>
      </c>
      <c r="K4" s="558"/>
      <c r="L4" s="561" t="s">
        <v>2300</v>
      </c>
      <c r="M4" s="889"/>
      <c r="N4" s="436"/>
      <c r="O4" s="436"/>
      <c r="P4" s="436"/>
      <c r="Q4" s="436"/>
      <c r="R4" s="436"/>
      <c r="S4" s="436"/>
      <c r="T4" s="436"/>
      <c r="U4" s="436"/>
      <c r="V4" s="436"/>
      <c r="W4" s="436"/>
      <c r="X4" s="436"/>
      <c r="Y4" s="436"/>
      <c r="Z4" s="436"/>
    </row>
    <row r="5" spans="1:26" ht="51">
      <c r="A5" s="565" t="s">
        <v>2088</v>
      </c>
      <c r="B5" s="529" t="s">
        <v>2227</v>
      </c>
      <c r="C5" s="532" t="s">
        <v>2301</v>
      </c>
      <c r="D5" s="532" t="s">
        <v>232</v>
      </c>
      <c r="E5" s="534">
        <v>45575</v>
      </c>
      <c r="F5" s="534"/>
      <c r="G5" s="534"/>
      <c r="H5" s="533">
        <v>0</v>
      </c>
      <c r="I5" s="536">
        <f ca="1">IF(ISBLANK(H5), NETWORKDAYS(F5, TODAY(),fESTIVOS!$A$1:$A$18), NETWORKDAYS(F5, H5, fESTIVOS!$A$1:$A$18))</f>
        <v>0</v>
      </c>
      <c r="J5" s="534">
        <v>45569</v>
      </c>
      <c r="K5" s="534"/>
      <c r="L5" s="537" t="s">
        <v>2300</v>
      </c>
      <c r="M5" s="889"/>
      <c r="N5" s="436"/>
      <c r="O5" s="436"/>
      <c r="P5" s="436"/>
      <c r="Q5" s="436"/>
      <c r="R5" s="436"/>
      <c r="S5" s="436"/>
      <c r="T5" s="436"/>
      <c r="U5" s="436"/>
      <c r="V5" s="436"/>
      <c r="W5" s="436"/>
      <c r="X5" s="436"/>
      <c r="Y5" s="436"/>
      <c r="Z5" s="436"/>
    </row>
    <row r="6" spans="1:26">
      <c r="A6" s="446"/>
      <c r="B6" s="446"/>
      <c r="C6" s="446"/>
      <c r="D6" s="446"/>
      <c r="E6" s="446"/>
      <c r="F6" s="446"/>
      <c r="G6" s="446"/>
      <c r="H6" s="446"/>
      <c r="I6" s="446"/>
      <c r="J6" s="446"/>
      <c r="K6" s="446"/>
      <c r="L6" s="446"/>
      <c r="M6" s="446"/>
      <c r="N6" s="446"/>
      <c r="O6" s="446"/>
      <c r="P6" s="446"/>
      <c r="Q6" s="446"/>
      <c r="R6" s="446"/>
      <c r="S6" s="446"/>
      <c r="T6" s="446"/>
      <c r="U6" s="446"/>
      <c r="V6" s="446"/>
      <c r="W6" s="446"/>
      <c r="X6" s="446"/>
      <c r="Y6" s="446"/>
      <c r="Z6" s="446"/>
    </row>
    <row r="7" spans="1:26">
      <c r="A7" s="446"/>
      <c r="B7" s="446"/>
      <c r="C7" s="446"/>
      <c r="D7" s="446"/>
      <c r="E7" s="446"/>
      <c r="F7" s="446"/>
      <c r="G7" s="446"/>
      <c r="H7" s="446"/>
      <c r="I7" s="446"/>
      <c r="J7" s="446"/>
      <c r="K7" s="446"/>
      <c r="L7" s="446"/>
      <c r="M7" s="446"/>
      <c r="N7" s="446"/>
      <c r="O7" s="446"/>
      <c r="P7" s="446"/>
      <c r="Q7" s="446"/>
      <c r="R7" s="446"/>
      <c r="S7" s="446"/>
      <c r="T7" s="446"/>
      <c r="U7" s="446"/>
      <c r="V7" s="446"/>
      <c r="W7" s="446"/>
      <c r="X7" s="446"/>
      <c r="Y7" s="446"/>
      <c r="Z7" s="446"/>
    </row>
    <row r="8" spans="1:26">
      <c r="A8" s="446"/>
      <c r="B8" s="446"/>
      <c r="C8" s="446"/>
      <c r="D8" s="446"/>
      <c r="E8" s="446"/>
      <c r="F8" s="446"/>
      <c r="G8" s="446"/>
      <c r="H8" s="446"/>
      <c r="I8" s="446"/>
      <c r="J8" s="446"/>
      <c r="K8" s="446"/>
      <c r="L8" s="446"/>
      <c r="M8" s="446"/>
      <c r="N8" s="446"/>
      <c r="O8" s="446"/>
      <c r="P8" s="446"/>
      <c r="Q8" s="446"/>
      <c r="R8" s="446"/>
      <c r="S8" s="446"/>
      <c r="T8" s="446"/>
      <c r="U8" s="446"/>
      <c r="V8" s="446"/>
      <c r="W8" s="446"/>
      <c r="X8" s="446"/>
      <c r="Y8" s="446"/>
      <c r="Z8" s="446"/>
    </row>
    <row r="9" spans="1:26">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row>
    <row r="10" spans="1:26">
      <c r="A10" s="446"/>
      <c r="B10" s="446"/>
      <c r="C10" s="446"/>
      <c r="D10" s="446"/>
      <c r="E10" s="446"/>
      <c r="F10" s="446"/>
      <c r="G10" s="446"/>
      <c r="H10" s="446"/>
      <c r="I10" s="446"/>
      <c r="J10" s="446"/>
      <c r="K10" s="446"/>
      <c r="L10" s="446"/>
      <c r="M10" s="446"/>
      <c r="N10" s="446"/>
      <c r="O10" s="446"/>
      <c r="P10" s="446"/>
      <c r="Q10" s="446"/>
      <c r="R10" s="446"/>
      <c r="S10" s="446"/>
      <c r="T10" s="446"/>
      <c r="U10" s="446"/>
      <c r="V10" s="446"/>
      <c r="W10" s="446"/>
      <c r="X10" s="446"/>
      <c r="Y10" s="446"/>
      <c r="Z10" s="446"/>
    </row>
    <row r="11" spans="1:26">
      <c r="A11" s="446"/>
      <c r="B11" s="446"/>
      <c r="C11" s="446"/>
      <c r="D11" s="446"/>
      <c r="E11" s="446"/>
      <c r="F11" s="446"/>
      <c r="G11" s="446"/>
      <c r="H11" s="446"/>
      <c r="I11" s="446"/>
      <c r="J11" s="446"/>
      <c r="K11" s="446"/>
      <c r="L11" s="446"/>
      <c r="M11" s="446"/>
      <c r="N11" s="446"/>
      <c r="O11" s="446"/>
      <c r="P11" s="446"/>
      <c r="Q11" s="446"/>
      <c r="R11" s="446"/>
      <c r="S11" s="446"/>
      <c r="T11" s="446"/>
      <c r="U11" s="446"/>
      <c r="V11" s="446"/>
      <c r="W11" s="446"/>
      <c r="X11" s="446"/>
      <c r="Y11" s="446"/>
      <c r="Z11" s="446"/>
    </row>
    <row r="12" spans="1:26">
      <c r="A12" s="446"/>
      <c r="B12" s="446"/>
      <c r="C12" s="446"/>
      <c r="D12" s="446"/>
      <c r="E12" s="446"/>
      <c r="F12" s="446"/>
      <c r="G12" s="446"/>
      <c r="H12" s="446"/>
      <c r="I12" s="446"/>
      <c r="J12" s="446"/>
      <c r="K12" s="446"/>
      <c r="L12" s="446"/>
      <c r="M12" s="446"/>
      <c r="N12" s="446"/>
      <c r="O12" s="446"/>
      <c r="P12" s="446"/>
      <c r="Q12" s="446"/>
      <c r="R12" s="446"/>
      <c r="S12" s="446"/>
      <c r="T12" s="446"/>
      <c r="U12" s="446"/>
      <c r="V12" s="446"/>
      <c r="W12" s="446"/>
      <c r="X12" s="446"/>
      <c r="Y12" s="446"/>
      <c r="Z12" s="446"/>
    </row>
    <row r="13" spans="1:26">
      <c r="A13" s="446"/>
      <c r="B13" s="446"/>
      <c r="C13" s="446"/>
      <c r="D13" s="446"/>
      <c r="E13" s="446"/>
      <c r="F13" s="446"/>
      <c r="G13" s="446"/>
      <c r="H13" s="446"/>
      <c r="I13" s="446"/>
      <c r="J13" s="446"/>
      <c r="K13" s="446"/>
      <c r="L13" s="446"/>
      <c r="M13" s="446"/>
      <c r="N13" s="446"/>
      <c r="O13" s="446"/>
      <c r="P13" s="446"/>
      <c r="Q13" s="446"/>
      <c r="R13" s="446"/>
      <c r="S13" s="446"/>
      <c r="T13" s="446"/>
      <c r="U13" s="446"/>
      <c r="V13" s="446"/>
      <c r="W13" s="446"/>
      <c r="X13" s="446"/>
      <c r="Y13" s="446"/>
      <c r="Z13" s="446"/>
    </row>
    <row r="14" spans="1:26">
      <c r="A14" s="446"/>
      <c r="B14" s="446"/>
      <c r="C14" s="446"/>
      <c r="D14" s="446"/>
      <c r="E14" s="446"/>
      <c r="F14" s="446"/>
      <c r="G14" s="446"/>
      <c r="H14" s="446"/>
      <c r="I14" s="446"/>
      <c r="J14" s="446"/>
      <c r="K14" s="446"/>
      <c r="L14" s="446"/>
      <c r="M14" s="446"/>
      <c r="N14" s="446"/>
      <c r="O14" s="446"/>
      <c r="P14" s="446"/>
      <c r="Q14" s="446"/>
      <c r="R14" s="446"/>
      <c r="S14" s="446"/>
      <c r="T14" s="446"/>
      <c r="U14" s="446"/>
      <c r="V14" s="446"/>
      <c r="W14" s="446"/>
      <c r="X14" s="446"/>
      <c r="Y14" s="446"/>
      <c r="Z14" s="446"/>
    </row>
    <row r="15" spans="1:26">
      <c r="A15" s="446"/>
      <c r="B15" s="446"/>
      <c r="C15" s="446"/>
      <c r="D15" s="446"/>
      <c r="E15" s="446"/>
      <c r="F15" s="446"/>
      <c r="G15" s="446"/>
      <c r="H15" s="446"/>
      <c r="I15" s="446"/>
      <c r="J15" s="446"/>
      <c r="K15" s="446"/>
      <c r="L15" s="446"/>
      <c r="M15" s="446"/>
      <c r="N15" s="446"/>
      <c r="O15" s="446"/>
      <c r="P15" s="446"/>
      <c r="Q15" s="446"/>
      <c r="R15" s="446"/>
      <c r="S15" s="446"/>
      <c r="T15" s="446"/>
      <c r="U15" s="446"/>
      <c r="V15" s="446"/>
      <c r="W15" s="446"/>
      <c r="X15" s="446"/>
      <c r="Y15" s="446"/>
      <c r="Z15" s="446"/>
    </row>
    <row r="16" spans="1:26">
      <c r="A16" s="446"/>
      <c r="B16" s="446"/>
      <c r="C16" s="446"/>
      <c r="D16" s="446"/>
      <c r="E16" s="446"/>
      <c r="F16" s="446"/>
      <c r="G16" s="446"/>
      <c r="H16" s="446"/>
      <c r="I16" s="446"/>
      <c r="J16" s="446"/>
      <c r="K16" s="446"/>
      <c r="L16" s="446"/>
      <c r="M16" s="446"/>
      <c r="N16" s="446"/>
      <c r="O16" s="446"/>
      <c r="P16" s="446"/>
      <c r="Q16" s="446"/>
      <c r="R16" s="446"/>
      <c r="S16" s="446"/>
      <c r="T16" s="446"/>
      <c r="U16" s="446"/>
      <c r="V16" s="446"/>
      <c r="W16" s="446"/>
      <c r="X16" s="446"/>
      <c r="Y16" s="446"/>
      <c r="Z16" s="446"/>
    </row>
    <row r="17" spans="1:26">
      <c r="A17" s="446"/>
      <c r="B17" s="446"/>
      <c r="C17" s="446"/>
      <c r="D17" s="446"/>
      <c r="E17" s="446"/>
      <c r="F17" s="446"/>
      <c r="G17" s="446"/>
      <c r="H17" s="446"/>
      <c r="I17" s="446"/>
      <c r="J17" s="446"/>
      <c r="K17" s="446"/>
      <c r="L17" s="446"/>
      <c r="M17" s="446"/>
      <c r="N17" s="446"/>
      <c r="O17" s="446"/>
      <c r="P17" s="446"/>
      <c r="Q17" s="446"/>
      <c r="R17" s="446"/>
      <c r="S17" s="446"/>
      <c r="T17" s="446"/>
      <c r="U17" s="446"/>
      <c r="V17" s="446"/>
      <c r="W17" s="446"/>
      <c r="X17" s="446"/>
      <c r="Y17" s="446"/>
      <c r="Z17" s="446"/>
    </row>
    <row r="18" spans="1:26">
      <c r="A18" s="446"/>
      <c r="B18" s="446"/>
      <c r="C18" s="446"/>
      <c r="D18" s="446"/>
      <c r="E18" s="446"/>
      <c r="F18" s="446"/>
      <c r="G18" s="446"/>
      <c r="H18" s="446"/>
      <c r="I18" s="446"/>
      <c r="J18" s="446"/>
      <c r="K18" s="446"/>
      <c r="L18" s="446"/>
      <c r="M18" s="446"/>
      <c r="N18" s="446"/>
      <c r="O18" s="446"/>
      <c r="P18" s="446"/>
      <c r="Q18" s="446"/>
      <c r="R18" s="446"/>
      <c r="S18" s="446"/>
      <c r="T18" s="446"/>
      <c r="U18" s="446"/>
      <c r="V18" s="446"/>
      <c r="W18" s="446"/>
      <c r="X18" s="446"/>
      <c r="Y18" s="446"/>
      <c r="Z18" s="446"/>
    </row>
    <row r="19" spans="1:26">
      <c r="A19" s="446"/>
      <c r="B19" s="446"/>
      <c r="C19" s="446"/>
      <c r="D19" s="446"/>
      <c r="E19" s="446"/>
      <c r="F19" s="446"/>
      <c r="G19" s="446"/>
      <c r="H19" s="446"/>
      <c r="I19" s="446"/>
      <c r="J19" s="446"/>
      <c r="K19" s="446"/>
      <c r="L19" s="446"/>
      <c r="M19" s="446"/>
      <c r="N19" s="446"/>
      <c r="O19" s="446"/>
      <c r="P19" s="446"/>
      <c r="Q19" s="446"/>
      <c r="R19" s="446"/>
      <c r="S19" s="446"/>
      <c r="T19" s="446"/>
      <c r="U19" s="446"/>
      <c r="V19" s="446"/>
      <c r="W19" s="446"/>
      <c r="X19" s="446"/>
      <c r="Y19" s="446"/>
      <c r="Z19" s="446"/>
    </row>
    <row r="20" spans="1:26">
      <c r="A20" s="446"/>
      <c r="B20" s="446"/>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row>
    <row r="21" spans="1:26" ht="15.75" customHeight="1">
      <c r="A21" s="446"/>
      <c r="B21" s="446"/>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row>
    <row r="22" spans="1:26" ht="15.75" customHeight="1">
      <c r="A22" s="446"/>
      <c r="B22" s="446"/>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row>
    <row r="23" spans="1:26" ht="15.75" customHeight="1">
      <c r="A23" s="446"/>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row>
    <row r="24" spans="1:26" ht="15.75" customHeight="1">
      <c r="A24" s="446"/>
      <c r="B24" s="446"/>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row>
    <row r="25" spans="1:26" ht="15.75" customHeight="1">
      <c r="A25" s="446"/>
      <c r="B25" s="446"/>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row>
    <row r="26" spans="1:26" ht="15.75" customHeight="1">
      <c r="A26" s="446"/>
      <c r="B26" s="446"/>
      <c r="C26" s="446"/>
      <c r="D26" s="446"/>
      <c r="E26" s="446"/>
      <c r="F26" s="446"/>
      <c r="G26" s="446"/>
      <c r="H26" s="446"/>
      <c r="I26" s="446"/>
      <c r="J26" s="446"/>
      <c r="K26" s="446"/>
      <c r="L26" s="446"/>
      <c r="M26" s="446"/>
      <c r="N26" s="446"/>
      <c r="O26" s="446"/>
      <c r="P26" s="446"/>
      <c r="Q26" s="446"/>
      <c r="R26" s="446"/>
      <c r="S26" s="446"/>
      <c r="T26" s="446"/>
      <c r="U26" s="446"/>
      <c r="V26" s="446"/>
      <c r="W26" s="446"/>
      <c r="X26" s="446"/>
      <c r="Y26" s="446"/>
      <c r="Z26" s="446"/>
    </row>
    <row r="27" spans="1:26" ht="15.75" customHeight="1">
      <c r="A27" s="446"/>
      <c r="B27" s="446"/>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row>
    <row r="28" spans="1:26" ht="15.75" customHeight="1">
      <c r="A28" s="446"/>
      <c r="B28" s="446"/>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row>
    <row r="29" spans="1:26" ht="15.75" customHeight="1">
      <c r="A29" s="446"/>
      <c r="B29" s="446"/>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row>
    <row r="30" spans="1:26" ht="15.75" customHeight="1">
      <c r="A30" s="446"/>
      <c r="B30" s="446"/>
      <c r="C30" s="446"/>
      <c r="D30" s="446"/>
      <c r="E30" s="446"/>
      <c r="F30" s="446"/>
      <c r="G30" s="446"/>
      <c r="H30" s="446"/>
      <c r="I30" s="446"/>
      <c r="J30" s="446"/>
      <c r="K30" s="446"/>
      <c r="L30" s="446"/>
      <c r="M30" s="446"/>
      <c r="N30" s="446"/>
      <c r="O30" s="446"/>
      <c r="P30" s="446"/>
      <c r="Q30" s="446"/>
      <c r="R30" s="446"/>
      <c r="S30" s="446"/>
      <c r="T30" s="446"/>
      <c r="U30" s="446"/>
      <c r="V30" s="446"/>
      <c r="W30" s="446"/>
      <c r="X30" s="446"/>
      <c r="Y30" s="446"/>
      <c r="Z30" s="446"/>
    </row>
    <row r="31" spans="1:26" ht="15.75" customHeight="1">
      <c r="A31" s="446"/>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row>
    <row r="32" spans="1:26" ht="15.75" customHeight="1">
      <c r="A32" s="446"/>
      <c r="B32" s="446"/>
      <c r="C32" s="446"/>
      <c r="D32" s="446"/>
      <c r="E32" s="446"/>
      <c r="F32" s="446"/>
      <c r="G32" s="446"/>
      <c r="H32" s="446"/>
      <c r="I32" s="446"/>
      <c r="J32" s="446"/>
      <c r="K32" s="446"/>
      <c r="L32" s="446"/>
      <c r="M32" s="446"/>
      <c r="N32" s="446"/>
      <c r="O32" s="446"/>
      <c r="P32" s="446"/>
      <c r="Q32" s="446"/>
      <c r="R32" s="446"/>
      <c r="S32" s="446"/>
      <c r="T32" s="446"/>
      <c r="U32" s="446"/>
      <c r="V32" s="446"/>
      <c r="W32" s="446"/>
      <c r="X32" s="446"/>
      <c r="Y32" s="446"/>
      <c r="Z32" s="446"/>
    </row>
    <row r="33" spans="1:26" ht="15.75" customHeight="1">
      <c r="A33" s="446"/>
      <c r="B33" s="446"/>
      <c r="C33" s="446"/>
      <c r="D33" s="446"/>
      <c r="E33" s="446"/>
      <c r="F33" s="446"/>
      <c r="G33" s="446"/>
      <c r="H33" s="446"/>
      <c r="I33" s="446"/>
      <c r="J33" s="446"/>
      <c r="K33" s="446"/>
      <c r="L33" s="446"/>
      <c r="M33" s="446"/>
      <c r="N33" s="446"/>
      <c r="O33" s="446"/>
      <c r="P33" s="446"/>
      <c r="Q33" s="446"/>
      <c r="R33" s="446"/>
      <c r="S33" s="446"/>
      <c r="T33" s="446"/>
      <c r="U33" s="446"/>
      <c r="V33" s="446"/>
      <c r="W33" s="446"/>
      <c r="X33" s="446"/>
      <c r="Y33" s="446"/>
      <c r="Z33" s="446"/>
    </row>
    <row r="34" spans="1:26" ht="15.75" customHeight="1">
      <c r="A34" s="446"/>
      <c r="B34" s="446"/>
      <c r="C34" s="446"/>
      <c r="D34" s="446"/>
      <c r="E34" s="446"/>
      <c r="F34" s="446"/>
      <c r="G34" s="446"/>
      <c r="H34" s="446"/>
      <c r="I34" s="446"/>
      <c r="J34" s="446"/>
      <c r="K34" s="446"/>
      <c r="L34" s="446"/>
      <c r="M34" s="446"/>
      <c r="N34" s="446"/>
      <c r="O34" s="446"/>
      <c r="P34" s="446"/>
      <c r="Q34" s="446"/>
      <c r="R34" s="446"/>
      <c r="S34" s="446"/>
      <c r="T34" s="446"/>
      <c r="U34" s="446"/>
      <c r="V34" s="446"/>
      <c r="W34" s="446"/>
      <c r="X34" s="446"/>
      <c r="Y34" s="446"/>
      <c r="Z34" s="446"/>
    </row>
    <row r="35" spans="1:26" ht="15.75" customHeight="1">
      <c r="A35" s="446"/>
      <c r="B35" s="446"/>
      <c r="C35" s="446"/>
      <c r="D35" s="446"/>
      <c r="E35" s="446"/>
      <c r="F35" s="446"/>
      <c r="G35" s="446"/>
      <c r="H35" s="446"/>
      <c r="I35" s="446"/>
      <c r="J35" s="446"/>
      <c r="K35" s="446"/>
      <c r="L35" s="446"/>
      <c r="M35" s="446"/>
      <c r="N35" s="446"/>
      <c r="O35" s="446"/>
      <c r="P35" s="446"/>
      <c r="Q35" s="446"/>
      <c r="R35" s="446"/>
      <c r="S35" s="446"/>
      <c r="T35" s="446"/>
      <c r="U35" s="446"/>
      <c r="V35" s="446"/>
      <c r="W35" s="446"/>
      <c r="X35" s="446"/>
      <c r="Y35" s="446"/>
      <c r="Z35" s="446"/>
    </row>
    <row r="36" spans="1:26" ht="15.75" customHeight="1">
      <c r="A36" s="446"/>
      <c r="B36" s="446"/>
      <c r="C36" s="446"/>
      <c r="D36" s="446"/>
      <c r="E36" s="446"/>
      <c r="F36" s="446"/>
      <c r="G36" s="446"/>
      <c r="H36" s="446"/>
      <c r="I36" s="446"/>
      <c r="J36" s="446"/>
      <c r="K36" s="446"/>
      <c r="L36" s="446"/>
      <c r="M36" s="446"/>
      <c r="N36" s="446"/>
      <c r="O36" s="446"/>
      <c r="P36" s="446"/>
      <c r="Q36" s="446"/>
      <c r="R36" s="446"/>
      <c r="S36" s="446"/>
      <c r="T36" s="446"/>
      <c r="U36" s="446"/>
      <c r="V36" s="446"/>
      <c r="W36" s="446"/>
      <c r="X36" s="446"/>
      <c r="Y36" s="446"/>
      <c r="Z36" s="446"/>
    </row>
    <row r="37" spans="1:26" ht="15.75" customHeight="1">
      <c r="A37" s="446"/>
      <c r="B37" s="446"/>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row>
    <row r="38" spans="1:26" ht="15.75" customHeight="1">
      <c r="A38" s="446"/>
      <c r="B38" s="446"/>
      <c r="C38" s="446"/>
      <c r="D38" s="446"/>
      <c r="E38" s="446"/>
      <c r="F38" s="446"/>
      <c r="G38" s="446"/>
      <c r="H38" s="446"/>
      <c r="I38" s="446"/>
      <c r="J38" s="446"/>
      <c r="K38" s="446"/>
      <c r="L38" s="446"/>
      <c r="M38" s="446"/>
      <c r="N38" s="446"/>
      <c r="O38" s="446"/>
      <c r="P38" s="446"/>
      <c r="Q38" s="446"/>
      <c r="R38" s="446"/>
      <c r="S38" s="446"/>
      <c r="T38" s="446"/>
      <c r="U38" s="446"/>
      <c r="V38" s="446"/>
      <c r="W38" s="446"/>
      <c r="X38" s="446"/>
      <c r="Y38" s="446"/>
      <c r="Z38" s="446"/>
    </row>
    <row r="39" spans="1:26" ht="15.75" customHeight="1">
      <c r="A39" s="446"/>
      <c r="B39" s="446"/>
      <c r="C39" s="446"/>
      <c r="D39" s="446"/>
      <c r="E39" s="446"/>
      <c r="F39" s="446"/>
      <c r="G39" s="446"/>
      <c r="H39" s="446"/>
      <c r="I39" s="446"/>
      <c r="J39" s="446"/>
      <c r="K39" s="446"/>
      <c r="L39" s="446"/>
      <c r="M39" s="446"/>
      <c r="N39" s="446"/>
      <c r="O39" s="446"/>
      <c r="P39" s="446"/>
      <c r="Q39" s="446"/>
      <c r="R39" s="446"/>
      <c r="S39" s="446"/>
      <c r="T39" s="446"/>
      <c r="U39" s="446"/>
      <c r="V39" s="446"/>
      <c r="W39" s="446"/>
      <c r="X39" s="446"/>
      <c r="Y39" s="446"/>
      <c r="Z39" s="446"/>
    </row>
    <row r="40" spans="1:26" ht="15.75" customHeight="1">
      <c r="A40" s="446"/>
      <c r="B40" s="446"/>
      <c r="C40" s="446"/>
      <c r="D40" s="446"/>
      <c r="E40" s="446"/>
      <c r="F40" s="446"/>
      <c r="G40" s="446"/>
      <c r="H40" s="446"/>
      <c r="I40" s="446"/>
      <c r="J40" s="446"/>
      <c r="K40" s="446"/>
      <c r="L40" s="446"/>
      <c r="M40" s="446"/>
      <c r="N40" s="446"/>
      <c r="O40" s="446"/>
      <c r="P40" s="446"/>
      <c r="Q40" s="446"/>
      <c r="R40" s="446"/>
      <c r="S40" s="446"/>
      <c r="T40" s="446"/>
      <c r="U40" s="446"/>
      <c r="V40" s="446"/>
      <c r="W40" s="446"/>
      <c r="X40" s="446"/>
      <c r="Y40" s="446"/>
      <c r="Z40" s="446"/>
    </row>
    <row r="41" spans="1:26" ht="15.75" customHeight="1">
      <c r="A41" s="446"/>
      <c r="B41" s="446"/>
      <c r="C41" s="446"/>
      <c r="D41" s="446"/>
      <c r="E41" s="446"/>
      <c r="F41" s="446"/>
      <c r="G41" s="446"/>
      <c r="H41" s="446"/>
      <c r="I41" s="446"/>
      <c r="J41" s="446"/>
      <c r="K41" s="446"/>
      <c r="L41" s="446"/>
      <c r="M41" s="446"/>
      <c r="N41" s="446"/>
      <c r="O41" s="446"/>
      <c r="P41" s="446"/>
      <c r="Q41" s="446"/>
      <c r="R41" s="446"/>
      <c r="S41" s="446"/>
      <c r="T41" s="446"/>
      <c r="U41" s="446"/>
      <c r="V41" s="446"/>
      <c r="W41" s="446"/>
      <c r="X41" s="446"/>
      <c r="Y41" s="446"/>
      <c r="Z41" s="446"/>
    </row>
    <row r="42" spans="1:26" ht="15.75" customHeight="1">
      <c r="A42" s="446"/>
      <c r="B42" s="446"/>
      <c r="C42" s="446"/>
      <c r="D42" s="446"/>
      <c r="E42" s="446"/>
      <c r="F42" s="446"/>
      <c r="G42" s="446"/>
      <c r="H42" s="446"/>
      <c r="I42" s="446"/>
      <c r="J42" s="446"/>
      <c r="K42" s="446"/>
      <c r="L42" s="446"/>
      <c r="M42" s="446"/>
      <c r="N42" s="446"/>
      <c r="O42" s="446"/>
      <c r="P42" s="446"/>
      <c r="Q42" s="446"/>
      <c r="R42" s="446"/>
      <c r="S42" s="446"/>
      <c r="T42" s="446"/>
      <c r="U42" s="446"/>
      <c r="V42" s="446"/>
      <c r="W42" s="446"/>
      <c r="X42" s="446"/>
      <c r="Y42" s="446"/>
      <c r="Z42" s="446"/>
    </row>
    <row r="43" spans="1:26" ht="15.75" customHeight="1">
      <c r="A43" s="446"/>
      <c r="B43" s="446"/>
      <c r="C43" s="446"/>
      <c r="D43" s="446"/>
      <c r="E43" s="446"/>
      <c r="F43" s="446"/>
      <c r="G43" s="446"/>
      <c r="H43" s="446"/>
      <c r="I43" s="446"/>
      <c r="J43" s="446"/>
      <c r="K43" s="446"/>
      <c r="L43" s="446"/>
      <c r="M43" s="446"/>
      <c r="N43" s="446"/>
      <c r="O43" s="446"/>
      <c r="P43" s="446"/>
      <c r="Q43" s="446"/>
      <c r="R43" s="446"/>
      <c r="S43" s="446"/>
      <c r="T43" s="446"/>
      <c r="U43" s="446"/>
      <c r="V43" s="446"/>
      <c r="W43" s="446"/>
      <c r="X43" s="446"/>
      <c r="Y43" s="446"/>
      <c r="Z43" s="446"/>
    </row>
    <row r="44" spans="1:26" ht="15.75" customHeight="1">
      <c r="A44" s="446"/>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row>
    <row r="45" spans="1:26" ht="15.75" customHeight="1">
      <c r="A45" s="446"/>
      <c r="B45" s="446"/>
      <c r="C45" s="446"/>
      <c r="D45" s="446"/>
      <c r="E45" s="446"/>
      <c r="F45" s="446"/>
      <c r="G45" s="446"/>
      <c r="H45" s="446"/>
      <c r="I45" s="446"/>
      <c r="J45" s="446"/>
      <c r="K45" s="446"/>
      <c r="L45" s="446"/>
      <c r="M45" s="446"/>
      <c r="N45" s="446"/>
      <c r="O45" s="446"/>
      <c r="P45" s="446"/>
      <c r="Q45" s="446"/>
      <c r="R45" s="446"/>
      <c r="S45" s="446"/>
      <c r="T45" s="446"/>
      <c r="U45" s="446"/>
      <c r="V45" s="446"/>
      <c r="W45" s="446"/>
      <c r="X45" s="446"/>
      <c r="Y45" s="446"/>
      <c r="Z45" s="446"/>
    </row>
    <row r="46" spans="1:26" ht="15.75" customHeight="1">
      <c r="A46" s="446"/>
      <c r="B46" s="446"/>
      <c r="C46" s="446"/>
      <c r="D46" s="446"/>
      <c r="E46" s="446"/>
      <c r="F46" s="446"/>
      <c r="G46" s="446"/>
      <c r="H46" s="446"/>
      <c r="I46" s="446"/>
      <c r="J46" s="446"/>
      <c r="K46" s="446"/>
      <c r="L46" s="446"/>
      <c r="M46" s="446"/>
      <c r="N46" s="446"/>
      <c r="O46" s="446"/>
      <c r="P46" s="446"/>
      <c r="Q46" s="446"/>
      <c r="R46" s="446"/>
      <c r="S46" s="446"/>
      <c r="T46" s="446"/>
      <c r="U46" s="446"/>
      <c r="V46" s="446"/>
      <c r="W46" s="446"/>
      <c r="X46" s="446"/>
      <c r="Y46" s="446"/>
      <c r="Z46" s="446"/>
    </row>
    <row r="47" spans="1:26" ht="15.75" customHeight="1">
      <c r="A47" s="446"/>
      <c r="B47" s="446"/>
      <c r="C47" s="446"/>
      <c r="D47" s="446"/>
      <c r="E47" s="446"/>
      <c r="F47" s="446"/>
      <c r="G47" s="446"/>
      <c r="H47" s="446"/>
      <c r="I47" s="446"/>
      <c r="J47" s="446"/>
      <c r="K47" s="446"/>
      <c r="L47" s="446"/>
      <c r="M47" s="446"/>
      <c r="N47" s="446"/>
      <c r="O47" s="446"/>
      <c r="P47" s="446"/>
      <c r="Q47" s="446"/>
      <c r="R47" s="446"/>
      <c r="S47" s="446"/>
      <c r="T47" s="446"/>
      <c r="U47" s="446"/>
      <c r="V47" s="446"/>
      <c r="W47" s="446"/>
      <c r="X47" s="446"/>
      <c r="Y47" s="446"/>
      <c r="Z47" s="446"/>
    </row>
    <row r="48" spans="1:26" ht="15.75" customHeight="1">
      <c r="A48" s="446"/>
      <c r="B48" s="446"/>
      <c r="C48" s="446"/>
      <c r="D48" s="446"/>
      <c r="E48" s="446"/>
      <c r="F48" s="446"/>
      <c r="G48" s="446"/>
      <c r="H48" s="446"/>
      <c r="I48" s="446"/>
      <c r="J48" s="446"/>
      <c r="K48" s="446"/>
      <c r="L48" s="446"/>
      <c r="M48" s="446"/>
      <c r="N48" s="446"/>
      <c r="O48" s="446"/>
      <c r="P48" s="446"/>
      <c r="Q48" s="446"/>
      <c r="R48" s="446"/>
      <c r="S48" s="446"/>
      <c r="T48" s="446"/>
      <c r="U48" s="446"/>
      <c r="V48" s="446"/>
      <c r="W48" s="446"/>
      <c r="X48" s="446"/>
      <c r="Y48" s="446"/>
      <c r="Z48" s="446"/>
    </row>
    <row r="49" spans="1:26" ht="15.75" customHeight="1">
      <c r="A49" s="446"/>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row>
    <row r="50" spans="1:26" ht="15.75" customHeight="1">
      <c r="A50" s="446"/>
      <c r="B50" s="446"/>
      <c r="C50" s="446"/>
      <c r="D50" s="446"/>
      <c r="E50" s="446"/>
      <c r="F50" s="446"/>
      <c r="G50" s="446"/>
      <c r="H50" s="446"/>
      <c r="I50" s="446"/>
      <c r="J50" s="446"/>
      <c r="K50" s="446"/>
      <c r="L50" s="446"/>
      <c r="M50" s="446"/>
      <c r="N50" s="446"/>
      <c r="O50" s="446"/>
      <c r="P50" s="446"/>
      <c r="Q50" s="446"/>
      <c r="R50" s="446"/>
      <c r="S50" s="446"/>
      <c r="T50" s="446"/>
      <c r="U50" s="446"/>
      <c r="V50" s="446"/>
      <c r="W50" s="446"/>
      <c r="X50" s="446"/>
      <c r="Y50" s="446"/>
      <c r="Z50" s="446"/>
    </row>
    <row r="51" spans="1:26" ht="15.75" customHeight="1">
      <c r="A51" s="446"/>
      <c r="B51" s="446"/>
      <c r="C51" s="446"/>
      <c r="D51" s="446"/>
      <c r="E51" s="446"/>
      <c r="F51" s="446"/>
      <c r="G51" s="446"/>
      <c r="H51" s="446"/>
      <c r="I51" s="446"/>
      <c r="J51" s="446"/>
      <c r="K51" s="446"/>
      <c r="L51" s="446"/>
      <c r="M51" s="446"/>
      <c r="N51" s="446"/>
      <c r="O51" s="446"/>
      <c r="P51" s="446"/>
      <c r="Q51" s="446"/>
      <c r="R51" s="446"/>
      <c r="S51" s="446"/>
      <c r="T51" s="446"/>
      <c r="U51" s="446"/>
      <c r="V51" s="446"/>
      <c r="W51" s="446"/>
      <c r="X51" s="446"/>
      <c r="Y51" s="446"/>
      <c r="Z51" s="446"/>
    </row>
    <row r="52" spans="1:26" ht="15.75" customHeight="1">
      <c r="A52" s="446"/>
      <c r="B52" s="446"/>
      <c r="C52" s="446"/>
      <c r="D52" s="446"/>
      <c r="E52" s="446"/>
      <c r="F52" s="446"/>
      <c r="G52" s="446"/>
      <c r="H52" s="446"/>
      <c r="I52" s="446"/>
      <c r="J52" s="446"/>
      <c r="K52" s="446"/>
      <c r="L52" s="446"/>
      <c r="M52" s="446"/>
      <c r="N52" s="446"/>
      <c r="O52" s="446"/>
      <c r="P52" s="446"/>
      <c r="Q52" s="446"/>
      <c r="R52" s="446"/>
      <c r="S52" s="446"/>
      <c r="T52" s="446"/>
      <c r="U52" s="446"/>
      <c r="V52" s="446"/>
      <c r="W52" s="446"/>
      <c r="X52" s="446"/>
      <c r="Y52" s="446"/>
      <c r="Z52" s="446"/>
    </row>
    <row r="53" spans="1:26" ht="15.75" customHeight="1">
      <c r="A53" s="446"/>
      <c r="B53" s="446"/>
      <c r="C53" s="446"/>
      <c r="D53" s="446"/>
      <c r="E53" s="446"/>
      <c r="F53" s="446"/>
      <c r="G53" s="446"/>
      <c r="H53" s="446"/>
      <c r="I53" s="446"/>
      <c r="J53" s="446"/>
      <c r="K53" s="446"/>
      <c r="L53" s="446"/>
      <c r="M53" s="446"/>
      <c r="N53" s="446"/>
      <c r="O53" s="446"/>
      <c r="P53" s="446"/>
      <c r="Q53" s="446"/>
      <c r="R53" s="446"/>
      <c r="S53" s="446"/>
      <c r="T53" s="446"/>
      <c r="U53" s="446"/>
      <c r="V53" s="446"/>
      <c r="W53" s="446"/>
      <c r="X53" s="446"/>
      <c r="Y53" s="446"/>
      <c r="Z53" s="446"/>
    </row>
    <row r="54" spans="1:26" ht="15.75" customHeight="1">
      <c r="A54" s="446"/>
      <c r="B54" s="446"/>
      <c r="C54" s="446"/>
      <c r="D54" s="446"/>
      <c r="E54" s="446"/>
      <c r="F54" s="446"/>
      <c r="G54" s="446"/>
      <c r="H54" s="446"/>
      <c r="I54" s="446"/>
      <c r="J54" s="446"/>
      <c r="K54" s="446"/>
      <c r="L54" s="446"/>
      <c r="M54" s="446"/>
      <c r="N54" s="446"/>
      <c r="O54" s="446"/>
      <c r="P54" s="446"/>
      <c r="Q54" s="446"/>
      <c r="R54" s="446"/>
      <c r="S54" s="446"/>
      <c r="T54" s="446"/>
      <c r="U54" s="446"/>
      <c r="V54" s="446"/>
      <c r="W54" s="446"/>
      <c r="X54" s="446"/>
      <c r="Y54" s="446"/>
      <c r="Z54" s="446"/>
    </row>
    <row r="55" spans="1:26" ht="15.75" customHeight="1">
      <c r="A55" s="446"/>
      <c r="B55" s="446"/>
      <c r="C55" s="446"/>
      <c r="D55" s="446"/>
      <c r="E55" s="446"/>
      <c r="F55" s="446"/>
      <c r="G55" s="446"/>
      <c r="H55" s="446"/>
      <c r="I55" s="446"/>
      <c r="J55" s="446"/>
      <c r="K55" s="446"/>
      <c r="L55" s="446"/>
      <c r="M55" s="446"/>
      <c r="N55" s="446"/>
      <c r="O55" s="446"/>
      <c r="P55" s="446"/>
      <c r="Q55" s="446"/>
      <c r="R55" s="446"/>
      <c r="S55" s="446"/>
      <c r="T55" s="446"/>
      <c r="U55" s="446"/>
      <c r="V55" s="446"/>
      <c r="W55" s="446"/>
      <c r="X55" s="446"/>
      <c r="Y55" s="446"/>
      <c r="Z55" s="446"/>
    </row>
    <row r="56" spans="1:26" ht="15.75" customHeight="1">
      <c r="A56" s="446"/>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row>
    <row r="57" spans="1:26" ht="15.75" customHeight="1">
      <c r="A57" s="446"/>
      <c r="B57" s="446"/>
      <c r="C57" s="446"/>
      <c r="D57" s="446"/>
      <c r="E57" s="446"/>
      <c r="F57" s="446"/>
      <c r="G57" s="446"/>
      <c r="H57" s="446"/>
      <c r="I57" s="446"/>
      <c r="J57" s="446"/>
      <c r="K57" s="446"/>
      <c r="L57" s="446"/>
      <c r="M57" s="446"/>
      <c r="N57" s="446"/>
      <c r="O57" s="446"/>
      <c r="P57" s="446"/>
      <c r="Q57" s="446"/>
      <c r="R57" s="446"/>
      <c r="S57" s="446"/>
      <c r="T57" s="446"/>
      <c r="U57" s="446"/>
      <c r="V57" s="446"/>
      <c r="W57" s="446"/>
      <c r="X57" s="446"/>
      <c r="Y57" s="446"/>
      <c r="Z57" s="446"/>
    </row>
    <row r="58" spans="1:26" ht="15.75" customHeight="1">
      <c r="A58" s="446"/>
      <c r="B58" s="446"/>
      <c r="C58" s="446"/>
      <c r="D58" s="446"/>
      <c r="E58" s="446"/>
      <c r="F58" s="446"/>
      <c r="G58" s="446"/>
      <c r="H58" s="446"/>
      <c r="I58" s="446"/>
      <c r="J58" s="446"/>
      <c r="K58" s="446"/>
      <c r="L58" s="446"/>
      <c r="M58" s="446"/>
      <c r="N58" s="446"/>
      <c r="O58" s="446"/>
      <c r="P58" s="446"/>
      <c r="Q58" s="446"/>
      <c r="R58" s="446"/>
      <c r="S58" s="446"/>
      <c r="T58" s="446"/>
      <c r="U58" s="446"/>
      <c r="V58" s="446"/>
      <c r="W58" s="446"/>
      <c r="X58" s="446"/>
      <c r="Y58" s="446"/>
      <c r="Z58" s="446"/>
    </row>
    <row r="59" spans="1:26" ht="15.75" customHeight="1">
      <c r="A59" s="446"/>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row>
    <row r="60" spans="1:26" ht="15.75" customHeight="1">
      <c r="A60" s="446"/>
      <c r="B60" s="446"/>
      <c r="C60" s="446"/>
      <c r="D60" s="446"/>
      <c r="E60" s="446"/>
      <c r="F60" s="446"/>
      <c r="G60" s="446"/>
      <c r="H60" s="446"/>
      <c r="I60" s="446"/>
      <c r="J60" s="446"/>
      <c r="K60" s="446"/>
      <c r="L60" s="446"/>
      <c r="M60" s="446"/>
      <c r="N60" s="446"/>
      <c r="O60" s="446"/>
      <c r="P60" s="446"/>
      <c r="Q60" s="446"/>
      <c r="R60" s="446"/>
      <c r="S60" s="446"/>
      <c r="T60" s="446"/>
      <c r="U60" s="446"/>
      <c r="V60" s="446"/>
      <c r="W60" s="446"/>
      <c r="X60" s="446"/>
      <c r="Y60" s="446"/>
      <c r="Z60" s="446"/>
    </row>
    <row r="61" spans="1:26" ht="15.75" customHeight="1">
      <c r="A61" s="446"/>
      <c r="B61" s="446"/>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row>
    <row r="62" spans="1:26" ht="15.75" customHeight="1">
      <c r="A62" s="446"/>
      <c r="B62" s="446"/>
      <c r="C62" s="446"/>
      <c r="D62" s="446"/>
      <c r="E62" s="446"/>
      <c r="F62" s="446"/>
      <c r="G62" s="446"/>
      <c r="H62" s="446"/>
      <c r="I62" s="446"/>
      <c r="J62" s="446"/>
      <c r="K62" s="446"/>
      <c r="L62" s="446"/>
      <c r="M62" s="446"/>
      <c r="N62" s="446"/>
      <c r="O62" s="446"/>
      <c r="P62" s="446"/>
      <c r="Q62" s="446"/>
      <c r="R62" s="446"/>
      <c r="S62" s="446"/>
      <c r="T62" s="446"/>
      <c r="U62" s="446"/>
      <c r="V62" s="446"/>
      <c r="W62" s="446"/>
      <c r="X62" s="446"/>
      <c r="Y62" s="446"/>
      <c r="Z62" s="446"/>
    </row>
    <row r="63" spans="1:26" ht="15.75" customHeight="1">
      <c r="A63" s="446"/>
      <c r="B63" s="446"/>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row>
    <row r="64" spans="1:26" ht="15.75" customHeight="1">
      <c r="A64" s="446"/>
      <c r="B64" s="446"/>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row>
    <row r="65" spans="1:26" ht="15.75" customHeight="1">
      <c r="A65" s="446"/>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row>
    <row r="66" spans="1:26" ht="15.75" customHeight="1">
      <c r="A66" s="446"/>
      <c r="B66" s="446"/>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row>
    <row r="67" spans="1:26" ht="15.75" customHeight="1">
      <c r="A67" s="446"/>
      <c r="B67" s="446"/>
      <c r="C67" s="446"/>
      <c r="D67" s="446"/>
      <c r="E67" s="446"/>
      <c r="F67" s="446"/>
      <c r="G67" s="446"/>
      <c r="H67" s="446"/>
      <c r="I67" s="446"/>
      <c r="J67" s="446"/>
      <c r="K67" s="446"/>
      <c r="L67" s="446"/>
      <c r="M67" s="446"/>
      <c r="N67" s="446"/>
      <c r="O67" s="446"/>
      <c r="P67" s="446"/>
      <c r="Q67" s="446"/>
      <c r="R67" s="446"/>
      <c r="S67" s="446"/>
      <c r="T67" s="446"/>
      <c r="U67" s="446"/>
      <c r="V67" s="446"/>
      <c r="W67" s="446"/>
      <c r="X67" s="446"/>
      <c r="Y67" s="446"/>
      <c r="Z67" s="446"/>
    </row>
    <row r="68" spans="1:26" ht="15.75" customHeight="1">
      <c r="A68" s="446"/>
      <c r="B68" s="446"/>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row>
    <row r="69" spans="1:26" ht="15.75" customHeight="1">
      <c r="A69" s="446"/>
      <c r="B69" s="446"/>
      <c r="C69" s="446"/>
      <c r="D69" s="446"/>
      <c r="E69" s="446"/>
      <c r="F69" s="446"/>
      <c r="G69" s="446"/>
      <c r="H69" s="446"/>
      <c r="I69" s="446"/>
      <c r="J69" s="446"/>
      <c r="K69" s="446"/>
      <c r="L69" s="446"/>
      <c r="M69" s="446"/>
      <c r="N69" s="446"/>
      <c r="O69" s="446"/>
      <c r="P69" s="446"/>
      <c r="Q69" s="446"/>
      <c r="R69" s="446"/>
      <c r="S69" s="446"/>
      <c r="T69" s="446"/>
      <c r="U69" s="446"/>
      <c r="V69" s="446"/>
      <c r="W69" s="446"/>
      <c r="X69" s="446"/>
      <c r="Y69" s="446"/>
      <c r="Z69" s="446"/>
    </row>
    <row r="70" spans="1:26" ht="15.75" customHeight="1">
      <c r="A70" s="446"/>
      <c r="B70" s="446"/>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row>
    <row r="71" spans="1:26" ht="15.75" customHeight="1">
      <c r="A71" s="446"/>
      <c r="B71" s="446"/>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row>
    <row r="72" spans="1:26" ht="15.75" customHeight="1">
      <c r="A72" s="446"/>
      <c r="B72" s="446"/>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row>
    <row r="73" spans="1:26" ht="15.75" customHeight="1">
      <c r="A73" s="446"/>
      <c r="B73" s="446"/>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row>
    <row r="74" spans="1:26" ht="15.75" customHeight="1">
      <c r="A74" s="446"/>
      <c r="B74" s="446"/>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row>
    <row r="75" spans="1:26" ht="15.75" customHeight="1">
      <c r="A75" s="446"/>
      <c r="B75" s="446"/>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row>
    <row r="76" spans="1:26" ht="15.75" customHeight="1">
      <c r="A76" s="446"/>
      <c r="B76" s="446"/>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row>
    <row r="77" spans="1:26" ht="15.75" customHeight="1">
      <c r="A77" s="446"/>
      <c r="B77" s="446"/>
      <c r="C77" s="446"/>
      <c r="D77" s="446"/>
      <c r="E77" s="446"/>
      <c r="F77" s="446"/>
      <c r="G77" s="446"/>
      <c r="H77" s="446"/>
      <c r="I77" s="446"/>
      <c r="J77" s="446"/>
      <c r="K77" s="446"/>
      <c r="L77" s="446"/>
      <c r="M77" s="446"/>
      <c r="N77" s="446"/>
      <c r="O77" s="446"/>
      <c r="P77" s="446"/>
      <c r="Q77" s="446"/>
      <c r="R77" s="446"/>
      <c r="S77" s="446"/>
      <c r="T77" s="446"/>
      <c r="U77" s="446"/>
      <c r="V77" s="446"/>
      <c r="W77" s="446"/>
      <c r="X77" s="446"/>
      <c r="Y77" s="446"/>
      <c r="Z77" s="446"/>
    </row>
    <row r="78" spans="1:26" ht="15.75" customHeight="1">
      <c r="A78" s="446"/>
      <c r="B78" s="446"/>
      <c r="C78" s="446"/>
      <c r="D78" s="446"/>
      <c r="E78" s="446"/>
      <c r="F78" s="446"/>
      <c r="G78" s="446"/>
      <c r="H78" s="446"/>
      <c r="I78" s="446"/>
      <c r="J78" s="446"/>
      <c r="K78" s="446"/>
      <c r="L78" s="446"/>
      <c r="M78" s="446"/>
      <c r="N78" s="446"/>
      <c r="O78" s="446"/>
      <c r="P78" s="446"/>
      <c r="Q78" s="446"/>
      <c r="R78" s="446"/>
      <c r="S78" s="446"/>
      <c r="T78" s="446"/>
      <c r="U78" s="446"/>
      <c r="V78" s="446"/>
      <c r="W78" s="446"/>
      <c r="X78" s="446"/>
      <c r="Y78" s="446"/>
      <c r="Z78" s="446"/>
    </row>
    <row r="79" spans="1:26" ht="15.75" customHeight="1">
      <c r="A79" s="446"/>
      <c r="B79" s="446"/>
      <c r="C79" s="446"/>
      <c r="D79" s="446"/>
      <c r="E79" s="446"/>
      <c r="F79" s="446"/>
      <c r="G79" s="446"/>
      <c r="H79" s="446"/>
      <c r="I79" s="446"/>
      <c r="J79" s="446"/>
      <c r="K79" s="446"/>
      <c r="L79" s="446"/>
      <c r="M79" s="446"/>
      <c r="N79" s="446"/>
      <c r="O79" s="446"/>
      <c r="P79" s="446"/>
      <c r="Q79" s="446"/>
      <c r="R79" s="446"/>
      <c r="S79" s="446"/>
      <c r="T79" s="446"/>
      <c r="U79" s="446"/>
      <c r="V79" s="446"/>
      <c r="W79" s="446"/>
      <c r="X79" s="446"/>
      <c r="Y79" s="446"/>
      <c r="Z79" s="446"/>
    </row>
    <row r="80" spans="1:26" ht="15.75" customHeight="1">
      <c r="A80" s="446"/>
      <c r="B80" s="446"/>
      <c r="C80" s="446"/>
      <c r="D80" s="446"/>
      <c r="E80" s="446"/>
      <c r="F80" s="446"/>
      <c r="G80" s="446"/>
      <c r="H80" s="446"/>
      <c r="I80" s="446"/>
      <c r="J80" s="446"/>
      <c r="K80" s="446"/>
      <c r="L80" s="446"/>
      <c r="M80" s="446"/>
      <c r="N80" s="446"/>
      <c r="O80" s="446"/>
      <c r="P80" s="446"/>
      <c r="Q80" s="446"/>
      <c r="R80" s="446"/>
      <c r="S80" s="446"/>
      <c r="T80" s="446"/>
      <c r="U80" s="446"/>
      <c r="V80" s="446"/>
      <c r="W80" s="446"/>
      <c r="X80" s="446"/>
      <c r="Y80" s="446"/>
      <c r="Z80" s="446"/>
    </row>
    <row r="81" spans="1:26" ht="15.75" customHeight="1">
      <c r="A81" s="446"/>
      <c r="B81" s="446"/>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row>
    <row r="82" spans="1:26" ht="15.75" customHeight="1">
      <c r="A82" s="446"/>
      <c r="B82" s="446"/>
      <c r="C82" s="446"/>
      <c r="D82" s="446"/>
      <c r="E82" s="446"/>
      <c r="F82" s="446"/>
      <c r="G82" s="446"/>
      <c r="H82" s="446"/>
      <c r="I82" s="446"/>
      <c r="J82" s="446"/>
      <c r="K82" s="446"/>
      <c r="L82" s="446"/>
      <c r="M82" s="446"/>
      <c r="N82" s="446"/>
      <c r="O82" s="446"/>
      <c r="P82" s="446"/>
      <c r="Q82" s="446"/>
      <c r="R82" s="446"/>
      <c r="S82" s="446"/>
      <c r="T82" s="446"/>
      <c r="U82" s="446"/>
      <c r="V82" s="446"/>
      <c r="W82" s="446"/>
      <c r="X82" s="446"/>
      <c r="Y82" s="446"/>
      <c r="Z82" s="446"/>
    </row>
    <row r="83" spans="1:26" ht="15.75" customHeight="1">
      <c r="A83" s="446"/>
      <c r="B83" s="446"/>
      <c r="C83" s="446"/>
      <c r="D83" s="446"/>
      <c r="E83" s="446"/>
      <c r="F83" s="446"/>
      <c r="G83" s="446"/>
      <c r="H83" s="446"/>
      <c r="I83" s="446"/>
      <c r="J83" s="446"/>
      <c r="K83" s="446"/>
      <c r="L83" s="446"/>
      <c r="M83" s="446"/>
      <c r="N83" s="446"/>
      <c r="O83" s="446"/>
      <c r="P83" s="446"/>
      <c r="Q83" s="446"/>
      <c r="R83" s="446"/>
      <c r="S83" s="446"/>
      <c r="T83" s="446"/>
      <c r="U83" s="446"/>
      <c r="V83" s="446"/>
      <c r="W83" s="446"/>
      <c r="X83" s="446"/>
      <c r="Y83" s="446"/>
      <c r="Z83" s="446"/>
    </row>
    <row r="84" spans="1:26" ht="15.75" customHeight="1">
      <c r="A84" s="446"/>
      <c r="B84" s="446"/>
      <c r="C84" s="446"/>
      <c r="D84" s="446"/>
      <c r="E84" s="446"/>
      <c r="F84" s="446"/>
      <c r="G84" s="446"/>
      <c r="H84" s="446"/>
      <c r="I84" s="446"/>
      <c r="J84" s="446"/>
      <c r="K84" s="446"/>
      <c r="L84" s="446"/>
      <c r="M84" s="446"/>
      <c r="N84" s="446"/>
      <c r="O84" s="446"/>
      <c r="P84" s="446"/>
      <c r="Q84" s="446"/>
      <c r="R84" s="446"/>
      <c r="S84" s="446"/>
      <c r="T84" s="446"/>
      <c r="U84" s="446"/>
      <c r="V84" s="446"/>
      <c r="W84" s="446"/>
      <c r="X84" s="446"/>
      <c r="Y84" s="446"/>
      <c r="Z84" s="446"/>
    </row>
    <row r="85" spans="1:26" ht="15.75" customHeight="1">
      <c r="A85" s="446"/>
      <c r="B85" s="446"/>
      <c r="C85" s="446"/>
      <c r="D85" s="446"/>
      <c r="E85" s="446"/>
      <c r="F85" s="446"/>
      <c r="G85" s="446"/>
      <c r="H85" s="446"/>
      <c r="I85" s="446"/>
      <c r="J85" s="446"/>
      <c r="K85" s="446"/>
      <c r="L85" s="446"/>
      <c r="M85" s="446"/>
      <c r="N85" s="446"/>
      <c r="O85" s="446"/>
      <c r="P85" s="446"/>
      <c r="Q85" s="446"/>
      <c r="R85" s="446"/>
      <c r="S85" s="446"/>
      <c r="T85" s="446"/>
      <c r="U85" s="446"/>
      <c r="V85" s="446"/>
      <c r="W85" s="446"/>
      <c r="X85" s="446"/>
      <c r="Y85" s="446"/>
      <c r="Z85" s="446"/>
    </row>
    <row r="86" spans="1:26" ht="15.75" customHeight="1">
      <c r="A86" s="446"/>
      <c r="B86" s="446"/>
      <c r="C86" s="446"/>
      <c r="D86" s="446"/>
      <c r="E86" s="446"/>
      <c r="F86" s="446"/>
      <c r="G86" s="446"/>
      <c r="H86" s="446"/>
      <c r="I86" s="446"/>
      <c r="J86" s="446"/>
      <c r="K86" s="446"/>
      <c r="L86" s="446"/>
      <c r="M86" s="446"/>
      <c r="N86" s="446"/>
      <c r="O86" s="446"/>
      <c r="P86" s="446"/>
      <c r="Q86" s="446"/>
      <c r="R86" s="446"/>
      <c r="S86" s="446"/>
      <c r="T86" s="446"/>
      <c r="U86" s="446"/>
      <c r="V86" s="446"/>
      <c r="W86" s="446"/>
      <c r="X86" s="446"/>
      <c r="Y86" s="446"/>
      <c r="Z86" s="446"/>
    </row>
    <row r="87" spans="1:26" ht="15.75" customHeight="1">
      <c r="A87" s="446"/>
      <c r="B87" s="446"/>
      <c r="C87" s="446"/>
      <c r="D87" s="446"/>
      <c r="E87" s="446"/>
      <c r="F87" s="446"/>
      <c r="G87" s="446"/>
      <c r="H87" s="446"/>
      <c r="I87" s="446"/>
      <c r="J87" s="446"/>
      <c r="K87" s="446"/>
      <c r="L87" s="446"/>
      <c r="M87" s="446"/>
      <c r="N87" s="446"/>
      <c r="O87" s="446"/>
      <c r="P87" s="446"/>
      <c r="Q87" s="446"/>
      <c r="R87" s="446"/>
      <c r="S87" s="446"/>
      <c r="T87" s="446"/>
      <c r="U87" s="446"/>
      <c r="V87" s="446"/>
      <c r="W87" s="446"/>
      <c r="X87" s="446"/>
      <c r="Y87" s="446"/>
      <c r="Z87" s="446"/>
    </row>
    <row r="88" spans="1:26" ht="15.75" customHeight="1">
      <c r="A88" s="446"/>
      <c r="B88" s="446"/>
      <c r="C88" s="446"/>
      <c r="D88" s="446"/>
      <c r="E88" s="446"/>
      <c r="F88" s="446"/>
      <c r="G88" s="446"/>
      <c r="H88" s="446"/>
      <c r="I88" s="446"/>
      <c r="J88" s="446"/>
      <c r="K88" s="446"/>
      <c r="L88" s="446"/>
      <c r="M88" s="446"/>
      <c r="N88" s="446"/>
      <c r="O88" s="446"/>
      <c r="P88" s="446"/>
      <c r="Q88" s="446"/>
      <c r="R88" s="446"/>
      <c r="S88" s="446"/>
      <c r="T88" s="446"/>
      <c r="U88" s="446"/>
      <c r="V88" s="446"/>
      <c r="W88" s="446"/>
      <c r="X88" s="446"/>
      <c r="Y88" s="446"/>
      <c r="Z88" s="446"/>
    </row>
    <row r="89" spans="1:26" ht="15.75" customHeight="1">
      <c r="A89" s="446"/>
      <c r="B89" s="446"/>
      <c r="C89" s="446"/>
      <c r="D89" s="446"/>
      <c r="E89" s="446"/>
      <c r="F89" s="446"/>
      <c r="G89" s="446"/>
      <c r="H89" s="446"/>
      <c r="I89" s="446"/>
      <c r="J89" s="446"/>
      <c r="K89" s="446"/>
      <c r="L89" s="446"/>
      <c r="M89" s="446"/>
      <c r="N89" s="446"/>
      <c r="O89" s="446"/>
      <c r="P89" s="446"/>
      <c r="Q89" s="446"/>
      <c r="R89" s="446"/>
      <c r="S89" s="446"/>
      <c r="T89" s="446"/>
      <c r="U89" s="446"/>
      <c r="V89" s="446"/>
      <c r="W89" s="446"/>
      <c r="X89" s="446"/>
      <c r="Y89" s="446"/>
      <c r="Z89" s="446"/>
    </row>
    <row r="90" spans="1:26" ht="15.75" customHeight="1">
      <c r="A90" s="446"/>
      <c r="B90" s="446"/>
      <c r="C90" s="446"/>
      <c r="D90" s="446"/>
      <c r="E90" s="446"/>
      <c r="F90" s="446"/>
      <c r="G90" s="446"/>
      <c r="H90" s="446"/>
      <c r="I90" s="446"/>
      <c r="J90" s="446"/>
      <c r="K90" s="446"/>
      <c r="L90" s="446"/>
      <c r="M90" s="446"/>
      <c r="N90" s="446"/>
      <c r="O90" s="446"/>
      <c r="P90" s="446"/>
      <c r="Q90" s="446"/>
      <c r="R90" s="446"/>
      <c r="S90" s="446"/>
      <c r="T90" s="446"/>
      <c r="U90" s="446"/>
      <c r="V90" s="446"/>
      <c r="W90" s="446"/>
      <c r="X90" s="446"/>
      <c r="Y90" s="446"/>
      <c r="Z90" s="446"/>
    </row>
    <row r="91" spans="1:26" ht="15.75" customHeight="1">
      <c r="A91" s="446"/>
      <c r="B91" s="446"/>
      <c r="C91" s="446"/>
      <c r="D91" s="446"/>
      <c r="E91" s="446"/>
      <c r="F91" s="446"/>
      <c r="G91" s="446"/>
      <c r="H91" s="446"/>
      <c r="I91" s="446"/>
      <c r="J91" s="446"/>
      <c r="K91" s="446"/>
      <c r="L91" s="446"/>
      <c r="M91" s="446"/>
      <c r="N91" s="446"/>
      <c r="O91" s="446"/>
      <c r="P91" s="446"/>
      <c r="Q91" s="446"/>
      <c r="R91" s="446"/>
      <c r="S91" s="446"/>
      <c r="T91" s="446"/>
      <c r="U91" s="446"/>
      <c r="V91" s="446"/>
      <c r="W91" s="446"/>
      <c r="X91" s="446"/>
      <c r="Y91" s="446"/>
      <c r="Z91" s="446"/>
    </row>
    <row r="92" spans="1:26" ht="15.75" customHeight="1">
      <c r="A92" s="446"/>
      <c r="B92" s="446"/>
      <c r="C92" s="446"/>
      <c r="D92" s="446"/>
      <c r="E92" s="446"/>
      <c r="F92" s="446"/>
      <c r="G92" s="446"/>
      <c r="H92" s="446"/>
      <c r="I92" s="446"/>
      <c r="J92" s="446"/>
      <c r="K92" s="446"/>
      <c r="L92" s="446"/>
      <c r="M92" s="446"/>
      <c r="N92" s="446"/>
      <c r="O92" s="446"/>
      <c r="P92" s="446"/>
      <c r="Q92" s="446"/>
      <c r="R92" s="446"/>
      <c r="S92" s="446"/>
      <c r="T92" s="446"/>
      <c r="U92" s="446"/>
      <c r="V92" s="446"/>
      <c r="W92" s="446"/>
      <c r="X92" s="446"/>
      <c r="Y92" s="446"/>
      <c r="Z92" s="446"/>
    </row>
    <row r="93" spans="1:26" ht="15.75" customHeight="1">
      <c r="A93" s="446"/>
      <c r="B93" s="446"/>
      <c r="C93" s="446"/>
      <c r="D93" s="446"/>
      <c r="E93" s="446"/>
      <c r="F93" s="446"/>
      <c r="G93" s="446"/>
      <c r="H93" s="446"/>
      <c r="I93" s="446"/>
      <c r="J93" s="446"/>
      <c r="K93" s="446"/>
      <c r="L93" s="446"/>
      <c r="M93" s="446"/>
      <c r="N93" s="446"/>
      <c r="O93" s="446"/>
      <c r="P93" s="446"/>
      <c r="Q93" s="446"/>
      <c r="R93" s="446"/>
      <c r="S93" s="446"/>
      <c r="T93" s="446"/>
      <c r="U93" s="446"/>
      <c r="V93" s="446"/>
      <c r="W93" s="446"/>
      <c r="X93" s="446"/>
      <c r="Y93" s="446"/>
      <c r="Z93" s="446"/>
    </row>
    <row r="94" spans="1:26" ht="15.75" customHeight="1">
      <c r="A94" s="446"/>
      <c r="B94" s="446"/>
      <c r="C94" s="446"/>
      <c r="D94" s="446"/>
      <c r="E94" s="446"/>
      <c r="F94" s="446"/>
      <c r="G94" s="446"/>
      <c r="H94" s="446"/>
      <c r="I94" s="446"/>
      <c r="J94" s="446"/>
      <c r="K94" s="446"/>
      <c r="L94" s="446"/>
      <c r="M94" s="446"/>
      <c r="N94" s="446"/>
      <c r="O94" s="446"/>
      <c r="P94" s="446"/>
      <c r="Q94" s="446"/>
      <c r="R94" s="446"/>
      <c r="S94" s="446"/>
      <c r="T94" s="446"/>
      <c r="U94" s="446"/>
      <c r="V94" s="446"/>
      <c r="W94" s="446"/>
      <c r="X94" s="446"/>
      <c r="Y94" s="446"/>
      <c r="Z94" s="446"/>
    </row>
    <row r="95" spans="1:26" ht="15.75" customHeight="1">
      <c r="A95" s="446"/>
      <c r="B95" s="446"/>
      <c r="C95" s="446"/>
      <c r="D95" s="446"/>
      <c r="E95" s="446"/>
      <c r="F95" s="446"/>
      <c r="G95" s="446"/>
      <c r="H95" s="446"/>
      <c r="I95" s="446"/>
      <c r="J95" s="446"/>
      <c r="K95" s="446"/>
      <c r="L95" s="446"/>
      <c r="M95" s="446"/>
      <c r="N95" s="446"/>
      <c r="O95" s="446"/>
      <c r="P95" s="446"/>
      <c r="Q95" s="446"/>
      <c r="R95" s="446"/>
      <c r="S95" s="446"/>
      <c r="T95" s="446"/>
      <c r="U95" s="446"/>
      <c r="V95" s="446"/>
      <c r="W95" s="446"/>
      <c r="X95" s="446"/>
      <c r="Y95" s="446"/>
      <c r="Z95" s="446"/>
    </row>
    <row r="96" spans="1:26" ht="15.75" customHeight="1">
      <c r="A96" s="446"/>
      <c r="B96" s="446"/>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row>
    <row r="97" spans="1:26" ht="15.75" customHeight="1">
      <c r="A97" s="446"/>
      <c r="B97" s="446"/>
      <c r="C97" s="446"/>
      <c r="D97" s="446"/>
      <c r="E97" s="446"/>
      <c r="F97" s="446"/>
      <c r="G97" s="446"/>
      <c r="H97" s="446"/>
      <c r="I97" s="446"/>
      <c r="J97" s="446"/>
      <c r="K97" s="446"/>
      <c r="L97" s="446"/>
      <c r="M97" s="446"/>
      <c r="N97" s="446"/>
      <c r="O97" s="446"/>
      <c r="P97" s="446"/>
      <c r="Q97" s="446"/>
      <c r="R97" s="446"/>
      <c r="S97" s="446"/>
      <c r="T97" s="446"/>
      <c r="U97" s="446"/>
      <c r="V97" s="446"/>
      <c r="W97" s="446"/>
      <c r="X97" s="446"/>
      <c r="Y97" s="446"/>
      <c r="Z97" s="446"/>
    </row>
    <row r="98" spans="1:26" ht="15.75" customHeight="1">
      <c r="A98" s="446"/>
      <c r="B98" s="446"/>
      <c r="C98" s="446"/>
      <c r="D98" s="446"/>
      <c r="E98" s="446"/>
      <c r="F98" s="446"/>
      <c r="G98" s="446"/>
      <c r="H98" s="446"/>
      <c r="I98" s="446"/>
      <c r="J98" s="446"/>
      <c r="K98" s="446"/>
      <c r="L98" s="446"/>
      <c r="M98" s="446"/>
      <c r="N98" s="446"/>
      <c r="O98" s="446"/>
      <c r="P98" s="446"/>
      <c r="Q98" s="446"/>
      <c r="R98" s="446"/>
      <c r="S98" s="446"/>
      <c r="T98" s="446"/>
      <c r="U98" s="446"/>
      <c r="V98" s="446"/>
      <c r="W98" s="446"/>
      <c r="X98" s="446"/>
      <c r="Y98" s="446"/>
      <c r="Z98" s="446"/>
    </row>
    <row r="99" spans="1:26" ht="15.75" customHeight="1">
      <c r="A99" s="446"/>
      <c r="B99" s="446"/>
      <c r="C99" s="446"/>
      <c r="D99" s="446"/>
      <c r="E99" s="446"/>
      <c r="F99" s="446"/>
      <c r="G99" s="446"/>
      <c r="H99" s="446"/>
      <c r="I99" s="446"/>
      <c r="J99" s="446"/>
      <c r="K99" s="446"/>
      <c r="L99" s="446"/>
      <c r="M99" s="446"/>
      <c r="N99" s="446"/>
      <c r="O99" s="446"/>
      <c r="P99" s="446"/>
      <c r="Q99" s="446"/>
      <c r="R99" s="446"/>
      <c r="S99" s="446"/>
      <c r="T99" s="446"/>
      <c r="U99" s="446"/>
      <c r="V99" s="446"/>
      <c r="W99" s="446"/>
      <c r="X99" s="446"/>
      <c r="Y99" s="446"/>
      <c r="Z99" s="446"/>
    </row>
    <row r="100" spans="1:26" ht="15.75" customHeight="1">
      <c r="A100" s="446"/>
      <c r="B100" s="446"/>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row>
    <row r="101" spans="1:26" ht="15.75" customHeight="1">
      <c r="A101" s="446"/>
      <c r="B101" s="446"/>
      <c r="C101" s="446"/>
      <c r="D101" s="446"/>
      <c r="E101" s="446"/>
      <c r="F101" s="446"/>
      <c r="G101" s="446"/>
      <c r="H101" s="446"/>
      <c r="I101" s="446"/>
      <c r="J101" s="446"/>
      <c r="K101" s="446"/>
      <c r="L101" s="446"/>
      <c r="M101" s="446"/>
      <c r="N101" s="446"/>
      <c r="O101" s="446"/>
      <c r="P101" s="446"/>
      <c r="Q101" s="446"/>
      <c r="R101" s="446"/>
      <c r="S101" s="446"/>
      <c r="T101" s="446"/>
      <c r="U101" s="446"/>
      <c r="V101" s="446"/>
      <c r="W101" s="446"/>
      <c r="X101" s="446"/>
      <c r="Y101" s="446"/>
      <c r="Z101" s="446"/>
    </row>
    <row r="102" spans="1:26" ht="15.75" customHeight="1">
      <c r="A102" s="446"/>
      <c r="B102" s="446"/>
      <c r="C102" s="446"/>
      <c r="D102" s="446"/>
      <c r="E102" s="446"/>
      <c r="F102" s="446"/>
      <c r="G102" s="446"/>
      <c r="H102" s="446"/>
      <c r="I102" s="446"/>
      <c r="J102" s="446"/>
      <c r="K102" s="446"/>
      <c r="L102" s="446"/>
      <c r="M102" s="446"/>
      <c r="N102" s="446"/>
      <c r="O102" s="446"/>
      <c r="P102" s="446"/>
      <c r="Q102" s="446"/>
      <c r="R102" s="446"/>
      <c r="S102" s="446"/>
      <c r="T102" s="446"/>
      <c r="U102" s="446"/>
      <c r="V102" s="446"/>
      <c r="W102" s="446"/>
      <c r="X102" s="446"/>
      <c r="Y102" s="446"/>
      <c r="Z102" s="446"/>
    </row>
    <row r="103" spans="1:26" ht="15.75" customHeight="1">
      <c r="A103" s="446"/>
      <c r="B103" s="446"/>
      <c r="C103" s="446"/>
      <c r="D103" s="446"/>
      <c r="E103" s="446"/>
      <c r="F103" s="446"/>
      <c r="G103" s="446"/>
      <c r="H103" s="446"/>
      <c r="I103" s="446"/>
      <c r="J103" s="446"/>
      <c r="K103" s="446"/>
      <c r="L103" s="446"/>
      <c r="M103" s="446"/>
      <c r="N103" s="446"/>
      <c r="O103" s="446"/>
      <c r="P103" s="446"/>
      <c r="Q103" s="446"/>
      <c r="R103" s="446"/>
      <c r="S103" s="446"/>
      <c r="T103" s="446"/>
      <c r="U103" s="446"/>
      <c r="V103" s="446"/>
      <c r="W103" s="446"/>
      <c r="X103" s="446"/>
      <c r="Y103" s="446"/>
      <c r="Z103" s="446"/>
    </row>
    <row r="104" spans="1:26" ht="15.75" customHeight="1">
      <c r="A104" s="446"/>
      <c r="B104" s="446"/>
      <c r="C104" s="446"/>
      <c r="D104" s="446"/>
      <c r="E104" s="446"/>
      <c r="F104" s="446"/>
      <c r="G104" s="446"/>
      <c r="H104" s="446"/>
      <c r="I104" s="446"/>
      <c r="J104" s="446"/>
      <c r="K104" s="446"/>
      <c r="L104" s="446"/>
      <c r="M104" s="446"/>
      <c r="N104" s="446"/>
      <c r="O104" s="446"/>
      <c r="P104" s="446"/>
      <c r="Q104" s="446"/>
      <c r="R104" s="446"/>
      <c r="S104" s="446"/>
      <c r="T104" s="446"/>
      <c r="U104" s="446"/>
      <c r="V104" s="446"/>
      <c r="W104" s="446"/>
      <c r="X104" s="446"/>
      <c r="Y104" s="446"/>
      <c r="Z104" s="446"/>
    </row>
    <row r="105" spans="1:26" ht="15.75" customHeight="1">
      <c r="A105" s="446"/>
      <c r="B105" s="446"/>
      <c r="C105" s="446"/>
      <c r="D105" s="446"/>
      <c r="E105" s="446"/>
      <c r="F105" s="446"/>
      <c r="G105" s="446"/>
      <c r="H105" s="446"/>
      <c r="I105" s="446"/>
      <c r="J105" s="446"/>
      <c r="K105" s="446"/>
      <c r="L105" s="446"/>
      <c r="M105" s="446"/>
      <c r="N105" s="446"/>
      <c r="O105" s="446"/>
      <c r="P105" s="446"/>
      <c r="Q105" s="446"/>
      <c r="R105" s="446"/>
      <c r="S105" s="446"/>
      <c r="T105" s="446"/>
      <c r="U105" s="446"/>
      <c r="V105" s="446"/>
      <c r="W105" s="446"/>
      <c r="X105" s="446"/>
      <c r="Y105" s="446"/>
      <c r="Z105" s="446"/>
    </row>
    <row r="106" spans="1:26" ht="15.75" customHeight="1">
      <c r="A106" s="446"/>
      <c r="B106" s="446"/>
      <c r="C106" s="446"/>
      <c r="D106" s="446"/>
      <c r="E106" s="446"/>
      <c r="F106" s="446"/>
      <c r="G106" s="446"/>
      <c r="H106" s="446"/>
      <c r="I106" s="446"/>
      <c r="J106" s="446"/>
      <c r="K106" s="446"/>
      <c r="L106" s="446"/>
      <c r="M106" s="446"/>
      <c r="N106" s="446"/>
      <c r="O106" s="446"/>
      <c r="P106" s="446"/>
      <c r="Q106" s="446"/>
      <c r="R106" s="446"/>
      <c r="S106" s="446"/>
      <c r="T106" s="446"/>
      <c r="U106" s="446"/>
      <c r="V106" s="446"/>
      <c r="W106" s="446"/>
      <c r="X106" s="446"/>
      <c r="Y106" s="446"/>
      <c r="Z106" s="446"/>
    </row>
    <row r="107" spans="1:26" ht="15.75" customHeight="1">
      <c r="A107" s="446"/>
      <c r="B107" s="446"/>
      <c r="C107" s="446"/>
      <c r="D107" s="446"/>
      <c r="E107" s="446"/>
      <c r="F107" s="446"/>
      <c r="G107" s="446"/>
      <c r="H107" s="446"/>
      <c r="I107" s="446"/>
      <c r="J107" s="446"/>
      <c r="K107" s="446"/>
      <c r="L107" s="446"/>
      <c r="M107" s="446"/>
      <c r="N107" s="446"/>
      <c r="O107" s="446"/>
      <c r="P107" s="446"/>
      <c r="Q107" s="446"/>
      <c r="R107" s="446"/>
      <c r="S107" s="446"/>
      <c r="T107" s="446"/>
      <c r="U107" s="446"/>
      <c r="V107" s="446"/>
      <c r="W107" s="446"/>
      <c r="X107" s="446"/>
      <c r="Y107" s="446"/>
      <c r="Z107" s="446"/>
    </row>
    <row r="108" spans="1:26" ht="15.75" customHeight="1">
      <c r="A108" s="446"/>
      <c r="B108" s="446"/>
      <c r="C108" s="446"/>
      <c r="D108" s="446"/>
      <c r="E108" s="446"/>
      <c r="F108" s="446"/>
      <c r="G108" s="446"/>
      <c r="H108" s="446"/>
      <c r="I108" s="446"/>
      <c r="J108" s="446"/>
      <c r="K108" s="446"/>
      <c r="L108" s="446"/>
      <c r="M108" s="446"/>
      <c r="N108" s="446"/>
      <c r="O108" s="446"/>
      <c r="P108" s="446"/>
      <c r="Q108" s="446"/>
      <c r="R108" s="446"/>
      <c r="S108" s="446"/>
      <c r="T108" s="446"/>
      <c r="U108" s="446"/>
      <c r="V108" s="446"/>
      <c r="W108" s="446"/>
      <c r="X108" s="446"/>
      <c r="Y108" s="446"/>
      <c r="Z108" s="446"/>
    </row>
    <row r="109" spans="1:26" ht="15.75" customHeight="1">
      <c r="A109" s="446"/>
      <c r="B109" s="446"/>
      <c r="C109" s="446"/>
      <c r="D109" s="446"/>
      <c r="E109" s="446"/>
      <c r="F109" s="446"/>
      <c r="G109" s="446"/>
      <c r="H109" s="446"/>
      <c r="I109" s="446"/>
      <c r="J109" s="446"/>
      <c r="K109" s="446"/>
      <c r="L109" s="446"/>
      <c r="M109" s="446"/>
      <c r="N109" s="446"/>
      <c r="O109" s="446"/>
      <c r="P109" s="446"/>
      <c r="Q109" s="446"/>
      <c r="R109" s="446"/>
      <c r="S109" s="446"/>
      <c r="T109" s="446"/>
      <c r="U109" s="446"/>
      <c r="V109" s="446"/>
      <c r="W109" s="446"/>
      <c r="X109" s="446"/>
      <c r="Y109" s="446"/>
      <c r="Z109" s="446"/>
    </row>
    <row r="110" spans="1:26" ht="15.75" customHeight="1">
      <c r="A110" s="446"/>
      <c r="B110" s="446"/>
      <c r="C110" s="446"/>
      <c r="D110" s="446"/>
      <c r="E110" s="446"/>
      <c r="F110" s="446"/>
      <c r="G110" s="446"/>
      <c r="H110" s="446"/>
      <c r="I110" s="446"/>
      <c r="J110" s="446"/>
      <c r="K110" s="446"/>
      <c r="L110" s="446"/>
      <c r="M110" s="446"/>
      <c r="N110" s="446"/>
      <c r="O110" s="446"/>
      <c r="P110" s="446"/>
      <c r="Q110" s="446"/>
      <c r="R110" s="446"/>
      <c r="S110" s="446"/>
      <c r="T110" s="446"/>
      <c r="U110" s="446"/>
      <c r="V110" s="446"/>
      <c r="W110" s="446"/>
      <c r="X110" s="446"/>
      <c r="Y110" s="446"/>
      <c r="Z110" s="446"/>
    </row>
    <row r="111" spans="1:26" ht="15.75" customHeight="1">
      <c r="A111" s="446"/>
      <c r="B111" s="446"/>
      <c r="C111" s="446"/>
      <c r="D111" s="446"/>
      <c r="E111" s="446"/>
      <c r="F111" s="446"/>
      <c r="G111" s="446"/>
      <c r="H111" s="446"/>
      <c r="I111" s="446"/>
      <c r="J111" s="446"/>
      <c r="K111" s="446"/>
      <c r="L111" s="446"/>
      <c r="M111" s="446"/>
      <c r="N111" s="446"/>
      <c r="O111" s="446"/>
      <c r="P111" s="446"/>
      <c r="Q111" s="446"/>
      <c r="R111" s="446"/>
      <c r="S111" s="446"/>
      <c r="T111" s="446"/>
      <c r="U111" s="446"/>
      <c r="V111" s="446"/>
      <c r="W111" s="446"/>
      <c r="X111" s="446"/>
      <c r="Y111" s="446"/>
      <c r="Z111" s="446"/>
    </row>
    <row r="112" spans="1:26" ht="15.75" customHeight="1">
      <c r="A112" s="446"/>
      <c r="B112" s="446"/>
      <c r="C112" s="446"/>
      <c r="D112" s="446"/>
      <c r="E112" s="446"/>
      <c r="F112" s="446"/>
      <c r="G112" s="446"/>
      <c r="H112" s="446"/>
      <c r="I112" s="446"/>
      <c r="J112" s="446"/>
      <c r="K112" s="446"/>
      <c r="L112" s="446"/>
      <c r="M112" s="446"/>
      <c r="N112" s="446"/>
      <c r="O112" s="446"/>
      <c r="P112" s="446"/>
      <c r="Q112" s="446"/>
      <c r="R112" s="446"/>
      <c r="S112" s="446"/>
      <c r="T112" s="446"/>
      <c r="U112" s="446"/>
      <c r="V112" s="446"/>
      <c r="W112" s="446"/>
      <c r="X112" s="446"/>
      <c r="Y112" s="446"/>
      <c r="Z112" s="446"/>
    </row>
    <row r="113" spans="1:26" ht="15.75" customHeight="1">
      <c r="A113" s="446"/>
      <c r="B113" s="446"/>
      <c r="C113" s="446"/>
      <c r="D113" s="446"/>
      <c r="E113" s="446"/>
      <c r="F113" s="446"/>
      <c r="G113" s="446"/>
      <c r="H113" s="446"/>
      <c r="I113" s="446"/>
      <c r="J113" s="446"/>
      <c r="K113" s="446"/>
      <c r="L113" s="446"/>
      <c r="M113" s="446"/>
      <c r="N113" s="446"/>
      <c r="O113" s="446"/>
      <c r="P113" s="446"/>
      <c r="Q113" s="446"/>
      <c r="R113" s="446"/>
      <c r="S113" s="446"/>
      <c r="T113" s="446"/>
      <c r="U113" s="446"/>
      <c r="V113" s="446"/>
      <c r="W113" s="446"/>
      <c r="X113" s="446"/>
      <c r="Y113" s="446"/>
      <c r="Z113" s="446"/>
    </row>
    <row r="114" spans="1:26" ht="15.75" customHeight="1">
      <c r="A114" s="446"/>
      <c r="B114" s="446"/>
      <c r="C114" s="446"/>
      <c r="D114" s="446"/>
      <c r="E114" s="446"/>
      <c r="F114" s="446"/>
      <c r="G114" s="446"/>
      <c r="H114" s="446"/>
      <c r="I114" s="446"/>
      <c r="J114" s="446"/>
      <c r="K114" s="446"/>
      <c r="L114" s="446"/>
      <c r="M114" s="446"/>
      <c r="N114" s="446"/>
      <c r="O114" s="446"/>
      <c r="P114" s="446"/>
      <c r="Q114" s="446"/>
      <c r="R114" s="446"/>
      <c r="S114" s="446"/>
      <c r="T114" s="446"/>
      <c r="U114" s="446"/>
      <c r="V114" s="446"/>
      <c r="W114" s="446"/>
      <c r="X114" s="446"/>
      <c r="Y114" s="446"/>
      <c r="Z114" s="446"/>
    </row>
    <row r="115" spans="1:26" ht="15.75" customHeight="1">
      <c r="A115" s="446"/>
      <c r="B115" s="446"/>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row>
    <row r="116" spans="1:26" ht="15.75" customHeight="1">
      <c r="A116" s="446"/>
      <c r="B116" s="446"/>
      <c r="C116" s="446"/>
      <c r="D116" s="446"/>
      <c r="E116" s="446"/>
      <c r="F116" s="446"/>
      <c r="G116" s="446"/>
      <c r="H116" s="446"/>
      <c r="I116" s="446"/>
      <c r="J116" s="446"/>
      <c r="K116" s="446"/>
      <c r="L116" s="446"/>
      <c r="M116" s="446"/>
      <c r="N116" s="446"/>
      <c r="O116" s="446"/>
      <c r="P116" s="446"/>
      <c r="Q116" s="446"/>
      <c r="R116" s="446"/>
      <c r="S116" s="446"/>
      <c r="T116" s="446"/>
      <c r="U116" s="446"/>
      <c r="V116" s="446"/>
      <c r="W116" s="446"/>
      <c r="X116" s="446"/>
      <c r="Y116" s="446"/>
      <c r="Z116" s="446"/>
    </row>
    <row r="117" spans="1:26" ht="15.75" customHeight="1">
      <c r="A117" s="446"/>
      <c r="B117" s="446"/>
      <c r="C117" s="446"/>
      <c r="D117" s="446"/>
      <c r="E117" s="446"/>
      <c r="F117" s="446"/>
      <c r="G117" s="446"/>
      <c r="H117" s="446"/>
      <c r="I117" s="446"/>
      <c r="J117" s="446"/>
      <c r="K117" s="446"/>
      <c r="L117" s="446"/>
      <c r="M117" s="446"/>
      <c r="N117" s="446"/>
      <c r="O117" s="446"/>
      <c r="P117" s="446"/>
      <c r="Q117" s="446"/>
      <c r="R117" s="446"/>
      <c r="S117" s="446"/>
      <c r="T117" s="446"/>
      <c r="U117" s="446"/>
      <c r="V117" s="446"/>
      <c r="W117" s="446"/>
      <c r="X117" s="446"/>
      <c r="Y117" s="446"/>
      <c r="Z117" s="446"/>
    </row>
    <row r="118" spans="1:26" ht="15.75" customHeight="1">
      <c r="A118" s="446"/>
      <c r="B118" s="446"/>
      <c r="C118" s="446"/>
      <c r="D118" s="446"/>
      <c r="E118" s="446"/>
      <c r="F118" s="446"/>
      <c r="G118" s="446"/>
      <c r="H118" s="446"/>
      <c r="I118" s="446"/>
      <c r="J118" s="446"/>
      <c r="K118" s="446"/>
      <c r="L118" s="446"/>
      <c r="M118" s="446"/>
      <c r="N118" s="446"/>
      <c r="O118" s="446"/>
      <c r="P118" s="446"/>
      <c r="Q118" s="446"/>
      <c r="R118" s="446"/>
      <c r="S118" s="446"/>
      <c r="T118" s="446"/>
      <c r="U118" s="446"/>
      <c r="V118" s="446"/>
      <c r="W118" s="446"/>
      <c r="X118" s="446"/>
      <c r="Y118" s="446"/>
      <c r="Z118" s="446"/>
    </row>
    <row r="119" spans="1:26" ht="15.75" customHeight="1">
      <c r="A119" s="446"/>
      <c r="B119" s="446"/>
      <c r="C119" s="446"/>
      <c r="D119" s="446"/>
      <c r="E119" s="446"/>
      <c r="F119" s="446"/>
      <c r="G119" s="446"/>
      <c r="H119" s="446"/>
      <c r="I119" s="446"/>
      <c r="J119" s="446"/>
      <c r="K119" s="446"/>
      <c r="L119" s="446"/>
      <c r="M119" s="446"/>
      <c r="N119" s="446"/>
      <c r="O119" s="446"/>
      <c r="P119" s="446"/>
      <c r="Q119" s="446"/>
      <c r="R119" s="446"/>
      <c r="S119" s="446"/>
      <c r="T119" s="446"/>
      <c r="U119" s="446"/>
      <c r="V119" s="446"/>
      <c r="W119" s="446"/>
      <c r="X119" s="446"/>
      <c r="Y119" s="446"/>
      <c r="Z119" s="446"/>
    </row>
    <row r="120" spans="1:26" ht="15.75" customHeight="1">
      <c r="A120" s="446"/>
      <c r="B120" s="446"/>
      <c r="C120" s="446"/>
      <c r="D120" s="446"/>
      <c r="E120" s="446"/>
      <c r="F120" s="446"/>
      <c r="G120" s="446"/>
      <c r="H120" s="446"/>
      <c r="I120" s="446"/>
      <c r="J120" s="446"/>
      <c r="K120" s="446"/>
      <c r="L120" s="446"/>
      <c r="M120" s="446"/>
      <c r="N120" s="446"/>
      <c r="O120" s="446"/>
      <c r="P120" s="446"/>
      <c r="Q120" s="446"/>
      <c r="R120" s="446"/>
      <c r="S120" s="446"/>
      <c r="T120" s="446"/>
      <c r="U120" s="446"/>
      <c r="V120" s="446"/>
      <c r="W120" s="446"/>
      <c r="X120" s="446"/>
      <c r="Y120" s="446"/>
      <c r="Z120" s="446"/>
    </row>
    <row r="121" spans="1:26" ht="15.75" customHeight="1">
      <c r="A121" s="446"/>
      <c r="B121" s="446"/>
      <c r="C121" s="446"/>
      <c r="D121" s="446"/>
      <c r="E121" s="446"/>
      <c r="F121" s="446"/>
      <c r="G121" s="446"/>
      <c r="H121" s="446"/>
      <c r="I121" s="446"/>
      <c r="J121" s="446"/>
      <c r="K121" s="446"/>
      <c r="L121" s="446"/>
      <c r="M121" s="446"/>
      <c r="N121" s="446"/>
      <c r="O121" s="446"/>
      <c r="P121" s="446"/>
      <c r="Q121" s="446"/>
      <c r="R121" s="446"/>
      <c r="S121" s="446"/>
      <c r="T121" s="446"/>
      <c r="U121" s="446"/>
      <c r="V121" s="446"/>
      <c r="W121" s="446"/>
      <c r="X121" s="446"/>
      <c r="Y121" s="446"/>
      <c r="Z121" s="446"/>
    </row>
    <row r="122" spans="1:26" ht="15.75" customHeight="1">
      <c r="A122" s="446"/>
      <c r="B122" s="446"/>
      <c r="C122" s="446"/>
      <c r="D122" s="446"/>
      <c r="E122" s="446"/>
      <c r="F122" s="446"/>
      <c r="G122" s="446"/>
      <c r="H122" s="446"/>
      <c r="I122" s="446"/>
      <c r="J122" s="446"/>
      <c r="K122" s="446"/>
      <c r="L122" s="446"/>
      <c r="M122" s="446"/>
      <c r="N122" s="446"/>
      <c r="O122" s="446"/>
      <c r="P122" s="446"/>
      <c r="Q122" s="446"/>
      <c r="R122" s="446"/>
      <c r="S122" s="446"/>
      <c r="T122" s="446"/>
      <c r="U122" s="446"/>
      <c r="V122" s="446"/>
      <c r="W122" s="446"/>
      <c r="X122" s="446"/>
      <c r="Y122" s="446"/>
      <c r="Z122" s="446"/>
    </row>
    <row r="123" spans="1:26" ht="15.75" customHeight="1">
      <c r="A123" s="446"/>
      <c r="B123" s="446"/>
      <c r="C123" s="446"/>
      <c r="D123" s="446"/>
      <c r="E123" s="446"/>
      <c r="F123" s="446"/>
      <c r="G123" s="446"/>
      <c r="H123" s="446"/>
      <c r="I123" s="446"/>
      <c r="J123" s="446"/>
      <c r="K123" s="446"/>
      <c r="L123" s="446"/>
      <c r="M123" s="446"/>
      <c r="N123" s="446"/>
      <c r="O123" s="446"/>
      <c r="P123" s="446"/>
      <c r="Q123" s="446"/>
      <c r="R123" s="446"/>
      <c r="S123" s="446"/>
      <c r="T123" s="446"/>
      <c r="U123" s="446"/>
      <c r="V123" s="446"/>
      <c r="W123" s="446"/>
      <c r="X123" s="446"/>
      <c r="Y123" s="446"/>
      <c r="Z123" s="446"/>
    </row>
    <row r="124" spans="1:26" ht="15.75" customHeight="1">
      <c r="A124" s="446"/>
      <c r="B124" s="446"/>
      <c r="C124" s="446"/>
      <c r="D124" s="446"/>
      <c r="E124" s="446"/>
      <c r="F124" s="446"/>
      <c r="G124" s="446"/>
      <c r="H124" s="446"/>
      <c r="I124" s="446"/>
      <c r="J124" s="446"/>
      <c r="K124" s="446"/>
      <c r="L124" s="446"/>
      <c r="M124" s="446"/>
      <c r="N124" s="446"/>
      <c r="O124" s="446"/>
      <c r="P124" s="446"/>
      <c r="Q124" s="446"/>
      <c r="R124" s="446"/>
      <c r="S124" s="446"/>
      <c r="T124" s="446"/>
      <c r="U124" s="446"/>
      <c r="V124" s="446"/>
      <c r="W124" s="446"/>
      <c r="X124" s="446"/>
      <c r="Y124" s="446"/>
      <c r="Z124" s="446"/>
    </row>
    <row r="125" spans="1:26" ht="15.75" customHeight="1">
      <c r="A125" s="446"/>
      <c r="B125" s="446"/>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row>
    <row r="126" spans="1:26" ht="15.75" customHeight="1">
      <c r="A126" s="446"/>
      <c r="B126" s="446"/>
      <c r="C126" s="446"/>
      <c r="D126" s="446"/>
      <c r="E126" s="446"/>
      <c r="F126" s="446"/>
      <c r="G126" s="446"/>
      <c r="H126" s="446"/>
      <c r="I126" s="446"/>
      <c r="J126" s="446"/>
      <c r="K126" s="446"/>
      <c r="L126" s="446"/>
      <c r="M126" s="446"/>
      <c r="N126" s="446"/>
      <c r="O126" s="446"/>
      <c r="P126" s="446"/>
      <c r="Q126" s="446"/>
      <c r="R126" s="446"/>
      <c r="S126" s="446"/>
      <c r="T126" s="446"/>
      <c r="U126" s="446"/>
      <c r="V126" s="446"/>
      <c r="W126" s="446"/>
      <c r="X126" s="446"/>
      <c r="Y126" s="446"/>
      <c r="Z126" s="446"/>
    </row>
    <row r="127" spans="1:26" ht="15.75" customHeight="1">
      <c r="A127" s="446"/>
      <c r="B127" s="446"/>
      <c r="C127" s="446"/>
      <c r="D127" s="446"/>
      <c r="E127" s="446"/>
      <c r="F127" s="446"/>
      <c r="G127" s="446"/>
      <c r="H127" s="446"/>
      <c r="I127" s="446"/>
      <c r="J127" s="446"/>
      <c r="K127" s="446"/>
      <c r="L127" s="446"/>
      <c r="M127" s="446"/>
      <c r="N127" s="446"/>
      <c r="O127" s="446"/>
      <c r="P127" s="446"/>
      <c r="Q127" s="446"/>
      <c r="R127" s="446"/>
      <c r="S127" s="446"/>
      <c r="T127" s="446"/>
      <c r="U127" s="446"/>
      <c r="V127" s="446"/>
      <c r="W127" s="446"/>
      <c r="X127" s="446"/>
      <c r="Y127" s="446"/>
      <c r="Z127" s="446"/>
    </row>
    <row r="128" spans="1:26" ht="15.75" customHeight="1">
      <c r="A128" s="446"/>
      <c r="B128" s="446"/>
      <c r="C128" s="446"/>
      <c r="D128" s="446"/>
      <c r="E128" s="446"/>
      <c r="F128" s="446"/>
      <c r="G128" s="446"/>
      <c r="H128" s="446"/>
      <c r="I128" s="446"/>
      <c r="J128" s="446"/>
      <c r="K128" s="446"/>
      <c r="L128" s="446"/>
      <c r="M128" s="446"/>
      <c r="N128" s="446"/>
      <c r="O128" s="446"/>
      <c r="P128" s="446"/>
      <c r="Q128" s="446"/>
      <c r="R128" s="446"/>
      <c r="S128" s="446"/>
      <c r="T128" s="446"/>
      <c r="U128" s="446"/>
      <c r="V128" s="446"/>
      <c r="W128" s="446"/>
      <c r="X128" s="446"/>
      <c r="Y128" s="446"/>
      <c r="Z128" s="446"/>
    </row>
    <row r="129" spans="1:26" ht="15.75" customHeight="1">
      <c r="A129" s="446"/>
      <c r="B129" s="446"/>
      <c r="C129" s="446"/>
      <c r="D129" s="446"/>
      <c r="E129" s="446"/>
      <c r="F129" s="446"/>
      <c r="G129" s="446"/>
      <c r="H129" s="446"/>
      <c r="I129" s="446"/>
      <c r="J129" s="446"/>
      <c r="K129" s="446"/>
      <c r="L129" s="446"/>
      <c r="M129" s="446"/>
      <c r="N129" s="446"/>
      <c r="O129" s="446"/>
      <c r="P129" s="446"/>
      <c r="Q129" s="446"/>
      <c r="R129" s="446"/>
      <c r="S129" s="446"/>
      <c r="T129" s="446"/>
      <c r="U129" s="446"/>
      <c r="V129" s="446"/>
      <c r="W129" s="446"/>
      <c r="X129" s="446"/>
      <c r="Y129" s="446"/>
      <c r="Z129" s="446"/>
    </row>
    <row r="130" spans="1:26" ht="15.75" customHeight="1">
      <c r="A130" s="446"/>
      <c r="B130" s="446"/>
      <c r="C130" s="446"/>
      <c r="D130" s="446"/>
      <c r="E130" s="446"/>
      <c r="F130" s="446"/>
      <c r="G130" s="446"/>
      <c r="H130" s="446"/>
      <c r="I130" s="446"/>
      <c r="J130" s="446"/>
      <c r="K130" s="446"/>
      <c r="L130" s="446"/>
      <c r="M130" s="446"/>
      <c r="N130" s="446"/>
      <c r="O130" s="446"/>
      <c r="P130" s="446"/>
      <c r="Q130" s="446"/>
      <c r="R130" s="446"/>
      <c r="S130" s="446"/>
      <c r="T130" s="446"/>
      <c r="U130" s="446"/>
      <c r="V130" s="446"/>
      <c r="W130" s="446"/>
      <c r="X130" s="446"/>
      <c r="Y130" s="446"/>
      <c r="Z130" s="446"/>
    </row>
    <row r="131" spans="1:26" ht="15.75" customHeight="1">
      <c r="A131" s="446"/>
      <c r="B131" s="446"/>
      <c r="C131" s="446"/>
      <c r="D131" s="446"/>
      <c r="E131" s="446"/>
      <c r="F131" s="446"/>
      <c r="G131" s="446"/>
      <c r="H131" s="446"/>
      <c r="I131" s="446"/>
      <c r="J131" s="446"/>
      <c r="K131" s="446"/>
      <c r="L131" s="446"/>
      <c r="M131" s="446"/>
      <c r="N131" s="446"/>
      <c r="O131" s="446"/>
      <c r="P131" s="446"/>
      <c r="Q131" s="446"/>
      <c r="R131" s="446"/>
      <c r="S131" s="446"/>
      <c r="T131" s="446"/>
      <c r="U131" s="446"/>
      <c r="V131" s="446"/>
      <c r="W131" s="446"/>
      <c r="X131" s="446"/>
      <c r="Y131" s="446"/>
      <c r="Z131" s="446"/>
    </row>
    <row r="132" spans="1:26" ht="15.75" customHeight="1">
      <c r="A132" s="446"/>
      <c r="B132" s="446"/>
      <c r="C132" s="446"/>
      <c r="D132" s="446"/>
      <c r="E132" s="446"/>
      <c r="F132" s="446"/>
      <c r="G132" s="446"/>
      <c r="H132" s="446"/>
      <c r="I132" s="446"/>
      <c r="J132" s="446"/>
      <c r="K132" s="446"/>
      <c r="L132" s="446"/>
      <c r="M132" s="446"/>
      <c r="N132" s="446"/>
      <c r="O132" s="446"/>
      <c r="P132" s="446"/>
      <c r="Q132" s="446"/>
      <c r="R132" s="446"/>
      <c r="S132" s="446"/>
      <c r="T132" s="446"/>
      <c r="U132" s="446"/>
      <c r="V132" s="446"/>
      <c r="W132" s="446"/>
      <c r="X132" s="446"/>
      <c r="Y132" s="446"/>
      <c r="Z132" s="446"/>
    </row>
    <row r="133" spans="1:26" ht="15.75" customHeight="1">
      <c r="A133" s="446"/>
      <c r="B133" s="446"/>
      <c r="C133" s="446"/>
      <c r="D133" s="446"/>
      <c r="E133" s="446"/>
      <c r="F133" s="446"/>
      <c r="G133" s="446"/>
      <c r="H133" s="446"/>
      <c r="I133" s="446"/>
      <c r="J133" s="446"/>
      <c r="K133" s="446"/>
      <c r="L133" s="446"/>
      <c r="M133" s="446"/>
      <c r="N133" s="446"/>
      <c r="O133" s="446"/>
      <c r="P133" s="446"/>
      <c r="Q133" s="446"/>
      <c r="R133" s="446"/>
      <c r="S133" s="446"/>
      <c r="T133" s="446"/>
      <c r="U133" s="446"/>
      <c r="V133" s="446"/>
      <c r="W133" s="446"/>
      <c r="X133" s="446"/>
      <c r="Y133" s="446"/>
      <c r="Z133" s="446"/>
    </row>
    <row r="134" spans="1:26" ht="15.75" customHeight="1">
      <c r="A134" s="446"/>
      <c r="B134" s="446"/>
      <c r="C134" s="446"/>
      <c r="D134" s="446"/>
      <c r="E134" s="446"/>
      <c r="F134" s="446"/>
      <c r="G134" s="446"/>
      <c r="H134" s="446"/>
      <c r="I134" s="446"/>
      <c r="J134" s="446"/>
      <c r="K134" s="446"/>
      <c r="L134" s="446"/>
      <c r="M134" s="446"/>
      <c r="N134" s="446"/>
      <c r="O134" s="446"/>
      <c r="P134" s="446"/>
      <c r="Q134" s="446"/>
      <c r="R134" s="446"/>
      <c r="S134" s="446"/>
      <c r="T134" s="446"/>
      <c r="U134" s="446"/>
      <c r="V134" s="446"/>
      <c r="W134" s="446"/>
      <c r="X134" s="446"/>
      <c r="Y134" s="446"/>
      <c r="Z134" s="446"/>
    </row>
    <row r="135" spans="1:26" ht="15.75" customHeight="1">
      <c r="A135" s="446"/>
      <c r="B135" s="446"/>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row>
    <row r="136" spans="1:26" ht="15.75" customHeight="1">
      <c r="A136" s="446"/>
      <c r="B136" s="446"/>
      <c r="C136" s="446"/>
      <c r="D136" s="446"/>
      <c r="E136" s="446"/>
      <c r="F136" s="446"/>
      <c r="G136" s="446"/>
      <c r="H136" s="446"/>
      <c r="I136" s="446"/>
      <c r="J136" s="446"/>
      <c r="K136" s="446"/>
      <c r="L136" s="446"/>
      <c r="M136" s="446"/>
      <c r="N136" s="446"/>
      <c r="O136" s="446"/>
      <c r="P136" s="446"/>
      <c r="Q136" s="446"/>
      <c r="R136" s="446"/>
      <c r="S136" s="446"/>
      <c r="T136" s="446"/>
      <c r="U136" s="446"/>
      <c r="V136" s="446"/>
      <c r="W136" s="446"/>
      <c r="X136" s="446"/>
      <c r="Y136" s="446"/>
      <c r="Z136" s="446"/>
    </row>
    <row r="137" spans="1:26" ht="15.75" customHeight="1">
      <c r="A137" s="446"/>
      <c r="B137" s="446"/>
      <c r="C137" s="446"/>
      <c r="D137" s="446"/>
      <c r="E137" s="446"/>
      <c r="F137" s="446"/>
      <c r="G137" s="446"/>
      <c r="H137" s="446"/>
      <c r="I137" s="446"/>
      <c r="J137" s="446"/>
      <c r="K137" s="446"/>
      <c r="L137" s="446"/>
      <c r="M137" s="446"/>
      <c r="N137" s="446"/>
      <c r="O137" s="446"/>
      <c r="P137" s="446"/>
      <c r="Q137" s="446"/>
      <c r="R137" s="446"/>
      <c r="S137" s="446"/>
      <c r="T137" s="446"/>
      <c r="U137" s="446"/>
      <c r="V137" s="446"/>
      <c r="W137" s="446"/>
      <c r="X137" s="446"/>
      <c r="Y137" s="446"/>
      <c r="Z137" s="446"/>
    </row>
    <row r="138" spans="1:26" ht="15.75" customHeight="1">
      <c r="A138" s="446"/>
      <c r="B138" s="446"/>
      <c r="C138" s="446"/>
      <c r="D138" s="446"/>
      <c r="E138" s="446"/>
      <c r="F138" s="446"/>
      <c r="G138" s="446"/>
      <c r="H138" s="446"/>
      <c r="I138" s="446"/>
      <c r="J138" s="446"/>
      <c r="K138" s="446"/>
      <c r="L138" s="446"/>
      <c r="M138" s="446"/>
      <c r="N138" s="446"/>
      <c r="O138" s="446"/>
      <c r="P138" s="446"/>
      <c r="Q138" s="446"/>
      <c r="R138" s="446"/>
      <c r="S138" s="446"/>
      <c r="T138" s="446"/>
      <c r="U138" s="446"/>
      <c r="V138" s="446"/>
      <c r="W138" s="446"/>
      <c r="X138" s="446"/>
      <c r="Y138" s="446"/>
      <c r="Z138" s="446"/>
    </row>
    <row r="139" spans="1:26" ht="15.75" customHeight="1">
      <c r="A139" s="446"/>
      <c r="B139" s="446"/>
      <c r="C139" s="446"/>
      <c r="D139" s="446"/>
      <c r="E139" s="446"/>
      <c r="F139" s="446"/>
      <c r="G139" s="446"/>
      <c r="H139" s="446"/>
      <c r="I139" s="446"/>
      <c r="J139" s="446"/>
      <c r="K139" s="446"/>
      <c r="L139" s="446"/>
      <c r="M139" s="446"/>
      <c r="N139" s="446"/>
      <c r="O139" s="446"/>
      <c r="P139" s="446"/>
      <c r="Q139" s="446"/>
      <c r="R139" s="446"/>
      <c r="S139" s="446"/>
      <c r="T139" s="446"/>
      <c r="U139" s="446"/>
      <c r="V139" s="446"/>
      <c r="W139" s="446"/>
      <c r="X139" s="446"/>
      <c r="Y139" s="446"/>
      <c r="Z139" s="446"/>
    </row>
    <row r="140" spans="1:26" ht="15.75" customHeight="1">
      <c r="A140" s="446"/>
      <c r="B140" s="446"/>
      <c r="C140" s="446"/>
      <c r="D140" s="446"/>
      <c r="E140" s="446"/>
      <c r="F140" s="446"/>
      <c r="G140" s="446"/>
      <c r="H140" s="446"/>
      <c r="I140" s="446"/>
      <c r="J140" s="446"/>
      <c r="K140" s="446"/>
      <c r="L140" s="446"/>
      <c r="M140" s="446"/>
      <c r="N140" s="446"/>
      <c r="O140" s="446"/>
      <c r="P140" s="446"/>
      <c r="Q140" s="446"/>
      <c r="R140" s="446"/>
      <c r="S140" s="446"/>
      <c r="T140" s="446"/>
      <c r="U140" s="446"/>
      <c r="V140" s="446"/>
      <c r="W140" s="446"/>
      <c r="X140" s="446"/>
      <c r="Y140" s="446"/>
      <c r="Z140" s="446"/>
    </row>
    <row r="141" spans="1:26" ht="15.75" customHeight="1">
      <c r="A141" s="446"/>
      <c r="B141" s="446"/>
      <c r="C141" s="446"/>
      <c r="D141" s="446"/>
      <c r="E141" s="446"/>
      <c r="F141" s="446"/>
      <c r="G141" s="446"/>
      <c r="H141" s="446"/>
      <c r="I141" s="446"/>
      <c r="J141" s="446"/>
      <c r="K141" s="446"/>
      <c r="L141" s="446"/>
      <c r="M141" s="446"/>
      <c r="N141" s="446"/>
      <c r="O141" s="446"/>
      <c r="P141" s="446"/>
      <c r="Q141" s="446"/>
      <c r="R141" s="446"/>
      <c r="S141" s="446"/>
      <c r="T141" s="446"/>
      <c r="U141" s="446"/>
      <c r="V141" s="446"/>
      <c r="W141" s="446"/>
      <c r="X141" s="446"/>
      <c r="Y141" s="446"/>
      <c r="Z141" s="446"/>
    </row>
    <row r="142" spans="1:26" ht="15.75" customHeight="1">
      <c r="A142" s="446"/>
      <c r="B142" s="446"/>
      <c r="C142" s="446"/>
      <c r="D142" s="446"/>
      <c r="E142" s="446"/>
      <c r="F142" s="446"/>
      <c r="G142" s="446"/>
      <c r="H142" s="446"/>
      <c r="I142" s="446"/>
      <c r="J142" s="446"/>
      <c r="K142" s="446"/>
      <c r="L142" s="446"/>
      <c r="M142" s="446"/>
      <c r="N142" s="446"/>
      <c r="O142" s="446"/>
      <c r="P142" s="446"/>
      <c r="Q142" s="446"/>
      <c r="R142" s="446"/>
      <c r="S142" s="446"/>
      <c r="T142" s="446"/>
      <c r="U142" s="446"/>
      <c r="V142" s="446"/>
      <c r="W142" s="446"/>
      <c r="X142" s="446"/>
      <c r="Y142" s="446"/>
      <c r="Z142" s="446"/>
    </row>
    <row r="143" spans="1:26" ht="15.75" customHeight="1">
      <c r="A143" s="446"/>
      <c r="B143" s="446"/>
      <c r="C143" s="446"/>
      <c r="D143" s="446"/>
      <c r="E143" s="446"/>
      <c r="F143" s="446"/>
      <c r="G143" s="446"/>
      <c r="H143" s="446"/>
      <c r="I143" s="446"/>
      <c r="J143" s="446"/>
      <c r="K143" s="446"/>
      <c r="L143" s="446"/>
      <c r="M143" s="446"/>
      <c r="N143" s="446"/>
      <c r="O143" s="446"/>
      <c r="P143" s="446"/>
      <c r="Q143" s="446"/>
      <c r="R143" s="446"/>
      <c r="S143" s="446"/>
      <c r="T143" s="446"/>
      <c r="U143" s="446"/>
      <c r="V143" s="446"/>
      <c r="W143" s="446"/>
      <c r="X143" s="446"/>
      <c r="Y143" s="446"/>
      <c r="Z143" s="446"/>
    </row>
    <row r="144" spans="1:26" ht="15.75" customHeight="1">
      <c r="A144" s="446"/>
      <c r="B144" s="446"/>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row>
    <row r="145" spans="1:26" ht="15.75" customHeight="1">
      <c r="A145" s="446"/>
      <c r="B145" s="446"/>
      <c r="C145" s="446"/>
      <c r="D145" s="446"/>
      <c r="E145" s="446"/>
      <c r="F145" s="446"/>
      <c r="G145" s="446"/>
      <c r="H145" s="446"/>
      <c r="I145" s="446"/>
      <c r="J145" s="446"/>
      <c r="K145" s="446"/>
      <c r="L145" s="446"/>
      <c r="M145" s="446"/>
      <c r="N145" s="446"/>
      <c r="O145" s="446"/>
      <c r="P145" s="446"/>
      <c r="Q145" s="446"/>
      <c r="R145" s="446"/>
      <c r="S145" s="446"/>
      <c r="T145" s="446"/>
      <c r="U145" s="446"/>
      <c r="V145" s="446"/>
      <c r="W145" s="446"/>
      <c r="X145" s="446"/>
      <c r="Y145" s="446"/>
      <c r="Z145" s="446"/>
    </row>
    <row r="146" spans="1:26" ht="15.75" customHeight="1">
      <c r="A146" s="446"/>
      <c r="B146" s="446"/>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row>
    <row r="147" spans="1:26" ht="15.75" customHeight="1">
      <c r="A147" s="446"/>
      <c r="B147" s="446"/>
      <c r="C147" s="446"/>
      <c r="D147" s="446"/>
      <c r="E147" s="446"/>
      <c r="F147" s="446"/>
      <c r="G147" s="446"/>
      <c r="H147" s="446"/>
      <c r="I147" s="446"/>
      <c r="J147" s="446"/>
      <c r="K147" s="446"/>
      <c r="L147" s="446"/>
      <c r="M147" s="446"/>
      <c r="N147" s="446"/>
      <c r="O147" s="446"/>
      <c r="P147" s="446"/>
      <c r="Q147" s="446"/>
      <c r="R147" s="446"/>
      <c r="S147" s="446"/>
      <c r="T147" s="446"/>
      <c r="U147" s="446"/>
      <c r="V147" s="446"/>
      <c r="W147" s="446"/>
      <c r="X147" s="446"/>
      <c r="Y147" s="446"/>
      <c r="Z147" s="446"/>
    </row>
    <row r="148" spans="1:26" ht="15.75" customHeight="1">
      <c r="A148" s="446"/>
      <c r="B148" s="446"/>
      <c r="C148" s="446"/>
      <c r="D148" s="446"/>
      <c r="E148" s="446"/>
      <c r="F148" s="446"/>
      <c r="G148" s="446"/>
      <c r="H148" s="446"/>
      <c r="I148" s="446"/>
      <c r="J148" s="446"/>
      <c r="K148" s="446"/>
      <c r="L148" s="446"/>
      <c r="M148" s="446"/>
      <c r="N148" s="446"/>
      <c r="O148" s="446"/>
      <c r="P148" s="446"/>
      <c r="Q148" s="446"/>
      <c r="R148" s="446"/>
      <c r="S148" s="446"/>
      <c r="T148" s="446"/>
      <c r="U148" s="446"/>
      <c r="V148" s="446"/>
      <c r="W148" s="446"/>
      <c r="X148" s="446"/>
      <c r="Y148" s="446"/>
      <c r="Z148" s="446"/>
    </row>
    <row r="149" spans="1:26" ht="15.75" customHeight="1">
      <c r="A149" s="446"/>
      <c r="B149" s="446"/>
      <c r="C149" s="446"/>
      <c r="D149" s="446"/>
      <c r="E149" s="446"/>
      <c r="F149" s="446"/>
      <c r="G149" s="446"/>
      <c r="H149" s="446"/>
      <c r="I149" s="446"/>
      <c r="J149" s="446"/>
      <c r="K149" s="446"/>
      <c r="L149" s="446"/>
      <c r="M149" s="446"/>
      <c r="N149" s="446"/>
      <c r="O149" s="446"/>
      <c r="P149" s="446"/>
      <c r="Q149" s="446"/>
      <c r="R149" s="446"/>
      <c r="S149" s="446"/>
      <c r="T149" s="446"/>
      <c r="U149" s="446"/>
      <c r="V149" s="446"/>
      <c r="W149" s="446"/>
      <c r="X149" s="446"/>
      <c r="Y149" s="446"/>
      <c r="Z149" s="446"/>
    </row>
    <row r="150" spans="1:26" ht="15.75" customHeight="1">
      <c r="A150" s="446"/>
      <c r="B150" s="446"/>
      <c r="C150" s="446"/>
      <c r="D150" s="446"/>
      <c r="E150" s="446"/>
      <c r="F150" s="446"/>
      <c r="G150" s="446"/>
      <c r="H150" s="446"/>
      <c r="I150" s="446"/>
      <c r="J150" s="446"/>
      <c r="K150" s="446"/>
      <c r="L150" s="446"/>
      <c r="M150" s="446"/>
      <c r="N150" s="446"/>
      <c r="O150" s="446"/>
      <c r="P150" s="446"/>
      <c r="Q150" s="446"/>
      <c r="R150" s="446"/>
      <c r="S150" s="446"/>
      <c r="T150" s="446"/>
      <c r="U150" s="446"/>
      <c r="V150" s="446"/>
      <c r="W150" s="446"/>
      <c r="X150" s="446"/>
      <c r="Y150" s="446"/>
      <c r="Z150" s="446"/>
    </row>
    <row r="151" spans="1:26" ht="15.75" customHeight="1">
      <c r="A151" s="446"/>
      <c r="B151" s="446"/>
      <c r="C151" s="446"/>
      <c r="D151" s="446"/>
      <c r="E151" s="446"/>
      <c r="F151" s="446"/>
      <c r="G151" s="446"/>
      <c r="H151" s="446"/>
      <c r="I151" s="446"/>
      <c r="J151" s="446"/>
      <c r="K151" s="446"/>
      <c r="L151" s="446"/>
      <c r="M151" s="446"/>
      <c r="N151" s="446"/>
      <c r="O151" s="446"/>
      <c r="P151" s="446"/>
      <c r="Q151" s="446"/>
      <c r="R151" s="446"/>
      <c r="S151" s="446"/>
      <c r="T151" s="446"/>
      <c r="U151" s="446"/>
      <c r="V151" s="446"/>
      <c r="W151" s="446"/>
      <c r="X151" s="446"/>
      <c r="Y151" s="446"/>
      <c r="Z151" s="446"/>
    </row>
    <row r="152" spans="1:26" ht="15.75" customHeight="1">
      <c r="A152" s="446"/>
      <c r="B152" s="446"/>
      <c r="C152" s="446"/>
      <c r="D152" s="446"/>
      <c r="E152" s="446"/>
      <c r="F152" s="446"/>
      <c r="G152" s="446"/>
      <c r="H152" s="446"/>
      <c r="I152" s="446"/>
      <c r="J152" s="446"/>
      <c r="K152" s="446"/>
      <c r="L152" s="446"/>
      <c r="M152" s="446"/>
      <c r="N152" s="446"/>
      <c r="O152" s="446"/>
      <c r="P152" s="446"/>
      <c r="Q152" s="446"/>
      <c r="R152" s="446"/>
      <c r="S152" s="446"/>
      <c r="T152" s="446"/>
      <c r="U152" s="446"/>
      <c r="V152" s="446"/>
      <c r="W152" s="446"/>
      <c r="X152" s="446"/>
      <c r="Y152" s="446"/>
      <c r="Z152" s="446"/>
    </row>
    <row r="153" spans="1:26" ht="15.75" customHeight="1">
      <c r="A153" s="446"/>
      <c r="B153" s="446"/>
      <c r="C153" s="446"/>
      <c r="D153" s="446"/>
      <c r="E153" s="446"/>
      <c r="F153" s="446"/>
      <c r="G153" s="446"/>
      <c r="H153" s="446"/>
      <c r="I153" s="446"/>
      <c r="J153" s="446"/>
      <c r="K153" s="446"/>
      <c r="L153" s="446"/>
      <c r="M153" s="446"/>
      <c r="N153" s="446"/>
      <c r="O153" s="446"/>
      <c r="P153" s="446"/>
      <c r="Q153" s="446"/>
      <c r="R153" s="446"/>
      <c r="S153" s="446"/>
      <c r="T153" s="446"/>
      <c r="U153" s="446"/>
      <c r="V153" s="446"/>
      <c r="W153" s="446"/>
      <c r="X153" s="446"/>
      <c r="Y153" s="446"/>
      <c r="Z153" s="446"/>
    </row>
    <row r="154" spans="1:26" ht="15.75" customHeight="1">
      <c r="A154" s="446"/>
      <c r="B154" s="446"/>
      <c r="C154" s="446"/>
      <c r="D154" s="446"/>
      <c r="E154" s="446"/>
      <c r="F154" s="446"/>
      <c r="G154" s="446"/>
      <c r="H154" s="446"/>
      <c r="I154" s="446"/>
      <c r="J154" s="446"/>
      <c r="K154" s="446"/>
      <c r="L154" s="446"/>
      <c r="M154" s="446"/>
      <c r="N154" s="446"/>
      <c r="O154" s="446"/>
      <c r="P154" s="446"/>
      <c r="Q154" s="446"/>
      <c r="R154" s="446"/>
      <c r="S154" s="446"/>
      <c r="T154" s="446"/>
      <c r="U154" s="446"/>
      <c r="V154" s="446"/>
      <c r="W154" s="446"/>
      <c r="X154" s="446"/>
      <c r="Y154" s="446"/>
      <c r="Z154" s="446"/>
    </row>
    <row r="155" spans="1:26" ht="15.75" customHeight="1">
      <c r="A155" s="446"/>
      <c r="B155" s="446"/>
      <c r="C155" s="446"/>
      <c r="D155" s="446"/>
      <c r="E155" s="446"/>
      <c r="F155" s="446"/>
      <c r="G155" s="446"/>
      <c r="H155" s="446"/>
      <c r="I155" s="446"/>
      <c r="J155" s="446"/>
      <c r="K155" s="446"/>
      <c r="L155" s="446"/>
      <c r="M155" s="446"/>
      <c r="N155" s="446"/>
      <c r="O155" s="446"/>
      <c r="P155" s="446"/>
      <c r="Q155" s="446"/>
      <c r="R155" s="446"/>
      <c r="S155" s="446"/>
      <c r="T155" s="446"/>
      <c r="U155" s="446"/>
      <c r="V155" s="446"/>
      <c r="W155" s="446"/>
      <c r="X155" s="446"/>
      <c r="Y155" s="446"/>
      <c r="Z155" s="446"/>
    </row>
    <row r="156" spans="1:26" ht="15.75" customHeight="1">
      <c r="A156" s="446"/>
      <c r="B156" s="446"/>
      <c r="C156" s="446"/>
      <c r="D156" s="446"/>
      <c r="E156" s="446"/>
      <c r="F156" s="446"/>
      <c r="G156" s="446"/>
      <c r="H156" s="446"/>
      <c r="I156" s="446"/>
      <c r="J156" s="446"/>
      <c r="K156" s="446"/>
      <c r="L156" s="446"/>
      <c r="M156" s="446"/>
      <c r="N156" s="446"/>
      <c r="O156" s="446"/>
      <c r="P156" s="446"/>
      <c r="Q156" s="446"/>
      <c r="R156" s="446"/>
      <c r="S156" s="446"/>
      <c r="T156" s="446"/>
      <c r="U156" s="446"/>
      <c r="V156" s="446"/>
      <c r="W156" s="446"/>
      <c r="X156" s="446"/>
      <c r="Y156" s="446"/>
      <c r="Z156" s="446"/>
    </row>
    <row r="157" spans="1:26" ht="15.75" customHeight="1">
      <c r="A157" s="446"/>
      <c r="B157" s="446"/>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row>
    <row r="158" spans="1:26" ht="15.75" customHeight="1">
      <c r="A158" s="446"/>
      <c r="B158" s="446"/>
      <c r="C158" s="446"/>
      <c r="D158" s="446"/>
      <c r="E158" s="446"/>
      <c r="F158" s="446"/>
      <c r="G158" s="446"/>
      <c r="H158" s="446"/>
      <c r="I158" s="446"/>
      <c r="J158" s="446"/>
      <c r="K158" s="446"/>
      <c r="L158" s="446"/>
      <c r="M158" s="446"/>
      <c r="N158" s="446"/>
      <c r="O158" s="446"/>
      <c r="P158" s="446"/>
      <c r="Q158" s="446"/>
      <c r="R158" s="446"/>
      <c r="S158" s="446"/>
      <c r="T158" s="446"/>
      <c r="U158" s="446"/>
      <c r="V158" s="446"/>
      <c r="W158" s="446"/>
      <c r="X158" s="446"/>
      <c r="Y158" s="446"/>
      <c r="Z158" s="446"/>
    </row>
    <row r="159" spans="1:26" ht="15.75" customHeight="1">
      <c r="A159" s="446"/>
      <c r="B159" s="446"/>
      <c r="C159" s="446"/>
      <c r="D159" s="446"/>
      <c r="E159" s="446"/>
      <c r="F159" s="446"/>
      <c r="G159" s="446"/>
      <c r="H159" s="446"/>
      <c r="I159" s="446"/>
      <c r="J159" s="446"/>
      <c r="K159" s="446"/>
      <c r="L159" s="446"/>
      <c r="M159" s="446"/>
      <c r="N159" s="446"/>
      <c r="O159" s="446"/>
      <c r="P159" s="446"/>
      <c r="Q159" s="446"/>
      <c r="R159" s="446"/>
      <c r="S159" s="446"/>
      <c r="T159" s="446"/>
      <c r="U159" s="446"/>
      <c r="V159" s="446"/>
      <c r="W159" s="446"/>
      <c r="X159" s="446"/>
      <c r="Y159" s="446"/>
      <c r="Z159" s="446"/>
    </row>
    <row r="160" spans="1:26" ht="15.75" customHeight="1">
      <c r="A160" s="446"/>
      <c r="B160" s="446"/>
      <c r="C160" s="446"/>
      <c r="D160" s="446"/>
      <c r="E160" s="446"/>
      <c r="F160" s="446"/>
      <c r="G160" s="446"/>
      <c r="H160" s="446"/>
      <c r="I160" s="446"/>
      <c r="J160" s="446"/>
      <c r="K160" s="446"/>
      <c r="L160" s="446"/>
      <c r="M160" s="446"/>
      <c r="N160" s="446"/>
      <c r="O160" s="446"/>
      <c r="P160" s="446"/>
      <c r="Q160" s="446"/>
      <c r="R160" s="446"/>
      <c r="S160" s="446"/>
      <c r="T160" s="446"/>
      <c r="U160" s="446"/>
      <c r="V160" s="446"/>
      <c r="W160" s="446"/>
      <c r="X160" s="446"/>
      <c r="Y160" s="446"/>
      <c r="Z160" s="446"/>
    </row>
    <row r="161" spans="1:26" ht="15.75" customHeight="1">
      <c r="A161" s="446"/>
      <c r="B161" s="446"/>
      <c r="C161" s="446"/>
      <c r="D161" s="446"/>
      <c r="E161" s="446"/>
      <c r="F161" s="446"/>
      <c r="G161" s="446"/>
      <c r="H161" s="446"/>
      <c r="I161" s="446"/>
      <c r="J161" s="446"/>
      <c r="K161" s="446"/>
      <c r="L161" s="446"/>
      <c r="M161" s="446"/>
      <c r="N161" s="446"/>
      <c r="O161" s="446"/>
      <c r="P161" s="446"/>
      <c r="Q161" s="446"/>
      <c r="R161" s="446"/>
      <c r="S161" s="446"/>
      <c r="T161" s="446"/>
      <c r="U161" s="446"/>
      <c r="V161" s="446"/>
      <c r="W161" s="446"/>
      <c r="X161" s="446"/>
      <c r="Y161" s="446"/>
      <c r="Z161" s="446"/>
    </row>
    <row r="162" spans="1:26" ht="15.75" customHeight="1">
      <c r="A162" s="446"/>
      <c r="B162" s="446"/>
      <c r="C162" s="446"/>
      <c r="D162" s="446"/>
      <c r="E162" s="446"/>
      <c r="F162" s="446"/>
      <c r="G162" s="446"/>
      <c r="H162" s="446"/>
      <c r="I162" s="446"/>
      <c r="J162" s="446"/>
      <c r="K162" s="446"/>
      <c r="L162" s="446"/>
      <c r="M162" s="446"/>
      <c r="N162" s="446"/>
      <c r="O162" s="446"/>
      <c r="P162" s="446"/>
      <c r="Q162" s="446"/>
      <c r="R162" s="446"/>
      <c r="S162" s="446"/>
      <c r="T162" s="446"/>
      <c r="U162" s="446"/>
      <c r="V162" s="446"/>
      <c r="W162" s="446"/>
      <c r="X162" s="446"/>
      <c r="Y162" s="446"/>
      <c r="Z162" s="446"/>
    </row>
    <row r="163" spans="1:26" ht="15.75" customHeight="1">
      <c r="A163" s="446"/>
      <c r="B163" s="446"/>
      <c r="C163" s="446"/>
      <c r="D163" s="446"/>
      <c r="E163" s="446"/>
      <c r="F163" s="446"/>
      <c r="G163" s="446"/>
      <c r="H163" s="446"/>
      <c r="I163" s="446"/>
      <c r="J163" s="446"/>
      <c r="K163" s="446"/>
      <c r="L163" s="446"/>
      <c r="M163" s="446"/>
      <c r="N163" s="446"/>
      <c r="O163" s="446"/>
      <c r="P163" s="446"/>
      <c r="Q163" s="446"/>
      <c r="R163" s="446"/>
      <c r="S163" s="446"/>
      <c r="T163" s="446"/>
      <c r="U163" s="446"/>
      <c r="V163" s="446"/>
      <c r="W163" s="446"/>
      <c r="X163" s="446"/>
      <c r="Y163" s="446"/>
      <c r="Z163" s="446"/>
    </row>
    <row r="164" spans="1:26" ht="15.75" customHeight="1">
      <c r="A164" s="446"/>
      <c r="B164" s="446"/>
      <c r="C164" s="446"/>
      <c r="D164" s="446"/>
      <c r="E164" s="446"/>
      <c r="F164" s="446"/>
      <c r="G164" s="446"/>
      <c r="H164" s="446"/>
      <c r="I164" s="446"/>
      <c r="J164" s="446"/>
      <c r="K164" s="446"/>
      <c r="L164" s="446"/>
      <c r="M164" s="446"/>
      <c r="N164" s="446"/>
      <c r="O164" s="446"/>
      <c r="P164" s="446"/>
      <c r="Q164" s="446"/>
      <c r="R164" s="446"/>
      <c r="S164" s="446"/>
      <c r="T164" s="446"/>
      <c r="U164" s="446"/>
      <c r="V164" s="446"/>
      <c r="W164" s="446"/>
      <c r="X164" s="446"/>
      <c r="Y164" s="446"/>
      <c r="Z164" s="446"/>
    </row>
    <row r="165" spans="1:26" ht="15.75" customHeight="1">
      <c r="A165" s="446"/>
      <c r="B165" s="446"/>
      <c r="C165" s="446"/>
      <c r="D165" s="446"/>
      <c r="E165" s="446"/>
      <c r="F165" s="446"/>
      <c r="G165" s="446"/>
      <c r="H165" s="446"/>
      <c r="I165" s="446"/>
      <c r="J165" s="446"/>
      <c r="K165" s="446"/>
      <c r="L165" s="446"/>
      <c r="M165" s="446"/>
      <c r="N165" s="446"/>
      <c r="O165" s="446"/>
      <c r="P165" s="446"/>
      <c r="Q165" s="446"/>
      <c r="R165" s="446"/>
      <c r="S165" s="446"/>
      <c r="T165" s="446"/>
      <c r="U165" s="446"/>
      <c r="V165" s="446"/>
      <c r="W165" s="446"/>
      <c r="X165" s="446"/>
      <c r="Y165" s="446"/>
      <c r="Z165" s="446"/>
    </row>
    <row r="166" spans="1:26" ht="15.75" customHeight="1">
      <c r="A166" s="446"/>
      <c r="B166" s="446"/>
      <c r="C166" s="446"/>
      <c r="D166" s="446"/>
      <c r="E166" s="446"/>
      <c r="F166" s="446"/>
      <c r="G166" s="446"/>
      <c r="H166" s="446"/>
      <c r="I166" s="446"/>
      <c r="J166" s="446"/>
      <c r="K166" s="446"/>
      <c r="L166" s="446"/>
      <c r="M166" s="446"/>
      <c r="N166" s="446"/>
      <c r="O166" s="446"/>
      <c r="P166" s="446"/>
      <c r="Q166" s="446"/>
      <c r="R166" s="446"/>
      <c r="S166" s="446"/>
      <c r="T166" s="446"/>
      <c r="U166" s="446"/>
      <c r="V166" s="446"/>
      <c r="W166" s="446"/>
      <c r="X166" s="446"/>
      <c r="Y166" s="446"/>
      <c r="Z166" s="446"/>
    </row>
    <row r="167" spans="1:26" ht="15.75" customHeight="1">
      <c r="A167" s="446"/>
      <c r="B167" s="446"/>
      <c r="C167" s="446"/>
      <c r="D167" s="446"/>
      <c r="E167" s="446"/>
      <c r="F167" s="446"/>
      <c r="G167" s="446"/>
      <c r="H167" s="446"/>
      <c r="I167" s="446"/>
      <c r="J167" s="446"/>
      <c r="K167" s="446"/>
      <c r="L167" s="446"/>
      <c r="M167" s="446"/>
      <c r="N167" s="446"/>
      <c r="O167" s="446"/>
      <c r="P167" s="446"/>
      <c r="Q167" s="446"/>
      <c r="R167" s="446"/>
      <c r="S167" s="446"/>
      <c r="T167" s="446"/>
      <c r="U167" s="446"/>
      <c r="V167" s="446"/>
      <c r="W167" s="446"/>
      <c r="X167" s="446"/>
      <c r="Y167" s="446"/>
      <c r="Z167" s="446"/>
    </row>
    <row r="168" spans="1:26" ht="15.75" customHeight="1">
      <c r="A168" s="446"/>
      <c r="B168" s="446"/>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row>
    <row r="169" spans="1:26" ht="15.75" customHeight="1">
      <c r="A169" s="446"/>
      <c r="B169" s="446"/>
      <c r="C169" s="446"/>
      <c r="D169" s="446"/>
      <c r="E169" s="446"/>
      <c r="F169" s="446"/>
      <c r="G169" s="446"/>
      <c r="H169" s="446"/>
      <c r="I169" s="446"/>
      <c r="J169" s="446"/>
      <c r="K169" s="446"/>
      <c r="L169" s="446"/>
      <c r="M169" s="446"/>
      <c r="N169" s="446"/>
      <c r="O169" s="446"/>
      <c r="P169" s="446"/>
      <c r="Q169" s="446"/>
      <c r="R169" s="446"/>
      <c r="S169" s="446"/>
      <c r="T169" s="446"/>
      <c r="U169" s="446"/>
      <c r="V169" s="446"/>
      <c r="W169" s="446"/>
      <c r="X169" s="446"/>
      <c r="Y169" s="446"/>
      <c r="Z169" s="446"/>
    </row>
    <row r="170" spans="1:26" ht="15.75" customHeight="1">
      <c r="A170" s="446"/>
      <c r="B170" s="446"/>
      <c r="C170" s="446"/>
      <c r="D170" s="446"/>
      <c r="E170" s="446"/>
      <c r="F170" s="446"/>
      <c r="G170" s="446"/>
      <c r="H170" s="446"/>
      <c r="I170" s="446"/>
      <c r="J170" s="446"/>
      <c r="K170" s="446"/>
      <c r="L170" s="446"/>
      <c r="M170" s="446"/>
      <c r="N170" s="446"/>
      <c r="O170" s="446"/>
      <c r="P170" s="446"/>
      <c r="Q170" s="446"/>
      <c r="R170" s="446"/>
      <c r="S170" s="446"/>
      <c r="T170" s="446"/>
      <c r="U170" s="446"/>
      <c r="V170" s="446"/>
      <c r="W170" s="446"/>
      <c r="X170" s="446"/>
      <c r="Y170" s="446"/>
      <c r="Z170" s="446"/>
    </row>
    <row r="171" spans="1:26" ht="15.75" customHeight="1">
      <c r="A171" s="446"/>
      <c r="B171" s="446"/>
      <c r="C171" s="446"/>
      <c r="D171" s="446"/>
      <c r="E171" s="446"/>
      <c r="F171" s="446"/>
      <c r="G171" s="446"/>
      <c r="H171" s="446"/>
      <c r="I171" s="446"/>
      <c r="J171" s="446"/>
      <c r="K171" s="446"/>
      <c r="L171" s="446"/>
      <c r="M171" s="446"/>
      <c r="N171" s="446"/>
      <c r="O171" s="446"/>
      <c r="P171" s="446"/>
      <c r="Q171" s="446"/>
      <c r="R171" s="446"/>
      <c r="S171" s="446"/>
      <c r="T171" s="446"/>
      <c r="U171" s="446"/>
      <c r="V171" s="446"/>
      <c r="W171" s="446"/>
      <c r="X171" s="446"/>
      <c r="Y171" s="446"/>
      <c r="Z171" s="446"/>
    </row>
    <row r="172" spans="1:26" ht="15.75" customHeight="1">
      <c r="A172" s="446"/>
      <c r="B172" s="446"/>
      <c r="C172" s="446"/>
      <c r="D172" s="446"/>
      <c r="E172" s="446"/>
      <c r="F172" s="446"/>
      <c r="G172" s="446"/>
      <c r="H172" s="446"/>
      <c r="I172" s="446"/>
      <c r="J172" s="446"/>
      <c r="K172" s="446"/>
      <c r="L172" s="446"/>
      <c r="M172" s="446"/>
      <c r="N172" s="446"/>
      <c r="O172" s="446"/>
      <c r="P172" s="446"/>
      <c r="Q172" s="446"/>
      <c r="R172" s="446"/>
      <c r="S172" s="446"/>
      <c r="T172" s="446"/>
      <c r="U172" s="446"/>
      <c r="V172" s="446"/>
      <c r="W172" s="446"/>
      <c r="X172" s="446"/>
      <c r="Y172" s="446"/>
      <c r="Z172" s="446"/>
    </row>
    <row r="173" spans="1:26" ht="15.75" customHeight="1">
      <c r="A173" s="446"/>
      <c r="B173" s="446"/>
      <c r="C173" s="446"/>
      <c r="D173" s="446"/>
      <c r="E173" s="446"/>
      <c r="F173" s="446"/>
      <c r="G173" s="446"/>
      <c r="H173" s="446"/>
      <c r="I173" s="446"/>
      <c r="J173" s="446"/>
      <c r="K173" s="446"/>
      <c r="L173" s="446"/>
      <c r="M173" s="446"/>
      <c r="N173" s="446"/>
      <c r="O173" s="446"/>
      <c r="P173" s="446"/>
      <c r="Q173" s="446"/>
      <c r="R173" s="446"/>
      <c r="S173" s="446"/>
      <c r="T173" s="446"/>
      <c r="U173" s="446"/>
      <c r="V173" s="446"/>
      <c r="W173" s="446"/>
      <c r="X173" s="446"/>
      <c r="Y173" s="446"/>
      <c r="Z173" s="446"/>
    </row>
    <row r="174" spans="1:26" ht="15.75" customHeight="1">
      <c r="A174" s="446"/>
      <c r="B174" s="446"/>
      <c r="C174" s="446"/>
      <c r="D174" s="446"/>
      <c r="E174" s="446"/>
      <c r="F174" s="446"/>
      <c r="G174" s="446"/>
      <c r="H174" s="446"/>
      <c r="I174" s="446"/>
      <c r="J174" s="446"/>
      <c r="K174" s="446"/>
      <c r="L174" s="446"/>
      <c r="M174" s="446"/>
      <c r="N174" s="446"/>
      <c r="O174" s="446"/>
      <c r="P174" s="446"/>
      <c r="Q174" s="446"/>
      <c r="R174" s="446"/>
      <c r="S174" s="446"/>
      <c r="T174" s="446"/>
      <c r="U174" s="446"/>
      <c r="V174" s="446"/>
      <c r="W174" s="446"/>
      <c r="X174" s="446"/>
      <c r="Y174" s="446"/>
      <c r="Z174" s="446"/>
    </row>
    <row r="175" spans="1:26" ht="15.75" customHeight="1">
      <c r="A175" s="446"/>
      <c r="B175" s="446"/>
      <c r="C175" s="446"/>
      <c r="D175" s="446"/>
      <c r="E175" s="446"/>
      <c r="F175" s="446"/>
      <c r="G175" s="446"/>
      <c r="H175" s="446"/>
      <c r="I175" s="446"/>
      <c r="J175" s="446"/>
      <c r="K175" s="446"/>
      <c r="L175" s="446"/>
      <c r="M175" s="446"/>
      <c r="N175" s="446"/>
      <c r="O175" s="446"/>
      <c r="P175" s="446"/>
      <c r="Q175" s="446"/>
      <c r="R175" s="446"/>
      <c r="S175" s="446"/>
      <c r="T175" s="446"/>
      <c r="U175" s="446"/>
      <c r="V175" s="446"/>
      <c r="W175" s="446"/>
      <c r="X175" s="446"/>
      <c r="Y175" s="446"/>
      <c r="Z175" s="446"/>
    </row>
    <row r="176" spans="1:26" ht="15.75" customHeight="1">
      <c r="A176" s="446"/>
      <c r="B176" s="446"/>
      <c r="C176" s="446"/>
      <c r="D176" s="446"/>
      <c r="E176" s="446"/>
      <c r="F176" s="446"/>
      <c r="G176" s="446"/>
      <c r="H176" s="446"/>
      <c r="I176" s="446"/>
      <c r="J176" s="446"/>
      <c r="K176" s="446"/>
      <c r="L176" s="446"/>
      <c r="M176" s="446"/>
      <c r="N176" s="446"/>
      <c r="O176" s="446"/>
      <c r="P176" s="446"/>
      <c r="Q176" s="446"/>
      <c r="R176" s="446"/>
      <c r="S176" s="446"/>
      <c r="T176" s="446"/>
      <c r="U176" s="446"/>
      <c r="V176" s="446"/>
      <c r="W176" s="446"/>
      <c r="X176" s="446"/>
      <c r="Y176" s="446"/>
      <c r="Z176" s="446"/>
    </row>
    <row r="177" spans="1:26" ht="15.75" customHeight="1">
      <c r="A177" s="446"/>
      <c r="B177" s="446"/>
      <c r="C177" s="446"/>
      <c r="D177" s="446"/>
      <c r="E177" s="446"/>
      <c r="F177" s="446"/>
      <c r="G177" s="446"/>
      <c r="H177" s="446"/>
      <c r="I177" s="446"/>
      <c r="J177" s="446"/>
      <c r="K177" s="446"/>
      <c r="L177" s="446"/>
      <c r="M177" s="446"/>
      <c r="N177" s="446"/>
      <c r="O177" s="446"/>
      <c r="P177" s="446"/>
      <c r="Q177" s="446"/>
      <c r="R177" s="446"/>
      <c r="S177" s="446"/>
      <c r="T177" s="446"/>
      <c r="U177" s="446"/>
      <c r="V177" s="446"/>
      <c r="W177" s="446"/>
      <c r="X177" s="446"/>
      <c r="Y177" s="446"/>
      <c r="Z177" s="446"/>
    </row>
    <row r="178" spans="1:26" ht="15.75" customHeight="1">
      <c r="A178" s="446"/>
      <c r="B178" s="446"/>
      <c r="C178" s="446"/>
      <c r="D178" s="446"/>
      <c r="E178" s="446"/>
      <c r="F178" s="446"/>
      <c r="G178" s="446"/>
      <c r="H178" s="446"/>
      <c r="I178" s="446"/>
      <c r="J178" s="446"/>
      <c r="K178" s="446"/>
      <c r="L178" s="446"/>
      <c r="M178" s="446"/>
      <c r="N178" s="446"/>
      <c r="O178" s="446"/>
      <c r="P178" s="446"/>
      <c r="Q178" s="446"/>
      <c r="R178" s="446"/>
      <c r="S178" s="446"/>
      <c r="T178" s="446"/>
      <c r="U178" s="446"/>
      <c r="V178" s="446"/>
      <c r="W178" s="446"/>
      <c r="X178" s="446"/>
      <c r="Y178" s="446"/>
      <c r="Z178" s="446"/>
    </row>
    <row r="179" spans="1:26" ht="15.75" customHeight="1">
      <c r="A179" s="446"/>
      <c r="B179" s="446"/>
      <c r="C179" s="446"/>
      <c r="D179" s="446"/>
      <c r="E179" s="446"/>
      <c r="F179" s="446"/>
      <c r="G179" s="446"/>
      <c r="H179" s="446"/>
      <c r="I179" s="446"/>
      <c r="J179" s="446"/>
      <c r="K179" s="446"/>
      <c r="L179" s="446"/>
      <c r="M179" s="446"/>
      <c r="N179" s="446"/>
      <c r="O179" s="446"/>
      <c r="P179" s="446"/>
      <c r="Q179" s="446"/>
      <c r="R179" s="446"/>
      <c r="S179" s="446"/>
      <c r="T179" s="446"/>
      <c r="U179" s="446"/>
      <c r="V179" s="446"/>
      <c r="W179" s="446"/>
      <c r="X179" s="446"/>
      <c r="Y179" s="446"/>
      <c r="Z179" s="446"/>
    </row>
    <row r="180" spans="1:26" ht="15.75" customHeight="1">
      <c r="A180" s="446"/>
      <c r="B180" s="446"/>
      <c r="C180" s="446"/>
      <c r="D180" s="446"/>
      <c r="E180" s="446"/>
      <c r="F180" s="446"/>
      <c r="G180" s="446"/>
      <c r="H180" s="446"/>
      <c r="I180" s="446"/>
      <c r="J180" s="446"/>
      <c r="K180" s="446"/>
      <c r="L180" s="446"/>
      <c r="M180" s="446"/>
      <c r="N180" s="446"/>
      <c r="O180" s="446"/>
      <c r="P180" s="446"/>
      <c r="Q180" s="446"/>
      <c r="R180" s="446"/>
      <c r="S180" s="446"/>
      <c r="T180" s="446"/>
      <c r="U180" s="446"/>
      <c r="V180" s="446"/>
      <c r="W180" s="446"/>
      <c r="X180" s="446"/>
      <c r="Y180" s="446"/>
      <c r="Z180" s="446"/>
    </row>
    <row r="181" spans="1:26" ht="15.75" customHeight="1">
      <c r="A181" s="446"/>
      <c r="B181" s="446"/>
      <c r="C181" s="446"/>
      <c r="D181" s="446"/>
      <c r="E181" s="446"/>
      <c r="F181" s="446"/>
      <c r="G181" s="446"/>
      <c r="H181" s="446"/>
      <c r="I181" s="446"/>
      <c r="J181" s="446"/>
      <c r="K181" s="446"/>
      <c r="L181" s="446"/>
      <c r="M181" s="446"/>
      <c r="N181" s="446"/>
      <c r="O181" s="446"/>
      <c r="P181" s="446"/>
      <c r="Q181" s="446"/>
      <c r="R181" s="446"/>
      <c r="S181" s="446"/>
      <c r="T181" s="446"/>
      <c r="U181" s="446"/>
      <c r="V181" s="446"/>
      <c r="W181" s="446"/>
      <c r="X181" s="446"/>
      <c r="Y181" s="446"/>
      <c r="Z181" s="446"/>
    </row>
    <row r="182" spans="1:26" ht="15.75" customHeight="1">
      <c r="A182" s="446"/>
      <c r="B182" s="446"/>
      <c r="C182" s="446"/>
      <c r="D182" s="446"/>
      <c r="E182" s="446"/>
      <c r="F182" s="446"/>
      <c r="G182" s="446"/>
      <c r="H182" s="446"/>
      <c r="I182" s="446"/>
      <c r="J182" s="446"/>
      <c r="K182" s="446"/>
      <c r="L182" s="446"/>
      <c r="M182" s="446"/>
      <c r="N182" s="446"/>
      <c r="O182" s="446"/>
      <c r="P182" s="446"/>
      <c r="Q182" s="446"/>
      <c r="R182" s="446"/>
      <c r="S182" s="446"/>
      <c r="T182" s="446"/>
      <c r="U182" s="446"/>
      <c r="V182" s="446"/>
      <c r="W182" s="446"/>
      <c r="X182" s="446"/>
      <c r="Y182" s="446"/>
      <c r="Z182" s="446"/>
    </row>
    <row r="183" spans="1:26" ht="15.75" customHeight="1">
      <c r="A183" s="446"/>
      <c r="B183" s="446"/>
      <c r="C183" s="446"/>
      <c r="D183" s="446"/>
      <c r="E183" s="446"/>
      <c r="F183" s="446"/>
      <c r="G183" s="446"/>
      <c r="H183" s="446"/>
      <c r="I183" s="446"/>
      <c r="J183" s="446"/>
      <c r="K183" s="446"/>
      <c r="L183" s="446"/>
      <c r="M183" s="446"/>
      <c r="N183" s="446"/>
      <c r="O183" s="446"/>
      <c r="P183" s="446"/>
      <c r="Q183" s="446"/>
      <c r="R183" s="446"/>
      <c r="S183" s="446"/>
      <c r="T183" s="446"/>
      <c r="U183" s="446"/>
      <c r="V183" s="446"/>
      <c r="W183" s="446"/>
      <c r="X183" s="446"/>
      <c r="Y183" s="446"/>
      <c r="Z183" s="446"/>
    </row>
    <row r="184" spans="1:26" ht="15.75" customHeight="1">
      <c r="A184" s="446"/>
      <c r="B184" s="446"/>
      <c r="C184" s="446"/>
      <c r="D184" s="446"/>
      <c r="E184" s="446"/>
      <c r="F184" s="446"/>
      <c r="G184" s="446"/>
      <c r="H184" s="446"/>
      <c r="I184" s="446"/>
      <c r="J184" s="446"/>
      <c r="K184" s="446"/>
      <c r="L184" s="446"/>
      <c r="M184" s="446"/>
      <c r="N184" s="446"/>
      <c r="O184" s="446"/>
      <c r="P184" s="446"/>
      <c r="Q184" s="446"/>
      <c r="R184" s="446"/>
      <c r="S184" s="446"/>
      <c r="T184" s="446"/>
      <c r="U184" s="446"/>
      <c r="V184" s="446"/>
      <c r="W184" s="446"/>
      <c r="X184" s="446"/>
      <c r="Y184" s="446"/>
      <c r="Z184" s="446"/>
    </row>
    <row r="185" spans="1:26" ht="15.75" customHeight="1">
      <c r="A185" s="446"/>
      <c r="B185" s="446"/>
      <c r="C185" s="446"/>
      <c r="D185" s="446"/>
      <c r="E185" s="446"/>
      <c r="F185" s="446"/>
      <c r="G185" s="446"/>
      <c r="H185" s="446"/>
      <c r="I185" s="446"/>
      <c r="J185" s="446"/>
      <c r="K185" s="446"/>
      <c r="L185" s="446"/>
      <c r="M185" s="446"/>
      <c r="N185" s="446"/>
      <c r="O185" s="446"/>
      <c r="P185" s="446"/>
      <c r="Q185" s="446"/>
      <c r="R185" s="446"/>
      <c r="S185" s="446"/>
      <c r="T185" s="446"/>
      <c r="U185" s="446"/>
      <c r="V185" s="446"/>
      <c r="W185" s="446"/>
      <c r="X185" s="446"/>
      <c r="Y185" s="446"/>
      <c r="Z185" s="446"/>
    </row>
    <row r="186" spans="1:26" ht="15.75" customHeight="1">
      <c r="A186" s="446"/>
      <c r="B186" s="446"/>
      <c r="C186" s="446"/>
      <c r="D186" s="446"/>
      <c r="E186" s="446"/>
      <c r="F186" s="446"/>
      <c r="G186" s="446"/>
      <c r="H186" s="446"/>
      <c r="I186" s="446"/>
      <c r="J186" s="446"/>
      <c r="K186" s="446"/>
      <c r="L186" s="446"/>
      <c r="M186" s="446"/>
      <c r="N186" s="446"/>
      <c r="O186" s="446"/>
      <c r="P186" s="446"/>
      <c r="Q186" s="446"/>
      <c r="R186" s="446"/>
      <c r="S186" s="446"/>
      <c r="T186" s="446"/>
      <c r="U186" s="446"/>
      <c r="V186" s="446"/>
      <c r="W186" s="446"/>
      <c r="X186" s="446"/>
      <c r="Y186" s="446"/>
      <c r="Z186" s="446"/>
    </row>
    <row r="187" spans="1:26" ht="15.75" customHeight="1">
      <c r="A187" s="446"/>
      <c r="B187" s="446"/>
      <c r="C187" s="446"/>
      <c r="D187" s="446"/>
      <c r="E187" s="446"/>
      <c r="F187" s="446"/>
      <c r="G187" s="446"/>
      <c r="H187" s="446"/>
      <c r="I187" s="446"/>
      <c r="J187" s="446"/>
      <c r="K187" s="446"/>
      <c r="L187" s="446"/>
      <c r="M187" s="446"/>
      <c r="N187" s="446"/>
      <c r="O187" s="446"/>
      <c r="P187" s="446"/>
      <c r="Q187" s="446"/>
      <c r="R187" s="446"/>
      <c r="S187" s="446"/>
      <c r="T187" s="446"/>
      <c r="U187" s="446"/>
      <c r="V187" s="446"/>
      <c r="W187" s="446"/>
      <c r="X187" s="446"/>
      <c r="Y187" s="446"/>
      <c r="Z187" s="446"/>
    </row>
    <row r="188" spans="1:26" ht="15.75" customHeight="1">
      <c r="A188" s="446"/>
      <c r="B188" s="446"/>
      <c r="C188" s="446"/>
      <c r="D188" s="446"/>
      <c r="E188" s="446"/>
      <c r="F188" s="446"/>
      <c r="G188" s="446"/>
      <c r="H188" s="446"/>
      <c r="I188" s="446"/>
      <c r="J188" s="446"/>
      <c r="K188" s="446"/>
      <c r="L188" s="446"/>
      <c r="M188" s="446"/>
      <c r="N188" s="446"/>
      <c r="O188" s="446"/>
      <c r="P188" s="446"/>
      <c r="Q188" s="446"/>
      <c r="R188" s="446"/>
      <c r="S188" s="446"/>
      <c r="T188" s="446"/>
      <c r="U188" s="446"/>
      <c r="V188" s="446"/>
      <c r="W188" s="446"/>
      <c r="X188" s="446"/>
      <c r="Y188" s="446"/>
      <c r="Z188" s="446"/>
    </row>
    <row r="189" spans="1:26" ht="15.75" customHeight="1">
      <c r="A189" s="446"/>
      <c r="B189" s="446"/>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row>
    <row r="190" spans="1:26" ht="15.75" customHeight="1">
      <c r="A190" s="446"/>
      <c r="B190" s="446"/>
      <c r="C190" s="446"/>
      <c r="D190" s="446"/>
      <c r="E190" s="446"/>
      <c r="F190" s="446"/>
      <c r="G190" s="446"/>
      <c r="H190" s="446"/>
      <c r="I190" s="446"/>
      <c r="J190" s="446"/>
      <c r="K190" s="446"/>
      <c r="L190" s="446"/>
      <c r="M190" s="446"/>
      <c r="N190" s="446"/>
      <c r="O190" s="446"/>
      <c r="P190" s="446"/>
      <c r="Q190" s="446"/>
      <c r="R190" s="446"/>
      <c r="S190" s="446"/>
      <c r="T190" s="446"/>
      <c r="U190" s="446"/>
      <c r="V190" s="446"/>
      <c r="W190" s="446"/>
      <c r="X190" s="446"/>
      <c r="Y190" s="446"/>
      <c r="Z190" s="446"/>
    </row>
    <row r="191" spans="1:26" ht="15.75" customHeight="1">
      <c r="A191" s="446"/>
      <c r="B191" s="446"/>
      <c r="C191" s="446"/>
      <c r="D191" s="446"/>
      <c r="E191" s="446"/>
      <c r="F191" s="446"/>
      <c r="G191" s="446"/>
      <c r="H191" s="446"/>
      <c r="I191" s="446"/>
      <c r="J191" s="446"/>
      <c r="K191" s="446"/>
      <c r="L191" s="446"/>
      <c r="M191" s="446"/>
      <c r="N191" s="446"/>
      <c r="O191" s="446"/>
      <c r="P191" s="446"/>
      <c r="Q191" s="446"/>
      <c r="R191" s="446"/>
      <c r="S191" s="446"/>
      <c r="T191" s="446"/>
      <c r="U191" s="446"/>
      <c r="V191" s="446"/>
      <c r="W191" s="446"/>
      <c r="X191" s="446"/>
      <c r="Y191" s="446"/>
      <c r="Z191" s="446"/>
    </row>
    <row r="192" spans="1:26" ht="15.75" customHeight="1">
      <c r="A192" s="446"/>
      <c r="B192" s="446"/>
      <c r="C192" s="446"/>
      <c r="D192" s="446"/>
      <c r="E192" s="446"/>
      <c r="F192" s="446"/>
      <c r="G192" s="446"/>
      <c r="H192" s="446"/>
      <c r="I192" s="446"/>
      <c r="J192" s="446"/>
      <c r="K192" s="446"/>
      <c r="L192" s="446"/>
      <c r="M192" s="446"/>
      <c r="N192" s="446"/>
      <c r="O192" s="446"/>
      <c r="P192" s="446"/>
      <c r="Q192" s="446"/>
      <c r="R192" s="446"/>
      <c r="S192" s="446"/>
      <c r="T192" s="446"/>
      <c r="U192" s="446"/>
      <c r="V192" s="446"/>
      <c r="W192" s="446"/>
      <c r="X192" s="446"/>
      <c r="Y192" s="446"/>
      <c r="Z192" s="446"/>
    </row>
    <row r="193" spans="1:26" ht="15.75" customHeight="1">
      <c r="A193" s="446"/>
      <c r="B193" s="446"/>
      <c r="C193" s="446"/>
      <c r="D193" s="446"/>
      <c r="E193" s="446"/>
      <c r="F193" s="446"/>
      <c r="G193" s="446"/>
      <c r="H193" s="446"/>
      <c r="I193" s="446"/>
      <c r="J193" s="446"/>
      <c r="K193" s="446"/>
      <c r="L193" s="446"/>
      <c r="M193" s="446"/>
      <c r="N193" s="446"/>
      <c r="O193" s="446"/>
      <c r="P193" s="446"/>
      <c r="Q193" s="446"/>
      <c r="R193" s="446"/>
      <c r="S193" s="446"/>
      <c r="T193" s="446"/>
      <c r="U193" s="446"/>
      <c r="V193" s="446"/>
      <c r="W193" s="446"/>
      <c r="X193" s="446"/>
      <c r="Y193" s="446"/>
      <c r="Z193" s="446"/>
    </row>
    <row r="194" spans="1:26" ht="15.75" customHeight="1">
      <c r="A194" s="446"/>
      <c r="B194" s="446"/>
      <c r="C194" s="446"/>
      <c r="D194" s="446"/>
      <c r="E194" s="446"/>
      <c r="F194" s="446"/>
      <c r="G194" s="446"/>
      <c r="H194" s="446"/>
      <c r="I194" s="446"/>
      <c r="J194" s="446"/>
      <c r="K194" s="446"/>
      <c r="L194" s="446"/>
      <c r="M194" s="446"/>
      <c r="N194" s="446"/>
      <c r="O194" s="446"/>
      <c r="P194" s="446"/>
      <c r="Q194" s="446"/>
      <c r="R194" s="446"/>
      <c r="S194" s="446"/>
      <c r="T194" s="446"/>
      <c r="U194" s="446"/>
      <c r="V194" s="446"/>
      <c r="W194" s="446"/>
      <c r="X194" s="446"/>
      <c r="Y194" s="446"/>
      <c r="Z194" s="446"/>
    </row>
    <row r="195" spans="1:26" ht="15.75" customHeight="1">
      <c r="A195" s="446"/>
      <c r="B195" s="446"/>
      <c r="C195" s="446"/>
      <c r="D195" s="446"/>
      <c r="E195" s="446"/>
      <c r="F195" s="446"/>
      <c r="G195" s="446"/>
      <c r="H195" s="446"/>
      <c r="I195" s="446"/>
      <c r="J195" s="446"/>
      <c r="K195" s="446"/>
      <c r="L195" s="446"/>
      <c r="M195" s="446"/>
      <c r="N195" s="446"/>
      <c r="O195" s="446"/>
      <c r="P195" s="446"/>
      <c r="Q195" s="446"/>
      <c r="R195" s="446"/>
      <c r="S195" s="446"/>
      <c r="T195" s="446"/>
      <c r="U195" s="446"/>
      <c r="V195" s="446"/>
      <c r="W195" s="446"/>
      <c r="X195" s="446"/>
      <c r="Y195" s="446"/>
      <c r="Z195" s="446"/>
    </row>
    <row r="196" spans="1:26" ht="15.75" customHeight="1">
      <c r="A196" s="446"/>
      <c r="B196" s="446"/>
      <c r="C196" s="446"/>
      <c r="D196" s="446"/>
      <c r="E196" s="446"/>
      <c r="F196" s="446"/>
      <c r="G196" s="446"/>
      <c r="H196" s="446"/>
      <c r="I196" s="446"/>
      <c r="J196" s="446"/>
      <c r="K196" s="446"/>
      <c r="L196" s="446"/>
      <c r="M196" s="446"/>
      <c r="N196" s="446"/>
      <c r="O196" s="446"/>
      <c r="P196" s="446"/>
      <c r="Q196" s="446"/>
      <c r="R196" s="446"/>
      <c r="S196" s="446"/>
      <c r="T196" s="446"/>
      <c r="U196" s="446"/>
      <c r="V196" s="446"/>
      <c r="W196" s="446"/>
      <c r="X196" s="446"/>
      <c r="Y196" s="446"/>
      <c r="Z196" s="446"/>
    </row>
    <row r="197" spans="1:26" ht="15.75" customHeight="1">
      <c r="A197" s="446"/>
      <c r="B197" s="446"/>
      <c r="C197" s="446"/>
      <c r="D197" s="446"/>
      <c r="E197" s="446"/>
      <c r="F197" s="446"/>
      <c r="G197" s="446"/>
      <c r="H197" s="446"/>
      <c r="I197" s="446"/>
      <c r="J197" s="446"/>
      <c r="K197" s="446"/>
      <c r="L197" s="446"/>
      <c r="M197" s="446"/>
      <c r="N197" s="446"/>
      <c r="O197" s="446"/>
      <c r="P197" s="446"/>
      <c r="Q197" s="446"/>
      <c r="R197" s="446"/>
      <c r="S197" s="446"/>
      <c r="T197" s="446"/>
      <c r="U197" s="446"/>
      <c r="V197" s="446"/>
      <c r="W197" s="446"/>
      <c r="X197" s="446"/>
      <c r="Y197" s="446"/>
      <c r="Z197" s="446"/>
    </row>
    <row r="198" spans="1:26" ht="15.75" customHeight="1">
      <c r="A198" s="446"/>
      <c r="B198" s="446"/>
      <c r="C198" s="446"/>
      <c r="D198" s="446"/>
      <c r="E198" s="446"/>
      <c r="F198" s="446"/>
      <c r="G198" s="446"/>
      <c r="H198" s="446"/>
      <c r="I198" s="446"/>
      <c r="J198" s="446"/>
      <c r="K198" s="446"/>
      <c r="L198" s="446"/>
      <c r="M198" s="446"/>
      <c r="N198" s="446"/>
      <c r="O198" s="446"/>
      <c r="P198" s="446"/>
      <c r="Q198" s="446"/>
      <c r="R198" s="446"/>
      <c r="S198" s="446"/>
      <c r="T198" s="446"/>
      <c r="U198" s="446"/>
      <c r="V198" s="446"/>
      <c r="W198" s="446"/>
      <c r="X198" s="446"/>
      <c r="Y198" s="446"/>
      <c r="Z198" s="446"/>
    </row>
    <row r="199" spans="1:26" ht="15.75" customHeight="1">
      <c r="A199" s="446"/>
      <c r="B199" s="446"/>
      <c r="C199" s="446"/>
      <c r="D199" s="446"/>
      <c r="E199" s="446"/>
      <c r="F199" s="446"/>
      <c r="G199" s="446"/>
      <c r="H199" s="446"/>
      <c r="I199" s="446"/>
      <c r="J199" s="446"/>
      <c r="K199" s="446"/>
      <c r="L199" s="446"/>
      <c r="M199" s="446"/>
      <c r="N199" s="446"/>
      <c r="O199" s="446"/>
      <c r="P199" s="446"/>
      <c r="Q199" s="446"/>
      <c r="R199" s="446"/>
      <c r="S199" s="446"/>
      <c r="T199" s="446"/>
      <c r="U199" s="446"/>
      <c r="V199" s="446"/>
      <c r="W199" s="446"/>
      <c r="X199" s="446"/>
      <c r="Y199" s="446"/>
      <c r="Z199" s="446"/>
    </row>
    <row r="200" spans="1:26" ht="15.75" customHeight="1">
      <c r="A200" s="446"/>
      <c r="B200" s="446"/>
      <c r="C200" s="446"/>
      <c r="D200" s="446"/>
      <c r="E200" s="446"/>
      <c r="F200" s="446"/>
      <c r="G200" s="446"/>
      <c r="H200" s="446"/>
      <c r="I200" s="446"/>
      <c r="J200" s="446"/>
      <c r="K200" s="446"/>
      <c r="L200" s="446"/>
      <c r="M200" s="446"/>
      <c r="N200" s="446"/>
      <c r="O200" s="446"/>
      <c r="P200" s="446"/>
      <c r="Q200" s="446"/>
      <c r="R200" s="446"/>
      <c r="S200" s="446"/>
      <c r="T200" s="446"/>
      <c r="U200" s="446"/>
      <c r="V200" s="446"/>
      <c r="W200" s="446"/>
      <c r="X200" s="446"/>
      <c r="Y200" s="446"/>
      <c r="Z200" s="446"/>
    </row>
    <row r="201" spans="1:26" ht="15.75" customHeight="1">
      <c r="A201" s="446"/>
      <c r="B201" s="446"/>
      <c r="C201" s="446"/>
      <c r="D201" s="446"/>
      <c r="E201" s="446"/>
      <c r="F201" s="446"/>
      <c r="G201" s="446"/>
      <c r="H201" s="446"/>
      <c r="I201" s="446"/>
      <c r="J201" s="446"/>
      <c r="K201" s="446"/>
      <c r="L201" s="446"/>
      <c r="M201" s="446"/>
      <c r="N201" s="446"/>
      <c r="O201" s="446"/>
      <c r="P201" s="446"/>
      <c r="Q201" s="446"/>
      <c r="R201" s="446"/>
      <c r="S201" s="446"/>
      <c r="T201" s="446"/>
      <c r="U201" s="446"/>
      <c r="V201" s="446"/>
      <c r="W201" s="446"/>
      <c r="X201" s="446"/>
      <c r="Y201" s="446"/>
      <c r="Z201" s="446"/>
    </row>
    <row r="202" spans="1:26" ht="15.75" customHeight="1">
      <c r="A202" s="446"/>
      <c r="B202" s="446"/>
      <c r="C202" s="446"/>
      <c r="D202" s="446"/>
      <c r="E202" s="446"/>
      <c r="F202" s="446"/>
      <c r="G202" s="446"/>
      <c r="H202" s="446"/>
      <c r="I202" s="446"/>
      <c r="J202" s="446"/>
      <c r="K202" s="446"/>
      <c r="L202" s="446"/>
      <c r="M202" s="446"/>
      <c r="N202" s="446"/>
      <c r="O202" s="446"/>
      <c r="P202" s="446"/>
      <c r="Q202" s="446"/>
      <c r="R202" s="446"/>
      <c r="S202" s="446"/>
      <c r="T202" s="446"/>
      <c r="U202" s="446"/>
      <c r="V202" s="446"/>
      <c r="W202" s="446"/>
      <c r="X202" s="446"/>
      <c r="Y202" s="446"/>
      <c r="Z202" s="446"/>
    </row>
    <row r="203" spans="1:26" ht="15.75" customHeight="1">
      <c r="A203" s="446"/>
      <c r="B203" s="446"/>
      <c r="C203" s="446"/>
      <c r="D203" s="446"/>
      <c r="E203" s="446"/>
      <c r="F203" s="446"/>
      <c r="G203" s="446"/>
      <c r="H203" s="446"/>
      <c r="I203" s="446"/>
      <c r="J203" s="446"/>
      <c r="K203" s="446"/>
      <c r="L203" s="446"/>
      <c r="M203" s="446"/>
      <c r="N203" s="446"/>
      <c r="O203" s="446"/>
      <c r="P203" s="446"/>
      <c r="Q203" s="446"/>
      <c r="R203" s="446"/>
      <c r="S203" s="446"/>
      <c r="T203" s="446"/>
      <c r="U203" s="446"/>
      <c r="V203" s="446"/>
      <c r="W203" s="446"/>
      <c r="X203" s="446"/>
      <c r="Y203" s="446"/>
      <c r="Z203" s="446"/>
    </row>
    <row r="204" spans="1:26" ht="15.75" customHeight="1">
      <c r="A204" s="446"/>
      <c r="B204" s="446"/>
      <c r="C204" s="446"/>
      <c r="D204" s="446"/>
      <c r="E204" s="446"/>
      <c r="F204" s="446"/>
      <c r="G204" s="446"/>
      <c r="H204" s="446"/>
      <c r="I204" s="446"/>
      <c r="J204" s="446"/>
      <c r="K204" s="446"/>
      <c r="L204" s="446"/>
      <c r="M204" s="446"/>
      <c r="N204" s="446"/>
      <c r="O204" s="446"/>
      <c r="P204" s="446"/>
      <c r="Q204" s="446"/>
      <c r="R204" s="446"/>
      <c r="S204" s="446"/>
      <c r="T204" s="446"/>
      <c r="U204" s="446"/>
      <c r="V204" s="446"/>
      <c r="W204" s="446"/>
      <c r="X204" s="446"/>
      <c r="Y204" s="446"/>
      <c r="Z204" s="446"/>
    </row>
    <row r="205" spans="1:26" ht="15.75" customHeight="1">
      <c r="A205" s="446"/>
      <c r="B205" s="446"/>
      <c r="C205" s="446"/>
      <c r="D205" s="446"/>
      <c r="E205" s="446"/>
      <c r="F205" s="446"/>
      <c r="G205" s="446"/>
      <c r="H205" s="446"/>
      <c r="I205" s="446"/>
      <c r="J205" s="446"/>
      <c r="K205" s="446"/>
      <c r="L205" s="446"/>
      <c r="M205" s="446"/>
      <c r="N205" s="446"/>
      <c r="O205" s="446"/>
      <c r="P205" s="446"/>
      <c r="Q205" s="446"/>
      <c r="R205" s="446"/>
      <c r="S205" s="446"/>
      <c r="T205" s="446"/>
      <c r="U205" s="446"/>
      <c r="V205" s="446"/>
      <c r="W205" s="446"/>
      <c r="X205" s="446"/>
      <c r="Y205" s="446"/>
      <c r="Z205" s="446"/>
    </row>
    <row r="206" spans="1:26" ht="15.75" customHeight="1">
      <c r="A206" s="446"/>
      <c r="B206" s="446"/>
      <c r="C206" s="446"/>
      <c r="D206" s="446"/>
      <c r="E206" s="446"/>
      <c r="F206" s="446"/>
      <c r="G206" s="446"/>
      <c r="H206" s="446"/>
      <c r="I206" s="446"/>
      <c r="J206" s="446"/>
      <c r="K206" s="446"/>
      <c r="L206" s="446"/>
      <c r="M206" s="446"/>
      <c r="N206" s="446"/>
      <c r="O206" s="446"/>
      <c r="P206" s="446"/>
      <c r="Q206" s="446"/>
      <c r="R206" s="446"/>
      <c r="S206" s="446"/>
      <c r="T206" s="446"/>
      <c r="U206" s="446"/>
      <c r="V206" s="446"/>
      <c r="W206" s="446"/>
      <c r="X206" s="446"/>
      <c r="Y206" s="446"/>
      <c r="Z206" s="446"/>
    </row>
    <row r="207" spans="1:26" ht="15.75" customHeight="1">
      <c r="A207" s="446"/>
      <c r="B207" s="446"/>
      <c r="C207" s="446"/>
      <c r="D207" s="446"/>
      <c r="E207" s="446"/>
      <c r="F207" s="446"/>
      <c r="G207" s="446"/>
      <c r="H207" s="446"/>
      <c r="I207" s="446"/>
      <c r="J207" s="446"/>
      <c r="K207" s="446"/>
      <c r="L207" s="446"/>
      <c r="M207" s="446"/>
      <c r="N207" s="446"/>
      <c r="O207" s="446"/>
      <c r="P207" s="446"/>
      <c r="Q207" s="446"/>
      <c r="R207" s="446"/>
      <c r="S207" s="446"/>
      <c r="T207" s="446"/>
      <c r="U207" s="446"/>
      <c r="V207" s="446"/>
      <c r="W207" s="446"/>
      <c r="X207" s="446"/>
      <c r="Y207" s="446"/>
      <c r="Z207" s="446"/>
    </row>
    <row r="208" spans="1:26" ht="15.75" customHeight="1">
      <c r="A208" s="446"/>
      <c r="B208" s="446"/>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row>
    <row r="209" spans="1:26" ht="15.75" customHeight="1">
      <c r="A209" s="446"/>
      <c r="B209" s="446"/>
      <c r="C209" s="446"/>
      <c r="D209" s="446"/>
      <c r="E209" s="446"/>
      <c r="F209" s="446"/>
      <c r="G209" s="446"/>
      <c r="H209" s="446"/>
      <c r="I209" s="446"/>
      <c r="J209" s="446"/>
      <c r="K209" s="446"/>
      <c r="L209" s="446"/>
      <c r="M209" s="446"/>
      <c r="N209" s="446"/>
      <c r="O209" s="446"/>
      <c r="P209" s="446"/>
      <c r="Q209" s="446"/>
      <c r="R209" s="446"/>
      <c r="S209" s="446"/>
      <c r="T209" s="446"/>
      <c r="U209" s="446"/>
      <c r="V209" s="446"/>
      <c r="W209" s="446"/>
      <c r="X209" s="446"/>
      <c r="Y209" s="446"/>
      <c r="Z209" s="446"/>
    </row>
    <row r="210" spans="1:26" ht="15.75" customHeight="1">
      <c r="A210" s="446"/>
      <c r="B210" s="446"/>
      <c r="C210" s="446"/>
      <c r="D210" s="446"/>
      <c r="E210" s="446"/>
      <c r="F210" s="446"/>
      <c r="G210" s="446"/>
      <c r="H210" s="446"/>
      <c r="I210" s="446"/>
      <c r="J210" s="446"/>
      <c r="K210" s="446"/>
      <c r="L210" s="446"/>
      <c r="M210" s="446"/>
      <c r="N210" s="446"/>
      <c r="O210" s="446"/>
      <c r="P210" s="446"/>
      <c r="Q210" s="446"/>
      <c r="R210" s="446"/>
      <c r="S210" s="446"/>
      <c r="T210" s="446"/>
      <c r="U210" s="446"/>
      <c r="V210" s="446"/>
      <c r="W210" s="446"/>
      <c r="X210" s="446"/>
      <c r="Y210" s="446"/>
      <c r="Z210" s="446"/>
    </row>
    <row r="211" spans="1:26" ht="15.75" customHeight="1">
      <c r="A211" s="446"/>
      <c r="B211" s="446"/>
      <c r="C211" s="446"/>
      <c r="D211" s="446"/>
      <c r="E211" s="446"/>
      <c r="F211" s="446"/>
      <c r="G211" s="446"/>
      <c r="H211" s="446"/>
      <c r="I211" s="446"/>
      <c r="J211" s="446"/>
      <c r="K211" s="446"/>
      <c r="L211" s="446"/>
      <c r="M211" s="446"/>
      <c r="N211" s="446"/>
      <c r="O211" s="446"/>
      <c r="P211" s="446"/>
      <c r="Q211" s="446"/>
      <c r="R211" s="446"/>
      <c r="S211" s="446"/>
      <c r="T211" s="446"/>
      <c r="U211" s="446"/>
      <c r="V211" s="446"/>
      <c r="W211" s="446"/>
      <c r="X211" s="446"/>
      <c r="Y211" s="446"/>
      <c r="Z211" s="446"/>
    </row>
    <row r="212" spans="1:26" ht="15.75" customHeight="1">
      <c r="A212" s="446"/>
      <c r="B212" s="446"/>
      <c r="C212" s="446"/>
      <c r="D212" s="446"/>
      <c r="E212" s="446"/>
      <c r="F212" s="446"/>
      <c r="G212" s="446"/>
      <c r="H212" s="446"/>
      <c r="I212" s="446"/>
      <c r="J212" s="446"/>
      <c r="K212" s="446"/>
      <c r="L212" s="446"/>
      <c r="M212" s="446"/>
      <c r="N212" s="446"/>
      <c r="O212" s="446"/>
      <c r="P212" s="446"/>
      <c r="Q212" s="446"/>
      <c r="R212" s="446"/>
      <c r="S212" s="446"/>
      <c r="T212" s="446"/>
      <c r="U212" s="446"/>
      <c r="V212" s="446"/>
      <c r="W212" s="446"/>
      <c r="X212" s="446"/>
      <c r="Y212" s="446"/>
      <c r="Z212" s="446"/>
    </row>
    <row r="213" spans="1:26" ht="15.75" customHeight="1">
      <c r="A213" s="446"/>
      <c r="B213" s="446"/>
      <c r="C213" s="446"/>
      <c r="D213" s="446"/>
      <c r="E213" s="446"/>
      <c r="F213" s="446"/>
      <c r="G213" s="446"/>
      <c r="H213" s="446"/>
      <c r="I213" s="446"/>
      <c r="J213" s="446"/>
      <c r="K213" s="446"/>
      <c r="L213" s="446"/>
      <c r="M213" s="446"/>
      <c r="N213" s="446"/>
      <c r="O213" s="446"/>
      <c r="P213" s="446"/>
      <c r="Q213" s="446"/>
      <c r="R213" s="446"/>
      <c r="S213" s="446"/>
      <c r="T213" s="446"/>
      <c r="U213" s="446"/>
      <c r="V213" s="446"/>
      <c r="W213" s="446"/>
      <c r="X213" s="446"/>
      <c r="Y213" s="446"/>
      <c r="Z213" s="446"/>
    </row>
    <row r="214" spans="1:26" ht="15.75" customHeight="1">
      <c r="A214" s="446"/>
      <c r="B214" s="446"/>
      <c r="C214" s="446"/>
      <c r="D214" s="446"/>
      <c r="E214" s="446"/>
      <c r="F214" s="446"/>
      <c r="G214" s="446"/>
      <c r="H214" s="446"/>
      <c r="I214" s="446"/>
      <c r="J214" s="446"/>
      <c r="K214" s="446"/>
      <c r="L214" s="446"/>
      <c r="M214" s="446"/>
      <c r="N214" s="446"/>
      <c r="O214" s="446"/>
      <c r="P214" s="446"/>
      <c r="Q214" s="446"/>
      <c r="R214" s="446"/>
      <c r="S214" s="446"/>
      <c r="T214" s="446"/>
      <c r="U214" s="446"/>
      <c r="V214" s="446"/>
      <c r="W214" s="446"/>
      <c r="X214" s="446"/>
      <c r="Y214" s="446"/>
      <c r="Z214" s="446"/>
    </row>
    <row r="215" spans="1:26" ht="15.75" customHeight="1">
      <c r="A215" s="446"/>
      <c r="B215" s="446"/>
      <c r="C215" s="446"/>
      <c r="D215" s="446"/>
      <c r="E215" s="446"/>
      <c r="F215" s="446"/>
      <c r="G215" s="446"/>
      <c r="H215" s="446"/>
      <c r="I215" s="446"/>
      <c r="J215" s="446"/>
      <c r="K215" s="446"/>
      <c r="L215" s="446"/>
      <c r="M215" s="446"/>
      <c r="N215" s="446"/>
      <c r="O215" s="446"/>
      <c r="P215" s="446"/>
      <c r="Q215" s="446"/>
      <c r="R215" s="446"/>
      <c r="S215" s="446"/>
      <c r="T215" s="446"/>
      <c r="U215" s="446"/>
      <c r="V215" s="446"/>
      <c r="W215" s="446"/>
      <c r="X215" s="446"/>
      <c r="Y215" s="446"/>
      <c r="Z215" s="446"/>
    </row>
    <row r="216" spans="1:26" ht="15.75" customHeight="1">
      <c r="A216" s="446"/>
      <c r="B216" s="446"/>
      <c r="C216" s="446"/>
      <c r="D216" s="446"/>
      <c r="E216" s="446"/>
      <c r="F216" s="446"/>
      <c r="G216" s="446"/>
      <c r="H216" s="446"/>
      <c r="I216" s="446"/>
      <c r="J216" s="446"/>
      <c r="K216" s="446"/>
      <c r="L216" s="446"/>
      <c r="M216" s="446"/>
      <c r="N216" s="446"/>
      <c r="O216" s="446"/>
      <c r="P216" s="446"/>
      <c r="Q216" s="446"/>
      <c r="R216" s="446"/>
      <c r="S216" s="446"/>
      <c r="T216" s="446"/>
      <c r="U216" s="446"/>
      <c r="V216" s="446"/>
      <c r="W216" s="446"/>
      <c r="X216" s="446"/>
      <c r="Y216" s="446"/>
      <c r="Z216" s="446"/>
    </row>
    <row r="217" spans="1:26" ht="15.75" customHeight="1">
      <c r="A217" s="446"/>
      <c r="B217" s="446"/>
      <c r="C217" s="446"/>
      <c r="D217" s="446"/>
      <c r="E217" s="446"/>
      <c r="F217" s="446"/>
      <c r="G217" s="446"/>
      <c r="H217" s="446"/>
      <c r="I217" s="446"/>
      <c r="J217" s="446"/>
      <c r="K217" s="446"/>
      <c r="L217" s="446"/>
      <c r="M217" s="446"/>
      <c r="N217" s="446"/>
      <c r="O217" s="446"/>
      <c r="P217" s="446"/>
      <c r="Q217" s="446"/>
      <c r="R217" s="446"/>
      <c r="S217" s="446"/>
      <c r="T217" s="446"/>
      <c r="U217" s="446"/>
      <c r="V217" s="446"/>
      <c r="W217" s="446"/>
      <c r="X217" s="446"/>
      <c r="Y217" s="446"/>
      <c r="Z217" s="446"/>
    </row>
    <row r="218" spans="1:26" ht="15.75" customHeight="1">
      <c r="A218" s="446"/>
      <c r="B218" s="446"/>
      <c r="C218" s="446"/>
      <c r="D218" s="446"/>
      <c r="E218" s="446"/>
      <c r="F218" s="446"/>
      <c r="G218" s="446"/>
      <c r="H218" s="446"/>
      <c r="I218" s="446"/>
      <c r="J218" s="446"/>
      <c r="K218" s="446"/>
      <c r="L218" s="446"/>
      <c r="M218" s="446"/>
      <c r="N218" s="446"/>
      <c r="O218" s="446"/>
      <c r="P218" s="446"/>
      <c r="Q218" s="446"/>
      <c r="R218" s="446"/>
      <c r="S218" s="446"/>
      <c r="T218" s="446"/>
      <c r="U218" s="446"/>
      <c r="V218" s="446"/>
      <c r="W218" s="446"/>
      <c r="X218" s="446"/>
      <c r="Y218" s="446"/>
      <c r="Z218" s="446"/>
    </row>
    <row r="219" spans="1:26" ht="15.75" customHeight="1">
      <c r="A219" s="446"/>
      <c r="B219" s="446"/>
      <c r="C219" s="446"/>
      <c r="D219" s="446"/>
      <c r="E219" s="446"/>
      <c r="F219" s="446"/>
      <c r="G219" s="446"/>
      <c r="H219" s="446"/>
      <c r="I219" s="446"/>
      <c r="J219" s="446"/>
      <c r="K219" s="446"/>
      <c r="L219" s="446"/>
      <c r="M219" s="446"/>
      <c r="N219" s="446"/>
      <c r="O219" s="446"/>
      <c r="P219" s="446"/>
      <c r="Q219" s="446"/>
      <c r="R219" s="446"/>
      <c r="S219" s="446"/>
      <c r="T219" s="446"/>
      <c r="U219" s="446"/>
      <c r="V219" s="446"/>
      <c r="W219" s="446"/>
      <c r="X219" s="446"/>
      <c r="Y219" s="446"/>
      <c r="Z219" s="446"/>
    </row>
    <row r="220" spans="1:26" ht="15.75" customHeight="1">
      <c r="A220" s="446"/>
      <c r="B220" s="446"/>
      <c r="C220" s="446"/>
      <c r="D220" s="446"/>
      <c r="E220" s="446"/>
      <c r="F220" s="446"/>
      <c r="G220" s="446"/>
      <c r="H220" s="446"/>
      <c r="I220" s="446"/>
      <c r="J220" s="446"/>
      <c r="K220" s="446"/>
      <c r="L220" s="446"/>
      <c r="M220" s="446"/>
      <c r="N220" s="446"/>
      <c r="O220" s="446"/>
      <c r="P220" s="446"/>
      <c r="Q220" s="446"/>
      <c r="R220" s="446"/>
      <c r="S220" s="446"/>
      <c r="T220" s="446"/>
      <c r="U220" s="446"/>
      <c r="V220" s="446"/>
      <c r="W220" s="446"/>
      <c r="X220" s="446"/>
      <c r="Y220" s="446"/>
      <c r="Z220" s="44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2026-01-29T00:28:42Z</dcterms:modified>
</cp:coreProperties>
</file>
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 PROCESO (Bolivar)" sheetId="1" r:id="rId4"/>
    <sheet state="visible" name="EN PROCESO (Alfa)" sheetId="2" r:id="rId5"/>
    <sheet state="hidden" name="PRUEBAS BOLIVAR" sheetId="3" r:id="rId6"/>
    <sheet state="hidden" name="FINALIZADOS 2" sheetId="4" r:id="rId7"/>
    <sheet state="hidden" name="FINALIZADOS" sheetId="5" r:id="rId8"/>
    <sheet state="hidden" name="fESTIVOS" sheetId="6" r:id="rId9"/>
    <sheet state="hidden" name="ASISTENCIA" sheetId="7" r:id="rId10"/>
    <sheet state="hidden" name="Caidas del sistema" sheetId="8" r:id="rId11"/>
    <sheet state="hidden" name="pruebas i" sheetId="9" r:id="rId12"/>
  </sheets>
  <definedNames>
    <definedName hidden="1" localSheetId="0" name="_xlnm._FilterDatabase">'EN PROCESO (Bolivar)'!$A$1:$BO$1285</definedName>
    <definedName hidden="1" localSheetId="1" name="_xlnm._FilterDatabase">'EN PROCESO (Alfa)'!$A$1:$S$1115</definedName>
    <definedName hidden="1" localSheetId="2" name="_xlnm._FilterDatabase">'PRUEBAS BOLIVAR'!$A$1:$L$16</definedName>
    <definedName hidden="1" localSheetId="4" name="_xlnm._FilterDatabase">FINALIZADOS!$A$1:$M$219</definedName>
  </definedNames>
  <calcPr/>
  <extLst>
    <ext uri="GoogleSheetsCustomDataVersion2">
      <go:sheetsCustomData xmlns:go="http://customooxmlschemas.google.com/" r:id="rId13" roundtripDataChecksum="uP82/SdMUezi6dDKAYCgvEoiOcCxFhMsbCvaYOErrl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01">
      <text>
        <t xml:space="preserve">======
ID#AAAB0JlKeHc
Implementacion Img    (2026-02-10 21:55:22)
Cambio en produccion realizado por Jenry.</t>
      </text>
    </comment>
    <comment authorId="0" ref="N158">
      <text>
        <t xml:space="preserve">======
ID#AAABvU1CtvA
Implementacion Img    (2026-02-06 16:14:52)
Entrega 8 dias habiles a partir del 9 de febrero</t>
      </text>
    </comment>
    <comment authorId="0" ref="N160">
      <text>
        <t xml:space="preserve">======
ID#AAABvU1CtvE
Implementacion Img    (2026-02-06 16:15:06)
Entrega 30 dias habiles a partir del 9 de febrero</t>
      </text>
    </comment>
  </commentList>
  <extLst>
    <ext uri="GoogleSheetsCustomDataVersion2">
      <go:sheetsCustomData xmlns:go="http://customooxmlschemas.google.com/" r:id="rId1" roundtripDataSignature="AMtx7mgQoNa8x4BoGM0cIUamYE82QnHAVg=="/>
    </ext>
  </extLst>
</comments>
</file>

<file path=xl/sharedStrings.xml><?xml version="1.0" encoding="utf-8"?>
<sst xmlns="http://schemas.openxmlformats.org/spreadsheetml/2006/main" count="7828" uniqueCount="3802">
  <si>
    <t>Asignado a</t>
  </si>
  <si>
    <t>Jira Caja</t>
  </si>
  <si>
    <t xml:space="preserve">Requerimiento </t>
  </si>
  <si>
    <t xml:space="preserve">Descripcion req </t>
  </si>
  <si>
    <t>Actividad</t>
  </si>
  <si>
    <t>ESTADO</t>
  </si>
  <si>
    <t>% Avance</t>
  </si>
  <si>
    <t>Dias estimados desarrollo</t>
  </si>
  <si>
    <t>F.Asignado</t>
  </si>
  <si>
    <t>Fecha inicio</t>
  </si>
  <si>
    <t>Fecha estimada de entrega</t>
  </si>
  <si>
    <t>Finalizado</t>
  </si>
  <si>
    <t>Dias total desarrollo</t>
  </si>
  <si>
    <t>Fecha compromiso cliente</t>
  </si>
  <si>
    <t>TEST</t>
  </si>
  <si>
    <t>PRODUCCION</t>
  </si>
  <si>
    <t>OBSERVACIONES</t>
  </si>
  <si>
    <t>VISIBLE</t>
  </si>
  <si>
    <t>Prioridad</t>
  </si>
  <si>
    <t>Jira TEST</t>
  </si>
  <si>
    <t>jira PROD</t>
  </si>
  <si>
    <t>Rama</t>
  </si>
  <si>
    <t xml:space="preserve">Seguimiento 5 mayo </t>
  </si>
  <si>
    <t xml:space="preserve">seguimiento 7 mayo </t>
  </si>
  <si>
    <t xml:space="preserve">seguimiento 9 mayo </t>
  </si>
  <si>
    <t>seguimiento 9 mayo  2</t>
  </si>
  <si>
    <t xml:space="preserve">seguimiento 12 mayo </t>
  </si>
  <si>
    <t xml:space="preserve">seguimiento 14 mayo </t>
  </si>
  <si>
    <t xml:space="preserve">seguimiento 15 mayo </t>
  </si>
  <si>
    <t xml:space="preserve">seguimiento 16 mayo </t>
  </si>
  <si>
    <t xml:space="preserve">seguimiento 19 mayo </t>
  </si>
  <si>
    <t xml:space="preserve">seguimiento 21 mayo </t>
  </si>
  <si>
    <t xml:space="preserve">seguimiento 23 mayo </t>
  </si>
  <si>
    <t xml:space="preserve">seguimiento 26 mayo </t>
  </si>
  <si>
    <t xml:space="preserve">seguimiento 28  mayo </t>
  </si>
  <si>
    <t xml:space="preserve">seguimiento  30 mayo </t>
  </si>
  <si>
    <t>seguimiento  4 Junio</t>
  </si>
  <si>
    <t>seguimiento  6 Junio</t>
  </si>
  <si>
    <t>seguimiento  9 Junio</t>
  </si>
  <si>
    <t>seguimiento  11 Junio</t>
  </si>
  <si>
    <t>seguimiento  13 Junio</t>
  </si>
  <si>
    <t>seguimiento  16 Junio</t>
  </si>
  <si>
    <t>seguimiento  18 Junio</t>
  </si>
  <si>
    <t>seguimiento  20 Junio</t>
  </si>
  <si>
    <t>seguimiento  25 Junio</t>
  </si>
  <si>
    <t>seguimiento  26 Junio</t>
  </si>
  <si>
    <t>seguimiento  27 Junio</t>
  </si>
  <si>
    <t>seguimiento  01 de Julio</t>
  </si>
  <si>
    <t>seguimiento  02 de Julio</t>
  </si>
  <si>
    <t>seguimiento  04 de Julio</t>
  </si>
  <si>
    <t>seguimiento  07 de Julio</t>
  </si>
  <si>
    <t>seguimiento  08 de Julio</t>
  </si>
  <si>
    <t>seguimiento  09 de Julio</t>
  </si>
  <si>
    <t>seguimiento  10 de Julio</t>
  </si>
  <si>
    <t>seguimiento  11 de Julio</t>
  </si>
  <si>
    <t>seguimiento  14 de Julio</t>
  </si>
  <si>
    <t>seguimiento  15 de Julio</t>
  </si>
  <si>
    <t>seguimiento  16 de Julio</t>
  </si>
  <si>
    <t>seguimiento  17 de Julio</t>
  </si>
  <si>
    <t>seguimiento  18 de Julio</t>
  </si>
  <si>
    <t>seguimiento  21 de Julio</t>
  </si>
  <si>
    <t>seguimiento  23 de Julio</t>
  </si>
  <si>
    <t>seguimiento  23 de Julio 2</t>
  </si>
  <si>
    <t>Column 61</t>
  </si>
  <si>
    <t>Column 62</t>
  </si>
  <si>
    <t>Column 63</t>
  </si>
  <si>
    <t>Column 64</t>
  </si>
  <si>
    <t>DANILO</t>
  </si>
  <si>
    <t>INTERNO-D001</t>
  </si>
  <si>
    <t>Radicación Express con IA  ( SALUD )</t>
  </si>
  <si>
    <t>PRUEBAS CLIENTE</t>
  </si>
  <si>
    <t>28/02/2025: modificó el script para entrenar con lenguaje natural; el modelo propio (basado en Verner) reconoce respuestas rápidas (ej. segunda opinión médica) tras retirar el destilado. Es ligero y responde rápido. Planea ajustar, subir a dev/test y usar una base preentrenada para optimizar.
03/03/2025: El viernes 28  se subieron las modificaciones  a un repositorio, pero aún falta un cambio que planea terminar y desplegar hoy, tras ajustes adicionales que retrasaron el despliegue inicial a dev y test.
04/03/2025: Ajustó el algoritmo del modelo (impresión y entrenamiento) el día anterior, subiendo los cambios al repositorio, pero falta un ajuste en el API para desplegarlo, ya que se alojará en un servidor distinto al de Oficina Virtual por limitaciones de capacidad; espera terminarlo pronto.
05/03/2025: No ha avanzado más en Radicación Express por priorizar el API de Recobros; habló con Jenry sobre cambios adicionales y planea retomarlo tras finalizar el API esta semana.
06/03/2025: Trabajó en una modificación para Radicación Express, pero no la finalizó por requerir más cambios; no dio más detalles ni avances significativos.
07/03/2025: Se detiene ya que se dedicara al API de recobros.
10/03/2025: Detenido ya que se encuentra trabajando en la Lectura de incapacidadaes por Python
12/03/2025 : Si es posible y se da el espacio en la sesion de presentación del API de recobros se realizara presentación de este requerimiento. 
14/03/2025: Ayer se presentó el avance del proyecto al cliente y Se realizó un ajuste en la implementación, cambiando el modelo de multi-language a una versión en español para mejorar el rendimiento. Este cambio impactó parcialmente el entrenamiento, pero se espera recuperar la estabilidad durante la semana.
17/03/2025: El viernes avanzó en Radicación Express, resolviendo problemas menores, y ajustó la lógica para llevar al usuario al segundo o tercer paso tras confirmar; hoy sigue dedicado a esto, ajustando los datos enviados al formulario para finalizar esa parte.
18/03/2025: Terminó la integración del formulario de Radicación Express con autorizaciones médicas, autocompletando datos (ciudad, IPS, médico) si están completos o dejando en el primer paso si no; hoy subirá los cambios tras reunirse con Jenry para validar o ajustar.
19/03/2025:  Desplegó Radicación Express en test, pero enfrentó problemas de capacidad en el servidor para entrenar el modelo (100 registros fallaron); ajustó el entrenamiento a un registro cada 15 minutos, logrando 3-4 ejemplos ayer, y hoy seguirá entrenando y ajustando.
20/03/2025:Verificó el modelo ayer, ajustó un fallo donde Python mataba el proceso a la mitad, y continuó el entrenamiento (pocos ciclos aún); hoy planea alcanzar 100 ciclos con registros diferentes.
21/03/2025: Revisó el entrenamiento del modelo, que ya superó 100 ejemplos sin problemas ayer; hoy seguirá monitoreando y avanzando en el entrenamiento
27/03/2025: El modelo ya se entrenó con los casos previos y reconoce información; hoy buscará tiempo para añadir 200 registros más para entrenar entre hoy y mañana.
28/03/2025: Ayer  no adiocno
28/03/2025: No revisada ayer por falta de tiempo; hoy planea agregar 500 registros para entrenar y retomar el avance.
31/03/2025: El viernes agregó 173 ejemplos más (total 473 casos); el modelo entrena bien, reconoce 4 de 5 casos con léxico colombiano; hoy o mañana terminará esta tanda y planea sumar 500 registros más.
01/04/2025: Ayer insertó nuevos registros para entrenar el modelo esta semana.
09/04/2025:  Entrenado con 800 casos, listo en test para pruebas por Santiago o usuarios; hoy se entregará oficialmente para pruebas por el cliente, con entrenamiento continuo; estiman 8 días para producción si se prioriza. 
03/09/2025: Se corrigieron errores recientes y se entregó una nueva versión a Santiago. Se encuentra en proceso de validación,
27/02/2026: Hasta la  fecha no se ha obtenido respuesta del cliente.</t>
  </si>
  <si>
    <t>False</t>
  </si>
  <si>
    <t xml:space="preserve">Se entrega para  TEST </t>
  </si>
  <si>
    <t>INTERNO-D002</t>
  </si>
  <si>
    <t>Lectura de incapacidades por Python</t>
  </si>
  <si>
    <t>FINALIZADO</t>
  </si>
  <si>
    <r>
      <rPr>
        <rFont val="Quattrocento Sans"/>
        <b/>
        <color theme="1"/>
        <sz val="10.0"/>
      </rPr>
      <t xml:space="preserve">14/02/2025  Se encuentra ajustando cambio de OCR para minimizar el tiempo de lectura realizando entrenamiento.
17/02/2025 Se realizo cambio de OCR, y pruebas
18/02/2025 ajustar un modelo diferente a ollama para mejorar la lectura del OCR.
19/02/2025 Continuara con los ajustes
20/02/2025 Realizar ajustes para hacer una entrega parcial hoy
21/02/2025  En pruebas de entrenamiento al nuevo modelo.
24/02/2025  Organizar datos y consultas e implementarlos en el entrenamiento del modelo para posteriormente pasar a produccion.
25/02/2025 Se adelanta las consultas par la construccion del dataset para entrenar el modelo (Bert), despues de terminar la construccion serla a los ambientes y comenzar con el entrenamiento.
26/02/2025 Se re ealiza despliegue a produccion el 25 de febrero, se realizara una modificacion  en el dataset  desplegarla  a produccion  para que se encuentre lista para usar, realizar pruebas e iniciar  entrenamiento en las noche.
26/02/2025: </t>
    </r>
    <r>
      <rPr>
        <rFont val="Quattrocento Sans"/>
        <b val="0"/>
        <color theme="1"/>
        <sz val="10.0"/>
      </rPr>
      <t>Se suben a produccion las modificaciones y al iniciar  el entrenamiento del modelo se presentaron varios inconveniestes encuanto a nombres de facientes y fechas con la data de produccion para lo cual se debio ajustar el dataset.
27/02/2025:se le daran tres ciclos de incapacidades y a medio dia validar cual fue el nivle de aprendizaje.
28/02/2025:Culminó una etapa del modelo, entrenándolo con 2 ciclos (20 registros cada uno), logrando identificar nombre del paciente, fechas y número de incapacidades. Planea entrenar con un dataset más grande en la noche (por uso de RAM) y mejorar la clasificación con datos existentes
04/03/2025: Ayer ajusto los scripts de entrenamiento para que esta semana se pueda entrenar más rápido el modelo.
05/03/2025: Las últimas modificaciones se subieron el viernes 28 de febrero, el modelo se entrena en la noche y los fines de semana cada 6 horas con dataset construido dos horas antes; revisará resultados la próxima semana para evaluar el entrenamiento.
10/03/2025; Se encuentra realizando validaciones a los resutados del entrenamiento de la semana anterior y mejorando el regex mientras el modelo mejora su entrenamiento.
11/03/2025: Está trabajando en un tab para el portal de incapacidades que muestre la información leída por el modelo de IA; planea avanzar lo más posible hoy o terminarlo, sin bloqueos ni dudas reportadas.
12/03/2025: Ya se encuentra ajustado el algorimo de la lectura y se guarda la  información en una tabla para mostrar la información extraida en el aplicativo de incapacidades, hoy se ajustara la vista para mostrar la  información en la consulta de incapacidades.
13/03/2025: Ayer finalizó una vista para mostrar la información procesada por el modelo de IA, con ajustes adicionales completados; hoy espera definir prioridades tras una reunión de las 9 a.m.
14/03/2025: Se presentó el avance del proyecto a un grupo de personas, generando gran interés Se resolvieron dudas sobre la tecnología y se trabajará en una versión más completa.
18/03/2025:  No está trabajando activamente en esto; el modelo se entrena en la noche con un dataset de imágenes, pero con pocos casos aún para mejorar efectividad, y planea revisar pronto el porcentaje de precisión.
28/03/2025: No le dedicó tiempo ayer; hoy buscará agregar más registros para entrenar el modelo. 
01/04/2025: Revisó el modelo ayer; avanza poco, pero ajustó el entrenamiento para que sea más rápido sin afectar el servidor; entrena cada 6 horas los fines de semana para aprovechar recursos.
09/04/2025: Entrenado lentamente por recursos limitados (pocos ciclos para no afectar el servidor); lleva 15-20 días así, hoy revisarán su efectividad para decidir si ajustar o buscar alternativas.</t>
    </r>
  </si>
  <si>
    <t>TRUE</t>
  </si>
  <si>
    <t xml:space="preserve">Se correra un comando para revisar el estado de lectura de incapacidades, medir el avance del entrenamiento y validar los resultados obtenidos. </t>
  </si>
  <si>
    <t>No se pudo validar completamente el avance debido a una caída del servidor ocasionada por falta de direcciones IP, un problema que no había ocurrido anteriormente, validara hoy el avance</t>
  </si>
  <si>
    <t>El 19 de mayo,Se modifico el OCR  para mejorar la lectura y confirma que ha alcanzado una efectividad del 85%</t>
  </si>
  <si>
    <t>Falta un detalle menor para terminar la integración de la información extraída sobre incapacidades. Planea cerrarlo hoy.</t>
  </si>
  <si>
    <t>El 28 de mayo  Se implementó la ejecución automática de solicitudes de incapacidades a partir de la lectura con IA. Se visualiza en una pestaña separada para mostrar resultados al cliente. Se discutió que, aunque Bolívar no usa actualmente los datos extraídos, la información será útil para validaciones futuras.</t>
  </si>
  <si>
    <t>Los porcentajes de efectividad no superan el 50 % en pruebas recientes. En casos revisados, los valores más comunes rondan el 37 %, incluso en incapacidades actuales. Se recomienda revisar la calidad de los documentos fuente y optimizar la lógica de extracción</t>
  </si>
  <si>
    <t>No se ha podido validar el rendimiento del modelo</t>
  </si>
  <si>
    <t>entrenamiento fines semana</t>
  </si>
  <si>
    <t>27/06/2025:Pendiente validacion de efectividad  en la lectura  y ajuste del OCR  para disminuir el consumos de recusos.</t>
  </si>
  <si>
    <t>GD772-103</t>
  </si>
  <si>
    <t>Paso de documentos de fs a s3</t>
  </si>
  <si>
    <r>
      <rPr>
        <rFont val="Quattrocento Sans"/>
        <b/>
        <color theme="1"/>
        <sz val="11.0"/>
        <u/>
      </rPr>
      <t>Fecha de entrega al clente:</t>
    </r>
    <r>
      <rPr>
        <rFont val="Quattrocento Sans"/>
        <color theme="1"/>
        <sz val="11.0"/>
        <u/>
      </rPr>
      <t xml:space="preserve"> 10/11/2025</t>
    </r>
  </si>
  <si>
    <t>CANCELADO</t>
  </si>
  <si>
    <r>
      <rPr>
        <rFont val="Quattrocento Sans"/>
        <b/>
        <color theme="1"/>
        <sz val="10.0"/>
      </rPr>
      <t xml:space="preserve">19/02/2025 se tuvo sesion Con Juan Angel  para validar como hacer la copia de los documentos y se definio un orden para hacer las trasferencias, se programara la tarea para el 20 de Febrero y se validara el 21 de febrero el resultado 
21/02/2025 La tarea programada para la trasferencia de las imagenes se ejecuto ayer 20 de febrero y hoy se realizara la  validación de  resultados.
24/02/2025 Se realizó la validación, pero no se evidenciaron resultados. Se consultará con la persona encargada para determinar la razón por la cual la transferencia no fue exitosa
26/02/2025 Se radica ticket MDSB-770619 solicitando apoyo para ejecutar la transferencia de archivos desde el disco FS hacia el bucket S3.
27/02/2025 El Ticket MDSB-770619 escalado a bolivar  solicitando apoyo para ejecutar la transferencia de archivos desde el disco FS hacia el bucket S3 se en cuentra en estado en proceso.
28/02/2025 El Ticket MDSB-770619 escalado a bolivar  solicitando apoyo para ejecutar la transferencia de archivos desde el disco FS hacia el bucket S3 se en cuentra en estado en proceso.
04/03/2025 No hay avances ni respuestas al ticket  MDSB-770619 sobre el paso de documentos;
11/03/2025: Se comenta el ticket MDSB-770619 solicitando avances en la solicitud o si se requiere alguna información adicional o algún ajuste de nuestra parte para avanzar con la sincronización.
13/03/2025: A un no se obtiene avances del progreso del ticket MDSB-770619.
28/03/2025: Depende de Bolívar para transferir archivos; no hay avances locales por ahora.
02/04/2025: Ayer Infraestructura de Bolivar  realizo la sincronizacion del primer directorio Sincronización de /opt/storage/img04/arp, e indican que seguiran migrando los directorios en las noches ya que generan  afectacion en el servidor.
03/04/2025: Hoy infraestructura  informa la fecha tentativa de finalizacion es el 4 de abril. el dia de hoy estan terminando la carpeta IMG02
04/04/2025: el 3 de abril  en la noche se detuvo la transferencia de documentos debido a que  ocaciono la  caida del servidor a 10:52 pm. 
07/04/2025: Confirman finalizacion del paso de documentos, Se solverificar que el tamaño del disco S3 corresponda al mismo del FS.
09/04/2025: De acuerdo a la sesion con infraestructura de bolivar  se  Construira plan de paso Fs a S3, hoy se pasa el faltante y se expone el s3 a producción.
10/04/2025  se confirma paso de toda la informacion MDSB-770619 
</t>
    </r>
    <r>
      <rPr>
        <rFont val="Quattrocento Sans"/>
        <b val="0"/>
        <color theme="1"/>
        <sz val="10.0"/>
      </rPr>
      <t xml:space="preserve">01/10/2025: Se tiene previsto iniciar el trabajo de migración alrededor del 15 de octubre. Actualmente infraestructura ya realizó una transferencia hacia un repositorio intermedio (“grandote”), pero es necesario garantizar que la información también se replique en nuestro entorno para validar la integridad de los datos. Se sugiere solicitar a infraestructura un avance formal del estado de la migración, dado que el proceso lleva aproximadamente un mes en ejecución. El equipo considera importante iniciar desde ya la planeación de las pruebas de validación para asegurar que la transferencia se haya completado de manera correcta y sin pérdida de información.
</t>
    </r>
    <r>
      <rPr>
        <rFont val="Quattrocento Sans"/>
        <b/>
        <color theme="1"/>
        <sz val="10.0"/>
      </rPr>
      <t>06/10/2025: Se estima un tiempo de implementación de aproximadamente una semana, considerando revisión de sincronizaciones y definición del punto de partida
08/10/2025: Entre el 6 y 7 de octubre se avanzó en el mapeo de campos relacionados con las rutas de almacenamiento (campo BAT) y en la normalización de URLs para garantizar la correcta transferencia de archivos. Se detectaron registros fuera de estándar que serán reportados. Se implementa la lógica para transferencias diarias y eliminación de archivos con más de 90 días, con trazabilidad mediante logs. Se acordó definir una variable de entorno para el almacenamiento híbrido (local y S3), asegurando compatibilidad en los visores y consultas de archivos.
09/10/2025: Se escala control de cambios a test MDSB-907732 para la creación del esquema  auditoria y de la tabla auditoria.verificacion_efs_s3. Control de cambios ejecutado con exito.    
09/10/2025:  Se escala control de cambios a Producción MDSB-907823 para la creación del esquema  auditoria y de la tabla auditoria.verificacion_efs_s3.
10/10/2025: Durante los días anteriores se avanzó en múltiples tareas asociadas al requerimiento.
Se implementó y probó con éxito la lógica de sincronización diaria de los archivos del día anterior, con un tiempo promedio de ejecución de 6 minutos.
Se desarrolló e implementó la lógica para eliminación automática de archivos del disco FS con más de 90 días de antigüedad, validada en el entorno PRUN mediante pruebas exitosas.
Se ajustó la lógica de consulta de archivos desde las aplicaciones, la cual ya se encuentra funcional.
Se creó un control de certificación de migración, que valida la existencia de los archivos en S3
15/10/2025: El proceso de migración se encuentra finalizado en un 95 %. Falta aprobación del control de cambios para ejecutar las pruebas en producción y completar la verificación de registros. El script de validación está implementado y funcional.
17/10/2025: A la espera de la aprobación de control de cambios para ejecutar los scripts en producción y validar la integridad de la información migrada.
20/10/2025: En espera de aprobación del control de cambios por parte del  QA (Ricardo) para poder continuar con la sincronización de archivos
24/10/2025: El control de cambios se ejecutó correctamente en el ambiente de producción; sin embargo, se evidenció que faltan los permisos necesarios para acceder a la tabla. 
27/10/2025: Se escala control de cambios MDSB-918655 para los permisos requeridos.
29/10/2025: Control de cambios  MDSB-918655 ya obtuvo las aprovaciones necesarias para avanzar, se estima sea incluido en el comité  de cambios digitales de hoy, una vez ejecutado se continuará con la verificación y validación de las imágenes transferidas. 
05/11/2025: Control de cambios  MDSB-918655 ejwcutado con exito el  29 de octubre, a hoy no se 
11/11/2025: Requerimiento cancelado según instrucción de la gerencia de Imagine.</t>
    </r>
  </si>
  <si>
    <t>FALSE</t>
  </si>
  <si>
    <t>MDSB-907732</t>
  </si>
  <si>
    <t>MDSB-907823 / MDSB-918655</t>
  </si>
  <si>
    <t>verificar la transferencia de archivos, ya que se completó la transferencia de los documentos faltantes</t>
  </si>
  <si>
    <t>Validara la  cantidad de documentos tranferidos y dara respuesta al correo</t>
  </si>
  <si>
    <t>se revisó la transferencia de archivos, donde se detectaron diferencias que fueron comentadas en el jira.</t>
  </si>
  <si>
    <t>Implementara logica para el conteo de imagenes y  se prepara  para  realizar el cambio del disco el jueves 22 de mayo a las 6pm</t>
  </si>
  <si>
    <t>El 21 de mayo se implementó una lógica para el conteo de archivos transferidos, como parte de la preparación para el paso a producción programado para el lunes 26 de mayo. Las pruebas realizadas el 22 de mayo permitieron validar el montaje del FS en una unidad alternativa, lo cual ofrece flexibilidad para intervenir manualmente en caso de archivos faltantes o fallidos. Infraestructura será responsable de la transferencia de los registros faltantes durante el fin de semana, con posibilidad de apoyo nuestro si es necesario.</t>
  </si>
  <si>
    <t>Se avanzó en los conteos correspondientes a img04. Se espera consolidar los resultados en el transcurso del día para dar respuesta formal con evidencias a los correos correspondientes.</t>
  </si>
  <si>
    <t>El conteo de datos para FS y S3 sigue pendiente. se planea terminar hoy el conteo y compartir evidencias para análisis, el paso a produccion sigue pendiente.</t>
  </si>
  <si>
    <t>El 28  de mayo se termina el conteo y se envian evidencias, pendiente  confirmación de Bolivar</t>
  </si>
  <si>
    <t>Se ajustaron fechas para realizar un nuevo reconteo de archivos transferidos</t>
  </si>
  <si>
    <t>Para  el viernes  20 de junio se programo Ventana de mantenimiento a las 5 pm para  realizar paso a producción.</t>
  </si>
  <si>
    <t xml:space="preserve">25/06/2025: El viernes 20 de junio se intentó realizar el paso a producción, pero no fue exitoso, ya que al momento de cargar archivos el sistema no lo permitía debido a temas de permisos que no pudieron resolverse en ese momento,Por esta razón, fue necesario reversar la implementación.Se estima realizar nuevamente el paso a producción el día jueves 26 de junio. </t>
  </si>
  <si>
    <t>26/06/2025: Se programa paso a producción el día miércoles 2 de julio de 10:00 a 11:00 pm.</t>
  </si>
  <si>
    <t>02/07/2025: Para hoy esta  programado el paso a producción a las 10 Pm.</t>
  </si>
  <si>
    <t>04/07/2025: El paso  programado para el 2 de julio no fue exitoso debido aque se presentaron  dificultades al levantar el servicio, Bolivar propone clonar la máquina actual para probar configuraciones antes hacer el paso a producción. Se acordó que la máquina estaría lista para pruebas el lunes 7 de julio, con la realización de estas programadas para el martes 8 de julio.</t>
  </si>
  <si>
    <t>09/07/2025:Ayer 8 de junio se recibió el ambiente con S3 para pruebas de parte del cliente, se confirmó que la copia es fiel a producción realizando pruebas básicas de navegación. Se planea probar el montaje completo con S3 y revisar si el problema de bloqueo persiste al montar EBS.</t>
  </si>
  <si>
    <t>10/07/2025:Se  escala solicitud MDSB-844713  para habilitar el acceso a la instancia de pruebas_s3 para validar localmente la implementación de los discos, antes del paso a producción.</t>
  </si>
  <si>
    <t>11/07/2025: Pendiente respuesta del ticketMDSB-844713 ya que el bloqueo impide validar completamente las aplicaciones. Mientras tanto, se ha avanzado con otras tareas técnicas en ese entorno.</t>
  </si>
  <si>
    <t xml:space="preserve">14/07/2025: El viernes 11 de julio se supero el bloqueo de red que impedía comunicación con el puerto 80, lo cual permitió avanzar en el montaje del EC3. Se identificó un problema con el RECAPTCHA debido a que este está configurado para un dominio específico, y en el ambiente actual se está usando una IP directa, Se continuará en lo posible de solucionar y comenzar a realizar pruebas. </t>
  </si>
  <si>
    <t>16/07/2025: Se continúa con las pruebas y estabilización del S3 y el EBS. Ayer se intentó actualizar Apache, lo que obligó a reinstalar el sistema operativo por incompatibilidad de librerías. Se realizó la restauración del sistema para continuar con las pruebas hoy. Se está evaluando si el EBS es viable dado que su integración obliga a actualizar todo el sistema operativo.</t>
  </si>
  <si>
    <t xml:space="preserve">17/07/2025: Se  aplican las actualizaciones necesarias para corregir el problema con el disco EBS  pero la actualización no concluyó como se esperaba, nuevamente los discos en el ambiente de pruebas, manteniendo una estructura lógica diferente a la anterior </t>
  </si>
  <si>
    <t>18/07/2025: El 17 de julio se realizaron pruebas satisfactorias en el ambiente de pruebas S3. Se planea continuar con pruebas de rendimiento simulando entre 40 y 80 sesiones activas para validar el comportamiento similar al entorno productivo. Se espera finalizar hoy para liberar el ambiente y continuar con otras tareas como la actualización de Apache.</t>
  </si>
  <si>
    <t>21/07/2025: El viernes 18 de julio se realizaron pruebas de carga y funcionales, corrigiendo errores detectados. Se entregó informe y el ambiente quedó listo para el paso a producción. Se identificó mejora en la latencia desde FPM. Se requiere confirmación del cliente para la fecha de paso a producción.</t>
  </si>
  <si>
    <t>23/07/2025: Se realizara  paso a produccion 23 de julio a las 10 pm</t>
  </si>
  <si>
    <t>25/07/2025: El día miércoles 23 de julio se realizó un despliegue exitoso al entorno S3. Sin embargo, el 24 de julio fue necesario revertir los cambios debido a fallos de rendimiento detectados tras la implementación. Se requiere evaluar la capacidad actual del servidor y documentar lo ocurrido, con el fin de identificar las causas del problema y definir acciones correctivas que garanticen la estabilidad del sistema en futuros despliegues.</t>
  </si>
  <si>
    <t>30/07/2025:El proceso se encuentra en pausa hasta que se defina el método para el traspaso de imágenes</t>
  </si>
  <si>
    <t>GD772-64</t>
  </si>
  <si>
    <t xml:space="preserve">Api de recobros </t>
  </si>
  <si>
    <t>DETENIDO CLIENTE</t>
  </si>
  <si>
    <t>24/02/2025 Retomara esta tarea que estaba asignada a Jhoan.
26/02/2025 se encuentra pendiente hasta terminnar el desarrollo de la lectura de incapacidadaes por Python
27/02/2025:  Se intentara leer las URLs prefirmadas en T3. y revisar si lo que Joan desarrollo sirve o si se necesita crear una implementación distinta para que funcione bien.
28/02/2025: Avanzó en pruebas; las URL prefirmadas funcionan, pero faltan credenciales completas (Access Key ID y Secret Access Key) para permisos. Dejó un comentario al respecto en el ticket MDSB-766368.
03/03/2025: El viernes se recibe respuesta a un ticket relacionado con credenciales de usuario y una URL prefirmada. Validó que las credenciales funcionaran y logró resolver el tema del usuario quedando pendiente  Implementar la URL prefirmada (o listado de URLs) en la consulta exitosa.
04/03/2025: Avanzó configurando el ambiente en su máquina y revisando la lógica del API; hoy planea implementar el consumo de URLs prefirmadas y dejarlo listo si es posible.
05/03/2025 ajustó la recepción de parámetros y consultas del API, corrigiendo errores como la confusión entre siniestro y cédula, y añadió claves "not found" para identificar imágenes no disponibles en S3; falta terminar la consulta de facturas y revisar un PATH en tipologías, planeando compartir resultados de incapacidades hoy a las 10 y avanzar en facturas.
05/03/2025: No permite conectar al ambiente de desarrollo por el Administrador de Sesiones de AWS se radica ticket MDSB-774334
06/03/2025: Ayer por la mañana tuvo problemas de acceso al ambiente por un agente, pero en la tarde probó los cambios en incapacidades, generando URLs prefirmadas con claves "found" y "not found" (código 200), indicando imágenes no disponibles en S3; hoy planea avanzar en facturas, revisar tipologías y un posible Paht.
07/03/2025: Estandarizó consultas corrigiendo errores de sintaxis y añadió una validación para mostrar un mensaje genérico en errores 500 (con logs internos detallados); ya funciona la búsqueda de facturas, y hoy ajustará y compartirá la búsqueda de tipologías que usa la tabla Nexos para URLs prefirmadas.
10/03/2025: El viernes 7 de marzo finalizo el  requerimiento y reslizo entrega al cliente para  pruebas.
12/03/2025 :  Se escala solicitud MDSB-778771 implementar un control de acceso al dominio de imaginex-dev-recobros.segurosbolivar.com.para que únicamente se permita la comunicación desde los siguientes orígenes:
API Gateway de AWS Seguros Bolívar Refactoring ARL:
SegurosBolivar-Bienestar-ARL-DEV
SegurosBolivar-Bienestar-ARL-STG
SegurosBolivar-Bienestar-ARL-PROD
13/03/2025: La solicitud  MDSB-778771 escalada a infraestructura se en cuentra en estado en proceso.
18/03/2025: ayer infroman que los ajustes fueron realizados.
20/03/2025: Dedicó tiempo ayer a privatizar el dominio tras un ticket previo; DEV ya funciona con reglas, y hoy solicitará el dominio de test para avanzar. 
20/03/2025: Solicita dominio en el ticket MDSB-783892
21/03/2025: Ayer radicó el ticket MDSB-783892 para solicitar el dominio de test, ya que DEV funciona bien sin errores reportados, Realizara paso a test tan pronto se reciba una respuesta positiva  de la solicitud.
26/03/2025: En el  ticket MDSB-783892 solictan diligenciamiento de información, Danilo envia formato solicitado, confirman la generación del registro.
27/03/2025: Si todo sale bien con Autorizaciones Médicas esta mañana, por la tarde iniciará la implementación del host virtual en test.
28/03/2025: Ayer implementó el host virtual para test y validó reglas con el ticket MDSB-787645, restringiendo acceso al dominio; está avanzado, pendiente de pruebas finales.
01/04/2025:Ticket MDSB-787645 ejecutado con exito, y se escala Ticket MDSB-789767 solicitando  la creación del subdominio imaginex-recobros.segurosbolivar.com. (Produccion).
03/04/2025: Bolívar detuvo el requerimiento hasta aprobar fase 2; sigue avanzando el ticket MDSB-789767 para el DNS, falta completar el formato solicitado con el dato "value" (buscará apoyo de Edgar hoy).
04/04/2025: Se resolvió el ticket MDSB-789767  pendiente para la creación del DNS en producción, aunque la funcionalidad aún no está habilitada, Esto se hizo para evitar retrasos cuando se autorice el paso a producción.</t>
  </si>
  <si>
    <t>INTERNO-D003</t>
  </si>
  <si>
    <t>Comprimir información del body de la tabla cola_correos</t>
  </si>
  <si>
    <t>01/04/2025: Ayer trabajó en comprimir el body de la tabla cola_correos; una extensión externa logró un 25-26% de compresión (32 GB en producción), pero no tiene soporte para Postgres 15.5; propuso un script en Python que reduce hasta 50%, aunque se evita depender de scripts por ser implementación adicional; sigue en evaluación.  
02/04/2025: Se define que antes de implementar cualquier cambio, se debe consultar con el cliente (Bolívar). Se discutirán los resultados obtenidos y se determinará si la solución es aceptable. Se sugiere la alternativa de utilizar un trigger en la base de datos, lo que permitiría comprimir y descomprimir automáticamente los datos sin necesidad de modificaciones en el código de la aplicación. Esto simplificaría la implementación y reduciría la carga de desarrollo.
03/04/2025: De acuerdo a la sesion con Bolivar, quedó pendiente enviar la especificación técnica a Leidy para escalarla a tecnología y aprobar la solución propuesta por imagine (compresión del 25-26% o script al 50%); redactará el correo hoy con Jenry.  
09/04/2025: Pendiente de confirmación de Bolívar sobre la solución propuesta; Jenny sugirió pasarlo a producción, pero requiere una implementación (1 semana estimada)</t>
  </si>
  <si>
    <t>JAIRO</t>
  </si>
  <si>
    <t xml:space="preserve"> MDSB-707440/GD772-74</t>
  </si>
  <si>
    <t>Portal reembolsos ARL (FLUJO YII)</t>
  </si>
  <si>
    <t>03/03/2025: Iniciara despues de finalizar el req GD772-83 Boton Glosa parcial del total de la factura 
10/03/2025; Inicia con el desarrollo.
11/03/2025 : Inicio bajando el sitio, pero no avanzó mucho debido a que  Jenry le asignó otro requerimiento (Captura de datos e informe).
21/03/2025:Se iniciara con el desarrollo despues de cerrar el req GD772-72 Requerimiento Captura de datos e informe (Reembolsos).
27/03/2025: Continuará con este requerimiento tras subir GD772-72 a test; no reportó avances ayer.
28/03/2025: Iniciará hoy tras subir GD772-72 a test; no avanzó ayer.
02/04/2025: Espera reiniciar despues del medio dia con el req. 
10/04/2025: Se realizaron cambios menores previos a la activación. Se planea iniciar la activación hoy del req.
11/04/2025:  tiene el ambiente listo pero no ha iniciado código; espera mostrar avances esta tarde.
14/04/2025: tiene el ambiente listo pero no ha iniciado código,Informa que a un no ha reactivado el req.
11/08/2025: Aprueban control de cambios en comite de cambios digitales y se ejecutara hoy 11 de agosto a las 4:20pm
20/08/2025: El requerimiento ya fue implementado y migrado a producción el jueves 14 de agosto. Se estabilizó el viernes y quedó consolidado en la rama máster.</t>
  </si>
  <si>
    <t>MDSB-814902</t>
  </si>
  <si>
    <t>MDSB-856139</t>
  </si>
  <si>
    <t xml:space="preserve">Se retoma luego del 104 </t>
  </si>
  <si>
    <t xml:space="preserve">Se inicia requerimiento el 5 de mayo , en 2 semanas se entrega  </t>
  </si>
  <si>
    <t xml:space="preserve">seguimos en el proceso </t>
  </si>
  <si>
    <t xml:space="preserve">Se pausa y se da inicio a analiticia fila 56 </t>
  </si>
  <si>
    <t>Se está analizando el tema de asignación por valores y explorando cómo incorporar el componente de servicios.</t>
  </si>
  <si>
    <t>En el proceso de reembolsos se ha llegado a la etapa de asignación y radicación en "sí salud"</t>
  </si>
  <si>
    <t>pasar pacial, solicitara  cambios en  test, se escala control de cambios a test MDSB-814902</t>
  </si>
  <si>
    <t>Control de cambios MDSB-814902 ejecutado el viernes 16 de mayo,  está desarrollando actividades relacionadas con la radicación en salud. Se espera pasar un avance parcial pronto a tets para que Jenry pueda comenzar las pruebas de digitación</t>
  </si>
  <si>
    <t>Se realiza paso a test  20 de mayo un parcial y continuara trabajando en el restante del requerimiento</t>
  </si>
  <si>
    <t>Se realizaron ajustes en inconsistencias, permisos y roles. Se pasó un parcial para pruebas, y se está a la espera de validaciones para continuar con los ajustes finales.</t>
  </si>
  <si>
    <t>Se está trabajando en unificar los informes de ARL con los de Reembolso Salud en una misma pestaña, Las pruebas dependen de un servicio de Bolívar que aún no está disponible</t>
  </si>
  <si>
    <t>Se creó el primer informe específico para ARL basado en los ya existentes para Reembolso Salud. Está en proceso de pruebas,</t>
  </si>
  <si>
    <t>El API presenta fallas en ambiente de pruebas; según tecnología, se propondrá apuntar el sitio de test a produccion para poder llevar acabo las pruebas y autoricen el paso a produccion. Se debe considerar personalizar plantillas de respuesta para  ARL.</t>
  </si>
  <si>
    <t>Desarrollo ya se encuentra en  test, a la espera de confirmación si el rachivo de pagos en igual al de salud.</t>
  </si>
  <si>
    <t>El viernes 6 de junio se informa a Bolívar que pueden iniciar las pruebas con la implementación de la simulación del sistema SISalud, con el fin de validar el flujo completo de radicación en ausencia del entorno funcional</t>
  </si>
  <si>
    <t>A la espera de habilitación del ambiente de pruebas para que Bolivar continue con las pruebas, Bolivar debe gestionar la activación para continuar.</t>
  </si>
  <si>
    <t>El requerimiento sigue en ambiente de pruebas. No hay confirmación de validaciones de parte de Bolivar.</t>
  </si>
  <si>
    <t xml:space="preserve">Sigue en pruebas por Bolivar. </t>
  </si>
  <si>
    <t xml:space="preserve">27/06/2025: Se estima tiempo de entrega del resultado de las pruebas  el 1 de julio por parte de bolivar </t>
  </si>
  <si>
    <t>16/07/2025: El 15 de julio el  portal  fue entregado al cliente para pruebas, se entregaron tanto las cartas como la funcionalidad del flujo completo.</t>
  </si>
  <si>
    <t xml:space="preserve">Cambio en las cartas </t>
  </si>
  <si>
    <t xml:space="preserve">Pendiente confirmar  que modificaciòn se  requiere </t>
  </si>
  <si>
    <t>30/07/2025: El cliente ha dado visto bueno para realizar el paso a producción. Se procede a escalar el control de cambios MDSB-856139</t>
  </si>
  <si>
    <t>JESUS</t>
  </si>
  <si>
    <t>MDSB-780227</t>
  </si>
  <si>
    <t xml:space="preserve"> Duplicación de actividades en Nativo</t>
  </si>
  <si>
    <t>1. comando quitar duplicados 
2. Revisar la funcio´n de reasignar.
3. Revisar flujos (en nativo)</t>
  </si>
  <si>
    <t>18/03/2025: No alcanzo a revisar la duplicación de casos; hoy analizará los radicados por buzón (flujo correcto pero con actividades duplicadas), y podría crear un comando si no encuentra la causa.
19/03/2025: Revisó ayer por la mañana la duplicación de actividades en Nativo sin encontrar errores en el código; hoy continuará investigando la causa.
20/03/2025: Se detiene para darle pioridad al req GD772-92 - Malla CUPS en Nativo.
03/04/2025: Continua detenida ya que se debe dar prioridad al Req GD772-84 Comunicaciones gestión de aportes sin afiliacion (masivos).</t>
  </si>
  <si>
    <t>Retomara validación de la incidencia.</t>
  </si>
  <si>
    <t>se implemento check para colocar flujo en administracion. Se identificó que el error se debía a que algunas tipologías no tenían definido el tipo de asignación como "flujo", lo que permitía la apertura de múltiples actividades para un mismo caso. Se actualizó la configuración de dichas tipologías,</t>
  </si>
  <si>
    <t>GD772-87</t>
  </si>
  <si>
    <t xml:space="preserve">Implementar en laravel  la autenticación con QR </t>
  </si>
  <si>
    <t>03/02/2025  Generacion de la Vista del codigo de 2 pasos en login de Bolivar
05/02/2025  Se mostraran avances para el 7 de Febrero
07/02/2025 Inicia encriptación de datos, sesion  a 4pm hoy  para mostrar  avances en dev 
10/02/2025 Quitar  la  autorecuperación  del QR.
12/02/2025 Se sube a dev el login de laravel
21/02/2025: se debe incluir a donde se envia el correo de recuperación.
24/02/2025:  se escaló el control de cambios a test con el ticket MDSB-768688.
25/02/2025:   Se encuentra pendiente creacion de req caja para asociarlo al control de cambios y se de la aprobacion de QA.
28/02/2025: Pendiente creacion de requerimiento caja de parte de Bolivar, Imagine reaizara el envio del manual de usuario. 
03/03/2025 : El dia viernes 28 de febrero  Bolivar crea el requerimiento caja GD772-87 para adjuntarlo al control de cambios MDSB-768688 en test y continuar con el proceso.
04/03/2025: Control de cambios MDSB-768688 se encuentra en estado aprobacion QA de Bolivar.
05/03/2025: Control aprobado por QA, Control de cambios ejecutado con éxito 
06/03/2025: Subió el doble factor a test ayer, pero no compara bien el código del Authenticator; sospecha confusión por claves en Develop o un fallo en la librería, y lo revisará hoy.
07/03/2025: El doble factor no valida bien el código; ayer descartó conflictos en Develop borrando registros, y hoy investigará si es la librería o el dominio compartido.
10/03/2025. El viernes 7 de marzo identifico que la hora del servidor de tets esta adelantada respecto a la hora del celular, quedo ajustado.
21/03/2025: Pendiente resultado de pruebas de Bolivar y el visto bueno para realizar  paso a produccion.
26/03/2025: Bolivar informa que el resultado de las pruebas las enviaran la semana del 31 de marzo y confirman la  implementación en los 2 aplicativos (Nativo y Yii)
03/04/2025:Bolivar tiene  programadas para el 3 y 4 de abril con diferentes perfiles de usuario, de acuerdo al resultado solicitaran  paso a producción la próxima semana.
10/04/2025: Bolívar autorizó ayer iniciarlo en test para los ambientes de Yii y nativo
25/09/2025: Deacuerdo a nuevo mentodo de autenticación propuesto por el cliente seda por cancelado este requerimiento y se iniciara el GD772-146</t>
  </si>
  <si>
    <t>MDSB-768688</t>
  </si>
  <si>
    <t xml:space="preserve"> MDSB-849084</t>
  </si>
  <si>
    <t>Esta pendiente resultados de las pruebas de Bolivar</t>
  </si>
  <si>
    <t>El  18 de Junio   Bolivar informa que realizan las pruebas en test y aun realizando la exclusión de usuario (Listas blancas) se está solicitando doble factor de autenticación
Se identificó que la funcionalidad de Listas Blancas no está operando correctamente desde el navegador debido al score del CAPTCHA. Como propuesta, se sugiere implementar una validación directa por cédula, eliminando la dependencia del CAPTCHA.</t>
  </si>
  <si>
    <t>24/06/2025: Jesus entrega el viernes 20 de junio ajuste de Listas blancas, el usuario activo en listas blancas se le debe omitir la solicitud del codigo de verificación.
24/06/2025: Se aplica ajuste, se confirma funcionalidad y se le notifica al cliente para su validación.</t>
  </si>
  <si>
    <t>15/07/2025: El cliente confirma la aprobación para el paso a producción; sin embargo, la ejecución queda pendiente de definir la fecha, ya que se requiere realizar previamente la divulgación al equipo de trabajo, y por parte de Imagine  se debe solicitar control de cambios en produccion.</t>
  </si>
  <si>
    <t xml:space="preserve">solicitar control de cambios </t>
  </si>
  <si>
    <t xml:space="preserve">GD772-87 </t>
  </si>
  <si>
    <t xml:space="preserve">Implementar en Yii y Nativo  la autenticación con QR </t>
  </si>
  <si>
    <t>14/04/2025: Se estima iniciar con la implementación tras terminar con los ajustes del req GD772-84.
05/09/2025: En pruebas con nuevos usuarios se identificó un error: el mismo código no funciona en las tres plataformas, obligando a generar múltiples claves. Este comportamiento no se presentó en fases de prueba inicial. Se solicitó revisión técnica.
17/09/2025:El cliente informa que se requiere adicionar un segundo método de autenticación, similar al utilizado para la recuperación de clave
25/09/2025: Deacuerdo a nuevo mentodo de autenticación propuesto por el cliente seda por cancelado este requerimiento y se iniciara el GD772-146</t>
  </si>
  <si>
    <t>Bolivar  reporta 2 halazgo  en la pruebas.</t>
  </si>
  <si>
    <t>El 20 de mayo se realiza ajuste  en la recuperación de codigo y queda pendiente la inclusion de lsitas blancas tan pronto se ajuste el modulo en yii.</t>
  </si>
  <si>
    <t>continúa ajustando la lógica para excluir la validación de listas blancas en el doble factor.</t>
  </si>
  <si>
    <t>Se finalizó e implementó exitosamente en TES la funcionalidad pendiente de lista blanca relacionada con el doble factor. Este entregable ya está en ambiente de pruebas, se Realizaran pruebas de funcionamiento</t>
  </si>
  <si>
    <t>El 26 de mayo Se finalizan los ajustes indiecados por Bolivar y se infroma para que realicen las  pruebas.</t>
  </si>
  <si>
    <t>GD772-116</t>
  </si>
  <si>
    <t>Requerimiento gestión Medicamentos fase 2 - Sprint 2</t>
  </si>
  <si>
    <t xml:space="preserve">   09/06/2025: Estimación inicial de desarrollo  9 dias
16/06/2025: Se acordó iniciar el desarrollo el 18 de junio, una vez se finalicen tareas pendientes de giras
20/06/2025:El 19 de junio finalizó el punto 2,continuara con el punto 3.
25/06/2025:El desarrollo avanza en el punto 4 de la fase 2 (creación de tipología y actividades). Se ha completado aproximadamente el 40% del requerimiento 
27/06/2025: 27/06/2025: Se reporta un avance del  60%.
02/07/2025:Se avanza en un 75% del desarrollo de la Fase 2 de Medicamentos. Ya se encuentra funcional la creación individual de casos con su trazabilidad completa cuando un proveedor indica no entrega. Se han realizado pruebas exitosas en flujo y visualización. Actualmente se trabaja en la gestión masiva desde Excel para validar múltiples casos simultáneamente y asegurar la correcta apertura e identificación de cada uno. Pendiente finalizar el manejo masivo y ajustes en bandejas administrativas.
04/07/2025: El desarrollo alcanza un 85% de avance. Ya se construyó la generación de carta para proveedor nuevo. Queda pendiente recibir el modelo de carta de cancelación y completar dos botones adicionales. La validación masiva vía Excel fue pospuesta para el final 
07/07/2025: Avance parcial durante el viernes 4 de julio en una nueva funcionalidad vinculada a botones de acción. Se priorizó el análisis de flujos con doble actividad y se atenderá el requerimiento de medicamentos durante la jornada de hoy, se estima entrega de desarrollo 8 de julio.
09/07/2025: El desarrollo se encuentra en su fase final, aunque ha experimentado algunos retrasos debido a revisiones relacionadas con otros temas. Actualmente, hay una duda funcional pendiente sobre el comportamiento del botón “Copiar y Reabrir Caso”, la cual está en revisión.Se solicitará el respectivo control de cambios para realizar las pruebas en el ambiente de test.
09/07/2025: Se escala control de cambios en test bajo el jira MDSB-844308.
10/07/2025: Control de cambios MDSB-844308 ejecutado con éxito.
11/07/2025: : El desarrollo fue completado y subido a TES. Se agregó retroalimentación para la carga masiva de Excel. Está pendiente desarrollar la pestaña de trazabilidad y adjuntos, que fue solicitada en reunión con el cliente. Las plantillas de correo fueron entregadas y se está integrando para las pruebas.
16/07/2025: Avanza la estabilización con enfoque en mejoras de experiencia de usuario. Faltan validaciones en gestión y pequeñas correcciones funcionales. Plantillas ya están disponibles.
18/07/2025: Se completó el flujo y ajustes hallados en las pruebas de medicamentos.
23/07/2025: Se realizaron los ajustes solicitados, los cuales incluyen la separación de vistas en pestañas para mejorar la organización de la información, así como la inclusión de botones para la gestión de casos relacionados.
30/07/2025: El día 28 de julio se realizó la entrega del desarrollo al cliente, quien iniciará el proceso de pruebas.
14/08/2025: El cliente ha dado su visto bueno para realizar el paso a producción del requerimiento.
15/08/2025: Se solicita al cliente proporcionar un listado similar al que habitualmente cargan los proveedores, preferiblemente con un volumen considerable, con el fin de realizar pruebas de carga en el aplicativo.
20/08/2025: Cliente envia Archivo solicitado.
25/08/2025: Se identificó riesgo de saturación del sistema si se procesa en línea. Se propuso implementar un proceso en segundo plano con validaciones y notificación por correo al finalizar.
29/08/2025: Se finalizan ajustes y pruebas 
15/09/2025: Se escala control de cambios MDSB-890762  para producción.
22/09/2025: Control de cambios ejecutado con exito en 20 de septiembre, código revisado y listo para desplegar en producción hoy a las 5 p.m.
24/09/2025: se corrigió la URL de despliegue, pasando de consulta salud a consulta ARL. El desarrollo quedó listo para pruebas en ambiente de test y posterior despliegue a producción.
25/09/2025: Se realizo despiegue a producción el 24 de septiembre y se encuentra en estabilización...
26/09/2025: En la estabilizacion se  corrigió error en producción relacionado con variables y trazabilidad de actividades.
Queda pendiente definir ejecución de colas sin duplicación entre servidores para proceso de encolado de cargue masivo en la consulta de autorizaciones. 
29/09/2025: Se inicia incluision de nuevas columnas al informe de de tiempos </t>
  </si>
  <si>
    <t>MDSB-844308</t>
  </si>
  <si>
    <t>MDSB-890762</t>
  </si>
  <si>
    <t xml:space="preserve">Estimación inicial de desarrollo  9 dias </t>
  </si>
  <si>
    <t xml:space="preserve"> Se acordó iniciar el desarrollo el 18 de junio, una vez se finalicen tareas pendientes de giras</t>
  </si>
  <si>
    <t>Inicia desarrollo</t>
  </si>
  <si>
    <t>20/06/2025:El 19 de junio finalizó el punto 2,continuara con el punto 3.</t>
  </si>
  <si>
    <t>25/06/2025:El desarrollo avanza en el punto 4 de la fase 2 (creación de tipología y actividades). Se ha completado aproximadamente el 40% del requerimiento</t>
  </si>
  <si>
    <t>27/06/2025: Se reporta un avance del  60%</t>
  </si>
  <si>
    <t>02/07/2025: Se avanza en un 75% del desarrollo de la Fase 2 de Medicamentos. Ya se encuentra funcional la creación individual de casos con su trazabilidad completa cuando un proveedor indica no entrega. Se han realizado pruebas exitosas en flujo y visualización. Actualmente se trabaja en la gestión masiva desde Excel para validar múltiples casos simultáneamente y asegurar la correcta apertura e identificación de cada uno. Pendiente finalizar el manejo masivo y ajustes en bandejas administrativas.</t>
  </si>
  <si>
    <t>04/07/2025: El desarrollo alcanza un 85% de avance. Ya se construyó la generación de carta para proveedor nuevo. Queda pendiente recibir el modelo de carta de cancelación y completar dos botones adicionales. La validación masiva vía Excel fue pospuesta para el final</t>
  </si>
  <si>
    <t xml:space="preserve">07/07/2025: Avance parcial durante el viernes 4 de julio en una nueva funcionalidad vinculada a botones de acción. Se priorizó el análisis de flujos con doble actividad y se atenderá el requerimiento de medicamentos durante la jornada, se estima entrega de desarrollo 8 de julio. </t>
  </si>
  <si>
    <t>09/07/2025: El desarrollo se encuentra en su fase final, aunque ha experimentado algunos retrasos debido a revisiones relacionadas con otros temas. Actualmente, hay una duda funcional pendiente sobre el comportamiento del botón “Copiar y Reabrir Caso”, la cual está en revisión.
Se solicitará el respectivo control de cambios para realizar las pruebas en el ambiente de test.
09/07/2025: Se escala control de cambios en test bajo el jira MDSB-844308</t>
  </si>
  <si>
    <t>10/07/2025: Control de cambios MDSB-844308 ajecutado con exito.</t>
  </si>
  <si>
    <t>10/07/2025:El desarrollo fue completado y subido a TES. Se agregó retroalimentación para la carga masiva de Excel. Está pendiente desarrollar la pestaña de trazabilidad y adjuntos, que fue solicitada en reunión con el cliente. Las plantillas de correo fueron entregadas y se está integrando para las pruebas.</t>
  </si>
  <si>
    <t>14/07/2025: El desarrollo fue montado en TES con todas las actividades, tipologías y configuración básica. Se encuentra en etapa de estabilización y pruebas conjuntas.</t>
  </si>
  <si>
    <t>16/07/2025: Avanza la estabilización con enfoque en mejoras de experiencia de usuario. Faltan validaciones en gestión y pequeñas correcciones funcionales. Plantillas ya están disponibles.</t>
  </si>
  <si>
    <t>18/07/2025: Se completo el flujo y ajustes  hallados en las  prubas de medicamentos.</t>
  </si>
  <si>
    <t>23/07/2025: Se realizaron los ajustes solicitados, los cuales incluyen la separación de vistas en pestañas para mejorar la organización de la información, así como la inclusión de botones para la gestión de casos relacionados.</t>
  </si>
  <si>
    <t>30/07/2025:El día 28 de julio se realizó la entrega del desarrollo al cliente, quien iniciará el proceso de pruebas.</t>
  </si>
  <si>
    <t>MDSB-1045072</t>
  </si>
  <si>
    <t>Extracción histórica de Casos existentes en Nativo de los años de 2001 a 2016</t>
  </si>
  <si>
    <t>Se solicita por favor una base de datos con la relación de caso, fecha de radicación, tipologia y área; de los casos correspondientes a los años de 2001 a 2016, por favor entregar la información en excel un archivo por año (la información con todos los estados, anulados, cerrados, pendientes, todo)
Ejemplo de estructura esperada:
CASO , FECHA DE RADICACIÓN, ÁREA DE CIERRE, TIPOLOGIA DE CIERRE
(1234566) , (1/01/2001), (Administrativo), (Novedades)
Por favor me confirman si se requiere crear un Jira por cada año o si en este mismo se pueden realizar entrega parciales.</t>
  </si>
  <si>
    <t xml:space="preserve">28/05/2026: Se identificó que antes de 2016 el sistema manejaba una estructura distinta sin flujos ni tipologías para lo cual se deben ubicar casos históricos de referencia e identificar tablas relacionadas.. 
02/06/2026: Los informes correspondientes a este jira ya se encuentran disponibles y a la espera de la confirmación de Jenry  para hacer la entrega al cliente.
10/06/2026: Se realiza entrega a cliente  de la  información  solicitada </t>
  </si>
  <si>
    <t>True</t>
  </si>
  <si>
    <t>INTERNO-JE050</t>
  </si>
  <si>
    <t>Análisis y control de eliminación de registros y soportes de incapacidades en Imagine</t>
  </si>
  <si>
    <t>Se requiere identificar el origen de la eliminación de registros asociados a incapacidades y sus documentos soporte en Imagine, debido a que se han presentado casos donde la información deja de estar disponible para consulta. El objetivo es determinar qué procesos o componentes están realizando dichas eliminaciones, fortalecer los mecanismos de trazabilidad y auditoría, e implementar controles que permitan conservar la información de soportes y conocer el origen de cualquier eliminación realizada sobre los registros.</t>
  </si>
  <si>
    <t>29/05/2026: Se realizó la validación del caso 31149409, identificando que el registro de la incapacidad había sido eliminado y posteriormente fue restaurado
02/06/2026: Durante el análisis se evidenció que el documento PDF asociado no pudo ser recuperado, debido a que la trazabilidad actual únicamente conserva información de la tabla de incapacidades y no de la tabla de soportes. Como siguiente actividad, se iniciará un barrido y análisis de las aplicaciones relacionadas con el proceso de incapacidades para identificar el origen de las eliminaciones y determinar si existen más registros afectados por esta situación.
04/06/2026: El 2 de junio se identificó una falla en el flujo antiguo de incapacidades que permitía a los usuarios eliminar registros y adjuntos ya radicados al regresar a pasos anteriores del proceso. El análisis determinó que la causa estaba asociada a la navegación posterior a la radicación y no a errores adicionales del código. Debido a la migración del proceso hacia un nuevo flujo basado en OCR y API, el módulo afectado dejó de utilizarse.</t>
  </si>
  <si>
    <t>MDSB-1045076</t>
  </si>
  <si>
    <t>Consolidado Cantidad de Imagenes del 2001 la 2025</t>
  </si>
  <si>
    <t>Se solicita un consolidado general con la siguiente información: Teniendo en cuenta desde el 2001 hasta el 2025 y todos los productos.</t>
  </si>
  <si>
    <t>EN PROCESO</t>
  </si>
  <si>
    <t>04/06/2026: Se desarrolló un script para verificar la existencia física de archivos históricos registrados en las diferentes tablas de almacenamiento documental de Nativo. El objetivo es validar aproximadamente 25 años de información almacenada. Durante las pruebas se evidenció que consultar simultáneamente los diferentes repositorios de almacenamiento generaba tiempos de respuesta muy altos, por lo que el proceso fue optimizado para ejecutarse por períodos y consultar inicialmente únicamente el almacenamiento histórico. El resultado se genera progresivamente en archivos CSV para evitar problemas de memoria.
Se verificara si el proceso actualmente en ejecución finalizó correctamente, revisar los resultados generados y continuar con la validación masiva del histórico documental.
05/06/2026: Se ajusta lalogica para la descarga del informe para que permita relacionar el numero del  caso,  Se  programan la  generaciòn de reportes, desde el 2001 al 2025. 
09/06/2026: Se desarrolló un proceso para generar un inventario histórico de imágenes asociadas a casos de los últimos 25 años. El proceso consulta aproximadamente 10 u 11 tablas documentales de Nativo y genera archivos consolidados. Tras ejecutarse masivamente durante el fin de semana, se detectó una posible afectación al rendimiento del servidor, motivo por el cual la tarea fue cancelada y los resultados eliminados. Se espera realizar una reevaluaciòn de como ejecutar el proceso de extraccón  para no afcectar el redimiento del servidor.
11/06/2026: Se estima entrega al cliente el 26 de junio</t>
  </si>
  <si>
    <t>INTERNO-JE051</t>
  </si>
  <si>
    <t>Optimización y monitoreo de colas Default PM2</t>
  </si>
  <si>
    <t>Se reportó una acumulación cercana a 700 procesos pendientes en la cola principal del sistema, afectando funcionalidades críticas como el envío de correos, replicación de casos y otros procesos automáticos. La situación fue mitigada mediante el reinicio de los servicios, restableciendo el procesamiento normal.
Se requiere implementar un mecanismo de monitoreo y notificación automática que alerte al equipo de soporte y desarrollo cuando la cantidad de elementos en cola supere los umbrales definidos, permitiendo actuar de manera preventiva antes de que el cliente perciba la afectación o reporte la incidencia.</t>
  </si>
  <si>
    <t>16/06/2026: El 12 de Junio se realizó una investigación técnica sobre los problemas presentados en la cola Default. Durante el análisis se identificó que existen configuraciones nativas del Ecosystem de PM2 que permiten ejecutar múltiples procesos para una misma cola, configurar redundancia ante fallos y mejorar la resiliencia del procesamiento sin necesidad de realizar desarrollos adicionales. El objetivo es evitar bloqueos que afecten el envío de correos y otros procesos críticos.
Hoy se continura con la implementarción y pruebas de  configuraciones avanzadas de PM2, validar el comportamiento bajo carga, definir mecanismos de recuperación automática y complementar el monitoreo para detectar oportunamente problemas en las colas de procesamiento.</t>
  </si>
  <si>
    <t>INTERNO-JE069</t>
  </si>
  <si>
    <t>Validación de usuario  1065580157 no visible en tablero de efectividad de cuidado al trabajador /Drummond</t>
  </si>
  <si>
    <t>El cliente reporta un caso donde el usuario 1065580157  no aparece reflejado en un tablero de efectividad de cuidado al trabajador /Drummond. Se verificaron controles básicos, estados de nómina y configuraciones visibles, sin encontrar inconsistencias evidentes.</t>
  </si>
  <si>
    <t>16/06/2026: Se identifico  faltaba insertar la cedula en la tabla wf_efec_funcionarios</t>
  </si>
  <si>
    <t>INTERNO-JE049</t>
  </si>
  <si>
    <t>Ajuste funcional para relación de cajas físicas en aplicativo nativo - Gestión documental</t>
  </si>
  <si>
    <t>Se requiere realizar un ajuste sobre la funcionalidad existente en el aplicativo nativo utilizada para la relación de cajas físicas enviadas a archivo documental.
Actualmente, dicha funcionalidad dejó de utilizarse desde que disminuyó el volumen del proceso de manejo de documentos físicos, motivo por el cual la trazabilidad de ubicación documental se viene gestionando mediante listados manuales externos.
Debido a la necesidad de fortalecer nuevamente el control y localización de documentos físicos, se requiere reactivar y ajustar la funcionalidad existente para permitir la asociación entre los casos y las cajas archivísticas correspondientes.
Objetivo del requerimiento
Permitir que el aplicativo nativo registre y consulte la relación entre:
Número de caso.
Caja física archivística.
Información documental asociada.
Con el fin de:
Garantizar trazabilidad documental.
Facilitar la ubicación física de documentos.
Evitar dependencia de archivos manuales.
Mantener continuidad operativa ante cambios de personal.
Ajustes requeridos
El desarrollo deberá validar y ajustar la funcionalidad existente para:
Permitir registrar el consecutivo o label de la caja física asociado a uno o varios casos.
Consultar la caja relacionada a un caso específico.
Mantener la relación histórica de cajas y casos.
Validar compatibilidad con la estructura actual del proceso documental.
Permitir futuras consultas operativas y de auditoría.
Consideraciones técnicas y funcionales
Actualmente correspondencia entrega archivos con:
Consecutivo de caja.
Número de caso.
Documento asociado.
Nombre del titular.
El consecutivo de las cajas conserva una nomenclatura estándar.
Existen archivos históricos que podrían utilizarse para cargue o validación inicial de información.
La funcionalidad ya existía en el aplicativo nativo, por lo cual el requerimiento corresponde a un ajuste/reactivación y no a un desarrollo desde cero.
Resultado esperado
Contar nuevamente con una funcionalidad operativa dentro del aplicativo nativo que permita gestionar y consultar la relación de cajas físicas archivísticas asociadas a los casos documentales, garantizando trazabilidad y control de la información física almacenada.</t>
  </si>
  <si>
    <t>PENDIENTE</t>
  </si>
  <si>
    <t>INTERNO-JE046</t>
  </si>
  <si>
    <t>Migración y actualización de Nativo a PHP 8.5 (Local)</t>
  </si>
  <si>
    <t>Actualización de la infraestructura y aplicaciones del sistema Nativo para garantizar compatibilidad con Ubuntu 26 y PHP 8.5, incluyendo ajustes de seguridad, migración de librerías y corrección de funciones obsoletas para asegurar la continuidad operativa en los nuevos ambientes.</t>
  </si>
  <si>
    <r>
      <rPr>
        <rFont val="Quattrocento Sans"/>
        <color theme="1"/>
        <sz val="10.0"/>
      </rPr>
      <t xml:space="preserve">19/05/2026: Se avanza en el proceso de migración y actualización. La actividad se encuentra en desarrollo continuo, sujeto a validaciones técnicas y ajustes derivados de compatibilidades y actualizaciones del sistema.
21/05/2026: Se continúa trabajando en paralelo sobre la migración de los aplicativos Nativo y Bolívar hacia PHP 8.5. Se realizaron ajustes de compatibilidad en vistas y funciones, ejecución de escaneos con Rector y Cloud, resolución de conflictos entre ramas y validaciones locales con Docker. También se inició la preparación de despliegues hacia ambiente Dev para identificar posibles errores posteriores a la migración
</t>
    </r>
    <r>
      <rPr>
        <rFont val="Quattrocento Sans"/>
        <b/>
        <color theme="1"/>
        <sz val="10.0"/>
      </rPr>
      <t>Pendiente:</t>
    </r>
    <r>
      <rPr>
        <rFont val="Quattrocento Sans"/>
        <color theme="1"/>
        <sz val="10.0"/>
      </rPr>
      <t xml:space="preserve"> Ejecutar barridos finales, desplegar en ambiente y validar errores resultantes.
26/05/2026: El Viernes 22 de mayo termino la  migración  y desplego a desarrollo.</t>
    </r>
  </si>
  <si>
    <t>INTERNO-JE046_1</t>
  </si>
  <si>
    <t>Pruebas tecnicas de Nativo a PHP 8.5 (Desarrollo)</t>
  </si>
  <si>
    <t>faLSE</t>
  </si>
  <si>
    <t>INTERNO-JE047</t>
  </si>
  <si>
    <t>Migración y actualización de Laravel a PHP 8.5 (Local)</t>
  </si>
  <si>
    <t>19/05/2026: Hoy se dara Inicio a la migración del aplicativo
21/05/2026: Se continúa trabajando en paralelo sobre la migración de los aplicativos Nativo y Bolívar hacia PHP 8.5. Se realizaron ajustes de compatibilidad en vistas y funciones, ejecución de escaneos con Rector y Cloud, resolución de conflictos entre ramas y validaciones locales con Docker. También se inició la preparación de despliegues hacia ambiente Dev para identificar posibles errores posteriores a la migración
Pendiente: Ejecutar barridos finales, desplegar en ambiente y validar errores resultantes.
26/05/2026: El Lunes 25 de mayo termino la  migración  y desplego a desarrollo.</t>
  </si>
  <si>
    <t>INTERNO-JE047_1</t>
  </si>
  <si>
    <t>Pruebas tecnicas de Laravel a PHP 8.5 (Desarrollo)</t>
  </si>
  <si>
    <t>INTERNO-JE048</t>
  </si>
  <si>
    <t>Depuración y ocultamiento de opciones de menú no utilizadas previo a migración de Nativo</t>
  </si>
  <si>
    <t>Se requiere identificar y ocultar en el ambiente de producción de Nativo las opciones de menú que actualmente no se encuentran en uso o presentan fallas funcionales, como parte de la preparación para la migración a la nueva tecnología. Esta acción permitirá validar con los usuarios finales si alguna opción ocultada debe ser reactivada antes del proceso de migración; de lo contrario, dichas opciones no serán consideradas en la nueva versión del sistema.</t>
  </si>
  <si>
    <t>PAUSADO</t>
  </si>
  <si>
    <t>21/05/2026: Las opciones fueron ocultadas en la migracion  de PHP 8.5, pero  para continuar  y ocultarlas en produccion se debe esperar a tener test  arriba</t>
  </si>
  <si>
    <t>GD772-161</t>
  </si>
  <si>
    <t>Automatización actas de prevención Formato AT- 031 Agr”</t>
  </si>
  <si>
    <r>
      <rPr>
        <rFont val="Quattrocento Sans"/>
        <b/>
        <color theme="1"/>
        <sz val="11.0"/>
      </rPr>
      <t xml:space="preserve">Fecha entrega al cliente:
</t>
    </r>
    <r>
      <rPr>
        <rFont val="Quattrocento Sans"/>
        <color theme="1"/>
        <sz val="11.0"/>
      </rPr>
      <t>1. DESCRIPCIÓN DEL REQUERIMIENTO Se requiere crear una funcionalidad que permita la creación masiva de casos a partir de adjuntos y generación de respuesta por correo electrónico certificado bajo la tipología “Formato AT- 031 Agr”. 1.2 OBJETIVO Automatizar el proceso de envío de actas 1.3 EQUIPO DE TRABAJO Nombre Área ANA MILDRED BURGOS M Innovación y Desarrollo ARL FREDY DIAZ HERRERA Gerencia ARL VANESSA ESTHER ALVAREZ R Subgerencia de Prevención ARL 2. REQUERIMIENTOS FUNCIONALES Se requiere crear una funcionalidad que permita la creación masiva de casos a partir de adjuntos y generación de respuesta por correo electrónico certificado bajo la tipología “Formato AT- 031 Agr”. 2.1 Módulo para creación de casos 2.1.1 Cargue de pdf Se requiere la creación de un módulo en el cual se pueda realizar el cargue de archivos en formato pdf de manera masiva para la creación y generación de respuesta por correo electrónico certificado bajo la tipología “Formato AT- 031 Agr”. Modelo de pdf\r\nOpción 1 - Url de Drive. En el módulo se debe poder seleccionar la tipología (Formato AT 031 Agr) y el sistema debe solicitar la url de drive para traer la información, una vez el usuario coloque la url, el sistema deberá de guardar esa url para cargues futuro y únicamente solicitar la confirmación del usuario; sin embargo en cualquier momento el usuario podrá cambiar la url de cargue. Opción 2 - Selección de carpeta. En el módulo se debe poder seleccionar la tipología (Formato AT- 031 Agr) y el sistema debe solicitar los archivos en pdf sobre los cuales se requiere la creación del caso, para lo cual el usuario deberá de seleccionar la carpeta del PC y el sistema deberá de tomar todos los pdf que registren en dicha carpeta. 2.1.1 Creación de casos Una vez cargado los pdf el sistema deberá realizar la creación de los casos con la información que está nombrado en el pdf, se propone la siguiente estructura: NIT_NOMBREEMPRESA_CRONOGRAMA_SECUENCIA_CONSECUTIVO (CANTIDAD DE HOJAS), con esta información el sistema deberá realizar la creación de los casos. Si el pdf coincide en Nit,nombre,cronograma y secuencia en dos archivos o mas, se deberá de anexar la cantidad de pdf´s a un solo caso. Los datos obligatorios para la creación del caso son: nit, nombre , cronograma y secuencia. Si hay algún dato faltante para la creación del caso, este no deberá crear y se deberá notificar el error. De deberá de notificar al usuario los casos creados con la siguiente estructura: Si no es posible la creación del caso deberá indicar el error. 2.1.2 Proforma de respuesta Esta tipología deberá tener la proforma de respuesta con los campos variables indicados (ver anexo). 2.1.2 Generación de respuesta y envío Los casos creados por esta funcionalidad, deberán generar respuesta de manera automática al cliente por correo electrónico certificado, remitiendo los adjuntos cargados y la proforma anexa a este requerimiento (ver anexo). El correo electrónico del envío se deberá leer desde el pdf cargado. Tanto la actividad de generación de respuesta como la de radicación, deberá quedar a nombre del usuario que realiza el proceso. En caso de Los envíos no deben quedar en la misma cola de los masivos, estos deben salir el mismo día de radicación.devolución el caso debe quedar en la bandeja del usuario que radicó para gestión individual.\r\n</t>
    </r>
  </si>
  <si>
    <t>29/09/2025: Requerimiento aún en etapa de entendimiento. Reunión próxima con el cliente para detallar proceso y asignar responsables.
01/10/2025: El requerimiento se encuentra en etapa de análisis; hasta el momento solo se han revisado documentos y definiciones iniciales. No se han realizado desarrollos técnicos ni configuraciones. Se requiere concertar con el área de tecnología los posibles ajustes a implementar para definir un plan de trabajo.
28/10/2025: Se estima 20 dias habiles de desarrollo.
04/11/2025: Se envia al cliente las historias de usuario para validación y aprobación.
10/11/2025: Cliente confirma aceptación de las HU
27/11/2025: Se inicia con el desarrollo.
01/12/2025: El desarrollo avanzó al 35%. Ya se tienen listas las carpetas (.zip) en la ruta correspondiente y hoy se inicia el procesamiento de los activos según el requerimiento. Se estima terminar antes del tiempo inicialmente previsto.
03/12/2025: El desarrollo se encuentra en un avance aproximado del 70%. El comando ya crea los casos correctamente. Pendiente implementar lectura de PDF, extracción del correo y los pasos finales del flujo antes de completar el desarrollo. Se trabajará en ello durante el día.
05/12/2025: El desarrollo ya enlaza correctamente la lectura de PDF y la asociación de cada archivo a un caso independiente. Está listo para envío de correos certificados, pero se requiere ajustar el correo destino utilizado en Test y validar el cuerpo del correo para presentación a las 4 p.m. Solo faltan ajustes menores en visualización y pruebas finales del flujo.
10/12/2025: Se corrigieron las validaciones de nombres de archivos encontradas por Fabio. Se creó un nuevo comando para el envío de correos masivos y se logró el envío correcto utilizando la plantilla oficial. El único pendiente es guardar el correo enviado en PDF como adjunto del caso, lo cual será abordado hoy
11/12/2025: Se encuentran pendientes los siguientes ajustes:
1. Ajustar que los casos que presenten error de envío por ausencia de correo en el PDF queden asignados al usuario responsable que realizó el cargue masivo, con el fin de que pueda efectuar el envío manual correspondiente.
2. Ajustar que los casos que generen “devolución mail” queden igualmente asignados al usuario que realizó el cargue masivo, para que pueda gestionarlos manualmente.
21/01/2026: Se encuentra pausado hata que el cliente priorice el req
17/03/2026: Entre el 16 y 17 de marzo se realizaron los ajustes  en la descripcion de errores y la asignacion de usuarios  cuando el  envio del acta  falla por falta o error en el correo del pdf.  El requerimiento ya se encuentra funcional.
26/03/2026: El 25 de marzo se definió la implementación de un nuevo script independiente para el proceso AT-031, con el fin de evitar sobrecarga en la vista actual de masivos y mejorar la mantenibilidad, considerando la complejidad del proceso que incluye múltiples subprocesos y colas; el desarrollo de esta solución se iniciará con el objetivo de ser entregado  hoy en el transcurso de la mañana..
31/03/2026: Se entrega desarrollo al cliente  para pruebas.
12/05/2026: De acuerdo a la confirmación del cliente  se realizara  paso a produccion  el 13 de mayo.
13/05/2026: Se pospone paso a produccion hasta tanto  se tengan disponible ambientes bajos</t>
  </si>
  <si>
    <t>FABIO</t>
  </si>
  <si>
    <t>GD772-116_4</t>
  </si>
  <si>
    <t>Validación en test de columnas informe medicamentos fase2</t>
  </si>
  <si>
    <t>16/10/2025: Se envian envidencias de los hallazgos  en las pruebas realizadas al informe 
17/10/2025: Se definio subir el informe a producción para vaqlidar su generación con data real.</t>
  </si>
  <si>
    <t>jESUS</t>
  </si>
  <si>
    <t>GD772-177</t>
  </si>
  <si>
    <t>Mejora oficina entidades</t>
  </si>
  <si>
    <t>10/12/2025: El equipo validará nuevamente para estimar tiempos. La actividad está en revisión inicial.
12/12/2025: El desarrollo inició el 11 de diciembre. Aunque la estimación de tiempo aún no estaba completamente definida, podría considerarse un plazo de tres días, con entrega prevista para el martes 16 de diciembre. A la fecha, ya se encuentran creadas las dos opciones de cargue: individual y masivo. 
15/12/2025: Se avanzó al 50 % en el requerimiento, El objetivo es finalizar el desarrollo entre el día siguiente y, como máximo, el miércoles en la mañana, sujeto a pruebas finales.
17/12/2025: Se avanzó significativamente en el requerimiento de juntas, pasando de un 50% a un 70%. El principal cambio consiste en modificar la lógica de radicación individual a radicación masiva, lo que implicó analizar cómo generar múltiples IDs por sesión para cada registro.
Se configuró la carta de notificación y se realizaron varios ajustes adicionales. El requerimiento no se finalizará hoy debido a retrasos por priorización de otras tareas, pero se espera completarlo entre la mañana.
18/12/2025: Hoy se esta validando el envio del correo de radicación Y  migrando los job creados de portales a bolivar para quitarle procesos a ese servidor 
19/12/2025: Se finalizó la lógica de radicación masiva de juntas, ajustando el procesamiento de jobs para evitar el envío de correos uno a uno. Actualmente, el sistema agrupa los casos y envía una notificación consolidada. La radicación y réplica funcionan correctamente. Quedan pendientes ajustes visuales menores y edición de algunos campos, ya habilitados para modificación
22/12/2025: El requerimiento de juntas se encuentra prácticamente finalizado. Se identificaron ajustes pendientes en los correos de notificación (asunto incorrecto en radicación masiva e individual) y en el refresco de variables para evitar que se reporten radicaciones anteriores. Estos ajustes se consideran menores y se acordó finalizarlos durante el día para entregar el requerimiento al cliente.
23/12/2025: El 22 de diciembre se realizo la entrega al cliente para la ejecución de sus pruebas y, posteriormente, la autorización del go para el paso a producción.
29/12/2025: Cliente reporta en horas de la tarde  4 hallazgos 
1. Modificar grupo de Autorizaciones.
2. cuando se realiza el cargue de archivos de gran tamaño (aproximadamente 2 GB) y el proceso no finaliza correctamente, el sistema no genera una notificación clara ni oportuna que informe al usuario sobre el fallo del cargue
3. Durante el proceso de cargue rápido, se identifica que si un archivo aún no ha finalizado su carga y, de manera simultánea, se adjunta un documento correspondiente a otro trabajador, el sistema asocia ambos archivos al último trabajador seleccionado
4. Se requiere validar que el archivo cargado contenga únicamente dos columnas; en caso contrario, el sistema debe bloquear el proceso y mostrar un mensaje de error indicando:
“El archivo no cumple el parámetro de 2 columnas.”
30/12/2025: Se resuelven hallazgos  y se obtiene confirmación de paso a producción.</t>
  </si>
  <si>
    <t>https://github.com/Imaginesas/portales/compare/master...feature/juntasFase2?expand=1</t>
  </si>
  <si>
    <t>GD772-116_2</t>
  </si>
  <si>
    <t>Encolar cargue de reporte de entrega efectiva  mayor a 1000 registros ( Medicamentos fase 2 - Sprint 2)</t>
  </si>
  <si>
    <t>Se recibió un archivo con 13.000 registros para actualización masiva. Se identificó riesgo de saturación del sistema si se procesa en línea. Se propuso implementar un proceso en segundo plano con validaciones y notificación por correo al finalizar.</t>
  </si>
  <si>
    <t>27/08/2025: desarrollo listo para  las  pruebas de encolamiento.
28/08/2025: Se está trabajando en la validación de las causas por las cuales no llega el correo de confirmación del cargue y la fecha de entrega no queda registrada después del proceso.
29/08/2025:Se finalizan las pruebas y ajustes en el ambiente de test relacionados con el encolamiento del reporte de no efectivos en la consulta. Se informa al cliente para que proceda con la validación correspondiente.</t>
  </si>
  <si>
    <t>GD772-146_4</t>
  </si>
  <si>
    <t>Eliminar posibilidad en laravel de actualizar correo</t>
  </si>
  <si>
    <t xml:space="preserve">Por favor ingresar dentro de los pendientes esta solicitud,  va relacionada al Jira doble factor de autenticación. 
Eliminar posibilidad de actualizar el campo correo electrónico en  laravel 
Opción perfi / correo electrónico
</t>
  </si>
  <si>
    <t xml:space="preserve">12/12/2025: Opcion de actualización de correo elininada en test y producción </t>
  </si>
  <si>
    <t>GD772-177_2</t>
  </si>
  <si>
    <t>Crear informe entidades (Nativo)</t>
  </si>
  <si>
    <t>23/12/2025: Infrome en pruebas..
29/12/2025: la semana anterior  se desarrolló desde cero un nuevo informe para juntas en Nativo, reutilizando componentes centralizados previamente definidos para facilitar futuros desarrollos.</t>
  </si>
  <si>
    <t>INTERNO-F015</t>
  </si>
  <si>
    <t xml:space="preserve">Recoleccion  informacion, servicio de Olimpia, 472 y Calificación </t>
  </si>
  <si>
    <t>Se requiere  recolectar toda la información posible que halla en el correo de los servicio de Olimpia, 472 y Calificación y almacenarla en el menu "Instructivos/ 
biblioteca documental tecnica" en nativo.</t>
  </si>
  <si>
    <t>10/02/2026; El 9 de febrero se  realiza la recoleccion de información y hoy se realiza el cargue en la ruta  Marisopa/Instructivos/BIB_DOC_TECNICA/ARL/ DOC PROCESOS</t>
  </si>
  <si>
    <t>true</t>
  </si>
  <si>
    <t>GD772-177_3</t>
  </si>
  <si>
    <r>
      <rPr>
        <rFont val="Quattrocento Sans"/>
        <b/>
        <color theme="1"/>
      </rPr>
      <t xml:space="preserve">Documentación  tecnica - </t>
    </r>
    <r>
      <rPr>
        <rFont val="Quattrocento Sans"/>
        <b val="0"/>
        <color theme="1"/>
      </rPr>
      <t>Mejora oficina entidades</t>
    </r>
  </si>
  <si>
    <t>31/12/2025: Se solicita a Jesus los script para generar la documentación.
Script entregados por Jesus.
11/02/2026: Se realiza documentación y se carga al directorio de la Biblioteca tecnica.</t>
  </si>
  <si>
    <t>MDSB-943252</t>
  </si>
  <si>
    <t>Jiras día a día( El radicado que arroja el portal ARL en la radicación de autorizaciones no se visualiza en nativo.</t>
  </si>
  <si>
    <t>LA PAGINA WEB ESTÁ ARROJANDO UN RADICADO Y LUEGO NO APARECE “
Buenos días
Solicito su colaboración, porque estoy radicando archivos por la pagina web y me arroja un radicado, luego voy a consultar ese radicado para cambiarle la tipología o asignarlo al medico encargado y no aparecen, consulto con la cedula del trabajador y me aparece el caso creado, pero con otro radicado, esto pasa desde la semana pasada, pero apenas hoy noto que es repetitivo y adjunto evidencia de  dos casos en esta mañana.
Cordialmente</t>
  </si>
  <si>
    <t>10/12/2025: Se reportó un error intermitente donde el número de radicado generado no coincide con el que queda registrado en Nativo. Se presentaron tres casos recientes. El equipo identificó que el origen probablemente está en un job que se ejecuta desde Portales y podría estar produciendo inconsistencias. Jesús revisará el job para determinar si hay fallas puntuales o si puede estar afectando más usuarios de los que han reportado el problema.
12/12/2025:El 11 de diciembre se crea validación para consultar caso y así no se duplique el numero de radicado, se encuentra en test pero se presenta  error la pagina en portales expirando demasiado rapido con error 419.
15/12/2025: Fabio; Se valida y a un persite el inconveniente en test.
17/12/2025: Se soluciono la conexcion a  la instancia privada de test,  se rpueba pero los casos no replican, se espera ayuda para subir la cola  job_queue_portales en test. 
18/12/2025: Se realiza prueba de radicación en test y radica bien, se debe pasar ajuste a producción  
19/12/2025: El ajuste de radicación del portal está temporalmente detenido debido a una decisión arquitectónica relacionada con el manejo de colas.Se acordó centralizar la ejecución de jobs en el servidor Laravel (servidor público) y no en el servidor privado de portales, con el fin de evitar saturación, duplicidad de procesos y problemas de mantenimiento. Se requieren pruebas adicionales antes de liberar el ajuste.
29/12/2025: Se realizan paso a producción de los ajustes  y se monitoreara durante el dia si se presenta un nuevo caso con error, si no  se presenta se dara respuesta al Jira.
Se realiza validación al final del dia y no se evidencia que se halla generado el error, por lo cual se da respuesta el jira.</t>
  </si>
  <si>
    <t>GD772-100</t>
  </si>
  <si>
    <t xml:space="preserve"> Cambio de flujo radicación de facturas EPS</t>
  </si>
  <si>
    <t>Se requiere la modificación del flujo de radicación de facturas EPS, de acuerdo con el archivo anexo</t>
  </si>
  <si>
    <t xml:space="preserve">sin cambios  por parte de Bolivar </t>
  </si>
  <si>
    <t>No se han recibido nuevas indicaciones sobre este requerimiento de partes de Bolivar</t>
  </si>
  <si>
    <t>req fue cancelado  por Bolivar</t>
  </si>
  <si>
    <t>INTERNO-JA001</t>
  </si>
  <si>
    <t>Mejora informe glosa req GD772-104 Campos glosa aceptada y glosa conciliación</t>
  </si>
  <si>
    <t xml:space="preserve"> el informe presenta limitaciones si existen más de tres Glosas, por lo que se propuso desarrollar un nuevo informe más claro y funcional.</t>
  </si>
  <si>
    <t>El 23 de mayo  avanzó en la construcción del informe de glosas como parte del requerimiento de valores de glosa.</t>
  </si>
  <si>
    <t>No se reportan avances</t>
  </si>
  <si>
    <t>Se encuentra pausado, se prioriza  la validación Informes de reembolso y colas de procesamiento</t>
  </si>
  <si>
    <t>Se trabajó parcialmente el viernes 6 de Junio (avance estimado: 30 %), Faltan datos completos en los queries para continuar el desarrollo</t>
  </si>
  <si>
    <t>Se ha avanzado con un script funcional; el desarrollo está en aproximadamente un 50 %.
Faltan ajustes adicionales en los datos generados</t>
  </si>
  <si>
    <t>Se cometió un error durante el desarrollo, pero se continúa con los ajustes. Se espera mostrar avances en la tarde.</t>
  </si>
  <si>
    <t>Se realizaron pruebas exitosas en producción del nuevo informe, aunque aún no está disponible para descarga, Falta conectar correctamente el enlace que lo activa desde la interfaz del sistema</t>
  </si>
  <si>
    <t>Se ajustó la lógica del informe. Está listo para pasarse a producción entre hoy y mañana.</t>
  </si>
  <si>
    <t xml:space="preserve">Se acordó pasar informe actualizado a producción el martes para no afectar la migración S3 </t>
  </si>
  <si>
    <t>25/06/2025: Aunque el nuevo informe está listo desde el viernes 20 de junio, no se ha pasado aún a producción debido a restricciones técnicas. Se planifica realizar este despliegue durante el día de hoy.</t>
  </si>
  <si>
    <t xml:space="preserve">Se finalizó se pasa hoy a produccion </t>
  </si>
  <si>
    <t>02/07/2025: El informe fue pasado a producción el viernes 27 de Junio. Se ajustó ordenamiento y visibilidad por usuario. Se encuentra completamente operativo.</t>
  </si>
  <si>
    <t>INTERNO-JA002</t>
  </si>
  <si>
    <t>Restablecimiento de contraseña en Laravel</t>
  </si>
  <si>
    <t>Se identificó un conflicto entre correos de usuarios en tablas diferentes, lo que impide el correcto restablecimiento de contraseñas. Se propone sincronizar los datos o generar mensajes de error amigables para el usuario final.</t>
  </si>
  <si>
    <t xml:space="preserve"> Se mencionó que es una tarea rápida: solo validar el correo y generar un mensaje en caso de error. Se iniciara ajuste hoy.</t>
  </si>
  <si>
    <t>El 5 de Junio se realiza ajuste a test;  Se realizan  pruebas y se identifican  2 hallazgos  pendiente su solución ,</t>
  </si>
  <si>
    <t>Se pausa debido a que en el momento no tiene  acceso al entorno de pruebas (test)</t>
  </si>
  <si>
    <t>Se confirmó que no se muestra el mensaje de “usuario no existe” cuando aplica. Para los usuarios nuevos que no pueden iniciar sesión después de restablecer la clave, Fabio realizara pruebas.</t>
  </si>
  <si>
    <t>25/06/2025: Pendiente  realizar pruebas por Fabio</t>
  </si>
  <si>
    <t xml:space="preserve">Se pasa hoy a produccion </t>
  </si>
  <si>
    <t>02/07/2025:  Se realizó el despliegue a producción el día viernes 27 de junio, correspondiente al ajuste que permite actualizar la tabla de usuarios en el aplicativo Laravel al momento de crear un nuevo usuario o restablecer la contraseña.</t>
  </si>
  <si>
    <t>GD772-81</t>
  </si>
  <si>
    <t xml:space="preserve">Calificador automático (1) </t>
  </si>
  <si>
    <t>13/08/2025: El 8 de agosto, el cliente reporta una incidencia en el envío físico. Tras la validación, no se evidencia el error, por lo cual se solicita una sesión para realizar una prueba conjunta y evidenciar la situación. La sesión queda programada para el 14 de agosto a las 10:00 a.m.
27/08/2025: La  sesion del 14 de agosto no se llevo acabo debido a falta de casos   de prueba en el ambiente de test, 
22/10/2025: En reestructuración tablas AFP y EPS por parte de Paola Conde, David Prieto</t>
  </si>
  <si>
    <t xml:space="preserve">El miercoles se paso a TEST parte del requerimiento </t>
  </si>
  <si>
    <t xml:space="preserve">Se entregó a test,  el vienres 2 de mayo </t>
  </si>
  <si>
    <t xml:space="preserve">se realizó pruebas el dia 6 de mayo </t>
  </si>
  <si>
    <t xml:space="preserve">El viernes 16 de mayo Se realizaron mejoras en la parte de envío físico, mostrando información completa (dirección, teléfono, nombre, etc.) cuando el caso es físico.  incluyendo el PDF de salida para nueve tipologías distintas, no solo una. También se configuró el administrador de cartas, permitiendo edición según cada tipología
</t>
  </si>
  <si>
    <t>08/07/2025: El 26 de junio el cliente envió los resultados de las pruebas, en los cuales informa que los soportes de 472 no están quedando adjuntos al caso. La validación de este comportamiento se realizará una vez se finalicen las actividades correspondientes a la fase 2 de Medicamentos.</t>
  </si>
  <si>
    <t>16/07/2025: Se retoma el requerimiento tras avanzar con medicamentos. Se planea dedicarle más tiempo esta semana para cumplir con entrega.</t>
  </si>
  <si>
    <t xml:space="preserve">Iniciaa </t>
  </si>
  <si>
    <t xml:space="preserve">Continua  revisando </t>
  </si>
  <si>
    <t>18/07/2025: El 17 de julio se identificaron diferencias en la forma de almacenamiento de los casos certificados y problemas con un script ausente en el entorno local. Se retomará hoy con foco total en este desarrollo, se buscará ajustar el script faltante con apoyo del Jairo.</t>
  </si>
  <si>
    <t>21/07/2025: Se corrigieron errores en la asignación de usuarios y en el procesamiento de datos. Se ajustó el script para que consulte correctamente el caso padre. Falta implementar el registro de logs para asegurar trazabilidad de acciones como envío de correos o procesos automáticos.</t>
  </si>
  <si>
    <t>ajustando  firma en carta y boton  que muesytre casoas hijo cali</t>
  </si>
  <si>
    <t xml:space="preserve">25/07/2025: El 23 de julio se envia ajuste de los  hallazgos reportados </t>
  </si>
  <si>
    <t>INTERNO-D004</t>
  </si>
  <si>
    <t>Migración S3 y aplicaciones a EBS</t>
  </si>
  <si>
    <t>El 19 de junio inicia la migración activa de archivos y logs a nuevo almacenamiento EBS.  
20/06/2025: Continua continúa con la migración y validación de servicios.</t>
  </si>
  <si>
    <t>25/06/2025: Se realizaron pruebas exitosas de carga de documentos con estructuras similares a producción. Se simularon distintos escenarios y cargas. Se espera aprobación para paso a producción el jueves, sujeto a pruebas de hoy de parte de bolivar. El componente EBS queda postergado por estabilidad.</t>
  </si>
  <si>
    <t>Mejorar el rendimiento del EBS por parte de bolivar</t>
  </si>
  <si>
    <t>23/07/2025:Durante los días anteriores se trabajó en la transferencia de aplicaciones y logs desde las instancias actuales al servicio de almacenamiento EBS y S3, como parte del proceso de migración.</t>
  </si>
  <si>
    <t>25/07/2025: El día miércoles 23 se avanzó en la organización de uno de los temas relacionados con la migración. Específicamente, se trabajó en la copia y transferencia de aplicaciones desde el entorno OPT hacia EBS. Adicionalmente, se realizó la organización del ambiente, actividad necesaria para preparar las condiciones adecuadas que permitan una migración efectiva y sin contratiempos.</t>
  </si>
  <si>
    <t>30/07/2025: Genero reporte de incidencia , esta tarea se da como finalizada  para dar paso a una nueva opcion de almacenamiento hibrido.</t>
  </si>
  <si>
    <t>GD772-109</t>
  </si>
  <si>
    <t>Lectura de nuevos datos de ordenes medicas  con IA</t>
  </si>
  <si>
    <t>11/08/2025: El viernes 8 de agosto se agregan nuevos registros para entrenamiento. Se prevé entregar esta semana un porcentaje estimado de precisión del modelo.
20/08/2025: El 15 de agosto se agregó nueva información de órdenes médicas para entrenamiento. El modelo ya alcanza más del 70% de efectividad en lecturas. Se prevé que con poca información adicional quede listo para uso.
29/08/2025: Se realizara adicion de registros para entrenamiento durante el fin de semana.
07/11/2025: Proximo a reiniciar ejecucion, Se acordó enfocar el entrenamiento en dos formatos específicos para optimizar tiempo y precisión. El ajuste se realizará tanto en la lógica como en las expresiones regulares (regex) para mejorar la identificación de los formatos. Se estima un tiempo de uno a dos días para completar los ajustes y pruebas.
11/11/2025: Requerimiento Finalizado según instrucción de la gerencia de Imagine</t>
  </si>
  <si>
    <t>Se iniciara tan pronto  finalice el "Reemplazo negocio Proteccion ".</t>
  </si>
  <si>
    <t>Iniciara con la lectura de los nuevos datos.</t>
  </si>
  <si>
    <t>Continua en el desarrollo de la logica de la lectura.</t>
  </si>
  <si>
    <t>El viernes 16 de mayo alcanzo en un 30%  de avance,  Pretende  avanzar significativamente hoy y, si no surgen nuevos inconvenientes, para  finalizar mañana</t>
  </si>
  <si>
    <t>Ha logrado un avance de 70 %, continuara trabajando en paralelo con Paso de documentos de fs a s3.</t>
  </si>
  <si>
    <t xml:space="preserve">Se requiere ajustar el trayecto y la heurística del script de lectura de órdenes médicas, además de continuar el entrenamiento del modelo de imágenes para mejorar el reconocimiento automatizado.
</t>
  </si>
  <si>
    <t>Se completaron avances significativos en el ajuste del dataset y en la implementación de lógica con heurísticas y expresiones regulares. Se logró una efectividad preliminar del 52% sin entrenamiento, lo que demuestra un buen desempeño inicial del modelo. Quedan pendientes ajustes menores para iniciar el entrenamiento formal.</t>
  </si>
  <si>
    <t>Está ajustando el dataset y espera avanzar significativamente en su implementación, e incluso programar el entrenamiento del modelo si es posible, ayer trabajó en organizar la tabla base para el dataset y que la heurística de extracción está entre el 39% y el 50%.</t>
  </si>
  <si>
    <t>El modelo aún no ha sido entrenado. Están pendientes pruebas previas para validar la efectividad antes de programar su entrenamiento</t>
  </si>
  <si>
    <t>Pausado por  Vacaciones de Danilo</t>
  </si>
  <si>
    <t xml:space="preserve">retomara entre hoy y mañana un espacio de 1 a 2 horas para insertar más registros y así permitir que el sistema se entrene diariamente de forma continua.
</t>
  </si>
  <si>
    <t xml:space="preserve">El modelo no ha sido entrenado aún. Se plantea insertar registros progresivamente (1.000 diarios) para alcanzar una base de 5.000, se  revisara hoy </t>
  </si>
  <si>
    <t>20/06/2025: Se pausa para dar prioridad de la migración S3, se planea iniciar entrenamiento durante la proxima semana.</t>
  </si>
  <si>
    <t>27/06/2025: El fin de semana del 28 de junio se entrenara con mas de 800 registros.</t>
  </si>
  <si>
    <t xml:space="preserve">04/07/2025:Se continúa con el entrenamiento del modelo de IA. Se planea insertar aproximadamente 2.000 registros hoy para que el sistema se entrene durante el fin de semana. Debido a las limitaciones del asistente automático, el proceso de carga debe realizarse de forma incremental.
</t>
  </si>
  <si>
    <t>11/07/2025: Se ingresaran mas registros para continuar con el entrenamiento.</t>
  </si>
  <si>
    <t>21/07/2025: Se pretende  iniciar entrenamienro en el ambiente de contingencia (Anbiente generado para probar paso S3)</t>
  </si>
  <si>
    <t>23/07/2025: Se está ajustando el ambiente de contingencia, el cual fue generado para realizar pruebas relacionadas con el paso a S3. Una vez finalicen los ajustes, se dará inicio al proceso de entrenamiento.</t>
  </si>
  <si>
    <t>25/07/2025: Como ya quedó ajustado el tema de la instancia, ahora será necesario agregar registros para poder continuar con el entrenamiento del modelo de órdenes médicas.</t>
  </si>
  <si>
    <t>28/07/2025: El viernes 25 se agregaron registros y se actualizó la librería Selerator para corregir incidencias.</t>
  </si>
  <si>
    <t>01/08/2025: Se planea cargar aproximadamente 10.000 registros esta semana para mejorar la efectividad del sistema.</t>
  </si>
  <si>
    <t>MDSB-944059</t>
  </si>
  <si>
    <t>Jiras día a día( SOLICITUD HABILITAR E INHABILITAR DE 3 TIPOLOGIAS A 3 USUARIOS.</t>
  </si>
  <si>
    <t>:
1. favor habiiltar a JOHN ALEJANDRO MARTÍNEZ _1032366925  y a   GIOVANNY STIVEN NIETO1003530364 en las tipologías Mesa de conciliacion presencial, Mesa de conciliacion Virtual y Traslado de polizas, dejar por favor las mismas actividades con las que cuenta el usuario NATALIA ROCIO CUBIDES_1007155376.
2.  Por favor inhabilitar a LILIA ANDREA VELASQUEZ__1015430797 de las tipologias Mesa de conciliacion presencial, Mesa de conciliacion Virtual y Traslado de polizas, por vacaciones del funcionario.
3.  Solicitamos pro favor nos puedan confirmar qué usuarios se encuentran actualmente activos en las tres tipologías: Mesa de Conciliación Presencial, Mesa de Conciliación Virtual y Traslado de Pólizas</t>
  </si>
  <si>
    <t xml:space="preserve">12/12/2025: Se realizó la habilitación e inhabilitación de usuarios en las tipologías solicitadas. Adicionalmente, se adjunta la relación de usuarios actualmente asignados a dichas tipologías.  user_actividades_desc.csv </t>
  </si>
  <si>
    <t>MDSB-945492</t>
  </si>
  <si>
    <r>
      <rPr>
        <rFont val="Quattrocento Sans"/>
        <color theme="1"/>
      </rPr>
      <t>jiras dia adia (</t>
    </r>
    <r>
      <rPr>
        <rFont val="Quattrocento Sans"/>
        <b/>
        <color theme="1"/>
      </rPr>
      <t xml:space="preserve"> tipología malla de asignación no funciona</t>
    </r>
    <r>
      <rPr>
        <rFont val="Quattrocento Sans"/>
        <color theme="1"/>
      </rPr>
      <t>)</t>
    </r>
  </si>
  <si>
    <t>Nos encontramos escalando un caso a través de imagine para la tipología 10617- Datos Contacto - Riesgo Biológico, esta tipología se encuentra parametrizada en la asignación de tipologías por malla, sin embargo al realizar la radicación del caso se evidencia que no esta asignando de acuerdo a este parámetro , se realizaron pruebas con el número de documento 1147941511 que de acuerdo a la malla se debe asignar al usuario Erika Nathaly Martinez, sin embargo lo asigna a la persona que se encuentra creada en el flujo</t>
  </si>
  <si>
    <t>12/12/2025: Fabio: Se valida y se confirma que el NIT relacionado en el Jira no está incluido en la malla de asignación. Sin embargo, al realizar varias pruebas adicionales con NIT que sí se encuentran configurados en la malla, se evidencia que la asignación no está respetando dicha configuración. Actualmente, todos los casos están siendo asignados únicamente al usuario definido en el flujo, independientemente de la malla de asignación.
15/12/2025: Jesus iniciara validación  de la incidencia reportada.
16/12/2025: Durante el análisis se identificó que, si bien la tipología se encontraba parametrizada en la asignación por malla, esta tenía activa la asignación por flujo, lo cual generaba que el sistema priorizara dicha asignación sobre la asignación por célula, provocando que los casos se direccionaran al flujo “Neli Bonet” y no al usuario definido en la malla</t>
  </si>
  <si>
    <t>GD772-116_3</t>
  </si>
  <si>
    <t>Adicion de columnas informe medicamentos fase2</t>
  </si>
  <si>
    <t xml:space="preserve">Se requiere tener informes de la operación con el que se pueda medir la prestación efectiva de cada proveedor el informe debe seguir la siguiente estructura:
En este primer informe se debe poder visualizar un status actual de la operación y contendrá la siguiente estructura:
</t>
  </si>
  <si>
    <t>29/09/2025: Se Inicia con la adición de Columnas el informe de medicamentos
01/10/2025: “El informe de medicamentos se encuentra prácticamente finalizado; únicamente está pendiente una aclaración con el equipo solicitante respecto a la inclusión de la columna ‘Número de autorización’, con el fin de proceder con su cierre.
08/10/2025: Tras sesion aclaratoria con el ciente el 7 de octubre  se da claridad a las columnas que finalmente  se deben adicionar en el informe.
El infrome es entregado  para iniciar pruebas en test.
20/10/2025:Finalizan las pruebas del informe  y se le informa al cliente para que realice las pruebas y autorice el paso a producción.
12/12/2025: Pendiente confirmación de paso a producción.
16/12/2025: Cliente confirma paso a producción del informe
18/12/2025: Tras solucion de la conexion a la estacia de test, se realizara paso a producción.</t>
  </si>
  <si>
    <t>hotfix/informeInefectivos</t>
  </si>
  <si>
    <t>INTERNO-JA003</t>
  </si>
  <si>
    <t>Validación Informes de cuentas medicas y colas de procesamiento</t>
  </si>
  <si>
    <t xml:space="preserve">Aunque este informe no es problemático en tiempo de generación (menos de un minuto), su ejecución simultánea con otros puede saturar la cola. Se mantiene bajo observación para priorizar según criticidad.
</t>
  </si>
  <si>
    <t>A pesar de intentos de optimización con Python, los tiempos de generación siguen siendo similares No se identificaron mejoras sustanciales hasta ahora; se reconoce que el problema persiste</t>
  </si>
  <si>
    <t>Se encuentra en validacion de opciones de mejora.</t>
  </si>
  <si>
    <t xml:space="preserve">Debe continuar valición de los denas  informes </t>
  </si>
  <si>
    <t xml:space="preserve">Sin avances recientes. Se expusieron avances al jefe (Hernán), pero falta validación funcional.
</t>
  </si>
  <si>
    <t>Se continuará investigando otras alternativas para optimizar el proceso</t>
  </si>
  <si>
    <t>25/06/2025: Se planea optimizar tiempos de carga, actualmente afectados por el incremento de volumen de datos mes a mes.</t>
  </si>
  <si>
    <t xml:space="preserve">Se finalizo la mejora del informe mas pesado, el query y se mejoro descarga de inormes en 10 seg </t>
  </si>
  <si>
    <t>GD772-69_4</t>
  </si>
  <si>
    <t>Hacer contrato api incapacidades</t>
  </si>
  <si>
    <t>INTERNO-JE005</t>
  </si>
  <si>
    <t>Validaciòn CASO 31016845, no pasa  de estado radicaciòn (Incapacidades)</t>
  </si>
  <si>
    <t>10/07/2025: Se  realiza apertura del flujo para  continuar su gestion.</t>
  </si>
  <si>
    <t>GD772-69</t>
  </si>
  <si>
    <t>TEST Extraccion de Imagenes ( API) (Incapacidades firmadas por apache desde el disco EFS)</t>
  </si>
  <si>
    <t>16/09/2025: Desde el 15 de septiembre se encuentra disponible para pruebas el API de incapacidades firmadas por Apache desde el disco Amazon EFS en el ambiente TEST
24/09/2025: Se envio  link con imagenes de incapacidades al cliente.
29/09/2025: Cliente confirma paso a producción y se procede con el  paso.</t>
  </si>
  <si>
    <t>26/06/2025:Se escala jira  MDSB-836893 con la solicitud de creación del DNS en el ambiente de TEST,  Pruebas con el cliente  27 de Junio.</t>
  </si>
  <si>
    <t xml:space="preserve">02/07/2025 : Pendiente desplegar en test para validar permisos de IP y dominio. Se coordinarán pruebas desde cada estación de trabajo.
</t>
  </si>
  <si>
    <t>07/07/2025: Se deben realizar validaciones sobre los tiempos de respuesta, ya que se ha evidenciado que las consultas presentan demoras en el ambiente de test, a diferencia del comportamiento observado en el ambiente DEV.
07/07/2025:  Se optimizó el código y se modificó la forma de consultar y generar el recurso en S3.Anteriormente, el proceso se realizaba a través de un subproceso; ahora se utiliza una función propia de S3, lo que permitió agilizar la consulta en un 85%</t>
  </si>
  <si>
    <t>08/07/2025: Se realiza entrega al cliente para pruebas.</t>
  </si>
  <si>
    <t>14/07/2025: El cliente ha dado el visto bueno para realizar el paso a producción; sin embargo, este se ejecutará únicamente una vez se haya completado el paso correspondiente al S3.
14/07/2025: se realiza solicitud de creaciòn del DNS en produccion  MDSB-846727</t>
  </si>
  <si>
    <t>15/07/2025: Confirman creacion del subdominio solicitado en MDSB-846727</t>
  </si>
  <si>
    <t>16/07/2025:Se realizara hoy a las 3pm el paso a producción, pero sin habilitar consumo hasta que S3 esté listo en produccion.</t>
  </si>
  <si>
    <t>18/07/2025: Pendiente paso a produccion por falta de comunicación DNS, se escala jitar MDSB-848376 reportando incidencia. Se planea revisar hoy luego de finalizar pruebas del S3.</t>
  </si>
  <si>
    <t>22/07/2025: El 22 de julio dan respuest al  jira  MDSB-848376 indicando que el ajuste fue aplicado y ya  permite usar el DNS.</t>
  </si>
  <si>
    <t>GD772-69_2</t>
  </si>
  <si>
    <t>DEV Extraccion de Imagenes ( API) (Incapacidades)</t>
  </si>
  <si>
    <t>Se pausa  para trabajara en  Sistematización con IA (Segunda vista de incapacidades en portal)</t>
  </si>
  <si>
    <t>Contunuara con el desarrollo del metodo de incapacidades despues de culminar Sistematización con IA (Segunda vista de incapacidades en portal), se  estimada de entrega 9 de junio</t>
  </si>
  <si>
    <t>Se iniciará hoy con el desarrollo del primer método del modelo de incapacidades, debido a que el 6 de junio dedico el dia al Sistematización con IA (Segunda vista de incapacidades en portal)</t>
  </si>
  <si>
    <t xml:space="preserve">Ya  se encuentran los metodos de incapacidades y medicamentos, Hoy desarrollará el servicio y completará la URL pública para pruebas desde Postman u otros medios.
</t>
  </si>
  <si>
    <t>El 12 de junio finalizó la lógica de firma y reestructuración del código. El API está lista, solo falta habilitar el endpoint para completar las pruebas</t>
  </si>
  <si>
    <t xml:space="preserve"> El metodo de incapacidades ya está listo  en ambiente de desarrollo (DEV). Se creó un servicio provisional mientras se habilita la URL oficial para pruebas.</t>
  </si>
  <si>
    <t xml:space="preserve">El dominio ya está creado en DEV, pero la base de datos de imágenes no está funcionando correctamente, se acordó garantizar pruebas en DEV antes de migrar a TEST. Se cargarán imágenes de prueba.
</t>
  </si>
  <si>
    <t>Danilo escala jira MDSB-833779 a infraestructura  debido a que se  tiene acceso interno al dominio, pero externamente  se recibe un error.</t>
  </si>
  <si>
    <t xml:space="preserve">25/06/2025:Actualmente solo funciona la URL secundaria (opcional) en DEV La URL principal sigue pendiente por tema de permisos. El gira MDSB-833779 aún no ha sido atendido, bloqueando la validación completa.
</t>
  </si>
  <si>
    <t>26/06/2025: Jira  MDSB-833779 fuen resulto con exito, se tiene funcionalidad en ambiente de dev, se escala jira    Pruebas con el cliente  27 de Junio.</t>
  </si>
  <si>
    <t>27/06/2025:Fue cancelada la sesion de  Pruebas por el cliente.</t>
  </si>
  <si>
    <t xml:space="preserve"> MDSB-707440/GD772-74_1</t>
  </si>
  <si>
    <t>Generación de plantillas de cartas (glosa total, glosa parcial, devolución) Para Reembolsos ARL</t>
  </si>
  <si>
    <t>07/07/2025 : Inicia con la generación de plantillas de cartas de respuesta (glosa total, glosa parcial, devolución), Con estas cartas finaliza el desarrolle del Portal reembolsos ARL (FLUJO YII)</t>
  </si>
  <si>
    <t>09/07/2025: Retomara desarrollo tras finalizar el Levantamiento nueva máquina virtual.</t>
  </si>
  <si>
    <t>11/07/2025:  Las Plantillas ya estan listas, con inserciones preparadas, se realizara despliegue a test para  realizar  pruebas .</t>
  </si>
  <si>
    <t xml:space="preserve">14/07/2025: Se Realizan pruebas, pero fallaron, se estima entregar hoy antes de mediodía. </t>
  </si>
  <si>
    <t>GD772-136</t>
  </si>
  <si>
    <t>Cruce automatico Autorizado Vs Cobrado</t>
  </si>
  <si>
    <t>Descripción
Se requiere realizar el cruce automatico de lo autorizado, ya sea cargado de forma manual o por API con el lago vs lo cobrado en las facturas por el proveedor.
Una vez realizada esta comparacion, los registro en los que el valor cobrado, sea igual o menor al valor autorizado, se deben  asignar al usuario definido para pago masivo,  Asi mismo debe permitir seleccionar todos o algunos casos, para realizar la notificacion y el cierre de caso masivo.
Los caso cuyo valor cobrado es mayor al valor autorizado, deben pasar segun las reglas de asignación a los diferentes perfiles, en caso de que exista tarifa pactada, el usuario debe poder visualizar la tarifa pactada, autorizada y cobrada para su evaluacion.</t>
  </si>
  <si>
    <r>
      <rPr>
        <rFont val="Quattrocento Sans"/>
        <color theme="1"/>
        <sz val="10.0"/>
      </rPr>
      <t xml:space="preserve">10/09/2025: Revisión preliminar realizada.
22/10/2025: Se solicita control de cambios en test MDSB-915793
28/10/2025: Control de cambios ejecutado con éxito 
21/11/2025. Se escala control de cambios a test MDSB-934083 para la creación de  la tabla cm_actualizacion_facturas_sisalud y modificación de las tablas cm_pagos_masivos_generados y ctas_proveedores
Control de cambios MDSB-934083 ejecutado.
26/11/2025: Se avanzó en la implementación del cruce y la construcción de las bandejas de resultado. Falta validar el comportamiento del cruce asociado a proveedores y  solicitar la creación  de la tabla en producción. Continúan ajustes menores previos a las pruebas finales.
27/11/2025: Se escala control de cambios en producción MDSB-937531
01/12/2025: Control de cambios aun se encuentra pendiente por QA del cliente
03/12/2025: Control de cambios programado hoy  para aprobación por comité.
04/12/2025:  Control de cambios ejecutado con exito el 3 de diciembre.
10/12/2025: A un esta pendientes de pruebas para realizar paso a produncción.
12/12/2025: Se encuentra pendiente la ejecución del paso a producción y la realización de las pruebas en caliente una vez se despliegue el ajuste.
15/12/2025: El desarrollo principal ya se encuentra en producción, incluyendo la tabla y el código. Sin embargo, el proceso aún no se ha ejecutado de forma completa, ya que el cruce consulta facturas antiguas una a una contra el API. Se acordó no ejecutarlo aún y, por recomendación funcional, </t>
    </r>
    <r>
      <rPr>
        <rFont val="Quattrocento Sans"/>
        <b/>
        <color theme="1"/>
        <sz val="10.0"/>
      </rPr>
      <t>crear bandejas adicionales</t>
    </r>
    <r>
      <rPr>
        <rFont val="Quattrocento Sans"/>
        <color theme="1"/>
        <sz val="10.0"/>
      </rPr>
      <t xml:space="preserve"> para gestionar los casos no cruzados o glosados, antes de activar el proceso masivo.
17/12/2025: Se avanzó en la construcción de bandejas de gestión necesarias cuando el cruce en producción presenta fallos. Dichas bandejas están casi finalizadas e incluyen la lógica para gestión manual de casos (por ejemplo, cambios de estado en Salud).
19/12/2025: Se avanzó en la construcción de la bandeja para el cruce de facturas versus estado de pago, especialmente para facturas asociadas a un solo usuario. La funcionalidad se encuentra estable y en proceso de validación, aunque persisten definiciones pendientes sobre el manejo de casos especiales (valores elevados o inconsistencias). El desarrollo continúa en evolución.
22/12/2025: El requerimiento 136 ya se encuentra en producción en su lógica principal. Sin embargo, continúa en construcción la bandeja para gestionar los casos no cruzados o con inconsistencias históricas (glosas antiguas, facturas anuladas o sin información). El avance se mantiene en estado “Paso a produccion” debido a que aún no existe definición funcional clara sobre el tratamiento final de estos casos. Se requiere validación con el área funcional para cerrar este punto.
02/01/2026: Se cuenta con bandejas para los casos que no cruzan automáticamente. Está pendiente realizar una socialización funcional con negocio (Jenry) para validar ajustes finales antes de una entrega formal.
14/01/2026: Se tienen pendientes algunos ajustes solicitados por el cliente en el módulo de Cruce de Facturas, el cual ya se encuentra en producción. Dado que se trata de mejoras adicionales posteriores a la entrega, se definió programar estos cambios para la próxima semana.</t>
    </r>
  </si>
  <si>
    <t>MDSB-915793  / MDSB-934083</t>
  </si>
  <si>
    <t>MDSB-937531</t>
  </si>
  <si>
    <t>GD772-136_1</t>
  </si>
  <si>
    <r>
      <rPr>
        <rFont val="Quattrocento Sans"/>
        <b/>
        <color theme="1"/>
      </rPr>
      <t>Documentación tecnica.</t>
    </r>
    <r>
      <rPr>
        <rFont val="Quattrocento Sans"/>
        <color theme="1"/>
      </rPr>
      <t xml:space="preserve"> Reporte glosas para la Superfinanciera (Cruce automatico Autorizado Vs Cobrado)</t>
    </r>
  </si>
  <si>
    <t xml:space="preserve">18/12/2025: Jairo engtrega documentación en .md. se realizara  ajuste de formato y estilos
30/12/2025: Se realizaron ajustes de estilos y formato del documento, y se realizó su incorporación al directorio de la biblioteca documental técnica para su consulta y control. </t>
  </si>
  <si>
    <t>INTERNO-JA005</t>
  </si>
  <si>
    <t xml:space="preserve">Mejoras informe  total  producto Salud </t>
  </si>
  <si>
    <t>07/07/2025 : Se estima iniciar con la validacion de este informe tan pronto finalice la Generación de plantillas de cartas (glosa total, glosa parcial, devolución) Para Reembolsos ARL</t>
  </si>
  <si>
    <t>09/07/2025: Iniciara mejoras  tras finalizar la  Generación de plantillas de cartas (glosa total, glosa parcial, devolución) Para Reembolsos ARL</t>
  </si>
  <si>
    <t>16/07/2025: Se inicio  el 15 de julio con la mejora del informe con revisión del query para optimización. Actualmente en un 5% de avance.</t>
  </si>
  <si>
    <t>18/07/2025: Se aplicaron mejoras al query del informe y se inició la validación de rendimiento respecto a la versión anterior. Se estima un 80% de avance manteniendo los mismos modelos usados en informes anteriores, con ajustes en operaciones específicas.</t>
  </si>
  <si>
    <t>21/07/2025: El viernes 18 de julio se realizaron pruebas sobre el informe para validar que los datos coincidieran entre ambos lados. Aunque inicialmente se evidenció una diferencia en la cantidad de registros, se confirmó que los datos eran correctos. Se avanzó en el ajuste para que solo se muestre el valor de la factura y la cédula en la primera línea, como requiere la estructura del informe, posiblemente por una macro de validación en Excel. Actualmente se continúan realizando correcciones para que el formato final sea consistente.</t>
  </si>
  <si>
    <t>23/07/2025: Se realiza paso a produccion el 21 de julio de los ajustes del informe total de salud.</t>
  </si>
  <si>
    <t>INTERNO-JA006</t>
  </si>
  <si>
    <t xml:space="preserve">Mejoras informes  por radicado producto Salud </t>
  </si>
  <si>
    <t>02/07/2025: Se avanzó en un 70% con el desarrollo del informe por radicado específico para el área de Salud. Se separó la lógica del informe de los casos ARL y EPS para facilitar su mantenimiento, y se optimizó la consulta SQL mejorando el rendimiento. Actualmente se están realizando pruebas de validación con datos reales, y se espera replicar mejoras de tiempo similares a las obtenidas en el informe de ARL. Pendiente validación final en ambiente de producción.</t>
  </si>
  <si>
    <t>04/07/2025.Se avanzó con pruebas en producción del informe. El query ya está construido y se están realizando validaciones con datos reales.</t>
  </si>
  <si>
    <t>07/07/2025: El nuevo informe por radicado fue desplegado a producción el 4 de julio, reduciendo el tiempo de ejecución de 40 a 2 minutos.</t>
  </si>
  <si>
    <t>GD772-60</t>
  </si>
  <si>
    <t>Descarga automatica de informes</t>
  </si>
  <si>
    <t>MDSB-833556</t>
  </si>
  <si>
    <t>MDSB-837144</t>
  </si>
  <si>
    <t>Se requiere mplementar la descarga automática diaria de informes relacionados con Salud, ARL, EPS y Vida, incluyendo inconsistencias, desde el 1 de enero del año vigente hasta la fecha actual, y generarlos por radicado para tres usuarios específicos.</t>
  </si>
  <si>
    <t>Se estima tiempo  inicial de desarrollo: 1.5 días</t>
  </si>
  <si>
    <t>Se debe crear una tabla que relacione informes con usuarios destino, para replicar informes automáticamente a múltiples usuarios, a un no se confirma fecha de inicio del desarrollo.</t>
  </si>
  <si>
    <t>El 11 de junio inicia en la creación de una tabla que permita asignar informes automáticos a múltiples usuarios. Falta desarrollar el panel administrativo y completar los ajustes en la estructura de CMS. hoy se estimae se solicitara control de cambios en test</t>
  </si>
  <si>
    <t>Pendiente envio del  script para realizar solicitud de control de  cambios para test.</t>
  </si>
  <si>
    <t>19 de junio se escala control de cambios MDSB-833556 para test, se ejecuta con exito y se pasa a test e iniciar pruebas por el cliente. A la espera de aprobación de negocio para paso a producción</t>
  </si>
  <si>
    <t>25/06/2025:El informe está listo en test, pero pendiente de aprobación por parte del negocio para proceder con el control de cambios para paso a produccion</t>
  </si>
  <si>
    <t>26/06/2025: Se recibe aprobacion para  paso a producción, se escala control de  cambios MDSB-837144</t>
  </si>
  <si>
    <t>27/06/2025:Pendiente aprobación de control de cambios de parte del cliente.</t>
  </si>
  <si>
    <t>02/07/2025: El 1 de julio se realizaron todas las aprobaciones pendientes. Actualmente, el cambio se encuentra en proceso de validación por parte del líder de Cambios Digitales, y se estima que sea incluido en el Comité de Cambios Digitales programado para el día de hoy.
02/07/2025: Control de cambios aprobado, se ejecutara 3 de Julio 4pm.</t>
  </si>
  <si>
    <t>03/07/2025:Se Realiza paso a producciòn con exito, La funcionalidad de copia automática de informes quedó establecida correctamente corrigiendo un error de totales en Glosas.</t>
  </si>
  <si>
    <t>INTERNO-D006</t>
  </si>
  <si>
    <t>Monitoreo de carga y alertas del servidor</t>
  </si>
  <si>
    <t xml:space="preserve">  11/06/2025: El 10 de junio se implementó lógica para enviar correos cuando el load average y el uso del procesador superan umbrales definidos.
Se toman snapshots para detectar procesos que generan cuellos de botella.
 Continúan ajustes y pruebas en esta funcionalidad.
13/06/2025: el 11 de junio se finalizó la implementación del monitoreo de carga, RAM y procesadores, con toma de snapshots cada minuto ante sobrecarga. El envío de alertas por correo quedó pendiente de implementar mediante Exchange para evitar abrir puertos. Se acordó dejarlo “en proceso” para retomarlo más adelante si es necesario.</t>
  </si>
  <si>
    <t>Se implementó lógica para enviar correos cuando el load average y el uso del procesador superan umbrales definidos.
Se toman snapshots para detectar procesos que generan cuellos de botella.
Continúan ajustes y pruebas en esta funcionalidad.</t>
  </si>
  <si>
    <t>Se finalizó la implementación del monitoreo de carga, RAM y procesadores, con toma de snapshots cada minuto ante sobrecarga. El envío de alertas por correo quedó pendiente de implementar mediante Exchange para evitar abrir puertos. Se acordó dejarlo “en proceso” para retomarlo más adelante si es necesario.</t>
  </si>
  <si>
    <t>27/06/2025:Sigue pendiente confirgura el envio de correo  de la notificación de caida del servidor.</t>
  </si>
  <si>
    <t>CNTI-271</t>
  </si>
  <si>
    <t>Vulnerabilidad, CVE-2016-4055 – DoS por expresiones regulares ineficientes en Moment.js (&lt; v2.11.2)</t>
  </si>
  <si>
    <t>Vulnerabilidad que permite ataques de denegación de servicio mediante uso excesivo de CPU al procesar duraciones con expresiones regulares mal optimizadas.</t>
  </si>
  <si>
    <t>Se actualizó a la versión 2.29.4 para corregir la vulnerabilidad, se deben realizar  pruebas en test para comprobar funcionamiento.</t>
  </si>
  <si>
    <t>Queda disponible  el 13 de Junio para  pruebas por Imagine en ambientes de test</t>
  </si>
  <si>
    <t xml:space="preserve">El 19 de junio Fabio  realiza pruebas en ambiente de test, no se evidenció un comportamiento anómalo ante entradas no válidas, se considera viable proceder con la implementación en ambiente de producción. Se propone  despliegue a produccion  hasta completar migración S3, para evitar confusión en trazabilidad de errores. </t>
  </si>
  <si>
    <t>24/06/2025: Se realiza  implementación de la correccion de la vulnerabilidad en produccion.</t>
  </si>
  <si>
    <t>GD772-69_1</t>
  </si>
  <si>
    <t>Error de acceso en test con TLS y certificados ( Api incapacidades)</t>
  </si>
  <si>
    <t>02/07/2025: Se prioriza identificar si el fallo es por cifrado propio o por certificados del proveedor
02/07/2025: No fue posible solucionar el error, entonces se agregó el comentario al ticket MDSB-837736 solicitando añadir imaginex-test-documentos.segurosbolivar.com a Alternate Domain Names (CNAMEs) del CloudFront.</t>
  </si>
  <si>
    <t>04/07/2025:El problema de acceso en el ambiente de pruebas fue resuelto el 2 de julio; el API ya se encuentra funcional con el DNS y TLS configurados. Actualmente se identifican problemas de lentitud en las consultas, posiblemente por la firma o consulta de imágenes. Se recomienda evaluar el rendimiento para optimizar el tiempo de respuesta.</t>
  </si>
  <si>
    <t>CNTI-195</t>
  </si>
  <si>
    <t>Vulnerabilidad, Implementación insegura de la integridad de los recursos secundarios (SRI) / imaginex</t>
  </si>
  <si>
    <t>No usar SRI permite que recursos externos como scripts o estilos sean manipulados sin ser detectados, exponiendo al sitio a posibles ataques si el servidor externo es comprometido</t>
  </si>
  <si>
    <t>Inicio ayerSe inició el trabajo sobre la vulnerabilidad el 17 de Junio.</t>
  </si>
  <si>
    <t>Se trabaja en una vulnerabilidad compleja relacionada con scripts ya, se requiere intervención manual en múltiples páginas.</t>
  </si>
  <si>
    <t>25/06/2025: Se avanza al 15% en la mitigación de esta vulnerabilidad.</t>
  </si>
  <si>
    <t xml:space="preserve">27/06/2025:Continua en desarrollo </t>
  </si>
  <si>
    <t>02/07/2025: No se reportan avances, se planea continuar hoy  despues de solucionar  el "Error de acceso en test con TLS y certificados ( Api incapacidades)"</t>
  </si>
  <si>
    <t>04/07/2025:El avance de la remediación de la vulnerabilidad llega al 70%. Se trabajó con dedicación el día anterior y se proyecta su cierre completo en el transcurso del día si se mantiene el ritmo.</t>
  </si>
  <si>
    <t>07/07/2025 : Se avanzó un 10% en la revisión y atención de la vulnerabilidad,  Se planea continuar hoy con la solución.</t>
  </si>
  <si>
    <t>09/07/2025: Se avanzó en la implementación   en todas las aplicaciones requeridas (nativo, autorizaciones, portales, portal de incapacidades) pero  no se pudo desplegar en ambiente TES por errores de carga de estilos. Se sospecha que puede deberse a conflictos con el recaptcha o pasos omitidos, contunuara  la validaciòn.</t>
  </si>
  <si>
    <t>09/07/2025: El SRI fue implementado y desplegado en ambiente test, con dificultades superadas el 9 de julio.</t>
  </si>
  <si>
    <t>14/07/2025: Se requieren pruebas generales para validar su correcto funcionamiento en todas las aplicaciones involucradas</t>
  </si>
  <si>
    <t>15/07/2025: Se realizara el paso a producción el día 16 de Julio a las 5pm</t>
  </si>
  <si>
    <t xml:space="preserve">despliegue hoy </t>
  </si>
  <si>
    <t>18/07/2025: El 16 de julio se completó el despliegue de SRI a producciòn.</t>
  </si>
  <si>
    <t>GD772-69_3</t>
  </si>
  <si>
    <t>Documentacion APi incapacidades (Seguridad)</t>
  </si>
  <si>
    <t>27/07/2025: entrega doucmentación de seguridad</t>
  </si>
  <si>
    <t>CNTI-96</t>
  </si>
  <si>
    <t>Vulnerabilidad,La política de seguridad de los contenidos contiene la directiva “unsafe” / imaginex</t>
  </si>
  <si>
    <t xml:space="preserve">Una configuración débil de la Política de Seguridad de Contenido (CSP) permite ejecutar scripts en línea o evaluar código dinámico, lo que incrementa el riesgo de ataques XSS.
</t>
  </si>
  <si>
    <t xml:space="preserve">Actualmente se trabaja en la vulnerabilidad relacionada con la política de seguridad de contenido (CSP) y el uso de unsafe-inline, necesario para integraciones con Google reCAPTCHA y Clarity, se plantea justificar su permanencia y demostrar que el nivel de seguridad general sigue siendo aceptable (B+ cercano a A).
</t>
  </si>
  <si>
    <t>Se resolvió la vulnerabilidad relacionada con la política de seguridad de contenidos (CSP), aunque su implementación en producción está limitada por la versión de Apache (actualmente en 2.4.57, mientras que se requiere mínimo 2.4.58).</t>
  </si>
  <si>
    <t xml:space="preserve">27/06/2025: Se pasa a produccion en primera semana de Julio despues del paso a produccion del  S3. </t>
  </si>
  <si>
    <t>07/07/2025 : iniciara preparaciòn para  paso a produccion ya  que la solución implica la actualización del servicio Apache, es necesario realizar un respaldo completo de los archivos de configuración, virtual hosts y demás elementos asociados, con el fin de prevenir cualquier incidente y permitir una restauración rápida en caso de ser necesario.</t>
  </si>
  <si>
    <t xml:space="preserve">08/07/2025: Se debe validar con el cliente, ya que la implementación en producción generará una indisponibilidad aproximada de 30 minutos en el servicio.
</t>
  </si>
  <si>
    <t>11/07/2025: Está pendiente una ventana de mantenimiento para desplegar los cambios en producción, ya que requiere actualización del servicio Apache y afecta servicios críticos. Se sugirió solicitar la ventana para el martes 15 o jueves 17</t>
  </si>
  <si>
    <t>14/07/2025: Se prevé realizar la actualización del servidor Apache para permitir configuraciones de seguridad modernas, pero aún está pendiente confirmación de ventana de mantenimiento para el 15 de julio 10 pm.</t>
  </si>
  <si>
    <t>16/07/2025: El paso a producción se pospone para la semana del 21 de julio, debido a que se debe evaluar una alternativa para mitigar la vulnerabilidad identificada. Actualizar Apache implicaría también la actualización del sistema operativo, por lo cual se analizarán otras opciones antes de proceder.</t>
  </si>
  <si>
    <t>30/07/2025:Se realizó la mitigación de la vulnerabilidad prioritaria sin necesidad de actualizar Apache, mediante la implementación de encabezados de seguridad. La solución fue probada exitosamente en ambiente de pruebas y se realiza paso a produccion 30 de julio en la mañana sin afectación al servicio.</t>
  </si>
  <si>
    <t>WILSON</t>
  </si>
  <si>
    <t>INTERNO-W001</t>
  </si>
  <si>
    <t>Sistema automatizado de clasificación de correos médicos con IA</t>
  </si>
  <si>
    <t xml:space="preserve">1. Integración sistemas médicos 
2. Aprendizaje automático 
3. Más categorías 
**Implementación:**
• Despliegue paso a paso 
• Monitoreo constante 
• Validación periódica 
**Mejoras por realizar:**
• Integrar estándares médicos 
• Diccionarios especializados 
• Validación cruzada términos 
**Mantenimiento:**
• Updates periódicos 
• Reentrenamiento programado 
• Control de métricas 
**CONCLUSIÓN**
Sistema robusto y eficiente para clasificación automática de correos médicos. Resultados perfectos en pruebas iniciales. Combina múltiples modelos de IA con procesamiento especializado médico.
**LOGROS CLAVE**
•	100% precisión
•	Validación perfecta
•	Procesamiento rápido
•	Especializado en medición
</t>
  </si>
  <si>
    <t>16/06/2025: Se detecto un problema en los análisis, se trabajo en una posible solución para ello, y es overfitting, que no es otra cosa que corregir estimaciones posiblemente equivocadas. Corregido por medio de scripts de testing y aquí el reporte de los resultados
18/06/2025: Se encuentra  realizando  cambios en mejoras de diccionario de datos y modelos enfocados a conceptos médicos en español.
25/06/2025: Actualmente se están ejecutando pruebas de ajuste fino (fine-tuning) sobre los modelos de clasificación mediante combinaciones de parámetros de entrenamiento. Esta etapa es crítica para mejorar el rendimiento del modelo sin modificar los datos base. El proceso es intensivo en tiempo y recursos, ya que cada entrenamiento toma varias horas. Se continúa enfocado en esta optimización.
02/07/2025: El desarrollo presenta un avance del 85%. Se han realizado pruebas unitarias y automatizadas con PyTest, orientadas a implementar integración y despliegue continuo (CI/CD). Se trabaja en el ajuste fino de los modelos (fine-tuning) y se analiza la calidad y relevancia de los datos para optimizar el entrenamiento. Se cuenta con el apoyo de usuarios funcionales para identificar las tipologías clave, asegurando una clasificación más precisa de los correos médicos. Pendiente iniciar la integración con el sistema de correos y montar el entorno de desarrollo en el equipo de Bolívar.
09/07/2025:Se encuentra modificando el servicio para realizar la implenetaciòn.
14/07/2025: Se va a utilizar el ambiente duplicado existente para lanzar entrenamientos del modelo sin afectar producción. Se creará una vista que concentre los datos requeridos para el entrenamiento y así evitar la dispersión sobre múltiples tablas. El objetivo es iniciar esta semana pruebas con DigiVet y observar el comportamiento del modelo. De los resultados dependerá su implementación definitiva.
27/08/2025: Requerimiento finalizado agosto 26.</t>
  </si>
  <si>
    <t xml:space="preserve"> Se detecto un problema en los análisis, se trabajo en una posible solución para ello, y es overfitting, que no es otra cosa que corregir estimaciones posiblemente equivocadas. Corregido por medio de scripts de testing y aquí el reporte de los resultados </t>
  </si>
  <si>
    <t>Se encuentra  realizando  cambios en mejoras de diccionario de datos y modelos enfocados a conceptos médicos en español</t>
  </si>
  <si>
    <t xml:space="preserve">25/06/2025: Actualmente se están ejecutando pruebas de ajuste fino (fine-tuning) sobre los modelos de clasificación mediante combinaciones de parámetros de entrenamiento. Esta etapa es crítica para mejorar el rendimiento del modelo sin modificar los datos base. El proceso es intensivo en tiempo y recursos, ya que cada entrenamiento toma varias horas. Se continúa enfocado en esta optimización.
</t>
  </si>
  <si>
    <t>02/07/2025:El desarrollo presenta un avance del 85%. Se han realizado pruebas unitarias y automatizadas con PyTest, orientadas a implementar integración y despliegue continuo (CI/CD). Se trabaja en el ajuste fino de los modelos (fine-tuning) y se analiza la calidad y relevancia de los datos para optimizar el entrenamiento. Se cuenta con el apoyo de usuarios funcionales para identificar las tipologías clave, asegurando una clasificación más precisa de los correos médicos. Pendiente iniciar la integración con el sistema de correos y montar el entorno de desarrollo en el equipo de Bolívar.</t>
  </si>
  <si>
    <t>14/07/2025: Se va a utilizar el ambiente duplicado existente para lanzar entrenamientos del modelo sin afectar producción. Se creará una vista que concentre los datos requeridos para el entrenamiento y así evitar la dispersión sobre múltiples tablas. El objetivo es iniciar esta semana pruebas con DigiVet y observar el comportamiento del modelo. De los resultados dependerá su implementación definitiva.</t>
  </si>
  <si>
    <t>GD772-114</t>
  </si>
  <si>
    <t>ADICIONAR INFORMACIÓN DE TENGO DUDAS DE MIS REEMBOLSOS AL INFORME CONSOLIDADO</t>
  </si>
  <si>
    <t xml:space="preserve">24/06/2025: Se inicia ajuste
25/06/2025: Se realiza paso a producción </t>
  </si>
  <si>
    <t>Requerimiento asignado 17 de junio, en cola de trabajo.</t>
  </si>
  <si>
    <t>20/06/2025:Validara requerimiento y estimara tiempo de  desarrollo.</t>
  </si>
  <si>
    <t>25/06/2025:Este informe ya fue desplegado exitosamente a producción el 24 de junio. Fue integrado a la pestaña Digitación y se unificó el manejo de dudas y pendientes por digitar, mejorando la centralización de datos.</t>
  </si>
  <si>
    <t>INTERNO-F3</t>
  </si>
  <si>
    <t>Crear cuenta en GitHub con correo corporativo</t>
  </si>
  <si>
    <t>19/08/2025: Se crea cuenta " PruebasImagine"</t>
  </si>
  <si>
    <t>Se propuso integrarlo al GitHub de la organización Imaging SAS para que pueda crear issues directamente relacionados con los desarrollos</t>
  </si>
  <si>
    <t>CDC-T, req GD772-60 Descarga automatica de informes</t>
  </si>
  <si>
    <t>!9 de junio Se escala control de cambios en test para alterar una tabla y se crea otra.
Control de cambios ejecutado correctamente.</t>
  </si>
  <si>
    <t>CNTI-271_1</t>
  </si>
  <si>
    <t>Pruebas,Vulnerabilidad, CVE-2016-4055 – DoS por expresiones regulares ineficientes en Moment.js (&lt; v2.11.2)</t>
  </si>
  <si>
    <t>19/06/2025: El 19 de junio se realizan pruebas en ambiente de test, no se evidenció un comportamiento anómalo ante entradas no válidas, se considera viable proceder con la implementación en ambiente de producción.</t>
  </si>
  <si>
    <t>INTERNO-F001</t>
  </si>
  <si>
    <t>Desarrollo de informe interactivo de requerimientos</t>
  </si>
  <si>
    <t>Se requiere que el informe interactivo implementado para el seguimiento de requerimientos de Imagine, actualmente publicado en un repositorio personal de GitHub, sea migrado y publicado en el repositorio oficial de Imaginesas, garantizando su disponibilidad y gestión centralizada.</t>
  </si>
  <si>
    <t>03/10/2025: Hoy se realizó una sesión con Jhon, Jennifer y Jenry, en la cual se presentó el proceso para actualizar el informe en el repositorio de Imaginesas. Como primer paso, se iniciara con la actualización del código del informe para que la información se muestre de la misma forma en que actualmente se publica.
03/10/2025: El reporte queda actualizado y publicado desde el repositorio de Imaginesas.
05/01/2026: Se implementa la opción “Última actualización por Unidad”, que permite visualizar la fecha de la última actualización realizada por cada unidad y generar un informe descargable en formato CSV.</t>
  </si>
  <si>
    <t>20/06/2025: Se esta trabajando en la actualizacion de req en el informe y en la  adicion del campo "Detalle de req"</t>
  </si>
  <si>
    <t>25/06/2025: Ya se encuentra el campo detalle req, se esta trabajando en la forma de alimentar este campo y el ingreso del historico de las observaciones de  cada req.</t>
  </si>
  <si>
    <t xml:space="preserve">01/07/2025: Se realiza actualización de estado de Req  y  cambio de Nombres de las  Unidades </t>
  </si>
  <si>
    <t>09/07/2025: Se está actualizando el informe con los detalles de los requerimientos y la trazabilidad de la gestión realizada. Adicionalmente, se ha venido desarrollando un módulo que permitirá a cualquier usuario con acceso al informe ingresar observaciones relacionadas con el contenido o el avance de los requerimientos.</t>
  </si>
  <si>
    <t>INTERNO-F008</t>
  </si>
  <si>
    <t>Inclusion de campos (fecha de compromiso con el cliente, estimado de desarrollo ..etc)  informe interactivo de requerimientos</t>
  </si>
  <si>
    <t xml:space="preserve">Fabio muchas gracias por el informe y por tener la información actualizada, para Bolívar debemos incluir los jiras de la reunión del día hoy con ARL.
Tengo algunas observaciones de mejora para el informe,  incluir fecha de compromiso con el cliente, nivel de dificultad del requerimiento en el encabezado de cada descripción de requerimiento. 
El acceso está super fácil y llega correctamente el código de acceso.
</t>
  </si>
  <si>
    <t>26/01/2026: Se realiza ajuste del  codigo que genera el json  que alimenta el reporte  para que lea los nuevos  campos.
28/01/2026: Los campos ya se encuentran implementados en el tablero; queda pendiente el ajuste de los Drive de las diferentes unidades para habilitar la generación de la información.</t>
  </si>
  <si>
    <t>INTERNO-F002</t>
  </si>
  <si>
    <t>Pruebas listas blancas para factor de doble autenticación</t>
  </si>
  <si>
    <t>24/06/2025: Se realizan pruebas al ingresar a un usuario en listas blancas y se deja activo  al ingresar a laravel y Yii no solicita codigo de autenticación, se identifica que Nativo no esta solicitando codigo de autenticación a ningun usuario se escala a Jesus para su ajuste.
24/06/2025: Jesus entrega ajuste, se realiza validación y se confirma funcionalidad y se le informa al cliente.</t>
  </si>
  <si>
    <t>INTERNO-F003</t>
  </si>
  <si>
    <t>Solicitud accesos ambiente Dev y Test (Jenry)</t>
  </si>
  <si>
    <t>24/06/2025: Se  escalan los siguientes  solicitud de accesos Dev = MDSB-835240   test= MDSB-835246
25/06/2025: Se asignan permisos solicitados y se confirma acceso a dev y test correctamente.</t>
  </si>
  <si>
    <t xml:space="preserve">MDSB-835580 </t>
  </si>
  <si>
    <t>Jira dia a dia  ajustar actividades caso  31012936 incapacidades</t>
  </si>
  <si>
    <t>25/06/2025: Se presento un error en la asignación de la actividad del caso, se corrige  asignandolo a la a ctividada correcta  "Analista de Liquidación".</t>
  </si>
  <si>
    <t>INTERNO-JE006</t>
  </si>
  <si>
    <t>Apertura de flujo  de 4 casos de Preautorizaciones poliza salud - delegacion analistas creados con una sola actividad</t>
  </si>
  <si>
    <t xml:space="preserve">25/06/2025: Flujos aperturados correctamente </t>
  </si>
  <si>
    <t>GD772-168_1</t>
  </si>
  <si>
    <r>
      <rPr>
        <rFont val="Quattrocento Sans"/>
        <b/>
        <color theme="1"/>
      </rPr>
      <t xml:space="preserve">Elaboración HU 2do sprint </t>
    </r>
    <r>
      <rPr>
        <rFont val="Quattrocento Sans"/>
        <color theme="1"/>
      </rPr>
      <t>- nuevo proceso de incapacidades ARL</t>
    </r>
  </si>
  <si>
    <t>16/01/2026: Se a avanzado significativa mente en la elaboración  de las HU, se solicito a Jenry aclaracion de los consumos de  Vlidacion liquidacion,Liquidar y autorizacion, Hoy se continua con las HU de la nueva bandeja y reasignación.
Se envian HU para validaciòn y aprobacion por Jenry  y Liyibet
19/01/2026: Se realizan ajustes indicados por Jenry y se incluye HU10 Notificación de pago al flujo automático de incapacidades.
20/01/2026: Jenry confirma que el documento cumple lo requerido</t>
  </si>
  <si>
    <t>GD772-146_5</t>
  </si>
  <si>
    <t>DOCUMENTACIÓN TÉCNICA- IMPLEMENTACIÓN DE DOBLE FACTOR</t>
  </si>
  <si>
    <t>10/02/2026: Se realiza documentación tecnica contemplando arquitectura, componentes, flujo de autenticación, controles de seguridad e interacción entre scripts PHP, controladores y vistas.</t>
  </si>
  <si>
    <t>INTERNO-F016</t>
  </si>
  <si>
    <t>Implementación  dashboard de cumplimiento en tablero de requerimientos</t>
  </si>
  <si>
    <t>17/02/2026: Se realizó revisión de la información disponible, definición de métricas de cumplimiento, análisis de viabilidad técnica y evaluación de funcionalidades necesarias (indicadores, alertas y reportes) con el fin de estructurar la propuesta del dashboard.
18/02/2026; Se reestructuró la arquitectura del informe para integrar el nuevo Dashboard de Cumplimiento mediante un sistema de navegación modular (iFrame), logrando la coexistencia de ambos reportes sin conflictos; asimismo, se depuraron errores de ejecución en los botones de control
24/02/2026: Se realiza validació: Se realiza validacion en local de la  informacion que esta extrayendo el dashboard y no coincide despues de varias validaciones se identifica que no esta mostrando informacion de 38 requerimeintos  finalizados los cuales estan pendientes por identificar.</t>
  </si>
  <si>
    <t>CDC-P, req GD772-60 Descarga automatica de informes</t>
  </si>
  <si>
    <t>26/06/2025: Se escala control de cambios para  produccion, Pendiente  que el cliente   pase el req GD772-60 a estado PAP para continuar con el proceso.</t>
  </si>
  <si>
    <t>01/07/2025: Control de cambios avanza al siguiente  estado (Validación), se estima  sea incluido en el comite de cambios digitales  el 2 de Julio.</t>
  </si>
  <si>
    <t>03/07/2025: Control de cambios ejecutado con exito.</t>
  </si>
  <si>
    <t>MDSB-838905</t>
  </si>
  <si>
    <t xml:space="preserve">Jiras dia dia Inhabilitar 3 tipologias a 3 usuarios </t>
  </si>
  <si>
    <t>03/07/2025: se realiza inactivaciòn de  los  usuarios en las  tiplogias (1031) Traslado de Polizas,(10493)Mesa de Conciliacion Presencial y (10494)Mesa de conciliación Virtual</t>
  </si>
  <si>
    <t>MDSB-842592</t>
  </si>
  <si>
    <t>jira dia a dia, Cambiar planilla de ingresos en oficina virtual ARL</t>
  </si>
  <si>
    <t xml:space="preserve">07/07/2025 : Se realiza cambio de planilla </t>
  </si>
  <si>
    <t>MDSB-835432</t>
  </si>
  <si>
    <t>Jira dia a dia Error en cargue de anexos de casos</t>
  </si>
  <si>
    <t>07/07/2025: El viernes 4 de julio se implementó solución para prevenir la visualización incorrecta de archivos cargados simultáneamente por usuarios. Falta realizar pruebas en test para validar y solicitar paso a producción.
07/07/2025: La causa del comportamiento fue la ausencia de control para manejar cargas concurrentes. Como solución, el equipo de desarrollo implementó un ajuste en el sistema que permite que, en adelante, los documentos se guarden uno a uno y en el orden en que se reciben, evitando así cualquier sobrescritura o cruce de archivos entre casos.</t>
  </si>
  <si>
    <t>INTERNO-JA007</t>
  </si>
  <si>
    <t>Levantamiento nueva máquina virtual,</t>
  </si>
  <si>
    <t>09/07/2025:Ayer 8 de Julio se inició el levantamiento de una nueva máquina virtual para dar continuidad a los desarrollos, debido a fallas presentadas en los discos de la máquina física (RAID dañada), lo que obligó a migrar el entorno.
Actualmente, la nueva máquina virtual se encuentra casi lista, lo que permitirá retomar próximamente los desarrollos pendientes.</t>
  </si>
  <si>
    <t xml:space="preserve">11/07/2025: Fue completado el levantamiento de la máquina virtual necesaria para continuar el desarrollo. Se configuró con una base de datos y entorno de trabajo básico. Esto desbloquea tareas de desarrollo local.
</t>
  </si>
  <si>
    <t>INTERNO-JA008</t>
  </si>
  <si>
    <t>Devolver a Seguimiento para firmeza el radicado 30949303</t>
  </si>
  <si>
    <t>09/07/2025: Se le elimino la linea de cierre caso y se dejó en seguimiento firmeza.</t>
  </si>
  <si>
    <t>INTERNO-JA009</t>
  </si>
  <si>
    <t>Corregir CC a los  casos 31010548 - 31010549 en pensiones</t>
  </si>
  <si>
    <t>09/07/2025: El 8  de junio se realiza correciòn de la CC en los casos solicitados.</t>
  </si>
  <si>
    <t>INTERNO-JA004_1</t>
  </si>
  <si>
    <t>Mejoras de Performance y Validaciones</t>
  </si>
  <si>
    <t>18/11/2025: El viernes 14 de noviembre se realizaron mejoras de performance y validaciones, incluyendo la optimización de consultas y la depuración de datos. Entre los ajustes implementados se encuentran la eliminación de validaciones redundantes en resumenValidacionesGlobal, la mejora del resumen de procesamiento con conteos de validación, la validación de inconsistencias de ciudad en el procesamiento de facturas y la exclusión de registros con estado “10” en las consultas de distribución</t>
  </si>
  <si>
    <t>INTERNO-JA004_2</t>
  </si>
  <si>
    <t>Ajustes en Confirmación de Entrega de Lote</t>
  </si>
  <si>
    <t>Finalizar los ajustes pendientes en el sistema de confirmación de lotes procesados</t>
  </si>
  <si>
    <t>18/11/2025: Hoy se continuará con los ajustes del sistema de confirmación de entrega de lote, enfocando las actividades en completar las validaciones adicionales del proceso entregar_lote, mejorar la interfaz de confirmación y ejecutar las pruebas de integración end-to-end para validar el flujo completo, manteniendo el avance estimado en un 80%.
24/11/2025: Se continua con las pruebas para la entrega del lote. Se ajustó lógica de ciudades y probabilidades. Actualmente entregando lote tanto a almacenamiento como a auditoría; pruebas en curso.
26/11/2025: Los ajustes funcionales ya fueron aplicados y verificados. Falta ejecutar el ciclo completo de pruebas para validar el comportamiento en todos los escenarios del flujo</t>
  </si>
  <si>
    <t>GD772-159_2</t>
  </si>
  <si>
    <r>
      <rPr>
        <rFont val="Quattrocento Sans"/>
        <b/>
        <color theme="1"/>
      </rPr>
      <t>Ajuste en descargar volúmenes grandes</t>
    </r>
    <r>
      <rPr>
        <rFont val="Quattrocento Sans"/>
        <color theme="1"/>
      </rPr>
      <t xml:space="preserve"> (Valores de factura vs valores pendientes (validaciones del masivo) Gasto medico)</t>
    </r>
  </si>
  <si>
    <t>Se identificaron problemas en la lógica cuando los usuarios intentan descargar volúmenes grandes (más de 500 registros). Aunque se aplicó un ajuste rápido para permitir continuidad en pruebas, el componente aún falla en cargas altas. Se revisará la lógica para corregir errores en descargas masivas y depurar la validación de autorizaciones y estados</t>
  </si>
  <si>
    <t>10/12/2025: Se identificaron problemas en la lógica cuando los usuarios intentan descargar volúmenes grandes (más de 500 registros). Aunque se aplicó un ajuste rápido para permitir continuidad en pruebas, el componente aún falla en cargas altas. Se revisará la lógica para corregir errores en descargas masivas y depurar la validación de autorizaciones y estados
12/12/2025: El 11 de diciembre  se trabajó en el ajuste del tiempo de respuesta al momento de descargar el RPA, incrementándolo ligeramente para garantizar la correcta generación y disponibilidad del archivo.</t>
  </si>
  <si>
    <t>GD772-116_1</t>
  </si>
  <si>
    <t>Pruebas  gestión Medicamentos fase 2 - Sprint 2</t>
  </si>
  <si>
    <t>11/07/2025: Se inician pruebas del modulo de consulta en oficina virtual</t>
  </si>
  <si>
    <t>16/07/2025:Se evidencian mejoras orientadas a la experiencia de usuario. Se ha probado la marcación efectiva en la consulta del portal. Aún se encuentra pendiente la validación del módulo de gestión y la prueba de las cartas de respuesta</t>
  </si>
  <si>
    <t>18/07/2025: Se finalizan las pruebas y los ajustes por parte de Jesús sobre los hallazgos identificados.</t>
  </si>
  <si>
    <t>INTERNO-D007</t>
  </si>
  <si>
    <t>Validaciòn del CRONTAB / Tareas duplicadas</t>
  </si>
  <si>
    <t>14/07/2025: Se tomarán medidas de mitigación: inhabilitar el servicio CRONTAB, eliminar archivos de configuración y evitar reinicios automáticos que reactiven el proceso.</t>
  </si>
  <si>
    <t>16/07/2025. El incidente de duplicidad en tareas por CRONTAB se resolvió, era causado por una instancia duplicada.</t>
  </si>
  <si>
    <t>INTERNO-D008</t>
  </si>
  <si>
    <t>Vlidaciòn de herramientas IA (Google Cloud / Bolivar)</t>
  </si>
  <si>
    <t>03/09/2025: La revisión aún no ha sido iniciada. Se requiere programación de espacio de tiempo para ejecutar esta validación.
 07/11/2025: No se continúa utilizando herramientas alternas, el requerimiento se da por  cancelado.</t>
  </si>
  <si>
    <t>Se propuso investigar si es posible aprovechar herramientas de IA ofrecidas por Google, dado el contrato que Bolívar mantiene con ellos. Danilo asumirá esta tarea, con posible apoyo de Wilson para identificar contacto y canal apropiado.</t>
  </si>
  <si>
    <t>21/07/2025:Se Inicio validaciòn  de las herrramientas leer documentaciòn...</t>
  </si>
  <si>
    <t>23/07/2025: Se exploraron herramientas de Google con el fin de evaluar su integración en los flujos actuales. Si bien se identificó que podrían ser útiles para la gestión de procesos, aún no se ha logrado una funcionalidad concreta. Se requiere dedicar más tiempo a pruebas detalladas para validar su viabilidad.</t>
  </si>
  <si>
    <t>GD772-119</t>
  </si>
  <si>
    <t>Hablador ficha de solicitudes médicas</t>
  </si>
  <si>
    <t>Se requiere implementar un hablador en la ficha de solicitudes médicas</t>
  </si>
  <si>
    <t>21/07/2025:Se realiza implementación del hablador solicitado, A la espera del visto bueno del cliente para la implementación en produccion.</t>
  </si>
  <si>
    <t>21/07/2025: El día de ayer se realizó el paso a producción del hablador en el módulo de Solicitudes Médicas, cumpliendo con los ajustes planificados.</t>
  </si>
  <si>
    <t>GD772-120</t>
  </si>
  <si>
    <t>Bloqueo de facturas radicadas con información sensible y de manejo confidencialº</t>
  </si>
  <si>
    <t xml:space="preserve"> Se implementó una restricción inicial para que ciertas facturas solo sean visibles por usuarios autorizados; se requiere un módulo administrativo para gestionar esta configuración.
30/07/2025: Se tiene previsto iniciar el desarrollo el día de hoy
01/08/2025: Se encuentra en desarrollo un administrador para gestionar el bloqueo de facturas. Se ha implementado la lógica, pero falta probar la interfaz administrable. El avance fue estimado en un 60%
04/08/2025:Se escaló el control de cambios MDSB-858377 al ambiente de pruebas (test) y fue ejecutado correctamente. A continuación, se procederá con las pruebas en dicho entorno.
06/08/2025: Desarrollo en el ambiente de pruebas desde 4 de agosto.
11/08/2025: Pendiente implementación de otro control para asignar permisos solo a usuarios autorizados; se espera completarlo para pasar a pruebas en TEST.
12/08/2025: Se escala a test el control de cambios MDSB-862990, el cual se encontraba pendiente. Control de cambios ejecutado con exito.
13/08/2025: Se realizó un cambio en el bloqueo de facturas y se tiene pendiente subir un ajuste de código adicional antes de enviarlo a pruebas
20/08/2025: Se encuentra en fase de pruebas. Se ajustó la validación para permitir el ingreso de múltiples usuarios asociados a una factura. Se evalúa la mejor forma de almacenar esta relación (tabla relacional o arreglo).
22/08/2025: Pendiente modificación de query para permitir múltiples usuarios por factura (actualmente solo admite uno).
25/08/2025: Se identificó la necesidad de crear una tabla de relación muchos-a-uno para habilitar acceso de múltiples usuarios a una factura. El avance depende de la radicación de un ticket en JIRA.
27/08/2025: Pendiente solicitud de control  de cambios a test.
01/09/2025: Queda pendiente formalizar el Jira de control de cambios en test (Cambio Faltante).
01/09/2025: Se escala control de cambios MDSB-874296 para crear una nueva tabla llamada cm_factura_confidencial_usuario., Confirman que el control de cambios fue ejecutado correctamente.
05/09/2025: Se escala control de cambios MDSB-878302 en test para la creacion de la tabla ctas_medicas.cm_factura_confidencial_usuario.
08/09/2025: Se escala control MDSB-879140 reemplazando el MDSB-878302 ya que presento error en el script. 
12/09/2025: El desarrollo ya se encuentra desplegado en ambiente de pruebas (test) y está listo para realizar las validaciones correspondientes. Se requiere coordinar las pruebas con el equipo funcional para poder solicitar el control de cambios y pasarlo a producción.
18/09/2025: Se escala control de cambios a producción MDSB-893288
25/09/2025: El control de cambios aún se encuentra pendiente de aprobación por parte del QA del cliente.
01/10/2025: El Jira MDSB-893288 control de cambios  (radicado el 18 de septiembre) continúa pendiente de aprobación por parte de Ricardo Roa QA. Dado que la autorización es un requisito para avanzar
21/10/2025: Control de cambios completa aprobaciones y pasara a  validaciòn de comite de cambios digitales. 
22/10/2025: Control de cambios aplicado correctamente.
23/10/2025: Paso a producción  con exito.</t>
  </si>
  <si>
    <r>
      <rPr>
        <rFont val="Quattrocento Sans"/>
        <color theme="1"/>
        <sz val="10.0"/>
      </rPr>
      <t xml:space="preserve">MDSB-858377 / MDSB-862990/ MDSB-874296/ </t>
    </r>
    <r>
      <rPr>
        <rFont val="Quattrocento Sans"/>
        <color rgb="FFFF0000"/>
        <sz val="10.0"/>
      </rPr>
      <t xml:space="preserve">MDSB-878302 / </t>
    </r>
    <r>
      <rPr>
        <rFont val="Quattrocento Sans"/>
        <color theme="1"/>
        <sz val="10.0"/>
      </rPr>
      <t>MDSB-879140</t>
    </r>
  </si>
  <si>
    <t>MDSB-893288</t>
  </si>
  <si>
    <t xml:space="preserve">Iniciara hoy </t>
  </si>
  <si>
    <t>GD772-120_1</t>
  </si>
  <si>
    <t>Documentación técnica GD772-120 (Bloqueo de facturas radicadas con información sensible y de manejo confidencial)</t>
  </si>
  <si>
    <t>17/09/2025: Ducumentación tecnica entregada por Jairo
18/11/2025: Se ajusta documentación en el formato indicado y se adiciona al directorio designado,</t>
  </si>
  <si>
    <t>INTERNO-JA021</t>
  </si>
  <si>
    <t>Documento tecnico GD772-120 Bloqueo de facturas radicadas con información sensible y de manejo confidencial</t>
  </si>
  <si>
    <t>18/09/2025: Documento tecnico del desarrollo fue entregado el 17 de septiembre a pruebas.</t>
  </si>
  <si>
    <t>GD772-117</t>
  </si>
  <si>
    <t>Reporte glosas para la Superfinanciera (migración a lago de datos de los 2 informes de glosas (arl y salud)</t>
  </si>
  <si>
    <t>Entrega al cliente: 4/11/2025
Solicitamos disponer del reporte de glosa en el ambiente que pueda ser migrado al lago de datos de Seguros Bolívar, por cuanto es una de las fuentes principales para el reporte que se debe  transmitir cada mes a la Superfinanciera. Es importante que debe de traer todo el histórico de transacciones realizadas en Imagine.</t>
  </si>
  <si>
    <t>29/10/2025: Se escala control de cambios MDSB-920698 a test.
30/10/2025: Control de cambios ejecutado pendiente validación de desarrollo la creacion  de las tablas solicitdas
31/10/2025: El informe total de ARL fue mejorado para evitar duplicidad de valores; solo resta ajustar la lógica de repetición en los campos numéricos.
Los otros cuatro informes (RIPS, Glosas, Detallado L y Detallado Salud) ya cuentan con SQL listos y sin complejidad técnica.
Pendiente: Crear las tablas faltantes (una de ellas para el informe de detalle) y subir todos los informes a ambiente de test.
31/10/2025: Se escala nuevo control de cambios en test MDSB-921949 para la creación de las tablas informe_detallado_arl  y  informe_detallado_salud
04/11/2025: Control de cambios  ejecutado con exito.
05/10/2025: Se confirmó que el 4 de noviembre quedaron  todos los informes del Lago de Datos (Glosas, Detallado ARL, Detallado Salud y RIPS) ya se encuentran desplegados en ambiente de test 
Se entrega informe de Glosas para sus pruebas. 
Pendiente preparar y cuadrar el control de cambios para paso a producción, sujeto a aprobación del cliente.
19/11/2025 : Se escala control de cambios a producción MDSB-932138 y MDSB-932173.
24/11/2025: Los controles fueron aprobados por comite y ejecutados en la tarde como resultado exitoso para el  MDSB-932173 y se presento error en el script  del control MDSB-932138  para lo cual se debera escalar un nuevo control.
25/11/2025: Se escala nuevo control de cambios  MDSB-935841
01/12/2025: Control de cambios pendiente por aprobación de QA cliente.
03/12/2025: Control de cambios ejecutado con exito el 01 de diciembre
04/12/2025:  Control de cambios ejecutado con exito el 3 de diciembre.
05/12/2025: El requerimiento fue pasado a producción pero presenta un problema puntual con una fecha mal formateada en la data. Se corregirá un ajuste menor en el código. El resto del módulo asociado a largos de datos ya se encuentra en funcionamiento.
12/12/2025: El 8 de diciembre se ejecutaron y se corrigieron los errores presentados.</t>
  </si>
  <si>
    <t>MDSB-920698 / MDSB-921949</t>
  </si>
  <si>
    <r>
      <rPr>
        <rFont val="Quattrocento Sans"/>
        <color rgb="FFFF0000"/>
        <sz val="10.0"/>
      </rPr>
      <t>MDSB-932138</t>
    </r>
    <r>
      <rPr>
        <rFont val="Quattrocento Sans"/>
        <color theme="1"/>
        <sz val="10.0"/>
      </rPr>
      <t xml:space="preserve"> y MDSB-932173, MDSB-935841</t>
    </r>
  </si>
  <si>
    <t>GD772-117_1</t>
  </si>
  <si>
    <r>
      <rPr>
        <rFont val="Quattrocento Sans"/>
        <b/>
        <color theme="1"/>
      </rPr>
      <t>Documentación tecnica.</t>
    </r>
    <r>
      <rPr>
        <rFont val="Quattrocento Sans"/>
        <color theme="1"/>
      </rPr>
      <t xml:space="preserve"> Reporte glosas para la Superfinanciera (migración a lago de datos de los 2 informes de glosas (arl y salud)</t>
    </r>
  </si>
  <si>
    <t>12/12/2025: Se solicita docuemntación a Jairo
19/12/2025: Jairo confirma que la documentacion para este requerimiento es una sola, va con la generada  para el requerimiento GD772-163_1 EXPORTAR  RIPS PRESTADORES y  GD772-136_1 
. Reporte glosas para la Superfinanciera</t>
  </si>
  <si>
    <t>INTERNO-D009</t>
  </si>
  <si>
    <t xml:space="preserve">Script para uso de aplicaciones </t>
  </si>
  <si>
    <t xml:space="preserve">Se reallizar un script para analizar el uso de las aplicaciones por sitio.
21/07/2025: Se revisar el contexto del script y confirmar con Alejandro si ya está implementado correctamente en proteccion.
30/07/2025: Script implementado  en produccion el 24 de julio </t>
  </si>
  <si>
    <t>Se reallizar un script para analizar el uso de las aplicaciones por sitio.
21/07/2025: Se revisar el contexto del script y confirmar con Alejandro si ya está implementado correctamente en proteccion.</t>
  </si>
  <si>
    <t xml:space="preserve">30/07/2025: Script implementado  en produccion el 24 de julio </t>
  </si>
  <si>
    <t>INTERNO-D010</t>
  </si>
  <si>
    <t>Carga excesiva en servidor de portales</t>
  </si>
  <si>
    <t>23/07/2025: Se ha detectado una saturación de recursos en el servidor durante la ejecución de procesos masivos, particularmente durante el cargue de incapacidades. Este es un problema de comportamiento intermitente, asociado al procesamiento en tiempo real que realiza la aplicación. Actualmente, se está evaluando la posibilidad de enviar estos procesos a colas asíncronas como alternativa para reducir el impacto en los recursos del sistema. Sin embargo, esta solución podría afectar negativamente la experiencia del usuario final al introducir demoras perceptibles. Como medida prioritaria, se recomienda solicitar una ampliación de los recursos de infraestructura (memoria RAM y CPU), lo cual se considera la solución más adecuada para mantener la eficiencia del sistema sin comprometer la experiencia del usuario.
30/07/2025: El alto consumo de recursos en el portal ya fue analizado y explicado. No se requiere intervención adicional, por lo que este punto se considera cerrado.</t>
  </si>
  <si>
    <t>28/07/2025: Se analizará la justificación para ampliar recursos del servidor (actualmente con 3 GB RAM y 2 CPU) con el fin de mitigar alertamientos por alta carga.</t>
  </si>
  <si>
    <t>INTERNO-JA011</t>
  </si>
  <si>
    <t>Mejoras informe EPS</t>
  </si>
  <si>
    <t>23/07/2025: Se inició la validación del query asociado al informe EPS, con el objetivo de optimizar las consultas SQL involucradas. Esta optimización busca reducir el consumo de recursos y mejorar los tiempos de respuesta, manteniendo al mismo tiempo una estructura común y reutilizable para todos los informes. Como parte del plan de trabajo, se espera que el informe EPS esté ajustado y en producción antes del viernes.
25/07/2025: Se completó el query principal del informe EPS y se encuentra en fase de pruebas, con un avance estimado del 50%.
28/07/2025: Query principal terminado, se espera subirlo a producción para pruebas con datos reales hoy  antes del mediodía.
30/09/2025: El informe fue desplegado en producción con formato de prueba. Se corrigieron errores detectados durante la validación (especialmente en el formato de horas). Actualmente se encuentra en fase final de pruebas para habilitar completamente su funcionamiento.</t>
  </si>
  <si>
    <t>Se paso a produccion 29 de julio</t>
  </si>
  <si>
    <t>INTERNO-JE008</t>
  </si>
  <si>
    <t>Inconsistencia en cargue de proveedores Yii</t>
  </si>
  <si>
    <t>Al cargar un archivo que contiene varias filas con la misma cédula de ciudadanía (CC), solo se conserva o registra la última fila, y las anteriores se pierden del sistema.
25/07/2025:El día 24 de julio se realizaron los ajustes correspondientes a las validaciones, quedando el proceso de cargue completamente funcional en test</t>
  </si>
  <si>
    <t>MDSB-851497</t>
  </si>
  <si>
    <t>Jiras dia dia  Validar tipologia  Gestion Tercero Sin Poliza" no Genera informe por tipologia.</t>
  </si>
  <si>
    <t>25/07/2025: El 23 de julio se realizó la validación correspondiente y se identificó que el módulo no muestra información disponible para descarga, debido a que la tipología "Gestión Tercero Sin Póliza" no incluye en su flujo la actividad de generación de respuesta. Esta actividad es una condición necesaria para que una tipología sea considerada dentro del informe de tipologías</t>
  </si>
  <si>
    <t>INTERNO-JE029</t>
  </si>
  <si>
    <t>centralizar la ejecución de jobs en el servidor Laravel</t>
  </si>
  <si>
    <t>Se acordó centralizar la ejecución de jobs en el servidor Laravel (servidor público) y no en el servidor privado de portales, con el fin de evitar saturación, duplicidad de procesos y problemas de mantenimiento</t>
  </si>
  <si>
    <t>22/12/2025: El Viernes 19 de diciembre  se realizó la migración de dos colas desde Portales hacia Bolívar para centralizar la ejecución de procesos y evitar saturación. En ambiente local las pruebas fueron exitosas; en Test quedan pendientes validaciones adicionales. Una vez validado, en producción solo será necesario apagar la cola de Portales y realizar el cargue de prueba correspondiente
29/12/2025: La semana anterior se realizó la migración de una cola que estaba en portales hacia el servidor antiguo de Bolívar para evitar conflictos de despliegue. Se creó una nueva cola y se actualizó la configuración correspondiente. El pendiente es el despliegue en producción de dos ramas (Portales y Bolívar) y la recarga del archivo de configuración, actividad prevista para el día de hoy
Se realiza paso a producción con pruebas exitosas de parte de Danilo y Jesus.</t>
  </si>
  <si>
    <r>
      <rPr>
        <rFont val="Quattrocento Sans"/>
        <color rgb="FF434343"/>
        <sz val="10.0"/>
        <u/>
      </rPr>
      <t xml:space="preserve">https://github.com/Imaginesas/bolivar/compare/master...hotfix/copiarJobsPortales
</t>
    </r>
    <r>
      <rPr>
        <rFont val="Quattrocento Sans"/>
        <color rgb="FF1155CC"/>
        <sz val="10.0"/>
        <u/>
      </rPr>
      <t>https://github.com/Imaginesas/portales/compare/master...hotfix/quitarJobPortales</t>
    </r>
  </si>
  <si>
    <t>GD772-162</t>
  </si>
  <si>
    <r>
      <rPr>
        <rFont val="Quattrocento Sans"/>
        <b/>
        <color theme="1"/>
      </rPr>
      <t>Ajuste servicio de Olimpia</t>
    </r>
    <r>
      <rPr>
        <rFont val="Quattrocento Sans"/>
        <color theme="1"/>
      </rPr>
      <t xml:space="preserve"> - Registraduria  API</t>
    </r>
  </si>
  <si>
    <r>
      <rPr>
        <rFont val="Quattrocento Sans"/>
        <b/>
        <color theme="1"/>
        <sz val="11.0"/>
      </rPr>
      <t xml:space="preserve">Fecha de entrega al cliente: 16 de Enero de 2026
</t>
    </r>
    <r>
      <rPr>
        <rFont val="Quattrocento Sans"/>
        <color theme="1"/>
        <sz val="11.0"/>
      </rPr>
      <t xml:space="preserve">Implementar la integración con el servicio externo Olimpia para la validación de identidad ciudadana (registraduría).
El sistema deberá recibir, almacenar y gestionar los tokens de autenticación que provee Olimpia, garantizando seguridad y trazabilidad en los procesos de validación.
Se busca unificar el manejo de tokens utilizados en los diferentes módulos  en una sola tabla centralizada, evitando duplicidad de estructuras
</t>
    </r>
  </si>
  <si>
    <t xml:space="preserve">22/10/2025: Se Iniciara  tan pronto finalice el desarrollo del req  GD772-159 (Jira).
24/10/2025: El requerimiento será abordado por Wilson, quien reutilizará estructuras y rutas ya desarrolladas. Se debe crear una nueva tabla para almacenar tokens y marcar los asociados al servicio de Olimpia. Se coordinó con Jairo para brindar contexto técnico durante la implementación.
26/11/2025: Este requerimeinto es reasignado a Jesus .
19/12/2025: El requerimiento continuara a carga de Jairo, se solicita control de cambios en test MDSB-950030 
22/12/2025: Se finalizó la descarga y ajuste de información relacionada con la registraduría, incluyendo los centros de costo adicionales solicitados. Se encuentra lista para avanzar a la siguiente etapa, quedando pendiente únicamente el GIRA correspondiente para su paso formal.
El control de cambios MDSB-950030 se cnfirma ha quedado ejecutado en test.
23/12/2025: El 22 de diciembre se realiza justes en la integración con el servicio de consulta de la Registraduría se agregaron cambios para la autenticacion con olimpia y posterior manejo de respuesta. 
16/01/2026: Se realiza la entrega al cliente para pruebas y aprobación. Una vez validado, se solicita la gestión del control de cambios correspondiente para el ambiente productivo (PRD), con el fin de realizar el paso a producción.
19/01/2026: Cliente confirma aprobación de paso a producción, se procedera a escalar  control de cambios
20/01/2026: Se escala control de cambios a producción MDSB-963871.
21/01/2026: Control de cambios ejecutado correctamente, se realizara paso a producción.
22/01/2026: Se realiza paso a producciòn </t>
  </si>
  <si>
    <t xml:space="preserve">MDSB-950030 </t>
  </si>
  <si>
    <t>MDSB-963871</t>
  </si>
  <si>
    <t>GD772-162_1</t>
  </si>
  <si>
    <r>
      <rPr>
        <rFont val="Quattrocento Sans"/>
        <b/>
        <color theme="1"/>
      </rPr>
      <t>Documentación  tecnica_Ajuste servicio de Olimpia</t>
    </r>
    <r>
      <rPr>
        <rFont val="Quattrocento Sans"/>
        <color theme="1"/>
      </rPr>
      <t xml:space="preserve"> - Registraduria  API</t>
    </r>
  </si>
  <si>
    <t>20/01/2026: Tan pronto  se pase el requerimiento a producción se soicitaran los script a Jairo para elaborar la documentación  tecnica.
09/02/2026: Se solicita a los  scripts para realizar la documentación
11/02/2026: Se solicita a los  scripts para realizar la documentación.</t>
  </si>
  <si>
    <t>false</t>
  </si>
  <si>
    <t>GD772-146</t>
  </si>
  <si>
    <t>Doble factor de autentticación (Correo)</t>
  </si>
  <si>
    <t>Fecha de entrega al cliente: 14/11/2025
Doble factor de autenticación  
1. DESCRIPCIÓN DEL REQUERIMIENTO   
Se requiere crear un doble factor de autenticación como control de seguridad en   
ambientes de test y producción para todos los aplicativos (nativo, YII, laravel)  
1.2 OBJETIVO  
 Crear un doble factor de autenticación por correo electrónico  
1.3 EQUIPO DE TRABAJO  
Nombre Área  
Leidy Mayorga Administrativo  
2. REQUERIMIENTOS FUNCIONALES  
2.1 Creación de un doble factor de autenticación  
Se requiere que al momento de loguearse los aplicativos nativo, YII y laravel soliciten   
un doble factor de autenticación, el cual deberá ser remitido al correo electrónico   
registrado, teniendo en cuenta:  
1. Si el usuario únicamente está en nativo deberá tomar el correo electrónico   
registrado   
2. Si el usuario está en nativo y otro aplicativo (YII y laravel), deberá tomar el   
correo electrónico registrado en nativo y homologarlo en todos los aplicativo;   
garantizando que en todos los aplicativos tenga el mismo correo electrónico.  
3. Cuando se actualice un correo electrónico automáticamente se debe actualizar   
para el doble factor de autenticación.  
Una vez llegue el código del doble factor al correo electrónico, el usuario deberá   
registrarlo en el aplicativo para el acceso.  
El doble factor debe salir por Exchange.
SEGUROS BOLÍVAR S.A.  
OFICINA DE PROYECTOS (PMO)  
FORMATO ESPECIFICACIÓN DETALLADA DEL REQUERIMIENTO DE USUARIO   
FORMATO ESPECIFICACIÓN DETALLADA DEL REQUERIMIENTO _ Versión Septiembre 2012  
Este documento es propiedad intelectual de Seguros Bolívar S.A. Prohibido el uso, reproducción y/o distribución sin autorización de la compañía.  
2  
2.2 Omisión en listas blancas por usuario  
Se requiere que al momento de loguearse no solicite el doble factor de autenticación   
para los usuarios o IP que registran en las listas blancas, la omisión deberá aplicar para   
nativo, YII y laravel.   
Se debe poder incluir y eliminar IP y usuarios de la lista.  
Esto con el propósito de mantener los RPA actuales.  
2.3 Consulta listas blancas  
Se requiere que las restricciones de listas blancas sean identificadas, por lo cual es   
necesario que en el módulo de consulta registre:  
 IP o usuario  
 Fecha en la cual se registro  
 Usuario que registró  
 Estado (activo o inactivo de la lista blanca)  
Esto con el objetivo de conocer el estado de los usuarios e IP omitidas sin necesidad   
de consultar el usuario puntual , si no que muestre las existentes.</t>
  </si>
  <si>
    <t xml:space="preserve">27/10/2025: Iniciara con la configuración de los sitios en local 
31/10/2025: Se avanza en la implementación del segundo factor de autenticación con validaciones de usuario y contraseña operativas en Laravel.
Pendiente:
Ajustar el control del flujo de autenticación para evitar logueo sin validación.
Integrar el flujo de listas blancas (usuarios exentos del doble factor).
Definir tiempo de expiración del token según políticas de seguridad (30 minutos actuales deben revisarse). 
Se escala Control de cambios MDSB-921839 a test.
Control de cambios genero error  por lo cual se genero el MDSB-922162
04/11/2025: Control de cambios ejecutado con exito 
05/11/2025: Se continúa con el ajuste final del desarrollo en Laravel, una vez concluya las pruebas locales, procederá a migrar el desarrollo a los demás sitios uno a uno y dejarlo en ambiente de test, para posteriormente definir quién realizará el despliegue a producción.
07/11/2025: El 28 de octubre se envian HU  al cliente para su aprobación,Pendiente confirmación de tiempos de vigencia del token y unificación del proceso de autenticación. Enviada solicitud a Seguridad para definir tiempos de expiración
07/11/2025: Ciente confirma que el tiempo del token debe ser de 1 minuto y no autorizan la unificación del proceso de autenticación.
20/11/2025: Se realiza sesión con Wilson y Jesús para la entrega de los avances desarrollados por Wilson a Jesús.
Jesús continuará con la implementación de la autenticación por correo en los aplicativos Yii y Nativo, así como con la incorporación de las listas blancas correspondientes.
24/11/2025: Se integró el trabajo previo con la lógica del Authenticator ajustando tablas y unificando la validación para las tres aplicaciones. Queda pendiente aplicar estilos al correo del código de verificación. Funcionalidad general opera correctamente
25/11/2025: El 24 de noviembre se entrega desarrollo al cliente para sus pruebas y aprobación de paso a producción
26/11/2025: El cliente esta realizando pruebas ayer y hoy. La funcionalidad está estable; pendiente acompañamiento para resolver cualquier incidencia que se presente durante su validación.
07/01/2026: El cliente envía la relación de correos electrónicos actualizados para su respectiva validación y uso en el proceso.
08/01/2026: Cliente da visto bueno para  realizar paso a producción, se solicitar control de cambios a producción.
09/01/2026: Se escala control de cambios a produccion MDSB-958656
16/01/2026: El cliente adjunta al requerimiento las pruebas realizadas en test, el control de cambios avanza hacia las aprobaciones de  QA / PO / Jefatura.
20/01/2026: Control de cambios se encuentra pendiente  por aprobación  de Jefatura 
21/01/2026: Control de cambios ejecutado con exito,  se programa paso a producción para el 22 de enero.
22/01/2026: No es posible realizar el despliegue a producción ya que hay una regla de seguridad que no permitió abrir la URL por ser muy larga,
26/01/2026: Se solucionó el problema generado por la longitud de la URL. Se implementó un esquema basado en ID temporal encriptado, almacenando la información en tabla y transmitiendo únicamente el identificador. La solución ya funciona en Laravel y hoy  se implementara la soluciona en Yii y Nativo.
28/01/2026: El 27 de enero se completaron las pruebas del nuevo esquema de doble factor, reemplazando el envío de datos en la URL por un ID temporal encriptado almacenado en base de datos. El cambio ya fue validado en Nativo, Yii y Bolívar y se encuentra listo para pasar a producción, pendiente únicamente de nuevas pruebas por parte del cliente.
29/01/2026: Durante el seguimiento, el cliente informa que las pruebas fueron exitosas; sin embargo, surgió un error en la creación de un usuario, ya que en Nativo se registró con un correo y en Yii con otro. Indican que realizarán nuevamente la prueba y nos confirmarán la descripción del proceso y el error.
30/01/2026: Cliente informa que realiza pruebas y el error no volvio a salir, aprueba  pasa a producción.
02/02/2026: Se confirmó la autorización para pasar a producción. El despliegue quedó programado para realizarse hoy a las 5 pm.
03/02/2026: El 2 de febrero se realiza paso a produccion  con exito, </t>
  </si>
  <si>
    <r>
      <rPr>
        <rFont val="Quattrocento Sans"/>
        <color rgb="FFFF0000"/>
        <sz val="10.0"/>
      </rPr>
      <t>MDSB-921839 /</t>
    </r>
    <r>
      <rPr>
        <rFont val="Quattrocento Sans"/>
        <color theme="1"/>
        <sz val="10.0"/>
      </rPr>
      <t>MDSB-922162</t>
    </r>
  </si>
  <si>
    <t>MDSB-958656</t>
  </si>
  <si>
    <t>https://github.com/Imaginesas/bolivar/compare/master...feature/despliegue-login</t>
  </si>
  <si>
    <t>MDSB-962452</t>
  </si>
  <si>
    <r>
      <rPr>
        <rFont val="Quattrocento Sans"/>
        <color theme="1"/>
      </rPr>
      <t xml:space="preserve">GD772-146 Doble factor – </t>
    </r>
    <r>
      <rPr>
        <rFont val="Quattrocento Sans"/>
        <b/>
        <color theme="1"/>
      </rPr>
      <t>Actualización y unificación de correos en PRD</t>
    </r>
  </si>
  <si>
    <t>Se recibió el visto bueno del cliente y el listado definitivo de correos a actualizar, conservar o inactivar. Se definió que la información válida será la contenida en la tabla principal (Yii/nativo.
El ajuste se realizará mediante query de base de datos  garantizando la unificación de correos sin afectar la integridad de la información.</t>
  </si>
  <si>
    <t>16/01/2026: Querys ejecutados, correos iguales en las 4 db y usuarios inactivados en las 3 db porque en la de laravel habria que eliminarlos porque no tiene campo de inactivar</t>
  </si>
  <si>
    <t>GD772-168</t>
  </si>
  <si>
    <t>Nuevo proceso de incapacidades ARL fase 1</t>
  </si>
  <si>
    <r>
      <rPr>
        <rFont val="Quattrocento Sans"/>
        <color theme="1"/>
        <sz val="11.0"/>
      </rPr>
      <t xml:space="preserve">Orquestador de Incapacidades
</t>
    </r>
    <r>
      <rPr>
        <rFont val="Quattrocento Sans"/>
        <b/>
        <color theme="1"/>
        <sz val="11.0"/>
      </rPr>
      <t>Objetivo</t>
    </r>
    <r>
      <rPr>
        <rFont val="Quattrocento Sans"/>
        <color theme="1"/>
        <sz val="11.0"/>
      </rPr>
      <t xml:space="preserve">
Automatizar el flujo completo de radicación, validación, liquidación y confirmación de incapacidades en el entorno ARL, integrando los sistemas IMAGINE, TRONADOR y SISALUD ARL mediante un orquestador de procesos, reduciendo la intervención manual y los errores operativos.
Alcance
El desarrollo contempla:
Automatización de las etapas del proceso de incapacidades desde la radicación hasta la confirmación del giro de pago.
Integración de servicios y APIs entre IMAGINE, TRONADOR y SISALUD ARL.
Implementación de validaciones automáticas de negocio y reglas parametrizables.
Generación de trazabilidad de cada fase dentro del flujo en IMAGINE.
Comunicación automática con el cliente final según resultado del proceso.
Descripción funcional
1. Registro de incapacidad
El cliente accede al portal de ARL y registra la incapacidad en IMAGINE.
Se adjunta el soporte documental (PDF o imagen).
Se invoca un servicio de OCR que extrae variables clave del documento.
Los datos radicados se complementan automáticamente y se genera confirmación de radicación.
Se consulta el API de TRON para precargar datos de cuenta. Si no están actualizados, se permite su actualización en línea.
2. Análisis automático
El orquestador ejecuta reglas de validación para revisar consistencia y completitud de datos.
Si se detectan errores o excepciones, IMAGINE asigna el caso al analista correspondiente.
No requiere intervención manual estándar.
3. Radicación en SISALUD ARL
El orquestador identifica radicaciones en IMAGINE pendientes de procesamiento.
Consulta datos de póliza desde TRONADOR y SISALUD ARL.
Ejecuta validaciones de negocio y registra automáticamente la incapacidad en SISALUD ARL.
Devuelve el resultado a IMAGINE, actualizando el estado del flujo.
4. Liquidación
El sistema consulta datos desde el lago de datos y aplica reglas de liquidación.
Si el monto supera un parámetro configurado, el orquestador deriva el caso para revisión humana.
Reglas principales:
Validar por número de cédula si la última novedad laboral es retiro previo a la incapacidad → liquidar por flujo manual.
Si el siniestro presenta marca de fallo judicial, asignar automáticamente el caso al analista correspondiente.
5. Confirmación de pago
Mediante un API de validación, se confirma la creación y ejecución de órdenes de pago en SISALUD ARL.
Si la transacción es exitosa → IMAGINE notifica al cliente.
Si presenta error → IMAGINE notifica la incidencia y genera tareas pendientes para el analista.
Integraciones
IMAGINE: punto central del flujo, gestión documental y trazabilidad.
TRONADOR: consulta de pólizas y datos de terceros.
SISALUD ARL: radicación, liquidación y generación de órdenes de pago.
OCR Service: lectura y extracción de datos del soporte de incapacidad.
Orquestador de procesos: componente central de automatización e integración.
Parámetros configurables
Monto máximo para liquidación automática.
Reglas de validación de negocio.
Reintentos y tiempos de espera para cada API.
Mensajes automáticos de notificación al cliente.
Beneficios esperados
Reducción significativa del tiempo de gestión de incapacidades.
Eliminación de reprocesos manuales y errores de digitación.
Mejora en la trazabilidad y control del proceso.
Optimización de la experiencia del cliente final.</t>
    </r>
  </si>
  <si>
    <t>PENDIENTE CLIENTE</t>
  </si>
  <si>
    <r>
      <rPr>
        <rFont val="Quattrocento Sans"/>
        <color theme="1"/>
        <sz val="10.0"/>
      </rPr>
      <t xml:space="preserve">19/12/2025: Jesus estima 6 dias de desarrollo
22/12/2025: Se pretende dar comienzo al desarrollo el 29 de Diciembre
29/12/2025: Se plantearon dos alternativas: consumo directo desde Arabel O uso de Python como intermediario. Se acordó evaluar ambas opciones en pruebas para definir la más eficiente y sostenible, considerando mantenibilidad y complejidad operativa.
02/01/2025: Durante la semana se avanzó en pruebas técnicas basadas en los insumos enviados por el sr Hernan (PDFs y prompts). Se realizaron pruebas locales, creación de tablas y validaciones iniciales. El resultado actual no refleja completamente la expectativa del cliente, y se considera que podría requerir un replanteamiento parcial o total. El enfoque actual es experimental y altamente dependiente del uso de prompts, lo que limita el control del desarrollo. Se presentará el avance para recibir definición y lineamientos.
05/01/2026: Despues de realizar algunas pruebas con gerencia el 2 de enero se acuereda el  esarrollo del módulo de incapacidades bajo un enfoque incremental, trabajando requerimiento por requerimiento mediante prompts controlados, validaciones funcionales y reutilización de scripts existentes, priorizando el entendimiento completo del flujo antes de avanzar al siguiente punto, el cual presenta un  avance aproximado del 30%.
07/01/2026: Se encuentra en la implementación de los estilos definidos en el Figma entregados por Jenry.
09/01/2026: Se encuentra en análisis la estrategia técnica para el almacenamiento de logs de consumo de APIs, Se tiene prevista la entrega de una primera parte funcional del desarrollo en el día de hoy.
14/01/2026: Se trabaja en la construcción de la bandeja administrativa solicitada, reemplazando el botón de IA por una funcionalidad que permite visualizar el historial de respuestas del API, adicional   se radica jira </t>
    </r>
    <r>
      <rPr>
        <rFont val="Quattrocento Sans"/>
        <b/>
        <color theme="1"/>
        <sz val="10.0"/>
      </rPr>
      <t xml:space="preserve">MDSB-960532  </t>
    </r>
    <r>
      <rPr>
        <rFont val="Quattrocento Sans"/>
        <color theme="1"/>
        <sz val="10.0"/>
      </rPr>
      <t>debido</t>
    </r>
    <r>
      <rPr>
        <rFont val="Quattrocento Sans"/>
        <b/>
        <color theme="1"/>
        <sz val="10.0"/>
      </rPr>
      <t xml:space="preserve"> a</t>
    </r>
    <r>
      <rPr>
        <rFont val="Quattrocento Sans"/>
        <color theme="1"/>
        <sz val="10.0"/>
      </rPr>
      <t xml:space="preserve"> limitaciones de acceso en el ambiente de pruebas en el consumo del OCR.
16/01/2026: Se desplegó en ambiente de pruebas la segunda consulta de la Fase 2 de incapacidades (lago de datos), incluyendo el comando de ejecución y la vista con secciones diferenciadas. Actualmente está pendiente el almacenamiento de la respuesta para mantener trazabilidad. Se estima la entrega de los demas consumos para el 23 de enero.
21/01/2026: Se subió a ambiente de pruebas (TEST) todo el avance del portal de incapacidades, incluyendo el módulo OCR. Adicionalmente, se inició el desarrollo del tercer consumo del proceso (posterior a Data Lake), evidenciando un avance sostenido. El equipo se declara en ruta para presentar avances consolidados hacia el viernes.
26/01/2026: El viernes 23 de enero se presentaron los avances del proyecto a Jenry y Liyibet. Como resultado de la sesión, quedaron definidos los siguientes ajustes, los cuales se abordarán una vez finalicen las actividades del requerimiento de doble factor de autenticación:
1.Ajustar el campo Tipo de persona que radica para que sea un combo (IPS, empleador, etc.).
2.Incluir la autorización de tratamiento de datos personales en la primera vista del portal.
3.Incorporar plantillas de respuesta para los casos.
4.Mejorar la visual reduciendo la barra de búsqueda en la ventana de gestión.
5.Cambiar el label del portal por “Empresa”.
6.Apuntar el API de cuenta al campo Número de empresa.
7.Agregar el campo Cuenta en la trazabilidad, ubicado sobre el número de radicado Sisalud (trazabilidad estándar de la actividad Radicar IT).
8.Realizar validaciones utilizando datos de prueba.
28/01/2026: Se escala control de cambios a test MDSB-969303.
El OSR de incapacidades fue desplegado inicialmente en TEST, pero debido a bloqueos del ambiente solo funcionó vía Postman. Posteriormente se subió a producción, donde ya opera correctamente. Queda pendiente un ajuste visual menor de renderizado al cargar archivos. Por limitaciones técnicas entre ambientes, actualmente producción está apuntando a APIs de Stage para continuar pruebas, implementando controles (NIT fijo de pruebas) para evitar contaminación de datos reales y reportes. 
Control de cambios ejecutado con exito.
30/01/2026: Se realizaron ajustes técnicos relevantes para mejorar la estabilidad del proceso de lectura de documentos PDF. Inicialmente, el sistema ejecutaba múltiples consultas simultáneas al servicio externo (una por cada archivo cargado), lo que generaba errores de timeout al procesar varios documentos. Para mitigar este comportamiento, se modificó la lógica de ejecución a un esquema secuencial, permitiendo procesar los archivos uno a uno y mostrar resultados progresivos, garantizando que, aunque algún documento falle, el resto del proceso continúe.
Actualmente, el principal bloqueo no corresponde al desarrollo interno, sino a la intermitencia del endpoint externo utilizado para la lectura de PDFs, el cual presenta comportamientos inconsistentes (en algunos momentos responde correctamente y en otros no devuelve resultados, incluso desde Postman). Esta situación ha impedido realizar una demostración estable al cliente.
02/02/2026: Se completó el envío de la plantilla correspondiente al paso de pago, integrando este punto al flujo normal de gestión de incapacidades.
Se muestra proceso de radicación en el Portal al cliente para que inicie sus pruebas , y se esta al pendiente de la validación del funcionamiento del OCR ya que esta intermitente.
24/02/2026: se envió estimado de incapacidades por minuto para realizar parametrización del OCR. En este momento la tarea está a cargo del cliente.
25/02/2026: Se entregan a Imagine nuevas URLs del API  e imagine debe general algunos ajustes  para que el  cliente  pueda volver a probar.
27/02/2026: El 26 de febrero quedan los  ajustes  solicitados, OCR esta funcionando en test y produccion
05/03/2026: Se  escala control de cambios en test MDSB-995488 para  la creación o actualización de la vista view_empresas_inc, la cual consolida información de empresas y datos capturados en procesos de radicación de incapacidades.
Control de cambios ejecutado correctamente.
13/03/2026: El cliente no  ha podido validar debido a problemas del lado de infraestructura y tecnología, específicamente:
Cambios de IP del servicio OCR.
Problemas de DNS.
Errores en el DataLake que elimina el histórico de información.
Esto ha impedido ejecutar pruebas funcionales.
18/03/2026: Jenry envia el nuevo API para el OCR ya que se debe cambiar .
20/03/2026: El cambio del API quedo ayer, incluyendo la funcionalidad para consultar los casos que no contaban con permiso de radicación y su envío al flujo normal; el desarrollo se encuentra prácticamente finalizado, quedando únicamente un ajuste menor en la vista relacionado con validaciones, el cual será resuelto para dar cierre definitivo
26/03/2026: El desarrollo e implementación de la API de OCR para incapacidades se encuentra finalizado y validado a nivel interno; actualmente el avance depende de acciones por parte del cliente, quien indicó que durante la jornada realizará el despliegue de las APIs en su entorno, por lo que el equipo se encuentra a la espera de la publicación de estos servicios y del envío de los endpoints correspondientes para proceder con la configuración de la integración, pruebas en ambiente y posterior habilitación en producción.
31/03/2026: El 27 de marzo  se implementaron los ajustes necesarios en las APIs existentes, logrando su correcto funcionamiento en producción. Actualmente, las integraciones previas están operativas y alineadas con los cambios solicitados. 
Inclusión de nuevos campos obligatorios.
Adaptación a cambios en estructura de datos.
09/04/2026: Imagine completo  las pruebas funcionales de extremo a extremo del flujo OCR asociado al proceso de incapacidades. El desarrollo quedó validado y funcional en producción.
14/04/2026: Se identificó el principal problema: tiempo de respuesta (20–25 seg por registro). Se evaluaron alternativas:
- Procesamiento en cola (background)
- Procesamiento paralelo
- Respuesta asincrónica con notificación
Aún en fase de definición técnica.
16/04/2026: Se require implementar mensaje informativo que se muestra dentro de una franja horaria específica, La lógica técnica ya se encuentra desarrollada; sin embargo, está pendiente la definición del contenido del mensaje y la franja horaria exacta por parte del negocio.</t>
    </r>
  </si>
  <si>
    <t>MDSB-969303 / MDSB-995488</t>
  </si>
  <si>
    <t>Jenry 10/02/2026</t>
  </si>
  <si>
    <t>https://github.com/Imaginesas/portales/compare/master...feature/copiaIncapacidadApiOcr?expand=1</t>
  </si>
  <si>
    <t>GD772-168_3</t>
  </si>
  <si>
    <t>Mejora OCR Incapacidades — formulario manual</t>
  </si>
  <si>
    <t>04/03/2026: Se desarrolló un formulario completo para ingreso manual cuando falla el OCR, evitando redireccionar al sistema antiguo.
El flujo continúa normalmente después del ingreso manual.
Se encuentra en ambiente de test pendiente validación final antes de producción.</t>
  </si>
  <si>
    <t>INTERNO-JE030</t>
  </si>
  <si>
    <t xml:space="preserve">Visor en nativo para reporte Inconsistencias en correos certificados de 472 </t>
  </si>
  <si>
    <t>29/12/2025: Alcanzando un avance estimado del 80%. La solución se construyó de forma independiente a componentes sensibles existentes, reutilizando lógicas probadas de reportes diarios. Se definió que la consulta se ejecute directamente sobre scripts para asegurar buen rendimiento
Visor  terminado en la siguiente  ruta de Nativo, Mariposita / Administracion / Control Operaciones /  Operacion / Dia a Dia / Consulta Envios 472</t>
  </si>
  <si>
    <t xml:space="preserve"> GD772-185</t>
  </si>
  <si>
    <t xml:space="preserve">Ocultar  modulo Incapacidades  temporalmente </t>
  </si>
  <si>
    <t>Se requiere  que si el usuario ingresa a la oficina virtual al modulo de incapacidades el día 31/12/2024 desde las 10:01:00 hasta las 23:59:00 del mismo día, no visualiza el   
módulo mencionado, por lo cual no puede realizar la radicación de información para este módulo.  
De igual manera el 1/01/2025 desde las 00:01:00 deberá poder visualizar nuevamente la información sin novedad para   
radicación.</t>
  </si>
  <si>
    <t>31/12/2025: Se ocultara el modulo de incapacidades desde la 10 am hasta las 24 horas del 31 de diciembre</t>
  </si>
  <si>
    <t>https://github.com/Imaginesas/portales/compare/master...feature/ocultarBotonInc?expand=1</t>
  </si>
  <si>
    <t>GD772-177_4</t>
  </si>
  <si>
    <t>Oficina entidades- Ajuste de notificacion de radicados desde el portal con adjuntos que superan los 20 MB</t>
  </si>
  <si>
    <t>Se requiere ajustar el proceso de notificación de radicados generados desde el portal de Oficina Entidades, cuando los archivos adjuntos asociados a un mismo radicado, en conjunto, superen el límite de 20 MB.</t>
  </si>
  <si>
    <t>07/01/2026: Se presenta al cliente la siguiente alternativa para ajustar el proceso: enviar al usuario la confirmación del radicado que actualmente se genera, adicionando un enlace que permita acceder a las imágenes adjuntas que fueron cargadas a través del portal de juntas. Para la implementación de esta opción es necesario contar previamente con el visto bueno del área de Seguridad. Quedamos a la espera de su confirmación para continuar con la implementación.
08/01/2026: Cliente informa que por el momento se realice el envio del correo sin adjuntos cuando estos superen las 25 MB.
14/01/2026: El 13 de enero Se reenviaron manualmente 15 correos que no habían sido entregados por superar el límite de tamaño permitido. Adicionalmente, se desarrolló un ajuste en el código para evitar el envío de adjuntos cuando superen los 23 MB, priorizando la entrega del correo.El  cambio se encuentra en test para realiza pruebas.
Se realizan ajustes adicionales y las pruebas fueron exitosas, se realiza paso a producción.
16/01/2026: Se informó una directriz del cliente relacionada con riesgos de protección de datos, indicando que no se deben enviar URLs de imágenes ni adjuntos en correos de Juntas. No se otorgó aval para cambios adicionales ni para el manejo de archivos superiores a 25 MB. Por el momento, el comportamiento del sistema se mantiene sin modificaciones, a la espera de una instrucción formal por parte del cliente.</t>
  </si>
  <si>
    <t>MDSB-957854</t>
  </si>
  <si>
    <r>
      <rPr>
        <rFont val="Quattrocento Sans"/>
        <color theme="1"/>
      </rPr>
      <t xml:space="preserve">Jiras día a día - </t>
    </r>
    <r>
      <rPr>
        <rFont val="Quattrocento Sans"/>
        <b/>
        <color theme="1"/>
      </rPr>
      <t>Bolqueo de radicación de autorizaciones con el mismo solicitante</t>
    </r>
  </si>
  <si>
    <t>“DESPUES DE CARGAR VARIOS ARCHIVOS DE UN MISMO TRABAJADOR, ME SLAE UN MENDAJE QUE DICE QUE NO SE PROCESAN SOLICITUDES“
Buenos días,
Por lo general en esta oficina se acercan los trabajadores a radicar varias solicitudes en una sola visita, cuando ya llevo varios radicados con el mismo numero de cedula, me sale como si estuviera radicado, pero me muestra el radicado anterior y cuando diligencio todos los datos nuevamente y está todo listo, me sale el mensaje de no se procesan solicitudes, adjunto fotos del mensaje.</t>
  </si>
  <si>
    <t>08/01/2026: Tras las pruebas realizadas se identifica  que el sistema está bloqueando las radicaciones realizadas con los mismos datos del solicitante. Únicamente permite registrar una radicación; en los intentos posteriores muestra el mismo número de radicado generado inicialmente y, tras varios intentos, presenta el mensaje: “No se procesaron las solicitudes”. El caso se encuentra en cola de trabajo para su validación 
09/01/2026: El ajuste de autorizaciones permanece identificado como pendiente y requiere una dedicación específica. Su atención ha sido postergada debido a la prioridad asignada req GD772-168 Nuevo proceso de incapacidades ARL
14/01/2026:El 13 de enero se realizó un ajuste en la consulta implementada, la cual estaba generando el bloqueo de las radicaciones realizadas con los mismos datos del solicitante.</t>
  </si>
  <si>
    <t>MDSB-957854_1</t>
  </si>
  <si>
    <r>
      <rPr>
        <rFont val="Quattrocento Sans"/>
        <color theme="1"/>
      </rPr>
      <t xml:space="preserve">Jiras día a día - </t>
    </r>
    <r>
      <rPr>
        <rFont val="Quattrocento Sans"/>
        <b/>
        <color theme="1"/>
      </rPr>
      <t>Bolqueo de radicación de autorizaciones con el mismo solicitante</t>
    </r>
  </si>
  <si>
    <t xml:space="preserve">08/01/2026: Se realiza validación con la usuaria y se evidencia que el sistema está bloqueando las radicaciones realizadas con los mismos datos del solicitante. Únicamente permite registrar una radicación; en los intentos posteriores muestra el mismo número de radicado generado inicialmente y, tras varios intentos, presenta el mensaje: “No se procesaron las solicitudes”.
Se escala incidencia a Jesus  para su validación.. </t>
  </si>
  <si>
    <t>INTERNO-JE027</t>
  </si>
  <si>
    <t xml:space="preserve">Cambio de 77 casos a la tipología otro tipo de solicitud código - 10182 </t>
  </si>
  <si>
    <t>Colocar los siguientes  casos con la tipología otro tipo de solicitud código - 10182 al usuario gestor prioritario CC  7777777</t>
  </si>
  <si>
    <t xml:space="preserve">23/01/2026: Casos actualizados </t>
  </si>
  <si>
    <t>GD772-168_4</t>
  </si>
  <si>
    <t>Errores ocr incapacidades</t>
  </si>
  <si>
    <t>Problema identificado
La vista estaba presentando:
Alto tiempo de carga
Consumo innecesario de recursos
Causa raíz:
La vista cargaba todas las tabs simultáneamente (4 consultas) al iniciar
Patrón repetido en varias vistas del sistema (Laravel + componentes JS)
Comportamiento tipo:
render inicial → múltiples queries → sobrecarga</t>
  </si>
  <si>
    <t>21/04/2026: El 20 de abril se implementó una solución basada en carga bajo demanda (lazy loading), permitiendo que cada tab se consulte únicamente cuando el usuario lo selecciona, reduciendo significativamente los tiempos de respuesta y el consumo de recursos. La solución fue validada en pruebas y ya se encuentra desplegada en producción, evidenciando una mejora notable en el desempeño.</t>
  </si>
  <si>
    <t>GD772-212</t>
  </si>
  <si>
    <t>Orquestación Asíncrona con IA, Encolamiento y Estrategia de Reintentos para APIs</t>
  </si>
  <si>
    <t>Descripción del Requerimiento
Se requiere implementar un flujo integral para la gestión automatizada de incapacidades, que permita optimizar la radicación, procesamiento, validación y seguimiento de los casos mediante un esquema asíncrono, soportado por capacidades de inteligencia artificial (OCR), integración con APIs externas y mecanismos de resiliencia.
El sistema deberá permitir la generación inmediata de un número de radicado al momento de la carga de documentos por parte del usuario, evitando tiempos de espera en pantalla. Posteriormente, los documentos serán gestionados mediante un modelo de procesamiento encolado, donde la información será analizada en segundo plano a través de servicios de OCR o intervención de analistas, garantizando la continuidad del flujo sin afectar la experiencia del usuario.
Adicionalmente, se deberá habilitar la capacidad de que los analistas o auditores puedan reincorporar manualmente casos al flujo automático, marcándolos como listos para pago, lo que activará nuevamente las integraciones necesarias para su radicación, liquidación y autorización según corresponda.
El flujo deberá contemplar un esquema robusto de integración con APIs (radicación, liquidación, DataLake, OCR), incorporando mecanismos de reintentos automáticos parametrizables, manejo de errores técnicos y funcionales, así como la derivación controlada a gestión manual en caso de fallas persistentes. Cada intento y error deberá quedar registrado para garantizar la trazabilidad y facilitar el diagnóstico.
Finalmente, el sistema deberá disponer de un reporte detallado de trazabilidad, que permita consultar el estado y recorrido de cada radicado a lo largo de todas las etapas del proceso (automáticas y manuales), incluyendo su resultado final (pago o devolución). Esto permitirá a los usuarios de control y gestión monitorear el desempeño del sistema, identificar cuellos de botella y asegurar la correcta gestión de las incapacidades.</t>
  </si>
  <si>
    <t>30/04/2026: El 29 de abril se inició el desarrollo del nuevo esquema de encolamiento para la radicación de incapacidades, con un avance aproximado del 20%. Se está rediseñando la lógica para que las tareas se disparen desde portales, pero se ejecuten en el servidor de Bolívar, considerando la capacidad de procesamiento requerida. Se avanzó principalmente en análisis técnico y ajustes iniciales en bandejas y vistas.
05/05/2026: Se completó el diseño de la arquitectura (Portal → creación de casos, Cola → gestión del procesamiento, Servidor Bolívar → ejecución del procesamiento) y se avanzó de forma parcial en la implementación, incluyendo la creación de casos desde el portal y el encolamiento inicial; adicionalmente, se inició el desarrollo de la lógica de procesamiento.
Se presentan bloqueos debido a que TES no puede consumir APIs externas, lo que impide validar la lectura de la cola y genera dependencia de permisos externos.
07/05/2026: El 6 de mayo se realizaron pruebas en producción del encolamiento de casos. La cola fue registrada en Ecosystem y ya procesa correctamente los casos. Se ejecutaron pruebas completas y limpieza de datos de prueba..</t>
  </si>
  <si>
    <t>GD772-168_5</t>
  </si>
  <si>
    <t>Botón consulta lago de datos</t>
  </si>
  <si>
    <t>30/04/2026: El 29 de abril se implementó un nuevo botón que permite consultar información en el lago de datos sin ejecutar procesos, con el objetivo de validar previamente la existencia de datos antes de procesar casos. Este desarrollo ya fue desplegado en TEST y producción. Sin embargo, se reporta una posible incidencia en producción donde no se están visualizando casos en bandeja, lo que requiere validación para descartar afectaciones derivadas de este cambio.</t>
  </si>
  <si>
    <t>GD772-212_1</t>
  </si>
  <si>
    <t>Nueva vista de gestión para manejo manual de incapacidades.</t>
  </si>
  <si>
    <t>Desarrollar vista, formularios, botón de reproceso y lógica de actualización manual de casos donde el OCR falle o existan campos obligatorios incompletos.</t>
  </si>
  <si>
    <t>07/05/2026: Para hoy quedó planificada la siguiente fase del desarrollo, enfocada en una nueva vista de gestión (Laravel) para manejo manual de casos donde el OCR falle o existan campos obligatorios incompletos.
12/05/2026: Se avanzó significativamente en una nueva funcionalidad para permitir la gestión manual de incapacidades que fallen durante el proceso OCR. La solución permitirá que un gestor valide o complete manualmente campos faltantes para continuar el flujo automático del proceso. También se definió que el usuario podrá visualizar el documento y corregir información antes de continuar con el procesamiento automático. Actualmente el desarrollo está a la espera de plantillas y definiciones funcionales que serán entregadas al Jenry por parte del cliente.
26/05/2026: Se reanuda desarrollo  con la creación y envío del correo al usuario informando las incapacidades que se encontraban pendientes por validación por parte del analista, así  ajustes visuales  en la nueva  vista  de gestion.
28/05/2026: El 27 de mayo se finalizó el desarrollo y fue desplegado en ambiente de producción  oculto a los  usuarios para  iniciar  las pruebas funcionales completas, validación de generación de casos y revisión de correos/notificaciones asociadas.
02/06/2026: La vista para gestión manual de casos quedó implementada en producción. El proceso de encolamiento está funcionando correctamente y ya se identificaron 46 casos pendientes de gestión. Se incorporaron mejoras para facilitar la edición manual de información, cálculo automático de fechas y marcación automática de registros completados.</t>
  </si>
  <si>
    <t>GD772-168_6</t>
  </si>
  <si>
    <t>Ampliación del Reporte de Trazabilidad del Flujo de Incapacidades.</t>
  </si>
  <si>
    <t>Realizar ajustes al reporte de seguimiento de incapacidades para incluir el detalle del comportamiento de cada radicado a través de las integraciones y servicios involucrados en el proceso. El reporte deberá permitir identificar el resultado obtenido en cada etapa de procesamiento (OCR, Radicación y Liquidación), así como determinar si la gestión fue ejecutada de manera automática o requirió intervención manual. Esta mejora busca fortalecer la trazabilidad operativa, facilitar el análisis de fallas y proporcionar mayor visibilidad sobre el recorrido de cada caso dentro del flujo de atención.
Alcance funcional:
Incorporar columnas que indiquen el resultado de cada integración:
OCR (Exitoso, Fallido, Lectura incompleta).
Radicación DataLake (Exitoso, Fallido, No aplicado).
Radicación Sisalud (Exitoso, Fallido, No aplicado).
Liquidación DataLake (Exitoso, Fallido, No aplicado).
Liquidación Sisalud (Exitoso, Fallido, No aplicado).
Identificar si el procesamiento del caso fue Automático o Manual.
Indicar si la ejecución automática fue realizada en el primer intento o mediante reintentos.
Permitir diferenciar los casos que requirieron gestión manual por agotamiento de reintentos o aplicación de reglas de negocio.</t>
  </si>
  <si>
    <t>09/06/2026: Las actividades iniciarán una vez finalice el desarrollo  del Botón de Devolución de Casos desde Gestión OCR.
11/06/2026: El 10 de junio Inicio con los ajustes a l informe de incapacidades.
16/06/2026: El 12 de Junio se entrego  se finalizo el desarrollo y entregó un informe especial solicitado para la gestión de incapacidades OCR. El informe fue entregado para validación y revisión funcional a jenry. Según la retroalimentación inicial, el resultado cumple con lo solicitado y actualmente no existen actividades adicionales asociadas, salvo posibles ajustes o mejoras que puedan surgir en futuras revisiones con el cliente.
El informe se entregara al cliente el proximo 22 de Junio</t>
  </si>
  <si>
    <t>GD772-168_7</t>
  </si>
  <si>
    <t>Botón de Devolución de Casos desde Gestión OCR.</t>
  </si>
  <si>
    <t>Implementar una funcionalidad de devolución directa de radicados desde la pantalla de gestión de actividades OCR, permitiendo a los usuarios generar devoluciones sin necesidad de trasladar el caso a etapas posteriores del flujo. La solución deberá reutilizar las mismas causales parametrizadas en la bandeja de analista, garantizar la actualización inmediata del estado del radicado, registrar la trazabilidad de la gestión realizada y ejecutar automáticamente el proceso de notificación correspondiente al usuario o empresa involucrada.
Alcance funcional:
Incorporación del botón "Generar Devolución" en la gestión OCR.
Homologación de causales de devolución con la bandeja de analista.
Actualización automática del estado y cierre de la actividad OCR.
Registro de auditoría (fecha, hora, usuario y causal).
Disparo automático del proceso de notificación asociado a la devolución.</t>
  </si>
  <si>
    <t>09/06/2026: Se está desarrollando una funcionalidad que permitirá devolver casos de incapacidad desde el sistema, generando notificaciones por correo electrónico y aplicando plantillas específicas según la causal de devolución. El principal reto actual es la validación de las distintas plantillas requeridas para cada causal.
11/06/2026: Boton  finalizado  e implementado en producciòn  el 10 de  Junio.</t>
  </si>
  <si>
    <t>GD772-168-2</t>
  </si>
  <si>
    <t>Nuevo proceso de incapacidades ARL fase 2</t>
  </si>
  <si>
    <t>INTERNO-JE031</t>
  </si>
  <si>
    <t>Actualizacion Nativo-  Autenticación, Consulta Inicial , gestion de Casos y proceso Masivo</t>
  </si>
  <si>
    <t>Diseñar y desarrollar un nuevo aplicativo que reemplace progresivamente la solución actual Nativo, con el objetivo de contar con una plataforma unificada, flexible y mantenible que permita gestionar de punta a punta los procesos operativos: creación de casos desde los portales, gestión interna, asignación por roles, seguimiento, consultas y generación de reportes.
El nuevo aplicativo debe cubrir el flujo completo del negocio, desde la radicación inicial hasta el cierre del caso, incorporando controles de trazabilidad, perfiles de usuario y visualización de información consolidada, eliminando las limitaciones técnicas y funcionales del sistema actual.
Alcance inicial (MVP):
Creación y radicación de casos desde portales.
Módulo de gestión interna de casos.
Asignación por roles y perfiles (administrador, gestor, consulta).
Bandejas de trabajo y estados del caso.
Consulta y trazabilidad del proceso.
Módulo básico de reportes.
Interfaz moderna (uso de Tailwind).
Objetivo:
Contar con un producto funcional de punta a punta que permita demostrar el flujo completo al cliente, sirviendo como base para la evolución progresiva del sistema y la migración controlada desde Nativo.</t>
  </si>
  <si>
    <t xml:space="preserve">04/02/2026: Se encuentra en fase de levantamiento de alcance, definición de módulos principales (radicación, gestión, roles, consulta y reportería) y programación de sesiones adicionales para aterrizar reglas de negocio y priorización de funcionalidades.
06/02/2026: Se completó la conexión con las variables de entorno y se habilitó el API de login en local. Se garantizó que el token de seguridad mantenga la misma persistencia de sesión que el sistema de Bolívar 
09/02/2026: Se avanzó significativamente en el desarrollo inicial del nuevo aplicativo. Ya se cuenta con login funcional (100%) y panel administrativo operativo, incluyendo menú lateral. Se inició la construcción del módulo de consulta de casos, con visualización de detalle similar al Nativo actual para reducir impacto visual al usuario. El avance de este frente se estima alrededor del 30% en la etapa de ingreso y consulta; el siguiente paso es completar la gestión del caso para poder presentar un flujo completo al cliente en el corto plazo.
11/02/2026: Actualmente ya se encuentra funcional la Consulta de caso real, Visualización de información básica del caso y Visualización de trazabilidad. Se comenzara a trabajar en la fase de gestión del caso.
13/02/2026: El avance se encuentra en fase de construcción de vistas y endpoints base.
17/02/2026: Se esta  terminando la consulta general y  se pretende  iniciar la migración de  masivos
18/02/2026: Consulta general desarrollada para mostrar más datos; falta implementar completamente la lógica por roles, e iniciara la renovacion de masivos
20/02/2026: El desarrollo del flujo completo de masivos (incluyendo envío de correo) fue finalizado en ambiente local. Pendiente ejecución de pruebas integrales para la presentación.
La consulta fue implementada enfocada en la sección principal de casos. La gestión se considera funcional para demo, quedando ampliaciones por roles y otros módulos para fases posteriores.
23/02/2026: La funcionalidad está construida y se continuará hoy con ajustes. El envio masivo está prácticamente finalizado, faltando pruebas con múltiples tipologías en local.
25/02/2026: Ha realizado pruebas en local de 11 tipologías de un total de 28, debe  actualizar tablas de trazabilidad en el ambiente local.
27/02/2026: El 26 de febrero se finalizan las pruebas de masivos en local, se iniciara  la creacion del docker  para subir el nuevo nativo a test </t>
  </si>
  <si>
    <t>INTERNO-JE031_2</t>
  </si>
  <si>
    <t xml:space="preserve">Creacion docker para Nuevo Nativo en  dev y test </t>
  </si>
  <si>
    <t>27/02/2026: Se inicia  creacion del docker  para subir el nuevos Nativo a test con Danilo.
02/03/2026: Se construyó un nuevo contenedor con Nginx para centralizar el acceso a los servicios. Se resolvieron errores de compilación en frontend (TypeScript) y se logró ejecutar en local con una única URL simulando el entorno productivo.
Pendiente subir a repositorio y continuar con despliegue en ambiente de desarrollo.
04/03/2026: Se consolidó backend y frontend en un solo repositorio.
El contenedor funciona correctamente en local. Al pendiente  que Danilo finalice la configuracion de la estancia de desarrollo  para subir y realizar pruebas.</t>
  </si>
  <si>
    <t>INTERNO-JE031_1</t>
  </si>
  <si>
    <t>Actualizacion Nativo-  Migracion vista  Workflow Radicación</t>
  </si>
  <si>
    <t>migración de la vista “Workflow Radicación”, incluyendo mejora visual en Administración de Tipologías para hacer más comprensible la estructura y relaciones.</t>
  </si>
  <si>
    <t xml:space="preserve">04/03/2026: Se inició formalmente la migración de la vista Workflow Radicación dentro del proceso de renovación del aplicativo Nativo
06/03/2026: La  vista la  componen de 38 opciones  de las cuales se han  migrado  16, hoy  se continua con la migración.
09/03/2026; Se avanza en la  migración de las opciones de la vista, pendiente por migrar  10 opciones.
</t>
  </si>
  <si>
    <t>MDSB-964818</t>
  </si>
  <si>
    <t>Solicitud de Generación de Información</t>
  </si>
  <si>
    <r>
      <rPr>
        <rFont val="Quattrocento Sans"/>
        <color theme="1"/>
        <sz val="11.0"/>
      </rPr>
      <t xml:space="preserve">Cordial saludo, 
</t>
    </r>
    <r>
      <rPr>
        <rFont val="Quattrocento Sans"/>
        <b/>
        <color theme="1"/>
        <sz val="11.0"/>
      </rPr>
      <t>Se solicita la soiguiente información:</t>
    </r>
    <r>
      <rPr>
        <rFont val="Quattrocento Sans"/>
        <color theme="1"/>
        <sz val="11.0"/>
      </rPr>
      <t xml:space="preserve">
*Cantidad de casos atendidos en el 2025 por tipologia (incluye, cerrados, anulados), para todos los procesos ARL. Incapacidades, Medicamentos, Fallos, Pensiones y Salud.
*Promedio de actividades (interacciones) ejecutadas en cada una de las tipologia anteriores (que incluya las repetidas, las gestionadas por funcionario bolivar, cliente, imagine, web services y otras que apliquen).
</t>
    </r>
    <r>
      <rPr>
        <rFont val="Quattrocento Sans"/>
        <b/>
        <color theme="1"/>
        <sz val="11.0"/>
      </rPr>
      <t>Ejemplo:</t>
    </r>
    <r>
      <rPr>
        <rFont val="Quattrocento Sans"/>
        <color theme="1"/>
        <sz val="11.0"/>
      </rPr>
      <t xml:space="preserve">
Incapacidades 9000 casos atentidos en el 2025 - interacciones promedio 108.000 en esos 9000 casos 
 </t>
    </r>
  </si>
  <si>
    <t>21/01/2026: En espera de estimación por parte de imagine
23/01/2026: Se asigna soplicitud a Jesus.
26/01/2026: Se estima dedicar un espacio hoy para la extracion de dicha información .
29/01/2026: De acuerdo a la priorización en segumiento se  iniciara la generación de la  información el Lunes 2 de febrero y queda como compromiso la entrega el 5 de Febrero. 
02/02/2026: Para el día se definió en inicio la construcción del query para la generación de la información solicitada.
04/02/2026: Información consolidada y enviada al cliente</t>
  </si>
  <si>
    <t>MDSB-967765</t>
  </si>
  <si>
    <r>
      <rPr>
        <rFont val="Quattrocento Sans"/>
        <b/>
        <color theme="1"/>
      </rPr>
      <t>Jiras  día a día</t>
    </r>
    <r>
      <rPr>
        <rFont val="Quattrocento Sans"/>
        <color theme="1"/>
      </rPr>
      <t>-  Igualar el area y rol de la usuaria 52819945 ANGELA MARÍA OCHOA</t>
    </r>
  </si>
  <si>
    <t xml:space="preserve">
Estoy intentando asignar casos a un integrante nuevo de mi equipo Angela María Ochoa Estepa CC 52819945 y no me aparece disponible para asignación. Luego, intento revisar que tiene en bandeja y me aparece el siguiente error:
ERROR: invalid input syntax for type integer: "" LINE 1: select desc_rol,cod_ramo from rol where id_rol='' ^ -select desc_rol,cod_ramo from rol where id_rol=''
Confirmo que le dejé la misma configuración que a las demás personas de mi equipo.</t>
  </si>
  <si>
    <t>28/01/2026: Se realiza actualizacion del rol en la tabla de usuarios.</t>
  </si>
  <si>
    <t>MDSB-967290</t>
  </si>
  <si>
    <t>Jiras dia a dia - Ajuste Trim en Entidades (Jira)</t>
  </si>
  <si>
    <t>Se solicita por favor la validación de la siguiente incidencia:
Se consulta por la cedula 77184027 y solo registra un caso para dicha cedula en el 2026, sin emabargo al validar el caso 43882280 registra para el mismo trabajador, en varias oportunidades se ha reportado la misma problematica, lo cual puede generar la atención erronea de información, no visulización de información existente, atención legal fuera de terminos.
La indicación de imagine en varias oportunidad ha sido que la información registra con un espacio, por lo cual se proponen los siguientes controles:
*Control en la ofciina exprés y oficina de juntas al momento de la radicación, donde el aplicativo no permita los espacios antes, en medio o despues del numero de documento.
*El mismo control para la radicación interna
*Corrección de los numeros de documentos que ya tienen la problematica</t>
  </si>
  <si>
    <t>06/02/2026: Requerimiento pendiente para replicar la lógica de limpieza de datos (trim) utilizada en Portales. El objetivo es eliminar espacios en blanco en los campos de NIT o documento para evitar que los registros no se visualicen al ser consultados desde Nativo
Se replica logica  en  portal entidades  y te autorizo     
se realizó la corrección de los registros históricos que presentaban esta inconsistencia en la base de datos.</t>
  </si>
  <si>
    <t>INTERNO-JE032</t>
  </si>
  <si>
    <t xml:space="preserve">Genarar informe de datos contacto de inacapacidades año 2025 </t>
  </si>
  <si>
    <t>09/02/2026:  Realiza entrega de la información solicitada.</t>
  </si>
  <si>
    <t>MDSB-977822</t>
  </si>
  <si>
    <t>Error en la creación casos Imagine - Tipología Título Ejecutivo ( masivo 143155)</t>
  </si>
  <si>
    <t>“Error en la creación casos Imagine - Tipología Título Ejecutivo“
Buen día, cordial saludo
Solicitamos su ayuda, dado que se evidenciaron 272 envíos de la tipología Título Ejecutivo que fueron confirmados como casos creados pero que finalmente no se evidencia la creación y envío en Imagine.
Adjunto los pantallazos de la confirmación de la creación de los casos al momento del cargue del envío y el listado de los 272 aportantes que no cuentan con caso creado.</t>
  </si>
  <si>
    <t xml:space="preserve">11/02/2026: Se identifica que los casos si se estaban  visualizando  solo que no en la fecha correcta ya que este masivo se tuvo que ejecutar manualmante y esto ocasiono que  los casos quedaran con una  fecha antigua, se corrigio la fecha y los casos ya se muestran  correctamente. </t>
  </si>
  <si>
    <t>MDSB-980852</t>
  </si>
  <si>
    <t>Error en la creación casos Imagine - Tipología Aviso de Incumplimiento,  masivo 147555 y 147576</t>
  </si>
  <si>
    <t xml:space="preserve">Solicito amablemente su colaboración dado que el día de ayer se cargaron 3 envíos masivos a través de la tipología Aviso de incumplimiento, sin embargo, pese a que registran en etapa 5, no se recibió el correo de confirmación para los dos últimos envíos de cantidades 5.219 y 677. Al validar algunos de los NIT’s de dichos envíos no se evidencian los casos creados en Imagine. </t>
  </si>
  <si>
    <t>17/02/2026:El 16 de febrero se completó el ajuste para que los procesos masivos dejen de encolarse con base en el archivo JSON que presentaba fallas y pasen a registrarse en la tabla operacion.procesos_batch, empleada para los informes de Nativo.</t>
  </si>
  <si>
    <t>MDSB-987797</t>
  </si>
  <si>
    <t>Jiras día a dia (Error cargue bandeja de pendientes  usuario CC1136885530</t>
  </si>
  <si>
    <t xml:space="preserve">24/02/2026: se identificó que algunos registros contenían  fechas en formato texto (letras), lo que impedía la carga correcta de la información en la grilla. La información ya fue normalizada y la funcionalidad se encuentra operando con normalidad.
A un que se resolvio la incidencia para el usuario, Imagine validara la forma de evitar  que el usuario que radica desde el portal pueda modificar la fecha cirujia. </t>
  </si>
  <si>
    <t>INTERNO-JE033</t>
  </si>
  <si>
    <t>Ajuste validación fecha de Cirugia en oficina virtual  salud</t>
  </si>
  <si>
    <t>Se detectó que un usuario pudo saltarse validaciones de fecha usando F12 (herramientas de desarrollador) para cambiar el tipo de campo de date a text</t>
  </si>
  <si>
    <t xml:space="preserve">25/02/2026: La validación ha sido ajustada  implementando  lo siguiente: Validación ISO: Nueva función is_iso_date para asegurar formatos YYYY-MM-DD y evitar errores por texto libre.
Consultas Determinísticas: Ajuste en la consulta de cirugía (order by ID desc) para capturar siempre el dato más reciente.
Cálculo Blindado: El conteo de días hábiles ahora es condicional; si los datos son inválidos, se registra un log sin romper la ejecución.
Estabilidad en DataTables: Se implementó un fallback para evitar errores de Ajax (warning tn/7) cuando existen fechas no estándar, manteniendo la interfaz funcional </t>
  </si>
  <si>
    <t>https://github.com/Imaginesas/oficina_virtual/compare/master...hotfix/validacionTipoFecha?expand=1</t>
  </si>
  <si>
    <t>GD772-204</t>
  </si>
  <si>
    <t>Incluir en la lectura IA la tipología renovación autorizaciones salud</t>
  </si>
  <si>
    <t>Se solicita incluir en la lectura de la IA la tipología del portal Renovación de autorización el cual debe seguir las siguientes reglas : 
Radicado inicial,  entra a a la tipologia 10490 poliza de salud radicación:
CUPS encuentra
SI = asignar a tipologia Autorizaciones Línea Médica - codigo tipologia 10649
NO= asignar a tipologia Preautorizaciones póliza de salud - Delegación Médicos - codigo tipologia 10491
Cuando no encontro coincidencia de cups se queda en la tipologia 10490.</t>
  </si>
  <si>
    <t>09/03/2026: Se estima sacar el tiempo hoy  para  incluir la tipologia  solicitada.
10/03/2026: El 9 de marzo entrega requerimiento para  pruebas.
Requeriiento  en produccion.</t>
  </si>
  <si>
    <t>INTERNO-JE024</t>
  </si>
  <si>
    <t>Documento tecnico GD772-116 Requerimiento gestión Medicamentos fase 2 - Sprint 2</t>
  </si>
  <si>
    <t>INTERNO-JE010</t>
  </si>
  <si>
    <t xml:space="preserve">Ajuste cargue masivo de marcacion  efectiva </t>
  </si>
  <si>
    <t>25/07/2025: Se identificó que el proceso de cargue masivo de marcación efectiva no estaba tomando la línea 2 del archivo. Ante esta situación, se realizaron las modificaciones necesarias y, tras los ajustes, el cargue quedó funcional.</t>
  </si>
  <si>
    <t>INTERNO-JE011</t>
  </si>
  <si>
    <t xml:space="preserve">Queries de informacion gestion tipologia </t>
  </si>
  <si>
    <t>25/07/2025: Se generaron los queries solicitados para cinco datos claves y están listos para ser revisados en conjunto con el equipo.
28/07/2025:La información requerida fue generada en su totalidad el día viernes 25 de julio.</t>
  </si>
  <si>
    <t xml:space="preserve">finalizado </t>
  </si>
  <si>
    <t>INTERNO-F005</t>
  </si>
  <si>
    <t>Creacion manual medicamentos fase 2 sprint 2</t>
  </si>
  <si>
    <t xml:space="preserve">25/07/2025: Se culminó la elaboración del manual de usuario, el cual será entregado junto con el requerimiento el día 28 de julio, se envia a Jenry y Liyibet para su validaciòn </t>
  </si>
  <si>
    <t>INTERNO-D011</t>
  </si>
  <si>
    <t>Trasferencia de imagenes pendientes del S3  al FS</t>
  </si>
  <si>
    <t>28/07/2025: Se identificaron imágenes pendientes en S3 que no estaban en el FS; se realizó validación y transferencia para corregir la sincronización.</t>
  </si>
  <si>
    <t>INTERNO-JA012</t>
  </si>
  <si>
    <t>Gestión de imágenes en módulo Cartera</t>
  </si>
  <si>
    <t>28/07/2025: Se identificó que al mover archivos a la carpeta de fecha no se completaba el proceso; se implementó un script para validar y restaurar imágenes,</t>
  </si>
  <si>
    <t>INTERNO-JA013</t>
  </si>
  <si>
    <t>Gestión de imagenes buzón ARL</t>
  </si>
  <si>
    <t>28/07/2025: El dia viernes 25 de julio  a Danilo le escalaron  un error donde casos radicados el 25 no cargaron imágenes ni se registraron en base de datos; se revisaron logs sin hallar causa, Jairo  iniciara validaciòn  para la implementaciòn del script implementado en las imagenes del modulo de cartera.
30/07/2025: Las imágenes fueron adjuntadas manualmente por el cliente, por lo tanto, se da por cerrada la incidencia reportada</t>
  </si>
  <si>
    <t>INTERNO-D012</t>
  </si>
  <si>
    <t xml:space="preserve"> Plan de trabajo IA – Radicación Express</t>
  </si>
  <si>
    <t xml:space="preserve">28/07/2025: Pendiente reunión con Jairo y Liyibet para definir plan de trabajo, tema prioritario que requiere asignación clara de tareas y etapas.
30/07/2025: Plan ya redactado y revisado por Jenry y Jairo. Solo falta envío formal.
</t>
  </si>
  <si>
    <t>Pendienten socialzar con Jenry  para enviar correo</t>
  </si>
  <si>
    <t>MDSB-849170</t>
  </si>
  <si>
    <t xml:space="preserve">Modalidades de trabajo – error en cargue
</t>
  </si>
  <si>
    <t>Usuaria indica que al momento de realizar el cargue masivo de trabajadores en el portal de arl le presenta un error cuando carga el documento de Excel
29/07/2025: Después de realizar varias validaciones, se identificó que el error que impedía el cargue del archivo correspondía a que el sistema estaba considerando el campo "Teléfono" como obligatorio. Como medida correctiva, se eliminó dicha obligatoriedad, y con ello el cargue del archivo ya puede realizarse correctamente.</t>
  </si>
  <si>
    <t>MDSB-844641</t>
  </si>
  <si>
    <t>Jiras dia a dia (Eliminar funcionarios inactivos - Informe Efectividad)</t>
  </si>
  <si>
    <t>De la manera más atenta agradezco su apoyo con la eliminación de los funcionarios relacionados a continuación en el informe de efectividad, estos usuarios ya fueron inactivados y se eliminaron del área, sin embargo sigue evidenciándose.
29/07/2025: Se realizó la corrección en la consulta del informe, ya que anteriormente no discriminaba si el usuario se encontraba activo o desactivado.Para solucionar esto, se adicionó la condición que permite identificar a los usuarios desactivados, asegurando así la correcta generación del informe.</t>
  </si>
  <si>
    <t>MDSB-849734</t>
  </si>
  <si>
    <t>Jiras dia a dia (Caso 38709479 sigue en la badeja del usuario despues de gestionado)</t>
  </si>
  <si>
    <t>29/07/2025: Se realizó la validación correspondiente y se identificó que el caso se visualizaba en la bandeja de pendientes debido a la existencia de actividades pendientes. Dado que la gestión del caso ya había finalizado, se procedió con el cierre de dichas actividades, permitiendo así que el caso fuera retirado de la bandeja</t>
  </si>
  <si>
    <t>MDSB-853919</t>
  </si>
  <si>
    <t>Jiras dia a dia (Reaperturar caso 39308376)</t>
  </si>
  <si>
    <t>29/07/2025: De acuerdo a  la  solicitud  se abre actividad Gestiona Caso para el  caso 39308376</t>
  </si>
  <si>
    <t>INTERNO-JE012</t>
  </si>
  <si>
    <t>Creación de Script para Anulación de Casos Asociados a un Cargue Masivo</t>
  </si>
  <si>
    <t>Se requiere desarrollar un script que permita anular automáticamente todos los casos individuales creados a partir de un proceso de cargue masivo, en los escenarios en que dicho cargue masivo sea anulado por el usuario o administrador.
30/07/2025: Se tiene previsto iniciar el desarrollo el día de hoy, Jenry indica que se deben elinimar los casos de la bd  y no dejarlos  ocupando espacio.
04/08/2025:El viernes 1 de agosto se finalizó el query que elimina correctamente el caso y su imagen para los casos nuevos de masivos. Actualmente, se está construyendo el script que permitirá realizar un borrado controlado de las imágenes asociadas a casos antiguos en estado 'Anulado'..
06/08/2025: Se desarrolló comando para eliminar 300.000 casos anulados uno a uno. El proceso está en ejecución y ha eliminado más de 100.000 registros en el ambiente producctivo.
11/08/2025: Anulacion de casos completa en produccion, se iniciara  paso a  produccion de la  funcionalidad.
12/08/2025: Se realiza el paso a producción y se ejecutan pruebas, las cuales arrojan resultados exitosos</t>
  </si>
  <si>
    <t xml:space="preserve">se realizo el viernes </t>
  </si>
  <si>
    <t>INTERNO-D013</t>
  </si>
  <si>
    <t>Caso radicado desde el portal sin registros (archivo faltante reportado por Leidy)</t>
  </si>
  <si>
    <t>30/07/2025: Ayer se identificó un caso radicado sin registros asociados. Se presume que pudo haberse presentado una falla durante el guardado de archivos por problemas de horario. El análisis quedó pendiente para continuar hoy, validando si los archivos fueron cargados y asociarlos manualmente si corresponde.</t>
  </si>
  <si>
    <t>MDSB-853188</t>
  </si>
  <si>
    <t>Jiras dia a dia ( Se Cambian los archivos adjuntos al caso 39349883 y 39345375</t>
  </si>
  <si>
    <t>30/07/2025: se evidenció que, durante el cargue de anexos, el sistema recibió de manera simultánea dos archivos asociados a casos diferentes, lo que provocó un conflicto de escritura en la carpeta correspondiente al día. E. la opción que permite adjuntar documentos en el momento de radicar el caso. Como medida correctiva, se implementó un ajuste en el sistema para que, en adelante, los documentos se guarden uno por uno y en el orden exacto en que se reciben, evitando así cualquier sobrescritura o cruce de archivos entre casos.</t>
  </si>
  <si>
    <t>INTERNO-D014</t>
  </si>
  <si>
    <t>Repositorio y comunicación por host virtual (Actualizaciòn nativo)</t>
  </si>
  <si>
    <t>30/07/2025: Se tiene un avance del 80% en la configuración del repositorio de despliegue y del esquema de publicación mediante host virtual. Faltan ajustes finales de redirección y certificados para habilitar la publicación formal
01/08/2025: Ayer  31 de julio se dejó funcionando una nueva aplicación en un contenedor Docker con una versión de PHP distinta a la del servidor principal. Este entorno está destinado a pruebas del nuevo desarrollo liderado por Jesús. Se presentaron errores de conexión por falta del archivo .env, que deben solucionarse antes de avanzar.
06/08/2025:Se identificó pérdida de permisos al reconstruir el contenedor. Se analizó la causa y se tiene claridad en la solución. Se continuará con su ajuste en el transcurso del día, Alfinalizar  el dia confirma finalizacion del ambiente y funcional.</t>
  </si>
  <si>
    <t>INTERNO-D015</t>
  </si>
  <si>
    <t>Modelo híbrido De almacenamiento de archivos (FS + S3)</t>
  </si>
  <si>
    <t>30/07/2025: Se está explorando un modelo híbrido de almacenamiento entre FS y S3. FS almacenaría temporalmente, S3 como histórico (&gt;30 días).
01/08/2025: El tema aún no ha sido abordado ni discutido con Bolívar. Se está a la espera de su decisión respecto a la implementación de días hábiles y detalles del modelo.
04/08/2025:  Se dejó en pausa para atender el requerimiento del informe de reembolsos.
  07/11/2025: Se definió no continuar con la implementación, se da por cancelado  por la gerencia.</t>
  </si>
  <si>
    <t>INTERNO-JA034</t>
  </si>
  <si>
    <r>
      <rPr>
        <rFont val="Quattrocento Sans"/>
        <color theme="1"/>
      </rPr>
      <t>Cuentas médicas –</t>
    </r>
    <r>
      <rPr>
        <rFont val="Quattrocento Sans"/>
        <b/>
        <color theme="1"/>
      </rPr>
      <t xml:space="preserve"> Soporte e incidencias operativas</t>
    </r>
  </si>
  <si>
    <t>Soporte operativo y análisis de incidencias en el proceso de Cuentas Médicas, orientado a la validación de radicaciones, control de volúmenes, depuración de inconsistencias y estabilización del servicio en ambientes productivos.</t>
  </si>
  <si>
    <t>02/01/2026: Durante la semana de fin de año se dedicó una parte significativa del tiempo a la atención de incidencias operativas en cuentas médicas, incluyendo validaciones de volumen de radicaciones y soporte a usuarios. Esto ha impactado la disponibilidad para avanzar en otros frentes, pero permitió aclarar inconsistencias en reportes de volumen (radicados reales vs. reportados).</t>
  </si>
  <si>
    <t>INTERNO-JA004</t>
  </si>
  <si>
    <t xml:space="preserve">Automatización cuentas medicas </t>
  </si>
  <si>
    <t>La gerencia de Imagine solicita la implementación de un proceso de automatización para las cuentas médicas, con el fin de optimizar la gestión, reducir tiempos operativos y minimizar errores manuales.</t>
  </si>
  <si>
    <t>26/09/2025: Ya se tiene parte lógica para iniciar desarrollo en PHP. Se prevé reactivar requerimeinto la próxima semana una vez finalicen pendientes de proveedores.
10/10/2025: Implementado flujo de radicación hacia tablas mediante RIPS, con validaciones preliminares.
27/10/2025: El desarrollo presenta un avance estimado del 60%. Se completaron las validaciones principales utilizando datos de producción en modo borrador. Está pendiente definir el orden de ejecución de los procesos (cambio de ciudad previo a homologación) y realizar la entrega parcial durante la semana.
05/11/2025:  Se iniciara   primer avance funcional de automatización despues de finalizar  req GD772-172 Ajustes de reembolsos ARL
10/11/2025: Actividad prioritaria del día, con objetivo de entregar una presentación funcional para el 12 de Noviembre
11/11/2025: Se realiza presentación del avance de la automatización.
13/11/2025: Continuara con ajustes en la automatización.
14/11/2025: Hoy continuara  con los ajustes automatización cuentas medicas.
18/11/2025: Se reporta un avance del 95% en el Sistema de Automatización de Facturas. Las funcionalidades implementadas incluyen: validación mejorada de autorizaciones, incorporación de lógica para evitar reprocesos por usuario, normalización de ciudades con comparación flexible, procesamiento para facturas inferiores a $100,000 con selección aleatoria, mejoras en el dashboard (dropdown optimizado), botón de confirmación con su lógica implementada, manejo de campos soportes y total_pagar, y limpieza de mensajes de workflow para eliminar caracteres no deseados. El sistema se encuentra próximo a finalizar.
Se realizará la validación completa del sistema de automatización implementado, abarcando la verificación integral de los flujos de procesamiento, reglas de validación y procesos de confirmación.
19/11/2025: Ayer 18 de noviembre Se realizaron ajustes en el procesamiento de facturas BR, incluyendo corrección de lógica, adición del campo producto y depuración de variables.
Se optimizó el proceso de autorización mediante un nuevo flag de control y mejoras en las validaciones.
Se fortaleció el feedback al usuario con validaciones más claras y corrección de mensajes.
Finalmente, se aplicaron optimizaciones generales al código, eliminando redundancias y simplificando el workflow.
26/11/2025: La automatización está lista para la presentación del día de hoy. Se detectó que las facturas de gran tamaño generan retrasos, por lo que se requiere ajustar la homologación de RIPs para mejorar rendimiento. Se planean nuevas pruebas después de la presentación.
26/11/2025: Se implementación de limpieza de caracteres no numéricos en los números de identificación (cédulas) para estandarizar su uso en claves, alertas y datos de usuario .
Mejora en el registro de errores (logging) para capturar excepciones completas y facilitar la depuración.
27/11/2025:  Primeras pruebas en caliente, validando casos y llevando a algunas correcciones:
Nueva validación para detectar facturas donde el pago total calculado no coincide con el total reportado en BIRC.
Inclusión de campos de IVA en las consultas BIRC y validación de facturas que contienen valores de IVA.
Optimización del código para evitar decodificaciones JSON redundantes, agregando validaciones de tipo array previas.
Mejora en el flujo de procesamiento de facturas: separación de facturas con errores generales en una categoría de "no procesadas", para que no se envien a guardar aquellas que retornaron con error
01/11/2025:Se procesaron más de 2.000 facturas durante las pruebas de jueves 27 y viernes 28 de noviembre. Se identificaron incidencias en la comparación de valores, las cuales ya fueron corregidas. Se continúa monitoreando y ajustando según se presente alguna necesidad.
03/12/2025: Se continúa con la validación y corrección de incidencias tras el paso a producción. Se agregaron nuevas validaciones y se implementó un log para detectar errores adicionales.
05/12/2025: Se encontró que el procedimiento guardaba un número incorrecto para el consecutivo de detalle. Se corrigió el error y se ajustaron manualmente algunos registros en Sisalud. El proceso ya está operando en producción y ha procesado cerca de 5.000 facturas de forma correcta. Se considera estable.
10/12/2025: Se realizaron actualizaciones para manejar variaciones en el origen de datos (archivos o registros con formatos inesperados). Se añadieron excepciones para evitar que estos casos afecten el proceso de automatización. Se mantienen ajustes incrementales según los patrones que continúen apareciendo.
12/12/2025: El 10 de diciembre se avanzó en las mejoras específicas para NIT con particularidades en el envío de RIPS, iniciando con el NIT 900047874 (Grupo Afin). Se implementó la lógica ciudad_afin, incluyendo cálculo, validación condicional, persistencia y limpieza del número de autorización; se desarrollaron funciones para el parseo de archivos XML y extracción de ítems de línea; se incorporó el procesamiento particular de ítems de factura tipo FLETE como “otros servicios”; y se realizaron ajustes en la agrupación de ítems, corrigiendo variables y optimizando el cálculo de cantidades y valores totales
El 11 de diciembre se realizó el refinamiento del código relacionado con la agrupación de ítems, incluyendo la conversión de cantidad_total a tipo float y la eliminación de actualizaciones redundantes en los totales por grupo. Adicionalmente, se mejoró el manejo de errores mediante la incorporación de la categoría ‘system.web’ en los mensajes registrados con Yii::log, con el fin de fortalecer la trazabilidad y facilitar las actividades de diagnóstico y depuración.
Lo informado ya se encuentra en producción y podríamos considerarlo al 100%; sin embargo, diariamente se identifican casos de mejora orientados a incrementar el volumen de aceptados. Por esta razón, dejamos el avance en un 99%, dado que se continuará trabajando en optimizaciones adicionales.</t>
  </si>
  <si>
    <t>Se está buscando una alternativa para mostrar avances en automatización</t>
  </si>
  <si>
    <t>Se han tenido avances en la lógica de radicación, continuará trabajando para lograr un avance significativo y contar con algo funcional que pueda ser mostrado.</t>
  </si>
  <si>
    <t xml:space="preserve">Se trabaja en pruebas con lotes de facturas, validando reconocimiento parcial. Avance estimado en esta tarea: 20 %.
</t>
  </si>
  <si>
    <t>No se trabajó en los últimos días. Continúa pendiente.</t>
  </si>
  <si>
    <t>20/06/2025: retomará revisión del tema durante el día de hoy.</t>
  </si>
  <si>
    <t xml:space="preserve">25/06/2025:No se reportan avances. </t>
  </si>
  <si>
    <t>04/07/2025: Sin avances técnicos reportados. El desarrollo sigue pendiente por falta de disponibilidad, pero se mantiene en la lista de tareas por retomar.</t>
  </si>
  <si>
    <t>18/07/2025: Se reinició el trabajo con librerías de Python y PDF para seleccionar porciones de imagen, pero sin avances concretos. El desarrollo avanza lentamente por el tiempo requerido en pruebas y validaciones.</t>
  </si>
  <si>
    <t xml:space="preserve">Sin avance </t>
  </si>
  <si>
    <t>MDSB-856002</t>
  </si>
  <si>
    <t>jiras dia a dia (Generar listado de usuarios de cada aplicativo)</t>
  </si>
  <si>
    <t>31/07/2025: Se genera informaciòn solicitada.</t>
  </si>
  <si>
    <t>GD772-122</t>
  </si>
  <si>
    <t>habilitar la extensiónes xls, xlsx, xlsm, xltx, xltm y xlt  para la tipología tengo dudas reembolsos, internacional y nacional</t>
  </si>
  <si>
    <t>05/08/2025: Se habilitan las extensiones .xls y .xlsx en la tipología 'Tengo dudas - Reembolsos', en ambiente de producción</t>
  </si>
  <si>
    <t>INTERNO-JA024</t>
  </si>
  <si>
    <t>Documento tecnico GD772-123 Asignación y Gestión de Tareas en la Solución de Cuentas Médicas</t>
  </si>
  <si>
    <t>GD772-123_1</t>
  </si>
  <si>
    <t>Dashboard de administración de eficiencia de auditores</t>
  </si>
  <si>
    <t>12/09/2025: Los primeros gráficos ya fueron construidos y se encuentran funcionales. La mayor complejidad ha sido la obtención de los datos correctos a través de los queries, pero ya se tienen avances significativos.
15/09/2025: Se escala control de cambio a producción con el jira MDSB-890559.
117/09/2025: Se presentó a los usuarios y recibieron de forma satisfactoria el dashboard de eficiencia en ambiente de pruebas. Se gestionó el control de cambios para su paso a producción. Se espera retroalimentación de los usuarios para identificar posibles ajustes adicionales.
25/09/2025: El control de cambios aún se encuentra pendiente de aprobación por parte del QA del cliente.
01/10/2025: Se realiza paso a producción el 30 de septiembre.</t>
  </si>
  <si>
    <t>MDSB-890559</t>
  </si>
  <si>
    <t>MDSB-960360</t>
  </si>
  <si>
    <r>
      <rPr>
        <rFont val="Quattrocento Sans"/>
        <color theme="1"/>
      </rPr>
      <t xml:space="preserve">Jiras día a día- </t>
    </r>
    <r>
      <rPr>
        <rFont val="Quattrocento Sans"/>
        <b/>
        <color theme="1"/>
      </rPr>
      <t>Imagine no permite cerrar casos de actualización de datos</t>
    </r>
  </si>
  <si>
    <r>
      <rPr>
        <rFont val="Quattrocento Sans"/>
        <b val="0"/>
        <color theme="1"/>
        <sz val="11.0"/>
      </rPr>
      <t>“</t>
    </r>
    <r>
      <rPr>
        <rFont val="Quattrocento Sans"/>
        <b/>
        <color theme="1"/>
        <sz val="11.0"/>
      </rPr>
      <t>Imagine no permite cerrar casos de actualización de datos“</t>
    </r>
    <r>
      <rPr>
        <rFont val="Quattrocento Sans"/>
        <b val="0"/>
        <color theme="1"/>
        <sz val="11.0"/>
      </rPr>
      <t xml:space="preserve">
Imagine no permite cerrar casos de actualización de datos de prestador, al ingresar en la pestaña u opción de Bandeja Datos de Proveedor, al momento de elegir algunos de los casos, se evidencia que estos casos ya tiene todo con check activo, por ende se procede a dejar la nota de actualización realizada, arroja error indicando lo siguiente:
Error al procesar la solicitud: No se ha seleccionado cambios para aprobar.
Dado el anterior error estos casos están si solucionar o cerrarse por lo que solicitamos de manera atenta y urgente la ayuda en el cierre o quitar de la lista de trabajo los casos que no se han podido cerrar.
Los casos que están presentado este error son los siguientes:</t>
    </r>
    <r>
      <rPr>
        <rFont val="Quattrocento Sans"/>
        <b/>
        <color theme="1"/>
        <sz val="11.0"/>
      </rPr>
      <t xml:space="preserve">
43687580
43686596
43686553
43686442
43685993
43585788
43685605
43685731
43475761
43452114</t>
    </r>
  </si>
  <si>
    <t>16/01/2026: Se identificó un problema de lógica en los casos de actualización de datos, donde el sistema reporta error cuando no existen cambios efectivos en la información enviada. Se determinó la necesidad de ajustar la validación para exigir al menos un dato modificado o permitir el avance controlado en casos ya radicados. El análisis está realizado, pero el ajuste aún no ha sido implementado.
21/01/2026: Se estima abordar este ajuste y dejarlo listo hacia el jueves en la tarde, sujeto a disponibilidad.
23/01/2026: Por prioridades de otros req no se ha podido abordar el ajustre, se estima realizarlo el lunes  26 de Enero
26/01/2026: Hoy se inicia el ajuste requerido.
Se realizó el ajuste necesario para permitir la gestión controlada de estos casos, por lo cual ya es posible avanzar y cerrar los registros que presentaban este error.</t>
  </si>
  <si>
    <t>GD772-134</t>
  </si>
  <si>
    <r>
      <rPr>
        <rFont val="Quattrocento Sans"/>
        <b/>
        <color theme="1"/>
      </rPr>
      <t>Mejoras REE Salud  primera entrega</t>
    </r>
    <r>
      <rPr>
        <rFont val="Quattrocento Sans"/>
        <color theme="1"/>
      </rPr>
      <t xml:space="preserve">
</t>
    </r>
  </si>
  <si>
    <t xml:space="preserve">Fecha entrega al cliente: 23 de diciembre
Mejoras REE Salud  primera entrega
1.MEJORA DE COMUNICADOS DE RESPUESTA.
2.MEJORA DUDAS REEMBOLSO
3.EDITAR EL VALOR   
4.CONSULTA POR NÚMERO DE RADICADO
MEJORAS REEMBOLSOS Primer entregable 
OBJETIVO: Se requiere implementar mejoras en el desarrollo actual de reembolsos con el fin de optimizar tiempos en la gestión de respuesta: 
1. Mejora de comunicados:
 Se requiere poder modificar todos los comunicados de respuesta para lo cual se envía adjunto a este documentos los comunicados que deben salir como respuesta a la solicitud, se agregan imágenes a modo de ilustración: Devolución Reembolsos:
Glosa Total Reembolsos: 
Glosa Parcial:
Pago en validación:
Pago efectivo:
Nota : Para todos los comunicados se debe enviar al usuario el html como cuerpo del correo de respuesta, y en la plataforma de reembolsos debe quedar como pdf , la respuesta adjunta a cada caso 
2. Mejora dudas reembolso:
 2.1 Se requiere que cuando el asegurado ingrese al portal de radicación de reembolsos y escoja la solicitud de tengo dudas con mi reembolso no sea obligatorio llenar el botón que indica “ El beneficiario del pago es diferente al de asegurado/ paciente 
2.2 Agregar archivos a la respuesta Se requiere que para todas las causales de respuesta“ devolución reembolsos, glosa total reembolsos , Glosa parcial, pagado en validación y tengo dudas con mi reembolso”, se habilite un campo de examinar para poder remitir archivos complementarios en la respuesta , los formatos que se pueden adjuntar allí son “ xlsx, csv, pdf jpg png..” este campo no será obligatorio para la gestión de la respuesta 
3. Editar el valor. 
Se requiere habilitar el botón editar sobre el campo total con el fin de que el perfil de analista pueda editar el valor digitado , esta actividad solo se podrá realizar solamente antes de que se dispare el botón “ radicación sisalud reembolso”
El campo que se cambio es cantidad y valor 
4. Consulta por número de radicado 
Se requiere poder realizar la búsqueda de caso por número de caso y no por factura como ocurre actualmente, lo que se busca es que este dato aparezca en el motor de búsqueda actual:
</t>
  </si>
  <si>
    <r>
      <rPr>
        <rFont val="Quattrocento Sans"/>
        <color theme="1"/>
        <sz val="10.0"/>
      </rPr>
      <t xml:space="preserve">10/12/2025: Se revisó nuevamente el requerimiento 134, que incluye múltiples mejoras sobre el portal de reembolsos de salud. Se acordó organizar el trabajo en bloques funcionales para priorizar lo más rápido y dejar por separado las tareas más complejas.
Adicionalmente, se discutió la necesidad de definir si el equipo desarrollará los ajustes UX basándose en lineamientos visuales o si el cliente deberá entregar un FIGMA completo, ya que el diseño responsivo requiere decidir la reorganización de elementos para móviles. El grupo considera necesario solicitar el FIGMA para los componentes de responsividad y para evitar ambigüedades posteriores.
12/12/2025: El 10 de diciembre se inició con los ajustes definidos para el proceso, implementando el cambio de lógica para utilizar una plantilla para la carta y otra para el cuerpo del correo, conforme a lo socializado con Liyi, estableciendo puntos rápidos para realizar dos entregas. Adicionalmente, se incorporó la verificación de respuesta_glosa en la condición de decisión para actividades de baja complejidad; se crearon múltiples nuevas plantillas de correo para distintos escenarios de devolución (total, parcial, validación, no efectivo, entre otros); y se mejoró la función de devolución de correos, adicionando el campo de observación del analista.
El 11 de diciembre se realizó la revisión y validación de las plantillas de correo implementadas el día anterior, garantizando su funcionamiento según lo esperado. Adicionalmente, se avanzó en la preparación para la primera entrega de los ajustes acordados con Liyi.
15/12/2025: El 12 de diciembre se avanzó en los ajustes considerados “fáciles”, </t>
    </r>
    <r>
      <rPr>
        <rFont val="Quattrocento Sans"/>
        <b/>
        <color theme="1"/>
        <sz val="10.0"/>
      </rPr>
      <t xml:space="preserve">como cambios de valores </t>
    </r>
    <r>
      <rPr>
        <rFont val="Quattrocento Sans"/>
        <color theme="1"/>
        <sz val="10.0"/>
      </rPr>
      <t xml:space="preserve">y </t>
    </r>
    <r>
      <rPr>
        <rFont val="Quattrocento Sans"/>
        <b/>
        <color theme="1"/>
        <sz val="10.0"/>
      </rPr>
      <t>carga de archivos adicionales en glosas</t>
    </r>
    <r>
      <rPr>
        <rFont val="Quattrocento Sans"/>
        <color theme="1"/>
        <sz val="10.0"/>
      </rPr>
      <t>, los cuales ya fueron desplegados en Test.
18/12/2025: Se trabajo en los comunicados para usar los formatos enviados, body correo esta OK pendiente ajustar pdf.
22/12/2025: Se avanzó significativamente en los ajustes de la primera entrega de mejoras de reembolsos de salud. Ya se encuentran listos los cambios de valores, comunicados y otros puntos considerados de baja complejidad, desplegados en Test. Queda pendiente finalizar ajustes relacionados con validaciones en el portal (campos obligatorios como cuenta/beneficiario) y la consulta asociada, los cuales se planean dejar listos en el corto plazo.
23/12/2025: Ayer 22 de diciembre se realizó la fusión (merge) de la rama master en cambios_reembolsos_salud_rapidos_20251212 para mantener actualizada la funcionalidad con los últimos cambios en producción y adicionalmente para realizar la integración de la funcionalidad de implementación de nuevas plantillas en los comunicados.
Para el tema del mismo estilo en pdf, se esta trabajando en un endpoint en python para poder generar el pdf, debido a que la librería que se usa en python es mucho mas efectiva y no devuelve tantos errores como la de php
29/12/2025: La semana anterior se avanzó en las mejoras de la Fase 1 de reembolsos de salud. La consulta de casos se encuentra pendiente de integración completa con la generación de PDFs. Para este componente se desarrolló un API en Python que permite generar PDFs de forma más flexible, dividiendo correctamente las páginas. El pendiente actual es la integración entre PHP y el servicio en Python para el envío automático de las cartas.
La primera entrega de los ajustes de  reembolsos quedaron con compromiso de entrega para el 6 de enero.
02/01/2026: Se avanzó en la integración del API encargado de la generación de PDF con el API de consulta de reembolsos. El desarrollo ya se encuentra listo en ambiente local. El compromiso es subirlo a ambiente de TEST, realizar las pruebas correspondientes y efectuar la entrega el mismo día. Actualmente se encuentra pendiente únicamente el ajuste final del PDF y la validación de la consulta. El esfuerzo restante estimado es de medio día de trabajo.
05/01/2026: El 2 de enero quedaron en tets los ajustes  correspondientes a la primera entrega de reembolsos, incluyendo la consulta de información y la generación de PDF conforme a la especificación definida. 
06/01/2026: Se entregan ajustes al cliente para pruebas.
14/01/2026: Se identificaron errores en el módulo de reembolsos relacionados con la actualización de dudas, lo que ha generado fallas en su funcionamiento. Este requerimiento quedó pendiente de validación y corrección, con expectativa de ser retomado la próxima semana, de acuerdo con los tiempos acordados con el cliente
16/01/2026: Las mejoras de las plantillas y el portal aun  se encuentran pendientes. Se acordó como fecha estimada de entrega el día martes 20 de enero, quedando pendiente su validación final y cierre.
19/01/2026: Se definió retomar durante la jornada actual los ajustes pendientes en el módulo de reembolsos, derivados de las pruebas recientes por  el cliente, el objetivo de dejarlos encaminados antes de retomar el desarrollo de incapacidades en los días siguientes.
20/01/2026: Se solicita control de cambios a test MDSB-963928 para modificar la tabla rad_reembolsos para que la columna asegurado_tomador_diferente deje de ser obligatoria y permita valores nulos.
Infraestructura confirma correcta ejecucion del cambio.
Se escala control de cambios a produccion MDSB-964383
22/01/2026: Ejecucion del control de cambios exitosa, se realiza despliegue a producción sin inconvenientes.</t>
    </r>
  </si>
  <si>
    <t>MDSB-963928</t>
  </si>
  <si>
    <t>MDSB-964383</t>
  </si>
  <si>
    <t>GD772-190</t>
  </si>
  <si>
    <t>REASIGNACION INCONSISTENCIA</t>
  </si>
  <si>
    <t>Se requiere reasignar inconsistencias, es decir, la inconsistencia que debe resolver un usuario requiere de la validación por un usuario diferente para que logre la gestión completa de la inconsistencia que le fue escalada, así las cosas la plataforma debe permitir reasignar la inconsistencia a diferente usuario.</t>
  </si>
  <si>
    <t>26/01/2026: Durante la jornada de hoy  se prioriza el Jira 190 indicado por Jenry, seguido del requerimiento de actualización de datos.
27/01/2026: Se solicita control de cambios MDSB-968897 en test
28/01/2026: Se desarrolló el botón para reasignación de causales, incluyendo validación de perfiles destino. 
Control de cambios MDSB-968897 ejecutado con exito.
30/01/2026: Pendiente validación de los cambios en test  por favor de accesos a test.
02/02/2026: Se solicita control de cambios MDSB-972397 a producción.
04/02/2026: Control de cambios se encuentra pendiente por aprobación  de QA cliente.
09/02/2026: Control de cambios se encuentra pendiente por aprobación  de QA cliente.
13/02/2026: Se creó el campo requerido para identificar inconsistencias y ya cuenta con control de cambios ejecutado exitosamente el 12 de febrero. Pendiente coordinar despliegue a producción.
17/02/2026: Se realiza paso a producción el 16 de febrero</t>
  </si>
  <si>
    <t>MDSB-968897</t>
  </si>
  <si>
    <t>MDSB-972397</t>
  </si>
  <si>
    <t>GD772-156</t>
  </si>
  <si>
    <t>ASIGNACION MEDICO BOLIVAR</t>
  </si>
  <si>
    <t xml:space="preserve">De forma atenta me permito enviar solicitud de creación de carpetas para cada uno de los auditores con el fin de que las distribuciones de las facturas sea equitativa para los que tienen perfil de enfermería y a los médicos les sean asignadas las cuentas iguales o mayores a $50.000.000.
Con respecto a la respuesta a glosa, lo ideal es que le sea asignada a la persona que revisó. En sus inicios debería ser asignada a mi(S.R.) bandeja ya que el usuario que está revisando las facturas es el mío (S.R.) y posterior cuando empiecen a llegar las respuestas de las vistas por cada uno de los usuarios, a ellos mismos.
</t>
  </si>
  <si>
    <t>27/10/2025: Se analizar el detalle del GIRA 156 para aplicar los cambios de asignación en la tabla de usuarios.
28/11/2025: Se iniciara la realización de algunos cambios en el cruce de facturas
19/01/2026: Se espera reanudar y avanzar en este frente en paralelo con los ajustes de reembolsos, en la medida en que la capacidad lo permita.
20/01/2026: Se solicita control de cambios a test con el jira MDSB-964282
21/01/2026: Se incorporó un nuevo tab explicativo con el detalle del esquema de asignación y se incluyeron los ajustes solicitados para enfermería y médico adicional. Pendiente ejecucion del control de cambios.
22/01/2026: Control de cambios ejecutado correctamente en test el 21 de enero.
26/01/2026: El desarrollo ya se encuentra en ambiente de TEST. Se implementó la lógica de asignación automática: casos mayores a 50 millones se dirigen a médico y menores a 50 millones a enfermería. El paso a producción queda sujeto a decisión del área usuaria
28/01/2026: Se aprueba paso aproducción.
30/01/2026: Desarrollo listo, pendiente control de cambios a producción. No se han podido realizar pruebas por falta de acceso a TEST.
Se escala control de cambios MDSB-971453 a produccion.
02/02/2026: Control de cambios pendiente por  aprobaciones  de QA y PO cliente.
04/02/2026: Control de cambios se encuentra pendiente por aprobación  de QA cliente.
05/02/2026: Control de cambios ejecutado con exito.
06/02/2026: El 5 de febrero se implementó el paso a producción del módulo de asignación tras realizar simulaciones exitosas dentro del sistema para verificar el direccionamiento correcto entre médicos y enfermería.</t>
  </si>
  <si>
    <t>MDSB-964282</t>
  </si>
  <si>
    <t>MDSB-971453</t>
  </si>
  <si>
    <t>MDSB-972464</t>
  </si>
  <si>
    <t xml:space="preserve">Jiras día a día- CAMBIO DE NOMBRE  DE USUARIO CC 1013667208 </t>
  </si>
  <si>
    <t>Por favor su ayuda con el cambio del nombre del usaurio Yenny Amortegui identificada con CC 1013667208 quede a nombre de ella y "NO" con nombre de "Usuario ASD"</t>
  </si>
  <si>
    <t xml:space="preserve">03/02/2026: Se realiza modificación de nombre al usuario 1013667208 </t>
  </si>
  <si>
    <t>GD772-197</t>
  </si>
  <si>
    <t>Modificar texto de respuesta / Ajuste de cartas Reembolsos ARL</t>
  </si>
  <si>
    <t>Modificar en el texto de repsuesta de pagado en validación lo siguiente: 
De conformidad con lo anterior en los próximos tres (3) días hábiles posteriores al recibido de esta comunicación se abonara el pago  a su cuenta bancaria por un valor de $XXXX , si no tiene una cuenta inscrita lo invitamos a inscribirla a través del siguiente link : 
Formulario de inscripción/actualización de cuentas bancarias (Para uso de Clientes, Intermediarios  y Proveedores)  
Si no realiza la inscripción de la cuenta el pago no se vera reflejado o disponible.</t>
  </si>
  <si>
    <t>06/02/2026: Modificaciónes y ajustes realizados y aplicados en el ambiente productivo el 5 de febrero.</t>
  </si>
  <si>
    <t>GD772-196</t>
  </si>
  <si>
    <t xml:space="preserve"> Editar Valor - Agregar Observación respuesta Reembolsos Salud</t>
  </si>
  <si>
    <t xml:space="preserve">06/02/2026: Cambios generados y aplicados en el ambiente productivo el 5 de febrero. </t>
  </si>
  <si>
    <t>GD772-187</t>
  </si>
  <si>
    <t>INFORME GLOSAS</t>
  </si>
  <si>
    <t>Se solicita que en el informe de glosas para todos los ramos se traiga las mismas lineas que relacionan en la glosa realizada en modulo de imagine. Este informe debe quedar retroactivo para las atenciones glosadas previo a este requerimiento.</t>
  </si>
  <si>
    <t>06/02/2026: Se estima dar inicio hoy al ajuste del informe.
09/02/2026: Se requiere explicación del informe requerido, no esta muy claro. 
11/02/2026: el 10 de febrero se inició desarrollo del informe correspondiente. El ajuste consiste principalmente en modificación de consulta (query) y adición de columna requerida.
Se estima que podría pasarse a producción el mismo día, sujeto a validación técnica del query.
13/02/2026: Se confirma que el ajuste ya fue pasado a producción el 11 de febrero, incluyendo modificación de query y visualización de información adicional.</t>
  </si>
  <si>
    <t>GD772-189_1</t>
  </si>
  <si>
    <t>Integración SíSalud ( Cartera Liviana)</t>
  </si>
  <si>
    <t>Se identificó problema de rendimiento al consultar en tiempo real. Se está implementando una tarea programada (batch) que:
1) Consulta datos
2) Los persiste en base de datos
3) Permite consultas rápidas posterio</t>
  </si>
  <si>
    <t>14/04/2026 : Se está implementando una tarea programada (batch) que:
1) Consulta datos
2) Los persiste en base de datos
3) Permite consultas rápidas posteriores
Actualmente en desarrollo técnico.
16/04/2026: El código base ya se encuentra en producción; sin embargo, está pendiente la activación de la tipología. Se han identificado problemas relacionados con la confiabilidad de la información proveniente del Data Lake, así como con el cierre automático de facturas, el cual no se está ejecutando correctamente. Como mejora, se propone implementar un procesamiento más masivo que permita mitigar la lentitud asociada al alto volumen de datos.
21/04/2026 : Funcionalidad implementada y activada en producción. Se habilitó tipología en el portal y consumo mediante botón (consulta API).</t>
  </si>
  <si>
    <t>GD772-189</t>
  </si>
  <si>
    <t>Nueva tipologia Radicación Cartera Liviana</t>
  </si>
  <si>
    <t>Se solicita crear un nueva tipología en la plataforma Imagine llamada; Radicación Cartera Liviana, esta tipología debe permitir radicar máximo 10 líneas de excel, con relación de las facturas a revisar, por lo que la plataforma debe verificar que el archivo que adjunta el proveedor no excede esta cantidad de líneas, adicional debe mostrar un mensaje al prestador que diga; “señor prestador este canal permite radicar cartera hasta 10 facturas, si excede esta cantidad su solicitud debe radicarse por tipología carteras y otros”, adicional la plataforma deberá identificar si la entidad que radica supero en el mes mas de 2 radicaciones por este canal, al superar estas 2 radicaciones la plataforma deberá mostrar el siguiente mensaje “ Señor prestador supero las radicaciones permitidas en el mes”.</t>
  </si>
  <si>
    <t>14/01/2026: Por Indicación de Jenry se asigna requerimiento
06/02/2026: Se estima dar inicio hoy a la creación de la tipologia solicitada.
09/02/2026: No se ha dado inicio al desarrollo debido a que se esta trabajanado en la presentación  de  Incapacidad, reembolsos y cuentas medicas  para Colmena.
17/02/2026: Aún sin desarrollo funcional.
13/03/2026: Se inició el desarrollo de la funcionalidad de carga y cruce de facturas mediante archivo Excel.
Pendiente contar con data real de facturas para completar pruebas y validar integraciones.
16/03/2026: Se continuó trabajando en la funcionalidad de gestión y visualización de información de facturas. Pendiente  solicitud de control de cambios.
Se escala control de cambios MDSB-1003540 a test  para la creación de la tabla ctas_medicas.cartera_liviana_gestion
17/03/2026: Control de cambios ejecutado 16 de marzo.
18/03/2026: El 17 de marzo se presento el desarrollo al  cliente  donde se obtuvienron algunas observaciones  y cambios que se deben realizar en cuanto  al envio certificado  e información  que se debe mostrar, cambios pendientes por realizar.
Pendiente que el cliente envíe plantillas y formatos específicos.
24/03/2026: Los formatos  y plantillas ya fueron entregados, pero en el momento se encunetra pausado ya que se encuentra enfocado en cuentas médicas
26/03/2026: Hoy  se reanudara ajustes pendientes asociados al frente de cartera previamente desarrollado con el objetivo de integrarlos correctamente dentro del flujo actual.
30/03/2026: Se escala  control de cambios MDSB-1012381 en test  para  la modificación de la tabla ctas_medicas.cartera_liviana_gestion mediante la adición de nuevos campos
Control de cambios  ejecutado correctamente.
31/03/2026: Se implementaron los últimos ajustes solicitados. Actualmente se presentan inconvenientes al desplegar en ambiente de desarrollo (Dev)., adicionalmente, se están realizando ajustes visuales (colores), se estima desplegar hoy a test para que el cliente inicie las pruebas.
06/04/2026: El  01 de abril se entrega desarrollo  al cliente  y acuerda realizar paso a produccion y realizar pruebas controladas.  
Se escala control de cambios MDSB-1015425 a produccion.
07/04/2026: En pruebas  de Imagine se identificaron aproximadamente 8 hallazgos que requieren validación antes de liberar a producción. 
El control de cambios se estima sea incluido hoy en el comité de cambios digitales  para su aprobación.
Control de Cambios  ejecutado  correctamente.
09/04/2026: Se encuentran implementados los ajustes funcionales y técnicos solicitados sobre el módulo de Cartera Liviana. Actualmente los cambios están siendo cargados y preparados para su paso controlado a producción hoy 9 de abril, previa validación final en ambiente de pruebas. Se tiene programada revisión conjunta antes del despliegue productivo.
13/04/2026: Se realiza paso a produccion el 9 de Abril</t>
  </si>
  <si>
    <t>MDSB-1003540 / MDSB-1012381</t>
  </si>
  <si>
    <t>MDSB-1015425</t>
  </si>
  <si>
    <t>GD772-199</t>
  </si>
  <si>
    <t>PASAR FACTURAS MULTIUSUARIO BAJA COMPLEJIDAD A BANDEJA MASIVO</t>
  </si>
  <si>
    <t>Se requiere pasar facturas multiusuario baja complejidad a bandeja masivo, los usuarios que no coincidan o no cumplan  con la siguiente regla deben ser asignados a bandeja analista baja complejidad.
Valor autorizado- deducible= valor pendiente
Valor factura- deducible= Valor cobrado
Si los 2 coinciden pueden pasar a pago masivo.</t>
  </si>
  <si>
    <t xml:space="preserve">11/02/2026: Se estima iniciar hoy  con esta mejora.
13/02/2026: Se realizó implementación en ambiente local. Pendiente estrategias de pruebas 
17/02/2026: Funcionalidad ya desarrollada en local, Pendiente ejecución de pruebas
20/02/2026: La lógica ya está construida, pero no se han desarrollado los procedimientos asociados. Estado intermedio con pendiente técnico claro.
23/02/2026: El desarrollo está listo a nivel funcional, pendiente despliegue a ambiente de pruebas (test) y solicitud de control de cambios. Posteriormente se debe ejecutar prueba con factura real para validar comportamiento del servicio de radicación masiva.
Se escala  control de cambios MDSB-987316
24/02/2026: C ontrol de cambios ejecutado correctamente.
25/02/2026: Completar una parte faltante para subirlo a test.
27/02/2026: Detenido  por avance en el req "Nuevo desarrollo de incapacidades para Bolívar"
09/03/2026: Se retomara y se terminara una parte pendiente del codigo.
11/03/2026: se realizó una primera revisión del desarrollo con el equipo. A partir de esa revisión se identificó que la lógica implementada debía ajustarse para que el proceso funcionara correctamente.
Actualmente se realizó una modificación en la lógica del flujo y solo queda pendiente completar el paso donde, una vez confirmados los pagos en sisalud, el sistema vuelva a enviar los registros al flujo correspondiente de Baja Complejidad.
13/03/2026: Se deberá solicitar el control de cambios a producción. Sin embargo, la creación del control se encuentra pendiente, ya que en el formulario de solicitud se incluyeron dos nuevos campos obligatorios: Tribu / Chapter (CMDB) y Squad (CMDB). Actualmente no se tiene claridad sobre qué opción debe seleccionarse en cada uno de estos campos, por lo cual no ha sido posible realizar la radicación del control.
Se escala control de cambios MDSB-1002371 a PRD
17/03/2026: Control de cambios  aprobado por QA, se encuentra en estados de Validacion para comité de cambios digitales.
18/03/2026: Control  incluido en el comité de hoy.
20/03/2026: Se tiene previsto realizar el paso a producción del desarrollo con pruebas controladas.
24/03/2026:Se realizó el despliegue a producción el día viernes, posterior al cual se identificaron y corrigieron algunos errores; actualmente el servicio se encuentra desplegado y en proceso de validación, quedando pendiente confirmar su correcta ejecución a través del RPA.   
</t>
  </si>
  <si>
    <t>MDSB-987316</t>
  </si>
  <si>
    <t>MDSB-1002371</t>
  </si>
  <si>
    <t>INTERNO-JA035</t>
  </si>
  <si>
    <t>Ajustar cambio de estado en portal Salud (Reembolsas-Tengo dudas)</t>
  </si>
  <si>
    <t>Se requiere validar el cambio de estado en el portal Salud para los casos clasificados como “Tengo dudas”, ya que aquellos que aparecen como cerrados en el portal se encuentran actualmente en estado “En proceso”.</t>
  </si>
  <si>
    <t>13/02/2026: Se realizo ajuste mediante actualización masiva y validación de estados cerrados.</t>
  </si>
  <si>
    <t>GD772-198</t>
  </si>
  <si>
    <t>Ajuste flujo odontologia</t>
  </si>
  <si>
    <t xml:space="preserve">Se requiere poder ajustar el flujo para el tipo de servicio odontología, lo que se busca es que exista una actividad en el  flujo que relacione directamente a un auditor de odontologia  y se asignen las tareas tal como corresponde .
Por lo cual se debe crear una nueva actividad en el flujo tal como se muestra a continuación:  "Auditor Odontologia"
Una vez se incluya esta actividad en el flujo se debe realizar la modificación de las reglas de asignación únicamente para el servicio de Odontología , es decir debe estar en el flujo la asignación por montos para este nuevo actor  tal como se evidencia a continuación.
Con esta regla de asignación se busca que todos los casos que sean clasificados del tipo de servicio Odontología , lleguen directamente a la bandeja del auditor odontologico.
</t>
  </si>
  <si>
    <t>17/02/2026 : la fecha estimada de finalización del desarrolla 17 de febrero  para entrega al cliente  20 de febrero.
Validacion del requerimiento para incluir  la columna que se requiere
18/02/2026: Lógica implementada; pendiente pruebas con datos de producción, se estima finlizar hoy hacia el medio dia.
19/02/2026: En pruebas imagine.
20/02/2026: Se continuaron pruebas del flujo y ajustes asociados. Se mantienen pendientes funcionales menores.
23/02/2026: El flujo ya se encuentra desplegado en test y se realizaron pruebas hasta glosa total, incluyendo validación de gestión de glosa. Se identificó pendiente previo (reasignación) que ya fue resuelto. Se planifica generación de más casos de prueba (odontología y auditoría normal) para validación funcional por usuarios.
25/02/2026: El 23 de febrero se entrego al cliente la modificación  y  el 24 de febrero confirma que se puede realizar el  paso a producción el cual es programado para el viernes 27 de febrero. (se aplazó de hoy miércoles para evitar conflictos con reuniones de gerencia)
27/02/2026:  Se realizara paso aproduccion hoy</t>
  </si>
  <si>
    <t>GD772-202</t>
  </si>
  <si>
    <t>Subtarea del jira GD772-197 Modificar texto de respuesta / Ajuste de cartas Reembolsos ARL</t>
  </si>
  <si>
    <t xml:space="preserve">Por favor nos ayudas para realizar el mismo cambio de proforma de pagado en validación, en glosa parcial.
</t>
  </si>
  <si>
    <t>16/02/2026: Se confirma modificación aplicada.
17/02/2026: Tras validación  se identifica la carta tiene error en las variables del texto. 
Se realiza a juste al error identificado.</t>
  </si>
  <si>
    <t>INTERNO-JA036</t>
  </si>
  <si>
    <t>Validación de informe con respuesta “Glosa”</t>
  </si>
  <si>
    <t xml:space="preserve">El  informe  no está trayendo bien el nombre normal del auditor muestra Imagine. Pero eso solo es cuando la respuesta es Glossa. Lo estoy validando.
</t>
  </si>
  <si>
    <t>18/02/2026: Se esta en validación del query porque el informe muestra auditor incorrecto cuando la respuesta es glosa.
20/02/2026; Se confirmó que el análisis está en curso; aún no se identifica la causa exacta en el query. Permanece abierto en etapa de diagnóstico.
23/02/2026: El viernes 20 de febrero se corrigió error técnico asociado a actualización sobre objeto en caché que sobrescribía estado en base de datos. Se realizaron actualizaciones históricas hasta abril de 2025. El requerimiento se considera resuelto a nivel técnico</t>
  </si>
  <si>
    <t>INTERNO-JA037</t>
  </si>
  <si>
    <t>Nuevo desarrollo de incapacidades para Bolívar</t>
  </si>
  <si>
    <t>Durante la sesión se indicó que el requerimiento se encuentra en fase inicial, ya que el desarrollo aún no ha comenzado a nivel técnico. Sin embargo, sí existe un enfoque claro de implementación, que consiste en reutilizar como base el flujo y la lógica previamente construidos para el proyecto de Alfa y adaptarlos a las necesidades específicas del cliente Seguros Bolívar.</t>
  </si>
  <si>
    <t>18/02/2026: Actualmente, el avance se concentra en la etapa de entendimiento y planificación, lo que implica. No se reportan aún actividades de desarrollo
23/02/2026: Se mantiene como línea de trabajo prioritaria iniciar hoy.
25/02/2026: Se definió el stack inicial y se integró la autenticación con doble factor, Se está trabajando en la optimización de consultas (queries) y creación de vistas materializadas para mejorar el rendimiento, pendiente completar tablas faltantes en la base de datos local para habilitar la bandeja de consulta.
27/02/2026: Se están corrigiendo errores en la consulta y se inició el desarrollo de la pantalla de detalle, otras actividades están pausadas mientras se avanza en este frente
02/03/2026: El viernes 27 de febrero se avanzó en el análisis y migración de la lógica existente hacia el nuevo entorno, manteniendo las reglas actuales de negocio. Ya se construyó el menú y el listado conectado a base de datos; queda pendiente la configuración de permisos y la validación funcional para asegurar que lo implementado corresponde con el comportamiento esperado por el cliente.
04/03/2026: Se continúa con la migración y ajuste del módulo. Se han corregido errores y se está organizando la lógica de gestión.
06/03/2026: Se continúa trabajando en el módulo relacionado con la gestión de incapacidades, específicamente en la revisión y ajuste de los diferentes modales y servicios asociados al proceso de gestión y resolución.
Adicionalmente, se está evaluando la posibilidad de incorporar funcionalidades adicionales como un chat o mecanismo de interacción dentro del sistema, conforme a solicitudes recibidas.
11/03/2026: El trabajo actual se centra en la corrección de errores detectados en algunos modales y formularios, especialmente en los procesos de gestión y escalamiento dentro del sistema.
13/03/2026: El desarrollo se enciuentra en pausa  para trabajar desarrollo de cuentas medicas.
17/03/2026: Retoma desarrollo en dia de hoy.
18/03/2026: Continua en la  organizacion  de la gestion y creación de los difrenetes botones.
20/03/2026: El progreso ha sido limitado debido a la priorización de otras actividades, quedando algunas tareas asignadas pendientes de validación,
24/03/2026: El desarrollo se encuentra pausado para dar paso  a desarrollo de cuentas medicas.
07/04/2026: El 6 de abril se reinicia desarrollo
09/04/2026: Se continúa con el desarrollo evolutivo del módulo de incapacidades, particularmente ajustando casuísticas y comportamientos específicos asociados a los diferentes portales de operación.
14/04/2026: Se avanzó en la reestructuración de (formularios a modal), lo que implica un cambio en la interacción. Sin embargo, la lógica funcional aún no ha sido completamente desarrollada ni integrada con backend.
21/04/2026: Hoy retomara el desarrollo.
23/04/2026: Se continúa con la optimización del sistema, incluyendo corrección de errores y ajustes en funcionalidades clave como la asignación de valores. El desarrollo sigue en curso con mejoras incrementales.
30/04/2026: Se encunetra pausado  debido a  priorizacion del req  GD772-213 Ajustes cartera Liviana.</t>
  </si>
  <si>
    <t>INTERNO-JA038</t>
  </si>
  <si>
    <t>Error informe de Glosas</t>
  </si>
  <si>
    <t>Se detectó que el proceso de descarga presenta una falla asociada a la ejecución del componente desarrollado en Python, lo que impide generar el archivo correctamente</t>
  </si>
  <si>
    <t>27/02/2026: Actualmente se encuentra en fase de diagnóstico para identificar la causa raíz (posible error en librerías, generación del archivo o conexión con la fuente de datos). No se ha iniciado corrección hasta confirmar el origen del problema.
02/03/2026: Se identificó que la causa del problema era un error en el código que impedía la generación del archivo. El ajuste ya fue implementado y el informe se encuentra funcionando correctamente.</t>
  </si>
  <si>
    <t>GD772-206</t>
  </si>
  <si>
    <t>Modificar parámetro de tiempo de consulta Olimpia</t>
  </si>
  <si>
    <t>Se requiere cambiar el parametro de tiempo de consulta a 9999 para el servicio construido con olimpia</t>
  </si>
  <si>
    <t>20/02/2026 ; Modificaciòn en base de datos realizada el 19 de febrero.</t>
  </si>
  <si>
    <t>INTERNO-JA039</t>
  </si>
  <si>
    <t>Error consulta proveedores (administración cuentas médicas)</t>
  </si>
  <si>
    <t>Se revisará el error reportado mediante imagen, el cual parece estar relacionado con permisos o con la generación del archivo</t>
  </si>
  <si>
    <t>02/03/2026: Aún no se inicia la corrección hasta validar el origen exacto del problema
04/03/2026: El 2 de marzo se identificó que el problema era la descarga de un archivo plano cuya ruta no estaba encriptada. Se realizó el ajuste correspondiente y el botón ya descarga correctamente el archivo.</t>
  </si>
  <si>
    <t>INTERNO-JA040</t>
  </si>
  <si>
    <t>Mejora  Automatización recepción de facturas</t>
  </si>
  <si>
    <t>11/03/2026: El 10 de marzo se implementó una mejora interna orientada a automatizar parcialmente el proceso de recepción de facturas, utilizando información que el sistema ya tiene disponible para reducir pasos manuales dentro del flujo.
El desarrollo ya se encuentra prácticamente finalizado y solo queda pendiente un pequeño ajuste de permisos para que la funcionalidad no esté limitada únicamente a un grupo específico de usuarios.</t>
  </si>
  <si>
    <t>INTERNO-JA041</t>
  </si>
  <si>
    <t>Automatización cuentas medicas  ( recepción de facturas electrónicas y no electrónicas)</t>
  </si>
  <si>
    <t>20/03/2026: Avance:
Se ha venido trabajando en la optimización del proceso de automatización de cuentas médicas, particularmente en la mejora del rendimiento en la recepción de facturas, así como en la ampliación del alcance del proceso automático para incluir no solo las facturas recibidas por BIP, sino también aquellas provenientes de facturación electrónica; en este sentido, se inició el desarrollo de una solución que permita diferenciar estos tipos de facturas mediante un control en la interfaz y reducir la dependencia de consultas recurrentes a BIP, con el objetivo de mejorar la eficiencia general del proceso.
24/03/2026: Se avanzó en la automatización de facturas que no cuentan con RIPS, logrando definir la consulta base (query) necesaria y quedando pendiente la integración con los procesos existentes
26/03/2026: Se ha  avanzado significativamente en la automatización de facturación electrónica dentro del proceso de cuentas médicas, realizando pruebas funcionales y ajustes orientados a mejorar el comportamiento del sistema, alcanzando un nivel de madurez cercano al 90-95%, con pendientes menores asociados a validaciones finales y ajustes en la obtención de la imagen principal de la factura.
31/03/2026: Se implementó la automatización del proceso de recepción y digitación de facturas, incluyendo:
Procesamiento automático de facturas electrónicas (XML DIAN).
Extensión a facturas no electrónicas mediante datos alternativos.
Automatización completa desde recepción hasta posible pago (flujo RPA en baja complejidad). Pendiente  Definición de controles de calidad para procesos automáticos sin intervención humana.</t>
  </si>
  <si>
    <t>GD772-207</t>
  </si>
  <si>
    <t>Agregar Botón de Xpertia al portal de proveedores</t>
  </si>
  <si>
    <t>GD772-207 - BOTON EXPERTIA
Se requiere que en el portal de proveedores se agregue un direccionamiento al siguiente sitio :
https://digital.experienciasbolivar.segurosbolivar.com/xpertia-web
Imagine debe crear un boton con el logo de Xpertia en el cajon que se muestra a continuación .
Lo que se espera es que este logo redireccione al sitio anteriormente mencionado abriendo una pestaña nueva.
el logo de xpertia es el siguiente :</t>
  </si>
  <si>
    <r>
      <rPr>
        <rFont val="Quattrocento Sans"/>
        <color theme="1"/>
        <sz val="10.0"/>
      </rPr>
      <t xml:space="preserve">03/03/2026; Si necesitan que el logo se muestre en el botón es necesario mandarlo en formato que permita la manipulación, puede ser en formato SVG.
05/03/2026: Liyibet envia el boton en el formato solicitado.
06/03/2026: Se estima inciar desarrollo la proxima semana.
09/03/2026: Se le dedicara tiempo  hoy al este desarrollo.
Implementaciòn en test , El archivo enviado, aunque tiene la extensión .svg, no corresponde realmente a un archivo con esa característica; en realidad se trata de un archivo PNG codificado en Base64.
Adicionalmente, el botón no resulta claro en cuanto a su funcionalidad. Considero que sería necesario incluir un texto explicativo o un hablador que indique su propósito, ya que, desde la perspectiva de un proveedor que ingresa a la plataforma, no es evidente qué acción realiza o cuál es la función del nuevo botón. Se escala  solicitud al cliente  y quedamos atentos la respuesta.
13/03/2026: pendiente mejora visual de parte del cliente.
16/03/2026: El 13 de marzo el  cliente envia  como deberia quedar el boton "En el botón verde descubra xpertia web facil y a un clic:  lo debe llevar a  </t>
    </r>
    <r>
      <rPr>
        <rFont val="Quattrocento Sans"/>
        <color rgb="FF1155CC"/>
        <sz val="10.0"/>
        <u/>
      </rPr>
      <t>https://digital.experienciasbolivar.segurosbolivar.com/xpertia-web</t>
    </r>
    <r>
      <rPr>
        <rFont val="Quattrocento Sans"/>
        <color theme="1"/>
        <sz val="10.0"/>
      </rPr>
      <t xml:space="preserve">", Se realizara hoy  la  implementación .
17/03/2026: Validara informacion para realizar implementación.
Implementacion en test .
18/03/2026: El 17 de marzo  el cliente valida el boton en test y confirma paso a producción, al  pendiente oficializar el  paso  a produccion.
20/03/2026: El cliente solicita el cambio del nombre del boton  por  Descubra Xpertia Web: su aliado eXperto
24/03/2026: El 20 de marzo a usuaria nos solicita cambiar el nombre del botón por "Descubra Xpertia Web: su aliado eXperto", Cambio aplicado en test.
Despligue realizado correctamente en produccion </t>
    </r>
  </si>
  <si>
    <t>GD772-169</t>
  </si>
  <si>
    <r>
      <rPr>
        <rFont val="Quattrocento Sans"/>
        <b/>
        <color theme="1"/>
      </rPr>
      <t>Mejoras poliza internacional pase auditor directamente</t>
    </r>
    <r>
      <rPr>
        <rFont val="Quattrocento Sans"/>
        <color theme="1"/>
      </rPr>
      <t xml:space="preserve"> (Reem-Salud)</t>
    </r>
  </si>
  <si>
    <t xml:space="preserve">Se requiere que para todo radicado que ingrese al flujo de Reembolsos, cuando este en la actividad digitación, y el tipo de moneda seleccionado sea diferente a pesos colombianos, pase directamente al auditor normal.
</t>
  </si>
  <si>
    <t>07/04/2026: Se estima 1 dia de desarrollo, con fecha estimada de entrega en test  10 de abril, se encuentra en etapa de analisis
09/04/2026: Se estima iniciar desarrollo hoy.
13/04/2026: El viernes 10 de abril se realizo el paso a produccion, se revisaron varias facturas donde peso colombiano = No y están asignadas a Auditor.</t>
  </si>
  <si>
    <t>INTERNO-JA043</t>
  </si>
  <si>
    <t>Corrección formulario NITs/RIPS duplicados</t>
  </si>
  <si>
    <t>09/04/2026: El 8 de abril se ajustó el formulario para prevenir generación de registros duplicados y excepciones durante el cargue de RIPS. Se mejoró la validación de negocio y el control de integridad sobre los datos ingresados.
Desplegado y operativo en producción</t>
  </si>
  <si>
    <t>INTERNO-JA044</t>
  </si>
  <si>
    <t>Corrección administración de proveedores duplicados</t>
  </si>
  <si>
    <t>09/04/2026: Se corrigió el comportamiento del formulario de administración de proveedores que permitía la creación de NITs duplicados con el mismo ramo. Adicionalmente se depuraron registros duplicados existentes en el sistema.
Desplegado y saneamiento ejecutado</t>
  </si>
  <si>
    <t>INTERNO-JA042</t>
  </si>
  <si>
    <t>Nuevo Tablero de Operaciones</t>
  </si>
  <si>
    <t>Nuevo módulo de control operativo y visualización de datos.</t>
  </si>
  <si>
    <t>14/04/2026: Se desarrolló una nueva arquitectura del módulo, eliminando tablas temporales por usuario y centralizando la información. Ya fue desplegado y está disponible, pendiente validación funcional
16/04/2026: Se realiza mejora del módulo de asignación de facturas para digitación.
Actualmente en validación con usuario (John Rolon) pendiente confirmacion  de correcto funcionamiento  o si se deben realizar mas ajustes.</t>
  </si>
  <si>
    <t>GD772-213</t>
  </si>
  <si>
    <t>AJUSTES CARTERA LIVIANA</t>
  </si>
  <si>
    <t>1.Se requiere campo para seleccionar todas las líneas de la factura o permitir dar solo un click para Guardar una vez estén validadas todas las líneas, si se crea un único botón para guardar debe generar una alerta que indique si una o varias de las líneas están pendiente de información no dejando finalizar tarea de guardar.
2.Permitir cambiar números de factura para hacer la consulta en lago de datos, es decir, algunos prestadores usan guiones o ceros adicionales a los relacionados en la radicación de la factura, así las cosas el sistema no permite validar la información correspondiente en el lago de datos e imagine.
3.Permitir ver la carta en PDF enviada al prestador en pestaña gestión.
4.Permitir adjuntar PDF necesarios para autogestión del prestador como instructivos de radicación, descarga de extractos, etc.
5.Permitir seleccionar proformas según necesidad de la respuesta que se requiere enviar al prestador, una vez se elija la proforma a utilizar debe abrir la carta y permitir editar o adicionar información. Adjunto proformas.
6.Permitir exportar informes que traiga la siguiente información; Numero de radicado, Nit del prestador, razón social, numero de facturas radicadas, tipología, fecha de radicación, fecha asignación, conteo días hábiles de radicación, estado (pendiente y cerrado), responsable, quien lo cerro o gestiono.
7.Adicionar Pestaña de estado; No Radicada, Factura Saneada.
8.Ajustar el campo de justificación glosa por ; Justificación glosa / observación.</t>
  </si>
  <si>
    <t>28/04/2026: Se plantea la necesidad técnica previa (crear una nueva tabla).
30/04/2026: Se continuó con la implementación de ajustes sobre cartera liviana, alcanzando aproximadamente un 75% de avance. Se han corregido problemas relacionados con la descarga de archivos y manejo de documentos. Adicionalmente, ya se han desarrollado parcialmente funcionalidades como la habilitación para modificar el número de factura y la visualización de la carta en PDF. Se identificó que el requerimiento fue formalizado tardíamente en Jira, aunque varios cambios ya habían sido adelantados. Quedan pendientes principalmente los informes asociados y la inclusión de estructuras adicionales (tablas de recepción) necesarias para completar el flujo.
04/05/2026: Se escala control de cambios a test MDSB-1033657 para la  creacion de las tablas  ctas_medicas.cartera_liviana_excel,  ctas_medicas.cartera_liviana y  ctas_medicas.nits_recepcion
05/05/2026: Control de cambios a test ejecutado correctamente, se trabajara para hacer el  paso a test del codigo.
07/05/2026: El 6 de mayo los cambios fueron subidos a TEST. Ya se cuenta nuevamente con ambiente de pruebas habilitado y se planea finalizar validaciones y recolectar  evidencias para control de cambios para producción.
14/05/2026: Se escala control de cambios MDSB-1040829  a producción.
15/05/2026: Control de cambios aprobado por el comité, a la espera de la ejecucion.
21/05/2026: El control de cambios  fue ejecutado el 19 de mayo, Se identifican  nuevos ajustes solicitados sobre plantillas   que  se realizaran tan pronto  los ambientes bajos esten disponibles</t>
  </si>
  <si>
    <t>MDSB-1033657</t>
  </si>
  <si>
    <t>MDSB-1040829</t>
  </si>
  <si>
    <t>GD772-210</t>
  </si>
  <si>
    <t>MEJORAS BANDEJA REASIGNACIÓN DE FACTURAS</t>
  </si>
  <si>
    <t>Se identificó la necesidad de realizar mejoras sobre la bandeja de reasignación de facturas existente, la cual fue construida en una etapa inicial del sistema y actualmente no cubre las necesidades del proceso masivo. Con el aumento en el volumen de operaciones y el uso de reasignaciones, se evidenció la falta de información clave para la gestión operativa.
El requerimiento consiste en incorporar nuevos campos en la bandeja y ajustar los filtros de consulta, con el fin de facilitar la visualización, búsqueda y gestión de las facturas a reasignar. Es importante resaltar que no se requiere modificar la funcionalidad de reasignación, sino únicamente mejorar la capa de presentación y filtrado de la información para hacerla más eficiente y alineada con el proceso actual.
Descripción cliente
Agradezco apoyo para que en la bandeja de reasignación de facturas, la ventana permita:
Organizar por complejidad (Tiene habilitada la opción, pero no la organiza, adjunto pantallazo como evidencia)
Debe permitir organizar por Fecha de Radicación
En la ventana de Reasignación se deben adicionar 4 Columnas:
NIT proveedor (Campo con Filtro)
Razón Social del Proveedor (Campo con filtro)
Valor de la factura (Campo para organizar)
Cantidad total de Registros y/o radicados  (Campo para organizar)</t>
  </si>
  <si>
    <t>30/04/2026: Se definio que el req no será abordado hasta finalizar completamente cartera liviana (GD772-213) . Esto debido a la alta carga de cambios aún pendientes en este frente, evitando dispersión de esfuerzos y posibles inconsistencias entre funcionalidades relacionadas.
05/05/2026: Se estima dar inicio hoy.
07/05/2026: Los cambios fueron desarrollados y desplegados a producción el 6 de mayo. Incluyen filtros, ordenamiento y nuevos campos.</t>
  </si>
  <si>
    <t>INTERNO-JA047</t>
  </si>
  <si>
    <t>Pantalla de consulta y monitoreo de correos</t>
  </si>
  <si>
    <t>Desarrollo de pantalla de consulta para monitorear correos enviados, duplicados y pendientes.</t>
  </si>
  <si>
    <t>PRUEBAS IMAGINE</t>
  </si>
  <si>
    <r>
      <rPr>
        <rFont val="Quattrocento Sans"/>
        <color theme="1"/>
        <sz val="10.0"/>
      </rPr>
      <t xml:space="preserve">07/05/2026: Se construyó un CRUD y filtros de consulta para Liyibet, permitiendo validar correos enviados, duplicados y pendientes. También se agregaron logs y procesos de depuración para analizar inconsistencias con 472. ( </t>
    </r>
    <r>
      <rPr>
        <rFont val="Quattrocento Sans"/>
        <color rgb="FF1155CC"/>
        <sz val="10.0"/>
        <u/>
      </rPr>
      <t xml:space="preserve">https://imaginex-portales.segurosbolivar.com/consultaCertificaciones)
</t>
    </r>
    <r>
      <rPr>
        <rFont val="Quattrocento Sans"/>
        <color theme="1"/>
        <sz val="10.0"/>
      </rPr>
      <t>Se continuara con  análisis de pendientes y determinar el punto exacto donde falla el proceso de correos. Evaluar reprocesamiento manual.
12/05/2026: Continúa el análisis de la herramienta de monitoreo de correos implementada previamente. Se detectó que algunos correos quedan en estado “pendiente” de manera indefinida, comportamiento que no debería ocurrir ya que el estado debería finalizar como entregado o rechazado. Actualmente se está revisando la trazabilidad y logs para identificar en qué punto ocurre la inconsistencia</t>
    </r>
  </si>
  <si>
    <t>INTERNO-JA046</t>
  </si>
  <si>
    <t>Error de glosas por caracteres</t>
  </si>
  <si>
    <t>Se identificó la necesidad de analizar y corregir un comportamiento inconsistente en el procesamiento de glosas, específicamente relacionado con el manejo de caracteres dentro de los textos. El inconveniente se presenta debido a la existencia de registros con una alta cantidad de caracteres o con formatos no estándar, lo que puede generar errores en la visualización, almacenamiento o procesamiento de la información.
El requerimiento consiste en evaluar y ajustar la lógica de validación y tratamiento de caracteres en las glosas, garantizando que el sistema soporte correctamente distintos tipos de contenido sin generar fallos.</t>
  </si>
  <si>
    <t>28/04/2026: El Viernes  24 de abril  se analizo y  se preparo un posible ajuste tecnico sin embargo, su implementación está sujeta a validación previa, con el fin de asegurar que no se afecte la integridad de los datos existentes ni otros procesos relacionados.
30/04/2026: Se trabajó en la validación de longitud de campos en glosas, debido a inconsistencias detectadas en producción donde se ingresan textos excesivamente largos (incluso superiores a 5000 caracteres). Se implementó una restricción inicial (maxlength), pero se identificó la necesidad de mejorar la experiencia mediante alertas visuales o contadores de caracteres. Se definieron nuevos límites basados en lineamientos del negocio. El ajuste técnico ya está desarrollado y se encuentra pendiente de validación final y despliegue.
05/05/2026: A un se encuentra pendiente la implementación del contador de caracteres.
07/05/2026: Se implementó contador visual de caracteres restantes y alerta en rojo cuando quedan menos de 20 caracteres. Los cambios ya fueron subidos a producción el 5 de mayo.</t>
  </si>
  <si>
    <t>INTERNO-JA048</t>
  </si>
  <si>
    <t>Migracion de Yii a PHP8.5 (local)</t>
  </si>
  <si>
    <t>19/05/2026: Se continúa con la migración del framework Yii hacia compatibilidad con PHP 8.5 en ambiente local. Actualmente se realizan ajustes y validaciones técnicas sobre el código y dependencias del aplicativo.
Se avanza en la integración de ramas de código asociadas al proceso de migración, realizando fusión de cambios y resolución de conflictos.
21/05/2026: En la finalizacion de la migración, se estima  realizar  hoy el despliegue de la aplicacion al ambiente.
26/05/2026: Informa  que la migración en local ya fue finalizada y el aplicativo desplegado a desarrollo</t>
  </si>
  <si>
    <t>INTERNO-JA048_2</t>
  </si>
  <si>
    <t>Pruebas técnicas de Yii a PHP8.5 (Desarrollo)</t>
  </si>
  <si>
    <t>26/05/2026: Se encuentra realizando pruebas funcionales y revisión de errores posteriores al barrido inicial,  contionura validando  módulos pendientes y tablas faltantes
28/05/2026: Continua con  pruebas integrales de navegación y resolución  incidencias detectadas durante validaciones funcionales.
02/06/2026: Se corrigieron las incidencias reportadas previamente en desarrollo y se resolvieron varios errores relacionados con librerías y compatibilidad, Se continuar el análisis de compatibilidad con PHP 8.
09/06/2026;  Se continua realizando ajustes a los hallazgos  reportados por Jenry, se validaran los últimos cambios aplicados y continuar atendiendo hallazgos reportados.</t>
  </si>
  <si>
    <t>INTERNO-JA048_1</t>
  </si>
  <si>
    <t>Configuración de ambiente Docker (Local)</t>
  </si>
  <si>
    <t>19/05/2026: Se avanza en la construcción y configuración del ambiente Docker requerido para soportar la nueva arquitectura y facilitar la ejecución estandarizada del aplicativo.
21/05/2026: La confirguración  ya fue finalizada.</t>
  </si>
  <si>
    <t>INTERNO-JA033</t>
  </si>
  <si>
    <t xml:space="preserve">Portal Publico Incapacidades Alfa </t>
  </si>
  <si>
    <r>
      <rPr>
        <rFont val="Quattrocento Sans"/>
        <color theme="1"/>
        <sz val="10.0"/>
      </rPr>
      <t xml:space="preserve">02/01/2026: El desarrollo se encuentra en una fase inicial de planeación y análisis, con un avance estimado del 2%. Se realizó la creación inicial del entorno y revisión conceptual. Aún no se ha iniciado desarrollo funcional significativo debido a la priorización de otros frentes críticos.
05/01/2026: El 2 de enero inicia con el desarrollo inicial del backend
07/01/2026: Se ha trabajado principalmente en el backend durante los últimos dos días.
09/01/2026: Se ha estado trabajando en el desarrollo del  backend del portal de incapacidades presenta un avance estimado entre el 10% y 12%. Se han trabajado los flujos principales
14/01/2026: El portal de incapacidades presenta un avance cercano al 20%, con la lógica de backend significativamente desarrollada, incluyendo gestión de incapacidades, siniestros y el esqueleto de la orden de pago. Se espera finalizar el backend e iniciar funcionalidades básicas de frontend, como la radicación de incapacidades, durante la jornada actual.
16/01/2026: Se avanzó de forma relevante en el módulo de radicación de incapacidades, alcanzando aproximadamente un 80% del desarrollo del wizard. Actualmente se presenta una incidencia puntual en la comunicación al momento de realizar la radicación, la cual se encuentra en análisis. El avance global del requerimiento se estima en un 25% adicional respecto al último seguimiento, con expectativa de mostrar funcionalidad operativa de radicación.
19/01/2026: El backend del portal de incapacidades se encuentra mayoritariamente implementado, con capas técnicas definidas y uso de base de datos Postgres. La arquitectura contempla separación entre portal público, portal privado y capa de servicios, con entidades como incapacidad, impresiones y flujos de gestión ya modeladas. A pesar del avance técnico, el porcentaje global del requerimiento se mantiene entre 25% y 30%, dado que gran parte del desarrollo aún no es visible para el usuario final.
26/01/2026: El sistema interno ya cuenta con estructura base (menú, header, footer) y una primera tabla de pendientes de incapacidad. Este frente entró en pausa temporal para atender requerimientos priorizados (Jira), pero se retomará en los próximos días
28/01/2026: Se avanzó en el flujo interno de aprobación de incapacidades, logrando la ejecución del proceso hasta aprobación y la visualización de una tabla de pendientes. Aún están pendientes componentes clave como asignación de usuarios, asociación de siniestros y módulo de pagos. Se trabaja en la construcción de un dashboard administrativo con gráficos para presentar un estado resumido del proceso. El avance estimado de este frente se sitúa alrededor del 40%.
29/01/2026: Se realiza presentación a ALFA del portal de incapacidades.
30/01/2026: Avance aproximado del 45%. Pendientes módulos de liquidación y reglas operativas de asignación. Se incorporanran ajustes solicitados para alineación con procesos actuales de acuerdo a la sesion  con el cliente el 29 de enero.
02/02/2026: Se continúa trabajando en la validación e incorporación de los cambios solicitados por el cliente, con el objetivo de presentar una versión actualizada. El foco del día se concentra principalmente en este frente.
04/02/2026: Se avanzó en el tema de auditoría, específicamente en escenarios de pago parcial. Sin embargo, este frente queda momentáneamente en pausa mientras el cliente define si continúa con la propuesta
26/05/2026: El 25 de Mayo se reactivo el requerimiento, levantando  el sitio y retomando las validaciones sobre el ambiente técnico
28/05/2026:  El 27 de mayo el aplicativo fue levantado en ambiente de desarrollo local y se realizaron correcciones iniciales sobre errores detectados, así como ajustes en la organización de carpetas, estructura interna y documentación técnica del proyecto. Adicionalmente, se inició una revisión preliminar de posibles conflictos entre versiones y dependencias, junto con la evaluación de nuevas técnicas y herramientas de apoyo para optimizar el análisis del sistema. Como parte del proceso, se identificó la necesidad de retomar validaciones funcionales detalladas y solicitar a Alfa los videos funcionales actuales para comparar el comportamiento esperado frente a la implementación existente
02/06/2026: se comenzará la implementación de un mecanismo de autenticación para proveedores, debido a que el enfoque inicial de acceso completamente público fue replanteado. También se está trabajando en la definición de estructuras base de tablas y listas para minimizar ajustes posteriores cuando se formalicen las definiciones funcionales por parte del cliente.
</t>
    </r>
    <r>
      <rPr>
        <rFont val="Quattrocento Sans"/>
        <b/>
        <color theme="1"/>
        <sz val="10.0"/>
      </rPr>
      <t>Pendiente:</t>
    </r>
    <r>
      <rPr>
        <rFont val="Quattrocento Sans"/>
        <color theme="1"/>
        <sz val="10.0"/>
      </rPr>
      <t xml:space="preserve"> Definir junto con el cliente el modelo de autenticación y administración de usuarios, implementar el proceso de inicio de sesión para proveedores, finalizar la estructura de datos requerida y continuar con el desarrollo de las funcionalidades del portal de incapacidades.
04/06/2026: Se generó documentación funcional apoyándose en herramientas de inteligencia artificial y fue publicada en el repositorio compartido. Sin embargo, se identificó que parte de la información fue generada tomando como base desarrollos previos y requerimientos iniciales, por lo que puede no reflejar completamente los cambios y ajustes realizados posteriormente. Se prevé una revisión y actualización de la documentación para alinearla con el estado actual del desarrollo.
El paso a seguir es analizar la documentación generada, identificar inconsistencias frente al desarrollo actual y actualizar los documentos antes de incorporarlos como referencia oficial del proyecto.
09/06/2026: Se implementó una nueva lógica denominada "pre-incapacidad", que incorpora validaciones posteriores a la radicación y genera alertas para revisión por parte de auditores. El nuevo enfoque reemplaza validaciones previas basadas en consultas manuales de identificación y permite que el sistema procese la información recibida, identifique inconsistencias y presente observaciones para gestión posterior. Este componente no estaba contemplado inicialmente dentro del alcance y agrega valor al proceso de validación. Se continua con la finalización de  validaciones internas, presentar avances en reunión funcional y continuar desarrollo del portal privado de gestión.
11/06/2026: Se continuó trabajando en el desarrollo del portal. Durante la sesión se informó la implementación de cambios orientados a eliminar pasos intermedios entre la radicación y la auditoría, mostrando directamente al usuario las validaciones que no cumple durante el proceso. Adicionalmente se ejecutaron actividades de hardening de seguridad para actualizar dependencias y validar configuraciones técnicas. Sin embargo, se acordó mantener un porcentaje de avance conservador debido a que el cliente aún no ha revisado ni validado funcionalmente la solución desarrollada.
Se continuara  con la preparaciòn de  la presentación funcional para el cliente, recopilar observaciones durante la validación y ajustar el desarrollo según los comentarios recibidos antes de continuar con nuevas funcionalidades.</t>
    </r>
  </si>
  <si>
    <t>GD772-209</t>
  </si>
  <si>
    <t xml:space="preserve"> Interoperabilidad con la plataforma SIIFA (Nueva Resolución DIAN)</t>
  </si>
  <si>
    <t>Se identificó la necesidad de realizar mejoras sobre la bandeja de reasignación, específicamente en la adición de nuevos campos visibles y la incorporación de filtros que faciliten la gestión operativa. No se requieren cambios en la lógica de reasignación, sino ajustes en la visualización y consulta de la información. Para esto, se contempla la creación de una nueva estructura (tabla) que soporte dichos cambios antes de su implementación.</t>
  </si>
  <si>
    <r>
      <rPr>
        <rFont val="Quattrocento Sans"/>
        <color theme="1"/>
        <sz val="10.0"/>
      </rPr>
      <t xml:space="preserve">14/04/2026: Requerimiento identificado a nivel conceptual. Se entiende que implica nuevos eventos al momento de radicación de soportes, pero aún no hay definición técnica ni funcional clara.
16/04/2026: Requerimiento aún no definido por negocio, existen dudas funcionales
28/04/2026: El 24 y 27 de Abril se avanzó en el análisis del nuevo requerimiento asociado al reporte de facturación hacia el Ministerio de Salud (SIIFA) Se identificaron consideraciones técnicas relevantes como manejo de grandes volúmenes de información, definición de momentos de reporte y posibles estrategias de ejecución (procesos batch o tareas programadas). Actualmente el requerimiento se encuentra en fase de análisis, a la espera de definiciones adicionales por parte del cliente antes de iniciar desarrollo.
30/04/2026: Actualmente se encuentra bloqueado debido a dependencias externas, específicamente la creación de contratos necesarios para poder consumir y visualizar información de facturación.
28/05/2026: Se continúa trabajando en la integración con SIIFA, priorizando la construcción de un comando que permita consultar la información disponible desde el 1 de mayo y realizar la radicación de facturas de acuerdo con la lógica actual del sistema. Adicionalmente, se avanza en la validación de la generación de consecutivos únicos requeridos para cada radicación, tomando como referencia información existente en tablas del sistema. Como parte de las actividades en curso, también se contempla la generación de un reporte con los registros que no ingresaron correctamente, con el fin de facilitar su control y seguimiento. El desarrollo se encuentra priorizado debido al compromiso operativo establecido para el 1 de junio.
02/06/2026: Se desarrolló y ejecutó un proceso que consulta facturas desde producción y posteriormente las radica mediante el API correspondiente. Se realizaron pruebas exitosas de descarga y conciliación de información, verificando que los registros obtenidos coinciden con la información disponible en SIIFA. Se confirmó la descarga de grandes volúmenes de información y se identificó únicamente una inconsistencia puntual correspondiente al día 9. Funcionalmente la Fase 1 fue completada.
</t>
    </r>
    <r>
      <rPr>
        <rFont val="Quattrocento Sans"/>
        <b/>
        <color theme="1"/>
        <sz val="10.0"/>
      </rPr>
      <t>Pendiente:</t>
    </r>
    <r>
      <rPr>
        <rFont val="Quattrocento Sans"/>
        <color theme="1"/>
        <sz val="10.0"/>
      </rPr>
      <t xml:space="preserve"> Formalizar la creación de las tablas requeridas en los ambientes de pruebas y producción mediante el proceso de control de cambios correspondiente. Una vez aprobados estos controles se podrá considerar completamente cerrada la fase.
04/06/2026: El 3 de junio se completó la descarga de los cargues disponibles de SIIFA correspondientes a los cortes 16, 23 y 30. Se realizó una primera ejecución del proceso logrando radicar aproximadamente 4.000 registros. Antes de continuar con el procesamiento masivo, se decidió realizar una validación de los resultados obtenidos para confirmar el comportamiento esperado. Se identificó además la necesidad de filtrar registros con estados específicos (glosadas, devueltas o anuladas) para evitar radicaciones incorrectas.
El paso a seguir  es validar las radicaciones realizadas, ejecutar nuevamente el proceso sobre los registros pendientes y revisar resultados durante la reunión de seguimiento, y determinar si hay mas cambios de lo contrario se solicitaran los controles de cambios a test.
09/06/2026: Los desarrollos requeridos para el cumplimiento normativo de SIIFA se encuentran funcionales en producción. Actualmente se opera mediante tablas temporales creadas directamente en producción mientras se valida el comportamiento esperado antes de formalizar controles de cambio y componentes visuales definitivos, se continuara con la ejecucion  nuevas cargas, validar resultados y preparar control de cambios para ambiente de pruebas.
11/06/2026: Se revisó el estado actual del procesamiento de facturas provenientes de SIIFA. Se indicó que actualmente solo se han descargado y procesado parcialmente algunos conjuntos de información, mientras que otros lotes permanecen pendientes. También se discutió la necesidad de continuar enviando información para obtener retroalimentación temprana sobre el resultado del proceso.
Se continuara con la descarga de información pendiente, ejecutar el procesamiento de los lotes restantes y validar los resultados obtenidos con los usuarios involucrados.</t>
    </r>
  </si>
  <si>
    <t>GD772-222</t>
  </si>
  <si>
    <t>NOTAS CREDITO PARA SIIFA</t>
  </si>
  <si>
    <t>1.Se requiere validación fecha de emisión de la factura para contar 22 días hábiles, si las facturas superan este tiempo no es posible permitir su radicación, debe generar una alerta manifestando que “supera los 22 días según fecha de emisión de la factura, debe generar NC, refacturación y volver a radicar” según resolución 948 del 2026. Enviar Carta adjunta.
Si la factura fue presentada a BIRC y supera los 22 días frente a fecha de emisión de la factura, se debe generar devolución de la factura. Carta adjunta.
Se debe crear un bloqueo que no permita radicar nuevamente la factura una vez devuelta al prestador por la causal DE5601.</t>
  </si>
  <si>
    <t>04/06/2026: Se revisara el alcance completo del requerimiento en la sesión  funcional programada hoy  4 de junio a las 4pm, donde se  documentara las reglas de negocio, definir fecha de vigencia y establecer comportamiento por cada causal de devolución.
11/06/2026: Continúan existiendo dudas funcionales relacionadas con la aplicación de las nuevas reglas asociadas a notas crédito. La principal incertidumbre consiste en determinar desde qué fecha deben aplicarse las validaciones y cuál debe ser el criterio utilizado para identificar las facturas sujetas a la nueva normativa. Esta definición continúa pendiente por parte del negocio.</t>
  </si>
  <si>
    <t>INTERNO-JA051</t>
  </si>
  <si>
    <t>Corrección de Duplicidad de Casos de Cartera en Nativo</t>
  </si>
  <si>
    <t>Se detectó una incidencia donde algunos casos de cartera estaban siendo replicados de forma duplicada en Nativo</t>
  </si>
  <si>
    <t>09/06/2026: El viernes 5 de junio se realizaron correcciones sobre el código y pruebas locales. Falta validar el comportamiento directamente en producción para confirmar la solución.</t>
  </si>
  <si>
    <t>GD772-200</t>
  </si>
  <si>
    <t>AJUSTE CARTA DEVOLUCION  Salud ARL</t>
  </si>
  <si>
    <t>Se solicita que la carta de devolución identifique el motivo por el cual fue devuelta la factura, ejemplo; falta de soporte de HC, Discriminado incompleto, sin soporte de autorizaciones, etc.
el requerimiento funcional: permitir seleccionar o registrar causales específicas de devolución de facturas en lugar de usar carta genérica.</t>
  </si>
  <si>
    <t>20/02/2026: Actualmente en fase de definición de cómo capturar las causales (combo u observación). Sin desarrollo iniciado. Se solicita en el Jira las  causales de devolucion.</t>
  </si>
  <si>
    <t>INTERNO-JA049</t>
  </si>
  <si>
    <t>Informe consolidado de procesos abiertos y flujos en curso en Imagine - Pensionados</t>
  </si>
  <si>
    <t>Se requiere la generación de un informe consolidado que incluya la totalidad de los procesos radicados en la plataforma Imagine que actualmente se encuentren en curso o pendientes de finalización, contemplando todas las actividades y flujos asociados. El reporte no debe limitarse a un rango de fechas específico, sino incluir todos los casos abiertos a la fecha, con el fin de garantizar la integridad, trazabilidad y continuidad operativa de los procesos activos en la plataforma.</t>
  </si>
  <si>
    <t>21/05/2026: Este requerimiento se abordara  al finalizar  la disposicion de los ambientes bajos 
04/06/2026: se indicó que el  informe  ya había sido  generado y descargado previamente, el cual sera enviado a Liyibet en la  tarde.
09/06/2026: El informe fue generado parcialmente, pero quedó pendiente complementar información relacionada con fechas debido a falta de acceso al ambiente de producción. Una vez recuperado el acceso, se podrá completar la extracción de información requerida.
El acceso a producción ya fue cocedido y se completa informe y se envia  al cliente.</t>
  </si>
  <si>
    <t>INTERNO-JA050</t>
  </si>
  <si>
    <t>Migración módulo administrativo de operaciones- De NAtivo a Yii</t>
  </si>
  <si>
    <t>Se revisó el alcance de migración de funcionalidades administrativas y módulos asociados a cuentas médicas, concluyendo que varias funcionalidades aún son utilizadas por negocio y no deben migrarse por ahora desde Nativo. Se acordó continuar utilizando el sistema actual mientras posteriormente se define una estrategia de migración independiente para dichos componentes.</t>
  </si>
  <si>
    <t>21/05/2026: Se realizó sesión con los líderes de operaciones Jhon y Doria para revisar las funcionalidades y opciones actualmente utilizadas dentro del módulo administrativo y de cuentas médicas. Durante la reunión se definió que no todas las opciones serán migradas y se acordó que Jhon realizará una validación detallada de cada funcionalidad para confirmar cuáles deben migrarse y cuáles pueden descartarse. Adicionalmente, se indicó que algunas funcionalidades continuarán operando temporalmente sobre el sistema actual mientras se completa la estrategia de migración posterior.</t>
  </si>
  <si>
    <t>GD772-124</t>
  </si>
  <si>
    <t>Creación Ficha de actualización de datos y quiero ser proveedor al portal de cuentas médicas.</t>
  </si>
  <si>
    <t>**CREACIÓN DE TIPOLOGÍAS PORTAL CUENTAS MÉDICAS**\r\n\r\n\r\nSe requiere agregar a una ficha de actualización de datos y quiero ser proveedor al portal de cuentas médicas.\r\n\r\nPortal de proveedores: \r\n \r\nSe requiere que cuando se de clic en el portal de proveedores al escoger la lista de tipologías  se agregue una denominada “ Actualice sus datos”\r\n\r\n\r\n\r\nAl seleccionar la opción actualice sus datos en el segundo paso se deben ver los siguientes campos:\r\n\r\n**2.1 INFORMACIÓN PERSONAL: ( Botón actualizar datos )**\r\n\r\n2.1.1; Nit del proveedor ( Solo caracteres numéricos sin dígito de verificación)*\r\n2.1.1 Nombre Comercial ( Sólo caracteres alfanuméricos)\r\n2.1.2 Dirección ( Campo alfanuméricos) En este campo debe existir un hablador que indique lo siguiente “ Incluya barrio, carrera, calle, número o cualquier otra información relevante para la ubicación “\r\n\r\n**2.2 TELÉFONOS DE CONTACTO**\r\n\r\n2.2.1 Teléfono personal ( Campo numéricos)\r\n2.2.2 Celular personal (Campo numéricos)\r\n2.3.2 Correo electrónico personal\r\n\r\n**2.3 CANALES DIGITALES**\r\n\r\n2.3.1 Lineas de whatsapp ( este campo debe permitir agregar más datos) ( Campo numérico)\r\n2.3.2 Teléfono consultorio ( Esta opción debe permitir agregar más teléfonos ) ( Campo numéricos)\r\n2.3.3 Correo de agendamiento\r\n2.3.4 Link de agendamiento\r\n2.3.5 Comentarios adicionales \r\n\r\n\r\nLos datos de gestión son los mismo relacionados anteriormente?\r\n\r\n\r\nEsta tipología en el segundo paso se debe ver de la siguiente manera:\r\n\r\n\r\n\r\nal dar clic en siguiente debe habilitar el campo de adjuntos, para esta tipología se requiere que el adjunto sea opcional no lleva nombre puede denominarse otros adjuntos.\r\n\r\n**FLUJO EN IMAGINE**\r\nUna vez el proveedor actualice la información o diligencie los datos debe suceder lo siguiente: (yii)\r\n\r\nAbrir un caso en imagine indicando cual es el dato que cambia del proveedor( este dato se debe marcar en un color diferente a la bandeja)\r\n\r\nImagine debe almacenar la información de los proveedores en un informe , en este informe debe visualizarse la información por fechas:\r\n\r\n\r\n\r\n\r\n\r\nEn el portal se debe precargar la información de los proveedores para la primera consulta bajo la siguiente estructura.\r\n\r\n\r\n\r\nUna vez el proveedor realice la modificación de datos en el aplicativo el sistema imagine almacenará el más reciente y este será el que le mostrará al proveedor para las siguientes consultas.\r\n\r\nEn la generación de respuesta se debe habilitar un campo en el que el actor responsable de respuesta pueda indicar en un campo de texto la respuesta tal como funciona actualmente en el aplicativo dudas reembolso:   \r\n\r\nRespuesta Generica\r\n\r\n\r\n\r\n\r\n\r\n\r\n**QUIERO SER PROVEEDOR (flujo 2)**\r\n\r\n\r\nSe requiere agregar al portal de cuentas médicas la opción quiero ser proveedor, en el cual al escoger esta opción deberá mostrar los siguientes datos:\r\n\r\n\r\n**Producto o servicio ofrecido:** campo text area- Obligatorio\r\n\r\n**tipo de documento : Campo desplegable con :** C.C, C.E, NIT, PP, - Obligatorio\r\n\r\n**Número de documento :** Campo numérico - Obligatorio\r\n\r\n**Nombres y apellidos o razón social:** campo alfanumérico - Obligatorio\r\n\r\n**Teléfono de contacto:**  Campo numérico - Obligatorio\r\n\r\n**Correo de contacto:**  campo alfanumérico - Obligatorio\r\n\r\n\r\nUna vez el proveedor  diligencie los datos debe dar clic en siguiente y pasar al paso de adjuntos: \r\n\r\n\r\nAl dar clic en siguiente debe habilitar el campo de adjuntos, para esta tipología se requiere que el adjunto sea obligatorio y debe denominarse propuesta de servicios , puede agregar más adjuntos.\r\n\r\n\r\nA nivel de flujos : \r\n\r\nAbrir un caso en imagine con un flujo predeterminado el cual debe ser parametrizable en cuanto actores\r\n\r\nel usuario en la bandeja debe poder ver todos los datos que fueron diligenciados por el proveedor en el portal \r\n\r\nEn la gestión del caso se debe poder almacenar en un campo el servicio ofrecido por el proveedor a campo de texto, en la gestión del caso\r\n\r\nEn la generación de respuesta se debe habilitar un campo en el que el actor responsable de respuesta pueda indicar en un campo de texto la respuesta tal como funciona actualmente en el aplicativo dudas reembolso:   \r\n\r\n\r\n\r\n\r\nadicional a esto debe permitir adjuntar archivos los cuales se relacionarán en la respuesta , este adjunto no es obligatorio\r\n</t>
  </si>
  <si>
    <t>10/09/2025: Se iniciará con el requerimiento tan pronto finalice el requerimiento GD772-123 Asignación y gestión de tareas. las pruebas estan programadas para 25 de septiembre.
22/09/2025: Iniciada rama de desarrollo para implementación de pestañas
24/09/2025: Se crearon las tipologías y se validó la lógica de negocio. Se tiene previsto subir a ambiente de pruebas el 25 de septiembre para iniciar validaciones.
26/09/2025: Se avanzó en la radicación y las bandejas ya se encuentran desarrolladas. Actualmente falta implementar la lógica y validar los campos solicitados por negocio, ya que aún no está definida con claridad la lógica de comparación con otras tablas. Adicional se encuentra en desarrollo las  vistas de gestión
29/09/2025: Se ajustó radicación para proveedores, se entregara a Jenry para pasarlo a test, y se continuara trabajando con todo el tema del  flujo.
30/09/2025: Se escala control de cambios en test MDSB-900977 para la creaciòn de las tablas rad_actualizacion_datos y rad_quiero_ser_proveedor. Control de cambios ejecutado con exito.
01/10/2025: A la fecha se finalizó el proceso de radicación junto con la gestión asociada. Actualmente se encuentra pendiente la realización de comparaciones con la tabla principal y el ajuste en la forma de presentar la respuesta. 
Se escala un segundo control de cambios MDSB-902017 para la creación  de la tabla maestro_proveedores y la adición de las columnas id_actividad_tipologia y usuario_asignado en las tablas rad_actualizacion_datos y rad_quiero_ser_proveedor, Confirman ejecucion exitosa de este cambio.
Se radica tercer  control de cambios a test MDSB-902521 para la creacion de la tabla log_cambios_proveedores
03/10/2025: El desarrollo presenta un 95% de avance, con flujos de radicación, maestro, historial y bandejas implementados. Solo resta validar la funcionalidad de “Quiero ser proveedor” y realizar pruebas finales en ambiente de test.
06/10/2025: Durante el viernes se realizaron correcciones a errores detectados y se avanzó en la funcionalidad de gestión del módulo “Quiero ser proveedor”, quedando pendiente la incorporación del componente para carga de adjuntos y el paso completo a ambiente de pruebas, sujeto a la actualización de la IP. La solicitud de acceso a pruebes se realizo en el ticket MDSB-903580.
08/10/2025: El desarrollo se encuentra en ambiente de pruebas (TEST) y funcional. Solo resta crear un informe de comportamiento por NIT y validar su ubicación dentro del sistema. Las pruebas iniciales de actualización y radicación fueron exitosas, quedando pendiente la validación por parte del usuario (Santiago)
23/10/2025: Clinete da el aval para proceder con el paso a producción, se escala control de cambios MDSB-916903
28/10/2025: Control de cambios aprobado por comité y ejecutado con exito.
29/10/2025: Se identificó un error en la creación de tablas en el esquema equivocado (TES: public / Producción: cuentas médicas)
31/10/2025: El 30 de octubre se realiza paso  a producción. La funcionalidad de radicación fue verificada parcialmente y se confirmó que el proceso opera correctamente .</t>
  </si>
  <si>
    <t>MDSB-900977 / MDSB-902017 / MDSB-902521</t>
  </si>
  <si>
    <t>MDSB-916903</t>
  </si>
  <si>
    <t>GD772-124_1</t>
  </si>
  <si>
    <t xml:space="preserve">Error de Esquema en Tablas (Cuentas Médicas / Public) Req actualización de datos y quiero ser proveedor </t>
  </si>
  <si>
    <t>Se identificó un error en la creación de tablas en el esquema equivocado (TES: public / Producción: cuentas médicas).</t>
  </si>
  <si>
    <t>29/10/2025: Pendiente ejecutar un control de cambios en test para unificar esquemas y asegurar la coherencia entre ambientes.
07/11/2025: Se estima solicitar hoy el cambio requerido.
12/11/2025: Se escala control de cambios a test  MDSB-928600
13/11/2025: Control de cambios ejecutado  correctamente.</t>
  </si>
  <si>
    <t>MDSB-928600</t>
  </si>
  <si>
    <t>CNTI-96-1</t>
  </si>
  <si>
    <t xml:space="preserve">Validar rechazo Vulnerabilidad CNTI-96  en cuanto a unsafe-inline y unsafe-eval </t>
  </si>
  <si>
    <t>01/08/2025: El 31 de julio se recibió un rechazo a la respuesta de la  vulnerabilidad CNTI-96 mitigada anteriormente. Se acordó revisar el caso nuevamente y gestionar la situación con las personas encargadas del tema de seguridad (SSP) para obtener validación.
04/08/2025: El día viernes se respondió indicando que es necesario validar con la persona encargada de infraestructura, ya que no contamos con el JIRA de aprobación solicitado.
11/08/2025: Se revisará nuevamente con el cliente debido a inconformidad con la respuesta inicial, justificando técnicamente las medidas tomadas.
20/08/2025: El 11 de agosto el requerimiento quedó resuelto. Se implementaron componentes de seguridad adicionales y el área de seguridad validó la solución.</t>
  </si>
  <si>
    <t>GD772-194_1</t>
  </si>
  <si>
    <t>Elaboracion de HU  Comunicados Independientes Voluntarios</t>
  </si>
  <si>
    <t>04/03/2026: Se finalizan HU y se envian a Liyibet  para su validacion .</t>
  </si>
  <si>
    <t>INTERNO-D016</t>
  </si>
  <si>
    <t>Implementacion de almacenamiento temporal de imágenes</t>
  </si>
  <si>
    <t>EN TEST</t>
  </si>
  <si>
    <t>01/08/2025:  Se detectó pérdida de imágenes al realizar cambios de infraestructura. Se propuso implementar un almacenamiento temporal de imágenes (buffer de contingencia por al menos 5 días) para evitar pérdida de información crítica en futuras contingencias.
04/08/2025: El viernes 1 de agosto se trabajó parcialmente en la radicación ARL y autorizaciones, pero fue interrumpido por otras tareas.
11/08/2025: Tarea pendiente de ejecución; se espera completarla en la jornada actual.
12/08/2025: Se realiza implementaciòn en ambiente de pruebas.
10/09/2025: Se definieron directorios para transferencia de archivos (BSS). Se creó requerimiento adicional de almacenamiento temporal por 7 días.  Fabio realizara pruebas del almacenamiento temporal.
29/10/2025: Se agendara sesión de prueba con Danilo y validar resultados.</t>
  </si>
  <si>
    <t>Inicia 01 de agosto</t>
  </si>
  <si>
    <t>GD772-128_0</t>
  </si>
  <si>
    <t xml:space="preserve">  HU Creaciòn Malla de asignación</t>
  </si>
  <si>
    <t>19/09/2025: Se entrega HU a Liyibet y Jenry para su validación y aprobación.
26/09/2025: HU aprobadas y enviadas al cliente el 24 de septiembre.
01/10/2025: se realiza modificaciones indicadas por el cliente.</t>
  </si>
  <si>
    <t>INTERNO-F006</t>
  </si>
  <si>
    <t>Incluir plantillas vacias en el modulo de envios masivos en Nativo</t>
  </si>
  <si>
    <t>26/09/2025: Ya se tienen la mayoria de las plantillas , solo esta pendiente la correspondiente al proceso de la  tipologia  "Masivo de Cobranza", esta fue solicitada a Duvan Tamayo y se esta a la espera del  envio.
01/10/2025: usuario confirma que esa tipologia para envios masivos no esta en uso.
03/10/2025: Se detiene hasta tanto desarrollo tenga espcio para realizar la actualizacion.
01/12/2025: Se solicita ayuda a Jesus  para  colocar los archivos requeridos en el madulo de envios masivos</t>
  </si>
  <si>
    <t>INTERNO-F009</t>
  </si>
  <si>
    <t>Documentación Técnica – Proceso de Envío Certificado 472</t>
  </si>
  <si>
    <t>10/11/2025: Se Finaliza la elaboración de la documentación técnica completa del proceso de envío certificado 472, describiendo su funcionamiento, flujo interno, dependencias y mantenimiento.
El documento detalla la estructura del comando certificacion:correos_pendientes, las tablas involucradas (cola_correos, seguimiento_mail_certificado, activacion_colas), la ejecución automática por cron, control de colas, manejo de errores comunes, logs y recomendaciones de monitoreo preventivo.</t>
  </si>
  <si>
    <t>GD772-161_1</t>
  </si>
  <si>
    <t>Elaboracion de HU Automatización actas de prevención Formato AT- 031 Agr</t>
  </si>
  <si>
    <t xml:space="preserve">30/10/2025: Se finalizan HU y se envian a Liyibet y Jenry para su validación y aprobación. </t>
  </si>
  <si>
    <t>INTERNO-F010</t>
  </si>
  <si>
    <t>Ajustar documentación tecnica de los Requerimientos: GD772-124,</t>
  </si>
  <si>
    <t>23/10/2025: Jairo suministra archivo .md  con la documentación  para  pasar  y ajustar en pdf.
01/12/2025: Organiza y se carga documentación tecnca en el directorio (Nativo).</t>
  </si>
  <si>
    <t>MDSB-927962</t>
  </si>
  <si>
    <t>Jiras dia a dia (Validar Error en la generación de cartas de Aviso de incumplimiento)</t>
  </si>
  <si>
    <t xml:space="preserve">Reporte:
“Error en la generación de cartas de Aviso de incumplimiento“
Se evidencia error en la generación de las cartas PDF para el Aviso de incumplimiento, dado que la estructura fue cargada de manera correcta pero en las cartas el campo periodo quedó en blanco.
Casos ejemplo:
40086182
40277999
 Solicitamos por favor su ayuda para identificar el error que esta generando las cartas con información incompleta. Dado que en el mes de agosto si estaba generando correctamente las cartas. Caso: 39507289 </t>
  </si>
  <si>
    <t>11/11/2025: Se solicitan los archivos cargados para realizar validaciones.
14/11/2025: Entre ayer y hoy, tras recibir los formatos utilizados por el usuario para los cargues masivos de agosto, septiembre y octubre, se realizaron las validaciones correspondientes.
Durante la revisión se identificó que el usuario que efectuó el cargue en septiembre y octubre es diferente al que realizó el cargue en agosto, siendo estos primeros los que presentan el error.
De acuerdo con las validaciones, se evidenció que cuando en la hoja “Empresas” se registra  “Bogota DC” en el campo Departamento (con el “DC” unido), el sistema no muestra el departamento en la carta de notificación ni el período de cotización.
19/11/2025: Se realiza la validación respecto al error reportado en la generación de cartas PDF de Aviso de Incumplimiento, específicamente por la ausencia del campo periodo en algunos casos.
Después de realizar varias pruebas con los formatos cargados en los meses de agosto, septiembre y octubre, se identifica lo siguiente:
El problema solo se presenta en los casos donde el campo “departamento” está diligenciado como “BOGOTA DC”.
Para los demás departamentos, las cartas se generan correctamente mostrando el periodo.
Al revisar los archivos correspondientes al mes de agosto, se evidencia que ningún registro tiene el departamento como “BOGOTA DC”, y por este motivo todas las cartas generadas en ese mes muestran correctamente el periodo.
Se realizaron pruebas ajustando el campo departamento a “BOGOTA D C” (separando las letras D y C), y con esta estructura las cartas se generan correctamente y el periodo se visualiza sin inconvenientes.
Con lo anterior, se confirma que el error está asociado al valor específico “BOGOTA DC” en el campo departamento, lo cual afecta la lógica que define la impresión del periodo en el PDF.</t>
  </si>
  <si>
    <t>GD772-137_2</t>
  </si>
  <si>
    <t>Pruebas  test Mejoras Modalidad teletrabajo transnacional (Flujo)</t>
  </si>
  <si>
    <t>07/10/2025: Se iniciaron las pruebas del flujo de modalidades; hasta el momento únicamente se han identificado hallazgos de forma, los cuales fueron notificados a Jesús para su respectiva corrección. 
27/10/2025: Tras la entrega al cliente para pruebas el 15 de octubre, el 22 de octubre se notificó un hallazgo relacionado con la ciudad del trabajador registrada en el caso después de la radicación. Jesús realizará el ajuste el día de hoy y posteriormente se efectuarán las pruebas correspondientes.</t>
  </si>
  <si>
    <t>GD772-137_3</t>
  </si>
  <si>
    <t>Manual de usuario_ Mejoras Modalidad teletrabajo transnacional (Flujo)</t>
  </si>
  <si>
    <t>MDSB-855985</t>
  </si>
  <si>
    <t>Jiras día a día (Corrección de casos radicados del buzón ARL sin trazabilidad)</t>
  </si>
  <si>
    <t xml:space="preserve">01/08/2025: Se identificaron 78 casos (de un total de 306 observados) que quedaron en estado incompleto debido a una falla en la trazabilidad del sistema. Se desarrollo un script para completar la asignación de tipología y restablecer su curso normal.
</t>
  </si>
  <si>
    <t>GD772-126</t>
  </si>
  <si>
    <t xml:space="preserve"> Bloquear la radicación de facturas por primera vez Colsubsidio</t>
  </si>
  <si>
    <t>Se solicita bloquear la radicación de facturas por primera vez al NIT 860007336, Colsubsidio, lo anterior por cierre de EPS.
04/08/2025:Se realiza el bloqueo del NIT 860007336 (Colsubsidio) y se despliega en los ambientes de prueba (test) y producción.</t>
  </si>
  <si>
    <t>inicia</t>
  </si>
  <si>
    <t>GD772-127</t>
  </si>
  <si>
    <t>Bloqueos radicación prestadores, paz y salvo</t>
  </si>
  <si>
    <t>Por cierre de EPS Bolívar se requiere que se bloquee la radicación de primera vez y respuesta a glosa para este ramo EPS de los prestadores relacionados en adjunto, con dichos prestadores se cuenta con paz y salvo por todo concepto.
05/08/2025: Se esacla control de  cambios para ambiente de pruebas MDSB-859020. Control de cambios ejecutado con exito.
06/08/2025: Se desarrollo se encuentra en ambiente de test para pruebas y aprobaciòn del cliente.
08/08/2025: Se escala control de cambios MDSB-861215 para producciòn. 
11/08/2025: Control de cambios en proceso de Aprobación QA / PO / Jefatura.
13/08/2025: Control de cambios aprobado por comite y se ejcutara el 13 de Agosto a las 4 pm:
19/08/2025: El 13 de agosto se ejecuta con exito el control de cambios en produccion
20/08/2025: El requerimiento fue migrado a producción el 14 de agosto y se encuentra estable en operación.</t>
  </si>
  <si>
    <t>MDSB-859020</t>
  </si>
  <si>
    <t>MDSB-861215</t>
  </si>
  <si>
    <t xml:space="preserve">inicia con control de cambios </t>
  </si>
  <si>
    <t>INTERNO-JA014</t>
  </si>
  <si>
    <t>Mejoras Informe consolidado ARL</t>
  </si>
  <si>
    <t>Se solicita la validación del informe debido a demoras identificadas en su tiempo de ejecución</t>
  </si>
  <si>
    <t>11/08/2025: Estima iniciar con las mejoras.
13/08/2025: Se pausa  para continuar con req GD772-123 Bloqueo de facturas.
20/08/2025: No se ha iniciado el desarrollo, aunque se identificó que el informe actual presenta tiempos de descarga altos (13–21 minutos). Se mantiene pendiente por priorización.
22/08/2025: Se organizó el query, avance 30%. Faltan pruebas para validar resultados y definir ajustes.
27/08/2025: Se encuentra pausado hasta termiar  req GD772-123 Asignación y Gestión de Tareas en la Solución de Cuentas Médicas.
17/09/2025: Se está ajustando el informe de ARL en paralelo con el paso de información al lago de datos, unificando campos y estructura para que ambas fuentes tengan datos consistentes.</t>
  </si>
  <si>
    <t>INTERNO-JA015</t>
  </si>
  <si>
    <t>Mejoras Informe consolidado SALUD</t>
  </si>
  <si>
    <t>Se solicita la validación del informe debido a demoras identificadas en su tiempo de ejecución
19/09/2025: El informe se encuentra listo para pasare a producciòn.</t>
  </si>
  <si>
    <t>INTERNO-JA019</t>
  </si>
  <si>
    <t>Mejoras informe ARL reembolsos (consolidado</t>
  </si>
  <si>
    <t>05/09/2025: El informe presentaba fallas desde su entrega inicial. Fue corregido y actualmente permite descarga y visualización correcta.</t>
  </si>
  <si>
    <t>INTERNO-D017</t>
  </si>
  <si>
    <t>Ajuste en Radicación Express</t>
  </si>
  <si>
    <t>04/08/2025:  El viernes 1 de agosto se detectaron causísticas no contempladas; se ajustó el modelo para mejorar la detección. Se validó el modelo, se reentrenó y se probaron registros.</t>
  </si>
  <si>
    <t>INTERNO-D018</t>
  </si>
  <si>
    <t>Mejoras del analisis  informe de reembolsos Salud</t>
  </si>
  <si>
    <t>04/08/2025: El viernes 1 de agosto se construyó un script para envío diario de análisis a correos configurables. Aún requiere depuración.
Mejorar analisis en pdf 
11/08/2025: Pendiente de mejora: generar el informe en PDF con información organizada y gráficos, reemplazando el archivo plano actual, Se retomara tan pronto finalice la Implementacion de almacenamiento temporal de imágenes.
22/08/2025: Implementación en un 70%. Ya se mejoró la presentación y estilos (PDF), se añadieron KPIs y metas SLA, pero faltan ajustes finales antes de liberar a producción.
01/09/2025: Se completó la mejora en los informes y se encuentra listo para paso a producción.
03/09/2025: Las mejoras correspondientes fueron implementadas y desplegadas en producción el 1 de septiembre, por lo cual el requerimiento se considera concluido.</t>
  </si>
  <si>
    <t>CNTI-488</t>
  </si>
  <si>
    <t xml:space="preserve"> Big Redirect Detected (Potential Sensitive Information Leak)</t>
  </si>
  <si>
    <t>04/08/2025: Se recibió información técnica sobre las vulnerabilidades (Redirect). No se han validado completamente pendiente de análisis
 Resuelto en produccion 
06/08/2025:Se resolvió la vulnerabilidad reportada en el manejo del error 302. La solución fue implementada el 05 de agosto y ya está en producción. Se enviaron las evidencias correspondientes.</t>
  </si>
  <si>
    <t>INTERNO-JA016</t>
  </si>
  <si>
    <t>Restringir la creación de usuarios en yii con igual correo</t>
  </si>
  <si>
    <t>06/08/2025: Se definió implementar validación en Yii para prevenir creación de nuevos usuarios con correos existentes. Afectará solo nuevos registros
11/08/2025: El viernes 8 de agosto se implementó en el ambiente de pruebas (test) la restricción para la creación de usuarios con el mismo correo en YII. Se confirma paso a produccion.
22/08/2025: Se realizan pruebas en produccion y se verifica que a un no está implementada la restricción.
22/08/2025: Se realiza paso a produccion.</t>
  </si>
  <si>
    <t>INTERNO-JE013</t>
  </si>
  <si>
    <t>Validar recuperacipon de contraseña para el  usuario 101010</t>
  </si>
  <si>
    <t>08/08/2025: El 6 de agosto se realizó la validación y se identificó que, en el ambiente de pruebas (test), al momento de efectuar la recuperación de contraseña, el sistema redirige directamente al login. Este comportamiento será revisado en conjunto con Danilo.
11/08/2025: La redirreciòn ya no se presenta, Funcionalidad operativa en otros entornos, pero sin retroalimentación visual en TEST. Pendiente revisión para evitar que el error pase a producción.</t>
  </si>
  <si>
    <t>MDSB-856527</t>
  </si>
  <si>
    <t>jiras dia a dia (Error en cargue de adjuntos nativo)</t>
  </si>
  <si>
    <t>05/08/2025:  La incidencia se originó debido a que el aplicativo reemplazaba los adjuntos al momento de su cargue, por coincidencias en los nombres de archivo. Como medida correctiva, se implementó la adición de un identificador único en el nombre de cada adjunto, lo que evita la sobrescritura y asegura que cada documento se almacene de forma independiente.</t>
  </si>
  <si>
    <t>INTERNO-JE034</t>
  </si>
  <si>
    <t>Reenvío correos de notificación radicados entidades</t>
  </si>
  <si>
    <t xml:space="preserve">Agradezco por favor la ayuda de ustedes para que se realice el reenvio de los radicados de juntas recibidos del 26 de febrero al 3 de marzo, con el objetivo de que las entidades reciban la confirmación del radicado; lo anterior teniendo en cuenta que no se estaba notificando de acuerdo a la falla transversal de la salida por Exchange.
</t>
  </si>
  <si>
    <r>
      <rPr>
        <rFont val="Quattrocento Sans"/>
        <color theme="1"/>
        <sz val="10.0"/>
      </rPr>
      <t xml:space="preserve">04/03/2026: Se aprobó el reproceso de radicados entre el 26 de febrero y el 3 de </t>
    </r>
    <r>
      <rPr>
        <rFont val="Quattrocento Sans"/>
        <color rgb="FF1155CC"/>
        <sz val="10.0"/>
        <u/>
      </rPr>
      <t>marzo.Se</t>
    </r>
    <r>
      <rPr>
        <rFont val="Quattrocento Sans"/>
        <color theme="1"/>
        <sz val="10.0"/>
      </rPr>
      <t xml:space="preserve"> realizará consulta en base de datos para obtener IDs y ejecutar comando de reenvío agrupando registros.
Se ejecuta comando  y se realiza el reenvio de  correos satisfactoriamente.</t>
    </r>
  </si>
  <si>
    <t>MDSB-996108</t>
  </si>
  <si>
    <t>Jiras día a dia (Solicitud de listado de usurios Activos)</t>
  </si>
  <si>
    <t>Solicitamos por favor la colaboración de ustedes para obtener el listado general de usuarios en estado activo que realizan alguna gestión dentro del aplicativo imagine (nativo, YII o laravel); excluyendo los usuarios que unicamente consultan o unicamente radican.
Cantidad
listado de usuarios (numero de documento, correo, nombres)</t>
  </si>
  <si>
    <t>09/03/2026: Se inicia  extracción  de información.
11/03/2026: El 10 de marzo en la tarde  se extraer informacion de  usuarios que gestionan en Nativo, pendiente extraccion de información de  Yii y Laravel.
12/03/2026: se extraer listado de usuarios  Laravel.</t>
  </si>
  <si>
    <t>MDSB-997453</t>
  </si>
  <si>
    <t>Jiras día a dia (Error en la descarga de informes de gestión)</t>
  </si>
  <si>
    <t>Por medio de la presente refiero que he intentado realizar la descarga en repetidas ocaciones de reportes de “Informe de Gestión”, los cuales son descargados pero no cargan aun cuando el periodo de tiempo elegido no es el mes completo sino por ejemplo se eligen solo 15 días.
Colicito por tanto validar la incidencia para poder disponder del respectivo archivo descargado.</t>
  </si>
  <si>
    <t>09/03/2026: Se realiza ajuste en test , se realiazan pruebas  exitosas, se realizara  paso a producción 
Se valida incidencia en la descarga del Informe de Gestión, identificando alto tiempo de procesamiento por múltiples consultas por registros en la generación del reporte. Se optimiza el proceso realizando una sola consulta por registro.</t>
  </si>
  <si>
    <t>https://github.com/Imaginesas/bolivar_migration/compare/master...hotfix/informeActividadExcel?expand=1</t>
  </si>
  <si>
    <t>INTERNO-JE031_3</t>
  </si>
  <si>
    <t>Migración Nativo – gestión de usuarios y roles</t>
  </si>
  <si>
    <t>11/03/2026: El marzo 10 se inició el proceso de migración de la configuración de menús, roles y permisos de usuario desde el sistema Nativo hacia el nuevo aplicativo que lo reemplazará.Actualmente ya se migró la estructura de menús, pero aún faltan dos vistas clave:  Administración de roles y permisos,  Administración de usuarios.
La meta es consolidar toda esta gestión en una única vista más clara y fácil de administrar.
13/03/2026: El 12 de marzo  se avanzo  en la migración del módulo nativo, específicamente en Roles, Menús y Edición de usuarios
Se identificó un problema estructural: el sistema maneja dos tablas de roles (riesgo y radicador) que deben mantenerse sincronizadas manualmente.
Se decidió eliminar una de las tablas y dejar solo la de riesgos para simplificar el mantenimiento.
17/03/2026: El 12 de marzo se finalizo la migracion   de gestión de usuarios, roles y menús</t>
  </si>
  <si>
    <t>INTERNO-JE031_4</t>
  </si>
  <si>
    <t>Migración Nativo - Eliminar tabla de Radicador</t>
  </si>
  <si>
    <t>En el dayli del 13 de marzo  se decidió eliminar una de las tablas y dejar solo la de riesgos para simplificar el mantenimiento.</t>
  </si>
  <si>
    <t>17/03/2026: El 16 de marzo se finalizo y se ejecutó la eliminación de la tabla de Radicador, dejando únicamente la tabla de Riesgo como fuente única.</t>
  </si>
  <si>
    <t>INTERNO-JE035</t>
  </si>
  <si>
    <t>Corrección de bug – Visor de PDF (Firma digital)</t>
  </si>
  <si>
    <t>Se identificó un error en producción donde:
Archivos PDF grandes (&gt;20 páginas) no se podían visualizar.</t>
  </si>
  <si>
    <t>17/03/2026: Se implementó una solución que permite:Visualizar documentos de gran tamaño (probado hasta ~190 páginas).
El ajuste ya fue desplegado en producción</t>
  </si>
  <si>
    <t>MDSB-1016437</t>
  </si>
  <si>
    <t>jiras día a día- No permite cerra caso 44473594 calificacion.</t>
  </si>
  <si>
    <t xml:space="preserve">Agradecemos su apoyo con la validación del flujo para cierre de los casos 44473594 - 44555072, correspondientes a la tipología Violencia Y Deterioro Social, esto debido a que al diligenciar el formulario correspondiente y enviar, no se generar el cierre.
======================================================================
</t>
  </si>
  <si>
    <t>21/04/2026: Se mantiene abierto un incidente en el flujo de calificación donde, a pesar de que el usuario completa el formulario y adjunta archivos, la acción no se ejecuta y el caso no presenta cambios, generando un bloqueo operativo con más de 20 días de antigüedad. Actualmente se requiere revisión técnica conjunta para identificar la causa raíz, ya que podría estar relacionada con fallos en la persistencia, manejo de adjuntos o ejecución del evento en el backend.
21/04/2026: Se identifica que:
Al momento de gestionar el caso, el sistema generaba el error ORA-20030, el cual indica que la calificación ya se encuentra registrada en SISALUD.
Se evidencia que los campos calificación y responsable en la base de datos local se encuentran en NULL, por lo que el caso quedó parcialmente procesado.
Esta inconsistencia sugiere que, durante el proceso, la información se registró en SISALUD pero no se completó la actualización en la base de datos local, posiblemente debido a una intermitencia. No obstante, no fue posible identificar la causa exacta.
Acciones realizadas:
Se implementan ajustes para que, en los casos donde la calificación ya exista en SISALUD, el sistema registre la información pendiente en la base de datos local y permita finalizar correctamente el proceso de cierre.</t>
  </si>
  <si>
    <t>MDSB-1037704</t>
  </si>
  <si>
    <t>Jiras día a día- Solicitud  de Informacion  informe de seguimiento por actividad</t>
  </si>
  <si>
    <t>Solicito su apoyo para generar una consulta del "informe de seguimiento por actividad" para el área de prevención de aliados estratégicos. El informe debe contemplar el periodo comprendido entre el 1 de enero de 2026 y el 30 de abril de 2026.</t>
  </si>
  <si>
    <t>12/05/2026: El 11 de mayo se optimiso la consulta y se cambio el formato de descarga del informe a CSV  para que el usuario pudiera autogestionar  el informe.</t>
  </si>
  <si>
    <t>GD772-168_8</t>
  </si>
  <si>
    <t>Boton devolución de incapacidades a flujo automático</t>
  </si>
  <si>
    <t>Se debe implementar una nueva funcionalidad orientada a permitir que los casos gestionados manualmente puedan ser corregidos y posteriormente devueltos al flujo automatizado de procesamiento por API. La solución permitiría que un analista realice ajustes sobre una incapacidad que no cumple validaciones y posteriormente la reincorpore al flujo automático sin necesidad de reprocesos manuales completos.</t>
  </si>
  <si>
    <t>16/06/2026: En esperar definición y aprobación por parte de negocio, validar alcance funcional y definir las actividades de desarrollo necesarias para su implementación.</t>
  </si>
  <si>
    <t>INTERNO-JE042</t>
  </si>
  <si>
    <t>Informe de tipologías (campos de radicación Nativo)</t>
  </si>
  <si>
    <t>Se solicita generar un informe detallado que liste todos los campos que actualmente se requieren diligenciar al usuario durante el proceso de radicación en el sistema Nativo, organizados por cada tipología existente. El propósito de este levantamiento es brindar visibilidad completa al cliente sobre la información que hoy se está solicitando, de manera que pueda definir cuáles campos deben mantenerse y cuáles ya no son necesarios. Este insumo será clave para la migración al nuevo sistema, permitiendo optimizar el modelo de datos y evitar trasladar campos obsoletos o sin uso al nuevo módulo de radicación.
Mejoras / alcance solicitado:
Listar todos los campos requeridos por cada tipología de radicación.
Consolidar la información de forma clara y entendible para el cliente.
Permitir la validación por parte del cliente para definir:
Campos que se mantienen.
Campos que se eliminan.</t>
  </si>
  <si>
    <t>24/04/2026: Modulo para descargar  informe en test el 23 de Abril.
28/04/2026: El viernes 24 de abril se entregó una vista descargable con todas las tipologías activas/desactivadas y sus campos en el nativo. Se requiere mejorar la vista para que no muestre todas las tipologías, sino solo las relevantes para la opción de radicación, o incluir un filtro.
30/04/2026: Se reporta pausa por prioridad de desarrollo del  req  GD772-212  Orquestación Asíncrona con IA, Encolamiento y Estrategia de Reintentos para APIs</t>
  </si>
  <si>
    <t>INTERNO-JE043</t>
  </si>
  <si>
    <t>Implementación de logs en módulo administrativo del nuevo sistema Nativo</t>
  </si>
  <si>
    <t>Se solicita implementar un mecanismo de registro (logs) que permita llevar trazabilidad de todos los movimientos realizados a nivel administrativo dentro del nuevo sistema de Nativo. El objetivo es contar con un historial detallado de las acciones ejecutadas por los usuarios con permisos administrativos, facilitando el control, seguimiento y auditoría de cambios en el sistema.
Alcance de la solicitud:
Registrar todas las acciones realizadas en el módulo administrativo.
Identificar el usuario que ejecuta cada acción.
Registrar el tipo de operación realizada (creación, edición, eliminación, cambios de configuración, etc.).
Almacenar fecha y hora de cada evento.
Permitir la consulta del historial de cambios para seguimiento y auditoría.</t>
  </si>
  <si>
    <t>28/04/2026: Se han analizado cinco tablas tentativas para usar y se ha escogido una. Todavía no se ha iniciado el código.
30/04/2026: Se reporta pausa por prioridad de desarrollo del  req  GD772-212  Orquestación Asíncrona con IA, Encolamiento y Estrategia de Reintentos para APIs</t>
  </si>
  <si>
    <t>INTERNO-JE045</t>
  </si>
  <si>
    <t>Implementar validacion de direcciones en masivos de  independientes - Nuevo nativo</t>
  </si>
  <si>
    <t xml:space="preserve">28/04/2026: Informa que la implementacion  se realizo  pero  por alguna razon  no se refleja el cambio, continuara  validando
28/04/2026: Fabio: Se realizan pruebas en test y la  validación de direcciones  en las dos tipologias  funcionan correctamente.
06/05/2026: Se envia aclaracion de la estructura  implementada para la validación de direcciones y se solicita  tipos de direcciones deberían ser aceptadas  y  tipos de direcciones no deberían ser aceptadas.
</t>
  </si>
  <si>
    <t>INTERNO-JE044</t>
  </si>
  <si>
    <t>Mejora a masivos para salir a producción_ Nuevo Nativo</t>
  </si>
  <si>
    <t>Mejora a masivos para salir a producción:
1. Cuando se finalice el paso 5,  creación de todos los casos enviar un correo con el excel  incialmente cargado y relacionar una columna adicional con el número de caso relacionado. 
2. El menu solo debe mostrar la opcion de masivos, ninguna otra funcionalidad.
3. Adicionalmente, se debe implementar una validación que permita identificar cuando la tipología no cuenta con un flujo definido.</t>
  </si>
  <si>
    <r>
      <rPr>
        <rFont val="Quattrocento Sans"/>
        <color theme="1"/>
        <sz val="10.0"/>
      </rPr>
      <t xml:space="preserve">28/04/2026: El menú del nuevo masivo ya muestra solo la opción de masivo, La funcionalidad de enviar un CSV con los casos creados ya está en test  y  El cambio de validación de tipologías está desarrollado localmente y se subirá a test hoy
28/04/2026: Fabio: Se realiza validación de  los 3 ajustes   y  funcionan  correctamente, </t>
    </r>
    <r>
      <rPr>
        <rFont val="Quattrocento Sans"/>
        <b/>
        <color theme="1"/>
        <sz val="10.0"/>
      </rPr>
      <t>solo se deben realizar  modificaciones de  forma  a la notificacion del  punto 1 (</t>
    </r>
    <r>
      <rPr>
        <rFont val="Quattrocento Sans"/>
        <i/>
        <color theme="1"/>
        <sz val="10.0"/>
      </rPr>
      <t>Cuando se finalice el paso 5,  creación de todos los casos enviar un correo con el excel  incialmente cargado y relacionar una columna adicional con el número de caso relacionado</t>
    </r>
    <r>
      <rPr>
        <rFont val="Quattrocento Sans"/>
        <color theme="1"/>
        <sz val="10.0"/>
      </rPr>
      <t>)
05/05/2026: Notificacion de creacion de casos corregidad</t>
    </r>
  </si>
  <si>
    <t>INTERNO-JE031_5</t>
  </si>
  <si>
    <t>Migración Nativo - Botones Gestion del caso.</t>
  </si>
  <si>
    <t>18/03/2026: Se ha  realizado la migración de 2 botones, el avance de esta actividad  se pausa  por asignacion de tareas  con urgencia mayor.
24/03/2026: Se reiniciara  la migración de botones de gestión al nuevo nativo
26/03/2026: El desarrollo asociado a la migración de botones de gestión en el sistema nativo se encuentra temporalmente pausado, priorizando la estabilización de los procesos masivos y las pruebas en ambiente TEST para evitar reprocesos y asegurar una base funcional sólida.
16/04/2026: El 15 de abril se migraron tres botones con funcionalidad completa, como parte del avance incremental del módulo. Pendientes: Se requiere completar los botones restantes y realizar la integración total con el flujo
21/04/2026: Se ha avanzado de manera significativa en la migración de botones: de un total de 55, se han revisado 44. Actualmente, se continúa con la migración de los elementos restantes.
23/04/2026: El 23 de Abril se completo la migracion de la totalidad de los  botones, se están realizando pruebas en local directas por código para garantizar su correcto funcionamiento antes de su despliegue en ambiente de pruebas (TEST), donde quedará disponible para validación funcional.
21/05/2026: En el momento Imagine no cuenta con ambiente de pruebas.</t>
  </si>
  <si>
    <t>INTERNO-JE031_6</t>
  </si>
  <si>
    <t>Migración Nativo- Pruebas masivos en desarrollo</t>
  </si>
  <si>
    <t xml:space="preserve">18/03/2026: El 17 inicio pruebas  de masivos en desarroll o, Se detectó que al cargar un masivo se triplica (posiblemente por el comportamiento del framework en pruebas), pero los casos se crean correctamente. Hoy se continuara con las pruebas.
20/03/2026: Se realizaron pruebas sobre el nuevo sistema nativo en ambiente de desarrollo, incluyendo la revisión y ajuste de la información en base de datos debido a que la migración contempló únicamente la estructura y no la totalidad de los datos, por lo que fue necesario completar y actualizar algunas tablas; durante las validaciones se evidenció un comportamiento adecuado en la creación y consulta de casos masivos, aunque se identificó una oportunidad de mejora en el rendimiento de consultas (como la búsqueda por NIT), para lo cual se plantea la implementación de índices que optimicen los tiempos de respuesta.
24/03/2026: Se realizaron pruebas funcionales en el nuevo sistema nativo, evidenciando un comportamiento correcto en la creación de casos y envío de correos; se recomienda continuar las validaciones en ambiente de test, dado que cuenta con mayor similitud a producción en términos de datos, tipologías y plantillas.
Se identificó un inconveniente de permisos en el sistema nativo anterior en ambiente de desarrollo, el cual impide la ejecución de procesos masivos, asociado a restricciones sobre rutas de almacenamiento; se requiere validación y ajuste de permisos para su correcto funcionamiento.
26/03/2026: El 25 de marzo se realizó la migración de las dos nuevas tipologías de masivos para independientes al nuevo sistema Nativo, validando su correcto funcionamiento en el ambiente de desarrollo.
</t>
  </si>
  <si>
    <t>INTERNO-JE036</t>
  </si>
  <si>
    <t>Migración Nativo – pruebas masivos en TEST</t>
  </si>
  <si>
    <t>Requerimiento orientado a validar el funcionamiento del nuevo sistema nativo en ambiente TEST, para el cual previamente se realizó la configuración de la arquitectura del entorno, incluyendo sus componentes, conexiones y recursos; el objetivo es asegurar la estabilidad, desempeño y correcto comportamiento de los procesos (especialmente masivos y gestión de casos) antes de su paso a producción.</t>
  </si>
  <si>
    <t>31/03/2026: Se están realizando ajustes para estabilizar el sistema nativo en ambiente TEST, incluyendo corrección de incidencias operativas.
07/04/2026: El 6 de abril se realizan ajustes de hallazgos reportados en las  pruebas de Imagine, los cuales se validaran en test  y se estima  pasar a produccion  el proceso de masivos el  09 de abril.
09/04/2026: Se encuentra en desarrollo de ajustes de hallazgos encontrados en las pruebas  en test.
13/04/2026: Se realiza paso a producción para realizar pruebas controladas.</t>
  </si>
  <si>
    <t>INTERNO-JE037</t>
  </si>
  <si>
    <t>Módulo Masivos nuevo nativo test (Generación y PDFs)</t>
  </si>
  <si>
    <t xml:space="preserve">Los pdf generados  en los masivos no se estan visualizando </t>
  </si>
  <si>
    <t>14/03/2026: Funcionalidad está casi completa. Se validó flujo general, pero se detectó problema en persistencia de PDFs por configuración de Docker (disco no montado correctamente).
16/04/2026: LA visualizacion de los  pdf fue corregida</t>
  </si>
  <si>
    <t>INTERNO-JE038</t>
  </si>
  <si>
    <t>Estabilizacion masivos Nuevo nativo produccion</t>
  </si>
  <si>
    <t>13/04/2026: Se realiza implementación a producción.
16/04/2026: El 15 de abril se realizaron pruebas  en producción:
Envío de correos correcto, Generación de PDFs estable (tras correcciones).
Pendientes: Se requiere realizar pruebas con mayor volumen de datos, llevar a cabo la validación con múltiples usuarios y efectuar la limpieza de los datos de prueba.
Implementación Enlace Nativo Antiguo → Nuevo Masivos queda ok en test.</t>
  </si>
  <si>
    <t>INTERNO-JE039</t>
  </si>
  <si>
    <t>Implementación Enlace Nativo Antiguo → Nuevo Masivos</t>
  </si>
  <si>
    <t>Redirección automática con sesión activa.</t>
  </si>
  <si>
    <t>16/04/2026: Se Inicio desarrollo  15 de Abril, hoy  se subira a test  para pruebas.
LInk queda  implementado en test.</t>
  </si>
  <si>
    <t>INTERNO-JE038_1</t>
  </si>
  <si>
    <t>Mejoras visuales Nuevo nativo</t>
  </si>
  <si>
    <r>
      <rPr>
        <rFont val="Quattrocento Sans"/>
        <color rgb="FF292A2E"/>
      </rPr>
      <t xml:space="preserve">Se solicita realizar ajustes funcionales, de visualización y de seguridad sobre la vista de gestión de casos del módulo de envíos masivos, con el objetivo de mejorar la experiencia de usuario, optimizar la consulta de información y corregir comportamientos que actualmente generan confusión o errores en la operación.
Mejoras solicitadas
</t>
    </r>
    <r>
      <rPr>
        <rFont val="Quattrocento Sans"/>
        <b/>
        <color rgb="FF292A2E"/>
      </rPr>
      <t>Incluir información adicional en la vista:</t>
    </r>
    <r>
      <rPr>
        <rFont val="Quattrocento Sans"/>
        <color rgb="FF292A2E"/>
      </rPr>
      <t xml:space="preserve">
Nombre de la tipología
Razón social
</t>
    </r>
    <r>
      <rPr>
        <rFont val="Quattrocento Sans"/>
        <b/>
        <color rgb="FF292A2E"/>
      </rPr>
      <t>Eliminar la duplicidad del número de caso</t>
    </r>
    <r>
      <rPr>
        <rFont val="Quattrocento Sans"/>
        <color rgb="FF292A2E"/>
      </rPr>
      <t xml:space="preserve">
</t>
    </r>
    <r>
      <rPr>
        <rFont val="Quattrocento Sans"/>
        <b/>
        <color rgb="FF292A2E"/>
      </rPr>
      <t>Ajustar la visualización de la trazabilidad del caso (evitar apertura en nueva ventana)</t>
    </r>
    <r>
      <rPr>
        <rFont val="Quattrocento Sans"/>
        <color rgb="FF292A2E"/>
      </rPr>
      <t xml:space="preserve">
</t>
    </r>
    <r>
      <rPr>
        <rFont val="Quattrocento Sans"/>
        <b/>
        <color rgb="FF292A2E"/>
      </rPr>
      <t>Encriptar el número de caso en la URL para mayor seguridad</t>
    </r>
    <r>
      <rPr>
        <rFont val="Quattrocento Sans"/>
        <color rgb="FF292A2E"/>
      </rPr>
      <t xml:space="preserve">
</t>
    </r>
    <r>
      <rPr>
        <rFont val="Quattrocento Sans"/>
        <b/>
        <color rgb="FF292A2E"/>
      </rPr>
      <t>Corregir errores al consultar el detalle del caso</t>
    </r>
    <r>
      <rPr>
        <rFont val="Quattrocento Sans"/>
        <color rgb="FF292A2E"/>
      </rPr>
      <t xml:space="preserve">
</t>
    </r>
    <r>
      <rPr>
        <rFont val="Quattrocento Sans"/>
        <b/>
        <color rgb="FF292A2E"/>
      </rPr>
      <t>Reorganizar la visualización de imágenes, separando:</t>
    </r>
    <r>
      <rPr>
        <rFont val="Quattrocento Sans"/>
        <color rgb="FF292A2E"/>
      </rPr>
      <t xml:space="preserve">
Imágenes radicadas en el caso
Imágenes generadas en la respuesta (SB)
</t>
    </r>
    <r>
      <rPr>
        <rFont val="Quattrocento Sans"/>
        <b/>
        <color rgb="FF292A2E"/>
      </rPr>
      <t>Mejorar la usabilidad en la gestión de archivos:</t>
    </r>
    <r>
      <rPr>
        <rFont val="Quattrocento Sans"/>
        <color rgb="FF292A2E"/>
      </rPr>
      <t xml:space="preserve">
Hacer visible de forma permanente el botón de eliminación (caneca)</t>
    </r>
  </si>
  <si>
    <t xml:space="preserve">21/04/2026: Se despliegan mejoras en  test.
22/04/2026: Mejoras en produccion </t>
  </si>
  <si>
    <t>INTERNO-JE041</t>
  </si>
  <si>
    <t>Consulta de la ruta de conciliaciones</t>
  </si>
  <si>
    <t>Descripción:
Se requiere implementar una funcionalidad en el modulo de masivos que permita a los usuarios consultar de manera autónoma los archivos PDF disponibles en la ruta de conciliaciones, evitando la necesidad de solicitudes manuales al equipo técnico.</t>
  </si>
  <si>
    <t xml:space="preserve">21/04/2026: Consulta implementada en produccion  </t>
  </si>
  <si>
    <t>INTERNO-JE038_2</t>
  </si>
  <si>
    <t>Eliminación de casos de prueba produccion nuevo nativo</t>
  </si>
  <si>
    <t>24/04/2026: Casos eliminados</t>
  </si>
  <si>
    <t>GD772-194</t>
  </si>
  <si>
    <t>Envío comunicados Independientes Voluntarios</t>
  </si>
  <si>
    <t>18/03/2026: Se estima 1/2 dias de desarrollo.
20/03/2026: Se iniciara desarrollo hoy
24/03/2026: El 20 de marzo se completó la creación de dos nuevas tipologías de procesos masivos, incluyendo configuración de flujos, plantillas quedando disponibles en ambiente de pruebas para validación.
26/03/2026: Las pruebas funcionales finalizaron el 24 de marzo, evidenciando el correcto funcionamiento del flujo. Se identificaron ajustes menores de forma en las plantillas y en las validaciones del Excel, los cuales ya fueron corregidos.
24/04/2026: El  cliente  envia los siguientes hallazgos encontrados en  las pruebas en test, las  cuales se iniciara  su validación :
1.        No genera validación de dirección, ítem C del punto 4 del requerimiento “La información del campo “Dirección”, deben contener la estructura establecida (Vía Principal, Numeración) Ejemplo Calle 123 # 45-67, no debe existir caracteres especiales.”
2.        No es posible validar las devoluciones, se generó un correo incorrecto y quedó como entregado, por lo que, no se puede confirmar si llegan al usuario.
3.        No se evidencia envío por correo certificado para la notificación de “Suspensión por mora Independiente Voluntario” y se encuentra pendiente validar la copia al buzón de Novedades.arl@segurosbolivar.com para los comunicados de “Notificación de recepción de pagos Independiente Voluntario”
27/04/2026: Se da respuesta  a los   hallazgos reportados 
12/05/2026: Requerimiento programado  para paso a produccion el 13 de mayo.
13/05/2026: Se pospone paso a produccion hasta tanto  se tengan disponible ambientes bajos</t>
  </si>
  <si>
    <t>GD772-194_2</t>
  </si>
  <si>
    <t>Hallazgos - comunicados Independientes Voluntarios</t>
  </si>
  <si>
    <t xml:space="preserve">De acuerdo con las pruebas realizadas me permito informar que se encontraron los siguientes errores: 
1.	No genera validación de dirección, ítem C del punto 4 del requerimiento “La información del campo “Dirección”, deben contener la estructura establecida (Vía Principal, Numeración) Ejemplo Calle 123 # 45-67, no debe existir caracteres especiales.”
2.	No es posible validar las devoluciones, se generó un correo incorrecto y quedó como entregado, por lo que, no se puede confirmar si llegan al usuario.
3.	No se evidencia envío por correo certificado para la notificación de “Suspensión por mora Independiente Voluntario” y se encuentra pendiente validar la copia al buzón de Novedades.arl@segurosbolivar.com para los comunicados de “Notificación de recepción de pagos Independiente Voluntario”
</t>
  </si>
  <si>
    <t>27/04/2026: Se atienden y se da respuesta a los hallazgos  reportados.
1.        Validación de dirección:
Se informa que la validación de la estructura del campo “Dirección” durante la carga del archivo Excel ya fue implementada, conforme a lo definido en el requerimiento.
2.        Validación de devoluciones (rebotes de correo):
Esta funcionalidad depende de un proceso de lectura de correos que actualmente se encuentra activo únicamente en el ambiente de producción.
Por lo anterior, en el ambiente de pruebas no es posible evidenciar ni validar el comportamiento de los rebotes, razón por la cual los correos pueden aparecer como entregados sin confirmación de devolución.
No obstante, se confirma que en producción este flujo opera de manera normal, ya que corresponde a un proceso independiente que no ha sido modificado.
3.        Envío de correo certificado y copia a buzón de novedades:
Se informa que en el ambiente de pruebas no se encuentra activo el servicio de correo certificado, por lo cual su validación solo es posible en producción.
Adicionalmente, se realizó la activación de la copia al buzón Novedades.arl@segurosbolivar.com para los comunicados de “Notificación de recepción de pagos Independiente Voluntario”, con el fin de que pueda ser validada durante las pruebas.
Pendiente implementación de la validacion de direcciones en el nativo nuevo.</t>
  </si>
  <si>
    <t>INTERNO-JE040</t>
  </si>
  <si>
    <t xml:space="preserve">Validación de casos sin trazabilidad de envío con respuesta impresa </t>
  </si>
  <si>
    <t xml:space="preserve"> Reportan el caso 44439943 corresponde a un JRCI me solicitan la guía de envió, revisamos y el caso no esta enviado pero sale con respuesta impresa por nosotros.
- porque el caso no salió en los informes de envió?
- hay forma de identificar estos casos que no tienen trazabilidad de guías y que cuenten con la observación de respuesta impresa por imagine?</t>
  </si>
  <si>
    <t>21/04/2026:  El 17 de abril se realizó un ajuste sobre estos registros, permitiendo su reprocesamiento y correcta ejecución del flujo de impresión. El problema fue solucionado y no afecta los nuevos casos generados tras la actualización.</t>
  </si>
  <si>
    <t>GD772-132</t>
  </si>
  <si>
    <t>IDENTIFICACIÓN PROGRAMAS SALUD ( Malla de programas autorizaciones)</t>
  </si>
  <si>
    <t xml:space="preserve">GD772-132 - REQUERIMIENTO IDENTIFICACIÓN PROGRAMAS SALUD
OBJETIVO: 
Lograr clasificar de manera eficiente los casos que llegan a través del portal de radicación de la oficina virtual de salud, esto con el fin de garantizar una respuestas mas efectiva a los asegurados de los programas
REQUERIMIENTOS FUNCIONALES:
Se requiere  crear un mecanismo en imagine que permita cargar los asegurados a los diferentes programas que existen en el producto de póliza de salud, la estructura para el cargue debe ser la siguiente:
estructura Programas
Una vez ingrese el número de documento del asegurado el cual viene del portal de radicación: 
Debe realizar el cruce contra la malla de programas que se encuentra en el punto anterior y allí se deben tomar dos decisiones: 
Si el número de documento se encuentra en esta malla debe realizar la asignación a la tipología que se encuentra relacionada en la malla con el número de cédula
Si no encuentra el número de documento en la malla debe realizar la lectura a través de la IA de imagine y realizar la clasificación como ya se tiene parametrizado
NOTA: 
La creación de la malla debe permitir agregar o quitar asegurados tanto de manera individual como masiva .
Se requiere poder descargar un listado de los asegurados que se encuentran en la malla con su respectivo estado ( Activo - Inactivo)
</t>
  </si>
  <si>
    <t xml:space="preserve">18/03/2026: Se estima 2 dias de desarrollo y entrega al cliente  10 de abril
31/03/2026: Se inicia desarrollo 
01/04/2026: Se escala control de cambios MDSB-1014218 solicitando la creacion de la tabla public.wf_malla_programas 
Control de cambios ejcutado correctamente. Malla programas quedó en develop
13/04/2026: Se realiza entrega al cliente del desarrollo  para su validación </t>
  </si>
  <si>
    <t xml:space="preserve">MDSB-1014218 </t>
  </si>
  <si>
    <t>MDSB-1005913</t>
  </si>
  <si>
    <t>jiras dia a dia (Error cargue  Segunda Acción Persuasiva)</t>
  </si>
  <si>
    <t>De manera atenta solicitamos su ayuda con la validación del error evidenciado al momento de cargar los archivos para envíos masivos por la tipología Segunda Acción Persuasiva.
Al actualizar la página nos arroja el cargue en etapa 1 pero sin nombre de usuario y tampoco nos permite continuar a la siguiente etapa para culminar el envío.
Remitimos pantallazos y el archivo con la estructura que intentamos cargar:</t>
  </si>
  <si>
    <t xml:space="preserve">20/03/2026: Se inicia validacion.
24/03/2026: El 20 de marzo se identificó un error en producción durante la creación de procesos masivos debido al alto volumen de registros (más de 60,000 en una hoja de Excel), lo cual genera fallas por tiempos de procesamiento del servidor; se determinó como causa principal la reducción en los tiempos de ejecución de procesos tras ajustes recientes en el servidor
Se realizó un ajuste en el tiempo de ejecución del proceso, permitiendo ahora el cargue de archivos con un volumen aproximado de hasta 60.000 registros en la hoja de trabajadores.
</t>
  </si>
  <si>
    <t>trUE</t>
  </si>
  <si>
    <t>INTERNO-JE001</t>
  </si>
  <si>
    <t>Realizar Imagen de docker de nativo para Jesus ( Equipo de Bolivar)</t>
  </si>
  <si>
    <t>27/02/2025: No se ha podido realizar  debido que se encuentra en otras tareas asignadas.</t>
  </si>
  <si>
    <t>Se reasigna tarea a Jesus debido a que Wilson  se encuentra en desarrollo de otra actividad.</t>
  </si>
  <si>
    <t>MDSB-860939</t>
  </si>
  <si>
    <t>jiras dia a dia (Inactivación de 266 usuarios en Nativo)</t>
  </si>
  <si>
    <t>08/08/2025: Se realiza la inhabilitación de los usuarios solicitados.</t>
  </si>
  <si>
    <t>INTERNO-JE015</t>
  </si>
  <si>
    <t>Actuallizaciòn nativo a PHP 8 local</t>
  </si>
  <si>
    <t>08/08/2025: Se está realizando la instalación de la nueva aplicación en el entorno local
11/08/2025: El viernes 8 de Agosto se configuró entorno local y Docker con nueva versión de PHP</t>
  </si>
  <si>
    <t>MDSB-861385</t>
  </si>
  <si>
    <t>Jiras día a día (Reemplaza adjunto cargado en la radicación)</t>
  </si>
  <si>
    <t>11/08/2025: Se identificó que el problema se debía a que, al cargar un nuevo archivo, este quedaba con el mismo nombre del archivo utilizado en la radicación, lo que provocaba su reemplazo. Como medida correctiva, se implementó la adición de un identificador único al nombre de cada archivo al momento de su cargue, con el fin de evitar coincidencias y sobrescritas.</t>
  </si>
  <si>
    <t>INTERNO-JE016</t>
  </si>
  <si>
    <t>Control y Validación de Correos ARL vs Casos Radicados en Imagine</t>
  </si>
  <si>
    <t>12/08/2025: Se asigna el requerimiento y se solicita proporcionar una estimación para su desarrollo.
14/08/2025: Se implementa un reporte vía correo que informa la cantidad de correos ingresados al buzón, los que fueron radicados en YII, los excluidos y la diferencia con error. Esta diferencia con error corresponde a los correos cuyo estado debe ser validado. 
15/08/2025: El paso a producción permanece pendiente debido a que, al momento de realizar el despliegue, se presentan bloqueos en la URL
20/08/2025: Actualmente se trabaja en el ajuste del query de validación, dado que se identificó una interpretación errónea en la exclusión de correos.
22/08/2025: En revisión. El informe se está generando, aunque con retraso (pedido de un mes hacia atrás). Pendiente verificación de resultados.
25/08/2025: Reporte encuentra en produccion y llega a diario a las 6 am.</t>
  </si>
  <si>
    <t>INTERNO-D019</t>
  </si>
  <si>
    <t>Pruebas de carga en entorno simulado de producción</t>
  </si>
  <si>
    <t>12/08/2025: Se prepararon scripts para mantener usuarios activos y simular apertura/cierre de sesiones, consultas y consumo de API. Se adaptó el API para las pruebas, incluyendo pre-firmado de URL con Apache. Se programó la ejecución de la prueba integral para la tarde, con consumo de 500 imágenes en un escenario que replica las condiciones del servidor de producción.
20/08/2025: El miercoles 13 de agosto se ejecutaron y entregaron los reportes con resultados y evidencias. Hubo un inconveniente con pérdida de archivos temporales, pero se repitió el proceso y quedó cerrado.</t>
  </si>
  <si>
    <t>INTERNO-JE017</t>
  </si>
  <si>
    <t>Adicionar usuario a Informe de Casos con una sola actividad</t>
  </si>
  <si>
    <t>14/08/2025: Se adiciona el campo 'usuario' al reporte recibido por correo de casos con una sola actividad.</t>
  </si>
  <si>
    <t>GD772-81_1</t>
  </si>
  <si>
    <t>Adición de validaciones para el diligenciamiento de la información de envío físico de calificaciones en ambiente de pruebas (test)</t>
  </si>
  <si>
    <t>15/08/2025: Se implementa validaciònes en test.</t>
  </si>
  <si>
    <t>INTERNO-JE002</t>
  </si>
  <si>
    <t>Desarrollo clasificador de imágenes en Python (IA)</t>
  </si>
  <si>
    <t>16/05/2025 : Ya se encuentra  funcional en local, Se planteó la necesidad de buscar imágenes similares almacenadas en el disco compartido (IMG04) para   realizar  pruebas
19/05/2025 : el clasificador de imágenes está en ambiente de prueba, pero aún se requieren imágenes para probarlo adecuadamente. Se discute la posibilidad de generar imágenes desde archivos PDF si no se encuentran imágenes reales
26/05/2025: El Viernes 23 de mayo se implemento en el lector de PDF,  clasifica correctamente los archivos visuales, pero aún no segmenta adecuadamente los PDFs por tipo, agrupándolos en una sola carpeta. Se continuarán pruebas con PDFs diversos para refinar la lógica de clasificación.
28/05/2025: Las pruebas realizadas con el clasificador de archivos PDF no han alcanzado los resultados esperados. Se evalúan otras opciones, pero el enfoque actual está en la funcionalidad de Sistematización con IA (Segunda vista de incapacidades en portal).
22/12/2025: Requerimeinto se finaliza por indicación de la Gerencia.</t>
  </si>
  <si>
    <t xml:space="preserve">Ya se encuentra  funcional en local, Se planteó la necesidad de buscar imágenes similares almacenadas en el disco compartido (IMG04) para   realizar  pruebas </t>
  </si>
  <si>
    <t>el clasificador de imágenes está en ambiente de prueba, pero aún se requieren imágenes para probarlo adecuadamente. Se discute la posibilidad de generar imágenes desde archivos PDF si no se encuentran imágenes reales</t>
  </si>
  <si>
    <t>Iniciara el desarrollo del lector de imágenes para permitir el procesamiento de archivos PDF y su conversión a imágenes, como parte de un clasificador basado en IA.</t>
  </si>
  <si>
    <t>El Viernes 23 de mayo se implemento en el lector de PDF,  clasifica correctamente los archivos visuales, pero aún no segmenta adecuadamente los PDFs por tipo, agrupándolos en una sola carpeta. Se continuarán pruebas con PDFs diversos para refinar la lógica de clasificación.</t>
  </si>
  <si>
    <t xml:space="preserve">Las pruebas realizadas con el clasificador de archivos PDF no han alcanzado los resultados esperados. Se evalúan otras opciones, pero el enfoque actual está en la funcionalidad de Sistematización con IA (Segunda vista de incapacidades en portal).
</t>
  </si>
  <si>
    <t>MDSB-864436</t>
  </si>
  <si>
    <t>Optimización  informe prefactura 472</t>
  </si>
  <si>
    <t>19/08/2025: Se está ajustando el informe de prefactura 472 debido a que se identificaron varios errores en la lógica.
20/08/2025: Se continuará con la validación y se espera que la optimización culmine en el transcurso del día de hoy.
22/08/2025: Se corrigió la lógica del query para procesar datos por lotes y evitar demoras. Requerimiento en ajuste, pendiente validación de tiempos de ejecución.
25/08/2025: El viernes 22 de agosto se redujo el tiempo de ejecución del informe de más de 70 minutos a 19 minutos mediante ajustes técnicos. Se considera que aún puede optimizarse más.
27/08/2025: Se encuentra Validando errores evidenciados en la pruebas ( Registros duplicados, Columna adicional y falta de resultados  de los  procesos ARL y EPS)
28/08/2025:  Se escala control de cambios MDSB-872243 en test para creacion de indices.
29/08/2025: El control de cambios fue ejecutado con éxito en el ambiente de pruebas. Se escala el control de cambios MDSB-872523 para la creación de índices en el ambiente de producción.
03/09/2025: La creación de índices se encuentra en espera de aprobación de control de cambios aproduccion. La demora en la validación administrativa del cliente está impactando el avance del informe asociado.
12/09/2025: Control de cambios MDSB-872523 para producción ha sido aprobado por QA, se espera programaciò a comite de cambios digitales.
19/09/2025: Contro de cambios se incluyo en comite de cambios de digitales de hoy, a la espera de la  aprobación.
22/09/2025: Control de cambios ejecutado correctamente el 20 de septiembre, se ejecutaran  pruebas de desempeño en informe 472.
22/09/2025: Se realizaron pruebas de ejecución del informe con resultados satisfactorios, evidenciando una mejora en el desempeño. El tiempo de generación, que anteriormente era de 70 minutos, se redujo a 3 minutos tras los ajustes implementados.</t>
  </si>
  <si>
    <t>MDSB-872243</t>
  </si>
  <si>
    <t>MDSB-872523</t>
  </si>
  <si>
    <t>INTERNO-JA022</t>
  </si>
  <si>
    <t>Mejoras Informe consolidado EPS</t>
  </si>
  <si>
    <t>22/09/2025: Entregable finalizado y validado en gran parte de la data, con mejora notoria en el tiempo generación.</t>
  </si>
  <si>
    <t>GD772-220</t>
  </si>
  <si>
    <t>Control de rechazo de correos certificados por parte del destinatario y notificación al usuario emisor</t>
  </si>
  <si>
    <t>Se requiere implementar una validación y mecanismo de notificación en el proceso de envío de correos certificados, con el fin de identificar los casos en los que el destinatario no admite este tipo de correos. Actualmente, cuando el envío no es efectivo por esta causa, el usuario que realiza la gestión desde el caso no recibe ninguna alerta, notificación o retroalimentación sobre la falla presentada.
El objetivo es que el sistema informe oportunamente al usuario el estado del envío y el motivo de la no entrega, permitiendo realizar las acciones correspondientes.</t>
  </si>
  <si>
    <t>21/05/2026: Se solicitara al cliente la generacion del requerimiento caja  para relacionarlo  en los  controles de cambios, el desarrollo se abordara  hasta tener los ambientes bajos funcionando.</t>
  </si>
  <si>
    <t>GD772-121</t>
  </si>
  <si>
    <t>Identificar notas crédito radicadas por los prestado como estado nota crédito</t>
  </si>
  <si>
    <t xml:space="preserve"> Se planteó la creación de un nuevo estado llamado “Cruce de notas crédito” para mejorar la clasificación y control de estos registros.
07/11/2025: Pendiente la aclaración por parte del cliente sobre el requerimiento a realizar</t>
  </si>
  <si>
    <t>GD852-72</t>
  </si>
  <si>
    <t>Ajustar lago de datos  (informes Cuentas Médicas)</t>
  </si>
  <si>
    <t>Se identificó la necesidad de ajustar lago de datos para que coincida con los cambios realizados en informes ARL.</t>
  </si>
  <si>
    <t>25/08/2025: Se escala control de cambios MDSB-869595 a produccòn.
28/08/2025: Control de cambios MDSB-869595 aprobado por comite y se ejecutara hoy a las 4:20 pm.
29/08/2025: Se ejecutó en ambiente test el Jira de control de cambios relacionado con el lago de datos. Se identificó que la primera ejecución requiere procesar todo el histórico de informes (desde 2019 hasta la fecha), lo que implica un volumen considerable. Actualmente se está evaluando si es necesario ajustar el código para optimizar la lógica de generación de informes y el desempeño del SQL, o si se mantiene la configuración actual.
01/09/2025: Los cambios fueron aplicados en producción, pero se requiere actualizar el código definitivo y validar pruebas adicionales en un entorno menos congestionado. 
03/09/2025: Ayer se pasó el lago de datos a producción y se realizaron pruebas con inconsistencias. El proceso llenó la tabla correctamente.</t>
  </si>
  <si>
    <t>MDSB-739779</t>
  </si>
  <si>
    <t>MDSB-869595</t>
  </si>
  <si>
    <t>INTERNO-F011</t>
  </si>
  <si>
    <t>Actualización de requerimientos de Reembolsos en el tablero.</t>
  </si>
  <si>
    <t>Se necesita actualiza o incluir todos los  requerimientos que se han desarrollado  para reembolsos</t>
  </si>
  <si>
    <t xml:space="preserve">12/11/2025: Se realiza actualizacion </t>
  </si>
  <si>
    <t>MDSB-928468</t>
  </si>
  <si>
    <t>Jiras dia a dia (NO PERMITE GENERAR REEMBOLSO POR POLIZA DE SALUD )</t>
  </si>
  <si>
    <t>“NO PERMITE GENERAR REEMBOLSO POR POLIZA DE SALUD “
NO PERMITE GENERAR REEMBOLSO POR POLIZA DE SALUD 
Por favor contactarse con la cliente para valdiar el proceso se adjunta video con  la explicación de la cliente 
Alejandra Parra
18 mayo 1991
alejandraparrasalazar@gmail.com
3188645467
1136883142</t>
  </si>
  <si>
    <t>13/11/2025: Se realizan validaciones en el proceso de cargue de adjuntos del módulo de Reembolsos Salud, sin evidenciar inconvenientes en su funcionamiento.
Se establece contacto con la usuaria, quien informa que la incidencia ya no se está presentando.</t>
  </si>
  <si>
    <t>GD772-123</t>
  </si>
  <si>
    <t>Asignación y Gestión de Tareas en la Solución de Cuentas Médicas (Salud y ARL)</t>
  </si>
  <si>
    <t>**Requisitos de Asignación y Gestión de Tareas en la Solución de Cuentas Médicas**
Este documento detalla los requisitos específicos para la funcionalidad de asignación y gestión de tareas dentro de la solución de cuentas médicas, El objetivo es asegurar una distribución eficiente, equitativa y trazable de las solicitudes de cuentas médicas, optimizando los tiempos de respuesta y la operatividad.
**1. Configuración de ANS y Priorización de Solicitudes**
La solución debe permitir:
**● Parametrizar el Acuerdo de Nivel de Servicio (ANS)** para cada tipo de solicitud de cuentas médicas (ej. Pronto Pago, Glosa), asegurando que el sistema priorice las tareas según estos parámetros.
**● Priorizar la asignación en bandeja por fecha de radicado**, mostrando desde el más antiguo al más reciente en la primera vista y manteniendo los pendientes ordenados de lo más antiguo a lo más nuevo. Esta priorización debe ser rápida y eficiente, sin demoras en la búsqueda u ordenamiento, reflejando la fecha de radicado de Sisalud.
**● Priorizar las solicitudes próximas a vencer** según el ANS parametrizado, considerando la fecha de radicación.
**2. Asignación de Tareas por Radicado**
La solución debe asegurar que la asignación de tareas se realice de la siguiente manera:
**● Generar la asignación por número de radicado**, no por factura individual.
**● Asignar sin fraccionar las facturas**: Todos los radicados asociados a una misma factura deben ser asignados a una única persona, garantizando la continuidad en la gestión.
**● Parametrizar el tiempo de cada actividad** para incorporarlo en el plan de trabajo y en la asignación.
**● Respuestas a glosa**: Deben asignarse automáticamente al usuario que generó la glosa (o al área correspondiente, como auditoría médica). Si el usuario está inhabilitado (ej. por vacaciones), el sistema debe reasignar a otra persona del mismo perfil, considerando la carga de trabajo pendiente.
**3. Filtrado y Visualización de Bandejas**
La plataforma debe contar con las siguientes capacidades de filtrado y visualización:
**● Crear un filtro de cantidad** que muestre el número de facturas con respuesta a glosa, escalados, pronto pago y los pendientes de cuentas médicas.
**● Permitir filtrar la bandeja por la condición deseada** (ej. fecha de radicación, del más antiguo al más reciente), manteniendo el filtro activo hasta que el usuario desee desactivarlo.
**● Habilitar filtros por rango de fechas** en todas las pantallas.
**4. Reasignación Flexible y Equitativa**
Las bandejas de trabajo deben permitir la reasignación con las siguientes características:
**● Reasignar sin perder la equidad** en la distribución de la carga de trabajo.
**● Reasignar de forma individual o masiva por**: perfil, usuario, proveedor, complejidad, ramo, tipo de servicio, valor, fechas de radicación y pronto pago.
**● Reasignar por distribución de cargas o no**, sin existir bloqueante para el administrador.
**● Permitir asignar a una persona específica o distribuir equitativamente** entre usuarios correspondientes al mismo perfil.
**● Los casos reasignados deben visualizarse en la bandeja respetando la antigüedad y ** original del registro.
**5. Depuración y Actualización de Bandejas (Imagine)**
Se requiere que la solución realice una depuración automática de las bandejas de Imagine de la siguiente manera:
**● Realizar depuración de las bandejas de Imagine solo dejando las facturas en periodo vigente.**
**● Si la factura fue pagada según reporte de Sisalud en un 90%**, dejarla en estado inactivo. En caso de que llegue una conciliación, reactivar y reasignar.
**● Si la factura está en estado pagado en Sisalud totalmente**, dejarla en estado pagado.
**● Si la factura está en estado glosado en Sisalud**, dejarla en estado glosado.
**Si la factura está en estado pagado glosado**, dejarla en estado glosado.
**● Si el radicado se encuentra en estado anulado en Sisalud**, realizar el cruce con Sisalud para conocer el número de radicado con el que se pagó.
**● Todas las facturas deben continuar con los perfiles actuales** del administrador (como reasignar facturas, cambios de ramo según usuario), sin que exista ningún bloqueante.
**● Permitir habilitar y deshabilitar los ramos para cada usuario**, incluyendo la opción de tener acceso a dos ramos si es necesario, bajo gestión del administrador.
**● Permitir la habilitación del capacity por usuario y por perfil**: el administrador podrá parametrizar cuántos casos puede gestionar el usuario por día. Si se supera el capacity definido, se deberá generar una alerta.
**● Los perfiles deben estar atados al ramo a trabajar**. El administrador debe poder asignar o reasignar facturas según necesidad. En el momento en que se cambie de ramo, no puede continuar habilitado para que se le asignen facturas que no corresponden a este. A partir de la asignación del ramo por parte del administrador, Imagine no debe asignar un ramo diferente al perfil.
**6. Equidad en la Asignación y Control de Reglas
La asignación debe garantizar:**
**● Equidad**: Es decir, igual o similar número de radicados para cada analista, teniendo en cuenta el tipo de servicio y la complejidad en la asignación sin perder las reglas de negocio establecidas. El contador debe considerar el acumulado para lograr radicados similares.
**● Validación de Reglas del Motor**: Se deben validar nuevamente las reglas del motor para baja, media y alta complejidad según monto y tipo de servicio. Se revisará la tabla de reglas del motor que trabaja Imagine.
**7. Tableros de Control y Reportería Detallada**
La solución debe ofrecer las siguientes herramientas de monitoreo:
**● Tableros de control y gestión con base en reportes de Sisalud.** Se buscaría acceso a Sisalud Salud.
**● Permitir que el administrador pueda actualizar los radicados** sin necesidad de solicitar apertura a la factura y que quede la traza de los dos radicados, definiendo una regla para decidir de forma automática con cuál se pagó.
**● Reportes para administrador y analistas** del número de casos realizados, en tiempo real, acumulado, día, mes, año. Se basarán en el cruce de Imagine y Sisalud para lo gestionado y lo escalado. Deben indicar cuántos casos le faltan para cumplir la meta.
**● Para cartera, que se pueda visualizar una marca y filtrar** por la misma de facturas ya conciliadas y/o con paz y salvo.
**● Debe existir un tablero o un informe** que indique cuántos radicados está gestionando cada usuario por día, que muestre los tiempos de gestión para cada
radicado, poder validar los pendientes al momento de la consulta y una gráfica de la gestión realizada día a día.
De forma atenta me permito enviar solicitud de creación de carpetas para cada uno de los auditores con el fin de que las distribuciones de las facturas sean equitativas para los que tienen perfil de enfermería y a los médicos les sean asignadas las cuentas iguales o mayores a $50.000.000.
Con respecto a la respuesta a glosa, lo ideal es que le sea asignada a la persona que revisó. En sus inicios debería ser asignada a mi bandeja ya que el usuario que está revisando las facturas es el mío y posterior cuando empiecen a llegar las respuestas de las vistas por cada uno de los usuarios, a ellos mismos.
**A continuación, relaciono los perfiles con la parametrización requerida.**
CARGOCCNOMBREPerfilProfesional en enfermería55069610Claudia Lorena Montealegre GarciaAuditor de cuentas hasta $49.999.999 de forma aleatoria indiferente del proveedorProfesional en enfermería53108492Sandra Patricia Aranzales OchoaAuditor de cuentas hasta $49.999.999 de forma aleatoria indiferente del proveedorProfesional en enfermería1010204648Diego Ferney Castellanos FlórezAuditor de cuentas hasta $49.999.999 de forma aleatoria indiferente del proveedorProfesional en enfermería39813915Maria Marcela Bermudez TautivaAuditor de cuentas hasta $49.999.999 de forma aleatoria indiferente del proveedorProfesional en enfermería93.237.264Edwin Giovanni Ayala PavaAuditor de cuentas hasta $49.999.999 de forma aleatoria indiferente del proveedorProfesional en enfermería53048074Leidy Tatiana Figueroa MorenoAuditor de cuentas hasta $49.999.999 de forma aleatoria indiferente del proveedorProfesional en medicina1020792806Brandon Arevalo BernalAuditor de cuentas iguales o &gt; $50.00.000 de forma aleatoria indiferente del proveedorProfesional en medicina36068234Astrid Lliana Muñoz AñazcoAuditor de cuentas iguales o &gt; $50.00.000 de forma aleatoria indiferente del proveedorProfesional en medicina39789340Sandra Zoraya Munevar AvilaAuditor de cuentas iguales o &gt; $50.00.000 de forma aleatoria indiferente del proveedor</t>
  </si>
  <si>
    <t>REANUDAR</t>
  </si>
  <si>
    <t>13/08/2025: Se inició el 12 de agosto con la adaptación de la bandeja a un formato más interactivo según los requerimientos solicitados. La prioridad está en entregar la funcionalidad de asignación antes que otros entregables. Se continúa con ajustes a consultas y pruebas.
20/08/2025: Se trabajó en la bandeja, realizando ajustes visuales y validaciones con Henry. Falta incluir los registros antiguos y revisar a fondo la parte de asignación, por lo que el avance se estima en un 50%.
22/08/2025: Se presentó la vista inicial con filtros y gráficas. Avance inicial, pendiente la implementación de la lógica de asignación de casos.
25/08/2025: Se avanzó en la mejora de la bandeja y se incluiran dos temas pendientes relacionados con inconsistencias: “sí” e “inconsistencias: no”. 
29/08/2025: Se avanzó en cambios de la bandera. Persisten ajustes en la bandeja de consulta debido a lentitud en la ejecución de consultas y validación de inconsistencias. Se están revisando alternativas (consultas completas vs parciales con Ajax).
01/09/2025: Se realizaron pruebas locales y se avanza en la incorporación de control de capacity.
03/03/2025: El 2 de septiembre se realizó un paso parcial del módulo de asignación, implementando la nueva bandeja de pendientes
09/09/2025: Se escala control de cambios MDSB-887065 para la adicion de dos columna a dos tablas existentes. Control de cambios ejecutado con exito.
10/09/2025: Avance en queries para indicadores de ANS, se estima entregar esta semana.
12/09/2025: Se presentó el desarrollo a Sandra, quien lo revisó y lo aprobó de manera preliminar. El componente de lógica ya está implementado, incluyendo la corrección de la bandeja, la asignación por radicados y el control de capacidad, Actualmente esta en construcción los dashboards de administración para evaluar la eficiencia de los auditores
Se está a la espera del visto bueno para pasar a producción y validar con datos reales.
15/09/2025: Se escala control de cambio a producción con el jira MDSB-890559.
25/09/2025: El control de cambios aún se encuentra pendiente de aprobación por parte del QA del cliente.
01/10/2025: Control de cambios ejecutado el 29 de septiembre,  Se realiza paso a producción de la  implementación en salud, de acuerdo al  resultado se iniciara implementación en ARL
22/12/2025: Se identificó la necesidad de replicar la bandeja existente de Salud hacia ARL. La actividad se encuentra pendiente de iniciar y se priorizará una vez se finalicen los ajustes de reembolsos salud. Requerirá configuraciones adicionales y validaciones funcionales.</t>
  </si>
  <si>
    <t>MDSB-887065</t>
  </si>
  <si>
    <t>MDSB-886547</t>
  </si>
  <si>
    <t>Acceso Ambiente de desarrollo</t>
  </si>
  <si>
    <t>Se identificaron problemas de acceso a discos (EBS y S3), lo que ha limitado avances en varios frentes. Se radicará un ticket para resolver la falta de conectividad y habilitar pruebas en desarrollo.</t>
  </si>
  <si>
    <t>20/08/2025: Se radica ticket  MDSB-867281  donde se informa que no es posible establecer conexión desde la instancia de desarrollo imaginex-1_dev
22/08/2025: Se solucionó parcialmente; aún pendiente la conexión a la BD. Ya se solicitó soporte a infraestructura.
25/08/2025: El viernes 22 de agosto dan respuesta al ticket MDSB-867281  solicitando  una sesion para validar la solicitud a mas detalle.
27/08/2025: Pendiente realizar las validaciones de acceso y de funcionalidad.
29/08/2025: Se retoma el trabajo en el ambiente de desarrollo, con la expectativa de avanzar en conjunto con Infraestructura  para habilitarlo lo antes posible.
01/09/2025: El ambiente fue instalado y se encuentra en funcionamiento; sin embargo, se evidencian intermitencias de acceso y desactualización de ramas. Se acordó actualizar develop con test
01/09/2025: Se escala  ticket MDSB-874115 a infraestructura  ya que la instancia imaginex-1_dev en la cuenta de desarrollo presenta error de conexión SSH y solo aprueba 1/2 comprobaciones de estado. Se solicita restablecer acceso y disponibilidad.
03/09/2025: Se presentaron fallas en la instancia, la cual no inicia debido a un error del servicio de indexación. Se está evaluando la recuperación mediante traslado de volumen o reinstalación, lo cual condiciona el avance de otras tareas dependientes.
04/09/2025: Dan respuesta  al ticket  MDSB-874115 indicandos  que se lanzó una nueva instancia (ID: i-0055e0ea3de37d018) debido a que la anterior no logró levantar. Se tomó una copia del disco principal, la cual se adjuntó a la nueva instancia (vol-0203305eb3ff72cd2), a partir del snapshot snap-07cb97698540a8583.
05/09/2025: Se habilitó nuevamente la instancia, pero sin configuraciones previas. Se debe realizar instalación completa del sistema operativo, librerías y aplicaciones desde cero. Este ajuste tiene alta prioridad para garantizar continuidad de trabajo en equipo.
08/09/2025: Se avanzó en la reinstalación completa del sistema operativo y la instalación de librerías y paquetes necesarios para restablecer el ambiente de desarrollo. Aunque no se logró finalizar el viernes, ya se tiene parte configurada (incluyendo virtual hosts). Se espera concluir con la instalación de PHP 8.2 y validación de aplicaciones.
09/09/2025: Se escala el caso solicitando la validación de la configuración de CloudFront en el ambiente de DEV, debido a que actualmente no permite el acceso a determinadas URLs
10/09/2025: Se configuró el sistema operativo y librerías; persiste problema con CloudFront. Esperar respuesta del ticket y reunión con Juan Sebastián para destrabar.
12/09/2025: Actualmente bloqueado por problemas de acceso a través de CloudFront. Se radicó ticket y se ha insistido en su atención. Mientras no se resuelva el acceso, no es posible validar las aplicaciones ni las conexiones en el entorno. Se está a la espera de respuesta del área encargada.
15/09/2025: A un estamos pendientes a la respuesta del ticket MDSB-886547 donde se reporta error  502 Bad Gateway generado por CloudFront. 
17/09/2025: Se obtiene respuiesta al ticket MDSB-886547, "se reimporta el certificado y se evidencia correcto funcionamiento."
19/09/2025: Se logró restablecer el ambiente de desarrollo bajando la versión de PHP a 7.2 y ejecutando ajustes necesarios. Se corrió composer en las aplicaciones y se dejaron las ramas en dev, aunque aún falta realizar el rebase para sincronizar con la rama ETS
22/09/2025: Ambiente de desarrollo quedó operativo, Se espera corrección en la instancia de Gravity para validar su funcionamiento.</t>
  </si>
  <si>
    <t>INTERNO-D021</t>
  </si>
  <si>
    <t>Actualización de versiones (PHP, Apache y librerías) en dev</t>
  </si>
  <si>
    <t>Una vez habilitado el ambiente de dev, se realizará la actualización a la nueva versión de PHP, junto con las librerías asociadas (ej. PostgreSQL, Apache). Se resaltó la importancia de revisar compatibilidad y replicar las librerías en la nueva versión.
03/09/2025: No ha sido posible aplicar actualizaciones dado que el ambiente continúa inestable. El requerimiento permanece bloqueado hasta la disponibilidad de la instancia.
10/09/2025: Migración a PHP 8.2 en curso; incidencias ya documentadas y solucionadas. Se Validara compatibilidad completa de aplicaciones.
12/09/2025: Las nuevas versiones ya fueron instaladas en el servidor. Falta ejecutar pruebas para validar su correcto funcionamiento, lo cual está bloqueado por el acceso al ambiente.
15/09/2025: Se realizaron avances en la actualización de la versión de PHP y sus librerías asociadas en el ambiente de desarrollo. La actividad está supeditada a la disponibilidad del entorno, que aún presenta bloqueos de acceso.
22/09/2025: Ajustes realizados en Virtual Host para unificación de versiones PHP que tienen pues como todos los ambientes en este momento.</t>
  </si>
  <si>
    <t>GD772-130</t>
  </si>
  <si>
    <t xml:space="preserve"> Modalidad Teletrabajo Transnacional</t>
  </si>
  <si>
    <t>**MODULO COBETURA EN EL EXTERIOR  TELETRABAJO TRANSNACIONAL**\r\nDescripción del requerimiento: De acuerdo a la reforma laboral, se debe incluir en la página web de la ARL concretamente en el módulo de reporte modalidades de trabajo, la opción de teletrabajo transnacional este ítem debe tener los mismos campos de trabajo en casa desde el exterior, que existe actualmente \r\nObjetivo: Que las empresa puedan reportar la modalidad de trabajo transnacional en la Página WEB de la Ley 2266 de 2025.\r\n\r\nLos campos que debe traer esta nueva modalidad de trabajo son los siguientes:\r\nTeletrabajo Transnacional \r\n➔ Número Identificación del trabajador Campo numérico (Obligatorio)\r\n➔ Nombres y apellidos del trabajador Campo de Texto (Obligatorio)\r\n➔ Número de teléfono del trabajador Campo numérico (Obligatorio)\r\n➔ País de residencia, seleccione de la lista desplegable (Obligatorio)\r\n➔ Ciudad de residencia: Seleccionar de lista desplegable (obligatorio)\r\n➔ Dirección residencia Campo de texto (Obligatorio)\r\n➔ Hora inicio labor: Seleccionar de la lista (campo opcional)\r\n➔ Hora fin labor: Seleccionar de la lista (campo opcional)\r\n➔ Hora inicio de almuerzo: Seleccionar de la lista (campo opcional)\r\n➔ Hora fin de almuerzo: Seleccionar de la lista (campo opcional)\r\n➔ Fecha de inicio Seleccionar de la lista (campo obligatorio)\r\n➔ Fecha fin; Seleccionar de la lista (campo opcional)\r\n➔ Jornadas , Seleccionar de la lista “ Semanal o flexible” (si el usuario selecciona flexible se\r\nhabilita un campo de texto en el que se indique el mecanismo) “ máximo 200 caracteres”\r\n➔ Clase de Riesgo trabajador .Seleccionar de la lista desplegable\r\n➔ Descripción de actividades, Seleccionar de la lista desplegable\r\nPor otro lado se debe dejar un campo para que la empresa suba la póliza y sus anexos,   para que la ARL tenga el conocimiento, que el empleador cuanta con esta póliza para q las prestaciones asistenciales del trabajador en la modalidad de teletrabajo transnacional.\r\nNota , En este ítem ,debe relacionarse la siguiente nota:  “Recuerde que el teletrabajo transnacional es aquel en donde los teletrabajadores y teletrabajadoras de una relación laboral celebrada en Colombia laboran desde otro país, siendo responsabilidad del teletrabajador o teletrabajadora tener la situación migratoria regular, cuando aplique, y responsabilidad del empleador contar con un seguro que cubra al menos las prestaciones asistenciales en salud en caso de accidente o enfermedad (literal d) del artículo 52 de la Ley 2466 de 2025).\r\n</t>
  </si>
  <si>
    <t>22/08/2025: Avance del 50%. Se implementó parte de la lógica y la notificación/modal de información. Se espera entregar hoy para pruebas.
22/08/2025: Entrega  requerimiento en test para  pruebas, pendiente realizar ajustes de forma.
25/08/2025: El desarrollo fue finalizado y se corrigieron observaciones recientes. Actualmente se encuentra en etapa de pruebas.
27/08/2025: Requerimiento listo para entregar al cliente.
28/08/2025: Se debe habilitar la opción de carga de adjuntos con tres categorías: (1) Póliza y (2) Contrato, ambos de carácter obligatorio, y (3) Otros anexos, de carácter opcional. Estas opciones deben estar disponibles tanto para el cargue individual de trabajadores como para el cargue masivo.
29/08/2025: El ajuste en modalidades no se pudo trabajar ayer , pero se asignó como prioridad para el día de hoy.
01/09/2025: El desarrollo se encuentra implementado; sin embargo, en las pruebas realizadas se identificó que algunos adjuntos se mezclaban al momento de mostrarse. Queda pendiente ajustar este comportamiento y completar las pruebas locales para iniciar las pruebas en en test.
02/09/2025: El desarrollo quedo funcional en el ambiente de test el 01 de septiembre y hoy 2 de septiembre  se le in forma al cliente  para que inicien sus pruebas.
03/09/2025: El 2 de septiembre el cliente reportó tres hallazgos durante las pruebas, los cuales fueron solucionados. Hoy el cliente confirmó la ejecución exitosa de las pruebas y aprobó el paso a producción.
08/09/2025: Paso a produccion realizado el 03 de septiembre.</t>
  </si>
  <si>
    <t>MDSB-868186</t>
  </si>
  <si>
    <t xml:space="preserve">jiras dïa a dïa(  Informe general de autorizaciones está trayendo los radicados duplicados)  </t>
  </si>
  <si>
    <t xml:space="preserve">**Error al generar el informe autorizaciones general en ambiente salud**\n\nDesde el día viernes al generar el informe general de autorizaciones (ver imagen1), la base está trayendo los radicados duplicados cuando debe traer un solo registro por radicado desde la fecha de radicación hasta la fecha de cierre y no por actividad. \n\nSe adjuntan los archivos del informe, el denominado Base Error corresponde a cómo está generando el informe actualmente y el denominado Base Correcta (que fue generado el jueves) corresponde a como lo debe generar con un solo registro por radicado. </t>
  </si>
  <si>
    <t>22/08/2025 : Se identifica que el histórico muestra registros duplicados porque la tipología está asociada a dos áreas, y por ello el query trae los casos de cada una de ellas, Jesus confima solucion  pero al consultar el  informe presenta un  error que indica que al acceder a una columna llamada id que no existe en la tabla raddepartamentos, pendiente ajustar.
22/08/2025: Error corregido, actualmente el informe presenta la información de manera correcta.</t>
  </si>
  <si>
    <t>INTERNO-D022</t>
  </si>
  <si>
    <t>Event Party Financiero (plan de ejecución y reducción de costos)</t>
  </si>
  <si>
    <t>\n**Descripción:**\nSe debe elaborar un plan de ejecución por fases (documentación, objetivos, métricas y validaciones técnicas/no técnicas) para participar en el Event Party Financiero. El propósito principal es reducir costos de infraestructura tecnológica, evaluando alternativas como modelos híbridos de servidores y optimización de recursos. El plan debe contemplar:\n\nIdentificación de la infraestructura actual.\n\nEstrategias para reducción de costos (comparativas y porcentajes).\n\nDocumentación técnica y no técnica solicitada por la organización del evento.\n\nPreparación de entregables para cada fase (4 fases en total).\n\nEjecución y validación de resultados en las fechas del evento (16 y 17 de septiembre).</t>
  </si>
  <si>
    <t>22/08/2025: Se encuentra en la fase 3 de 4, con un avance estimado del 60% en documentación (se espera llegar al 80% la próxima semana). Se requiere apoyo de infraestructura y arquitectura para avanzar más rápido. La ejecución final está prevista para el 16-17 de septiembre.
27/08/2025: Se continúa con el avance de la fase 3 y se dará inicio a la fase 4.
01/09/2025: El avance se encuentra detenido parcialmente por depender de información de la PO. Se diligenció documentación parcial y queda pendiente un último punto para completar la entrega.
03/09/2025: La documentación fue completada en conjunto con Carlos y se encuentra finalizada. Actualmente el requerimiento está a la espera únicamente de la ejecución del evento.
19/09/2025: Evencto realizado el 18 de septiembre.
22/09/2025: participó en la actividad el 18 y 19 de septiembre, se cumplió con los objetivos planteados en la documentación, aunque el equipo quedó en cuarto puesto.</t>
  </si>
  <si>
    <t>INTERNO-D024</t>
  </si>
  <si>
    <t>Cambio de certicados  de seguridad del servidor test y produccion</t>
  </si>
  <si>
    <t>05/09/2025: El 4 de septiembre se implementaron los certificados  satisfactoriamente en ambiente de test y posteriormente en producción durante la noche. El requerimiento quedó finalizado.</t>
  </si>
  <si>
    <t>INTERNO-D026</t>
  </si>
  <si>
    <t>Optimización del ambiente de pruebas</t>
  </si>
  <si>
    <t>Se requiere garantizar la estabilidad y disponibilidad del ambiente de pruebas, dado que se han presentado fallas por falta de espacio en el almacenamiento de la raíz, lo que ha impedido la creación de carpetas necesarias para la ejecución de procesos bajo FPM. El objetivo del requerimiento es liberar y optimizar el uso del espacio, así como asegurar que el servicio de FPM se ejecute de forma continua y sin interrupciones, permitiendo la validación y despliegue de desarrollos en condiciones adecuadas de prueba.</t>
  </si>
  <si>
    <t>05/09/2025: Se identificó que el almacenamiento en raíz estaba lleno, lo que impedía la creación de carpetas requeridas por FPM. Se liberó espacio parcialmente y se estabilizó temporalmente el servicio. Se mantiene monitoreo en conjunto con Wilson.
08/09/2025: Hoy el ambiente presenta  error "504 Gateway Time-out", Se escala  el ticket MDSB-879053 ya que  la instancia imaginex_imaginex-1_stage (ID: i-0656b5dc31eab8a8d) de la cuenta 886662616829 no funciona.
10/09/2025: El 8 de septiembre dan respuesta indicando que la instancia se pauso por que estaban instalando un servicio de phyton.</t>
  </si>
  <si>
    <t>INTERNO-JE2</t>
  </si>
  <si>
    <t>Errores intermitentes en casos y correos en test (colas Laravel)</t>
  </si>
  <si>
    <t>Se presenta intermitencia en el envío de correos de notificación de radicación en el portal ARL, así como en la replicación de casos en Nativo (entorno de pruebas).</t>
  </si>
  <si>
    <t>10/09/2025: Se detectó posible conflicto con workers en otros ambientes. se realizaran pruebas adicionales antes de escalar.
12/09/2025: No se han realizado avances desde la última reunión. El tema sigue pendiente por revisión y asignación de tiempo para su análisis.
30/09/2025: Se realiza un cambio de enfoque en la cola para que los casos repliquen correctamente en el aplicativo.</t>
  </si>
  <si>
    <t>GD772-141</t>
  </si>
  <si>
    <t>OFICINA  EXPRES  ARL -IA</t>
  </si>
  <si>
    <r>
      <rPr>
        <rFont val="Quattrocento Sans"/>
        <color theme="1"/>
        <sz val="10.0"/>
      </rPr>
      <t xml:space="preserve">16/09/2025: El 15 de septiembre se escala  ticket MDSB-891056  solicitando el aprovisionamiento de una máquina en la nube para el entrenamiento del modelo AI de Oficina Express,
19/09/2025: No se reportan avances recientes, el progreso depende de otro integrante (Cliente) y no ha habido movimientos en el requerimiento.
22/09/2025: El Viernes 20 de septiembre se resolvieron las dudas en reunión previa y se avanzó en el desarrollo.
23/09/2025: 22 de septiembre confirman creación de la maquina solicitada.
24/09/2025: Se avanzó en la implementación del modelo y del backend con su respectivo API, incluyendo entrenamiento inicial y pruebas. Se instaló la librería en la nueva instancia y se trabaja en la configuración de DNS para permitir el consumo desde otras instancias.
25/09/2025: Se esta montando el modelo en la instancia y probando la conexión con el dataset
26/09/2025: Se encuentra implementando la  instancia, y  se  identificó que la instancia entregada tiene menor capacidad de la solicitada lo cual sera reportado hoy.
29/09/2025: se reportó por correo que dicha instancia no cumplía con las especificaciones indicadas en el ticket, situación que fue corregida mediante el cambio a una nueva instancia. Sin embargo, la instancia anterior fue eliminada, por lo que actualmente se encuentra en proceso de reinstalación de librerías y configuración en la nueva instancia.”, Se espera finalizar instalación y publicación en test del servicio API.
01/10/2025: El modelo ya fue montado en la instancia y se encuentra en entrenamiento con datos reales. Sin embargo, el avance está limitado por la falta de comunicación entre servidores, necesaria para exponer el modelo como API y realizar pruebas de consumo. También se requiere acceso a la base de datos de producción para facilitar la extracción de información y garantizar un entrenamiento más alineado con el entorno final.
03/10/2025:  Se avanzó en el entrenamiento del modelo con tipologías depuradas, ajustando la información a 29 clases, aunque actualmente solo se entrenan 8 por falta de insumos. Persiste la limitación de conexión directa a producción, pero el proceso está casi listo para pruebas de radicación.
Se identificó que no existía conexión desde la instancia imaginex_ec2_private1 (i-01100c19c4e024efe) hacia la nueva instancia oficinaexpress-new-imaginex-stage-ec2. La situación se escaló mediante el ticket MDSB-903680, en el cual informan que ya se realizaron los ajustes requeridos para habilitar la conexión
Probando modelo con datos extraidos de producciñon
06/10/2025: Se avanzó en la implementación de la lógica para la radicación de casos; sin embargo, persisten dificultades de acceso a los ambientes de pruebas (TES), las cuales se espera resolver hoy. Se logró restablecer las credenciales de la VPN y se prevé finalizar el desarrollo entre hoy y mañana, dependiendo del restablecimiento de accesos.
22/10/2025: El 21 de Octubre se realizó el análisis de la documentación enviada por Freddy y se depuró el listado de tipologías a entrenar, quedando en 48 tipologías seleccionadas para el modelo con el fin de reducir ruido y mejorar estabilidad.
23/10/2025: Se reciben manuales de autorizaciones, Reembolsos e incapacidades, faltando  modalidades  y proveedores.
Se definen 63 tipologias finales para el entrebamiento del modelo.
24/10/2025: El requerimiento presenta avance significativo en la lógica y configuración del modelo IA, con resultados estables en local. Está previsto desplegar los cambios en ambiente de Test durante el día para iniciar pruebas la próxima semana.
27/10/2025: El componente ya fue desplegado en ambiente de test el 24 de octubre e integrado con los elementos funcionales requeridos. Actualmente se trabaja en el entrenamiento con datos reales para incrementar el nivel de confianza en las respuestas del modelo
29/10/2025: Se continúa con el mejoramiento de la lógica y diseño del modelo, además del entrenamiento
31/10/2025: El modelo se encuentra en fase de entrenamiento y ajuste de parámetros
Pendiente: Finalizar entrenamiento y entregar el modelo con datos ajustados antes de finalizar la semana.
05/11/2025: Se realizó la presentación del desarrollo al cliente, mostrando el funcionamiento del modelo de inteligencia artificial en la clasificación de solicitudes dentro de Oficina Express.
Durante la sesión, se definió que el modelo debe permitir, además, radicar los casos una vez finalizada la clasificación, iniciando el proceso formal de radicación de solicitudes ARL.
En atención a esta nueva necesidad, se acordó iniciar el desarrollo complementario
 despues de realizar la clasificación, para lo cual se debe iniciar con el desarrollo 
07/11/2025: Se avanzó en la configuración de parámetros y consumo de servicios. Se está utilizando información histórica de la base de datos para pruebas mientras se definen los insumos definitivos.
10/11/2025: Pendiente reactivar pruebas una vez se solucione el problema de replicación y AJUSTE VENTANA ERROR EN PORTALES
12/11/2025:  se ajustaron los parámetros y se realizaron pruebas adicionales.
Se realiza presentacion de avances el grupo  de imagiene y gerencia.
 14/11/2025:  Ayer se extrajo información desde producción para construir la base de datos de Oficina Express (50%), se desplegaron y validaron los cambios en test (100%), se avanzó en la radicación del caso (85%) y se entrenó el modelo en test (60%). Hoy se continúa trabajando en la radicación del caso y en el ajuste del entrenamiento del modelo en ambiente de test (progreso actual 50%). Quedan pendientes completar la radicación y finalizar los ajustes del modelo para alcanzar los objetivos de precisión.
18/11/2025: Se realiza entrega al cliente para inicio de las  poruebas. y pendiente de poarte del  cliente la entrega  de los manuales para las tarjetas faltantes del portal
24/11/2025: El Viernes 21 de noviembre se recibió un documento con evidencias de pruebas. Pendiente revisión detallada para identificar ajustes adicionales y validar si se requiere nuevo entrenamiento del modelo.
26/11/2025: Se avanza en un 95% en la radicación del caso, quedando pendientes ajustes en datos básicos y la revisión de incidencias detectadas en pruebas del cliente. El modelo en ambiente de Test mantiene buen desempeño, aunque se evaluará si se requiere un nuevo ciclo de entrenamiento según las inconsistencias encontradas. La extracción de información desde producción aún no inicia por falta de acceso autorizado, pero está previsto reutilizar el modelo validado en Test para el despliegue final. Adicionalmente, La información enviada por Imagine respecto al despliegue de la instancia de Oficina Express y al escalamiento de recursos en producción indica que, a partir de este punto, corresponde al cliente la creación del ticket en Jira para solicitar el escalamiento a infraestructura. Este paso es un requisito necesario para poder continuar con la siguiente fase del flujo de Oficina Express.
 01/12/2025: El viernas 28 de noviembre se implementaron casi todas las recomendaciones entregadas por IBEC. Únicamente falta ajustar la carta de la respuesta. El avance general del entregable se mantiene en 95%.
10/12/2025: Entre el 4 y 9 de diciembre se avanzó en la implementación de las reglas de Oficina Virtual dentro de Oficina Express, actividad que no se realizó inicialmente porque las tipologías recibidas correspondían a Nativo, donde no existen dichas reglas. Con la matriz final entregada por Fred, el desarrollo avanza y se encuentra próximo a finalizar. El objetivo del día es completar la implementación. Se estima entregar los ajustes antes del mediodía para continuar con otras tareas.
17/12/2025: Se revisaron incidencias encontradas durante las pruebas realizadas por el equipo funcional. No se resolvieron aún, ya que se esperaba el cierre del ciclo completo de pruebas para abordarlas de manera conjunta
18/12/2025: Se informa al cliente que pueden realizar validaciones controladas en Producción únicamente con el siguiente nit 123456789 para identificar fácilmente que son pruebas y no se deben gestionar los casos.   </t>
    </r>
    <r>
      <rPr>
        <rFont val="Quattrocento Sans"/>
        <color rgb="FF1155CC"/>
        <sz val="10.0"/>
        <u/>
      </rPr>
      <t>https://imaginex-arlbolivar.segurosbolivar.com/oficina/express/1</t>
    </r>
    <r>
      <rPr>
        <rFont val="Quattrocento Sans"/>
        <color theme="1"/>
        <sz val="10.0"/>
      </rPr>
      <t xml:space="preserve"> 
19/12/2025: El sistema se encuentra operativo en producción y ya está siendo probado por el equipo funcional, evidenciando correcta radicación, réplica del caso nativo y asignación de tipologías
30/12/2025: Se despliega oficialmente a producción oficina express.</t>
    </r>
  </si>
  <si>
    <t>INTERNO-JE025</t>
  </si>
  <si>
    <t>Configuración de colas (Supervisor en producción – nuevo portal)</t>
  </si>
  <si>
    <t>Jesus, solicitó creación y configuración del supervisor para colas en producción.</t>
  </si>
  <si>
    <t>01/10/2025: El supervisor configurado inicialmente en test presentó conflictos con las colas y fue eliminado. Se implementó un PM2 dedicado en test, replicando el esquema que funciona en el servidor antiguo. Se realizaron pruebas preliminares con resultados positivos, pero se requiere ejecutar pruebas integrales en todo el  portal  (incluyendo Bolívar) antes de replicar la solución en producción.
06/10/2025: Se Confirgura supervisor en producción.</t>
  </si>
  <si>
    <t>INTERNO-F007</t>
  </si>
  <si>
    <t>Pruebas integrales portal ARL test  (Supervisor en producción – nuevo portal)</t>
  </si>
  <si>
    <t>Se requiere realizar pruebas en el ambiente de test para validar el correcto funcionamiento de los procesos encolados en los portales ARL bajo la gestión de PM2, asegurando que las radicaciones, consultas y replicaciones de información en los aplicativos asociados operen de manera estable antes de su paso a producción.</t>
  </si>
  <si>
    <t>01/10/2025: Se inicia con la validación de radicación de solicitudes ARL
03/10/2025: De acuerdo con el plan de pruebas ejecutado en los portales ARL, se validó que los procesos encolados de radicación, consulta y generación de información operan correctamente en el ambiente de test.
No obstante, se identificaron algunos aspectos que requieren validación adicional, se envia resultados de las pruebas a desarrollo para su validacion.</t>
  </si>
  <si>
    <t>INTERNO-JE003</t>
  </si>
  <si>
    <t>Implementar cambio de contraseña a 30 dias en los tres aplicativos</t>
  </si>
  <si>
    <t>02/03/2026: Se discutió la necesidad de implementar una política de cambio de contraseña en los aplicativos por razones de seguridad. Se evaluó como alternativa implementar un proceso automático (cron).
Aún no se define la solución técnica ni se inicia desarrollo.</t>
  </si>
  <si>
    <t>Se tiene previsto evacuar los requerimientos prioritarios para poder dar inicio a las validaciones correspondientes</t>
  </si>
  <si>
    <t>GD772-161_2</t>
  </si>
  <si>
    <t>Pruebas  Automatización actas de prevención Formato AT- 031 Agr”</t>
  </si>
  <si>
    <t>05/12/2025:Se realizan pruebas iniciales satisfactorias y se identifican algunos detalles de forma que fueron solucionados durante el proceso. Se espera que el martes 9 de diciembre finalice el envío del caso certificado y, posteriormente, se continuará con las pruebas correspondientes.
09/12/2025: Se continua con las pruebas  identificando errores en la validación de los adjuntos, y se adelanta la documentación de las  pruebas.
10/12/2025:Se realizarán validaciones sobre los ajustes implementados por Jesús y se continuará con las pruebas relacionadas con la extracción del correo desde el PDF para el envío de la respuesta, así como la verificación de que el adjunto correspondiente quede correctamente asociado al caso.
12/12/2025: Las pruebas de extracción de correo y la carta de respuesta  adjunta al  caso, fueron exitosas.
Queda pendiente la  implementación de la asignación del usuario responsable a la devolución mail y la asignación al usuario responsable  de los casos que el pdf no con tenga correo para que se gestionen manualmente.
26/03/2026: Se finalizan pruebas de manera exitosa.</t>
  </si>
  <si>
    <t>INTERNO-F017</t>
  </si>
  <si>
    <t xml:space="preserve">Documentación Tecnica envio masivo conciliaciones </t>
  </si>
  <si>
    <t>19/02/2026: Se realiza documnetación tecnica y se adjunta en BIB_DOC_TECNICA  en Nativo menu instructivos</t>
  </si>
  <si>
    <t>INTERNO-F018</t>
  </si>
  <si>
    <t>Elaboración  Instructivo de envio masivo conciliaciones</t>
  </si>
  <si>
    <t xml:space="preserve">19/02/2026: Se realiza instructivo  y se envia para validación de Liyibet.
24/02/2026: A unque el instructivo ya esta completo se deben corregir la resolucion de las imagenes de apoyo, pero dado que el modulo de masivos lo esta actualizando Jesus, se pausa este ajuste de imagenes  para incorporar las imagenes del nuevo sitio </t>
  </si>
  <si>
    <t>INTERNO-F019</t>
  </si>
  <si>
    <t xml:space="preserve">Implementación de tarjetas por unidad en tablero de requerimientos </t>
  </si>
  <si>
    <t>23/02/2026: Se realizó una modificación en el Tablero de Requerimientos para mejorar la visualización del Resumen Ejecutivo. Anteriormente, esta sección mostraba únicamente 5 indicadores globales en formato de texto plano (Total de Tareas, En Proceso, Pendientes, Finalizadas y Avance Promedio), sin distinción por unidad de negocio.
Cambio realizado:
Se reemplazó el bloque de texto plano por un sistema de tarjetas visuales, una por cada unidad que registra requerimientos. Cada tarjeta muestra el total de tareas, una barra de avance con el porcentaje promedio, y el desglose de tareas En Proceso, Pendientes y Finalizadas</t>
  </si>
  <si>
    <t>GD772-164</t>
  </si>
  <si>
    <t xml:space="preserve">Ajuste por exchange de respuestas de no radicación
</t>
  </si>
  <si>
    <t>Solicitamos por favor que las respuestas de "No es posible procesar solicitud"salgan por el canal masivo de correo Exchange con copia oculta al correo de servicioarl2@segurosbolivar.com, con el propósito de dejar copia de la trazabilidad y no llenar cuota del correo electrónico.</t>
  </si>
  <si>
    <t>28/10/2025: Se realiza ajuste en el correo de ARL</t>
  </si>
  <si>
    <t>GD772-165</t>
  </si>
  <si>
    <t xml:space="preserve">Copias de salida exchange.
</t>
  </si>
  <si>
    <t>Se solicita por favor que toda la información que actualmente genera salida por exchange y no cuenta con trazabilidad de envio genere copia oculta al correo servicioarl2@segurosbolivar.com.
Esto aplica para todos los envios a excepción de los que hoy generan copia al correo de novedades.</t>
  </si>
  <si>
    <t>31/10/2025: Se inicia el ajuste solicitado y se despliega en el ambiente de test para su validación, obteniendo resultados exitosos en las pruebas realizadas.
31/10/2025: Ajuste desplegado en producción.</t>
  </si>
  <si>
    <t>GD772-141_1</t>
  </si>
  <si>
    <r>
      <rPr>
        <rFont val="Quattrocento Sans"/>
        <color theme="1"/>
      </rPr>
      <t>OFICINA  EXPRES  ARL -IA</t>
    </r>
    <r>
      <rPr>
        <rFont val="Quattrocento Sans"/>
        <b/>
        <color theme="1"/>
      </rPr>
      <t xml:space="preserve"> Extracción de información en producción</t>
    </r>
  </si>
  <si>
    <t xml:space="preserve"> Extracción de información real en producción para la construcción de la base de datos de Oficina Express.</t>
  </si>
  <si>
    <t>18/11/2025:  El 14 de noviembre se da Inicio de la construcción de la base de datos a partir de registros productivos para alimentar el modelo y los procesos de radicación
19/11/2025: Se continuó con la obtención y depuración de registros productivos, validando campos clave para que la base de datos soporte de forma consistente el entrenamiento del modelo y los procesos de radicación.
24/11/2025: Actividad continua y progresiva. Actualmente estimada en 60%, pero seguirá ejecutándose mientras sea necesaria para enriquecer el entrenamiento del modelo.
26/11/2025: La extracción completa aún no inicia debido a que no se cuenta con acceso autorizado en producción. La intención es reutilizar el modelo validado en Test y completar el entrenamiento una vez se habiliten los permisos para realizar la descarga masiva.
El 24 de noviembre  imgine entregó la información y correcciones solicitadas al cliente para la implermentación de la instancia en producción. La radicación de la solicitud a infraestructura  por medio de Jira  queda ahora en manos del cliente.
01/12/2025: La extracción es un proceso continuo. Se realizaron nuevas pruebas con datos que anteriormente fallaban y ahora funcionan correctamente. El avance estimado se actualiza al 80%.
03/12/2025: El avance de extracción se actualizó al 85%. Se continúa extrayendo información real para usar en el entrenamiento y en la validación del flujo. No se registran bloqueos en esta actividad
10/12/2025:  Inicio de la construcción de la base de datos a partir de registros productivos para alimentar el modelo y los procesos de radicación.
18/12/2025:  Inicio de la construcción de la base de datos a partir de registros productivos para alimentar el modelo y los procesos de radicación.</t>
  </si>
  <si>
    <t>GD772-141_2</t>
  </si>
  <si>
    <r>
      <rPr>
        <rFont val="Quattrocento Sans"/>
        <color theme="1"/>
      </rPr>
      <t xml:space="preserve">OFICINA  EXPRES  ARL -IA </t>
    </r>
    <r>
      <rPr>
        <rFont val="Quattrocento Sans"/>
        <b/>
        <color theme="1"/>
      </rPr>
      <t>Radicación del caso</t>
    </r>
  </si>
  <si>
    <t>Avance en la radicación del caso correspondiente al flujo de Oficina Express.</t>
  </si>
  <si>
    <t>18/11/2025: El 14 de noviembre se realizan Ajustes sobre el flujo de radicación y validaciones asociadas al envío, con seguimiento al comportamiento en test.
19/11/2025: Se ajustaron validaciones del flujo de envío, se revisaron escenarios de prueba en el ambiente de test y se documentaron los casos de uso para asegurar trazabilidad del proceso.
24/11/2025: La radicación presenta avance significativo y estaría completándose entre hoy y mañana. Se ajustaron condiciones recibidas el viernes y se prevé dejar una versión previa lista al finalizar la radicación.
26/11/2025:  La radicación presenta un avance del 95%. Se identificaron ajustes pendientes en los datos básicos del formulario y una incidencia reportada durante la prueba manual (un campo no se estaba actualizando correctamente). Se espera finalizar estos ajustes hoy para dejar la radicación completamente operativa
01/12/2025: La radicación estuvo lista el viernes 28 de noviembre,pero presentó fallas al intentar ejecutar el registro del caso. Actualmente ya clasifica correctamente la tipología y procesa los datos, con un avance cercano al 98%. Hoy se continúa revisando el detalle que impide completar la radicación para dejarla totalmente operativa.
03/12/2025: Se completaron los cambios en la radicación y ya se validó correctamente desde el ambiente local y en Test. Sin embargo, el caso está radicando pero no se está replicando en Nativo. Se identificó que la ejecución desde Portales está intentando consumir la clase de Nativo desde Oficina Virtual, lo cual provoca que la cola no encuentre la clase adecuada. El equipo sugirió configurar la ejecución desde una cola específica para Portales o redirigirla a las colas de Bolívar para que el proceso se ejecute correctamente. Pendiente revisar con apoyo de Jesús y ajustar el método de ejecución 
05/12/2025: La replicación ya funciona al 100% después de ajustar la cola que ejecuta el proceso desde Portales. Se identificaron inconsistencias iniciales en algunas tipologías, pero todas fueron corregidas. Falta definir una nueva actividad relacionada con las 21 tipologías que realmente aplican para Oficina Virtual, ya que las suministradas inicialmente no estaban alineadas (se encontraron repetidas, mal clasificadas y campos obligatorios que no correspondían). Pendiente recibir la nueva relación de tipologías válidas para completar esta fase.</t>
  </si>
  <si>
    <t>GD772-141_3</t>
  </si>
  <si>
    <r>
      <rPr>
        <rFont val="Quattrocento Sans"/>
        <color theme="1"/>
      </rPr>
      <t xml:space="preserve">OFICINA  EXPRES  ARL -IA </t>
    </r>
    <r>
      <rPr>
        <rFont val="Quattrocento Sans"/>
        <b/>
        <color theme="1"/>
      </rPr>
      <t>Entrenamiento del modelo en ambiente de test</t>
    </r>
  </si>
  <si>
    <t xml:space="preserve"> Entrenamiento del modelo en el ambiente de pruebas.</t>
  </si>
  <si>
    <t>18/11/2025: El 14 de noviembre se realiza   Ajuste de parámetros y pruebas sobre el modelo para mejorar la clasificación y comportamiento antes de su uso definitivo.
19/11/2025: Ayer 18 de noviembre  se dejo con un entrenamiento y se esta a la espera de resultados de las pruebas.
24/11/2025: El modelo ha mejorado el entendimiento de contexto tras pruebas del viernes. Se incrementa su avance estimado a 80%. A partir de resultados de pruebas nuevas, se corregirán inconsistencias y se completará el entrenamiento.
26/11/2025: El modelo mostró buen comportamiento en las pruebas recientes, pero se detectaron inconsistencias asociadas a los cambios aplicados el viernes 21 de noviembre. Hoy se revisarán las incidencias para determinar si es necesario ejecutar un nuevo ciclo de entrenamiento y ajustar el entendimiento contextual del modelo.
03/12/2025: Se incrementó el avance del entrenamiento al 90%. Se extrajo nueva información desde producción para mejorar los datos de entrenamiento en Test. El modelo está respondiendo mejor, pero está pendiente una validación final dependiendo de la resolución del problema de replicación en Nativo.
05/12/2025:  No se realizaron avances en entrenamiento durante los últimos días, debido a que se priorizó el ambiente de desarrollo. El requerimiento se mantiene pausado hasta que se concluya la estabilización completa del entorno.
10/12/2025: El entrenamiento del modelo no presenta avances recientes debido a que se estaba en etapa de pruebas y aún no se ha recibido feedback de los resultados anteriores. El requerimiento permanece en espera de la retroalimentación funcional.
10/12/2025 Ajuste de parámetros y pruebas sobre el modelo para mejorar la clasificación y comportamiento antes de su uso definitivo
17/12/2025: Las incidencias asociadas al entrenamiento ya están identificadas y se consideran de rápida solución;
18/12/2025: Ajuste de parámetros y pruebas sobre el modelo para mejorar la clasificación y comportamiento antes de su uso definitivo.
19/12/2025: Se identificaron ajustes menores de entrenamiento del modelo, principalmente en la clasificación de solicitudes relacionadas con afiliaciones (nuevas afiliaciones y retiros), los cuales serán corregidos mediante entrenamiento adicional de baja complejidad.
29/12/2025: Los incidentes reportados no corresponden a fallas técnicas de la aplicación, sino a ajustes requeridos en el entrenamiento. Se corrigió la vectorización del modelo y se reentrenaron solicitudes previas. Actualmente se está fortaleciendo el modelo para manejar distintos contextos de solicitud según el origen (cliente vs. funcionario interno), con el objetivo de evitar recurrencia de estos casos.</t>
  </si>
  <si>
    <t>GD772-141_8</t>
  </si>
  <si>
    <r>
      <rPr>
        <rFont val="Quattrocento Sans"/>
        <color theme="1"/>
      </rPr>
      <t xml:space="preserve">OFICINA  EXPRES  ARL -IA - </t>
    </r>
    <r>
      <rPr>
        <rFont val="Quattrocento Sans"/>
        <b/>
        <color theme="1"/>
      </rPr>
      <t>Incidencia uso de micrófono en dispositivos móviles</t>
    </r>
  </si>
  <si>
    <t>El cliente reportó una incidencia en Oficina Express relacionada con el uso del micrófono desde dispositivos móviles, donde la radicación por voz duplica palabras.</t>
  </si>
  <si>
    <t>31/12/2025: Se realiza validación de incidencia.
02/01/2026: El 31 de diciembre se resolvió parcialmente la incidencia relacionada con el uso de micrófono
05/01/2026: Revisión y validación del cambio relacionado con el uso de micrófono en la radicación por voz en Oficina Express, incluyendo pruebas de funcionamiento y verificación de despliegue previo para confirmar si el ajuste ya se encuentra aplicado o requiere corrección adicional.</t>
  </si>
  <si>
    <t>GD772-141_9</t>
  </si>
  <si>
    <r>
      <rPr>
        <rFont val="Quattrocento Sans"/>
        <b/>
        <color theme="1"/>
      </rPr>
      <t>Documentación tecnica</t>
    </r>
    <r>
      <rPr>
        <rFont val="Quattrocento Sans"/>
        <color theme="1"/>
      </rPr>
      <t>-OFICINA  EXPRES  ARL -IA -</t>
    </r>
  </si>
  <si>
    <t>31/12/2025: Se solicita a Danilo los script del desarrollo para generar la documentación 
27/01/2026: Danilo envia 18 archivos .md con información para la generación de la documentación.
11/02/2026: Se inicia  con la validación y ajuste de los archivos  para  generar la docuemntación.
Se realiza documentación y se carga al directorio de la Biblioteca tecnica.</t>
  </si>
  <si>
    <t>GD772-141_4</t>
  </si>
  <si>
    <r>
      <rPr>
        <rFont val="Quattrocento Sans"/>
        <color theme="1"/>
      </rPr>
      <t xml:space="preserve">OFICINA  EXPRES  ARL -IA </t>
    </r>
    <r>
      <rPr>
        <rFont val="Quattrocento Sans"/>
        <b/>
        <color theme="1"/>
      </rPr>
      <t>Reglas de validación dinámicas (Yii / Administración)</t>
    </r>
  </si>
  <si>
    <t>Configuración de reglas de validación dinámicas para campos y adjuntos de Oficina Express administrados desde Yii.</t>
  </si>
  <si>
    <t>12/12/2025: El 10 de diciembre se habilitaron los campos y adjuntos obligatorios desde la administración, con impacto directo en la validación del proceso en Oficina Express.</t>
  </si>
  <si>
    <t>GD772-141_5</t>
  </si>
  <si>
    <r>
      <rPr>
        <rFont val="Quattrocento Sans"/>
        <color theme="1"/>
      </rPr>
      <t xml:space="preserve">OFICINA  EXPRES  ARL -IA </t>
    </r>
    <r>
      <rPr>
        <rFont val="Quattrocento Sans"/>
        <b/>
        <color theme="1"/>
      </rPr>
      <t>Despliegue en la instancia privada de test)</t>
    </r>
  </si>
  <si>
    <t>Despliegue de cambios de Oficina Express en la instancia privada.</t>
  </si>
  <si>
    <t>12/12/2025: El 11 de diciembre la actividad no se pudo completar, no fue posible acceder a la instancia desde la consola de administración de AWS. Se reportó en el ticket MDSB-944861
17/12/2025: Confirman conexcion a la instancia.
18/12/2025:  La actividad no se pudo completar el día de hoy, no fue posible acceder a la instancia desde la consola de administración de AWS. Se reportó en el ticket MDSB-944861.</t>
  </si>
  <si>
    <t>GD772-141_6</t>
  </si>
  <si>
    <r>
      <rPr>
        <rFont val="Quattrocento Sans"/>
        <color theme="1"/>
      </rPr>
      <t xml:space="preserve">OFICINA  EXPRES  ARL -IA </t>
    </r>
    <r>
      <rPr>
        <rFont val="Quattrocento Sans"/>
        <b/>
        <color theme="1"/>
      </rPr>
      <t>Despliegue en producción)</t>
    </r>
  </si>
  <si>
    <t>Despliegue del servicio de Oficina Express en ambiente productivo.</t>
  </si>
  <si>
    <t>12/12/2025: El 11 de diciembre el despliegue avanza; sin embargo, no hay comunicación desde la instancia imaginex_ec2_private1 hacia la nueva instancia de Oficina Express, lo que impide finalizar las pruebas y el pase completo a producción. El bloqueo está radicado en el ticket MDSB-945314.
17/12/2025: ya se logró habilitar la comunicación entre servidores y es posible consumir el servicio de Oficina Express vía curl; sin embargo, el acceso desde el front continúa bloqueado por CloudFront, lo cual ya fue reportado y está en validación. Hasta que se libere esta restricción, no es posible validar los cambios completos desde la interfaz. 
18/12/2025: El despliegue se encuentra avanzado; sin embargo, no hay comunicación desde la instancia imaginex_ec2_private1 hacia la nueva instancia de Oficina Express, lo que impide finalizar las pruebas y el pase completo a producción. El bloqueo está radicado en el ticket MDSB-945314</t>
  </si>
  <si>
    <t>GD772-141_7</t>
  </si>
  <si>
    <r>
      <rPr>
        <rFont val="Quattrocento Sans"/>
        <color theme="1"/>
      </rPr>
      <t xml:space="preserve">OFICINA  EXPRES  ARL -IA </t>
    </r>
    <r>
      <rPr>
        <rFont val="Quattrocento Sans"/>
        <b/>
        <color theme="1"/>
      </rPr>
      <t>Solución de incidentes y sugerencias</t>
    </r>
  </si>
  <si>
    <t>Solución de incidentes reportados en Oficina Express.</t>
  </si>
  <si>
    <t>18/12/2025: Identificación del incidente, aplicación de las correcciones y revisión desde los ambientes(test/prod)
19/12/2025: El 18 de diciembre  se finalizaron y cerraron al 100 % las incidencias reportadas previamente en Oficina Express.
22/12/2025: Durante el viernes 19 de diciembre y el día de hoy se trabajara casi exclusivamente en la atención de incidencias de Oficina Express. La gran mayoría de incidencias ya fueron resueltas y varias sugerencias también se atendieron cuando el esfuerzo requerido era bajo. Se priorizará cerrar completamente las incidencias restantes antes de continuar con nuevas actividade
29/12/2025: Los dias 22,23 y 24 de diciembre se trabajó en la atención de incidentes asociados al entrenamiento del modelo, identificándose un problema en la vectorización que ya fue ajustado y validado mediante nuevos entrenamientos y pruebas exitosas.
Persisten solicitudes pendientes de entrenamiento, las cuales serán abordadas en su totalidad durante el día de hoy. Se realizaran ajustes de contexto para que el modelo comprenda correctamente la terminología utilizada por clientes y funcionarios (por ejemplo, diferencias entre afiliaciones y novedades). La expectativa es completar los entrenamientos y, de ser viable, realizar el paso a producción (habilitación</t>
  </si>
  <si>
    <t>GD772-141_10</t>
  </si>
  <si>
    <r>
      <rPr>
        <rFont val="Quattrocento Sans"/>
        <color theme="1"/>
      </rPr>
      <t xml:space="preserve">OFICINA  EXPRES  ARL -IA - </t>
    </r>
    <r>
      <rPr>
        <rFont val="Quattrocento Sans"/>
        <b/>
        <color theme="1"/>
      </rPr>
      <t>Incidencias en producción y estabilización</t>
    </r>
  </si>
  <si>
    <t xml:space="preserve">El cliente reporto 33 casos radicados el 31 de diciembre que permanecen en estado inconsistente (en proceso/anulados). Se analiza la posible causa asociada a ejecuciones tardías de colas, caché o pruebas previas no depuradas. Se realizará revisión caso a caso para determinar si corresponden a pruebas o ejecuciones heredadas. 
</t>
  </si>
  <si>
    <t>02/01/2026: La prioridad del día es cerrar estos pendientes y dejar el sistema estable.
05/01/2026: Depuración de radicaciones generadas con NITs de prueba en Oficina Express, identificando el origen de la información, corrigiendo la asignación de NITs reales y eliminando casos confirmados como pruebas. Incluye revisión individual de casos y escalamiento interno del único registro pendiente sin identificación de NIT</t>
  </si>
  <si>
    <t>CNTI-387</t>
  </si>
  <si>
    <t>Vulnerabilidades  portal ARL
(CNTI-391,CNTI-445,CNTI-446,CNTI-447,CNTI-448,CNTI-449)</t>
  </si>
  <si>
    <t>05/11/2025: Vulnerabilidades en solucionadas en test.
06/11/2025: Inicio de pruebas  fabio forero
Resultados de las pruebas 
o        No se visualizan los adjuntos cargados durante las radicaciones.
o        En algunos casos no se reciben los correos de notificación.
o        Se presentan errores al finalizar la radicación de solicitudes (reembolsos, proveedores e incapacidades).
07/11/2025: Se implementaron las medidas de mitigación a nivel de Apache. Fabio ya realizo pruebas, durante las cuales se detectaron incidencias menores derivadas del cambio. Se iniciara con la solución  con el fin de  entregar las vulnerabilidades  mitigadas el 10 de noviembre.
10/11/2025: Se continúan validando incidencias encontradas durante las pruebas. El log apunta a errores de replicación entre portales; pendiente revisión con Jairo para confirmar la causa y restablecer el servicio.
14/11/2025: Se cerró la implementación de Content-Security-Policy (CSP) con nonce por request en el sitio de producción imaginex-arlbolivar.segurosbolivar.com, incluyendo validación tanto para la cabecera inyectada como para el fallback automático 
Las evidencias enviadas el 6 de noviembre, las valida Danilo e indica que son agenas a la implementación realizada.</t>
  </si>
  <si>
    <t>JENRY</t>
  </si>
  <si>
    <t>MDSB-923632</t>
  </si>
  <si>
    <t>Jiras dia a día ( Falla descarga masiva en recobros)</t>
  </si>
  <si>
    <t xml:space="preserve">Usuario se comunica presentando fallas para realizar la descarga masiva ya que informa no permitir realizar el proceso, informa haber reportado la falla bajo el caso MDSB-812862: No permite realizar la descarga masiva
Cerrado
 </t>
  </si>
  <si>
    <t>07/11/2025: El proceso de firma y descarga de archivos grandes está operativo manualmente mientras se integra con el flujo automatizado al regreso de Jesús</t>
  </si>
  <si>
    <t>INTERNO-D031</t>
  </si>
  <si>
    <t>AJUSTE VENTANA ERROR EN PORTALES</t>
  </si>
  <si>
    <t>07/11/2025: Se identificó error al mantener una sesión abierta por largo tiempo en portales. El ajuste se realizará una vez finalicen las tareas de vulnerabilidades
14/11/2025 : Se reprograma ejecución de la  tarea  para el martes 18 de Noviembre.
18/11/2025: Corrección del comportamiento de la ventana de error reportada por Liyi, asegurando que el mensaje se muestre de forma adecuada al usuario final.</t>
  </si>
  <si>
    <t>CNTI-1308</t>
  </si>
  <si>
    <t>SECRETS EN REPOSITORIO IMAGINEX-INFRA</t>
  </si>
  <si>
    <t>Se solicita realizar una revisión y ajuste del repositorio IMAGINEX-INFRA, con el fin de verificar la posible exposición de secrets y aplicar las medidas necesarias para su corrección.</t>
  </si>
  <si>
    <t>11/11/2025: Se encuentra pendiente para definir fecha de inicio
13/11/2025: Se da respyesta al cliente</t>
  </si>
  <si>
    <t>MDSB-926886</t>
  </si>
  <si>
    <t>Jira dia a dia (BLOQUEO DE URL ANTIGUA PORTAL ARL)</t>
  </si>
  <si>
    <r>
      <rPr>
        <rFont val="Quattrocento Sans"/>
        <color theme="1"/>
        <sz val="11.0"/>
      </rPr>
      <t xml:space="preserve">El usuario reporta que no puede realizar la radicación de incapacidades en el portal ARL.
Tras la validación, se identifica que la URL a la que intenta acceder no corresponde al enlace habilitado para este tipo de radicación.
En consecuencia, se recomienda bloquear dicha URL para evitar su uso indebido.
Url repportada </t>
    </r>
    <r>
      <rPr>
        <rFont val="Quattrocento Sans"/>
        <color rgb="FF1155CC"/>
        <sz val="11.0"/>
        <u/>
      </rPr>
      <t>https://imaginex-portales.segurosbolivar.com/incapacidadeps/incapacidadeseps</t>
    </r>
    <r>
      <rPr>
        <rFont val="Quattrocento Sans"/>
        <color theme="1"/>
        <sz val="11.0"/>
      </rPr>
      <t xml:space="preserve"> </t>
    </r>
  </si>
  <si>
    <t>11/11/2025: Se estima realizar el bloque el 13 de noviembre ya que en el  momento Danilo se encuentra  dedicado a Oficina express, 
Se informa al usuario la url correcta  para realizar la radicación.
14/11/2025 : Se reprograma ejecución de la  tarea  para el martes 18 de Noviembre.
18/11/2025: Se realiza el redireccionamiento de la URL anterior hacia la URL actual</t>
  </si>
  <si>
    <t>POR ASIGNAR</t>
  </si>
  <si>
    <t>GD772-128</t>
  </si>
  <si>
    <t>Mallas de asignación</t>
  </si>
  <si>
    <t>Se iniciará posterior a la finalización del  GD772-87 Doble factor de autenticación (14 de noviembre en test)
21/01/2026: Imagine estima 40 días hábiles, pendiente priorización por Oficina de Proyectos cliente.</t>
  </si>
  <si>
    <t>MDSB-906320</t>
  </si>
  <si>
    <t xml:space="preserve">Jiras día a día (Error en Imagine al descargar base de “Datos contactos solicitudes ARL </t>
  </si>
  <si>
    <t xml:space="preserve">Por favor requiero de su valiosa ayuda con un error presentado en Imagine al intentar descargar la base “Datos contactos solicitudes ARL”. Al seleccionar la opción Solicitudes ARL – empresa y/o trabajador, el sistema arroja el mensaje “descargue exitoso”, sin embargo, al refrescar la página, no se refleja ninguna descarga ni base disponible.  
Ruta utilizada: Mariposa → Radicador → Informes → Datos contactos solicitudes ARL  Agradezco mucho su apoyo para revisar y solucionar este inconveniente. </t>
  </si>
  <si>
    <t>10/10/2025: Se definió que no es un caso crítico; se programó su revisión para el martes siguiente.
15/10/2025: Hoy se iniciara la validación.
17/10/2025: encuentra en etapa final de corrección. Se ha validado la lógica de inserción, roles y permisos sin encontrar causa aparente. Se realizarán nuevas pruebas hoy para identificar el motivo por el cual no se guarda la información.
17/10/2025: : De acuerdo con la validación realizada, se identificó que la incidencia reportada se debía a un problema en la asignación del rol del usuario, lo cual impedía la visualización del informe para su descarga.</t>
  </si>
  <si>
    <t>MDSB-911442</t>
  </si>
  <si>
    <t>Jiras día a día (Solicitud de información-  informe AT-031 correspondiente al año 2025 (enero a septiembre))</t>
  </si>
  <si>
    <t>​Agradezco su ayuda con la descarga del informe AT-031 correspondiente al año 2025 (enero a septiembre). Actualmente, al intentar descargarlo, solo se obtiene la información del mes anterior (septiembre).</t>
  </si>
  <si>
    <t>17/10/2025: Se iniciara generación de informe despues de solucionar  jira  MDSB-906320
17/10/2025: Información extraida y entregada al cliente</t>
  </si>
  <si>
    <t>MDSB-906749</t>
  </si>
  <si>
    <t xml:space="preserve">Jiras día a día (SOLICITUD HABILITAR E INHABILITAR DE 3 TIPOLOGIAS A 2 USUARIOS) </t>
  </si>
  <si>
    <t>Solicitamos por favor habiiltar a la sra LILIA ANDREA VELASQUEZ__1015430797 de las tipologias Mesa de conciliacion presencial, Mesa de conciliacion Virtual y Traslado de polizas, dejar por favor las mismas actividades con las que cuenta el usuario DEISY SUAREZ__1019069714.
Solicitamos por favor inhabiiltar al señor GIOVANNY STIVEN NIETO__1003530364 de las tipologias Mesa de conciliacion presencial, Mesa de conciliacion Virtual y Traslado de polizas, por vacaciones del funcionario.</t>
  </si>
  <si>
    <t xml:space="preserve">15/10/2025: Se realiza la inhabilitación y habilitacion de usuarios </t>
  </si>
  <si>
    <t>MDSB-905240</t>
  </si>
  <si>
    <t xml:space="preserve">Jiras día a día (Cambio de destinatario de respuesta en flujo Programa VBF) </t>
  </si>
  <si>
    <t>En Imagine existe una tipología que se llama “Programa VBF”, es de valoración biomecánica; cuando línea médica genera una autorización, esta va con copia a mi y a la Dra. Maria Elena.
Se requiere eliminar el envío que se hace a la Dra. Maria Elena maria.gaviria@segurosbolivar.com y en su reemplazo dejar a la Dra. Solmerys Recio solmerys.recio@segurosbolivar.com, se requiere este cambio en el flujo.</t>
  </si>
  <si>
    <t>15/10/2025: Se realiza habilitación de correo solicitado</t>
  </si>
  <si>
    <t>GD772-142</t>
  </si>
  <si>
    <t xml:space="preserve">Marcar como obligatorio datos bancarios en Reembolsos Salud </t>
  </si>
  <si>
    <t>Marcar como dato obligatorio campo de número de cuenta y entidad Bancaria en el aplicativo de solicitudes de salud</t>
  </si>
  <si>
    <t>01/10/2025: El 30 de septiembre se colocan datos  bancarios como obligatorios.</t>
  </si>
  <si>
    <t>CNTI-902</t>
  </si>
  <si>
    <t>Vulnerabilidades (Exposición de Directorio Raíz con Listado Público y Archivos Sensibles en Apache/Nginx (IP: 18.211.26.145)</t>
  </si>
  <si>
    <t>Descripción
Se identificó en el servidor web con dirección IP 18.211.26.145 un directorio raíz expuesto públicamente. El sitio muestra un listado completo de archivos y carpetas, lo cual indica que la opción de “Directory Listing” se encuentra habilitada en el servidor.
Dentro del listado se observan archivos sensibles con extensión .php (ej. functions.php, handler.php, restaurar_contrasena.php, validarusuario.php), así como carpetas que podrían contener información crítica (procesos/, requerimientos/, vendor/, utilidades/). La exposición de estos recursos permite a un atacante:
Obtener información sobre la estructura interna de la aplicación.
Identificar scripts ejecutables (.php) que podrían ser explotados mediante vulnerabilidades conocidas (ej. inyección de código, ejecución remota, bypass de autenticación).
Acceder a archivos relacionados con funcionalidades críticas como respaldo (reporteBackupsDiario.php), manejo de contraseñas (manualClave.php, restaurar_contrasena.php) y validación de usuarios.
Este hallazgo representa una superficie de ataque amplia y expone tanto la aplicación como posibles datos sensibles a riesgos de acceso no autorizado, fuga de información y compromiso de la infraestructura.</t>
  </si>
  <si>
    <t>17/09/2025: El 16 de septiembre se atendieron vulnerabilidades reportadas en el ticket CNTI-902, logrando su mitigación y cierre.
Adicional se se mitiga una  Exposición Pública de Consola de Consultas a Bases de Datos en Apache/Nginx</t>
  </si>
  <si>
    <t>GD772-139</t>
  </si>
  <si>
    <t>Informe de datos bancarios de solicitudes ARL.</t>
  </si>
  <si>
    <t>Se requiere información de los datos de las bancarias que se capturan en la pagina tanto de solicitudes ARL como de Solicitudes de salud \n\n\n\nNúmero de caso\n\nNúmero de documento del afiliado o trabajador\n\nNombre del Banco \n\nNúmero de cuenta ( Se requiere ver todo el número)</t>
  </si>
  <si>
    <t>10/09/2025: Se genera y entrega informe solicitado</t>
  </si>
  <si>
    <t>MDSB-872831</t>
  </si>
  <si>
    <t>Validacion de campo Documento de identificación Empresa o trabajador en solicitudes ARL.</t>
  </si>
  <si>
    <t>**Incidencia reportada:**\nError: IMAGINE no muestra todos los casos de los clientes.\n\n**Descripción:**\nAl realizar la validación de casos por NIT, no se muestran todos los registros correspondientes a un cliente. Sin embargo, al consultar directamente por número de caso, sí se evidencia que el caso existe y que el NIT asociado es correcto.\n\n**Análisis inicial:**\nSe identificó que algunos registros quedaron almacenados en la base de datos con un espacio en blanco al inicio del número de documento. Esto sucede cuando, en el proceso de radicación a través del portal, el usuario ingresa un espacio antes de digitar el NIT.\n\n**Acción correctiva propuesta:**\nAjustar las validaciones del campo “Documento de identificación Empresa o Trabajador” en las solicitudes ARL, de forma que se eliminen los espacios en blanco al inicio o al final antes de guardar el valor en la base de datos.</t>
  </si>
  <si>
    <t>10/09/2025: Se identificó que algunos casos no se mostraban por NIT debido a espacios en blanco registrados al inicio del número de documento durante la radicación en el portal. Se ajustarán las validaciones del campo “Documento de identificación Empresa o Trabajador” para evitar estas inconsistencias. Ajuste desplegado en producción 9 de septiembre.</t>
  </si>
  <si>
    <t>INTERNO-JA020</t>
  </si>
  <si>
    <t>Validar Plantilla de respuesta automática (Buzón ARL)</t>
  </si>
  <si>
    <t>Se identificó que la plantilla que debe notificar a remitentes no autorizados no está funcionando. Se requiere validar configuración en Laravel, ya que puede tratarse de un problema de rutas de archivos o notificación. Pendiente revisión técnica.</t>
  </si>
  <si>
    <t>08/09/2025: Leer el codigo para validar en funcionanmiento 
08/09/2025: Danilo en viernes 5 de sepriembre encontró en base de datos la plantilla “Excluidos”, utilizada para notificar a remitentes no autorizados. Sin embargo, aún no se identifica desde qué punto del código se invoca. Se requiere apoyo del equipo (Jairito o Jesús) para ubicar la lógica y habilitar la respuesta automática.\nJairo  identificó que la lógica de respuesta automática en el buzón ARL estaba comentariada en el código, motivo por el cual no se enviaban notificaciones, Se realizó la configuración de la respuesta automática en los correos de ARL y la funcionalidad ya fue desplegada en producción.</t>
  </si>
  <si>
    <t>INTERNO-D023</t>
  </si>
  <si>
    <t>Implementación de URLs prefirmadas con Apache  (AWS S3)</t>
  </si>
  <si>
    <t>Descripción:
Se requiere implementar la generación de URLs prefirmadas en AWS S3 para permitir la carga y visualización segura de archivos (imágenes/documentos) desde la aplicación. La solución debe incluir la firma, tiempo de expiración y condiciones de acceso, garantizando un menor consumo de recursos del servidor y una mejor latencia al acceder directamente al servicio S3.</t>
  </si>
  <si>
    <t>22/08/2025: Avance aproximado del 70%, pendiente ajuste en algoritmo de encriptación en Python. Se espera finalizar hoy mismo si se resuelve el error de visualización de imágenes.
25/08/2025: El viernes 22 de agosto se realizaron pruebas técnicas con URLs pre-firmadas, pero la solución genera lentitud en el API y bloqueos en CloudFront. Se evaluará implementar el algoritmo de encriptación desde Python para mantener compatibilidad y mejorar el rendimiento.
27/08/2025: Se continúa con la implementación; sin embargo, se presentan errores al momento de ejecutar el consumo.
29/08/2025: Se finalizaron mejoras en el API, enfocadas en seguridad y rendimiento.</t>
  </si>
  <si>
    <t>GD772-133</t>
  </si>
  <si>
    <t>Consumo API Asegurados del lago de datos</t>
  </si>
  <si>
    <t>**CONSUMO INFORMACIÓN DE ASEGURADO DEL LAGO DE DATOS - IMAGINE**\r\n\r\n\r\n**OBJETIVO:**\r\n\r\nSe requiere poder tener conexión directa con el lago de datos para traer la información de los asegurados en linea , con el fin de que la clasificación de la malla de reembolsos se gestione en linea.\r\n\r\n\r\n**REQUERIMIENTOS FUNCIONALES:**\r\n\r\n\r\nSe requiere poder consumir el dato del tipo de póliza de acuerdo al cruce por el número de documento , el sistema debe tomar el número de documento de la factura que se encuentra discriminado en imagine en el siguiente espacio:\r\n\r\n\r\n\r\n\r\nNota :  Si existe una modificación en el tipo y número de documento se deben validar las reglas de asignación sólo si cambia el Tipo de Producto “ Nacional- Internacional”\r\n\r\n\r\nUna vez diligenciado el dato debe ir a cruzar contra el appi del lago de datos y traer los siguientes datos:\r\n\r\nCódigo y nombre del producto:\r\n\r\n\r\n\r\n\r\nUna vez identificado el dato debe agregarlo al campo de imagine denominado “ Tipo de Póliza” y consignar allí:\r\n\r\n\r\n\r\n\r\nSe requiere que haga la respectiva clasificación de acuerdo al valor y tipo de póliza , con base a las reglas con las que cuenta actualmente el sistema en el módulo de administración reembolsos tanto por asignación de pólizas como de montos y tipos de servicio:\r\n\r\n\r\n\r\n\r\n\r\n\r\n\r\n\r\nNota: Para que imagine cuente con la clasificación de la póliza es decir si es Nacional o Internacional debe tener en cuenta lo siguiente:\r\n\r\n\r\nLas pólizas internacionales son las siguientes: \r\n\r\nCódigo de producto : 66 Nombre de producto: ESSENTIAL/ SELECT\r\n\r\nCódigo de producto : 67 Nombre de producto: PREMIER/ELITE/ULTIMATE\r\n\r\nCódigo de producto : 77 Nombre de producto: SALUD INTERNACIONAL COLECTIVA\r\n\r\nPara los demás códigos de producto se debe clasificar como nacional, esta clasificación debe ser visualizada en el aplicativo de imagine en el siguiente espacio:  \r\n\r\n\r\n\r\n\r\n\r\nNombre empresa:\r\n\r\nSe requiere tomar el dato de nombre empresa del appi que se encuentra en el siguiente campo: \r\n\r\n\r\n\r\n\r\n\r\nel dato tomado debe ir a alimentar el cuadro donde imagine esta dejando ver la empresa por cada caso: \r\n\r\n\r\n\r\n\r\n\r\n\r\n\r\n\r\nInformación Asegurado:\r\n\r\nSe requiere crear una pestaña adicional en imagine en el que se visualicen datos del appi:\r\n\r\n\r\n\r\nAl dar clic en esta pestaña se espera poder visualizar los siguientes datos enviado por el servicio:\r\n\r\n\r\n\r\n\r\nestadoCliente\r\nnumeroPoliza\r\nfechaInicioPoliza\r\nfechaFinPoliza\r\nestadoPoliza\r\nrol\r\n\r\n\r\nInformes:\r\n\r\nEn la actualidad contamos con el informe consolidado en el cual por cada caso nos está clasificando el tipo de producto, de acuerdo a este consumo el informe debe seguir alimentando este campo , tal como se evidencia en la siguiente imagen:\r\n\r\n\r\n\r\n\r\nSe debe alimentar el informe consolidado como el detallado.\r\n\r\n\r\n\r\n\r\n\r\n\r\n</t>
  </si>
  <si>
    <t>05/09/2025: Se recibieron los API correspondientes y se avanzó en el consumo para mostrar datos en campos. Se requiere completar documentación técnica, ya que aún hay campos sin referencia clara. Se prevé entrega con pruebas hacia mitad de semana.
08/09/2025: Se avanzó en la construcción de información de asegurados desde el Data Lake, desplegado en ambiente de pruebas. El desarrollo cumple con lo solicitado en la documentación y está listo para validación en TEST.
15/09/2025: El 12 de septiembre se realizó el paso a producción de uno de los consumos de API que permite conexión directa con el lago de datos para obtener información en línea de asegurados</t>
  </si>
  <si>
    <t>MDSB-874893</t>
  </si>
  <si>
    <t>Jiras dia a dia( Lentitud en el modulo de facturas )</t>
  </si>
  <si>
    <t xml:space="preserve">“Lentitud Imagen“\n\nBuen dia, reportamos que el aplicativo de imagen presenta lentitud de mas de 30 minutos al momento de buscar una factura o seleccionar una sesión , requerimos por favor su colaboración, gracias\n\n\n\nProcedimiento: Se contacta a funcionaria que reporta la incidencia; se genera sesión por meet: \n\nSe le indica validar desde incógnito sin embargo por motivos de seguridad de ASD no lo tiene permitido. \n\nSe le indica realizar el procedimiento desde cero, cerrando por completo la aplicación. \n\nFuncionario informa la lentitud se presenta al ingresas en el módulo u opción de “Facturas“ ya que no es habitual que la aplicación presente dichas lentitudes al buscar y/o gestionar los procesos de facturación. \n\nIndica usuaria dicha novedad se presenta desde esta semana que al parecer implementaron una actualización en el aplicativo, ya que al buscar cada factura el cargue se generaba de manera inmediata. \n\nInforma usuaria lentitud se presenta solamente en dicha aplicación ya que demás aplicativos de bolívar se encuentra operativos y sin ninguna afectación. \n\n15 personas laborando todos desde casa, se valida desde microsoft edge y al igual usuaria percibe lentitud. </t>
  </si>
  <si>
    <t>02/09/2025: La causa de la lentitud presentada en el portal de facturas se debió a que, durante el paso a producción, quedaron pendientes algunos permisos por implementar.
La situación fue solucionada con la inclusión de los permisos faltantes, normalizando así el funcionamiento del portal.</t>
  </si>
  <si>
    <t>GD772-133_1</t>
  </si>
  <si>
    <t>Documento tecnico (Consumo API Asegurados del lago de datos)</t>
  </si>
  <si>
    <t>15/09/2025: Se genera docuementaciòn tecnica.</t>
  </si>
  <si>
    <t>GD772-129</t>
  </si>
  <si>
    <t>Ajuste facturas duplicadas Salud</t>
  </si>
  <si>
    <t>Se detectó que, en casos de timeout, las facturas pueden quedar duplicadas. Se definió como solución la inclusión de un campo adicional en el JSON para diferenciar reprocesos de radicaciones nuevas.</t>
  </si>
  <si>
    <t>Se solicita identificar las facturas duplicadas, marcar si se deben  reprocesar las facturas debido a este incidente reportado por Sisalud salud.
07/11/2025: Pendiente cliente ajustes del cliente  en sisalud.</t>
  </si>
  <si>
    <t>GD772-xxx</t>
  </si>
  <si>
    <t>Reembolso Salud (Integración API)</t>
  </si>
  <si>
    <t>1. Contexto Funcional
Este requerimiento busca automatizar el proceso de cierre y trazabilidad de reembolsos en salud, el cual hoy tiene una alta dependencia manual.
Flujo actual :
Se realiza el proceso de reembolso en sistemas externos.
Se genera un informe (archivo o reporte).
Con base en ese informe:
Se valida el estado del reembolso.
Se realiza el cierre del caso manualmente.
Se actualiza la trazabilidad.
 Problema:
Este flujo no está integrado directamente al sistema, lo que genera:
Retrasos.
Riesgo de errores humanos.
Falta de trazabilidad en tiempo real.
2. Objetivo del Requerimiento
Implementar una integración vía API que permita:
Consultar automáticamente el estado del reembolso.
Ejecutar acciones automáticas:
Cierre de casos.
Notificaciones.
Actualización de estado.</t>
  </si>
  <si>
    <t>21/04/2026: El consumo del API  ya se encuentra funcionando en produccion desde el 20 de abril, Actualmente el proceso está corriendo y validando registros y se está haciendo seguimiento junto con negocio
23/04/2026: Se confirma que la integración con el API ya se encuentra en producción y fue utilizada para procesar un volumen significativo de registros pendientes. Se realizaron ajustes en la lógica de cierre de casos y se mantiene la necesidad de validar información adicional como el número de JIRA, ya que no cuenta con uno, se solicitara al cliente.</t>
  </si>
  <si>
    <t>GD772-123_2</t>
  </si>
  <si>
    <t>Dashboard de pendientes y Administrativo ARL</t>
  </si>
  <si>
    <t>15/09/2025: Se está construyendo el dashboard de pendientes, que mostrará la distribución de actividades y facturas. Se espera completar esta semana.
22/09/2025: Pendiente de desarrollo tras cierre del Dashboard de eficiencia en producción</t>
  </si>
  <si>
    <t>GD852-72-1</t>
  </si>
  <si>
    <t>Inconsistencias en la información (columnas corridas) Informes lago de datos.</t>
  </si>
  <si>
    <t>Se han identificado inconsistencias en la información proveniente del Data Lake, específicamente en la estructura de los reportes donde algunas columnas aparecen desalineadas o con datos corridos, afectando la confiabilidad y precisión de los resultados. Para garantizar la integridad de la información y la correcta generación de reportes, es necesario rehacer y optimizar los procesos de carga, validando que la data se almacene y consuma de manera estandarizada.</t>
  </si>
  <si>
    <t>05/09/2025:Se detectaron inconsistencias en la información (columnas corridas) que afectan la confiabilidad de los resultados. Se requiere rehacer parte de los procesos de carga para garantizar integridad de datos.
08/09/2025: La corrección está en curso y se espera completar en la semana..
12/09/2025: Una vez se finalice el despliegue de asignación, se retomará este punto para cierre definitivo.
15/09/2025: Se priorizó continuar con la corrección de los informes, que presentan columnas desalineadas. Esta tarea se retomará en paralelo con las actividades de asignación y dashboards.
19/09/2025: Los ajustes de columnas ya se encuentran  corregidos. Se espera tener todo listo el lunes.</t>
  </si>
  <si>
    <t>GD772-143</t>
  </si>
  <si>
    <t>CAMBIO VIDEOS TUTORIALES PORTAL RADICACION</t>
  </si>
  <si>
    <t>Descripción
Se solicita retirar los videos que se encuentran en este momento en el portal de radicación imagine como apoyo a radicación a los prestadores y dejar los adjuntos en correo enviado AJUSTE VIDEOS TUTORIALES- PORTAL WEB RADICACIÓN,</t>
  </si>
  <si>
    <t>19/09/2025: Se estima realizar a juste  y entrega durante el día de hoy.
22/09/2025: El Viernes 20 de septiembre se realizo el cambio de tutoriales en el portal.</t>
  </si>
  <si>
    <t>GD772-147</t>
  </si>
  <si>
    <t>Mejora en la lectura del buzon arlbolivar@segurosbolivar.com (Wilson)</t>
  </si>
  <si>
    <t>Se requiere realizar una mejora en la lectura y asignación de los correos que llegan al buzon arlbolivar@segurosbolivar.com, para aumentar la efectividad de la asignación.</t>
  </si>
  <si>
    <t>25/09/2025:  Se escala control de cambios para test MDSB-897985
25/09/2025: Confirman ejecucion esxitosa del cambio.
20/10/2025: Se  cancela  por reestruccturacion del proyectao</t>
  </si>
  <si>
    <t>MDSB-897985</t>
  </si>
  <si>
    <t>INTERNO-JA025</t>
  </si>
  <si>
    <t>Depuración de correos pendientes buzon ARL</t>
  </si>
  <si>
    <t xml:space="preserve">Se requiere depurar la bandeja de correos pendientes, dado que se identificó que un alto volumen de estos registros ya se encuentra en estado anulado o cerrado, por lo cual no deberían continuar apareciendo como pendientes. </t>
  </si>
  <si>
    <t>26/09/2025: Se se encontraron alrededor de 500.000 registros, de los cuales, tras el cruce con la tipología y la validación en el caso nativo, se cerraron aproximadamente 490.000 por encontrarse anulados o ya cerrados</t>
  </si>
  <si>
    <t>GD772-144</t>
  </si>
  <si>
    <t>Marcación de casos especiales fecha de cirugía (Salud)</t>
  </si>
  <si>
    <t>MARCACIÓN DE CASOS ESPECIALES AUTORIZACIONES
● OBJETIVO:
Se requiere brindar una autorización más rápida para los procedimientos que se encuentran programados para el siguiente día de la radicación
● REQUERIMIENTOS FUNCIONALES:
● Informe
Se requiere agregar al informe de pendientes salud y el informe de cups que se encuentra en el módulo de informes de salud una celda al informe en el que incluya el campo fecha de la cirugía que se encuentra expuesto en el portal de radicación:
Si el campo no viene diligenciado , dejar campo en blanco en el informe.
Ruta de informe en imagine nativo: https://imaginex-intranet.segurosbolivar.com/default.php
● Salud
● Mariposa
● Radicación
● Informes
● Pendientes salud
● Informe CUPS
● Actividad en flujo:
Una vez el cliente realice la marcación de la fecha el sistema debe validar la siguiente información:
- Debe realizar una resta de la fecha de cirugía contra la fecha de radicación , si el resultado de esa resta es 1 ó 2 días hábiles ( de lunes a viernes) debe marcar el caso en la bandeja asignada con un color diferencial para que se pueda ver la prioridad.
- Si la fecha se encuentra en blanco no debe ejecutar la acción anterior y debe continuar con la actividad como se encuentra a la fecha el aplicativo</t>
  </si>
  <si>
    <t>09/10/2025: Para este requerimiento únicamente se realizó la marcación del campo adicional en la bandeja. El ajuste correspondiente al informe no se desarrollará por el momento, dado que dicho informe requiere un análisis previo para optimizar los filtros de consulta</t>
  </si>
  <si>
    <t>INTERNO-JA028</t>
  </si>
  <si>
    <t>Dumentación tecnica_GD772-144 Marcación de casos especiales fecha de cirugía (Salud)</t>
  </si>
  <si>
    <t>09/10/2025: Dcumentación de la marcación entregada.</t>
  </si>
  <si>
    <t>GD772-144_1</t>
  </si>
  <si>
    <t>Mejora e Inclusion fecha cirujia en informes  pendientes salud y  cups</t>
  </si>
  <si>
    <t>09/10/2025:El ajuste correspondiente al informe no se desarrollará por el momento, dado que dicho informe requiere un análisis previo para optimizar los filtros de consulta
15/10/2025: Requiere optimización urgente. Se acordó revisar la consulta y aplicar filtros previos o procesamiento en cola (encolado) para reducir tiempos de respuesta.
27/10/2025: Se iniciara la validación del informe e inclusion de la fecha cirujia.
29/10/2025: El informe ya está encolado y funcional; se está optimizando el rendimiento antes de agregar el nuevo campo. (Fecha cirujia).
30/10/2025: Se Realiza paso a produccion para realizar pruebas  ya que en test no hay suficiente información.
31/10/2025: El 30 de octubre se completó la adición del campo “Fecha Cirugía” en el informe de CUPS.El tiempo de generación fue optimizado.
Pendiente: Incluir el mismo campo en el informe de Pendientes de Salud, solicitud confirmada por los usuarios el día anterior.
31/10/2025: Campo fecha cirujia incliodo en el infome de  Pendientes Salud.</t>
  </si>
  <si>
    <t>https://github.com/Imaginesas/bolivar_migration/compare/master...hotfix/yiras2810?expand=1</t>
  </si>
  <si>
    <t>GD772-140</t>
  </si>
  <si>
    <t>Ajuste  informe consolidado de reembolso Salud</t>
  </si>
  <si>
    <t xml:space="preserve">Informe Pendientes Reembolsos Salud
Al descargar el informe consolidado de reembolsos con un rango de fechas, no está generando los casos que se encuentran repaerturados pero que la radicación inicial fue anterior a la fecha seleccionada en imagine.
Se evidencia que el caso Factura: 10996446, inicialmente el caso fue radicado el 06 de Mayo y cerrado el 12 de Mayo, posteriormente la afiliada radica los documentos el 12 de Agosto 
El 8 de Septiembre se descarga el informe consolidado de reembolsos el cual se generó con un rango de fechas del 1ro de Junio al 8 de Septiembre
Al ingresar al mismo se busca el radicado y la factura pero los mismos no aparecen. 
Se requiere que al momento de reabrir el caso, en el informe consolidado de reembolsos aparezca con la fecha de la reapertura y no con la fecha de radicación inicial. 
</t>
  </si>
  <si>
    <t>15/10/2025: Se estima iniciar hoy con el ajuste solicitado
16/10/2025: se realiza el ajuste en la lógica del informe para que incluya tanto los reembolsos iniciales como las respuestas a glosas.
Ahora, el informe muestra ambos registros y en la columna final se indica si corresponde a una “respuesta a glosa” o no.</t>
  </si>
  <si>
    <t>GD772-158</t>
  </si>
  <si>
    <t>Ajuste en la fecha del informe al dar respuesta a una glosa ( Reembolsos  Salud)</t>
  </si>
  <si>
    <t>cuando se creó el informe de reembolsos, se está tomando como base la fecha de radicación del reembolso que se hizo desde el portal, pero cuando el usuario nos está registrando una respuesta glosa, estamos trabajando con base en ese mismo radicado, entonces por eso en los informes, las respuestas a glosas no se evidencian</t>
  </si>
  <si>
    <t>16/10/2025: se realiza el ajuste en la lógica del informe para que incluya tanto los reembolsos iniciales como las respuestas a glosas.
Ahora, el informe muestra ambos registros y en la columna final se indica si corresponde a una “respuesta a glosa” o no.</t>
  </si>
  <si>
    <t>GD772-159</t>
  </si>
  <si>
    <t>Valores de factura vs valores pendientes (validaciones del masivo) Gasto medico</t>
  </si>
  <si>
    <t>Descripción
Por favor las validaciones para paso masivo debe quedar así;
Valor autorizado- deducible= valor pendiente
Valor factura- deducible= Valor cobrado
Si los 2 coinciden pueden pasar a pago masivo.</t>
  </si>
  <si>
    <t>15/10/2025: Se revisaran los campos implicados para su implementación en el flujo de gasto médico.
17/10/2025: El 16 de octubre se inicio con la creacion de la  actividad que se llama Pago Masivo
20/10/2025: Se finalizó la lógica de comparación de campos y actualización de la actividad. Se encuentra en desarrollo la bandeja que permitirá a los usuarios con permiso descargar la información (por ahora en Excel). Se espera presentar el avance a Jenry para revisión y posterior despliegue a test.
22/10/2025: Se solicita control de cambios en test MDSB-915793
22/10/2025: Desarrollo técnico en etapa final. Se está a la espera de validación de campos y aprobación de control de cambios para despliegue a Test.
24/10/2025: Se modifican los scripts del control de cambios quedamos a la espera de la aprobación.
28/10/2025: Control de cambios  en test ejecutado con exito.
07/11/2025: Desarrollo en test, se espera  de parte del cliente un excel de salida ( RPA)
21/11/2025: Se escala control de cambios a producción MDSB-934240.
07/11/2025: Desarrollo en test, se espera  de parte del cliente un excel de salida ( RPA)
01/12/2025: Control de cambios aplicado correctamente, pendiente  paso a producción.
03/12/2025: Paso a produciòn  realizado en 2 de diciembre.</t>
  </si>
  <si>
    <t>MDSB-915793</t>
  </si>
  <si>
    <t>MDSB-934240</t>
  </si>
  <si>
    <t>GD772-184</t>
  </si>
  <si>
    <r>
      <rPr>
        <rFont val="Quattrocento Sans"/>
        <b/>
        <color theme="1"/>
      </rPr>
      <t xml:space="preserve">Mejoras REE Salud  tercera entrega
</t>
    </r>
    <r>
      <rPr>
        <rFont val="Quattrocento Sans"/>
        <b val="0"/>
        <color theme="1"/>
      </rPr>
      <t xml:space="preserve">Cambiar a experiencia móvil  </t>
    </r>
  </si>
  <si>
    <t xml:space="preserve">MEJORAS REEMBOLSOS Tercer entregable 
Cambiar a experiencia móvil
Se requiere que el portal se adapte a la experiencia móvil, dado que nuestros asegurados utilizan la herramienta a través del teléfono:
Se requiere corregir y alinear las fuentes para que en la versión móvil se vea mejor ¿Qué requerimos para esto? Se requiere el FIGMA que indique como se debe ver el aplicativo para móviles (tables y cel) 
</t>
  </si>
  <si>
    <t>INTERNO-JA023</t>
  </si>
  <si>
    <t>Corrección en anulación de casos (sincronización entre sistemas Nativo y Yii)</t>
  </si>
  <si>
    <t>Se detectó que al anular un caso en Nativo no se refleja la anulación en el sistema Yii. Se acordó no procesar manualmente los casos pendientes hasta corregir el código, para que en adelante la anulación se propague correctamente en ambos sistemas.</t>
  </si>
  <si>
    <t>INTERNO-JA017</t>
  </si>
  <si>
    <t>Restricción para Glosas menores a $6.000</t>
  </si>
  <si>
    <t>Se identificó que el sistema no permite glosar facturas cuyo valor neto es inferior a $6.000, incluso si la factura original supera ese monto. Se revisó el caso y se determinó que debe ajustarse la validación para permitir Glosas en esos escenarios.</t>
  </si>
  <si>
    <t>22/08/2025: Pendiente ajuste de la restricción para evitar glosas completas en facturas de menor valor.
25/08/2025: Se tiene pendiente la implementación de un ajuste menor que se planea ejecutar en la jornada actual.
29/08/2025: Pausado hasta finalizar  Req GD772-123.</t>
  </si>
  <si>
    <t>INTERNO-JA010</t>
  </si>
  <si>
    <t>Revisión  devolución de facturas pensionados</t>
  </si>
  <si>
    <t xml:space="preserve">20/08/2025: Requiere retomarse. Se definió como prioridad continuar después de finalizar el req GD772-123 Asignación y Gestión de Tareas en la Solución de Cuentas Médicas, ya que implica rehacer parte de la tabla de facturas de devolución y validar nuevamente con control de cambios.
22/08/2025: Avance estimado en 20%. Se fusionó rama de máster y se está ajustando la consulta para filtrar correctamente los casos listos para evolución.
01/09/2025: No se reportan mas avances </t>
  </si>
  <si>
    <t>16/07/2025: Se requiere reemplazar la vista materializada para cumplir con políticas de permisos de producción. Se está evaluando el cambio por una vista normal o query directo. En el momento se encuentra en evaluacion tecnica.</t>
  </si>
  <si>
    <t>GD772-183</t>
  </si>
  <si>
    <t>Mejoras REE Salud  segunda entrega</t>
  </si>
  <si>
    <t xml:space="preserve">1.ATAR EL CASO DE DUDAS CON EL CASO EN GESTIÓN:
2. DUPLICACIÓN DE CASO CUANDO VIENEN VARIAS FACTURAS
3. MARCACIÓN DIGITACIÓN CASOS ESPECIALES 
MEJORAS REEMBOLSOS segundo entregable 
1.ATAR EL CASO DE DUDAS CON EL CASO EN GESTIÓN: 
Se requiere que cuando el asegurado indique el número de caso en la opción de tengo dudas sobre mi reembolso : debe buscar el caso en el aplicativo y realizar la reapertura del caso, como si se tratara de una reapertura por el canal que tenemos actualmente del módulo de consultas Se debe asignar a la persona que realizó la gestión del caso, si por alguna razón esa persona ya no se encuentra en el flujo, el sistema debe ir al flujo y asignarlo al usuario que se encuentre dentro de ese roll Esta opción estará habilitada para todos los estados de reembolso Si el caso que indica el asegurado en el cuadro de número de caso de dudas reembolsos no existe , debe crear el caso como duda y no lo ata a ningún caso , si el asegurado lo deja en blanco debe pasar lo mismo que se describe en este párrafo 
2. DUPLICACIÓN DE CASO CUANDO VIENEN VARIAS FACTURAS
Se requiere que exista un botón de duplicación de caso, para que se pueda realizar la gestión de nuevas facturas, el estado al que debe pasar este caso es digitación pero debe tener una marcación de priorización para digitar el caso lo más rápido posible, se debe indicar cual es la factura nueva que llevará el caso. 
3. MARCACIÓN DIGITACIÓN CASOS ESPECIALES 
Se requiere contar con un mecanismo en el cual se pueda marcar la prioridad de los casos a digitar con el fin de que en la actividad digitación se marque de manera distintiva y el analista pueda realizar la digitación de manera prioritaria, esto sólo aplicará para los casos que se encuentren en la actividad digitación,
</t>
  </si>
  <si>
    <t>04/02/2026: Se plantea retomar este frente y avanzar en las entregas pendientes, priorizándolo mientras se define el camino de Alfa. Aún sin avance técnico reportado en esta sesión.
06/02/2026: El avance es bajo debido a dudas iniciales sobre la lógica de "reapertura". Tras reunirse con el cliente, se definió que la reapertura debe funcionar como una nueva línea de factura (similar a una respuesta de glosa). Existe el riesgo técnico de generar pagos dobles o duplicidad de facturas abiertas
09/02/2026: se ha detenido el desarrollo debido a que se esta trabajanado en la presentación  de  Incapacidad, reembolsos y cuentas medicas  para Colmena.
11/02/2026: Este frente queda parcialmente detenido hasta retomar prioridades.</t>
  </si>
  <si>
    <t>INTERNO-JA026</t>
  </si>
  <si>
    <r>
      <rPr>
        <rFont val="Quattrocento Sans"/>
        <b/>
        <color theme="1"/>
      </rPr>
      <t>Ajuste de Correo Certificado</t>
    </r>
    <r>
      <rPr>
        <rFont val="Quattrocento Sans"/>
        <color theme="1"/>
      </rPr>
      <t xml:space="preserve"> – Manejo de Errores</t>
    </r>
  </si>
  <si>
    <t>Se requiere ajustar el proceso de envío de correo certificado para controlar adecuadamente los errores que se presentan durante la ejecución. Actualmente, cuando el envío falla, el sistema no retorna una respuesta clara ni deja trazabilidad suficiente, lo que dificulta la identificación del problema y puede generar ejecuciones parciales o inconsistentes. El ajuste busca que, ante cualquier falla, el sistema capture el error, registre la información correspondiente y notifique de forma controlada, sin afectar la continuidad del proceso principal.</t>
  </si>
  <si>
    <t>22/12/2025: Se continúa trabajando en el ajuste del proceso de correo certificado, enfocado en mejorar el manejo de errores y la trazabilidad. El objetivo es que el sistema pueda identificar claramente qué correos fallaron y cuáles fueron enviados correctamente, sin afectar el resto de la ejecución. El avance estimado es del 50 %, con expectativa de finalizar el desarrollo durante el día.
23/12/2025: Se realiza ajuste en la estructura de respuesta de la API para asegurar el correcto envío de correos electrónicos, en el momento que se identifica un error, se guarda el correo certificado en estado faulstring para posteriormente realizar el envio nuevamente, Cambio directamente en producción.</t>
  </si>
  <si>
    <t>MDSB-905675</t>
  </si>
  <si>
    <t>JIras dia a dia (Proveedor no puede ingresar a imagine)</t>
  </si>
  <si>
    <t xml:space="preserve">Usuaria se comunica indicando que está presentando problemas  para cargar soporte, en plataforma de  imagine, ya que no podido ingresar por primera vez, indica le permite el cambio de la contraseña, pero no le habita el botón para el ingreso al intentar dicho proceso en plataforma. </t>
  </si>
  <si>
    <t>17/10/2025:El 16 de octubre se incluyó un proveedor que no se encontraba registrado en el administrador de usuarios; sin embargo, el proveedor no podía ingresar debido a un fallo en la redirección posterior a la autenticación. Dicho inconveniente fue solucionado el día de hoy.
Aún se encuentra pendiente el ajuste para que, al crear un proveedor en el administrador de proveedores, este se cree de manera automática en el administrador de usuarios. Actualmente esto no ocurre debido a que no se está enviando el campo id_negocio durante el proceso de creación.
20/10/2025: El inconveniente inicial de acceso del proveedor fue resuelto. Sin embargo, persiste un problema en la creación de nuevos proveedores: las variables de sesión (IDNegocio) no se están almacenando correctamente al momento de creación desde el administrador de proveedores. Se identificó que el error está asociado a la actualización de tablas y perfiles de usuario.
Se requiere revisión técnica detallada para garantizar que los nuevos proveedores creados en el administrador se reflejen correctamente en el administrador de usuarios. No es prioritario hasta que se requieran nuevos registros.</t>
  </si>
  <si>
    <t>GD772-163</t>
  </si>
  <si>
    <t>EXPORTAR  RIPS PRESTADORES
Lago de datos</t>
  </si>
  <si>
    <t>Solicito la valiosa colaboración para exportar los Rips que los prestadores están adjuntando en formato JSON, y que antes los teníamos consolidados en formato TXT, esto debe realizarse de manera retroactiva desde el mes de enero del presente año.</t>
  </si>
  <si>
    <t>20/10/2025: Se definió la estructura de los archivos (nueve por mes). La tarea se mantiene en lista de seguimiento sin urgencia.
27/10/2025: TTras la actualización de la IP para el acceso al ambiente de test, se realizará la validación correspondiente. Se estima finalizar y entregar el proceso durante el transcurso de la semana.
29/10/2025: Se indica que con la finalizacion del req GD772-117 la exportación de los rips no seria necesaria.
07/11/2025: Se estima entregar  el martes 11 de noviembre.
19/11/2025 : Se escala control de cambios a producción MDSB-932138 y MDSB-932173
24/11/2025: Los controles fueron aprobados por comite y ejecutados en la tarde como resultado exitoso para el  MDSB-932173 y se presento error en el script  del control MDSB-932138  para lo cual se debera escalar un nuevo control.
25/11/2025: Se escala nuevo control de cambios MDSB-935841
01/12/2025: Control de cambios pendiente por aprobación de QA cliente.
03/12/2025: Control de cambios ejecutado con exito el 01 de diciembre.
04/12/2025:  Control de cambios ejecutado con exito el 3 de diciembre.
05/12/2025: El desarrollo de exportar RIPs ya está en producción y funcionando correctamente. No se requieren ajustes adicionales.</t>
  </si>
  <si>
    <r>
      <rPr>
        <rFont val="Quattrocento Sans"/>
        <color rgb="FFFF0000"/>
        <sz val="10.0"/>
      </rPr>
      <t>MDSB-932138</t>
    </r>
    <r>
      <rPr>
        <rFont val="Quattrocento Sans"/>
        <color theme="1"/>
        <sz val="10.0"/>
      </rPr>
      <t xml:space="preserve"> y MDSB-932173,MDSB-935841</t>
    </r>
  </si>
  <si>
    <t>GD772-159_1</t>
  </si>
  <si>
    <r>
      <rPr>
        <rFont val="Quattrocento Sans"/>
        <b/>
        <color theme="1"/>
      </rPr>
      <t>Documentación tecnica</t>
    </r>
    <r>
      <rPr>
        <rFont val="Quattrocento Sans"/>
        <color theme="1"/>
      </rPr>
      <t>. ( Valores de factura vs valores pendientes )</t>
    </r>
  </si>
  <si>
    <t>01/12/2025: Tam pronto se realice el paso a producción se le solicitara a  Jairo los script.
12/12/2025: Se solicita docuemntación a Jairo
18/12/2025: Jairo engtrega documentación en .md. se realizara  ajuste de formato y estilos
02/01/2025: Se finaliza ajuste de la documentación  y se cargan al directorio.</t>
  </si>
  <si>
    <t>GD772-163_1</t>
  </si>
  <si>
    <r>
      <rPr>
        <rFont val="Quattrocento Sans"/>
        <b/>
        <color theme="1"/>
      </rPr>
      <t xml:space="preserve">Documentación tecnica </t>
    </r>
    <r>
      <rPr>
        <rFont val="Quattrocento Sans"/>
        <color theme="1"/>
      </rPr>
      <t>EXPORTAR  RIPS PRESTADORES
Lago de datos</t>
    </r>
  </si>
  <si>
    <t>05/12/2025: Pendiente solicitar script a jairo  para elaborar la docuemntación.
12/12/2025: Se solicita docuemntación a Jairo
17/12/2025: Jairo engtrega documentación en .md. se realizara  ajuste de formato y estilos
02/01/2025: Se finaliza ajuste de la documentación  y se cargan al directorio.</t>
  </si>
  <si>
    <t>MDSB-916570</t>
  </si>
  <si>
    <t>jiras día a día (Error en trazabilidad de certificado 472)</t>
  </si>
  <si>
    <t>Solicito revisíón del proceso de web services de correo electronico certificado, lo anteiror puesto que se identifica que desde la seaman pasada no se esta visulizando la información en trazabilidad de guias, sin embargo en la plataforma de 472 se encuetra la información, casos reportados:</t>
  </si>
  <si>
    <t>27/10/2025: Se iniciara tan pronto se finalice el ajuste del flujo de madalidades (Hallazgo cliente en la ciudad del trabajador)
28/10/2025: Durante el análisis se identifica que el caso 40227010 contenía un NIT con más de 30 dígitos, lo cual generaba un error que detenía el registro de la información de envío e impedía mostrar la trazabilidad en los casos posteriores.
Se corrige el registro del NIT que ocasionaba la falla, y actualmente la opción de trazabilidad de guías se encuentra visible y funcionando correctamente para todos los casos que presentaban la novedad.</t>
  </si>
  <si>
    <t>GD772-170</t>
  </si>
  <si>
    <t>Incluir campo Peso colombiano Si-No en informe consolidado Reembolsos salud.</t>
  </si>
  <si>
    <t>Incluir en el informe consolidado el campo Peso colombiano Si-No por cada caso</t>
  </si>
  <si>
    <t xml:space="preserve">24/10/2025: Se identificó que el campo existe en el informe detallado pero no en el consolidado. Se revisará el query para incluir el campo en ambas vistas.
28/10/2025: Ajuste implementado en producción </t>
  </si>
  <si>
    <t>GD772-171</t>
  </si>
  <si>
    <t>Cambiar pdf  en plataforma de radicación</t>
  </si>
  <si>
    <t>Por favor dejar en la plataforma de radicación Imagine el adjunto para radicación de facturas oportuna.</t>
  </si>
  <si>
    <t>27/10/2025: Se realiza cambio de PDF solicitado en el portal de radicación de facturas</t>
  </si>
  <si>
    <t>MDSB-919192</t>
  </si>
  <si>
    <t>Jiras dia a día ( No esta actualizando estado del caso en portal) Reembolsos salud y Arl.</t>
  </si>
  <si>
    <t xml:space="preserve">Se evidencia que no se están actualizando los estados del caso en la consulta del portal “ consultado estado de solicitud , esto esta ocurriendo tanto para Reembolsos ARL como para Reembolsos Salud . </t>
  </si>
  <si>
    <t xml:space="preserve">29/10/2025: requiere ajuste en la lógica de actualización de estados, con plazo estimado de entrega para viernes 31 de octubre.
31/10/2025: Se avanzo en el  desarrolló del query de actualización para la opcion  devuelto en la interfaz de Bolivar.
Pendiente: Aplicar el cambio en ambiente test luego de finalizar las actividades del Lago de Datos.
05/11/2025: El 4 de noviembre  se realiza validación y se identifica que el proceso lógico que actualiza los estados sí funcionaba correctamente, pero no encontraba las equivalencias necesarias en la tabla, por lo que algunos registros no se actualizaban ni eran visibles en el portal.
Para lo cual se creó y completó la tabla de homologación faltante con todos los estados requeridos y se lanzó una actualización de la lógica de sincronización, la cual ahora cambia correctamente el estado tanto cuando se glosa como cuando se devuelve un reembolso.
</t>
  </si>
  <si>
    <t>GD772-172</t>
  </si>
  <si>
    <t>Ajustes Reembolsos ARL</t>
  </si>
  <si>
    <t xml:space="preserve">OBJETIVO:
Se requiere realizar ajustes en el desarrollo actual de reembolsos con el fin de optimizar tiempos en la gestión de respuesta
REQUERIMIENTOS FUNCIONALES:
1. INCLUIR NOTA EN LA COMUNICACIÓN DE DEVOLUCIÓN DE REEMBOLSOS 
Se requiere que cuando se de clic en el botón denominado “ devolución de reembolso “ se agregue a la notificación remitida por el correo la observación por la cual se está realizando la devolución, esta nota se captura en el campo de observación que se muestra a continuación:
Esta observación debe alimentar el formato de respuesta el cual se relaciona a continuación : Devolución Reembolsos
2. TRASLADAR CASO DE SALUD A ARL Y DE ARL A SALUD
Se requiere habilitar un botón en la gestión del caso que permita trasladar el caso a la gestión de REE SALUD, para que quede en la actividad digitación de reembolso en salud y allí se capture la información correspondiente ,
3. Editar el valor capturado
Se requiere habilitar el botón editar sobre el campo total con el fin de que el perfil de analista pueda editar el valor digitado , esta actividad solo se podrá realizar solamente antes de que se dispare el botón “ radicación sisalud reembolso”
4. Habilitar botón de retoma de casos 
Se requiere habilitar el botón de retoma de caso para los perfiles de auditoría y analista en los casos que se encuentran en estado pendiente:
5 Agregar tipo de documento
Se requiere agregar a la lista de documentos el documento que se encuentra creado como PT “ Permiso Temporal “ esto con el fin de poder realizar el envío de servicio entre sisalud e imagine con este tipo de documento:
6.Inscripción de cuenta radicación 
Se requiere que cuando los asegurados realicen la radicación y marquen que no tiene una cuenta inscrita en el aplicativo se habilita únicamente el formulario de inscripción de cuenta, tal como se muestra a continuación:
Se requiere un hablador que indique lo siguiente : “Para garantizar el pago de los reembolsos a cuenta bancaria o billetera electrónica, se requiere el diligenciamiento del formulario.”
7.Adjuntos en la respuesta
Se requiere que para todas las causales de respuesta“ devolución reembolsos, glosa total reembolsos , Glosa parcial, pagado en validación” , se habilite un campo de examinar para poder remitir archivos complementarios en la respuesta , los formatos que se pueden adjuntar allí son “ xlsx, csv, pdf jpg png..” este campo no será obligatorio para la gestión de la respuesta
8. Modificación texto de radicación respuestas:
Se requiere ajustar todas las plantillas de respuesta debido a la modificación que se tiene de radicación se adjunta documento con las modificaciones realizadas
</t>
  </si>
  <si>
    <t>05/11/2025: Se dara inicio a los ajustes  deacuardo al requrimiento.
07/11/2025:  Se estima entregar el 50% el martes  11 de noviembre  y  el otro 50%  el martes 18.
10/11/2025: Se avanza en ajustes, restan los temas de valores y cambio de área para permitir digitación. La mayoría de puntos están listos para pasar a test.
11/10/2025: Se solicita extender el plazo de entrega por incidencias en la radicación automática de facturas presentadas el 11 de noviembre.Nuevas fechas: 2 de noviembre (1.ª entrega) y 21 de noviembre (2.ª entrega).
12/11/2025: De los 8 puntos del desarrollo, se completaron 6. Quedan pendientes el ajuste de cambio de área (a la espera de definición del usuario) y el cambio de valor, que requiere una reingeniería más amplia para no alterar los cálculos
18/11/2025: Hoy se realizará la implementación de los puntos 2 y 3 del sistema de reembolsos, que incluyen el traslado de casos entre Salud y ARL y la edición del valor capturado, desarrollando estos ajustes sobre los modelos de reembolsos ARL/Salud e incorporando mejoras en las validaciones y en los informes asociados.
20/11/2025: El 19 de noviembre se realizo lo siguiente: 
1. Implementación de Modificación de Valores en Reembolsos
Se desarrolló la funcionalidad para editar cantidad y valor en los procedimientos de facturas de Reembolsos ARL y Salud, con validaciones específicas, control de valores originales y un panel para registrar observaciones y guardar los cambios. También se implementó un mecanismo de resumen y envío seguro de la información.
2. Corrección de Flujo al Cambiar Área
Se ajustó el proceso para garantizar que, al cambiar el área entre Reembolsos ARL ↔ Salud, se limpien correctamente los datos en backup, se restablezcan los valores requeridos y la factura quede en el estado adecuado para su reasignación.
Se iniciaran pruebas de los  cambios realizados.
24/11/2025: Se solicitara sesion con el cliente para realizar la segunda entrega de los ajnustes.
26/11/2025: Implementación de restricciones para la edición de valores solo se dejo para reembolsos ARL .
Actualización dinámica de las etiquetas en label del upload según el tipo de solicitud de factura para que las de reembolsos no vean el mensaje de ratificacion. Los ajustes realizados ya se encuentran listos para entrega final. 
La presentación al cliente está programada para el viernes 28 de noviembrte a las 2 p.m. Solo resta preparar el material final de soporte.
27/11/2025: Sej austa en la búsqueda de tipologías de usuario para excluir actividades marcadas como 'Rechazo' .
01/12/2025: Los ajustes fueron validados por el cliente el viernes  28 de noviembre. Solo falta incorporar un enlace pendiente en el portal; una vez agregado se solicita autorización para paso a producción. No requiere control de cambios.
03/12/2025:Los cambios ya estan en producción, salvo el punto 6 del portal que por ahora esta en test
Se realiza paso a producción del punto 6 faltante.</t>
  </si>
  <si>
    <t>GD772-172_1</t>
  </si>
  <si>
    <t>Ajustes Reembolsos ARL (Pruebas test punto 6 Inscripción de cuenta radicación)</t>
  </si>
  <si>
    <t xml:space="preserve">Inscripción de cuenta radicación 
Se requiere que cuando los asegurados realicen la radicación y marquen que no tiene una cuenta inscrita en el aplicativo se habilita únicamente el formulario de inscripción de cuenta, tal como se muestra a continuación:
Se requiere un hablador que indique lo siguiente : “Para garantizar el pago de los reembolsos a cuenta bancaria o billetera electrónica, se requiere el diligenciamiento del formulario.”
</t>
  </si>
  <si>
    <t>03/12/2025: se realizó la validación en el ambiente de test y se confirma que, cuando el usuario selecciona la opción de “no tiene cuenta inscrita”, los campos de cuenta bancaria se ocultan correctamente. En su lugar, queda habilitado el formulario de Google para la inscripción de la cuenta, junto con el hablador: “Por favor, completa el formulario en el siguiente enlace para inscribir tu cuenta”.
Se cargaron los adjuntos obligatorios y el sistema permitió finalizar la radicación sin inconvenientes. Caso radicado: 31036260.</t>
  </si>
  <si>
    <t>PENSIONADOS</t>
  </si>
  <si>
    <t>Ajustes y cargue de información en procesos de pensionados</t>
  </si>
  <si>
    <t>Requerimiento: Ajustes y cargue de información en procesos de pensionados
Objetivo:
Optimizar y adecuar el flujo de gestión de casos de pensionados, garantizando la correcta trazabilidad, visibilidad y carga de expedientes en el sistema, de acuerdo con las actividades definidas en el diagrama general del proceso de calificación.
Alcance del requerimiento
El requerimiento contempla las siguientes actividades:
1.Cargue de expedientes en casos de pensionados
*Implementar la funcionalidad que permita adjuntar y visualizar los documentos correspondientes al expediente del pensionado dentro del caso.
*Asegurar que los expedientes se asocien correctamente a cada radicación o trámite existente.
2. Ajuste de flujos de pensionados según diagrama general
*Revisar y adecuar el flujo de tareas del proceso de calificación de pensionados conforme a las actividades descritas en el diagrama.
*Verificar las condiciones de enrutamiento y los puntos de control definidos (por ejemplo, validaciones, decisiones y estados).
*Alinear los roles involucrados y los estados finales del caso con la secuencia establecida en el proceso.
3. Cargue de archivo histórico
*Permitir la carga de información histórica relacionada con los pensionados en el sistema, garantizando la conservación de los datos y su trazabilidad.
*Validar que la información cargada se refleje correctamente en los reportes y consultas del módulo correspondiente.</t>
  </si>
  <si>
    <t>20/11/2025: Iniciara con la creación de un mock para el módulo de Pensionados, específicamente para la funcionalidad de visualización de grandes imágenes.
24/11/2025: Requerimiento en etapa de análisis. Pendiente reunión con Liyi para revisar cambios en el flujo. Se han validado imágenes y se tienen ideas para avanzar, pero aún sin trabajo en código.
05/12/2025: Se avanzó en el análisis del grupo de pensionados y los cambios que desean realizar. Pendiente revisión con Liyi para definir si el flujo debe generar pagos o solo clasificación. Actividad en etapa de análisis, sin desarrollo activo.
10/12/2025: El flujo de pensionados se presentó nuevamente al cliente, quien indicó que aún deben revisar oportunidades adicionales de mejora antes de autorizar cambios. Por solicitud del cliente, el requerimiento queda pausado. No se debe desarrollar nada hasta nueva instrucción.</t>
  </si>
  <si>
    <t>GD772-217</t>
  </si>
  <si>
    <t>AJUSTE PROCESO MASIVO</t>
  </si>
  <si>
    <t xml:space="preserve">Se solicita que para la asignación del masivo se identifiquen los radicados que se van a gestionar por Masivo con una marca especial, con el fin de que el analista no los gestione, o permanezcan bloqueados para gestión por parte del analista, una vez se consuma la información del lago de datos y se actualicen estos radicados deben quedar con estado pagado, los que no gestione el RPA el administrador debe tener la facultad para desbloquear los radicados marcados y generar alerta al analista para su gestión como pendientes, la plataforma imagine no debe permitir cerrar la factura hasta gestión total de los radicados.
Por día Caído del lago de datos se solicita como contingencia y actualización rápida de la información se permita subir el archivo de pagos con el fin de actualizar la data y generar oportunidad en gestión de radicados, puede ser similar al archivo de autorizaciones o siniestros que se carga en imagine.
</t>
  </si>
  <si>
    <t>GD772-218</t>
  </si>
  <si>
    <t>RELACIONAR NUMERO DE RADICADOS EN PANTALLA PRINCIPAL</t>
  </si>
  <si>
    <t>Se solicita que en la pantalla de reasignación de facturas pendientes se adicionen 2 columnas;  la primera columna con el total de radicados que cada una de las personas tenga asignados en las bandejas y la segunda columna con el año de fecha sello en que han sido radicadas las facturas, esta ultima debe permitir filtrar por el año que se requiera visualizar.
Gracias.</t>
  </si>
  <si>
    <t>GD772-219</t>
  </si>
  <si>
    <t>PERMITIR ACTUALIZAR RADICADO EN FACTURAS YA CERRADAS EN IMAGINE</t>
  </si>
  <si>
    <t>Se solicita permitir actualizar el numero de radicado, el numero de cuenta y la autorización en imagine cuando las facturas ya se encuentran cerradas en plataforma imagine, al igual que se encuentra parametrizado para las facturas pendientes de gestión, esto con el fin de que carteras quede actualizado en el momento de subsanar glosa. Esto aplica para los 2 ramos.</t>
  </si>
  <si>
    <t>GD772-221</t>
  </si>
  <si>
    <t xml:space="preserve">AJUSTE PANTALLA REASIGNACION
</t>
  </si>
  <si>
    <t>Se solicita que en pantalla reasignación Imagine se adicione una columna que identifique las respuestas a glosa, y que los filtros que se encuentran en dicha pantalla permitan filtrar todos los campos como lo permite numero de factura, fecha de radicación, nit, razón social.
2. Los informes deberian ser del día a día y no de la noche anterior,  algunos usuarios trabajan en horario nocturno y, en ocasiones, los reportes presentan diferencias, como sucede con el reporte de inconsistencias.
3. Solicitar que en la ventana de reasignación se muestre la cantidad total de radicados que tiene cada persona.
4. Las facturas que se procesan mediante el masivo de SALUD no están siendo cerradas al día siguiente.
5. Los archivos enviados de IVAS sean radicados con mayor rapidez, ya que en algunos casos el proceso está tardando demasiado.</t>
  </si>
  <si>
    <t>GD772-188</t>
  </si>
  <si>
    <t>Automatización de correo operacioninternaarl@segurosbolivar.com</t>
  </si>
  <si>
    <t>Se radica solicitud de cambio de correo para radicación en imagine de arlbolivar@segurosbolivar.com a operacioninternaarl@segurosbolivar.com con las mismas caracteristicas y palabras claves del correo anterior.</t>
  </si>
  <si>
    <t xml:space="preserve">19/01/2026: Se entrega  configuración de correo segun solicitud </t>
  </si>
  <si>
    <t xml:space="preserve">GD772-186 </t>
  </si>
  <si>
    <t>Facturas Urgencias Mayores a $700.000</t>
  </si>
  <si>
    <t>Se solicita realizar una modificación en el motor de reglas de cuenta médica. El objetivo es que los servicios de urgencias con valores superiores a $700.000 sean delegados al equipo especializado de auditoría medica.</t>
  </si>
  <si>
    <t>06/01/2026: Se actualizan los valores del tipo de servicio Urgencias</t>
  </si>
  <si>
    <t xml:space="preserve"> GD772-179</t>
  </si>
  <si>
    <t>RELACION DE IVAS EN INFORME POR RADICADO ( Salud)</t>
  </si>
  <si>
    <t>Se solicita traer la columna BP (ct_iva) de la base de datos adjunta al informe por radicado que se exporta desde imagine.</t>
  </si>
  <si>
    <t xml:space="preserve">01/12/2025: Se debe reemplazar todos los campos denominados IVA provenientes de BIR por ct_iva en los informes. El cambio aplica a todos los reportes donde se utilice ese campo. Actividad rápida y próxima a ejecutar.
02/12/2025: Ajuste desplegado a producción </t>
  </si>
  <si>
    <t>INTERNO-JA030</t>
  </si>
  <si>
    <t>Errores frecuentes en el servicio de 472</t>
  </si>
  <si>
    <t>13/11/2025: Se emitió la alerta correspondiente y se participó en las reuniones convocadas para subsanar el inconveniente.</t>
  </si>
  <si>
    <t>INTERNO-JA031</t>
  </si>
  <si>
    <t>Ajuste en la recepción del servicio de 472</t>
  </si>
  <si>
    <t xml:space="preserve"> Ajustes post-despliegue en API 472 basados en errores identificados</t>
  </si>
  <si>
    <t xml:space="preserve">14/11/2025: El 13 de noviembre se realizaron algunos ajustes en 472, Corrección de errores generados por nuevas respuestas del API tras despliegue en producción
 </t>
  </si>
  <si>
    <t>GD772-124_2</t>
  </si>
  <si>
    <t xml:space="preserve">Generacion opcion Informes Datos Proveedores
</t>
  </si>
  <si>
    <t xml:space="preserve">Finalización e implementación del informe solicitado en punto 3.2
 al  usuario de Santigo Prieto </t>
  </si>
  <si>
    <t xml:space="preserve">14/11/2025: El 13 de noviembre se Implementa en producción el informe Datos Proveedores.
- Total de solicitudes de Actualización de Datos (pendientes y cerradas)
  - Total de solicitudes "Quiero Ser Proveedor" (pendientes y cerradas)
  - Resumen mensual de solicitudes por tipo
  - Gráficos de radicación diaria (últimos 10 días) para cada tipo de solicitud
  - Opción con filtro de fechas para descargar informe
 </t>
  </si>
  <si>
    <t>INTERNO-JA032</t>
  </si>
  <si>
    <t>Descarga de Archivos Planos Informe de Datos Proveedor</t>
  </si>
  <si>
    <t>Generación de archivos planos Informe de Datos Proveedor para análisis de Santiago (Solicitud interna de Liyi)</t>
  </si>
  <si>
    <t>14/11/2025: Se realizó la descarga y análisis de las tablas actualización y datos proveedores. Queda pendiente únicamente la habilitación del acceso a la opción Informe de Datos Proveedor para completar las validaciones restantes</t>
  </si>
  <si>
    <t>GD772-155</t>
  </si>
  <si>
    <t>Retirar del portal radicación proveedores la tipología radicación facturas EPS</t>
  </si>
  <si>
    <t>Solicito la valiosa colaboración para retirar del portal radicación proveedores la tipología radicación facturas EPS, no contamos con este producto y adicional contamos con paz y salvo de las entidades prestadoras de servicios de salud.</t>
  </si>
  <si>
    <t>02/10/2025: Se retira tipologia solicitada.</t>
  </si>
  <si>
    <t>GD772-154</t>
  </si>
  <si>
    <t>Cambio de video tutorioales en portal de facturas</t>
  </si>
  <si>
    <t>Se solicita cambiar videos tutoriales en portal imagine, los que se subieron tienen problemas de edición que pueden confundir al prestador.</t>
  </si>
  <si>
    <t>30/09/2025: Videos  cambiados.</t>
  </si>
  <si>
    <t>GD772-138</t>
  </si>
  <si>
    <t xml:space="preserve">Agregar adjunto descargable Reembolsos ARL
</t>
  </si>
  <si>
    <t>**Agregar adjunto descargable Reembolsos ARL**\n\n**Descripción**\nSe requiere habilitar en el módulo de Reembolsos ARL la opción de descargar el archivo “Formato Solicitud de Reembolso” directamente desde la aplicación.\n\n**Objetivo**\nFacilitar al usuario el acceso al formato oficial de solicitud de reembolso, evitando trámites externos y asegurando que siempre se use la versión vigente.\n\n**Alcance**\n\nIncluir un botón/enlace de Descargar Formato en la sección de Reembolsos ARL.\n\nEl archivo debe descargarse en su formato original (XLSX).</t>
  </si>
  <si>
    <t>10/09/2025: Ajunto implementado en producción.</t>
  </si>
  <si>
    <t>MDSB-872831_1</t>
  </si>
  <si>
    <t>Actualizar base de datos eliminando espacios en el número de identificación de los casos existentes</t>
  </si>
  <si>
    <t>15/09/2025: Se ejecutó la actualización en base de datos para eliminar los espacios en el campo NIT de las tablas WF_Radicación y Valors. El proceso finalizó correctamente y el requerimiento queda solucionado.</t>
  </si>
  <si>
    <t>INTERNO-JE018</t>
  </si>
  <si>
    <t xml:space="preserve">Envíos masivos de conciliación </t>
  </si>
  <si>
    <t>Se identifica que el envío masivo 99085, correspondiente a 7.149 envíos, se detuvo en la creación de casos en el registro 4.710. Al realizar la consulta de los casos, se evidencia un adjunto en formato PDF que no permite ser visualizado. Se requiere iniciar la validación del proceso ejecutado con el fin de identificar las causas del incidente</t>
  </si>
  <si>
    <t>26/08/2025:Se asiste a sesión de entendimiento del proceso de cargue masivo y se identifica que corresponde al proceso de conciliaciones masivas, el cual no se encontraba en uso. Para lo cual se realiza la anulación del envío 99085 y se solicita efectuar nuevamente el cargue, quedando registrado con el ID 99377.
27/08/2025: Se realiza seguimiento al nuevo envío cargado y se identifica que este se detiene en la creación del caso (4710). La causa corresponde a que el NIT debe estar en la segunda posición del nombre del archivo PDF. En consecuencia, cuando el archivo no existe en la ruta, pero fue relacionado en el Excel, el caso no llega a crearse.
28/08/2025: Se acuerda realizar el envío de los 4.710 casos creados y solicitar a la usuaria la gestión de los 2.439 registros faltantes.
29/08/2025: Se corrigieron fallas en el envío masivo por una tipología interna y problemas de lectura de adjuntos en subcarpetas. Se implementaron mejoras de código y validaciones. Se está a la espera de un nuevo Excel para procesar 2.439 casos pendientes.</t>
  </si>
  <si>
    <t>INTERNO-JE020</t>
  </si>
  <si>
    <t>Validar inconsistencia  Reporte casos ARL sin gestión</t>
  </si>
  <si>
    <t xml:space="preserve">1. Reporta como error un correo que no se debe radicar:
2. El reporte Indica validar dos casos, pero no hay diferencias entre la columna yii= 318 + excluidos= 291 =  609.  contra el total de correos recibidos 609. 
</t>
  </si>
  <si>
    <t>28/08/2025: Se iniciara validacion despues  de terminar el req  Modalidad Teletrabajo Transnacional.
01/09/2025: Se identifica que el error se originaba porque en el campo message_id la consulta realizaba la división a partir de la cadena "@-" para obtener el correo y el dominio. En el caso del message_id ArIp3J4TTo-5bFv0tBXJBQ.K3fQBmq1Go6YQojGhUvrhj4@sfdc.net
, no se encontraba la secuencia "@-", lo que ocasionaba que tanto el correo como el dominio quedaran en valor null y, en consecuencia, la validación de la consulta resultara siempre positiva. El problema se corrigió implementando la validación del correo y el dominio de manera individual.</t>
  </si>
  <si>
    <t>INTERNO-JE021</t>
  </si>
  <si>
    <t>Validacion funcionamiento API 472</t>
  </si>
  <si>
    <t>Se debe validar la integración con el API de 472 físico para que el sistema recorra automáticamente los casos en estado “Entrega Courrier”.\nEn caso de que el API confirme que la guía en 472 figura como “Entregada”, el sistema debe cerrar el caso de manera correcta y adjuntar al caso la guía de entrega correspondiente para el cliente.</t>
  </si>
  <si>
    <t>03/09/2025: La validación del comando y de la función presenta un avance aproximado del 50%. El progreso se detuvo debido a la identificación de tres errores reportados por el cliente durante las pruebas de la modalidad de trabajo transnacional, los cuales deben incorporarse al flujo.
05/09/2025:Se realizó una nueva sesión para aclarar dudas sobre el requerimiento. Con base en ello, se reiniciará la ejecución validando la documentación técnica enviada por 472 para el consumo del servicio.
08/09/2025: Se inició desarrollo del comando en Laravel para integrar el consumo de correos físicos (472) junto al manejo de correos electrónicos, con el objetivo de unificar la lógica y facilitar mantenimiento. Se está documentando el proceso de certificados.
10/09/2025: El 9 de septiembre se realizaron pruebas con el servicio, pero la API no devolvió los resultados esperados. A pesar de ello, se avanzó en la construcción del código que procesará la respuesta. Se está a la espera de confirmación por parte de 472, ya que podría tratarse de parámetros incorrectos o credenciales vencidas/modificadas.
26/09/2025: El 24 de sepriembre se realizó una reunión con el equipo de 472 para tratar el tema relacionado con el manejo de comprobantes físicos. El inconveniente radicaba en que inicialmente solo se habían entregado credenciales de prueba, por lo cual no se contaba con acceso a producción y todo lo enviado quedaba en ambiente de test. En la reunión se solucionó la situación con la entrega de credenciales de producción.</t>
  </si>
  <si>
    <t>MDSB-874732</t>
  </si>
  <si>
    <t>Jiras dia a dia (Informe correos recibidos en el buzón de ARL desde el 1ro de enero de 2025 y no radicados en imagine)</t>
  </si>
  <si>
    <t>Fecha entrega cleinte: 15/10/2025
Se solicita por favor realizar una verificación de los correos recibidos en el buzón de ARL desde el 1ro de enero de 2025 y no radicados en imagine.Lo anterior para identificar los impactos de calificación de origen en casos no gestionados.</t>
  </si>
  <si>
    <t>05/09/2025: Se enviaron reportes históricos al correo desde enero agrupados en bloques de 4-5 días para evitar saturación de memoria en Node.js. El proceso funciona, aunque se detectaron algunos casos no replicados. Se evalúa un ajuste para mejorar la consistencia.
08/09/2025: Se enviaron casos de novedad por correo de manera detallada (día a día para agosto), mejorando la precisión frente a envíos anteriores. Pendiente validcion de llegada de todos los  correos.
10/09/2025: Desarrollar comparación entre casos creados, correos recibidos y validados.
12/09/2025: Se modificó toda la lógica del lector de correos con base en las sugerencias de Jenry. Las pruebas iniciales fueron satisfactorias. Hoy se ejecutará durante toda la jornada para validar que los conteos de correos coincidan exactamente y poder escalar gradualmente el procesamiento.
15/09/2025: Se restauraron los módulos de Node.js (NodeModules) a una versión estable tras detectar errores en los scripts. Se implementó una alternativa que parece estable, pero requiere ejecutar pruebas en varios días para validar consistencia. Se sugiere no actualizar módulos hasta hacer mantenimiento general.
19/09/2025: Se entregaron los reportes correspondientes al periodo del 1 al 15 del mes actual. Se está a la espera de la validación de cantidades por parte de Liyi para proceder con la generación de reportes de los meses anteriores.
01/10/2025: Se acordó generar un consolidado histórico (enero a septiembre) que será enviado únicamente a Fabio y Liyibet para revisión interna, además de mantener un reporte diario automático para el resto del equipo. El proceso ha mostrado lecturas estables, sin errores en los registros, pero se debe ajustar la parametrización para diferenciar los grupos de destinatarios de los reportes.
21/10/2025: Se encuentra en proceso la obtención de la información. Actualmente se está recopilando la correspondiente al mes de abril, quedando pendiente la información de los meses de marzo a enero de 2025.
27/10/2025: Se inicia generación reporte del mes de febrero de 2025.
07/11/2025: Se completo la generación de información  de enero a Noviembre, pendientre  validación de la  misma con Liyibet.
13/11/2025:Se realiza la validación de los correos en la consulta de correos de Yii correspondientes a aquellos que el reporte indica como no radicados.
Esto con el fin de corroborar su estado y depurar los que no representan una alerta, como es el caso de los mensajes Undeliverable..
14/11/2025: Se realiza entrega del informe solicitado</t>
  </si>
  <si>
    <t>MDSB-926910</t>
  </si>
  <si>
    <r>
      <rPr>
        <rFont val="Quattrocento Sans"/>
        <color theme="1"/>
      </rPr>
      <t>Jiras dia a dia (</t>
    </r>
    <r>
      <rPr>
        <rFont val="Quattrocento Sans"/>
        <b/>
        <color theme="1"/>
      </rPr>
      <t>Información duplicada - Caso radicado oficina virtual ARL servicio médico</t>
    </r>
    <r>
      <rPr>
        <rFont val="Quattrocento Sans"/>
        <color theme="1"/>
      </rPr>
      <t>)</t>
    </r>
  </si>
  <si>
    <t>Agradecemos su ayuda con la gestión del JIRA MDSB-926910 , dado que estamos evidenciando que al radicar serviciosa través de la oficina virtual de ARL en la opción de Servicios médicos, al dar clic en los servicios que se requieren,adjuntar los archivos y dar finalizar el sistema esta mostrando registros duplicados en la confirmación del número decaso, de hecho muestra servicios con un nombre de un proceso pero que el radicado pertenece a otro</t>
  </si>
  <si>
    <t>26/11/2025: Fabio documenta  incidencia-Se realizó la radicación en producción de dos tipos de autorización sin incluir medicamentos, y el sistema mostró correctamente los dos tipos de autorización registrados. Sin embargo, cuando dentro de los tipos de autorización se incluye Medicamentos, al finalizar la radicación el sistema despliega de forma duplicada los tipos “Procedimientos Ambulatorios” y “Medicina Laboral, Resonancia”.
Este resultado indica un posible error en la lógica de visualización o agrupación de tipos de autorización cuando se involucran medicamentos, lo cual requiere revisión por parte del equipo técnico, a la espera de la revision de Jesus.
27/11/2025: Jesus realizavalidación y ajuste de la duplicidad de los tipos de autorizacion en test, pero se evidencian inconsistencias en los adjuntos mostrados en laravel  respecto a los cargados  en medicamentos en el portal, para lo cual se realizaran pruebas en producción para descartar que se este presentando lo mismo. 
28/11/2025: Se realizan validaciones en producción y se identifica que, si bien el sistema ya no presenta la duplicidad de tipos de autorización al momento de mostrar los radicados, sí está omitiendo o dejando de mostrar algunos de los tipos de autorización radicados en el proceso.
Adicionalmente, se confirma que en los casos correspondientes a Medicamentos se siguen visualizando los adjuntos asociados a las demás autorizaciones radicadas de manera simultánea, lo que evidencia que persiste un error en la lógica de asociación y visualización de documentos.
01/12/2025:En las pruebas realizadas el viernes 28 de noviembre se identificó que, si bien el sistema ya no duplica los tipos de autorización, sí está ocultando algunos de ellos al mostrar el resultado de la radicación. Jesús se encuentra validando el ajuste correspondiente para corregir la visualización.
02/12/2025: Jesus realiza ajustes en autorizaciones de medicamentos, incluyendo revisión de imágenes. Pendiente validar que las imágenes estén disponibles en el flujo correcto antes de cerrar el caso.
03/12/2025: Se identifica que el comportamiento se debía al proceso interno que realiza la relación y agrupación de las autorizaciones que pertenecen a una misma tipología, el cual estaba generando la repetición de los nombres en la notificación.</t>
  </si>
  <si>
    <t>INTERNO-F012</t>
  </si>
  <si>
    <t xml:space="preserve">Reorganización directorio en Nativo para adjuntar documentación tecnica. </t>
  </si>
  <si>
    <t>15/12/2025: El directorio ya se encuentra organizado y se ira alimentando con la documentación tecnica que se vaya generando.</t>
  </si>
  <si>
    <t>INTERNO-F014</t>
  </si>
  <si>
    <t>HU nuevo proceso de incapacidades ARL</t>
  </si>
  <si>
    <t>16/12/2025: Se finalizan historias de usuario y se envian a Liyibet y Jenry, se recibe retroalimentación ya que se debe modificar la HU3 donde se indica que el usuario podia modificar o completar la información que se generaba despues de la extraccion lo cual se debe quitar ya que no fue aprobado por el cliente, pendiente realizar dicha modificación. 
17/12/2025: HU corregidas y entregadas.</t>
  </si>
  <si>
    <t>INTERNO-F013</t>
  </si>
  <si>
    <t>Error devolución de envio (Reporte de Doria)</t>
  </si>
  <si>
    <t>El siguiente caso de nativo 40282033, en el cual se presentó una devolución de 4-72. El usuario de Bolívar realizó la corrección de la dirección, pero esta no está llegando a la bandeja de firma digital para realizar el envío correspondiente en el día a día.
Estos casos son muy frecuentes y nos consultan constantemente por envíos que no se han realizado. Esta es la causa por la cual no se envían: al no llegar a la bandeja, no sabemos si la persona de Bolívar efectuó la corrección o no.</t>
  </si>
  <si>
    <t>21/11/2025: Se realiza sesion  con usuaria de Bolivar  para capturar el proceso que se realiza para generar la devolución del envio.
24/11/2025: Se detiene validación  por pruebas del doble factor.
25/11/2025: Se realiza documentación  de las dos pruebas realizadas  donde se concluyte  que:
El problema reportado por Andres corresponde a un comportamiento del flujo: si no se genera ni se ejecuta la actividad “Generación de Respuesta”, el caso no se visualizará en la bandeja de firma digital. Adicionalmente, se identificó un posible proceso automático que está cerrando actividades fuera de horario laboral, lo cual genera pérdida de casos en bandeja y requiere revisión. Se comparten evidencias por correo.</t>
  </si>
  <si>
    <t>MDSB-938347</t>
  </si>
  <si>
    <t>Error al finalizar solicitud de reembolsos en portal ARL</t>
  </si>
  <si>
    <t>Reporte:
Usuario se comunica presentando fallas para generar la solicitud de citas de terapias, ya que indica que al adjuntar los documentos y al finalizar le genera error “Debe cargar todos los archivos obligatorios. Faltan: Registro de asistencias a terapias“
Proceso:
Se genera una sesión por meet
Se solicita compartir pantalla
Se procede a validar la falla
Se realiza pruebas por incognito y la falla persiste
Se escala el caso ala rea encargada para su debida validación</t>
  </si>
  <si>
    <t>28/11/2025: Se valida la inconsistencia reportada y se evidencia que el usuario no cargó el documento obligatorio “Registro de asistencias a terapias” en la sección correspondiente, sino únicamente en Documentación Adicional, lo que generó el error mostrado por el sistema.</t>
  </si>
  <si>
    <t>MDSB-936732</t>
  </si>
  <si>
    <t>Jiras dia a dia (Informe formato AT 031 Profesional de gestión del riesgo no refleja todos los casos radicados por los GESTORES)</t>
  </si>
  <si>
    <t>“La descarga de casos Imagine tipología formato AT 031 Profesional de gestión del riesgo no refleja todos los casos radicados por los GESTORES“
Al realizar la descarga del archivo de informes en la plataforma Imagine,  la tipología  formato AT 031 Profesional de gestión del riesgo, y al hacer un cruce con la base sipab por cronogramas y secuencias, la consulta no arroja todos los radicados correspondientes. Al  realizar la búsqueda manual, se evidencia que la persona si radico los documentos para el cronograma y la secuencia, pero estos no se reflejan en la descarga de imagine como se indicó anteriormente, generando que se deba realizar una búsqueda manual para confirmar la radicación de las actas e informes. Se anexa documento excel donde se realiza el cruce de bases de datos donde para los meses de agosto, septiembre y octubre deberían aparecer varios casos y no estan reflejados, como el caso de Ruben tres Palacion, Angela Camila Moreno, Berenice Bermejo, Edgar Ricardo Gomez Parra, Paula Andrea Galvis, Cristian Smith Franco., Jose Eduardo Rojas, Katherin Jhoana Tonguino, por mencionar casos relevantes.</t>
  </si>
  <si>
    <t>26/11/2025: Se identifica que los usuarios reportados no tenían actualizado el rol en la tabla de usuarios, lo cual impedía que se reflejaran en el informe. Como medida correctiva, se solicita a Jesus la  actualización de los roles correspondientes.</t>
  </si>
  <si>
    <t>GD772-146_1</t>
  </si>
  <si>
    <t>Pruebas Doble factor de autentticación (Correo)</t>
  </si>
  <si>
    <t>Requermiento entregado en test  el 21 de noviembre en la tarde y se requiere realizar las pruebas de funcionamiento.</t>
  </si>
  <si>
    <t>24/11/2025: Se realizan pruebas de funcionamiento  donde se trabaja identifican mejoras de estilos en la notificación de correo y ajustes en la notificación del codigo expirado o errado,  se realiza toma de evidencias y se envian al Liyibet.</t>
  </si>
  <si>
    <t>INTERNO-JE009</t>
  </si>
  <si>
    <t>Funcionalidad para inhabilitar modificación de tipologías en Nativo</t>
  </si>
  <si>
    <t xml:space="preserve">Es necesario restringir cambios en tipologías una vez el portal esté activo, para evitar errores en procesos dependientes.
04/08/2025: El juenes 31 de julio se inactiva el menú de modificación de tipologías ubicado en Radicador &gt; Administración, dejando habilitada únicamente la opción disponible en Radicación Workflow para un conjunto específico de cédulas de ciudadanía (CC). La intención es crear o mejorar la funcionalidad de administración de tipologías en la nueva aplicación de Nativo, la cual se planea actualizar próximamente
22/12/2025:  De acuerdo a indicación de la gerencia se da por finalizado este req ya que no es viable realiza un nuevo modulo administrativo en nativo  </t>
  </si>
  <si>
    <t>GD772-137</t>
  </si>
  <si>
    <t>Mejoras Modalidad teletrabajo transnacional (Flujo)</t>
  </si>
  <si>
    <t>**FLUJO DE TRABAJO MODALIDADES DE TRANSNACIONAL**\r\n\r\n\r\n**1.\tDESCRIPCIÓN DEL REQUERIMIENTO  **\r\n\r\nSe requiere ajustar el módulo de teletrabajo transnacional para la atención de casos desde nativo por flujo de trabajo.\r\n\r\n**1.2 OBJETIVO**\r\n●\tCreación de flujo de trabajo desde el módulo de teletrabajo\r\n\r\n**2. REQUERIMIENTOS FUNCIONALES**\r\n\r\n2.1 Creación de flujo de trabajo -Caso\r\nSe requiere que en el momento de recibir una solicitud de reporte desde el módulo de modalidades de trabajo por la modalidad de teletrabajo transnacional se cree un caso bajo el flujo de trabajo en nativo con la tipología 10679“ Teletrabajo transnacional”, la cual ya creamos en el workflow de nativo, es importante trasladar la información que se captura al momento de recibir la modalidad de trabajo por el módulo al igual que los adjuntos con el fin de realizar la verificación de información y soportes para afiliar el trabajador con esta modalidad o realiza la devolución de la solicitud. \r\nSi el reporte realizado por la empresa corresponde a una carga masiva, se deberá crear por cada trabajador reportado un caso para gestión, este debe tomar los datos generales y específicos, así como los adjuntos de manera individual.\r\n\r\n2.2 Notificación de creación de caso\r\nUna vez se radique una solicitud de reporte desde el módulo de modalidades de trabajo por la modalidad de teletrabajo transnacional, deberá de mostrar al usuario el número de caso de la radicación, para la respuesta.\r\n\r\n \r\nAdicionalmente deberá remitir copia del comunicado al correo electrónico registrado (para masivo y para individual ).\r\n \r\nEn caso de cargue masivo se deberá notificar la cantidad de casos creados por cada trabajador.\r\n \r\n\r\n\r\n2.3 Modificación de tiempo de atención\r\nSe deberá poder modificar el tiempo de atención de esta tipología en el módulo actual de YII, es decir debe ser parametrizable. Tiempo de atención inicial de 1 día.\r\n\r\n2.4 Informe \r\nSe requiere la creación de un informe dinámico que permita a la gerencia identificar de manera clara y en tiempo real el comportamiento del proceso relacionado con la modalidad de trabajo reportada por las empresas. El informe consolidará información por empresa y trabajador, y ofrecerá la posibilidad de descargar datos históricos en rangos de fechas configurables (meses o años, el rango máximo de 6 meses).\r\nEste desarrollo busca fortalecer la toma de decisiones estratégicas, optimizar la gestión operativa y brindar trazabilidad sobre las empresas y trabajadores que se encuentran bajo esta modalidad, asegurando transparencia y confiabilidad en la información.\r\n2.4.1 Objetivos\r\n●\tFacilitar la visualización del comportamiento del proceso a nivel global, por empresa y por trabajador.\r\n●\tPermitir la descarga de datos consolidados sobre la cantidad de empresas y trabajadores bajo esta modalidad.\r\n●\tImplementar filtros dinámicos por rango de fechas (mensual, trimestral, anual o multianual).\r\n●\tProporcionar un informe que sirva tanto para análisis operativo como para informes de gestión gerencial.\r\n2.4.2 Datos mínimos que debe contener el informe\r\nDatos Empresa\r\n●\tNit - Razón Social Empresa \r\n●\tNúmero de Cédula y nombre del trabajador\r\nCampos obligatorios\r\n●\tNúmero de identificación del trabajador\r\n●\tNombres y apellidos del trabajador\r\n●\tNúmero de teléfono del trabajador\r\n●\tPaís de residencia\r\n●\tCiudad de residencia\r\n●\tDirección de residencia\r\n●\tFecha de inicio\r\n●\tClase de riesgo del trabajador\r\n●\tDescripción de actividades\r\nCampos opcionales:\r\n●\tHora inicio labor\r\n●\tHora fin labor\r\n●\tHora inicio de almuerzo\r\n●\tHora fin de almuerzo\r\n●\tFecha de fin\r\n●\tJornadas (semanal o flexible, con campo de texto en caso de ser flexible)\r\n</t>
  </si>
  <si>
    <t>10/09/2025: Se socializa requerimiento  y se estima desarrollo de 10 habiles iniciando hoy.
12/09/2025: Se avanzó en local con la creación de tipologías y actividades iniciales. Actualmente se encuentra en etapa de construcción de casos. El progreso continúa según lo planificado.
15/09/2025: No se avanzó el viernes 12 por atender otros temas. Se retoma hoy con el objetivo de continuar la creación de tipologías y actividades.
16/09/2025: Se detiene desarrollo  para atender requerimiento de extraccion de imagenes contraloria.
17/09/2025: Se avanzó en el flujo de creación de casos desde el portal, logrando que los casos se asignen automáticamente a la actividad correspondiente y se visualicen correctamente. Falta desarrollar la parte de gestión (bandejas y seguimiento).
17/09/2025: El cliente solicita adicionar  en la parte inicial del proceso un espacio para que  la empresa  adjunte la plantilla de ingreso del trabajador
19/09/2025: Se estima un avance del 40% en el desarrollo. Se implementó una bandeja de consulta similar a la actual para mantener la experiencia de usuario. Este desarrollo continúa siendo prioridad.
22/09/2025: Se finalizaron dos bandejas de modalidades, avanzando hacia el desarrollo de funcionalidades de gestión y consulta de casos, Se detiene para realizar desarrollo de Ajustes modalidad transnaciioonal  modalidades  transnacional.
01/10/2025: Se reactiva desarrollo el 30 de septiembre  avanzando con éxito en la creación de vistas de gestión y consulta, Aún quedan pendientes detalles de trazabilidad y la definición del dashboard solicitado por el cliente, ya que este fue planteado de manera muy general y requiere precisar qué indicadores y gráficos se deben implementar.
02/10/2025: Se escala control de cambios en test MDSB-903049 para la inclusion de la columna  rad_solicitudes_id en la tabla circular_0041_trabajador , Control de cambios ejecutado con exito.
03/10/2025: El flujo de modalidades ya se encuentra listo aún no ha sido desplegado en el ambiente TES; se tiene previsto realizar la subida y comenzar las pruebas en dicho ambiente. Como pendiente queda la definición y desarrollo del informe dinámico.
06/10/2025: El flujo de modalidades fue desplegado en ambiente de pruebas, restando únicamente el informe dinámico y la validación del menú nuevo que aún no se visualiza. Se espera culminar el flujo antes del jueves
08/10/2025: Desarrollo entregado en test  para pruebas el 7 de octubre  faltando  el  Dashboard.
15/10/2025: Se entrega requerimiento al cliente para sus pruebas y confirmación de paso a producción.
22/10/2025:Cliente envia resultados de las pruebas donde reporta falla en la ciudad del trabajador que se visualiza en el caso radicado.
27/10/2025: Se establecio como prioritario en ajuste del hallazgo reportado por el cliente.
Se corrige error reportado y se informa al cliente para que completen sus pruebas.
07/11/2025: Cliente  informa error al visualizar adjuntos en laravel.
20/11/2025: Se inicia la validación del ajuste reportado por el cliente. Durante la revisión se identificó que las carpetas donde se almacenaban las imágenes en el ambiente de Test ya no existían y que los archivos PDF no se visualizaban por falta de permisos. Esta situación fue corregida y se informó al cliente para que continúe con sus pruebas.
Adicionalmente, se requiere ajustar las proformas según las versiones suministradas por el cliente.
28/11/2025: Cliente da el aval para realizar  paso a producción, se procedera a solicitar cacontrol de cambios a producción.
Se solicita control de cambios MDSB-938367 a producción.
01/12/2025: Control de cambios aprobado  por comité y se ejecutara hoy a las 4:40 pm
03/12/2025: El requerimiento fue pasado a producción el 2 de diciembre. El código está estable y no presenta fallas. Se realizarán casos de prueba en producción para validar comportamiento real una vez ingrese el primer caso.</t>
  </si>
  <si>
    <t>MDSB-903049</t>
  </si>
  <si>
    <t>MDSB-938367</t>
  </si>
  <si>
    <r>
      <rPr>
        <rFont val="Quattrocento Sans"/>
        <color theme="1"/>
        <sz val="10.0"/>
      </rPr>
      <t xml:space="preserve">https://github.com/Imaginesas/portales/compare/master...hotfix/flujo_modalidad
</t>
    </r>
    <r>
      <rPr>
        <rFont val="Quattrocento Sans"/>
        <color rgb="FF1155CC"/>
        <sz val="10.0"/>
        <u/>
      </rPr>
      <t>https://github.com/Imaginesas/bolivar/compare/master...feature/flujo_modalidades_2?expand=1</t>
    </r>
  </si>
  <si>
    <t>GD772-177_1</t>
  </si>
  <si>
    <t>Mejora oficina entidades ( Realizar HU )</t>
  </si>
  <si>
    <t>04/12/2025: Se realizan historias de usuario  y se envian a Liyibet para su validacion.</t>
  </si>
  <si>
    <t>MDSB-940570</t>
  </si>
  <si>
    <t xml:space="preserve">Jiras dia a dia validar  error 403 forbidden en radicación proveedor </t>
  </si>
  <si>
    <t>Usuario se comunica a mesa indicando que tiene un inconveniete con una actividad. de cronograma de secuencia en imagine. Al momento de cargarla. Aparece error 403 forbidden 
Nit: 900051899
Cronograma: 1747471
Secuencia: 9</t>
  </si>
  <si>
    <t>04/12/2025: Se realizaron validaciones en conjunto con la usuaria y se evidenció que la inconsistencia era generada por el archivo adjunto utilizado durante la radicación. Al cargar un archivo diferente, el sistema funcionó correctamente y el proceso se completó sin inconvenientes. Caso se cierra por funcionamiento normal.</t>
  </si>
  <si>
    <t>faBIO</t>
  </si>
  <si>
    <t>GD772-137_4</t>
  </si>
  <si>
    <t>PRUEBAS  PRODUCCIÒN Mejoras Modalidad teletrabajo transnacional (Flujo)</t>
  </si>
  <si>
    <t>03/12/2025: Se realizan pruebas del flujo en el ambiente productivo y todo funciona correctamente, excepto la consulta de casos en Laravel, donde no se está mostrando la última actividad del caso, sino la penúltima. La situación se escala a Jesús para su validación. 
Jesus realñiza los ajustes necessarios y corrige el hallazgo, el flujo queda funcional en  produccion.</t>
  </si>
  <si>
    <t>GD772-137_1</t>
  </si>
  <si>
    <t xml:space="preserve">Informe de gestion  Modalidad teletrabajo transnacional </t>
  </si>
  <si>
    <t>Se requiere adicionar al informe actual una columna que incluya el dato correspondiente al número de radicado.</t>
  </si>
  <si>
    <t xml:space="preserve">26/11/2025: Columnas solicitadas implementadas en test  pendiente paso a producción 
28/11/2025: Cliente da el aval para realizar  paso a producción
01/12/2025: Control de cambios aprobado  por comité y se ejecutara hoy a las 4:40 pm
03/12/2025: Mejoras pasadas a producción </t>
  </si>
  <si>
    <t>MDSB-903228</t>
  </si>
  <si>
    <t>Jiras día a día (Validación  envio de correos Grupo Afin)</t>
  </si>
  <si>
    <t>Informa que no les esta llegando correo a proveedor grupo AFIN de los casos  asignados de medicamentos.</t>
  </si>
  <si>
    <t>06/10/2025: El viernes 03 de octubre se corrigieron incidencias relacionadas con el envío de correos desde el API de medicamentos y se creó un comando automático para verificar y reenviar correos pendientes.</t>
  </si>
  <si>
    <t>GD772-130_1</t>
  </si>
  <si>
    <t xml:space="preserve">Ajustes modalidad transnaciioonal (Inclusion plantilla de afiliación) </t>
  </si>
  <si>
    <t>Se solicita un ajuste al requerimiento en la primera parte, consistente en la creación de un espacio que permita al cliente adjuntar la plantilla de ingreso del trabajador, la cual contiene toda la información necesaria para su afiliación en el sistema.
La plantilla deberá ser direccionada dentro del flujo para que el analista de atención prioritaria pueda realizar el proceso de afiliación del trabajador.
En caso de cargues masivos, el sistema deberá replicar el mismo archivo en todos los casos generados.
Alcance del ajuste:
1.Crear botón en el portal de modalidades para que el cliente pueda descargar el formato de la plantilla de afiliación.
2. Incluir un nuevo anexo obligatorio denominado Plantilla de afiliación, además de los adjuntos ya existentes (Contrato y Póliza).
3. Asegurar que el archivo Excel cargado se asocie en todos los tipos de procesos de afiliación de trabajadores, tanto individual como masivo.</t>
  </si>
  <si>
    <t>22/09/2025: Se inicia con el desarrollo.
24/09/2025: Se debe implementar una validación en el cargue del excel donde deberá contener una cantidad de registros igual o superior a la cantidad de trabajadores previamente ingresados, garantizando así la integridad de la información en el proceso.
26/09/2025: Por temas de estabilización de medicamentos el 25 de septiembre se detuvo el desarrollo el cueal se retomara el dia de hoy.
29/09/2025: Requerimiento de carga de plantillas finalizado y desplegado en test para pruebas del cliente.
01/10/2025: El 30 de septiembre el cliente otorgó el visto bueno para el paso a producción, el cual se realizó de manera exitosa.</t>
  </si>
  <si>
    <t>MDSB-896795</t>
  </si>
  <si>
    <t>Jiras dia a dia (Informe de casos radicados en Julio 2025 de  formato at 031</t>
  </si>
  <si>
    <r>
      <rPr>
        <rFont val="Quattrocento Sans"/>
        <b/>
        <color rgb="FF292A2E"/>
      </rPr>
      <t xml:space="preserve">Descripcion de la solicitud del usuario
</t>
    </r>
    <r>
      <rPr>
        <rFont val="Quattrocento Sans"/>
        <color rgb="FF292A2E"/>
      </rPr>
      <t>Para atender mi proceso de evaluaciones relacionados a los casos radicados de soportes AT-031 - AT-028 en la plataforma IMAGINE, es necesario su gentil apoyo con una consulta global de todo lo radicado por nuestros aliados (proveedores) en el mes de julio 2025</t>
    </r>
  </si>
  <si>
    <t>29/09/2025: Informe generado y enviado al usuario</t>
  </si>
  <si>
    <t>MDSB-894424</t>
  </si>
  <si>
    <t>Jiras dia a dia (ERROR AL CERRAR CASO EN IMAGINE 40092760)</t>
  </si>
  <si>
    <t>ERROR AL CERRAR CASO EN IMAGINE - Caso: 40092760
MECANICOS ASOCIADOS S.A.S NIT.  891102723
Error al enviar respuesta de caso al cliente.
El correo a donde se intenta enviar la respuesta es un correo corporativo y anteriormente ya se habían enviado actas.
Aclaro que actualmente he logrado cerrar casos en Imagine normal, el error es solo para este caso.
Error: Se ha presentado un error al enviar el correo revise el mensaje 
{"status":"error","content":{"body":["body es obligatorio."]}}</t>
  </si>
  <si>
    <t>24/09/2025: Se estima resolver el error.
25/09/2025: Tras la validación realizada, se identificó que el error presentado se encontraba asociado a la tipología “Capacitación Clientes Top”, la cual actualmente no se encuentra en uso. Al revisar el histórico, se evidenció que no existen otros casos registrados con esta tipología en más de un año.
Se validó directamente con la usuaria y se confirmó que el caso fue radicado inicialmente con la tipología errada. Una vez se corrigió a la tipología correcta “Capacitación Clientes Top – Virtual”, el proceso se gestionó de manera exitosa, sin presentar nuevamente el error.</t>
  </si>
  <si>
    <t>MDSB-891111</t>
  </si>
  <si>
    <t>Extracciòn de imagenes Adecco y Quiron 2023, 2024 (contraloria)</t>
  </si>
  <si>
    <t xml:space="preserve">Por solicitud urgente de la Contraloría, bajo el requerimiento AG8-5, necesitamos que los archivos de ADECCO SERVICIOS COLOMBIA S.A. y QUIRONPREVENCION COLOMBIA SAS sean cargados de forma organizada por mes.
Para cada entidad agrupadora, por favor, crea una carpeta por mes (por ejemplo, Enero) y dentro de ella, coloca todos los archivos correspondientes a ese período para los años 2023 y 2024, para cada año y para cada aliado debe ser guardado en subcarpetas por mes. Cada archivo dentro de las subcarpetas por meses deberá ser guardado así Ejemplo: 12345-2. Dicha información debe corresponder con el caso más reciente radicado por estos aliados. En caso de que se encuentre más de un documento (AT 031 y AT 028) deben asignarle un consecutivo, ejemplo: 12345-2-1, 12345-2-2, 12345-2-3
Agradecemos tu pronta colaboración para atender este requerimiento a la mayor brevedad.
 </t>
  </si>
  <si>
    <t>17/09/2025: El 16 de sepriembre se hicieron ajustes al script de descarga de imágenes que hacen parte del proceso. la extraccion avanza satisfactoriamente.
17/09/2025: Se realiza entgrega del primer grupo de Imagenes correspondiente a 2023 Quiron.
19/09/2025: Se finaliza extraccion, descargue y entrega de soportes solicitados por el cliente.</t>
  </si>
  <si>
    <t>GD772-115</t>
  </si>
  <si>
    <t xml:space="preserve">Adicionar nombre de la tipologia en el modulo de envios masivos </t>
  </si>
  <si>
    <t>Como mejora del proceso de envios masivos, se solicita que dentro de la bandeja de envios masivos se visualice el nombre de la tipologia y no solo el numero de esta para tener mayor claridad en el usuario</t>
  </si>
  <si>
    <t>08/09/2025: El viernes 5 de septiembre se implementó la adición del nombre de la tipología en el módulo de envíos masivos en el ambiente productivo, pendiente implementar en el ambiente de test.
10/09/2025: Se implementa ajuste en test  ya que en dias anteriores no estaba el ambiente  no estaba estable.</t>
  </si>
  <si>
    <t>GD772-135</t>
  </si>
  <si>
    <t>AJUSTES IMAGINE VALIDACION CUVS</t>
  </si>
  <si>
    <t>Solicito la valiosa colaboración para ajustar imagine en el momento de radicación, de acuerdo a la La Circular Externa Conjunta 007 de 2025, emitida por el Ministerio de Salud y Protección Social y la SUPERINTENDENCIA NACIONAL DE SALUD establece de manera explícita que:\r\n\r\n**“Una vez se haya generado el CUV mediante el proceso de validación en el validador oficial del Ministerio, las Entidades Responsables de Pago (EAPB) no pueden abstenerse de continuar con el trámite de pago argumentando supuestos errores técnicos o de validación”**\r\n\r\nAsí las cosas si el CUVS presentado por el prestador tiene validación TRUE se debe de permitir la radicación sin generar bloqueos a la misma.</t>
  </si>
  <si>
    <t>29/08/2025: El ajuste solicitado ya se encuentra en producción. En caso de que el Ministerio rechace el CUV, se valida el estado correspondiente en el archivo TXT; si este se encuentra en valor TRUE, se procede con la aceptación de la radicación.</t>
  </si>
  <si>
    <t>INTERNO-W002</t>
  </si>
  <si>
    <t xml:space="preserve">Dashboard modalidades de trabajo </t>
  </si>
  <si>
    <t xml:space="preserve">REQUERIMIENTO TABLERO MODALIDADES DE TRABAJO
Para acceder al módulo que ingresa la data al módulo, seguimos las siguientes ruta, en el siguiente link, tanto en test como producción: 
https://imaginex-arlbolivar.segurosbolivar.com/solicitudesArl/index (pagina principal)
https://imaginex-arlbolivar.segurosbolivar.com/modalidades/home (Modalidades)
 Las modalidades relacionadas, será la lista objetivo de los diferentes informes alrededor del requerimiento, donde solamente el tipo teletrabajo transnacional tiene flujo, las demas listas son solo informativas:
La información que se registra en el portal anterior, se registra en el módulo en laravel ubicado en la siguiente ruta:
https://imaginex-test-portales.segurosbolivar.com/autorizaciones/informes
 Creación de informes 
1.	Crear rol para informe de modalidades, en la siguiente opción como muestra la imagen, en este rol se desarrollará el dashboar y el informe tipo sábana:
Ruta de acceso:
https://imaginex-test-portales.segurosbolivar.com/autorizaciones/informes
2.	Crear informe tipo sábana con todos los datos, dentro del rol generado en el punto anterior:
 Creación de graficas dinamicas Dashboard:
Las siguientes gráficas, se deben mostrar en cuanto el cliente ingresa al módulo de informes creado en el rol del punto 1 de este requerimiento.
Primer Gráfico Consolidado por modalidades de Trabajo, con las siguientes definiciones:
1.	Titulo del gráfico:  Consolidado por Modalidades de Trabajo
2.	Crear  Rango de fechas, debe permitir como máximo seleccionar un año. 
3.	Debe mostrar  por cada modalidad de trabajo  (7 cuadros de color), cantidad y porcentaje, sobre el total de modalidades radicadas en el periodo seleccionado en el rango de fechas (punto 1).
Formula: cantidad de radicados para X modalidad de trabajo  * 100 
                 Total de modalidades de trabajo
4.	Debe mostrar predefinido, la información con el consolidado del mes en curso.
Segundo  gráfica, consolidado Historico modalidades de Trabajo por mes, con las siguientes definiciones:
1.	Titulo del gráfico:  Consolidado Histórico Modalidades de Trabajo por Mes
2.	Debe mostrar predefinido el consolidado historico de todas las modalidades de Trabajo, iniciando por el mes en actual hacia atrás,  
3.	Limitar el gráfico por 2 años:
Tercer gráfica, consolidado modalidad de Trabajo Transnacional por estado, con las siguientes definiciones:
1.	Titulo del gráfico:  Total histórico Modalidad de Trabajo Transnacional 
2.	Debe mostrar predefinido el consolidado historico
3.	Los limites de estados del flujo de modalidad transnacional es Abierto y Cerrado. 
</t>
  </si>
  <si>
    <t xml:space="preserve">16/10/2025: Configurando el entorno local para iniciar a resolver el requerimiento.
17/10/2025: Se realizaron ajustes en entornos locales. Wilson levantó el sitio Bolívar y el portal en contenedores Docker, encontrando incompatibilidades con versiones de PHP (7.4 vs 8.3). Se solicitó copia actualizada de la base de datos de Bolívar para continuar.
22/10/2025: Se realizaron pruebas en conjuinto con Danilo  del informe con datos reales y de prueba, confirmando el correcto funcionamiento de la descarga y contenido.
24/10/2025: Finalizado en local 
27/10/2025: Requerimiento  finalizado y entregado en test y producción el 24 de octubre .
</t>
  </si>
  <si>
    <t>GD772-146_3</t>
  </si>
  <si>
    <t>Validación de usuarios creados en las diferentes tablas</t>
  </si>
  <si>
    <t>03/12/2025: El equipo recibió un correo con inconsistencias de usuarios encontrados en distintas tablas de las bases de datos. Se revisaron varias de ellas y se corrigieron. Faltan algunos ajustes por responder para habilitar el paso a producción.</t>
  </si>
  <si>
    <t>INTERNO-JE022</t>
  </si>
  <si>
    <t>control automático para detección de fallas en el envío de correos masivos</t>
  </si>
  <si>
    <r>
      <rPr>
        <color rgb="FF292A2E"/>
      </rPr>
      <t xml:space="preserve">Se detectaron inconvenientes en el envío de correos masivos, presentando fallas desde las 6:40 a.m. del 3 de </t>
    </r>
    <r>
      <rPr>
        <color rgb="FF1155CC"/>
        <u/>
      </rPr>
      <t>septiembre.Se</t>
    </r>
    <r>
      <rPr>
        <color rgb="FF292A2E"/>
      </rPr>
      <t xml:space="preserve"> requiere implementar un control automático que permita identificar interrupciones de forma oportuna</t>
    </r>
  </si>
  <si>
    <t>GD772-137_5</t>
  </si>
  <si>
    <t>Ducumentación tecnica -Mejoras Modalidad teletrabajo transnacional (Flujo)</t>
  </si>
  <si>
    <t>INTERNO-JE026</t>
  </si>
  <si>
    <t>Validación  imagenes empresa 900959051 Y 830094679</t>
  </si>
  <si>
    <t>Se reportó que un NIT específico no muestra información en el año 2024. El incidente genera dudas, ya que en otras fuentes sí aparece información parcial. Para avanzar en la validación, se requiere revisar directamente en la base de datos los registros asociados al NIT y confirmar si la información fue cargada o si existe algún error de consulta.</t>
  </si>
  <si>
    <t>02/03/2026: Se indicó que el ajuste es menor y se tomará un espacio corto para finalizarlo. No se reportaron detalles técnicos adicionales durante la sesión.
07/04/2026: Se retoma  validacion de la  inconsistencia.</t>
  </si>
  <si>
    <t>MDSB-935345</t>
  </si>
  <si>
    <r>
      <rPr>
        <rFont val="Quattrocento Sans"/>
        <color theme="1"/>
      </rPr>
      <t>jiras dia adia (</t>
    </r>
    <r>
      <rPr>
        <rFont val="Quattrocento Sans"/>
        <b/>
        <color theme="1"/>
      </rPr>
      <t xml:space="preserve"> Solicitud de imagenes lote 344980</t>
    </r>
    <r>
      <rPr>
        <rFont val="Quattrocento Sans"/>
        <color theme="1"/>
      </rPr>
      <t>)</t>
    </r>
  </si>
  <si>
    <t xml:space="preserve"> Solicito de si colaboración con un imagine del cual requiero una información pero no se evidencia para ser mas precisa, la carta de inconformidad y sustento enviado por esta Arl en su debido momento, se evidencia que se realizo la notificación en físico pero no se evidencian los archivos que se enviaron, en el imagine 20748983 hay un numero de lote donde se guardaron los archivos, quisiera saber si es posible validar que documentos existen dentro del mismo, es un caso del año 2018 quedo atenta gracias.
CC 37933021
NYDIA TORRES TORRES
IE0012952
IMAGINE : 20748983
No. lote: 344980</t>
  </si>
  <si>
    <t>01/12/2025: Se solicita obtener las imágenes asociadas al lote 344988. El caso muestra que la imagen está indexada, pero no aparece en la tabla de imágenes. Pendiente identificar la ruta correcta o el origen del índice para entregar las evidencias requeridas. Se ennvian datos a Jenry  pavra ubicar las imagenes solicitdas.
18/12/2025: Se extraen  imagenes solicitadas y se da respuuesta a la solicitud.</t>
  </si>
  <si>
    <t>INTERNO-JE028</t>
  </si>
  <si>
    <t xml:space="preserve">Cambio de correo  en Reporte casos ARL sin gestión </t>
  </si>
  <si>
    <t>Por favor me ayudas a incluir en el informe "Reporte casos ARL sin gestión " a: wendy.lopez.ayala@segurosbolivar.com y eliminar a camilo.cubillos@segurosbolivar.com</t>
  </si>
  <si>
    <t>04/12/2025: Cambio realizado el 3 de diciembre</t>
  </si>
  <si>
    <t>MDSB-929466</t>
  </si>
  <si>
    <t>Jiras día a día (Error en creación de usuarios- Proveedores)</t>
  </si>
  <si>
    <t>Se identifica error en la creación de los usuarios de proveedor, al momento de crear el usuario por el modulo radicación/ Proveedores/Administración de proveedores, anteriormente se creaba el usaurio y permitia el acceso de este con el perfil “proveedor”; sin embargo se evidencia que actualmente al crear de esta manera el usuario no queda creado y debe de crearse nuevamente por el modulo de creación de usuario.
por favor validar el error y corregir totalmente
Se adjunta imagenes de ejemplo: 901414068
Se procede a crear manual nuevamente para atender la incidencia del usuario.</t>
  </si>
  <si>
    <t xml:space="preserve">26/11/2025: Se identificó que el inconveniente se presentaba debido a que el proceso no estaba actualizando el ID de negocio en la tabla de usuarios. Al no contar con este dato, el sistema detenía la ejecución y el usuario no quedaba registrado correctamente, lo que obligaba a realizar la creación desde el módulo de creación de usuarios.
Se realizó el ajuste necesario para garantizar la correcta actualización del ID de negocio y asegurar que los usuarios creados desde el módulo de proveedores queden registrados adecuadamente.
</t>
  </si>
  <si>
    <t>GD772-146_2</t>
  </si>
  <si>
    <t>Incluir  guia descargable Doble factor de autentticación (Correo)</t>
  </si>
  <si>
    <t xml:space="preserve">Se requiere incluir una guía descargable con el paso a paso del proceso de Autenticación en Dos Pasos. Esta guía debe estar disponible directamente en la interfaz donde el usuario selecciona el tipo de autenticación, con el fin de brindar apoyo visual y operativo durante el proceso de autenticación. </t>
  </si>
  <si>
    <t>25/11/2025: Guia incluida  en la seleccion del tipo de autenticación.</t>
  </si>
  <si>
    <t>MDSB-930256</t>
  </si>
  <si>
    <r>
      <rPr>
        <rFont val="Quattrocento Sans"/>
        <color theme="1"/>
      </rPr>
      <t>Jiras día a día (</t>
    </r>
    <r>
      <rPr>
        <rFont val="Quattrocento Sans"/>
        <b/>
        <color theme="1"/>
      </rPr>
      <t>SOLICITUD HABILITAR E INHABILITAR DE 3 TIPOLOGIAS A 2 USUARIOS</t>
    </r>
    <r>
      <rPr>
        <rFont val="Quattrocento Sans"/>
        <color theme="1"/>
      </rPr>
      <t xml:space="preserve">) </t>
    </r>
  </si>
  <si>
    <t>Se requiere  habilitar a la funcionaria NATALIA ROCIO CUBIDES – CC 1007155376 y DEISY SUAREZ__1019069714, en las tipologías
* Mesa de conciliacion presencial
* Mesa de conciliacion Virtual 
* Traslado de polizas, 
con las mismas actividades que LILIA ANDREA VELASQUEZ__1015430797. 
Inhabilitar a JOHN ALEJANDRO MARTÍNEZ __1032366925 de estas  mismas tipologías</t>
  </si>
  <si>
    <t>20/11/2025: Se habilitar a los usuarios  NATALIA ROCIO CUBIDES – CC 1007155376 y DEISY SUAREZ__1019069714 en las tipologías indicadas y Se inhabilita a JOHN ALEJANDRO MARTÍNEZ __1032366925  de las mismas tipologías.</t>
  </si>
  <si>
    <t>GD772-65</t>
  </si>
  <si>
    <t xml:space="preserve">Ajuste informe de Reembolsos </t>
  </si>
  <si>
    <t>13/01/2025: Se realizo gestión de JIRA el pasado 08/01/2025</t>
  </si>
  <si>
    <t>GD772-72</t>
  </si>
  <si>
    <t xml:space="preserve"> ( GD772-101) Requerimiento Captura de datos e informe (Reembolsos)</t>
  </si>
  <si>
    <t>10/03/2025: Inicia con el desarrollo del requerimiento.
11/03/2025: Completó el CRUD de RETUS y la tabla de tipos de documentos, avanzando al 20% en este requerimiento.
12/03/2025: El dia 11 de marzo se pausa desarrollo  ya que se encuentra trabajando en la presentación del modulo de facturas para Colmena.
13/03/2025 Retoma desarrollo del requerimiento, después de la entrega GD772-85 Cambio en el 2do envio de EPS (Imprimir valores del IVA).
14/03/2025: Se encuentre trabajando en el CRUD de la tabla de proveedores.
17/03/2025: El viernes completo los puntos 3, 4 y 5, y está en el sexto " Creacion de tabla terceros autorizados"
18/03/2025: Avanzó en el sexto punto, creando la tabla de terceros y mostrando datos en la consulta; hoy trabajará en los informes, se escala control de cambios MDSB-782279 para test.
19/03/2025: Terminó el query del punto 6 y lo pasó a control de cambios en test; tiene el informe casi listo (falta probarlo por falta de datos), y hoy subirá los cambios parciales, dejando pendientes el informe de digitación, retoma y adición de dudas 
20/03/2025: Está en test; ayer hizo pruebas preliminares con Jenry, faltan afinar el informe principal y comenzar el informe de digitación y retoma de dudas.
20/03/2025 : Se escala otr control de cambios en test  MDSB-784341 
21/03/2025: Está en test; ayer corrigió el informe principal (aún sin pasar), y se ejecutó el control de cambios MDSB-784341 para añadir una columna a ctaslocalfactura_br; pendiente iniciar el informe de digitación y retoma de dudas.
25/03/2025:  Resolvió el informe de digitación (punto 8); faltan el punto 9 (Retoma Caso Dudas sobre Mis Reembolsos) y el punto 10 (Adición de Dudas sobre Mis Reembolsos), que trabajará hoy.
26/03/2025:Avanzó en el punto 9 (Retoma Caso Dudas sobre Mis Reembolsos), pero tuvo dudas al no poder usar la misma vista; espera terminarlo hoy, faltando el punto 10 (Adición de Dudas).
27/03/2025:  Falta completar el informe "Dudas de Reembolsos"  recolecta datos tras correcciones y lo subirá a test cuando esté listo.  
28/03/2025: Terminó todo (informes y reasignación de dudas); hoy lo subirá a test para pruebas.
31/03/2025: El viernes mostró a Santiago los cambios solicitados; terminó el informe de digitación con analítica de datos (usando Python, Pandas y React), que está listo en local y se planea subir a producción tras validación, El requerimiento queda en pruebas por Bolivar.
01/04/2025: Ayer mostro el informe de digitación a Jenry y lo subio a test.
03/04/2025: Ayer subió a test la retoma del caso, número en consistencia y paso de moneda extranjera a Auditor; se programará reunión con Santiago para validar.
04/04/2025: Bolivar confirma paso a produccion, se debera solicitar control de cambios en produccion.
09/04/2025: Se escala control de cambios MDSB-794007 a producción
10/04/2025: Ayer se aprobo el control de  cambios  MDSB-794007 y se ejecutara hoy a las 4 pm.
11/04/2025: Ayer pasó a producción (sin tipología internacional); hoy enviará un script con índices para control de cambios en producción para atar este requerimiento; pendiente añadir roles y permisos.
11/04/2025: Se crea control de cambios en test  MDSB-795919 (indices).</t>
  </si>
  <si>
    <t xml:space="preserve"> MDSB-794007</t>
  </si>
  <si>
    <t>GD772-73</t>
  </si>
  <si>
    <t>GD772-73  Agregar al informe de numero de solicitu  que devuelve el servicio</t>
  </si>
  <si>
    <t>20/01/2025: Se inicia requerimiento el día de hoy 20/01/2025 se entregara el 22/01/2025
21/01/2025: Se finaliza req se encuentra en prod</t>
  </si>
  <si>
    <t>GD772-75</t>
  </si>
  <si>
    <t xml:space="preserve">Simular radicación cuando el servicio sisalud arroja error agregrar tipo y número de documento </t>
  </si>
  <si>
    <t>21/01/2025: Se realiza radicación de JIRA
23/01/2025: Se finaliza req se encuentra en prod</t>
  </si>
  <si>
    <t>GD772-76</t>
  </si>
  <si>
    <t xml:space="preserve">Contar días habiles despues de reabierto el caso y ajuste en el informe </t>
  </si>
  <si>
    <t>GD772-77</t>
  </si>
  <si>
    <t xml:space="preserve">Informe de inconsistencias </t>
  </si>
  <si>
    <t>Se requiere informe de inconsistencias par areembolsos salud tal como se tiene actualmente en cuentas médicas se adjunta estrcutra requerida</t>
  </si>
  <si>
    <t>GD772-91</t>
  </si>
  <si>
    <t>Tipología sin flujo de radicación sisalud (Escalar dudas Reembolsos)</t>
  </si>
  <si>
    <t>06/03/2025: El control de cambios sigue pendiente de aprobación por QA; Santiago subió evidencias, y esperan la colaboración de Luz para avanzar en JIRA.
07/03/2025 ; Control de cambios MDSB-772592 aprobado por QA y se encuentra pendiente por aprobación de Aprobación PO / Usuario Final.
10/03/2025; El control de cambio se encuentra programado  para hoy al comité de cambios digitales
11/03/2025: El control de cambios para la nueva tipología ya se ejecutó; está listo para pasar a producción hoy.
12/03/2025: Realizara paso a producción al final de la tarde.
13/03/2025 : Se realiza paso a produccion ayer en la tarde,se notifica al  clente para  realizar pruebas funcionales.</t>
  </si>
  <si>
    <t>GD772-92</t>
  </si>
  <si>
    <t>Malla CUPS en Nativo</t>
  </si>
  <si>
    <t>20/03/2025: Creará scripts para solicitar control de cambios en test e iniciará el desarrollo hoy.
21/03/2025:Creó un script para una nueva tabla y solicitó el control de cambios MDSB-784148 en test ayer; está terminando la vista del cargue del archivo y luego añadirá el campo para ingresar el número CUPS en el visor de imágenes en  la actividad “Atención de la solicitud”.  
25/03/2025: El viernes terminó el cargue del documento con el listado de CUPS (carga/actualiza); avanzó en la vista de imágenes con un botón y lógica condicional para la actividad específica, pero está pendiente la ejecucion del control de cambios MDSB-784148 en test. .
26/03/2025: Ayer terminó hasta el punto 3 (Regla de asignación), pero necesita más pruebas; falta el punto 4 (informe), en el que trabajará hoy.
27/03/2025: Ayer optimizó consultas para reducir costo computacional y está terminando el informe (punto 4); todo estará listo a las 10 a.m. para test.
31/03/2025: El viernes en la tarde realiza ajustes  de los hallasgos reportados en las pruebas, hoy se validaran en test..
01/04/2025: Se realizara los  ajustes  pendientes y los que sugan de las pruebas de hoy.
02/04/2025.trabajara  en la administración de tipologías, activar los flujos para su edición
03/04/2025: Finaliza  ajuste en  en la administración de tipologías, Ayer  se presento desarrollo al cliente  y aprueba  paso  a produccion, se escala control de cambios MDSB-790997.
04/04/2025: Pendiente cargue al requriemiento de las pruebas de Bolivar en test  para  continuar con el proceso del control de cambios MDSB-790997.
07/04/2025: Pruebas adjuntas al  requerimiento y control de cambios MDSB-790997 pasa a Aprobacion QA de bolivar
09/04/2025: Ayer Se realiza  paso a produccion.</t>
  </si>
  <si>
    <t>GD772-93</t>
  </si>
  <si>
    <t>Ajuste comunicado Glosa Parcial</t>
  </si>
  <si>
    <t>Se requiere ajustar el texto de la plantilla de respuesta de Glosa Parcial tal como se muestra en el siguiente enlace</t>
  </si>
  <si>
    <t xml:space="preserve">01/04/2025: Se encuentra pendiente de iniciar hasta que termine los ajustes de glosa parcial 
08/04/2025: Se realiza paso a produccion el dia 10 de abril
10/04/2025: Se realiza paso a producción </t>
  </si>
  <si>
    <t xml:space="preserve">GD772-94 </t>
  </si>
  <si>
    <t>tablero de analisis de la operación de reembolsos</t>
  </si>
  <si>
    <t>Se requiere tablero de analisis de la operación de reembolsos</t>
  </si>
  <si>
    <t>07/04/2025:Iniciara tan pronto finalice las vulnerabilidades pendientes.
09/04/2025: Ayer Danilo no avanzó por vulnerabilidades; hoy inicia la implementación, coordinará con Jairo (extrae datos del informe); estiman 3-4 días (hasta el jueves o viernes)
10/04/2025: No avanzó ayer por otras prioridades; hoy dedicará tiempo y coordinará con Jairo para el contexto; estiman 3-4 días. 
11/04/2025: Ayer ajustó el API del informe de digitación (puerto 888 en producción); hoy termina ajustes finales y avanza en la implementación en Yii, coordinado con Jairo para evitar duplicidad; Se solicita control de cambios MDSB-795762 en test, quedo ejecutado con exito y se escala control de  cambios a produccion MDSB-796132.
14/04/2025: Se encentra  terminando los ajustes necesarios  para  pasar el  req a test para  pruebas.
22/04/2025: Se realiza paso a producción.</t>
  </si>
  <si>
    <t>MDSB-795762</t>
  </si>
  <si>
    <t>GD772-102</t>
  </si>
  <si>
    <t xml:space="preserve">Ajuste informe Autorizaciones salud (2) </t>
  </si>
  <si>
    <t>Se requiere ajustar el informe de autorizaciones salud con el fin de que se tenga la siguiente estructura , este debe contemplar tanto los abiertos como los cerrados</t>
  </si>
  <si>
    <t xml:space="preserve">22/04/2025: Se encuentra pendiente por confirmar tiempo de desarrollo
02/05/2025: Inicia desarrollo y se entrega en test
05/5/2025: Se entrega a producción 5 de Mayo
</t>
  </si>
  <si>
    <t>GD772-107</t>
  </si>
  <si>
    <t xml:space="preserve">Accesos usuarios linea médica reembolsos </t>
  </si>
  <si>
    <t>Se requiere acceso al modulo de reembolsos para los usuarios de la lista adjunta</t>
  </si>
  <si>
    <t xml:space="preserve">07/05/2025: Se realiza asignacion de roles segun archivo adjunto 
13/05/2025: Se confirma con Ewein que ya se encuentran los usuarios asignados para consulta de reembolsos </t>
  </si>
  <si>
    <t>GD772-112</t>
  </si>
  <si>
    <t xml:space="preserve">Ajuste tablas comunicado Glosa Parcial </t>
  </si>
  <si>
    <t>Se requiere ajuste de comunicado de glosa parcial</t>
  </si>
  <si>
    <t>03/06/2025: Se crea GD información , se encuentra pendiente de confirmación de imagine  de tiempo de desarrollo 
05/06/2025: Se realiza paso a producción.</t>
  </si>
  <si>
    <t>GD772-141_13</t>
  </si>
  <si>
    <t>Oficina Express (Modelos y Tipologías)</t>
  </si>
  <si>
    <t>El cliente necesita que el modelo de inteligencia artificial identifique y asigne correctamente la tipología de cada solicitud entrante. El problema identificado es que, anteriormente, cuando una solicitud no tenía un flujo definido, el sistema la reasignaba a otro tipo de solicitud de forma genérica. Aunque en las observaciones quedaba el registro de la reasignación, el "ideal" del cliente es que la radicación se asigne desde el inicio a la tipología correcta.</t>
  </si>
  <si>
    <r>
      <rPr>
        <rFont val="Quattrocento Sans"/>
        <color theme="1"/>
        <sz val="10.0"/>
      </rPr>
      <t xml:space="preserve">06/02/2026: El 5 de febrero se trabajó en el entrenamiento del modelo para diversos contextos y en la validación de la asignación de tipologías. Se detectó que las tipologías sin flujo se reasignaban erróneamente, por lo que se están corrigiendo para asegurar la radicación correcta. De un Excel de 60 casos, se revisaron 40; muchos ya funcionan porque las tipologías ahora tienen flujo, pero se requiere revisión manual uno a uno
</t>
    </r>
    <r>
      <rPr>
        <rFont val="Quattrocento Sans"/>
        <b/>
        <color theme="1"/>
        <sz val="10.0"/>
      </rPr>
      <t>11/02/2026:</t>
    </r>
    <r>
      <rPr>
        <rFont val="Quattrocento Sans"/>
        <color theme="1"/>
        <sz val="10.0"/>
      </rPr>
      <t xml:space="preserve"> Se continúa con el entrenamiento manual del modelo, validando registro por registro para asegurar correcta calibración. Además de entrenar nueva información, se está verificando que los datos previamente entrenados mantengan su comportamiento esperado y no se afecte la precisión del modelo. El entrenamiento se terminara hoy  para iniciar con el req  </t>
    </r>
    <r>
      <rPr>
        <rFont val="Quattrocento Sans"/>
        <b/>
        <color theme="1"/>
        <sz val="10.0"/>
      </rPr>
      <t xml:space="preserve">interfaz gráfica que permita al cliente entrenar el modelo directamente
</t>
    </r>
    <r>
      <rPr>
        <rFont val="Quattrocento Sans"/>
        <color theme="1"/>
        <sz val="10.0"/>
      </rPr>
      <t>13/02/2026: Se mantiene en curso con dedicación parcial
17/02/2026: Esta actividad se da por finalizada ya que la suplira el  Desarrollo de Interfaz para Entrenamiento y Parametrización del Modelo por el cliente.</t>
    </r>
  </si>
  <si>
    <t>INTERNO-D041</t>
  </si>
  <si>
    <t>Sistema de correspondencia Alfa</t>
  </si>
  <si>
    <t>Revisión funcional integral del sistema de correspondencia entregado por gerencia de Imagine, con el objetivo de comprender completamente su operación actual, flujos internos y puntos de integración. Durante esta primera etapa se está realizando un levantamiento de funcionalidades existentes, validando módulos de radicación, gestión, consulta y trazabilidad de casos.</t>
  </si>
  <si>
    <t xml:space="preserve">04/02/2026: El avance estimado se sitúa alrededor del 30%, correspondiente principalmente a la fase de exploración y entendimiento del sistema. Se están identificando dependencias técnicas, reglas de negocio implícitas y posibles brechas frente a los requerimientos actuales del cliente, con el fin de establecer el nivel real de esfuerzo para su estabilización o evolución.
Como siguiente paso, se consolidará un reporte de funcionamiento que incluirá hallazgos, limitaciones detectadas y oportunidades de mejora, el cual se tiene previsto compartir a más tardar el viernes. Este insumo permitirá definir si el sistema puede adaptarse al nuevo modelo operativo o si se requiere un rediseño parcial o total.
06/02/2026: Documentaión de la revision del sistema de correspondecia ya se encuentra finalizada, se realizo presentación a la gerencia el 5 de febrero </t>
  </si>
  <si>
    <t>INTERNO-F020</t>
  </si>
  <si>
    <t>Documentacion tecnica-Oficina Express -Desarrollo de Interfaz para Entrenamiento y Parametrización del Modelo</t>
  </si>
  <si>
    <t>GD772-201</t>
  </si>
  <si>
    <t>Oficina Express -Desarrollo de Interfaz para Entrenamiento y Parametrización del Modelo</t>
  </si>
  <si>
    <t>Requerimiento:
De acuerdo con lo conversado en la sesión de Oficina Exprés, hemos identificado que el reentrenamiento de la IA debe ser un proceso constante tras la salida a producción. Por ello, y retomando la sugerencia de Danilo, solicitamos el desarrollo de una vista que permita a Negocio realizar este reentrenamiento de forma autónoma. Agradecemos su apoyo para avanzar con este requerimiento.
Desarrollara  Imagine:
Vamos a construir una vista para que el funcionario de Bolívar pueda entrenar el modelo de forma controlada, es decir: tomar el prompt que necesite que el sistema entienda y seleccionar manualmente el tipo de solicitud al que debe clasificarse. Ese entrenamiento se guardará en una tabla junto con el tipo de solicitud. En la noche se ejecutará un proceso que tomará esos nuevos ejemplos y también incluirá solicitudes de otros tipos, para equilibrar el modelo y evitar pérdida de porcentaje de precisión en las demás tipologias. 
Al día siguiente, el usuario ya podrá usar Oficina Express con el nuevo contexto. 
Importante : internamente debemos implementar lógica y seguridad (validaciones, control de versiones, rollback y verificación de calidad) para que el entrenamiento nuevo no nos dañe el modelo, ni el desempeño.
El dashboard de Oficina Express muestra el volumen de casos y reporta las solicitudes bien clasificadas y mal clasificadas, con base en ese porcentaje, se asigna un estado de clasificación. Incluye un gráfico de Distribución general y un gráfico de barras con el top 8 de tipologias clasificadas, para identificar en qué tipos se concentra la mayor demanda. Con esto se busca monitorear el rendimiento díario.</t>
  </si>
  <si>
    <t>11/02/2026: El día de hoy se finaliza el entrenamiento pendiente y se inicia la construcción de dicha interfaz.
13/02/2026: Se identificó la necesidad de realizar reunión de entendimiento del requerimiento para definir correctamente el alcance funcional antes de avanzar en desarrollo, Revisión de historias de usuario 
17/02/2026: A un no se ha podido iniciar el desarrollo, por migracion del sistetema de correspondecia de Colmena 
24/02/2026: El desarrollo iniciara el 2 de Marzo
04/03/2026: No se ha iniciado formalmente el desarrollo. Se estima que el formulario podría construirse en un día; sin embargo, la lógica interna requiere mayor análisis para contemplar todos los escenarios y garantizar estabilidad. Se estima iniciar  hoy 4 de marzo  y Finalizar el 9 de Marzo.
06/03/2026: Se iniciaron trabajos preliminares en la construcción de la interfaz destinada al entrenamiento del modelo utilizado en Oficina Express. El desarrollo comenzó durante la semana en horarios adicionales y se avanzó parcialmente en la estructura inicial.
No obstante, debido a la priorización de otras tareas técnicas (principalmente la infraestructura de contenedores y ajustes del ambiente), no se pudo dedicar tiempo reciente al desarrollo.
09/03/2026: Se reiniara interfaz  hoy .
11/02/2026: El 10 de marzo se continuó con el desarrollo de la interfaz utilizada para el entrenamiento y parametrización del modelo en Oficina Express. Además de trabajar en el módulo de entrenamiento, también se realizaron mejoras en la interfaz gráfica principal del aplicativo con el objetivo de optimizar la experiencia de usuario. El desarrollo se encuentra próximo a finalizar y se estima cerrar los últimos ajustes durante la jornada.
13/03/2026: El desarrollo de la interfaz destinada al entrenamiento y parametrización del modelo de Oficina Express ya fue finalizado a nivel de desarrollo. 
Se escala  control de cambios MDSB-1001766 a test para  la creación de la tabla prompts_oficina_express para almacenar y gestionar los prompts configurados en el módulo Oficina Express.
Se realiza sesion con el cliente y se entrega el desarrollo en test, quedando pendiente la ejecucion del control de cambios en test.
17/03/2026: Control de cambios MDSB-1001766 a test ejecutado 16 de marzo
Se escala control de cambios MDSB-1004318 en test para  permisos de usuario de la tabla la tabla prompts_oficina_express .
18/03/2026: Control de cambios MDSB-1004318  ejecutado el 17 de marzo., pero se evidencia que faltó ejecutar el permiso sobre la secuencia public.prompts_oficina_express_id_seq .
Sin este permiso, no es posible insertar registros, Se  reabrio el control de cambios y se esta a la espera de una respuesta.
19/03/2026: Permiso pendiente otorgado.
27/03/2026: Se escala control de cambios  MDSB-1011783 a producion para la creación de la tabla public.prompts_oficina_express
31/03/2026: Durante las  pruebas del cllinete  se identificaron múltiples incidencias relacionadas con: Clasificación de información y Entrenamiento del modelo, las cuales fueron corregidas entre el 27 y 30 de marzo mediante ajustes en la lógica de clasificación. Las pruebas del cliente continuaran.
17/04/2026: Cliente  confirma  paso a produccion.
22/04/2026: Control de cambios se encuentra pendiente por aprobacion de QA cliente, se envia solicitud de aprobacion con resultado de pruebas realizadas por el cliente.
22/04/2026: El control  de cambios ya se encuentra aprobado por QA, se estina aprobacion por el comité de cambios  del 23 de abril.
24/04/2026: Se realiza paso a produccion el 23 de abril</t>
  </si>
  <si>
    <t>MDSB-1001766 / MDSB-1004318</t>
  </si>
  <si>
    <t>MDSB-1011783</t>
  </si>
  <si>
    <t>INTERNO-D042</t>
  </si>
  <si>
    <t>Migracion  de correspondencia Alfa</t>
  </si>
  <si>
    <t>Realizar el levantamiento, análisis y estabilización del Sistema de Correspondencia Alfa con el fin de documentar su funcionamiento actual, identificar dependencias técnicas y preparar la base para su migración o evolución. El requerimiento busca asegurar que la aplicación pueda operar de manera controlada y que exista claridad sobre su arquitectura, módulos y flujos antes de definir los siguientes pasos de mejora o reemplazo.</t>
  </si>
  <si>
    <t>13/02/2026: Se continúa el proceso de entendimiento y estabilización del sistema existente, Se montó la estructura inicial de base de datos y se logró levantar parcialmente la aplicación para poder analizar su funcionamiento. El trabajo actual está enfocado en Documentación del sistema, Revisión del sitio anterior y preparación para migración
18/02/2026: Actividad en desarrollo; se continúa trabajo y se podrán mostrar avances la próxima semana sin fecha final definida
20/02/2026:El avance se ha visto impactado por replanteamientos en el enfoque de la migración. El trabajo continúa activo y concentrado en este frente como actividad principal.
23/02/2026: El trabajo se está realizando de forma incremental, construyendo previamente componentes necesarios (roles, tipologías, áreas) conforme se requieren para la migración. Se prevé presentación de avances en el transcurso de la semana.
25/02/2026: Se han migrado 15 de las 28 opciones del menú principal, ya están desarrollados los módulos de radicación, imagen (punteo, bandeja, actualización), administración (roles, plantillas) y trazabilidad, se han detectado inconsistencias entre la base de datos de producción y test (campos inexistentes), lo que obliga a corregir el sitio viejo antes de migrar.
27/02/2026:Se confirmó que el sistema cuenta con aproximadamente 27–28 opciones de menú ya implementadas y operativas, Implementado con revisión funcional</t>
  </si>
  <si>
    <t>GD772-103_1</t>
  </si>
  <si>
    <t>Transferencia informacion FS a S3 ( Extraccion informacion del dia 24 de febrero)</t>
  </si>
  <si>
    <t>27/02/2026: Se validara con Liyibet  la viavilidad  de enviar esta  información.
se evidenció una discusión sobre el nivel de acompañamiento del equipo, ya que brindar soporte directo en las pruebas podría interpretarse como asumir responsabilidad sobre la ejecución del proceso, el cual corresponde al cliente. Por esta razón, quedó pendiente una alineación interna para definir el alcance del apoyo y la forma en que se dará respuesta a la solicitud realizada por correo.
04/03/2026: El 3 de marzo la información solicitada fue extraída y enviada por correo. Se guardaron los queries utilizados para futuras solicitudes similares.</t>
  </si>
  <si>
    <t>INTERNO-D048</t>
  </si>
  <si>
    <t xml:space="preserve">Primer solicitud de Cambios correcpondencia Alfa </t>
  </si>
  <si>
    <t>Se realizó reunión de revisión funcional y se solicitaron más de 20 ajustes
Entre los cambios relevantes:
Implementación de visor de imágenes y PDFs con vista miniatura.
Definición de imagen principal siempre marcada.
Ajustes visuales y de experiencia de usuario.
Cambio solicitado a nivel de reglas de negocio (requiere validación completa de flujos para evitar afectaciones colaterales).</t>
  </si>
  <si>
    <t>04/03/2026: La mayoría de cambios  ya fueron implementados y se espera finalizar los restantes hoy. 
El cambio de reglas es el punto más delicado, ya que requiere pruebas integrales para garantizar que no se impacten otros procesos.
06/03/2026: El 4 de marzo se completaron los ajustes solicitados.</t>
  </si>
  <si>
    <t>INTERNO-D050</t>
  </si>
  <si>
    <t xml:space="preserve">Refactorizacion codigo node </t>
  </si>
  <si>
    <t>EL correo esta leyendo todos los  correos al mismo tiempo y  crean subprocesos  que hacia que dejara sin subprocesos a las aplicaciones y esto estaba generando la caida  presentada el  viernes 6 de Marzo.</t>
  </si>
  <si>
    <t>09/03/2026: El 6 de marzo  se realiza refactorización del codigo para que la lectura se realizara  uno a uno (1.5 segundos).</t>
  </si>
  <si>
    <t>INTERNO-D049</t>
  </si>
  <si>
    <t>Segunda solicitud de Cambios correcpondencia Alfa  (MTI)</t>
  </si>
  <si>
    <t>Los cambios iniciales solicitados previamente ya fueron implementados y finalizados; sin embargo, durante una nueva revisión funcional surgieron requerimientos adicionales que obligaron a replantear parte de lo desarrollado.
Se identificó que algunos cambios realizados a nivel de backend no estaban reflejados en el frontend, por lo que ahora se requiere realizar ajustes integrales tanto en la capa de backend como en la interfaz para asegurar que la información se procese y visualice correctamente.</t>
  </si>
  <si>
    <t>06/03/2026: Los nuevos ajustes  se encuentran pendiente  por iniciar.
11/03/2026: Los cambios se iniciarán posteriormente a la finalización del desarrollo de Interfaz para Entrenamiento de oficina express.
13/03/2026: Se continúa trabajando en los ajustes solicitados para el sistema de Correspondencia, particularmente en los cambios asociados al proceso MTI. Durante la jornada anterior se logró avanzar significativamente en este punto, solucionando errores que se estaban presentando en el backend durante la implementación.
Actualmente quedan pendientes pruebas adicionales para validar el funcionamiento correcto del proceso y continuar con las demás tareas asociadas al módulo de correspondencia. Se espera avanzar en estas actividades entre el día actual y el lune
16/03/2026:Se continuó con las tareas derivadas de las sesiones de revisión con el área usuaria, esta pendiente  u ajuste en el cargue MT, debido a que algunos registros no se radican porque no se encuentran los datos del afiliado.
18/03/2026: Ajustes  finalizados, a la espera de pruebas por parte de Carlo y Cindy.</t>
  </si>
  <si>
    <t>INTERNO-D046</t>
  </si>
  <si>
    <t>Nueva Instancia de Desarrollo</t>
  </si>
  <si>
    <t>25/02/2026: La actividad está detenida por orden de Don Hernán para priorizar el proyecto de Correspondencia (Migracion  de correspondencia Alfa)
27/02/2026: Depende  reiniciar esta tarea  tras presentar problemas con el internet domestico, tan pronto le reestablescan el servicio iniciara la tarea .
02/03/2026: El viernes 27 de febreror se avanzó aproximadamente un 30% en la configuración de la nueva instancia de desarrollo. Aunque no se logró completar lo previsto, se continuará el trabajo durante el día con el objetivo de finalizar la configuración, se solicita agregar la IP pública 38.9.217.196 con acceso a todas las instancias de las siguientes cuentas de AWS, con el ticket MDSB-991243
04/03/2026: El ambiente se encuentra aproximadamente en un 90% de implementación. Inicialmente no se pudo validar por falta de accesos, los cuales ya fueron restablecidos. Se avanzó en la configuración general y solo quedan ajustes menores como construcción de carpetas con NPM, revisión de ramas y solución de pequeños inconvenientes detectados en los sitios.  Se proyecta dejarlo completamente operativo en el transcurso del día.
06/03/2026: La nueva instancia de desarrollo ya se encuentra desplegada y funcional. Los sitios se encuentran accesibles y las ramas del repositorio (incluyendo la rama DEP) fueron actualizadas correctamente.</t>
  </si>
  <si>
    <t>INTERNO-D028</t>
  </si>
  <si>
    <t>Migración y creación de nueva instancia en Snapchat para el ambiente de desarrollo</t>
  </si>
  <si>
    <t>Descripción:
Como equipo de desarrollo, se requiere reactivar y normalizar el ambiente de desarrollo (Dev), actualmente fuera de servicio por error 503, con el fin de disponer de un entorno funcional, estable y sincronizado con el ambiente de test.
Este ambiente permitirá realizar pruebas internas, validar integraciones y revisar nuevos desarrollos antes de su despliegue en test, evitando depender de la ejecución de controles de cambio para validaciones iniciales.</t>
  </si>
  <si>
    <t>31/10/2025: Se  reporta  en el  ticket  MDSB-921872 error en el arranque de la estancia de dev , y Se propone crear la instancia de DEV a partir de la de test, aprovechando su estabilidad y evitando reprocesos de instalación."
04/11/2025: Informan que no se puede copiar la instancia i-0656b5dc31eab8a8d porque al hacerlo se dañan los paquetes de Python y la instancia no inicia. Se sugiere hacer los ajustes directamente en la instancia imaginen_imaginez_5_dev y solicitar una copia antes de realizar cambios que puedan afectarla.
05/11/2025: Informan que cuando  se tengan lista la instancia con todo instalado, se les informa para crear la Imagen.
07/11/2025: La instancia no se logró levantar por conflictos con ejecuciones de Python. Se debe reinstalar y configurar nuevamente el ambiente, estimado en dos días.
24/11/2025: Instancia entregada y funcional. Pendiente iniciar instalación de paquetes y configuración para que las aplicaciones operen correctamente. Se deja en pausa hasta que se revise y retome.
26/11/2025: La instancia ya está desplegada, pero el proceso está en pausa a la espera de instalar paquetes, configurar dependencias y habilitar la ejecución de scripts.
03/12/2025: Se retomará el orden del ambiente de Desarrollo, para separar adecuadamente los ambientes Desarrollo, Pruebas y Producción, evitando la mezcla actual. El objetivo es reorganizar el flujo de despliegues.
05/12/2025: Se reinstaló desde cero el ambiente de desarrollo, se instalaron librerías necesarias y se clonaron todos los repositorios. Sin embargo, el DNS aún apunta a una instancia anterior, lo que impide visualizar logs externos por CloudFront. Se radicará un ticket para que infraestructura actualice la asociación del DNS. También se organizarán las ramas, ya que DEV está desactualizada y se alineará con TEST según lo acordado.
10/12/2025: El trabajo en el ambiente de desarrollo continúa bloqueado por falta de actualización del DNS. El ticket MDSB-942275 fue radicado desde el viernes 5 de diciembre y aún no ha sido atendido. Una vez se habilite el dominio correcto, se terminará la estabilización del entorno.
17/12/2025: El montaje del ambiente de desarrollo estuvo bloqueado debido a que los dominios apuntaban a un balanceador incorrecto. Inicialmente, infraestructura entregó solo un formato genérico, pero tras un nuevo reporte el problema fue corregido. El ambiente ya permite continuar con la migración y creación, aunque actualmente no se considera prioridad inmediata frente a otros frentes activos. queda en pausa.
18/12/2025: Se avanzó en la preparación del ambiente de desarrollo, actualmente se presenta bloqueo porque los subdominios de Desarrollo continúan apuntando al CloudFront del DNS anterior. El caso está radicado en el ticket MDSB-942275.
19/12/2025: El ambiente de desarrollo ya se encuentra creado y funcional. Quedan pendientes ajustes finales menores, los cuales no se han priorizado debido a que el enfoque actual del equipo está en el requerimiento de Incapacidades de Colmena.
20/02/2026: Se retoma esta actividad  para realizar la¡os ajustes finales y dejar el ambiente de desarrollo funcional, se estima finalizar esta actividad para el  viernes 27 de febrero.
25/02/2026: Seda por finalizado  esta actividad ya que la instancia se perdió o quedó inaccesible.</t>
  </si>
  <si>
    <t>INTERNO-D043</t>
  </si>
  <si>
    <t>Construcción de dataset para entrenamiento (modelo incapacidades Colmena)</t>
  </si>
  <si>
    <t>Construir un dataset estructurado para Colmena a partir de registros y documentos de incapacidades con el fin de entrenar y mejorar el desempeño del modelo de procesamiento y clasificación, garantizando mayor precisión en la extracción y análisis de la información.</t>
  </si>
  <si>
    <t>13/02/2026: Se encuentra construyendo   un dataset aproximado de 5.000 registros, ejecutando el proceso de forma progresiva para evitar impacto en el servidor.
17/02/2026: Hoy  se entregara a Jhon el datasept
18/02/2026; Dataset construido con la información disponible y pendiente validación con John para la entrega.
20/02/2026: El dataset ya fue finalizado técnicamente. Queda pendiente la comunicación con el solicitante para confirmar su uso o entrega formal, por lo que el requerimiento está listo a nivel técnico pero abierto a nivel funcional.
23/02/2026: Actividad puntual pendiente de coordinación. No corresponde a desarrollo técnico sino a gestión de entrega, por tal motivo se da como cerrado el req.</t>
  </si>
  <si>
    <t>INTERNO-D044</t>
  </si>
  <si>
    <t>Informe de clasificación CUPS</t>
  </si>
  <si>
    <t>18/02/2026: Informe generado</t>
  </si>
  <si>
    <t>MDSB-992223</t>
  </si>
  <si>
    <t>Jiras día a día (Error en radicación oficina Exprés )</t>
  </si>
  <si>
    <t>Por favor validar, puesto que laoficina expres esta saltando el flujo para descripción de la solicitud.</t>
  </si>
  <si>
    <t>04/03/2026: El 3 de marzo se da respuesta indicando que ese es el comportamiento normal establecido y queda abierto a validaciones y ajustes que se puedan solicitar.</t>
  </si>
  <si>
    <t>INTERNO-D047</t>
  </si>
  <si>
    <t>Implementación de comunicación entre contenedores (Proxy Reverse) dev</t>
  </si>
  <si>
    <t>Se definió la necesidad de implementar un esquema de comunicación mediante proxy reverse entre los servicios (Apache y Nginx) para permitir la integración con los módulos de procesos masivos (backend y frontend). Aún no se inicia la configuración debido a que falta claridad sobre la arquitectura final del entorno, por lo que se mantiene como actividad técnica pendiente.</t>
  </si>
  <si>
    <t>27/02/2026: Esta actividad se iniciara  tan pronto Jesus entrega el docker para el nuevo nativo.  
02/03/2026: La implementación se mantiene pendiente, ya que se requiere la entrega previa de los contenedores (Dockers) por parte del equipo responsable. Una vez se disponga de estos artefactos, se procederá con la configuración de la comunicación y orquestación.
Se estima que Jesus entregue hoy  los contenedores .
06/03/2026: Se inició la implementación de contenedores necesarios para soportar el procesamiento masivo desarrollado previamente. Durante la sesión se reportó que ya se descargó el repositorio correspondiente, se comenzaron a ejecutar los Dockerfiles y se inició la construcción de los contenedores necesarios para el despliegue.
También se comenzó la configuración del proxy para permitir la comunicación entre los componentes del sistema. Durante estas pruebas se detectó un consumo de memoria mayor al esperado en el servidor (aproximadamente 1 GB de RAM disponible), lo cual ocasionó caídas temporales durante la ejecución de comandos de compilación como NPM.
09/03/2026: El Viernes 6 de marzo quedo implementada la infraestructura en dev para el sitio entregado de nativo entregado  por Jesus.</t>
  </si>
  <si>
    <t>INTERNO-D051</t>
  </si>
  <si>
    <t>Integración de modelo tipo “Oficina Express” en Correspondencia (Alfa)</t>
  </si>
  <si>
    <t>Gerencia  solicitó evaluar la implementación de una funcionalidad similar a Oficina Express dentro del proceso de correspondencia.</t>
  </si>
  <si>
    <t>16/03/2026: Esta actividad aún no ha iniciado, ya que primero se deben finalizar todos los ajustes funcionales actuales.
18/03/2026: Se inicia con el desarrollo  el 17 de marzo
20/03/2026: El desarrollo  tiene un enfoque orientado a mejorar la experiencia del usuario mediante la incorporación de información de valor, como los tipos de solicitudes que pueden radicarse, ejemplos prácticos de radicación y guías sobre el proceso de registro de solicitudes.se continuará con su evolución durante la jornada para completar funcionalidades y ajustes pendientes.
24/03/2026: la implementación del modelo de inteligencia artificial asociado a correspondencia, el cual presentaba fallas pero ya fue corregido y se encuentra funcionando adecuadamente, estimando finalizar completamente estas actividades durante la jornada para liberar capacidad y continuar con otros frentes.
26/03/2026: Se continuará con la implementación del modelo  en el módulo de correspondencia Alfa,  se han logrado corregir inconvenientes previos y estabilizar su funcionamiento, alcanzando un avance aproximado del 95% y quedando pendiente únicamente un ajuste menor para su finalización.
31/03/2026: Se finaliza el desarrollo de la integración del modelo tipo asistente para correspondencia de Alfa, el cual permite interacción con el usuario, gestión de conversaciones y guía funcional dentro del sistema. Actualmente se encuentra operativo en entorno local y repositorio; queda pendiente su despliegue en ambiente Alpha, Configuración de dependencias (Python, Docker). y ejecución de pruebas.</t>
  </si>
  <si>
    <t>INTERNO-D052</t>
  </si>
  <si>
    <t>Validación de casos sin imágenes (migración almacenamiento S3)</t>
  </si>
  <si>
    <t>El cliente  en sus pruebas  identificó un conjunto de casos correspondientes al 1 de diciembre que fueron entregados para verificación previa a la transferencia; sin embargo, se evidenció que 26 de estos casos no cuentan con imágenes asociadas, situación que podría estar relacionada con alguna inconsistencia o evento ocurrido en su momento</t>
  </si>
  <si>
    <t>20/03/2026: se iniciará la revisión detallada de estos registros para identificar la causa y gestionar su respectiva corrección.
24/03/2026: Se mantiene pendiente la revisión de algunos casos asociados a la API, actividad que será abordada una vez se finalicen las tareas de correspondencia,
26/03/2026: El 24 de marzo se finalizó la validación de los casos sin imágenes reportados previamente, logrando su corrección y cierre al 100%, incluyendo la respuesta formal al usuario; durante el análisis se evidenció que las imágenes ya habían sido transferidas en pruebas previas al almacenamiento correspondiente, por lo que fue necesario recuperarlas desde el entorno S3 y restablecerlas, quedando el proceso completamente normalizado.</t>
  </si>
  <si>
    <t>INTERNO-D053</t>
  </si>
  <si>
    <t>Ajustes sobre el módulo de correspondencia Alfa</t>
  </si>
  <si>
    <t>Se requieren ajustes sobre el módulo de correspondencia Alfa, incluyendo la revisión de una plantilla en conjunto con el equipo, así como el análisis para la incorporación de un nuevo campo en la trazabilidad que permita realizar modificaciones desde la aplicación, evitando intervenciones directas en base de datos</t>
  </si>
  <si>
    <t>20/03/2026: Danilo se reunira con el equipo de alfa  para validar los ajustes requeridos.
24/03/2026: El 20 de marzo Se avanzó en la resolución de tareas pendientes del módulo de correspondencia solicitadas previamente, logrando solucionar los inconvenientes identificados</t>
  </si>
  <si>
    <t>INTERNO-D054</t>
  </si>
  <si>
    <t>Implementacion nueva infraestructara en test para nuevo Nativo</t>
  </si>
  <si>
    <t>26/03/2026: El 25 de marzo se implementó la arquitectura del ambiente de test, realizando ajustes para adaptarla a las diferencias propias frente a desarrollo, como recursos, URLs y conexiones a base de datos, mediante la parametrización dinámica por ambiente; se validó su funcionamiento a través de pruebas con contenedores Docker, logrando la correcta inicialización de todos los servicios y dejando el entorno listo para validación por parte del equipo.</t>
  </si>
  <si>
    <t>INTERNO-D055</t>
  </si>
  <si>
    <t xml:space="preserve">Ampliacion de recursos para nativo produccion </t>
  </si>
  <si>
    <t>24/03/2026: Se realiza ampliacion en el tiempo  de  ejecucion de los  procesos de 2 minutos a 4 minutos.</t>
  </si>
  <si>
    <t>INTERNO-D051_1</t>
  </si>
  <si>
    <t>Instalación y configuración ambiente Alfa</t>
  </si>
  <si>
    <t>Realizar la instalación y configuración del ambiente Alfa, incluyendo dependencias necesarias como Python, Docker y configuración de contenedores para garantizar el correcto funcionamiento de los desarrollos</t>
  </si>
  <si>
    <r>
      <rPr>
        <rFont val="Quattrocento Sans"/>
        <color theme="1"/>
        <sz val="10.0"/>
      </rPr>
      <t xml:space="preserve">31/03/2026: El 27 de marzo se inició la instalación en el ambiente Alfa, identificando incompatibilidades entre versiones (OpenSSL, Python y Node). Se definió el uso de Docker como alternativa para gestionar dependencias, Se continuara con validacion de versiones instaladas en el ambiente con el equipo responsable, reorganizar paquetes y dependencias compatibles,  y ejecutar nuevamente la instalación usando Docker.
07/04/2026: El 6 de abril se documentaron comandos funcionales y no funcionales, y se alineó el proceso con el minutograma junto con el equipo. Se definió como estrategia la dockerización del ambiente que  se se realizara  hoy  junto con la  instalacion.
09/04/2026: Finalizado por desarrollo entregados comandos e instrucciones al cliente, Pendiente únicamente ejecución por parte del cliente
16/04/2026: Docker se encuentra instalado correctamente, y la imagen fue construida y puesta en ejecución sin inconvenientes. Aunque la instalación de Python en el entorno local no fue exitosa, se resolvió utilizando Python dentro del contenedor Docker. La instalación se realizó de forma manual, sin el uso de Docker Compose. Actualmente, se presenta un bloqueo en la configuración del reverse proxy, por lo que el sistema aún no es accesible.
</t>
    </r>
    <r>
      <rPr>
        <rFont val="Quattrocento Sans"/>
        <b/>
        <color theme="1"/>
        <sz val="10.0"/>
      </rPr>
      <t>Pendientes:</t>
    </r>
    <r>
      <rPr>
        <rFont val="Quattrocento Sans"/>
        <color theme="1"/>
        <sz val="10.0"/>
      </rPr>
      <t xml:space="preserve"> Se requiere completar la configuración del reverse proxy, realizar la asignación de permisos en el servidor, llevar a cabo la validación en el ambiente de pruebas con los usuarios (Carlos y Cindy) y, posteriormente, gestionar el paso a producción.
21/04/2026: Se requiere configuración adicional para su funcionamiento (proxy reverse, servicios, exposición del sitio), Carlos realizo la solicitud de accesos al servidor para completar las configuraciones.
</t>
    </r>
    <r>
      <rPr>
        <rFont val="Quattrocento Sans"/>
        <b/>
        <color theme="1"/>
        <sz val="10.0"/>
      </rPr>
      <t>05/05/2026</t>
    </r>
    <r>
      <rPr>
        <rFont val="Quattrocento Sans"/>
        <color theme="1"/>
        <sz val="10.0"/>
      </rPr>
      <t>: La semana anterior se le dedico tiempo  al proceso de instalación del ambiente, realizando sesiones técnicas con el proveedor (Jesid ). Durante la configuración se identificaron múltiples bloqueos que han limitado el avance, logrando únicamente un progreso parcial en la preparación del entorno, sin que a la fecha se haya completado la instalación base. Se estima hoy retomar sesión técnica para finalizar instalación.
07/05/2026: El 6 de mayo se trabajó junto a Carlos y Mauricio en instalación de paquetes, validación de accesos y configuración de conexiones. Se instalaron herramientas como PuTTY y WinZip, y se validó conectividad SSH. Se identificó limitación con Visual Studio Code para instalación de extensiones.
Hoy  se trabajara en la configurar el sitio completo,y validar funcionamiento final del módulo y dejar el ambiente listo para pruebas. Definir cronograma de salida a producción
12/05/2026: El componente ya quedó montado en el ambiente correspondiente el 7 de mayo, aunque aún no ha sido probado formalmente. La actividad queda pendiente de validaciones funcionales posteriores.</t>
    </r>
  </si>
  <si>
    <t>INTERNO-D056</t>
  </si>
  <si>
    <t>Contenedores Docker (colas y nativo) test</t>
  </si>
  <si>
    <t>Implementar y configurar contenedores Docker para el sistema nativo, incluyendo el manejo de colas, con el fin de asegurar la correcta ejecución de procesos en segundo plano.</t>
  </si>
  <si>
    <t xml:space="preserve">31/03/2026: Actividad iniciada el día de hoy. Se identificó que el contenedor principal está operativo, pero no se cuenta con el contenedor de colas, el cual actualmente se ejecuta de forma manual.
07/04/2026: Contenedor de colas implementado en test el 31 de Marzo. </t>
  </si>
  <si>
    <t>INTERNO-D057</t>
  </si>
  <si>
    <t>Migración y visualización de imágenes (FS – S3)-  visualización de archivos PNG</t>
  </si>
  <si>
    <t>Gestionar la migración de imágenes desde EPS hacia S3 y asegurar su correcta visualización en el sistema.
*Se identificó inconsistencia en visualización de archivos PNG (aunque existen, no se visualizan).</t>
  </si>
  <si>
    <t xml:space="preserve">07/04/2026: Se identificó inconsistencia en visualización de archivos PNG (aunque existen, no se visualizan), Se Validara causa del error de visualización (rutas o tipo de archivo) y ajuste en lógica de acceso/visualización.
09/04/2026: Posible issue de construcción de ruta o restricción de visualización en Nativa, se revisara  hoy </t>
  </si>
  <si>
    <t>INTERNO-D058</t>
  </si>
  <si>
    <t>Confirguracion arquitectura  en PRD para masivos nuevo nativo</t>
  </si>
  <si>
    <t>Preparación y montaje de la infraestructura necesaria en ambiente de producción para soportar el nuevo módulo/proceso de masivos, incluyendo configuración de contenedores, servicios backend, NGINX, variables de entorno y componentes de arquitectura requeridos para su operación estable.</t>
  </si>
  <si>
    <t xml:space="preserve">14/04/2026: Se realiza despliegue a produccion el 13 de abril. </t>
  </si>
  <si>
    <t>GD772-208</t>
  </si>
  <si>
    <t>API confirmación de cuentas Reem Salud</t>
  </si>
  <si>
    <t>Se requiere implementar en el portal de Salud 
Portales De Salud Seguros Bolivar 
El api de consulta de cuenta bancaria: 
se espera que donde hoy se pide digitar la cuenta bancaria, se consulte el API implementado en la aplicación de incapacidades,  y le muestre al cliente la data encontrada. 
En el caso donde no se encuentre ningun dato, se debe mostrar el link de drive tal cual como funciona hoy para que el cliente diligencie la información. 
Cédulas ejemplo de consumo efectivo: CC. 59828603
CC. 1045669883
C.C. 1020758852
Cédulas ejemplo de consumo  no efectivo: cc 1026282376901412787</t>
  </si>
  <si>
    <t>07/04/2026: Integración aplicada el 6 de Abril en ambiente de test , se estan realizando las  pruebas de parte de Imagine  y posterior mente  se entregara a el cliente  para su validacion.
14/04/2026: Confirma que el paso a produccion  se realizo el 7 de abril.</t>
  </si>
  <si>
    <t>Tuya_1</t>
  </si>
  <si>
    <t>Habilitación de Entorno Tuya (Accesos y Herramientas)</t>
  </si>
  <si>
    <t>Alistamiento técnico del entorno Tuya para permitir operación y soporte (usuarios, permisos y herramientas como Ciber).</t>
  </si>
  <si>
    <t>14/04/2026: Usuario fue reactivado exitosamente. Se avanzó en la asignación de permisos y validación de aplicaciones. Actualmente se está gestionando el acceso a la herramienta Ciber, la cual aún presenta inconvenientes de ingreso.
16/04/2026: La habilitación del entorno quedo  ok el 14 de abril.</t>
  </si>
  <si>
    <t>INTERNO-D059</t>
  </si>
  <si>
    <t>Error 500 en Vista de Casos (Link internet)</t>
  </si>
  <si>
    <t>Error al consultar casos debido a tipologías inexistentes provenientes de portales.</t>
  </si>
  <si>
    <t>14/04/2026: El 9 de abril se realizó refactorización de la vista, normalizando datos para evitar errores y mostrando campos vacíos en lugar de fallar.</t>
  </si>
  <si>
    <t>GD772-214</t>
  </si>
  <si>
    <t>Mejoras oficina expres ARL</t>
  </si>
  <si>
    <t>Resumen de Hallazgos
Durante la ejecución de pruebas al asistente virtual (Oficina Exprés), se identificaron múltiples inconsistencias tanto en la experiencia de usuario como en el procesamiento de solicitudes:
1. Incumplimiento de lineamientos de comunicación
El asistente utiliza un tono inadecuado (“tuteo”), incumpliendo la política corporativa que exige el uso exclusivo de “usted”.
2. Fallas en el entendimiento de solicitudes (NLP)
El bot no reconoce adecuadamente las solicitudes si no se redactan exactamente como espera.
Presenta dificultad para interpretar variaciones naturales del lenguaje.
3. Repetición innecesaria de solicitudes de información
Solicita los mismos datos en múltiples ocasiones dentro de una misma interacción.
Esto genera fricción y deteriora la experiencia del usuario.
4. Errores en la clasificación de tipologías
En varios casos, asigna tipologías incorrectas (ej. copia de póliza en lugar de copia FURAT).
Incluso cuando entiende parcialmente la solicitud, la radicación final se realiza de forma errónea.
5. Inconsistencia en el procesamiento de casos
Algunos trámites son entendidos correctamente, pero terminan mal clasificados.
En otros casos, no logra identificar la intención y no finaliza correctamente la gestión.
6. Dependencia de frases exactas
El sistema requiere que el usuario ingrese la solicitud con una estructura muy específica.
No responde adecuadamente a entradas parciales o reformuladas.
7. Mejoras aplicadas (en proceso)
Se realizó ajuste de prompts para mejorar el reconocimiento de solicitudes relacionadas con FURAT.
Se evidencia avance en clasificación correcta, aunque persisten limitaciones en entradas no estructuradas.</t>
  </si>
  <si>
    <t>16/04/2026: El 15 de Abril se inicia los con Ajustes funcionales sobre módulo existente, se estima finalizar con estos ajustes  en el  trascurso de la mañana de hoy.
21/04/2026: El jueves 16 de abril se finalizó el desarrollo y se realizó el despliegue en el ambiente de pruebas, quedando disponible para validación por parte del cliente..
05/05/2026: Se completó el desarrollo de los ajustes solicitados y se realizaron pruebas internas en el ambiente de pruebas. Como parte de los cambios, se eliminó un parámetro de configuración, considerado de bajo riesgo al no impactar la lógica core del sistema. La validación preliminar indica un funcionamiento correcto
Pendiente  hasta finalizar GD772-211 Cambio oficina experess-  no debe direccionar a tipologias Drummond.</t>
  </si>
  <si>
    <t>Tuya_3</t>
  </si>
  <si>
    <t>Población de riesgo de proveedores</t>
  </si>
  <si>
    <t>Sesion presencial</t>
  </si>
  <si>
    <t>GD772-211</t>
  </si>
  <si>
    <t>Cambio oficina experess-  no debe direccionar a tipologias Drummond</t>
  </si>
  <si>
    <t>El 27 de abril se reportaron cambios para Oficina Express, no como incidencias.
Se solicita ajustar en oficina Express las tipologias de Drummond, no deberian de estar apareciendo al cliente, no fueron contempladas en la oficina.</t>
  </si>
  <si>
    <t>05/05/2026: Se realiza entrega en  produccion del ajuste solicitado el 30 de Abril.</t>
  </si>
  <si>
    <t>INTERNO-D060</t>
  </si>
  <si>
    <t>Servicio de Consolidación de  datos Facturas (Excell)</t>
  </si>
  <si>
    <t>Nuevo requerimiento para construir un servicio que permita consolidar múltiples archivos (Excel) en una sola fuente de información, cruzando datos con base de datos (facturas, lotes, etc.).</t>
  </si>
  <si>
    <t>21/04/2026: No se iinicio desarrollo  por reasignación inmediata a otras tareas,
23/04/2026: No presenta avance a la fecha debido a la priorización de otros desarrollos.
28/04/2026: Se definió iniciar el desarrollo de este servicio, la actividad está planificada para ejecución entre el día actual (28 de abril) y el siguiente, con el objetivo de avanzar rápidamente en su implementación
05/05/2026: El servicio fue desarrollado y entregado al negocio (Jenry), encontrándose actualmente funcional. No obstante, se identificaron nuevos requerimientos asociados a ajustes sobre la lógica existente y su extensión a otros tipos de documentos, por lo que el servicio se encuentra en fase de retrabajo y evolución. Los cambios dependen directamente de los insumos proporcionados por Don Hernán; una vez estos sean recibidos, se procederá con la incorporación de los ajustes y la revalidación integral del servicio.
07/05/2026: El 6 de mayo  se avanzó en lectura y entendimiento del código existente, además de una pequeña refactorización para reconocer URLs y rangos de páginas. El trabajo quedó pausado temporalmente por priorización de Alpa.
12/05/2026: Se trabajó parcialmente sobre este servicio hasta el jueves 7 de mayo, alcanzando aproximadamente un 5% de avance. Sin embargo, el requerimiento quedó pausado temporalmente debido a la prioridad asignada a la migración de ambientes y actualización de PHP.</t>
  </si>
  <si>
    <t>INTERNO-D069</t>
  </si>
  <si>
    <t>Actualizaciones de seguridad plataforma Tuya</t>
  </si>
  <si>
    <t>04/06/2026: El 2 de Junio se realizaron actualizaciones requeridas y actividades de soporte técnico para cumplir validaciones de seguridad.</t>
  </si>
  <si>
    <t>INTERNO-D070</t>
  </si>
  <si>
    <t>Despliegue de Correspondencia en Producción mediante Docker en Alfa</t>
  </si>
  <si>
    <t>06/09/2026: El viernes 5 de junio se ejecutó una instalación en ambiente productivo para desplegar el componente de correspondencia utilizando contenedores Docker. La instalación quedó parcialmente completada debido a restricciones de permisos sobre el usuario encargado de administrar Docker en producción. Debido a la criticidad del procedimiento, cualquier error obliga a revertir cambios y reiniciar todo el proceso mediante un nuevo ticket.
De parte del Alfa  queda pendiente gestionar permisos del usuario productivo y completar el despliegue.</t>
  </si>
  <si>
    <t>MDSB-1055508</t>
  </si>
  <si>
    <t>Análisis de causa raíz del incidente de navegación en Zona Virtual ARL</t>
  </si>
  <si>
    <t>Realizar una revisión detallada de los registros (logs), eventos y componentes involucrados en la Oficina Virtual ARL para identificar la causa raíz del incidente presentado el 09/06/2026, en el cual las opciones del menú principal no direccionaban correctamente a los formularios y se visualizaban elementos superpuestos en la interfaz.
El análisis deberá incluir la validación de eventos ocurridos desde el día anterior al incidente, así como la verificación de procesos de compilación, generación de recursos estáticos, manejo de caché y cualquier otro factor que pudiera haber ocasionado la degradación del servicio.
Entregable:
Informe con hallazgos, causa raíz identificada, impacto generado y recomendaciones para evitar la recurrencia del incidente.</t>
  </si>
  <si>
    <t xml:space="preserve">11/06/2026: El análisis ya fue completado y se notificara  en el ticket  MDSB-1055508 junto  con la implementaciòn de monitoreo.
</t>
  </si>
  <si>
    <t>MDSB-1060707</t>
  </si>
  <si>
    <t>FALLA RADICACIÓN DE CASOS OFICINA EXPRESS ACCESO RAPIDO- 16 de junio</t>
  </si>
  <si>
    <t xml:space="preserve">Buen día de la manera más atenta se reporta que por la oficina express se donde los clientes radican las solicitudes se esta presentando el erro de que cuando se escoge la opción de viáticos la solicitud la esta asignando para la tipología de novedades, se adjunta error que se evidencia y casos que se han encontrado el día de hoy. </t>
  </si>
  <si>
    <t>16/06/2026: se efectuaron los ajustes necesarios y se realizó un nuevo balanceo del modelo de clasificación para corregir el comportamiento identificado</t>
  </si>
  <si>
    <t>MDSB-1055508_1</t>
  </si>
  <si>
    <t>Implementación de monitoreo para la Oficina Virtual ARL ( Bot)</t>
  </si>
  <si>
    <t>Implementar mecanismos de monitoreo sobre la Oficina Virtual ARL que permitan detectar oportunamente fallas de disponibilidad, errores de navegación, problemas de carga de recursos estáticos o comportamientos anómalos que puedan afectar la experiencia de los usuarios.
La solución deberá contemplar alertamiento y seguimiento de la operación de los componentes críticos de la plataforma, con el fin de reducir los tiempos de detección y atención ante futuros incidentes.
Entregable:
Monitoreo implementado y evidencia de su configuración y funcionamiento.
Responsable: Danilo Ramírez
Fecha compromiso: 12/06/2026</t>
  </si>
  <si>
    <t>16/06/2026: El 12 de junio se desarrolló una solución de monitoreo automático para verificar la disponibilidad del portal y generar alertas cuando se detecten fallas de respuesta. Durante la revisión se identificó que algunas alertas recientes indicaban fallos de respuesta HTTP, aunque el portal continuaba operativo, por lo que se requiere validar si se trata de un problema de configuración, permisos o falsos positivos en el monitoreo.</t>
  </si>
  <si>
    <t>INTERNO-D067</t>
  </si>
  <si>
    <t>Proyecto Aula Alfa</t>
  </si>
  <si>
    <t>Aula Alfa  es una plataforma virtual de formación de ARL Alfa orientada a ofrecer contenidos educativos en seguridad, salud en el trabajo y prevención de riesgos laborales. Su propósito es facilitar el acceso a cursos, microcursos, capacitaciones, encuentros educativos, biblioteca de recursos, herramientas de apoyo y certificación.</t>
  </si>
  <si>
    <t>28/05/2026:  Se dara inicio de revisión funcional y técnica del proyecto Aula Alfa, incluyendo accesos, navegación, estilos visuales y análisis de procesos.
02/06/2026: Se avanzó en la definición del modelo relacional de la solución. Para ello se revisaron las grabaciones y acuerdos de reuniones previas con el fin de construir una estructura de base de datos alineada con las necesidades identificadas. El modelo relacional se encuentra prácticamente terminado y se tiene previsto iniciar la implementación física de la base de datos y posteriormente el desarrollo de las vistas asociadas al proyecto.
Siguiente paso, implementar la base de datos, desarrollar las vistas del sistema, construir las funcionalidades definidas en los requerimientos y continuar con el desarrollo de las historias de usuario y demás componentes funcionales del proyecto.
04/06/2026: El  3 de junio se completó la construcción e implementación del modelo relacional que servirá como base para el desarrollo del proyecto. Con esta actividad finalizada, se cuenta con la estructura de datos necesaria para iniciar la construcción del backend y de los servicios API requeridos por la solución
09/06/2026: Se realizaron ajustes de estilos visuales, configuración de roles en base de datos y parametrización de menús asociados a cada rol. Estas actividades corresponden a la preparación de la estructura base de la aplicación antes de continuar con funcionalidades de negocio y servicios backend.
Se continuara con la construcción de funcionalidades backend y validar comportamiento de roles y menús.
11/06/2026: Se continúa con el desarrollo del proyecto alcanzando  un incremento del avance del  20% y se avanzara en los componentes pendientes
16/06/2026: La semana anterior se implementó el módulo Biblioteca Alfa para la administración y consulta de recursos. También se desarrolló el módulo de Herramientas Alfa para la gestión de enlaces y recursos externos. Se construyeron los endpoints para crear, editar, consultar e inactivar recursos, así como las vistas de usuario conservando el diseño definido por el cliente. Adicionalmente, se mejoró el manejo de sesiones expiradas mediante mensajes amigables al usuario y se ajustó el tratamiento de errores HTTP (401, 403, 500) para evitar la exposición de mensajes técnicos.</t>
  </si>
  <si>
    <t>MDSB-1051904</t>
  </si>
  <si>
    <t>Incidencias 3 de junio– Entrenamiento Oficina Express</t>
  </si>
  <si>
    <t>Se identificó que el entrenamiento realizado por usuarios está generando cambios no deseados en la clasificación de tipologías. También se requiere reconocer variaciones de texto que representen la misma intención.</t>
  </si>
  <si>
    <t>04/06/2026: Se evaluara restricciones sobre el entrenamiento, revisar el modelo actual y analizar la implementación de un modelo independiente para administración de entrenamiento.
09/06/2026; No presentó avances durante los últimos días debido a la priorización de otras tareas relacionadas con instalaciones y despliegues de Alfa (INTERNO-D070).
Hoy se pretende analizar y corregir las incidencias reportadas.
11/06/2026: El 10 de junio se informó el cierre técnico de las incidencias reportadas en Oficina Express. Durante el análisis se identificó que el modelo presentaba comportamientos inconsistentes debido a que algunas solicitudes obtenían porcentajes de confianza similares, provocando respuestas diferentes ante consultas equivalentes. También se detectó que el reconocimiento dependía excesivamente de textos muy parecidos a los utilizados durante el entrenamiento. Como solución se ajustó el balance del modelo y se incorporaron nuevas variantes de redacción para mejorar el reconocimiento de solicitudes expresadas de distintas formas.</t>
  </si>
  <si>
    <t>INTERNO-D060_1</t>
  </si>
  <si>
    <t>Servicio de Consolidación de  datos Facturas (PDF)</t>
  </si>
  <si>
    <t>Se requiere continuar con la evolución del servicio de consolidación de datos de facturas, incorporando funcionalidades de lectura, interpretación y validación de información contenida en archivos PDF. El objetivo es complementar el proceso ya implementado para consolidación de archivos Excel, permitiendo extraer y relacionar información documental con los registros existentes en base de datos (facturas, lotes y demás entidades asociadas), optimizando así el proceso de validación y consolidación de información.</t>
  </si>
  <si>
    <t xml:space="preserve">05/05/2026: se identificaron nuevos requerimientos asociados a ajustes sobre la lógica existente y su extensión a otros tipos de documentos, por lo que el servicio se encuentra en fase de retrabajo y evolución. Los cambios dependen directamente de los insumos proporcionados por Don Hernán; una vez estos sean recibidos, se procederá con la incorporación de los ajustes y la revalidación integral del servicio.
07/05/2026: El 6 de mayo  se avanzó en lectura y entendimiento del código existente, además de una pequeña refactorización para reconocer URLs y rangos de páginas. El trabajo quedó pausado temporalmente por priorización de Alpa.
12/05/2026: Se trabajó parcialmente sobre este servicio hasta el jueves 7 de mayo, alcanzando aproximadamente un 5% de avance. Sin embargo, el requerimiento quedó pausado temporalmente debido a la prioridad asignada a la migración de ambientes y actualización de PHP.
26/06/2026: Se retomara la implementación de mejoras asociadas al procesamiento y lectura de archivos PDF.
28/05/2026: El 27 de mayo se realizó refactorización del servicio de consolidación de datos para soportar lectura tanto de archivos PDF.
Hoy  se continuara  con pruebas con diferentes formatos PDF y ajustar lógica de reconocimiento para documentos con baja calidad o estructuras no estándar.
29/05/2026: Entrega del desarrollo a  Jenry
02/06/2026: Continua en pruebas para  validar  su correcto  funcionamiento. </t>
  </si>
  <si>
    <t>INTERNO-D068</t>
  </si>
  <si>
    <t>Implementación y migración de ambiente de TEST a PHP 8.5</t>
  </si>
  <si>
    <t>03/06/2026: Se escala solicitud MDSB-1052621  solicitando  la habilitación de las instancias del ambiente Stage, cuenta 886662616829, para continuar con el proceso de migración
04/06/2026: La solicitud  fue cancelada  indicando   "Hacer esta solicitud a Infracloud"
09/06/2026: Se escala ticket MDSB-1055779 realizando la solicitud de habilitación de las instancias del ambiente Stage a Infraestructura.
11/06/2026: A la fecha no hemos recibido respuesta por parte del área de Infraestructura respecto al ticket de solicitud de habilitación de las instancias del ambiente Stage.
16/06/2026: Continúa pendiente la entrega de las instancias de pruebas por parte del cliente. El avance del requerimiento depende completamente de la resolución del ticket gestionado por el equipo del cliente, por lo que actualmente no es posible iniciar las actividades técnicas asociadas a estos ambientes.</t>
  </si>
  <si>
    <t>INTERNO-D064</t>
  </si>
  <si>
    <t>Implementación y migración de ambiente de desarrollo a PHP 8.5</t>
  </si>
  <si>
    <t>12/05/2026: Durante el viernes 8  y el  11 de mayo se avanzó en la construcción de las nuevas instancias de ambientes de desarrollo, incluyendo la instalación de aplicaciones, configuraciones de seguridad y adecuaciones necesarias para soportar PHP 8.5. Se realizaron trabajos conjuntos con Jairo para resolver configuraciones y validar funcionamiento general de los ambientes. También se confirmó que Ubuntu 26 instala PHP 8.5 por defecto, por lo que el equipo decidió continuar inicialmente con esta versión mientras se evalúa la compatibilidad de las aplicaciones. Adicionalmente, se definió como estrategia futura desplegar producción sobre una nueva instancia Ubuntu 26 en lugar de realizar actualizaciones progresivas desde Ubuntu 20. Se identificó que el mayor esfuerzo estará en adaptar funciones deprecadas, librerías y módulos de Nativo para compatibilidad con la nueva versión de PHP.
21/05/2026: La mayoria  de los aplicativos se encuentran  listos  para realizar la  migración  al ambiente de desarrollo . 
Se escala el jira MDSB-1044663  solicitan ajustar los privilegios del usuario app_imagine_dev para que pueda realizar cualquier acción sobre cualquier esquema, tablas y secuencia, conservando el mismo comportamiento tradicional, con el que se ha trabajado siempre en los ambientes de desarrollo.
22/05/2026: Confirman asignación de privilegios.
26/05/2026: Se confirma que el portal de  ARL y Salud ya fueron desplegados al ambiente de desarrollo practicamente listo para pruebas.. Se realizaron validaciones sobre la base de datos y se identificó que gran parte de las fallas funcionales dependen directamente de su estabilización una vez completado este ajuste, los portales actuales deberían quedar operativos nuevamente.
28/05/2026: El 27 de mayo se confirma normalización en la base de datos, quedaria pendiente por finalizar pruebas de seguridad y validar comportamiento funcional posterior a migración.
02/06/2026: se tiene prevista una evaluación de seguridad sobre el ambiente de desarrollo con el objetivo de alcanzar una calificación mínima de nivel A antes de solicitar la habilitación del ambiente de test
Se identifica que el usurio no tiene permisos para acceder a DEV confirmando que la IP no ha cambiado, de acuardo a validaciones posiblemente debe conectarse a la VPN pero tambien presenta inconvenientes para la conexion, .
Se escala Ticket MDSB-1051697 solicitando ayuda para conexión a la VPN.
04/06/2026: Pendiente confirmaciòn de informaiòn del solicitante  requerida en el ticket. 
16/06/2026: Las actividades relacionadas con pruebas de seguridad permanecen bloqueadas debido a la falta de acceso VPN y permisos sobre los ambientes requeridos. Hasta que el cliente habilite los accesos correspondientes no será posible continuar con las validaciones programadas.
Hoy  sobre las 12 m confirman que el acceso a la VPN ha quedado solucionado con exito.</t>
  </si>
  <si>
    <t>INTERNO-D064_1</t>
  </si>
  <si>
    <t>Migración de Portales ARL a PHP 8.5 (Local)</t>
  </si>
  <si>
    <r>
      <rPr>
        <rFont val="Quattrocento Sans"/>
        <color theme="1"/>
        <sz val="10.0"/>
      </rPr>
      <t xml:space="preserve">09/05/2026: Se continúa con la migración progresiva de los portales utilizando herramientas de actualización y compatibilidad de dependencias. Ya se avanzó sobre la estructura principal y actualmente se están ajustando componentes asociados a paquetes y versiones para garantizar compatibilidad con el nuevo entorno.
Se proyecta realizar  hoy el despliegue inicial de portales en ambiente de desarrollo una vez finalice el ajuste de migración actual
21/05/2026: El  20 de mayo se  completó la migración y contenerización del aplicativo Portales, validando su correcto funcionamiento local. También se realizaron ajustes entre las instancias públicas y privadas, incluyendo cambios de tamaño y reorganización de servidores. Actualmente se encuentra pendiente el despliegue final y la configuración de Virtual Host y Reverse Proxy para dejar el ambiente completamente operativo.
</t>
    </r>
    <r>
      <rPr>
        <rFont val="Quattrocento Sans"/>
        <b/>
        <color theme="1"/>
        <sz val="10.0"/>
      </rPr>
      <t>Pndiente</t>
    </r>
    <r>
      <rPr>
        <rFont val="Quattrocento Sans"/>
        <color theme="1"/>
        <sz val="10.0"/>
      </rPr>
      <t>: Finalizar despliegue, configuración de Virtual Host y pruebas posteriores.
22/05/2026: Se escala ticket MDSB-1045234  Ya que no me permite ver el sitio de portales en desarrollo.
Infraestructura  Bolivar  confirma que  se hace configuracion de IPset y grupos de seguridad en el balanceador
26/05/2026: Se confirma que el portal ya fue desplegado al ambiente de desarrollo practicamente listo para pruebas...</t>
    </r>
  </si>
  <si>
    <t>INTERNO-D064_2</t>
  </si>
  <si>
    <t>Migración de Portales Salud a PHP 8.5 (Local)</t>
  </si>
  <si>
    <t>19/05/2026: El portal  de Salud aún no ha sido intervenido y queda pendiente en siguiente fase.
21/05/2026: El 20 de mayo se inició el análisis y preparación de la migración de Oficina Virtual Salud tomando como referencia la migración ya funcional de Portales en ambiente local con Docker y PHP 8.5
26/05/2026: Se confirma que el portal ya fue desplegado al ambiente de desarrollo practicamente listo para pruebas...</t>
  </si>
  <si>
    <t>INTERNO-D064_3</t>
  </si>
  <si>
    <t>Configuración servidor privado  Desarrollo– Portales</t>
  </si>
  <si>
    <t>19/05/2026: El servidor privado destinado a portales ya se encuentra completamente configurado, incluyendo instalación de paquetes y preparación base del ambiente. Actualmente está listo para despliegue y pruebas posteriores.
Pendiente únicamente publicación definitiva de aplicaciones migradas.</t>
  </si>
  <si>
    <t>INTERNO-D064_4</t>
  </si>
  <si>
    <t>Configuración servidor público Desarrollo</t>
  </si>
  <si>
    <t>19/05/2026: El viernes  15 en la trade se recibió la nueva instancia pública, hoy se iniciaran  las actividades de instalación componentes y aplicaciones necesarias, se estima finalizar  el 20 de mayo .
21/05/2026: El  20 de Mayo se realizaron validaciones junto con Edgar para identificar el motivo por el cual no era visible el nuevo ambiente Dev, encontrando que las reglas de seguridad no tenían configuradas las IP necesarias. Posteriormente se ajustaron las reglas, se restauró la configuración funcional anterior y se confirmó nuevamente el acceso correcto a las URLs del ambiente, dejando lista la arquitectura basada en contenedores y orquestador Apache.
Pendiente: Completar validaciones posteriores al despliegue
26/05/2026: Pendiente estabilización completa de la base de datos
28/05/2026: Se encuentra pendiente por finalizar pruebas de seguridad y validar comportamiento funcional posterior a migración.
04/06/2026: Pasusado hasta tanto se solucione el acceso a dev para realizar las  pruebas de seguridad .</t>
  </si>
  <si>
    <t>INTERNO-D064_5</t>
  </si>
  <si>
    <t>Configuración servidor  privado Desarrollo</t>
  </si>
  <si>
    <t>21/05/2026: Se radica jira  MDSB-1044644 ya al  intentar establecer conexión a la instancia EC2 imaginex-dev-private-02-ec2 (i-00ad59f984c33819e) mediante la opción SSM Session Manager, la consola de AWS muestra el agente SSM en estado “En línea”, pero el estado de conexión aparece como “Not connected”:
26/05/2026: Pendiente estabilización completa de la base de datos
28/05/2026: Implementar  Docker y realizar  pruebas de seguridad
04/06/2026: Pasusado hasta tanto se solucione el acceso a dev para realizar las  pruebas de seguridad .</t>
  </si>
  <si>
    <t>INTERNO-D066</t>
  </si>
  <si>
    <t>Ajuste de validación para entidades bancarias</t>
  </si>
  <si>
    <t>Se requiere  ajuste en la validación de entidades bancarias para permitir el registro y reconocimiento de bancos con nombres de dos caracteres ya que el campo esta limitado a minimo 3 caracteres, como el caso de “NU”, evitando rechazos en el proceso de validación y registro de información bancaria.</t>
  </si>
  <si>
    <t>28/05/2026: El 27 de mayo  se realizo ajuste de validación para entidades bancarias para permitir nombres de dos caracteres, como el caso de NU (Nubank).</t>
  </si>
  <si>
    <t>INTERNO-D065</t>
  </si>
  <si>
    <t>Informe de casos no clasificados por la IA – Oficina Virtual</t>
  </si>
  <si>
    <t>Generar un informe o vista que permita consultar y descargar los casos que ingresan por Oficina Virtual y que no logran clasificarse automáticamente por la IA, quedando registrados como “otras solicitudes”. El objetivo es que el equipo pueda revisar, depurar y utilizar esta información para entrenar y mejorar el modelo de clasificación automática.</t>
  </si>
  <si>
    <t>02/06/2026: El Informe fue generado y entregado el viernes 29 de mayo, Informe entregado al cliente el 1 de junio</t>
  </si>
  <si>
    <t>GD772-193</t>
  </si>
  <si>
    <t>Crear módulo para la administración  correo 
notificaciones.calificacionarl (Juntas)</t>
  </si>
  <si>
    <t xml:space="preserve">1. DESCRIPCIÓN DEL REQUERIMIENTO   
Se requiere crear módulo para la administración del correo electrónico  
notificaciones.calificacionarl@segurosbolivar.com donde se realice la radicación  
automatica en el aplicativo imagine bajo las mismas condiciones del correo  
operacioninternaarl@segurosbolivar.com  
1.2 OBJETIVO  
● Radicar en el aplicativo imagine la información que ingresa a la cuenta de  
correo notificaciones.calificacionarl@segurosbolivar.com  
2. REQUERIMIENTOS FUNCIONALES  
2.1 Creación de caso en imagine  
Se requiere que toda la información que ingresa al correo  
notificaciones.calificacionarl@segurosbolivar.com sea radica de manera  
automatica en el aplicativo de imagine manteniendo la totalidad de los adjuntos,  
teniendo en cuenta:  
Información de radicación  
Se debe poder visualizar el correo desde imagine cómo funciona actualmente el  
correo operacioninternaarl@segurosbolivar.com  
Se deben cargar las imagenes al caso de acuerdo a los adjuntos que remite el  
correo electrónico  
Debe permitir la corrección de tipología [Requerimientos / Correcciones],  
duplicidad de caso con los adjuntos, retomar y cierre de caso como lo permite  
operacioninternaarl@segurosbolivar.com  
Debe buscar el número de documento relacionado en el asunto y cuerpo de correo  
en las tablas de trabajadores y empresas, y asignar ese nit o número de  
documento al caso, si no se encuentra información debe asignar el nit 999999999  
como funciona operacioninternaarl@segurosbolivar.com  
Parámetros de asignación:  
Se debe realizar la asignación a las tipologías teniendo en cuenta las palabras  
claves en asunto (parámetro 1), palabras claves en cuerpo del correo (parámetro  
2) y los remitentes o dominios (parámetro 3), por lo cual se espera poder tener  
parametrizar de la siguiente manera:  
Ejemplo: Si llega un correo de @juntaregionalcesar.com y en asunto indica  
“Notificación”, debe quedar asignado a la tipología “Dictamen junta regional”.  
Debe ser obligatorio mínimo un solo parámetro y opcional entre dos y tres.  
Si la información no se encuentra clasificada, el sistema deberá dejarlo en la  
bandeja del funcionario para asignación manual (como funciona actualmente).  
Excepciones para la creación de caso:  
No se debe radicar lo que llega como copia de caso de la oficina de juntas  
2.1.1 Bloqueo de correo de asignación  
Se requiere poder bloquear un asunto específico como “Confirmación de lectura:  
Comunicación de salida”, este llegará al correo pero no será radicado.  
2.1.2 Informe y control  
Se requiere poder contar con un informe descargable por rango de fechas donde se  
puedan obtener los siguientes datos:  
● Radicado  
● Asunto  
● Fecha (fecha en la cual llegó el correo y se radicó)  
● Remitente  
● Asignación (manual si llego a la bandeja de funcionario para asignar o Automática  
si fue clasificado por palabra clave)  
● Usuario que asignó (nombre si fue manual, y si fue automático Buzón ARL)  
Como control se requiere poder tener un informe diario donde se indique la cantidad de  
correos que llegaron (correo) y la cantidad radicados (imagine), en caso de que un correo  
llegó pero no esté radicado se debe poder obtener el listado de los casos para radicación  
manual (no leído), el listado debe tener asunto y remitente.  
Regla: Crear una categoría en el informe para errores de sistema (ej. caída de conexión  
con el servidor de Imagine). Esto permite diferenciar un correo "no leído" de uno que no  
se radicó por una falla técnica.  
2.1.3 Acciones masivas  
Se requiere tener la posibilidad de realizar anulación masiva de casos o reasignación  
masiva a una tipología.  
2.1.4 Validación de adjuntos  
Problema: Un correo puede ser radicado, pero si los adjuntos fallan al cargar en el visor  
de imágenes, el caso queda incompleto.  
Regla: Si el sistema detecta un error en la carga de adjuntos (formato no soportado o  
archivo dañado), el caso debe marcarse con una etiqueta de alerta "Revisión de Adjuntos"  
para que el funcionario sepa que debe verificar el correo original.  </t>
  </si>
  <si>
    <t>16/04/2026: Hoy se iniciara análisis del requerimiento y revisión de documentación, tras finalizar los ajustes de oficina express
21/04/2026: Se cuenta con una base funcional para la lectura de correos (implementación en FastAPI).  El desarrollo  es pausado por un cambio de prioridades de parte de gerencia para el req "Implementación Sistema de Cuentas Médicas (Ollama)"
23/04/2026: El desarrollo de este módulo se encuentra pausado, dado que existen otras prioridades activas. No se proyectan avances en el corto plazo.
05/05/2026: Continua en  pausa  por atension de otras prioridades.
07/05/2025: El requerimiento se encuentra pausado temporalmente mientras se prioriza la estabilización y configuración del ambiente Alpha.
21/05/2026: Se envian HU al cliente para su analisis y aprobación,  el inicio de desarrollo  queda pendientes  debido a la prieoridad de gestionar los ambientes bajos
11/06/2026: se estimó que únicamente la etapa de entrenamiento y pruebas podría requerir entre 15 y 20 días de dedicación, mientras que la implementación completa podría extenderse hasta aproximadamente 3 meses dependiendo de la disponibilidad del equipo y las prioridades actuales.</t>
  </si>
  <si>
    <t>Tuya_2</t>
  </si>
  <si>
    <t>Soporte operativo – Tuya (informes urgentes)</t>
  </si>
  <si>
    <t>28/04/2026: Se atendió un requerimiento urgente del cliente Tuya, relacionado con la generación de dos informes solicitados con prioridad. Debido a la necesidad de aprobación inmediata, se desarrollaron y entregaron ambos informes el 24 de abril, aun cuando el responsable habitual (Faber) se reincorporaba posteriormente. No quedan pendientes sobre este requerimiento.</t>
  </si>
  <si>
    <t>INTERNO-D063</t>
  </si>
  <si>
    <t>Nuevo portal Afiliaciones Colmena</t>
  </si>
  <si>
    <t>05/05/2026: El Sr Hernan  entrega repositorio operativo actualizado en GitHub.
Se subió a CUENT_BOLIMA.git el commit c7035c1 con los cambios de seguridad, RAG/Qdrant sin Ollama, parsers recientes, mejoras de CSV/dashboard y regresión reciente.
Verificación hecha:
python3 -m py_compile ... pasó sin errores.
run_regression_recent.sh: 9 facturas, 0 fallos.
GitHub origin/main ya apunta a c7035c1.
Árbol local quedó limpio.</t>
  </si>
  <si>
    <t>INTERNO-D063_1</t>
  </si>
  <si>
    <t>Documentación técnica Docker para Colmena</t>
  </si>
  <si>
    <t>Se reportó la necesidad de generar documentación técnica destinada a explicar el uso de Docker en producción, especialmente en lo relacionado con licenciamiento, costos y condiciones de uso. El objetivo es brindar claridad al cliente respecto a que la solución implementada no generará costos adicionales y que utiliza componentes permitidos dentro del esquema de despliegue actual</t>
  </si>
  <si>
    <t>16/06/2026;  El 11 de junior se finalizó la elaboración de la documentación solicitada por Colmena relacionada con la infraestructura y componentes técnicos implementados. El documento fue preparado y entregado internamente(Jenry) para su posterior envío al cliente.</t>
  </si>
  <si>
    <t>INTERNO-D061</t>
  </si>
  <si>
    <t>Nuevo portal  de Cuentas Médicas Bolivar</t>
  </si>
  <si>
    <t>El requerimiento surge por la necesidad de modernizar el sistema de cuentas médicas, incorporando inteligencia artificial (Ollama) para automatizar procesos que hoy son manuales o poco eficientes.
En concreto:
Se busca mejorar el análisis y procesamiento de información médica (más automatización, menos intervención humana).
El nuevo sistema introduce capacidades inteligentes, no solo operativas.
Sin embargo, esto trae retos porque:
La infraestructura actual no soporta completamente estos componentes.
El sistema es nuevo (cambio de repositorio), por lo que requiere validación desde cero.
Existen riesgos técnicos (seguridad, ejecución de comandos, impacto en producción).</t>
  </si>
  <si>
    <t>21/04/2026: Se inició la implementación de un nuevo sistema basado en IA (Ollama). Se realizó instalación local y primeras validaciones.
23/04/2026: Se establece como línea de trabajo prioritaria la implementación del sistema de cuentas médicas. Actualmente no presenta avance debido a la necesidad de validar dependencias técnicas, como el uso de componentes que requieren alto consumo de recursos. Se continuará con pruebas en entorno local hasta garantizar que el sistema pueda desplegarse sin riesgos para producción.
28/04/2026: El 24 de abril se realizó un ajuste en la arquitectura para evitar el despliegue del contenedor con Ollama, logrando que el sistema funcione correctamente en ambiente de pruebas (TEST). Adicionalmente, se desplegó en desarrollo de forma controlada debido a limitaciones de recursos. Como parte del avance, se están ejecutando pruebas con carga de facturas desde archivos Excel para validar la correcta respuesta del sistema. Paralelamente, se llevó a cabo una evaluación de seguridad previa a producción, identificando inicialmente 14 vulnerabilidades, de las cuales se consolidaron en 7 hallazgos principales (incluyendo riesgos en manejo de sesiones y autenticación). Actualmente, se cuenta con evidencias recolectadas y se encuentra en proceso la documentación para su remediación antes de salida a producción.
05/05/2026: Se esta a la espera de los cambios del  sr Hernán
06/05/2026: El sr Hernan entrega a Danilo: La plataforma ya funciona como un validador operativo de facturas médicas, con automatización de lectura, generación de CSV, control de calidad, memoria técnica y mecanismos de seguridad básicos para operación controlada, esto corresponde al 50%, Danilo iniciara con la  implementaci{on del  otro 50% .
08/05/2026: Se está trabajando en la implementación del PDF. Entre el lunes 11 y el martes 12 de mayo se tiene previsto realizar las primeras pruebas en el ambiente productivo.</t>
  </si>
  <si>
    <t>MDSB-1018840</t>
  </si>
  <si>
    <t>Jiaras dia a dia- No actualiza el nombre de la entidad en el portal salud, Reem</t>
  </si>
  <si>
    <t xml:space="preserve">Entidad Bancancaria: Banco Davivienda
Usuaria se comunica con servicios ya que ha llenado el formulario de actualización de datos 5 veces y aun no actualizan la cuenta
De servicios solicitan crear el caso ya que no pueden generar esta actualización </t>
  </si>
  <si>
    <t>21/04/2026: Hoy iniciara validaciones.
22/04/2026: Despues de las validaciones se identifica que que  el  codigo 51 que consulta el API es de Banca100  y de acuardo a las evidencias reportadas en el ticket  correponde a Davivvienda, para lo cual se solicito  homologacion  de los  codigos  y actualizar la  tabla  correspondiente.
05/05/2026: Hasta la fecha no nos han entregado  los  codigos actualizados  para realizar la corrección.</t>
  </si>
  <si>
    <t>MDSB-1021449</t>
  </si>
  <si>
    <t>Jiaras dia a dia- Inconsistencia al cargar adjuntos  en el portal salud, Reem</t>
  </si>
  <si>
    <t>Cliente está intentando radicar reembolso por póliza de salud pero no le permite adjuntar la factura, intentar adjuntar en archivo PDF o imagen y presenta error.  
Al intentar cargar cualquier documento PDF la pagina se queda cargando y no adjunta el archivo.
20/04/2026: Al realizar pruebas en producción  se evidencia un comportamiento inconsistente en la visualización de los archivos cargados. Al adjuntar el primer archivo, este no se refleja en la vista; al cargar un segundo archivo, se visualiza el primero; al cargar un tercero, se muestra el segundo, y así sucesivamente.
Este comportamiento ocurre de manera independiente del tipo de documento (Factura de Venta, Orden Médica o Documentación Adicional).</t>
  </si>
  <si>
    <t xml:space="preserve">21/04/2026: Hoy iniciara validaciones.
22/04/2026: Se realiza ajuste en el cargue de adjuntos </t>
  </si>
  <si>
    <t>MDSB-1024371</t>
  </si>
  <si>
    <t>Jiaras dia a dia- Inconsistencia al radicar reem en  portal  ARL</t>
  </si>
  <si>
    <t>De acuerdo a validación con la empresa SOLUCIONES INMEDIATAS NIT:800199453 No permite realizar la radicación del caso, se hacen pruebas por la opción tradicional y por la IA  y muestra el mismo mensaje, indica que tienen 3 equipos corporativos con la falla y uno personal.</t>
  </si>
  <si>
    <t xml:space="preserve">21/04/2026: Se identificó que los filtros de seguridad de la plataforma bloqueaban de forma automática ciertos caracteres especiales (como puntos suspensivos) y saltos de línea en el campo de observaciones, al interpretarlos como un comportamiento inusual.
22/04/2026: Se realizó un ajuste en el formulario para asegurar que el sistema procese correctamente estos textos. A partir de este momento, puede realizar sus registros con total normalidad. Se sanitizaron las descripciones para evitar que las reglas del cloudfront, las detecte como spam.
</t>
  </si>
  <si>
    <t>INTERNO-D062</t>
  </si>
  <si>
    <t>Atención de requerimiento – Tuya</t>
  </si>
  <si>
    <t>23/04/2026: Se gestionó y finalizó un ticket asociado al cliente Tuya, el cual incluía la revisión de requerimientos específicos, validación de información y entrega de un informe. La actividad fue completada satisfactoriamente el día 22 de Abril.</t>
  </si>
  <si>
    <t>INTERNO-D040</t>
  </si>
  <si>
    <t>Estabilidad del servidor / monitoreo</t>
  </si>
  <si>
    <t>Se iniciaron acciones de fortalecimiento del monitoreo y estabilización de la infraestructura con el objetivo de anticipar degradaciones del servicio y evitar eventos de indisponibilidad. Durante la sesión se identificó que parte de la carga del servidor está asociada a procesos en segundo plano, uso intensivo de caché y consumo de disco, por lo cual se están implementando controles adicionales para detectar estos cuellos de botella en tiempo real.
Este frente permanece activo, con enfoque preventivo: el objetivo no es únicamente reaccionar ante alertas, sino contar con visibilidad temprana que permita tomar acciones correctivas antes de que el servicio se vea afectado. El trabajo continúa orientado a identificar causas raíz y definir ajustes estructurales que garanticen mayor resiliencia de la plataforma.</t>
  </si>
  <si>
    <r>
      <rPr>
        <rFont val="Quattrocento Sans"/>
        <color theme="1"/>
        <sz val="10.0"/>
      </rPr>
      <t xml:space="preserve">04/02/2026: se comenzó la instrumentación de métricas más finas sobre uso de CPU, memoria y almacenamiento, así como el seguimiento a procesos que generan mayor carga. Adicionalmente, se está evaluando el comportamiento del sistema bajo picos de operación para aislar componentes que puedan estar impactando la estabilidad.
06/02/2026: El caché del servidor  impide acceder al detalle de los archivos, por lo que está evaluando una solución alternativa antes de reportarlo formalmente. de disponer de tiempo el día de hoy continuara la validación.
</t>
    </r>
    <r>
      <rPr>
        <rFont val="Quattrocento Sans"/>
        <b/>
        <color theme="1"/>
        <sz val="10.0"/>
      </rPr>
      <t>11/02/2026</t>
    </r>
    <r>
      <rPr>
        <rFont val="Quattrocento Sans"/>
        <color theme="1"/>
        <sz val="10.0"/>
      </rPr>
      <t>: No se registran avances técnicos en esta sesión, ya que el recurso fue reasignado temporalmente para atender actividades prioritarias (dashboard, organización del modelo y preparación de presentación).
Este frente queda pendiente de retomar.
13/02/2026: Se confirma que este frente permanece detenido y sin avances recientes debido a priorización de otras actividades. ( Preparación presentación Colmédica)</t>
    </r>
  </si>
  <si>
    <t>INTERNO-D045</t>
  </si>
  <si>
    <t>Ajustes por cambio en configuración de base de datos</t>
  </si>
  <si>
    <t>20/02/2026: El 19 de febrero se realizó reversión de un cambio en la configuración (tipo de distancia o motor). Se ejecutaron actividades operativas en horario nocturno (bajar y subir servicios y validar integridad de casos). La plataforma quedó operativa tras pruebas.</t>
  </si>
  <si>
    <t>INTERNO-D035</t>
  </si>
  <si>
    <t>Portal  Libranzas  Alfa</t>
  </si>
  <si>
    <t>05/01/2026: El 2 de Enero inicion el desarrollo del backend del Portal de Libranzas – Alfa, incluyendo configuración del entorno, creación de servicios base y ejecución de pruebas funcionales iniciales. El avance se encuentra limitado por la priorización de incidencias en Oficina Express, generando retraso frente a la fecha planificada.
07/01/2026: De Momento no se hapodido avanzar con el desarrollo y se pretende reiniciar mañana 8 de enero.
09/01/2026: El desarrollo se encuentra en una etapa inicial, con un avance aproximado del 15%. El trabajo se ha concentrado en la configuración y estructuración del paquete base del backend, sin que aún se haya definido el frontend. No se identifican bloqueos ni riesgos actuales y se continuará avanzando de manera progresiva.
14/01/2026: presenta un avance aproximado del 30%, con el backend prácticamente finalizado y validado mediante pruebas exitosas en Postman y servidor. Actualmente el enfoque está en iniciar el frontend, comenzando por el módulo de autenticación (login) y el acceso de usuarios de entidades financieras, alineado con el modelo de portales existentes. El equipo prioriza este desarrollo, por lo que otras actividades han quedado temporalmente en pausa
16/01/2026: Se avanzó de manera significativa en el frontend del portal de libranzas, logrando la integración entre backend y frontend, autenticación con usuarios de prueba y creación de solicitudes. Actualmente se trabaja en la visualización del detalle de la solicitud, la reedición posterior a cambios y la trazabilidad del proceso. Quedan pendientes la asignación de solicitudes a usuarios según trazabilidad y el cierre completo del módulo de detall
19/01/2026: El avance hasido satisfactorio sin bloqueos alcanzando un 40% de avance..
21/01/2026: Se continúa avanzando en el desarrollo del portal de libranzas, manteniéndose como prioridad del equipo.
26/01/2026: Se reporta un avance aproximado del 55%. Ya se encuentra casi finalizada la radicación y se avanzó en la asignación de casos, se trabajara en validaciones lógicas, gestión de casos y prefactura (1.5%).
28/01/2026: Se avanzó significativamente en la radicación masiva, incluyendo cargue inicial, validación de datos, carga de adjuntos, generación de logs, visualización de resultados y detalle de solicitudes exitosas. También se alineó la radicación individual para reutilizar los mismos campos del proceso masivo. El avance global del portal se incrementó del 55% al 65%, con expectativa de llegar al 70% tras finalizar el dashboard con gráficos (libranzas radicadas, convenios 1.5%, entidades con convenio y solicitudes pendientes). Actualmente quedan pendientes la gestión completa de usuarios (devolución de casos y administración) y el cierre del módulo de reportes.
30/01/2026: Avance se mantiene entre 65–70%. No se incrementa porcentaje debido a nuevos ajustes solicitados por el cliente deacuerdo a la sesion del 29 de enero que implican reestructurar funcionalidades ya desarrolladas.
04/02/2026: Se continúa trabajando en los cambios solicitados por el cliente y por gerencia Imagine. Este frente sigue siendo prioridad del día, en paralelo con tareas de estabilización del servidor.
06/02/2026: El proyecto se encuentra totalmente detenido ("en stock") por directrices superiores, sin permiso para avanzar hasta nueva orden.</t>
  </si>
  <si>
    <t>INTERNO-D005</t>
  </si>
  <si>
    <t xml:space="preserve">Ajustar los portales para ser responsive </t>
  </si>
  <si>
    <t xml:space="preserve">se inicia el lunes con el desarrollo de los compos responsive en los portales. Danilo esta a medios tiempos  combinando con Proteccion </t>
  </si>
  <si>
    <t>Se define  y continuar  despuest de realizar  el req Lectura de nuevos datos de ordenes medicas  con IA</t>
  </si>
  <si>
    <t xml:space="preserve">Continuara pausado dando prioridad al req GD772-109 Lectura de nuevos datos de ordenes medicas  con IA con el fin de dejarlo terinado antes de salir a vacaiones el martes 3 de Junio. </t>
  </si>
  <si>
    <t>INTERNO-D025</t>
  </si>
  <si>
    <t>Mejoras Sistema de reembolsos Salud (mejoras solicitadas por gerencia)</t>
  </si>
  <si>
    <t>**Se requiere para el portal de Reembolsos:**\n- Visualización de facturas: poder ver la factura que estoy radicando, consultar si ya fue radicada, en qué estado se encuentra y tener un tiempo estimado de respuesta.\n- Gestión de casos y observaciones: cuando tenga un problema con un caso, poder digitar en la observación el número de caso y mi documento, para que el sistema asocie automáticamente el comentario al caso correspondiente y me permita reabrirlo si es necesario.</t>
  </si>
  <si>
    <t>05/09/2025: Se registra un avance estimado del 15%. La labor ha requerido investigación y entendimiento del proceso, por lo cual el progreso ha sido gradual. Continúa en desarrollo.
08/09/2025: El avance fue mínimo (aprox. 5%), debido a la priorización de la reinstalación del ambiente de desarrollo. El trabajo continuará hoy con mayor dedicación.
10/09/2025: Desarrollo con tres actividades; una ya  se esta probando, Se estima entregar primer avance esta semana.
121/09/2025: Se avanzó en la primera actividad del requerimiento, alcanzando un 50% de desarrollo. Se requiere desplegar en el ambiente de pruebas (test) para continuar con las validaciones.
15/09/2025: El viernes  12 de deptiembre se trabajó en optimizar el tiempo de respuesta del sistema de reembolsos, reduciendo la demora causada por procesos adicionales en el consumo de la API. Se planea subir los cambios al ambiente de pruebas durante el día.
16/09/2025: Cambios suibidos al ambiente de test  el 15 de septiembre para iniciar pruebas.
16/09/2025: Se realizan pruebas y se identifican problemas en el consumo del servicio (API).
07/11/2025: Proximo a reiniciar  ajustes  en el consumo</t>
  </si>
  <si>
    <t>GD772-113</t>
  </si>
  <si>
    <t>Captura información ordenes médicas a través de IA</t>
  </si>
  <si>
    <t>MDSB-984192</t>
  </si>
  <si>
    <t>Jiras dia a dia (Error- 3153 Casos de conciliación masiva no registran PDF</t>
  </si>
  <si>
    <t>El día 16 de febrero realizamos el cargue por imagen de las conciliaciones masivas de 3153 PDF por el modulo Radicador-masivos mail y adjuntamos el excel, requerido (Para las demás tipologías la estructura del archivo debe ser igual (Formato_Ejemplo.xls)), sin embargo detectamos que solo cargo el archivo 250513_ARL_5812_DEPURACION_CONCILIACIONES_MAIL_v2 (jpg) - 250513_ARL_5812_DEPURACION_CONCILIACIONES_PDF_v2 (1)(pdf) y no cargo el PDF de la conciliación masiva que se cargo por TRONADOR en la forma CARGUE ARCHIVOS.
Como podemos ver el ejemplo el nit 901041447, imagen lo creo con el caso 44249977  al ver el detalle de las imágenes esta 250513_ARL_5812_DEPURACION_CONCILIACIONES_MAIL_v2 (jpg) - 250513_ARL_5812_DEPURACION_CONCILIACIONES_PDF_v2 (1)(pdf) y no cargo el PDF de la conciliación masiva que se cargo por TRONADOR en la forma CARGUE ARCHIVOS.
Adicional a esto sale en estado PENDIENTE, pero al descargar el  el informe por TIPOLIGIA sale cerrado</t>
  </si>
  <si>
    <t>18/02/2026: Se realizó la validación del proceso de cargue y se identificó que, en el paso Creación de casos del módulo de masivos, no se marcó la opción “Requiere PDF para envío”, la cual determina si los casos deben generarse con el documento PDF asociado.
Por este motivo, los casos se crearon correctamente, pero sin la vinculación del PDF de conciliación.
Es importante aclarar que se encuentran cargados en la ruta correspondiente 3764 PDFs, 
Respecto a la diferencia de estados, los casos aparecen pendientes en la actividad Envío de Respuesta y cerrados en el informe por tipología porque dicho informe toma como referencia el estado de la actividad Generación de Respuesta, lo cual corresponde al comportamiento esperado del flujo.</t>
  </si>
  <si>
    <t>GD772-166</t>
  </si>
  <si>
    <t>Encolamiento descarga masiva recobros</t>
  </si>
  <si>
    <t>Se debe implementar una funcionalidad que permita que, al momento en que el usuario presione la opción Descargar en el módulo de recobros, el sistema realice automáticamente la firma del archivo generado por apache  y entregue la descarga del archivo ya firmado mediante una URL temporal.
El objetivo es eliminar el proceso manual actual de firma y transferencia, optimizando los tiempos de descarga, especialmente para archivos de gran tamaño, y garantizando un flujo automático y transparente para el usuario.</t>
  </si>
  <si>
    <t>21/01/2026: El proceso continúa operando de forma manual mientras se resuelve la limitación de capacidad de la máquina. No se evidencian nuevos cambios frente a lo ya acordado. Se mantiene la entrega manual a demanda y la espera para retomar el desarrollo de la mejora.
23/02/2026: se Inicia desarrollo 
Se finaliza ajuste y de despliega en producción  para  realizar prueba controlada.
24/02/2026: Despues de realizar la descarga controlada en producción se confirma su correcto  funcionamiento  y se le notifica a Juan.</t>
  </si>
  <si>
    <t>GD772-181</t>
  </si>
  <si>
    <t xml:space="preserve">Requerimiento técnico </t>
  </si>
  <si>
    <t xml:space="preserve">Actualmente, la gestión de imágenes y casos en el sistema Imagine se realiza  
exclusivamente a través de su interfaz web. Esta limitación impide la comunicación directa  
con los sistemas satélites de la red corporativa, generando un cuello de botella operativo  
que incrementa los tiempos de procesamiento y la propensión a errores humanos.  
Ante la evolución del ecosistema tecnológico de la compañía, resulta imperativo habilitar  
una capacidad de integración automatizada que permita alimentar el repositorio central  
custodiado por Imagine de manera masiva y eficiente.  
El objetivo es canalizar la información desde los sistemas periféricos hacia Imagine  
mediante una interfaz segura, reutilizando estrictamente los flujos de proceso y la lógica de  
negocio ya consolidados en la herramienta. Esta integración permitirá alcanzar una  
eficiencia operativa sustancial para la compañía, transformando tareas operativas en flujos  
digitales inmediatos y libres de fricción. Al hacerlo bajo la estricta gobernanza de Imagine,  
garantizamos no solo la agilidad del proceso, sino también la integridad de cada caso y la  
custodia de las imágenes, aplicando las validaciones actuales de manera transparente y sin  
necesidad de redefinir el funcionamiento interno del aplicativo.  </t>
  </si>
  <si>
    <t>ESTIMAR</t>
  </si>
  <si>
    <t>21/01/2026: Las historias de usuario fueron respondidas por Imagine el 19/01/2026. En sesión se acuerda que Imagine entregará la estimación del requerimiento el lunes 26/01/2026, considerando las tipologías actuales y sin esperar la depuración total.
29/01/2026: se informa en sesion de seguimiento que se encuentra en  análisis por parte de la gerencia de Imagine, Se está evaluando el impacto administrativo, el mantenimiento y el soporte que requerirá, dado que es un desarrollo de gran tamaño</t>
  </si>
  <si>
    <t>GD772-173</t>
  </si>
  <si>
    <t>Gestión farmacéutica fase 3</t>
  </si>
  <si>
    <t>21/01/2026: Pendiente aval para priorización.</t>
  </si>
  <si>
    <t>GD772-167</t>
  </si>
  <si>
    <t xml:space="preserve">Mejora general de modalidades de trabajo
</t>
  </si>
  <si>
    <t>21/01/2026: En elaboración por el cliente del req.</t>
  </si>
  <si>
    <t>GD772-043</t>
  </si>
  <si>
    <t xml:space="preserve">Creación de informes nuevo sector - Prevención
</t>
  </si>
  <si>
    <t>21/01/2026: En refinamiento, pendiente estimación</t>
  </si>
  <si>
    <t>INTERNO-D034</t>
  </si>
  <si>
    <r>
      <rPr>
        <rFont val="Quattrocento Sans"/>
        <color theme="1"/>
      </rPr>
      <t>Infraestructura -</t>
    </r>
    <r>
      <rPr>
        <rFont val="Quattrocento Sans"/>
        <b/>
        <color theme="1"/>
      </rPr>
      <t xml:space="preserve"> Informe de volumetría para instancia imaginex_ec2_private1</t>
    </r>
  </si>
  <si>
    <t xml:space="preserve">El motivo del siguiente correo es solicitar su apoyo con las volumetrías que nos permitan elegir de manera correcta los recursos para la instancia imaginex_ec2_private1 (i-09c4f03e8ed0749c6). Por favor compartir los siguientes datos últimos 12 meses y proyección:
1. Volumen de carga
•        Número de archivos por mes, por día y pico por hora.
•        Estacionalidad (meses con picos) y crecimiento mensual esperado.
2. Tamaño y tipo de archivos
•        Tamaño promedio y los más pesados(MB).
•        Tipos más frecuentes (PDF, imágenes, ZIP).
3. Procesamiento actual
•        Tiempo promedio por archivo (validaciones, conversiones).
•        Número de procesos simultáneos en picos.
4. Métricas técnicas
•        Uso promedio y pico de CPU y memoria durante cargas altas.
•        Longitud promedio de la cola / retrabajos si aplica.
5. Proyección a 3 años
•        Crecimiento orgánico esperado y multiplicadores por temporada (Por ejemplo diciembre temporada alta).
</t>
  </si>
  <si>
    <t>18/12/2025:  Levantamiento de métricas (CPU, RAM, disco, I/O, red), análisis y picos, entrega para mejorar los recursos.
19/12/2025: El reporte de volumetrías fue completamente elaborado y enviado. Se confirma su finalización al 100 % para las instancias correspondientes, sin pendientes asociados.</t>
  </si>
  <si>
    <t>INTERNO-D033</t>
  </si>
  <si>
    <t>Oficina Virtual – Ajuste de Conexiones / Error 502</t>
  </si>
  <si>
    <t>El portal de Oficina Virtual ha estado presentando errores 502 – Bad Gateway durante los picos de uso. El análisis evidenció que el problema se origina por el límite de conexiones simultáneas configurado en el servidor, el cual estaba establecido en 160 conexiones. Debido a esto, cuando la demanda supera ese umbral, el servidor rechaza nuevas solicitudes y genera los errores 502 para los usuarios.
El requerimiento consiste en ajustar el límite de conexiones para mejorar la disponibilidad del portal y mitigar los errores, evaluando la capacidad real del servidor para evitar inestabilidad.</t>
  </si>
  <si>
    <t>26/11/2025: El lunes 24 de noviembre se aumentó el límite de conexiones simultáneas de 160 a 200 para reducir los errores 502 detectados. El cliente solicitó evaluar un incremento mayor, pero no se recomienda hacerlo por riesgo de inestabilidad del servidor. Se debe enviar un correo formal explicando el análisis técnico y las limitaciones de capacidad.
01/12/2025: Se realizó el aumento de conexiones simultáneas para monitorear el comportamiento del portal durante el viernes. El sistema operó con normalidad y ya no se requiere una acción adicional. Se considera cerrado.</t>
  </si>
  <si>
    <t>INTERNO-D030</t>
  </si>
  <si>
    <t>Informe uso aplicaciones Bolivar ( Desacoplar componentes)</t>
  </si>
  <si>
    <t>Elaboración del informe de uso de aplicaciones Bolívar con enfoque en el desacople de componentes.</t>
  </si>
  <si>
    <t xml:space="preserve">12/11/2025: Compromiso de entrega 14 de noviembre
14/11/2025:  Se dejara lista a más tardar el martes y se envíar el correo
18/11/2025:  Construcción y ajuste del informe para ser entregado al cliente en la fecha comprometida. La tecnología que estamos usando no permite obtener las estadísticas de uso de cada archivo. Informe entregado hoy </t>
  </si>
  <si>
    <t>INTERNO-D032</t>
  </si>
  <si>
    <t>Soporte al caso 40301303 no permite su envio</t>
  </si>
  <si>
    <t>11/11/2025: Caso revisado: no se podía enviar correo debido a caracteres especiales en el asunto. Se ajusta el proceso para limpiar dichos caracteres y permitir el envío correctamente.</t>
  </si>
  <si>
    <t>GD772-160</t>
  </si>
  <si>
    <t>Ajustar Titulo Información Paciente</t>
  </si>
  <si>
    <t xml:space="preserve">17/10/2025: Cambio aplicado </t>
  </si>
  <si>
    <t>MDSB-950004</t>
  </si>
  <si>
    <r>
      <rPr>
        <rFont val="Quattrocento Sans"/>
        <b/>
        <color theme="1"/>
      </rPr>
      <t xml:space="preserve">Control de Cambios </t>
    </r>
    <r>
      <rPr>
        <rFont val="Quattrocento Sans"/>
        <color theme="1"/>
      </rPr>
      <t>– Escalamiento EC2 Producción</t>
    </r>
  </si>
  <si>
    <t>Control de Cambios de Infraestructura en Producción, específicamente a un escalamiento de capacidad (vertical scaling) de una instancia EC2 en AWS, que ya fue ejecutado como medida correctiva de emergencia para mitigar incidentes operativos.
Es decir, no es una solicitud de mejora, sino la formalización de una acción correctiva crítica ya ejecutada</t>
  </si>
  <si>
    <t>22/12/2025: El viernes se escalo el Jira MDSB-950004 para la formalización del control de cambios en ambiente productivo. El cambio ya fue realizado, por lo que la actividad actual se enfoca en justificar y aprobar formalmente el control, incluyendo el informe de volumetrías y el análisis de impacto en caso de no aprobarse.
29/12/2025: Confirman configuración de la Instancia.</t>
  </si>
  <si>
    <t>INTERNO-D036</t>
  </si>
  <si>
    <t xml:space="preserve"> Volumetrias Imagine</t>
  </si>
  <si>
    <t>Fecha de entrega al cliente: 09 de Enero de 2026.
Se requiere las volumetrías de (Peso actual y proyectado a 3 años) :
1. Volumen de datos
Tamaño total actual del repositorio y/o archivos manejados por la aplicación (en GB o TB).
Crecimiento mensual promedio esperado de la información (GB/mes).
Tamaño promedio por archivo y cantidad total de archivos almacenados.
2. Patrón de uso
Número de accesos promedio por día y en picos (lecturas/escrituras).
Porcentaje estimado de operaciones de lectura vs. escritura.
Identificación del tipo de archivos: transaccionales, estáticos, temporales, adjuntos, multimedia, etc.
3. Ciclo de vida de la información
Tiempo promedio de uso activo de los archivos (ej. 30, 60, 90 días).
Porcentaje de datos que permanecen activos pasados los 90 días.
Frecuencia con la que se debe acceder a información histórica.
4. Requerimientos operativos
Necesidad de acceso simultáneo y compartido al repositorio.
Dependencias de la aplicación respecto a operaciones POSIX (renombrar, bloquear, borrar, permisos)</t>
  </si>
  <si>
    <t>29/12/2025: Se estima inciar la generación de información en 5 de enero de 2026
05/01/2026: Iniciara con la construcción y ejecución de un script para el conteo de imágenes y generación de información de volumetría
07/01/2026: No fue posible avanzar más el día anterior. Para el día de hoy se tiene como objetivo continuar y, de ser posible, finalizar la tarea.
09/01/2026: Ya se dispone de un informe parcial elaborado previamente, y la información mínima requerida para la construcción del aplicativo fue completada. La finalización depende de la correcta ejecución de comandos en el servidor (AWS), cuyo tiempo de respuesta no está completamente bajo control del equipo. En caso de no concluirse en el día de hoy, el informe actual será entregado para análisis preliminar.
14/01/2026: se encuentran pendiente de revisión, debido a la priorización del desarrollo del portal de Libranzas
16/01/2026: El requerimiento de volumetrías se encuentra parcialmente analizado
19/01/2026: Esta a la espera de la respuesta del servidor  para ir completando las información pendiente..
21/01/2026: El requerimiento de volumetrías fue finalizado. El 19 de eneroe se entregó un informe completo que incluye promedios de archivos indexados y consultados por mes, análisis de actividad en disco, tamaño de archivos, archivos con más de 10 años de antigüedad, archivo más antiguo y proyección a tres años..</t>
  </si>
  <si>
    <t>INTERNO-D037</t>
  </si>
  <si>
    <t>Información mínima requerida para construir el API de Imagine</t>
  </si>
  <si>
    <t>02/01/2026: Se avanzó en la respuesta al cuestionario de 7 preguntas solicitado para contextualizar el diseño de un nuevo API. A la fecha, se reporta un avance superior al 50% (5 de 7 preguntas respondidas). Las respuestas se están construyendo con información entendible para negocio (tipologías, campos requeridos, adjuntos), soportadas con consultas a base de datos y evidencias técnicas. Se prevé finalizar el restante en el transcurso del día.
07/01/2026: No se ha logrado avanzar en la recolección de la información; se tiene previsto dedicar tiempo durante el día de hoy para su gestión.
08/01/2026: Información completada y emviada.</t>
  </si>
  <si>
    <t>GD772-141_11</t>
  </si>
  <si>
    <t>Informe de radicaciones – Oficina Express (clasificación IA)</t>
  </si>
  <si>
    <t>Se requiere un informe de todos los casos radicados por oficina expres</t>
  </si>
  <si>
    <t xml:space="preserve">09/01/2026: Se encuentra pendiente el envío del informe consolidado al área correspondiente, el cual se entregará en el transcurso del día y servirá como insumo de análisis,
14/01/2026: Informe entregado el 9 de enero. </t>
  </si>
  <si>
    <t>GD772-141_12</t>
  </si>
  <si>
    <r>
      <rPr>
        <rFont val="Quattrocento Sans"/>
        <color theme="1"/>
      </rPr>
      <t xml:space="preserve">Incidencias 9 de enero– </t>
    </r>
    <r>
      <rPr>
        <rFont val="Quattrocento Sans"/>
        <b/>
        <color theme="1"/>
      </rPr>
      <t>Oficina Express</t>
    </r>
  </si>
  <si>
    <t>14/01/2026: no se ha dedicado tiempo reciente a su análisis ni a las incidencias reportadas, las cuales se estima podrían resolverse en corto tiempo una vez se retome la actividad
16/01/2026: Se mantienen pendientes algunas incidencias y ajustes menores en Oficina Express. No se ha realizado avance reciente debido a la priorización del portal de libranzas y las volumetrías. Se estima retomar estos ajustes a partir de la próxima semana, una vez se libere capacidad del equipo.
21/01/2026: No se han abordado incidencias funcionales recientes de Oficina Express debido a la priorización de libranzas. Se estima dedicar la mañana de para iniciar las validaciones.
26/01/2026: El 23 de enero las incidencias reportadas en Oficina Express quedaron  prácticamente resueltas. Queda pendiente únicamente una sesión corta de entrenamiento (aprox. una hora) para cerrar completamente el frente. El equipo priorizará este espacio dentro de la jornada para dejar el requerimiento finalizado
28/01/2026: Las incidencias reportadas en Oficina Express ya fueron resueltas. Permanece pendiente únicamente el entrenamiento adicional del modelo con más solicitudes y tipologías, con el fin de mantener su calibración y evitar sesgos en las respuestas. Este entrenamiento requiere ampliar el conjunto de datos más allá de los casos inicialmente entregados y se realizará de forma progresiva.</t>
  </si>
  <si>
    <t>INTERNO-D039</t>
  </si>
  <si>
    <t>Corrección de uso excesivo de disco por acumulación de archivos temporales en consultas de imágenes</t>
  </si>
  <si>
    <t>Se identificó una incidencia crítica de infraestructura en la instancia privada debido al crecimiento descontrolado del uso de disco, originado por la acumulación de archivos temporales generados durante la consulta y visualización de imágenes desde los portales. Estos archivos no estaban siendo depurados automáticamente, lo que provocó alertas por superar el 85% de capacidad de almacenamiento.
La tarea consistió en analizar el origen de los archivos temporales, validar las rutas involucradas y ajustar los mecanismos de limpieza automática para evitar la recurrencia del problema y garantizar la estabilidad del servicio.</t>
  </si>
  <si>
    <t>21/01/2026: La incidencia fue atendida exitosamente el 19 de enero. Se actualizó el script de limpieza automática para incluir la eliminación diaria de archivos temporales con más de siete días de antigüedad. Como resultado, se liberaron aproximadamente 32 GB de espacio en disco, reduciendo el uso total al 42% y mitigando las alertas de almacenamiento. La solución quedó operativa y previene la acumulación futura de archivos temporales.</t>
  </si>
  <si>
    <t>MDSB-960620</t>
  </si>
  <si>
    <t>Jira solicitud de información</t>
  </si>
  <si>
    <t xml:space="preserve">
Se requiere los datos de todos los  procesoso flujos que involucren gestion de archivos y que esten haciendo uso del EFS, no solo ARL
Se solicita la siguiente información:
Cantidad de archivos promedio indexados por mes. 
Cantidad de archivos promedio consultados por mes
Cantidad de archivos por  tipo de archivo por  mes.
Catnidad de archivos por  mes  por flujo de proceso.
Cantidad total  de archivos con más de 10 años de almacenamiento. </t>
  </si>
  <si>
    <t xml:space="preserve">16/01/2026: eE cliente requiere información adicional relacionada con cantidad de archivos y tiempos, además del crecimiento en almacenamiento previamente enviado. Esta información puede obtenerse desde base de datos; sin embargo, aún no se ha dedicado el tiempo necesario para completar el análisis y dar respuesta formal al correo. Se planea avanzar en este punto en la medida en que la priorización de libranzas lo permita.
19/01/2026:No se ha iniciado con esta tarea debido a la limitada disponibilidad de tiempo para dedicarle.
21/01/2026: Se da respuesta al ticket con la información enviada por Danilo de volumetrias Imagine </t>
  </si>
  <si>
    <t>INTERNO-D038</t>
  </si>
  <si>
    <t>Incidencia de reCAPTCHA en portales</t>
  </si>
  <si>
    <t>Se identifican posibles fallos por expiración de token y consumo del API</t>
  </si>
  <si>
    <t>14/01/2026: El 13 de enero se atendió una incidencia intermitente relacionada con reCAPTCHA, identificando posibles fallos por expiración de token y consumo del API. Se modificó la forma de consumo del servicio (pasando de JavaScript a Alpine) y se alineó la implementación con la utilizada en Oficina Express. Los cambios fueron desplegados en ambiente de pruebas y posteriormente en producción;</t>
  </si>
  <si>
    <t># REQ</t>
  </si>
  <si>
    <t>Detalle del requerimiento</t>
  </si>
  <si>
    <t xml:space="preserve">Proceso </t>
  </si>
  <si>
    <t>%</t>
  </si>
  <si>
    <t>Visible</t>
  </si>
  <si>
    <t>OBSERVACIONES  ALFA</t>
  </si>
  <si>
    <t>MAURICIO</t>
  </si>
  <si>
    <t>PRV_2025_001_1</t>
  </si>
  <si>
    <t>REVISIÓN DE LIQUIDACIÓN PARA PAGO,</t>
  </si>
  <si>
    <t>Previsional</t>
  </si>
  <si>
    <r>
      <rPr>
        <rFont val="Quattrocento Sans"/>
        <color theme="1"/>
        <sz val="10.0"/>
      </rPr>
      <t xml:space="preserve">Se notifica por par parte del jefe de unidad inconsistencias en Vistas de las fuentes de información entregadas. Carecen de data necesaria, 
09/06/2025 :El requerimirneo fue  pausado 12 mayo de 2025
10/06/2025: Hoy se definira si se contunua con el desarrollo o continua pausado.
11/06/2025: Ya se cuenta con los permisos y el query para la vista. Se sincronizan las reclamaciones de Cifren, pero falta integrar las de Plus (montadas en AWS) y ajustar la identificación del origen de cada reclamación.
Se estima que este requerimiento adicional tomará un día de trabajo Iniciando  el 12 de Junio
13/06/2025: Se obtuvo respuesta positiva sobre permisos para acceder a la vista de Plus. Sin embargo, falta que la vista tenga datos reales para completar la sincronización. 
16/06/2025 : Se completó la primera fase de validación y hoy se trabaja en la parte de gestión de pagos, cliente  realizara pruebas hoy 
</t>
    </r>
    <r>
      <rPr>
        <rFont val="Quattrocento Sans"/>
        <b/>
        <color theme="1"/>
        <sz val="10.0"/>
      </rPr>
      <t>17/06/2025</t>
    </r>
    <r>
      <rPr>
        <rFont val="Quattrocento Sans"/>
        <color theme="1"/>
        <sz val="10.0"/>
      </rPr>
      <t>: Se realizan en ajustes en la mañana de hallasgoz reportados por el cliente tras las pruebas, y se entregaran al cliente para sus pruebas. 
18/06/2025: Se adaptó el grid y los reportes a 
los distintos roles/permisos. También se incorporaron nuevos campos a solicitud del cliente; pendiente Pruebas  por el cliente.
19/06/2025; supero pruebas del cliente  y se aprueba paso a produccion  para el dia sabado 21 de Junio..
24/06/2025; Alfa aplazó el paso a produccion para el 5 de julio, debido a que tenían actualizaciones pendientes. Además, dependemos de la disponibilidad de ciertas vistas en el ambiente de producción para continuar con el proceso. 
07/07/2025: Se realiza paso a produccion el 5 de julio.</t>
    </r>
  </si>
  <si>
    <t>PRV_2025_001_2</t>
  </si>
  <si>
    <t>VALIDACIÓN DE LOTE PARA PAGO,
NOTIFICACIÓN DE PAGO</t>
  </si>
  <si>
    <t>El 16 de junio se inicia desarrollo confecha estimada de finalizacion  18 de junio. 
18/06/2025: El 17 de junio  se desarrollan dos informes adicionales: tesorería y porvenir, con definición de estructura en curso.
19/06/2025: Entrega al cliente para pruebas 19 de junio, Cliente solicita ajuste de vistas y campos  necesarios  para el proceso.
24/06/2025; Alfa aplazó el paso a produccion para el 5 de julio, debido a que tenían actualizaciones pendientes
07/07/2025: Se realiza paso a produccion el 5 de julio.</t>
  </si>
  <si>
    <t>PRV_2025_004</t>
  </si>
  <si>
    <t>AUXILIOS FUNERARIOS
PAGO AUX. FUNERARIOS</t>
  </si>
  <si>
    <t>Cargue de formatos de formalización y consolidado 100%
Opción de edición y opción de histórico del flujo 100%
Se notifica por par parte del jefe de unidad inconsistencias en Vistas de las fuentes de información entregadas. Carecen de data necesaria
09/06/2025 :El requerimirneo fue  pausado  el 6 de junio de 2025.
16/06/2025: Se comenzarán el jueves 19 de junio. Ya se están creando las vistas necesarias para ese flujo
19/06/2025: Inicio del desarrollo.
20/06/2025:No se pudo avanzar ayer 19 de junio por ajustes requeridos por el cliente para PRV_2025_001 VALIDACIÓN DE LOTE PARA PAGO,NOTIFICACIÓN DE PAGO,  Se retomara  desarrollo 24 de junio.
24/06/2025; Se encuentra sincronizando data, se estiman 2 dias para finalizar.
25/06/2025:Se ajustó la lógica del requerimiento tras diferenciarlo claramente del flujo de pagos. Se avanzó en la creación de vistas y en la sincronización inicial de datos. Se espera tener el desarrollo listo para pruebas el jueves 26. Se planea agregar botones para sincronización (Pago,auxilio y exportar) diferenciada según permisos,crear tabla de auxilios x año, ajustar campos (encabezados)de la vista de gestion y ajustar modulo de consulta.
26/06/2025: Se avanzó satisfactoriamente en la creación de la tabla de auxilios por año, el ajuste de encabezados en la vista de gestión y la incorporación de los botones de sincronización según permisos. PENDIENTE, Está pendiente la solución del error en la sincronización masiva, lo cual impide avanzar con la exportación y cargue de información. También sigue sin ajustes el módulo de consulta para auxilios.
27/06/2025: 
pendiente: 1. asignar opcion de pendientes
2. Ver consolidado pagos. (se envia masivamente y aprueba por el flujo para pasar a pagos).
3. Generar informe radicacion pagos plus.
Se estima toda la entrega para hoy
01/07/2025: Se ha avanzado en un 75% del desarrollo, incluyendo funcionalidades principales. El cierre del tema está previsto para hoy, Faltan por implementar la generación de informes, la edición de fecha de siniestro y valor, así como la opción de marcar como pendiente.
02/07/2025:El desarrollo del módulo de auxilios funerarios presenta un avance estimado del 90%. Ya se encuentra implementada la funcionalidad principal, incluyendo la creación de vistas, funciones de sincronización y flujo de radicación hasta aprobación. Se están finalizando los ajustes a los reportes en Excel, Se programó una sesión de revisión hoy a las 2:00 p.m. para validación funcional y ajuste de pendientes.
04/07/2025: Se resolvió un error en la validación de pagos, el módulo ya está funcional. Se finalizó el desarrollo y se ajustaron validaciones necesarias para la gestión masiva y manual. Solo queda pendiente la validación del cliente, ya que la sesión programada fue cancelada.
07/07/2025: Se Pasado a producción el 5 de julio sin habilitar el menú. Faltan validaciones finales por el cliiente.
16/07/2025: Las pruebas no se han culminado por un error en el sistema del cliente al cargar unos registros. Sin estos registros no puedo ver la data que necesitamos en Imagine.
29/07/2025: Se proyecta acompañar al àrea para realizar pruebas con los recursos existentes para ya dejar cerrado el requerimiento
01/08/2025: Hoy se retoma el módulo con el cliente, para validar que se tiene hasta el momento, funcionalidad y posibles desviaciones, para dar gestion y cierre del requerimiento
04/08/2025: Se continùa validaciones y ajustes correspondientes para proyectar paso a producciòn el viernes 08 de agosto
12/08/2025: Debido a incidencia presentada en la conexión Plus + UAT , no fue posible el paso a producciòn el viernes 08 de agosto, por tanto se proyecta el despliegue para el viernes 15 de agosto
20/08/2025: Despliegue a produccion realizado en 15 de Agosto.</t>
  </si>
  <si>
    <t>15/07/2025 Ya se encuenra en produccion</t>
  </si>
  <si>
    <t>PRV_2025_009</t>
  </si>
  <si>
    <t>DESARROLLO PREVISIONALES  INCAPACIDADES</t>
  </si>
  <si>
    <t>09/06/2025: El Objetivo Automatizar el cálculo de incapacidades en el sistema Imagine, replicando el proceso manual actual utilizado por los liquidadores y presentando los resultados en un formato claro y compatible con Excel.\niniciara  con el desarrollo.
11/06/2025: Mauricio completó la función de cálculo y está terminando el formulario de consulta. Planea entregar el requerimiento completo hoy para subir a pruebas el jueves.
13/06/2025: Ya fue entregado en ambiente de pruebas para validación del cliente. Está funcionando correctamente y aplicando los cálculos según lo solicitado.
9/06/2025: Paso a produccion para el 21 de junio.
24/06/2025: Fala aplazó el paso a produccion para el 5 de julio, debido a que tenían actualizaciones pendientes.
07/07/2025: Igual que Auxilios se paso a producciòn el 5 de julio sin habilitar el menu. Se requiere validación del cliente para habilitar.
16/07/2025: Requerimiento funcional en produccion con el menu habiitado.</t>
  </si>
  <si>
    <t>PRV_2025_007</t>
  </si>
  <si>
    <t>CALCULO IBL</t>
  </si>
  <si>
    <t>11/06/2025: Continuara con el desarrollo tras finalizar  req PRV_2025_001  REVISIÓN DE LIQUIDACIÓN PARA PAGO
13/06/2025:Se programó su inicio para hoy. Mauricio confirmara la estimación del tiempo de desarrollo.
16/06/2025: Se requiere una sesion con Carlos, Jenry, Mauricio y Fabio para entender el detalle de validaciones. Aún no se tiene fecha ni estimación.
04/07/2015:Se inicia desarrollo con  un avance del 20%. Se ajustaron funciones en Postgres para cálculos correctos según las vistas generadas. El siguiente paso es crear la funcionalidad de consulta por cédula o siniestro y desplegar cálculos de acuerdo a la fecha indicada. Se estima finalizar req hoy   para  realizar paso a produccion el  5 de julio.
07/07/2025: Se realizo paso a producciòn el 5 de Julio sin habiitar el menu, Faltan pruebas formales del cliente para habilitación final.
11/07/2025: El 10 de julio se realizó un ajuste para excluir los casos con auxilios funerarios. Ahora, el sistema valida que el origen del caso sea únicamente incapacidad o supervivencia; en caso contrario, se lanza una alerta.
16/07/2025: Se realiza paso a producción el 14 de julio en la noche.</t>
  </si>
  <si>
    <t>10/07/2025 Posterior a pruebas se solicito ajuste a Mauricio para que no mostrara informacion diferentes a cod_origen 1,2
15/07/2025 Ya se encuenra en produccion</t>
  </si>
  <si>
    <t>PRV_2025_005</t>
  </si>
  <si>
    <t>HISTORIA LABORAL</t>
  </si>
  <si>
    <t xml:space="preserve">Rentas </t>
  </si>
  <si>
    <t>11/06/2025: Continuara con el desarrollo tras finalizar  req  PRV_2025_007 CALCULO IBL
07/07/2025: Inicia desarrollo 
08/07/2025: Se reporta un avance del 50 % entre analisis y desarrollo del requerimeinto. 
09/07/2025: Se Finaliza desarrollo y se entrega al cliente  para pruebas.
14/07/2025: El 10 de julio se ajustó el reporte para incluir los períodos que existen en Multifondos pero no en Alfa. Adicionalmente, se incorporó una nueva columna que muestra el salario mensualizado proveniente de Porvenir. Los cambios ya fueron implementados y se encuentran listos para validación.
16/07/2025: Se realiza paso a producción el 14 de julio en la noche.</t>
  </si>
  <si>
    <t>10/07/2025 Posterior a pruebas se solicito a Mauricio ajustes para visualizar los periodos a los cuales no se realizo analisis y tambien columna adicional para periodos falsos con calculo de el valor del los dias (Valor salario MF * 30) / Dias cotizados 
11/07/2025: El 10 de julio se ajustó el reporte para incluir periodos que existan en multifondos pero no en Alfa. Se agregó una columna adicional para mostrar el salario mensualizado proveniente de Porvenir. Cambios ya implementados y listos para validación.
15/07/2025 Ya se encuenra en produccion</t>
  </si>
  <si>
    <t>AJUST_REN_2025_001_1</t>
  </si>
  <si>
    <t>INCLUIR VALIDACION DOCUMENTAL PARA NUEVO ORIGEN SUSTITUCION PENSIONAL I</t>
  </si>
  <si>
    <t>11/07/2025: Dado que ya se crearon las tablas de referencia, se finalizó este proceso el día 10 de julio. Queda pendiente validar el impacto que estas puedan tener en los diferentes módulos y consultas del sistema para que el cliente realice las pruebas.
14/07/2025:  El viernes 11 se  valida en ambiente de pruebas los ajustes realizados, confirmando funcionamiento correcto en: cargue de cotización y contratación, gestión telefónica desde call center, exportación del informe de Presidencia y descarga de documentos. Quedan pendientes por validar: envío de correos del portafolio de servicios, envío de comprobantes de nómina y validación de consultas.\n Hoy se trabajará en los informes que deben reflejar esta nueva parametrización y se verificará si afecta portafolios o comprobantes de nómina.
15/07/2025: El lunes 14 de julio se finalizó el desarrollo del ajuste, se realizaron las pruebas correspondientes con resultados exitosos y se procedió con el paso a producción.</t>
  </si>
  <si>
    <t>26/06/2025 Se incluyen requerimientos de acuerdo  a sesiones con el cliente. Corresponde a ajustes a plataforma ya en produccion
10/07/2025 ya que crearon las tablas de referencia. pendiente validar el impacto en los diferetnes modulos y consutas.
11/07/2025 Se valida ajustes realizados por mauricio en pruebas posterior a la incluision de nuevo ORIGEN. Para esto se confirma que esta correcto: 1. Cargue cotizacion y contratacion 2. Gestion telefonica call center 3. Exportar informe Presidencia 4. Descarga de documentos con nuevo Origen.) PENDIENTES: 5. Envio correos Portafolio de servicio  6. Envio Comprobantes de nomina 7. Valdacion de consultas.
15/07/2025 Ya se encuenra en produccion</t>
  </si>
  <si>
    <t>AJUST_REN_2025_001_2</t>
  </si>
  <si>
    <t xml:space="preserve">INFORME DE PRESIDENCIA (Validación Documental Rentas) </t>
  </si>
  <si>
    <t>10/07/2025: Se realizaron los ajustes solicitados por el área y estos ya fueron entregados en el ambiente de producción. El cliente efectuó las pruebas correspondientes y confirmó que el ajuste fue aplicado correctamente.</t>
  </si>
  <si>
    <t>26/06/2025 Se incluyen requerimientos de acuerdo  a sesiones con el cliente. Corresponde a ajustes a plataforma ya en produccion
10/07/2025 Se realizan ajustes solicitados por el area. Y ya se entregaron en produccion. El cliente realizo pruebas y confirmo ajuste.</t>
  </si>
  <si>
    <t>AJUST_REN_2025_001_3</t>
  </si>
  <si>
    <t>CAMBIO DE ESTADO DE IMÁGENES PARA RENTAS NO CONTRATADAS</t>
  </si>
  <si>
    <t>15/07/2025: Se inician ajustes solicitados
18/07/2025 Se culminaron los ajustes requeridos por el área, se realiza paso a produccion el 17 de julio.</t>
  </si>
  <si>
    <t>15/07/2025 Se inicia ajustes requeridos
17/07/2025 Requerimiento probado y en produccion. Se realizo paso a produccion el dia 17/07/2025</t>
  </si>
  <si>
    <t>AJUST_REN_2025_001_4</t>
  </si>
  <si>
    <t>VALIDAR INCONSISTENCIA INFORME RENTAS RCMA – DDEP</t>
  </si>
  <si>
    <t>11/07/2025: EL 10 de julio Se realizaron pruebas por parte de Carlos Rodríguez. Actualmente, el cambio se encuentra pendiente de ser implementado en el ambiente de producción.
15/07/2025:Se realizó el paso a producción el día 14 de julio.</t>
  </si>
  <si>
    <t>26/06/2025 Se incluyen requerimientos de acuerdo  a sesiones con el cliente. Corresponde a ajustes a plataforma ya en produccion
10/07/2025 Se realizaron pruebas por parte de Carlos Rodriguez. Pendiente pasar a producicon.
15/07/2025 Ya se encuenra en produccion
15/07/2025 Se solcito por parte del usuario incluir una nueva validacion.</t>
  </si>
  <si>
    <t>AJUST_REN_2025_001_5</t>
  </si>
  <si>
    <t>INCLUIR VALIDACIÓN ADICIONAL PARA RCMA – DDEP.</t>
  </si>
  <si>
    <t>16/07/2025: Se finaliza ajuste 15 de julio y se realiza despliegue a produccion el 16 de julio en la mañana.</t>
  </si>
  <si>
    <t>PRV_2025_011</t>
  </si>
  <si>
    <t>ANS - TABLERO DE CONTROL  - dashboard</t>
  </si>
  <si>
    <t>18/07/2025: Se completó el query de base. Se trabaja en selección de librería gráfica compatible con Laravel. Se estima un 20% de avance general.
21/07/2025: Se esta trabajando en las graficas de ANS, se estima terminar el 22 de julio para paso a pruebas UAT
24/07/2025: El 22/07/2025 se continua en gestión del tablero de control ANS, sacaba error en los gráficos, se estima terminar el 23/07/2025 por compromiso con el cliente.
23/07/2025: Se terminan los gráficos del tablero de control.
24/07/2025: Se trabaja en el export de la data de las estadisticas
25/07/2025. Se entrega al área tablero de ANS finalizado, programado subir los cambios para paso a producción el 25/07/2025 a las 5:00 pm</t>
  </si>
  <si>
    <t>17/07/2025 Se solicita realizar desarrollo inicial para lo que ya se encuentra en produccion en cuanto a pagos. Este modulo tambien debe conterner lo correpondiente a Auxilio funerario que actualmente se encuentra pausado</t>
  </si>
  <si>
    <t>CARLOS</t>
  </si>
  <si>
    <t>PRV_2025_002</t>
  </si>
  <si>
    <t>REPORTE ANEXO 1 (Lentantamiento de requerimiento)</t>
  </si>
  <si>
    <t>21/07/2025: Carlos esta adelantando el levantamiento del requerimiento, para proyectar entrega
23/07/2025: Se encuentra en definición con el cliente, para establecer algunas prioridades en los requerimientos siguientes
25/08/2025: Se retoma el levantamiento del requerimiento  y se proyecta entrega a Mauricio para desarrollo el día de mañana, sin embargo, se estan priorizando informes propios de la operación de Imagine.
03/09/2025: Requerimiento en pausa debido a que Imaginex actualmente no cuenta con permisos para creación de vistas, se encuentra en validación por infraestructura para una solución.
26/09/2025: El 22 de septiembre se termino el levantamiento del requerimiento, en el transcurso de la semana se han estado elaborando vistas, sin embargo, Imagine no tiene acceso y permisos para editar o crear vistas en DLL, AUT ni producción.
03/10/2025: El 02 de octubre se obtienen los permisos y se inicia con la creación de las vistas 
14/10/2025: Se proyecta finalizar el levantamiento del requerimiento para pasar a desarrollo</t>
  </si>
  <si>
    <t>17/07/2025 Se esta culminado el query para generar reporte</t>
  </si>
  <si>
    <t>PRV_2025_002-1</t>
  </si>
  <si>
    <t>REPORTE ANEXO 1 (desarrollo )</t>
  </si>
  <si>
    <t>17/10/2025: El 15 de octubre se termino el desarrollo del requerimiento Anexo 1, posteriormente se han realizado validaciones y ajustes que se cruzan con otros requerimientos, con el fin de no presentar incindencias</t>
  </si>
  <si>
    <t>PRV_2025_001</t>
  </si>
  <si>
    <t xml:space="preserve">Ajuste flujo de  pagos </t>
  </si>
  <si>
    <t>21/07/2025: El 17/07/2025 Se envía correo por parte de Carlos a Seguros Alfa, solicitando modificar 2 vistas:
a. Sipren: Ajustes V_consolidado_reclamaciones_img
b. Plus: AjustesV_consolidado_tramites_plus
Pendiente presentarlo a comité para efectuar el cambio correspondiente en las vistas.
El 18/07/2025, Mauricio realizó un ajuste en el módulo de flujo de pagos, mediante el cual se asocia a cada estado del flujo una ruta u opción de acceso específica. Anteriormente, independientemente del permiso asignado, los usuarios podían visualizar los estados a los que contaban con permiso.
23/07/2025: El 22 de Julio se entrega al cliente  para pruebas, al pendiente de aceptacion  para paso a produccion.
24/07/2025: Se solicita a Mauricio subir los cambios de flujo de pagos modificados en las vistas que actualizò Carlos. Validar los cambios y ajustes requeridos por el cliente en requerimientos ya cerrados para paso a producción.
25/07/2025: Se finalizan los ajustes solicitados por el área (un campo llamado parentesco y mostrarlo en el export, en el Excel que exporta el cliente). Programado subir cambios para paso a producción el 25/07/2025 a las 5:00 pm
28/07/2025: El viernes 25 de julio sobre las 6:00 pm hasta las 7:30 pm se realiza el despliegue a producción.
El dìa de hoy se encuentra validando que los cambiosy ajustes en el paso a producciòn están funcionando correctamente.
Se evidencia que hubo una inconsistencia en los datos que Alfa suministra en el cambio a producción. Se encuentra en validación.
01/08/2025: Se vuelve a validar con Alfa la información reportada en el script, sin embargo, se encuentran a la espera de que el área de producción entregue el DLL que se envió en el despliegue. Por parte de Imagine no hay pendientes.
08/08/2025: El 06 de Agosto a raíz de la reunión con el área Previsionales el día 05 de agosto, surgieron ajustes solicitados por parte del vicepresidente de Alfa.
1.        Incluir el cálculo IBL dentro del flujo. Validar primero el nombre de las etiquetas.
2. Convertir en cero al exportar el Excel los valores negativos. Solicitud de Patricia Arteaga
3. Resaltar el nombre de la columna Pago Total para que se ubiquen los usuarios.
4. Validar las etiquetas dentro del editar. Falta información
5. Revisar información que sale en la parte izquierda en el editar, ya que no se sale un valor, según valido Hugo Gómez
El día de hoy 08 de agosto, se trabaja en en control de cambios en Flujo de pagos solicitado por el Vicepresidente de Alfa.
20/08/2025: Se pasa a producciòn el 16 de agosto</t>
  </si>
  <si>
    <t>Carlos y Cindy</t>
  </si>
  <si>
    <t>PRV_2025_003</t>
  </si>
  <si>
    <t>AVISO A LA RENTA (Levantamiento del requerimiento)</t>
  </si>
  <si>
    <t>25/07/2025: Carlos y Cindy estan trabajando en el levantamiento del requerimiento para pasar a Mauricio y que inicie con el desarrollo para que quede en el paso a producción programado para el 25/07/2025 a las 5:00 pm
28/07/2025: El viernes 25 de julio se hace socializaciòn del requerimiento con Mauricio y Jairo.
20/08/2025: El sabado 16 se realizo el paso a producciòn</t>
  </si>
  <si>
    <t>PRV_2025_003-1</t>
  </si>
  <si>
    <t>AVISO A LA RENTA (Desarrollo)</t>
  </si>
  <si>
    <t>28/07/2025, el viernes 25 de julio, debido a una inconsistencia en el aplicativo ALFASST del área SST con unas ordenes de servicio, se tuvo que dar prioridad y Mauricio no pudo iniciar el desarrollo de Avisos a la renta.
El día de hoy, luego de terminar validaciones de paso a producción de otros requerimientos, se inicia desarrollo de este requerimiento.
29/07/2025: Mauricio se enfocarà en terminar el requerimiento completamente.
30/07/2025: Se reporta un avance del 50% en el desarrollo del módulo de avisos de renta. Ya se visualizan los pagos correctamente y quedan pendientes las funcionalidades de notificación, descarga de Excel y eliminación de registros. Se espera finalizar hoy.
01/08/2025: A 31 de julio ya esta por entregar, Mauricio el dìa de hoy mostrara el funcionamiento y el flujo del reporte, para identificar posibles desviaciones y validar si es posible automatizarlo.
04/08/2025: El 01 de agosto quedo funcional el requerimiento, esta proyectado para paso a producción el viernes 08 de agosto
13/08/2025. Se proyecta paso a producción el sabado 16 de agosto.
20/08/2025: Paso a produccion realizado 16 de Agosto.</t>
  </si>
  <si>
    <t>Img_2025_001</t>
  </si>
  <si>
    <t>Validar servidor de contingencia</t>
  </si>
  <si>
    <t>Imagine</t>
  </si>
  <si>
    <t>01/08/2025: Se realizarà validación del servidor de contingencia el día de hoy, puesto que en meses pasado se presentaron incidencias y debemos garantizar que toda la información se encuentre sincronizada de forma correcta.
04/08/2025: Se programo sesiòn con Wilson y Mauricio para validaciòn y acompañamiento en la sincronización de la contingencia.
08/08/2025: Validación de error de la sincronización de contingencia, con Alfa y Claro - Onpremise
2. Validación cambio de llaves AWS.
12/08/2025: Se encuentra pendiente ajuste a permisos de carpetas para la sincronización y notificación por correo del error  en la sincronización o éxito en la misma.
La reunión del viernes para cambio de llaves AWS, se reprogramo para hoy a las 9:00 am hasta las 10:15 am aproximadamente.</t>
  </si>
  <si>
    <t>PRV_2025_004-1</t>
  </si>
  <si>
    <t>Ajustes modulo auxilios funerario</t>
  </si>
  <si>
    <t>08/08/2025: el 05 de Agosto, se realiza acompañamiento en la sesión del área de Previsionales con Blanca Romero, Elizabeth Guerrero y Hugo Gomez, por si surgen dudas u observaciones.
Se trabaja en informes de Pagos y Auxilios Funerarios.
11/08/2025: A raíz de la sesión del viernes surgieron ajustes adicionales:
1. Incluir el cálculo del IBL dentro del flujo
2. Convertir en cero al exportar el Excel los valores negativos. Solicitud de Patricia Arteaga
3. Resaltar el nombre de la columna Pago Total para que se ubiquen los usuarios
4. Validar las etiquetas dentro del editar. Falta información
5. Revisar información que sale en la parte izquierda en el editar, ya que no sale un valor, según valido Hugo Gomez.
Estos puntos ya quedaron gestionados el día de ayer en un 90%, falta culminar:
- Control de cambios en flujo de pagos
- Incluir el cálculo del IBL dentro del flujo. Validar nombre de las etiquetas
12/08/2025: El viernes hubo incidencia en el cargue del Excel archivo de formalización de Auxilios Funerarios, sin embargo, este ya quedo solucionado. Se continúa trabajando en los ajustes faltantes requeridos por vicepresidencia de Seguridad Social.
13/08/2025: Reunión con el área de coordinación y desarrollo para instrucciones de entrega de documentación.
- Creación de documentos técnicos requeridos por Alfa para paso a comité de cambios el día de hoy 13 de agosto y mañana 14. 
- Ajustes por pruebas de usuario en error de cargue de archivo y mejora de la consulta.
- Se proyecta paso a producción de aviso a la renta y auxilios funerarios el sabado 16 de agosto.
20/08/2025: El dìa sabado 16 se realiza paso a producciòn</t>
  </si>
  <si>
    <t>PRV_2025_004-2</t>
  </si>
  <si>
    <t>Ajustes auxilios funerarios y aviso a la renta</t>
  </si>
  <si>
    <t>14/08/2025: Ajuste a bugs reportados por el cliente para Auxilios Funerarios y Aviso a la Renta (formatos y consultas). Ya el dìa de hoy se certifico por parte del cliente el paso a producciòn, el cual se progrma realizar por parte de Mauricio el sabado 16 de agosto.
Se requiriò acompañamiento de Mauricio en las sesiones para solucionar de forma inmediata las inconsistencias, durante las horas de la mañana y tarde.
20/08/2025: EL sabado 16 se realizo paso a producciòn</t>
  </si>
  <si>
    <t>PRV_2025_004-3</t>
  </si>
  <si>
    <t xml:space="preserve">Genera  informes generales pagos y auxilios funerarios </t>
  </si>
  <si>
    <t>Generar un informe con el detalle de mostrar consulta y la trazabilidad de los casos de los procesos entregados a producciòn en semanas anteriores.</t>
  </si>
  <si>
    <t>27/08/2025: El 26 de agosto se trabajo en el desarrollo del informe general de pagos y auxilios funerarios.</t>
  </si>
  <si>
    <t>Img_2025_002</t>
  </si>
  <si>
    <t>Crear .bash para notificar  sincronización en base de datos</t>
  </si>
  <si>
    <t>15/08/2025: Se reconfiguraron los permisos y Mauricio estarà validando el tema el día de hoy, sincronizaciòn y funcionamiento
20/08/2025: Al 19 de agosto, se encuentra pendiente reporte por parte de Claro informando las actividades realizadas el dìa viernes de acuerdo al refresh de la llave.
Pendiente por parte Mauricio crear .bash para notificar cuando sincronice las bases de datos
25/08/2025: El viernes 22 de agosto se creo el .bash solicitado, sin embargo, se esta presentando una incidencia en la actualización, que no actualiza en la base de datos a diferencia del que corre a las 3 am. Mauricio estará validando otras funcionalidades y en caso de que continue la inconsistencia, se apoyará con Jairo  y Jenry
27/08/2025: El 25 de agosto se valido con tecnologìa el tema de crear una conexión SSH, el día de hoy 27 de agosto, dieron respuesta que se puede realizar sin problema.
03/09/2025: Mauricio indica que queda pendiente el sabado 06 de septiembre validar la sincronizaciòn y Carlos Rodriguez debe realizar la documentación de la sincronización para presentar a Alfa.
20/10/2025: El 17 de octubre se realizó sincronización manual de producción a contingencia, debido a que el procesos automático de las 3 am, dejo algunos archivos corruptos</t>
  </si>
  <si>
    <t>SST_2025_001</t>
  </si>
  <si>
    <t>Ajustes en servidores QA y PT de ALFASST AWS</t>
  </si>
  <si>
    <t>SST</t>
  </si>
  <si>
    <t>29/08/2025: 25/08/2025: Los desarrollos para esta aplicación se encontraban detenidos desde el año pasado. Por lo cual los ambientes no se encontraban actualizados y/o con data actualizada para pruebas.</t>
  </si>
  <si>
    <t>SST_2025_002</t>
  </si>
  <si>
    <t>29/08/2025: 25/08/2025: Se retomaron las pruebas en los entornos QA y PT para validar nuevos requerimientos y hacer seguimiento al estado de aquellos que aún se encuentran pendientes por ser desplegados en producción.</t>
  </si>
  <si>
    <t>SST_2025_003</t>
  </si>
  <si>
    <t>29/08/2025: 25/08/2025: Durante este proceso, se identificaron algunas incidencias en los servidores, por lo que fue necesario realizar ajustes y correcciones técnicas para garantizar un entorno estable que permitiera continuar con la validación de los cambios.</t>
  </si>
  <si>
    <t>SST_2025_004</t>
  </si>
  <si>
    <t>29/08/2025: 25/08/2025: Se restablecieron los cronogramas del año vigente en los entornos QA y PT para habilitar el nuevo módulo de profesionales y permitir sus respectivas pruebas.</t>
  </si>
  <si>
    <t>SST_2025_005</t>
  </si>
  <si>
    <t>Validar el modulo de profesionales para que el àrea pueda realizar pruebas</t>
  </si>
  <si>
    <t>29/08/2025: 25/08/2025: Se solucionaron errores en el módulo de profesionales y se realizaron correcciones funcionales.</t>
  </si>
  <si>
    <t>SST_2025_006</t>
  </si>
  <si>
    <t>Accesos y configuración técnica QA ALFASST AWS</t>
  </si>
  <si>
    <t>29/08/2025: 25/08/2025: Se refrescaron claves y accesos, especialmente en el servidor de pruebas, que presentaba problemas de ingreso.</t>
  </si>
  <si>
    <t>SST_2025_007</t>
  </si>
  <si>
    <t>29/08/2025: 25/08/2025: Se ajustó la configuración de pgAdmin para garantizar la conexión con las distintas bases de datos de ALFASST.</t>
  </si>
  <si>
    <t>PRV_2025_006</t>
  </si>
  <si>
    <t>Sincronización de estados de casos</t>
  </si>
  <si>
    <t>29/08/2025: 25/08/2025: Se implementó el ajuste para que, al cambiar un caso de estado CORRECCIÓN → REVISADO, se ejecute la sincronización individual del valor, considerando posibles modificaciones.</t>
  </si>
  <si>
    <t>PRV_2025_0011</t>
  </si>
  <si>
    <t>29/08/2025: 25/08/2025: Queda pendiente el desarrollo de la sincronización masiva, lo cual implica ajustes en las funciones de sincronización entre bases de datos.
03/09/2025: Requerimiento en pausa debido a que Imaginex actualmente no cuenta con permisos para creación de vistas, se encuentra en validación por infraestructura para una solución.
01/10/2025: El 30 de septiembre se obtienen permisos pendientes, lo cual permitio finalizar el desarrollo del requerimiento</t>
  </si>
  <si>
    <t>PRV_2025_008</t>
  </si>
  <si>
    <t>Flujo de Pagos Control de cambios</t>
  </si>
  <si>
    <t>29/08/2025: 25/08/2025: Permitir la modificación del campo VALOR_PAGO en casos específicos, exclusivamente dentro del primer flujo del proceso.
03/09/2025: Requerimiento en pausa debido a que Imaginex actualmente no cuenta con permisos para creación de vistas, se encuentra en validación por infraestructura para una solución.
01/10/2025: El 30 de septiembre se habilita la ediciòn del campo VALOR_PAGO ya que algunos casos lo requieren, modificaciòn restringida unicamente al primer flujo</t>
  </si>
  <si>
    <t>PRV_2025_012</t>
  </si>
  <si>
    <t>Auxilios Funerarios Control de Cambios</t>
  </si>
  <si>
    <t>29/08/2025: 25/08/2025: Sincronizar y actualizar automáticamente la fecha de siniestro según información proveniente de Porvenir.
03/09/2025: Requerimiento en pausa debido a que Imaginex actualmente no cuenta con permisos para creación de vistas, se encuentra en validación por infraestructura para una solución.
01/10/2025: El 30 de septiembre se creo opciòn para cuando se sincronicen las solicitudes permitan actualizar las fechas de siniestro</t>
  </si>
  <si>
    <t>PRV_2025_010</t>
  </si>
  <si>
    <t>Aviso a la Renta Control de Cambios</t>
  </si>
  <si>
    <t>29/08/2025: 25/08/2025: Incluir en el reporte:
* fecha_cierre
* número de solicitud
* fecha de envío de correo
03/09/2025: Requerimiento en pausa debido a que Imaginex actualmente no cuenta con permisos para creación de vistas, se encuentra en validación por infraestructura para una solución.
20/10/2025: Se incluyen campos solicitados por el área</t>
  </si>
  <si>
    <t>SST_2025_008</t>
  </si>
  <si>
    <t>Validación Modulo de Profesionales</t>
  </si>
  <si>
    <t>29/08/2025: 25/08/2025: Se solucionaron errores en el módulo de profesionales y se realizaron correcciones funcionales en ambiente Imagine.</t>
  </si>
  <si>
    <t>PRV_2025_013</t>
  </si>
  <si>
    <t>Auxilios Funerarios Control de Cambios Archivo</t>
  </si>
  <si>
    <t>29/08/2025: 25/08/2025: Al cargar el archivo de Excel, debe ejecutarse automáticamente el proceso de sincronización asociado.
03/09/2025: Requerimiento en pausa debido a que Imaginex actualmente no cuenta con permisos para creación de vistas, se encuentra en validación por infraestructura para una solución.
08/10/2025: El 30 de septiembre se creo opciòn para cuando se sincronicen las solicitudes permitan actualizar las fechas de siniestro</t>
  </si>
  <si>
    <t>PRV_2025_014</t>
  </si>
  <si>
    <t>Aviso a la Renta Control de Cambios Reporte</t>
  </si>
  <si>
    <t xml:space="preserve">29/08/2025: 25/08/2025: Automatizar el envío del informe:
Frecuencia: todos los viernes a las 6:00 a.m.
En caso de festivo, el informe debe enviarse el día hábil anterior.
03/09/2025: Requerimiento en pausa debido a que Imaginex actualmente no cuenta con permisos para creación de vistas, se encuentra en validación por infraestructura para una solución.
20/10/2025: El viernes 17 de octubre se agrego la funcionalidad para la ejecución del proceso Aviso a la Renta, mediante las tareas programadas. </t>
  </si>
  <si>
    <t>SST_2025_009</t>
  </si>
  <si>
    <t>Ajuste modulo profesionales</t>
  </si>
  <si>
    <t>Se requiere validar y realizar ajustes de errores e incidencias que se están presentando en el módulo para realizar las pruebas por parte del cliente y sea certificado el paso a producción</t>
  </si>
  <si>
    <t>01/09/2025: El 30 de agosto Mauricio realizando otras pruebas identifico un error en el modulo de profesionales en el ambiente de pruebas Alfa, por tanto se radica caso el 01 de septiembre para soporte de AWS y se contacta co Oscar Pérez para que nos ayuden con la incidencia reportada. Ya que hasta no sea solucionado no podremos realizar pruebas y el cliente tampoco.
La fecha estimada relacionada es solo si nos gestionan en soporte ALFA el día de hoy, de lo contrario se verá afectada y cambiará de acuerdo con la solución del caso radicado.
03/09/2025: El 02 de septiembre queda solucionada la incidencia y queda pendiente realizar pruebas internas antes de entregar a Nohora Carolina de SST para pruebas del área.
05/09/2025: El 04 de septiembre se iniciaron pruebas internas, sin embargo, no fue posible culminarlas debido a una incidencia presentada con el plan de trabajo en el ambiente QA. 
08/09/2025: El viernes 05 de septiembre, Mauricio trabajo en el cronograma en ambiente de pruebas, ya se libero presupuesto pero se esta validando porque no carga actividades y programas.
11/09/2025: El 10 de septiembre Mauricio continua validando, ajustando incidencias en el ambiente de QA que no han permitido realizar las pruebas correspondientes.
15/09/2025: El viernes 12 de septiembre Mauricio se enfoco en seguri revisando errores que se estan presentando en el módulo de cronogramas y edición de ordenes de servicios
18/09/2025: Durante los días del 15 al 17 Mauricio detecto errores en el desarrollo y ha trabajado en corregir y mejorar su funcionalidad, adicional de mejorar la apariencia siendo mas intuitivo para el usuario.
Se refactorizo el diseño de la gestión de profesionales a acreditar  y la gestión de proveedores.
22/09/2025: El viernes 19 de septiembre, Mauricio subió los ajustes de los modulos de profesionales y cronograma de trabajo.</t>
  </si>
  <si>
    <t>PRV_2025_015</t>
  </si>
  <si>
    <t>Creaciòn Vistas en DLL Alfa</t>
  </si>
  <si>
    <t>Creaciòn de vistas en ambiente DLL Alfa para desarrollo de requerimientos previsionales</t>
  </si>
  <si>
    <t>01/09/2025: El 29 de agosto a Mauricio se le entregaron credenciales por parte de infraestructura Alfa para permisos y creación de vistas en Desarrollo Sipren Plus, sin embargo, permitió coneción preo no la creación de las vistas.
03/09/2025: Requerimiento en pausa debido a que Imaginex actualmente no cuenta con permisos para creación de vistas, se encuentra en validación por infraestructura para una solución.
01/10/2025: Desde el 30 de septiembre se obtuvieron los permisos pendientes y se esta adelantando la creaciòn de vistas de los requerimientos que se han levantado
03/10/2025: el 02 de octubre se asignan nuevas vistas en la función de sincronización</t>
  </si>
  <si>
    <t>PRV_2025_016</t>
  </si>
  <si>
    <t>Actualización Tablero de Estadistica y Cumplimiento</t>
  </si>
  <si>
    <t>Se incluye en las graficas aux funerarios</t>
  </si>
  <si>
    <t>03/09/2025: 01/09/2025 Mauricio trabaja en la inclusión de la data de Auxilios Funerarios en el tablero de ANS.
02/09/2025: Se trabaja en los graficos de aux funerarios y en la consulta requerida para validar datos de flujo de pagos y aux funerario.
Pendientes pruebas internas para antes de entregar para pruebas por parte del área de previsionales
04/09/2025: el 03 de septiembre el desarrollo del gráfico está en fase final, restando únicamente ajustes de personalización en los tooltips. Se programó una reunión con el cliente para la socialización de avances, debido a que no alcanzo el tiempo, se reprogramo sesión para el jueves 4 de septiembre a las 9:00 am
El día de hoy 04 de septiembre, se realizan unas pruebas internas antes de entregar al cliente para sus respectivas pruebas y certificaciòn, siendo exitosas. En la sesión al momento de ingresar al aplicativo de pruebas Imagine, el cliente no pudo ya que por politicas de la compañia al parecer les quitaron permisos, se encuentran en validaciòn con el area tecnologica y sin embargo, por parte de Imagine les mostramos el módulo, los graficos, los cambios y los reportes. Se entrega para que apenas tengan acceso puedan validar y confirmar funcionalidad.
11/09/2025: Se confirma funcionalidad por parte del área de Previsionales</t>
  </si>
  <si>
    <t>Img_2025_004</t>
  </si>
  <si>
    <t>Conexiones con Ministerio -SAT</t>
  </si>
  <si>
    <t xml:space="preserve">04/09/2025: Se identificaron cambios en la configuración, por lo que se programó la reconfiguración de servicios en horas de la tarde.
</t>
  </si>
  <si>
    <t>PRV_2025_017</t>
  </si>
  <si>
    <t>Consultas y optimización de vistas (Alfa)</t>
  </si>
  <si>
    <t>Se requiere optimizar rendimiento y capacidad de las funciones del aplicativo Alfasst</t>
  </si>
  <si>
    <t>04/09/2025: El 03 de septiembre Mauricio trabaja en realizar ajustes en consultas y procesos de automatización. Continúa pendiente la optimización de querys para mejorar el rendimiento general.
18/09/2025: Durante los ultimos dìas Mauricio se ha encargado de identificar mejoras en las consultas
29/10/2025: El viernes 24 de octubre Mauricio estuvo validando mejoras en consultas y mejorar el rendimiento del aplicativo.
19/01/2026: Se realizaron ajustes técnicos en las vistas del sistema para optimizar el rendimiento y la velocidad de respuesta.</t>
  </si>
  <si>
    <t>Img_2025_005</t>
  </si>
  <si>
    <t>Conexiones con Ministerio -SAT Independientes</t>
  </si>
  <si>
    <t>08/09/2025: El viernes 05 de septiembre, Mauricio trabajo en la restructuración de BD del ambiente local ya que se encuentra desactualizada para realizar pruebas con el Ministerio.
10/09/2025: Durante los días 08 y 09 de septiembre, Mauricio ha trabajado en las conexiones SAT del Ministerio para el requerimiento de independientes.
11/09/2025: El 10 de septiembre, Mauricio finalizò la conexiòn en integraciòn con la URL del Ministerio.</t>
  </si>
  <si>
    <t>Img_2025_006</t>
  </si>
  <si>
    <t>PRV_2025_004-8</t>
  </si>
  <si>
    <t>Solicitar acceso a vistas y tablas</t>
  </si>
  <si>
    <t>15/08/2025: El dìa de hoy se tuvo incidencia debido a una restauraciòn de las bases de datos en SIPREN, en ambiente de pruebas, se borraron algunas vistas. Carlos realizó solicitud de nuevo de los permisos para lectura de tablas y vistas en ambiente de pruebas Sipren y Plus de unavez, ya que el dìa de hoy o mañana tambien realizaran restauración de bases de datos.
20/08/2025: Al 19 de agosto ya se encuentran los permisos e Imagine se encuntra en proceso de restauraciòn de las vistas y tablas borradas</t>
  </si>
  <si>
    <t>PRV_2025_004-4</t>
  </si>
  <si>
    <t>Ajuste Modulo de Pagos 1</t>
  </si>
  <si>
    <t>21/08/2025: El día 20 de agosto, luego del paso a producciòn y de las pruebas realizadas por el cliente, se identificaron incidencias en los requerimientos que se subiron en el despliegue, para el modulo de pagos, se presentaron las siguientes:
Incidencia: En el Excel de reportes se estaban duplicando los registros.
Solución: Se ajustó la consulta  incorporando la condición WHERE status = TRUE para filtrar únicamente los registros válidos.</t>
  </si>
  <si>
    <t>PRV_2025_004-5</t>
  </si>
  <si>
    <t>Ajuste Modulo de Pagos 2</t>
  </si>
  <si>
    <t>21/08/2025: El día 20 de agosto, luego del paso a producciòn y de las pruebas realizadas por el cliente, se identificaron incidencias en los requerimientos que se subiron en el despliegue, para el modulo de pagos, se presentaron las siguientes:
Incidencia: Los valores del último pago no coincidían.
Solución: Se modificó la vista ultimo_pago para incluir el cod_concepto = 2 y se corrigió el cálculo, que anteriormente sumaba pago_total en lugar de valor_concepto.</t>
  </si>
  <si>
    <t>PRV_2025_004-6</t>
  </si>
  <si>
    <t>Ajuste Aviso a la Renta</t>
  </si>
  <si>
    <t xml:space="preserve">21/08/2025: El día 20 de agosto, luego del paso a producciòn y de las pruebas realizadas por el cliente, se identificaron incidencias en los requerimientos que se subiron en el despliegue, para aviso a la renta, se presentaron las siguientes:
Incidencia: Se solicitó revisar el SELECT de la consulta utilizada para el aviso a la renta.
Solución: Se validó la formulación de la consulta y se confirmó que es correcta.
Nota: Carlos Rodríguez solicitó revisar y analizar el detalle de dicha consulta.
</t>
  </si>
  <si>
    <t>PRV_2025_004-7</t>
  </si>
  <si>
    <t>Ajuste Auxilio Funerario</t>
  </si>
  <si>
    <t>21/08/2025: El día 20 de agosto, luego del paso a producciòn y de las pruebas realizadas por el cliente, se identificaron incidencias en los requerimientos que se subieron en el despliegue, para auxilios funerarios, se presentaron las siguientes:
Incidencia: Error al cargar el formato Excel de auxilios cuando contiene varias hojas.
Solución: Se identificó que el sistema solo procesa correctamente la hoja activa. Se intentó ajustar para cargar únicamente esa hoja; sin embargo, por agilidad operativa, se solicita al usuario dejar una sola hoja en el archivo antes del cargue, mediante validación al cargar y un mensaje informativo.</t>
  </si>
  <si>
    <t>PRV_2025_004-9</t>
  </si>
  <si>
    <t xml:space="preserve">21/08/2025: El día 20 de agosto, luego del paso a producciòn y de las pruebas realizadas por el cliente, se identificaron incidencias en los requerimientos que se subiron en el despliegue, para auxilios funerarios, se presentaron las siguientes:
Incidencia: Falta de valor del auxilio funerario.
Solución: Se incluyó un ajuste final que complementa la información con la fecha esto solucionando el 70% del trabajo del analista. Se detectó que no se estaba completando el valor calculado del pago; por ello, se actualizó la condición WHERE para que también actualizara dicho valor.
</t>
  </si>
  <si>
    <t>PRV_2025_004-10</t>
  </si>
  <si>
    <t>21/08/2025: El día 20 de agosto, luego del paso a producciòn y de las pruebas realizadas por el cliente, se identificaron incidencias en los requerimientos que se subiron en el despliegue, para auxilios funerarios, se presentaron las siguientes:
Incidencia: Algunas funciones no fueron desplegadas en producción el día 16 de agosto.
Solución: Se realizó la creación e implementación de las funciones faltantes en el ambiente productivo.</t>
  </si>
  <si>
    <t>Img_2025_002-1</t>
  </si>
  <si>
    <t>Validar servidor de contingencia - Tarea 1</t>
  </si>
  <si>
    <t>22/08/2025: El día 21 de agosto Mauricio se ha encargado de atender tareas asignadas por Jenry para mejorar el tema de control y seguimiento en ambiente de contingencia:
- Parametrizar el mostrar los tiempos que demora la sincronización</t>
  </si>
  <si>
    <t>Img_2025_002-2</t>
  </si>
  <si>
    <t>Validar servidor de contingencia - Tarea 2</t>
  </si>
  <si>
    <t>Crear .bash para mostrar registros de contingencia en producción</t>
  </si>
  <si>
    <t>22/08/2025: El día 21 de agosto Mauricio se ha encargado de atender tareas asignadas por Jenry para mejorar el tema de control y seguimiento en ambiente de contingencia:
- Crear .bash que muestre los registros de contingencia con producción
25/08/2025: El viernes 22 de agosto se creo el .bash solicitado</t>
  </si>
  <si>
    <t>Img_2025_002-3</t>
  </si>
  <si>
    <t>Validar servidor de contingencia - Tarea 3</t>
  </si>
  <si>
    <t>22/08/2025: El día 21 de agosto Mauricio se ha encargado de atender tareas asignadas por Jenry para mejorar el tema de control y seguimiento en ambiente de contingencia:
- Revisar cada cuanto se sincronizan las imagenes, si cada hora de lunes a viernes</t>
  </si>
  <si>
    <t>Img_2025_003</t>
  </si>
  <si>
    <t>Restauración BD Pruebas Imagine</t>
  </si>
  <si>
    <t>Se requiere realizar la homologación y restauración de las bases de datos en el servidor de pruebas de Imagine, con el fin de garantizar la disponibilidad y consistencia de la información para las validaciones correspondientes, según la solicitud presentada por fala.</t>
  </si>
  <si>
    <t>22/08/2025: El día 21 de agosto Mauricio se ha encargado de atender tareas asignadas por Jenry para mejorar el tema de control y seguimiento en ambiente de contingencia:
- Renombrar las BD en pruebas y restaurar producción
25/08/2025: Entre el viernes 22 y sabado 23 Mauricio realizo la homologaciòn y restauraciòn de las BD</t>
  </si>
  <si>
    <t>Img_2025_007</t>
  </si>
  <si>
    <t>Servicios SAT Independientes - 1</t>
  </si>
  <si>
    <t>Crear servicio del Ministerio de Salud y Protección Social de Afiliaciones Independientes</t>
  </si>
  <si>
    <t>11/09/2025: El 10 de septiembre se realizó el despliegue del servicio de Afiliaciones de Independientes en el ambiente de pruebas OnPremise
Falta realizar pruebas iniciales en el primer servicio de 13 servicios.
18/09/2025: Se culmina el desarrollo, falta que el Ministerio certifique funcionalidad.
08/10/2025: Se terminan desarrollos del servicio SAT afiliaciones independientes</t>
  </si>
  <si>
    <t>Img_2025_008</t>
  </si>
  <si>
    <t>Servicios SAT Independientes - 2</t>
  </si>
  <si>
    <t xml:space="preserve">Crear servicio del Ministerio de Salud y Protección Social de Retractación </t>
  </si>
  <si>
    <t>15/09/2025: El viernes 12 de septiembre se realizó el despliegue del servicio de Retractación de afiliaciones de Trabajadores Independientes en el ambiente de pruebas OnPremise
Falta realizar pruebas
18/09/2025: Se culmina el desarrollo, falta que el Ministerio certifique funcionalidad.
08/10/2025: Se terminan desarrollos del servicio SAT retractacciones independientes</t>
  </si>
  <si>
    <t>Img_2025_009</t>
  </si>
  <si>
    <t>Servicios SAT Independientes - 3</t>
  </si>
  <si>
    <t>Crear servicio del Ministerio de Salud y Protección Social de Terminación de Afiliación</t>
  </si>
  <si>
    <t>15/09/2025: El viernes 12 de septiembre se realizó el despliegue del servicio de Terminaciòn de afiliaciones de la ARL de Trabajadores Independientes en el ambiente de pruebas OnPremise
Falta realizar pruebas
18/09/2025: Se culmina el desarrollo, falta que el Ministerio certifique funcionalidad.
08/10/2025: Se terminan desarrollos del servicio SAT terminacion de afiliacion independientes</t>
  </si>
  <si>
    <t>Img_2025_010</t>
  </si>
  <si>
    <t>Servicios SAT Independientes - 4</t>
  </si>
  <si>
    <t>Crear servicio del Ministerio de Salud y Protección Social de Traslado de ARL</t>
  </si>
  <si>
    <t>18/09/2025: El 17 de septiembre se creo el servicio de Traslado de ARL de Trabajadores Independientes. 
Pendiente ajuste en el maestro de empleados.
08/10/2025: Se terminan desarrollos en el servicio SAT para traslado de ARL independientes</t>
  </si>
  <si>
    <t>Img_2025_011</t>
  </si>
  <si>
    <t>Servicios SAT Independientes - 5</t>
  </si>
  <si>
    <t>Crear servicio del Ministerio de Salud y Protección Social de Cambio de Ocupación en Independientes Voluntarios</t>
  </si>
  <si>
    <t>18/09/2025: El 17 de septiembre se creo el servicio de Cambio de Ocupación en Independientes Voluntarios de Trabajadores Independientes. 
Pendiente ajuste en el maestro de empleados.
08/10/2025: Se terminan desarrollos del servicio SAT cambio de ocupacion u oficio en independientes voluntarios</t>
  </si>
  <si>
    <t>PRV_2025_018</t>
  </si>
  <si>
    <t>ANS - TABLERO DE CONTROL  - Ajuste</t>
  </si>
  <si>
    <t>Se requiere crear un nuevo grupo para incluir los estados ANULADOS, en las gráficas del tablero de estadisticas</t>
  </si>
  <si>
    <t>22/09/2025: El 19 de septiembre, Mauricio trabajo en la correcciòn del error Bad Request y se agrego un nuevo estado Anulado a flujos de pagos y auxilios funerarios.
Pendientes las pruebas por parte de Imagine para posterior entrega actualizaciones al cliente y certifiquen el ajuste.</t>
  </si>
  <si>
    <t>Img_2025_012</t>
  </si>
  <si>
    <t>Servicios SAT Independientes - Consultas</t>
  </si>
  <si>
    <t>Desarrollar consultas de los servicios creados en SAT para independientes de afiliaciones activas</t>
  </si>
  <si>
    <t>22/09/2025: Desarrollar formulario de consulta para servicios del Ministerio:
- Consulta de trabajadores independientes de afiliaciòn activa a la ARL, incluyendo traslados y retractaciones de afiliaciòn.
- Consulta de trabajadores independientes trasladables de ARL.
25/09/2025: Entre los días 22 y 23 de septiembre, Mauricio ha trabajado en la consulta de independientes activos y en mora
26/09/2025:El 25 de septiembre se trabajo en la consulta de Independiente afiliación activa ARL
Pendiente: Actualmente el servicio Consulta Trabajador Independiente  Mora ARL, no esta arrojando resultados. Ya fue notificado al área encargada para revisión.
08/10/2025: Se termina la consulta de afiliaciones activas</t>
  </si>
  <si>
    <t>Img_2025_013</t>
  </si>
  <si>
    <t>Desarrollar consultas de los servicios creados en SAT para independientes en Mora ARL</t>
  </si>
  <si>
    <t>22/09/2025: Desarrollar formulario de consulta para servicios del Ministerio:
- Consulta de trabajadores independientes de afiliaciòn activa a la ARL, incluyendo traslados y retractaciones de afiliaciòn.
- Consulta de trabajadores independientes trasladables de ARL.
25/09/2025: Entre los días 22 y 23 de septiembre, Mauricio ha trabajado en la consulta de independientes activos y en mora
26/09/2025:El 25 de septiembre se trabajo en la consulta de Independiente afiliación activa ARL
Pendiente: Actualmente el servicio Consulta Trabajador Independiente  Mora ARL, no esta arrojando resultados. Ya fue notificado al área encargada para revisión.
08/10/2025: Se termina la consulta de independiente en Mora ARL</t>
  </si>
  <si>
    <t>REN_2025_05</t>
  </si>
  <si>
    <t>Validación Documental_Ajuste</t>
  </si>
  <si>
    <t>Validar y parametrizar los documentos en validacion documental para el nuevo origen Sustitucion, sin embargo, en el parentesco Hijos no mostraba informaciòn correcta</t>
  </si>
  <si>
    <t>26/09/2025: El 25 de septiembre, se brinda soporte a Rentas, dando solución a una incidencia presentada en la parametrización de origen de archivos de Sustitucion con el parentesco Hijos.</t>
  </si>
  <si>
    <t>SST_2025_010</t>
  </si>
  <si>
    <t>Ajuste modulo profesionales-Lentitud</t>
  </si>
  <si>
    <t>Se requiere validar el modulo de profesionales ya que en pruebas no carga para realizar el test correspondiente, adicional presenta lentitud en algunas funciones</t>
  </si>
  <si>
    <t>03/10/2025: El 02 de octubre, Mauricio valida incidencia en la lentitud o no cargue al editar en modulo de profesionales en el rol Gestor en pruebas.</t>
  </si>
  <si>
    <t>PRV_2025_019</t>
  </si>
  <si>
    <t>Revisión error en URL</t>
  </si>
  <si>
    <t>Validar error de restricción de URL/Bad Request</t>
  </si>
  <si>
    <t>03/10/2025: Se recibe caso reportado por el área, sobre un error de restricción de URL/Bad Request. Se proyecta que hoy Mauricio inicie soluciòn a estas incidencias presentadas.
06/10/2025: El sabado 04 de octubre Mauricio con apoyo de Jairo Niño, resuelve la incidencia presentada</t>
  </si>
  <si>
    <t>PRV_2025_020</t>
  </si>
  <si>
    <t>Revisión generación de correo doble</t>
  </si>
  <si>
    <t>Validar error de generación de doble correo en flujo de pagos</t>
  </si>
  <si>
    <t>03/10/2025: Se recibe caso reportado por el área, sobre notificación de correos dobles en el flujo de pagos. Se proyecta que hoy Mauricio inicie soluciòn a estas incidencias presentadas.
06/10/2025: El sabado 04 de octubre Mauricio con apoyo de Jairo Niño, resuelve la incidencia presentada</t>
  </si>
  <si>
    <t>Img_2025_014</t>
  </si>
  <si>
    <t>Se requiere realizar la homologación y restauración de las bases de datos en el servidor de pruebas de Imagine, con el fin de garantizar la disponibilidad y consistencia de la información para las validaciones correspondientes, según la solicitud presentada por Alfa</t>
  </si>
  <si>
    <t>03/10/2025: Hoy se creará el plan de trabajo para restaurar las bases de datos de producción en el ambiente de pruebas., Esto incluyendo la revisión de tablas, funciones, procedimientos y disparadores (triggers).
06/10/2025: El 04 de octubre se procedió con la restauración de la base de datos de pruebas. Se realizó la homologación de tablas, funciones, procedimientos y demás elementos.
Queda pendiente realizar pruebas funcionales de las aplicaciones</t>
  </si>
  <si>
    <t>PRV_2025_021</t>
  </si>
  <si>
    <t>Modulo Objeciones y Devoluciones</t>
  </si>
  <si>
    <t>08/10/2025: Entre 06 y 07 de octubre, se crea modulo para el requerimiento de notificaciòn Objeciones y Devoluciones, asociado a casos sincronizados con la vista de inventario.
Pendiente: Crear tarea programada para que se ejecute a diario de lunes a viernes a las 4 pm.</t>
  </si>
  <si>
    <t>PRV_2025_022</t>
  </si>
  <si>
    <t>Aviso a la Renta - Ajuste</t>
  </si>
  <si>
    <t>Se requiere agregar campos solicitados por el cliente</t>
  </si>
  <si>
    <t>08/10/2025: El 07 de octubre se agregan los campos de fecha cierre y fecha de notificaciòn, solicitados por el área.
Pendientes: Automatizar envio de informe y correr sincronizacion al cargar el Excel</t>
  </si>
  <si>
    <t>Img_2025_015</t>
  </si>
  <si>
    <t>Servicios SAT Independientes - 6</t>
  </si>
  <si>
    <t>Crear servicio del Ministerio de Salud y Protección Social de Reporte en Mora</t>
  </si>
  <si>
    <t>08/10/2025: Entre 06 y 07 de octubre, se realizó el despliegue del servicio de Reporte de mora, acuerdos de pago e incumplimiento de Independientes en el ambiente de pruebas OnPremise</t>
  </si>
  <si>
    <t>Img_2025_016</t>
  </si>
  <si>
    <t>Desarrollar consultas de los servicios creados en SAT para independientes de detalle de afiliaciones activas</t>
  </si>
  <si>
    <t>08/10/2025: Entre 06 y 07 de octubre, se desarrolla formulario de consulta para servicios del Ministerio del detalle de afiliaciones activas en la ARL</t>
  </si>
  <si>
    <t>Img_2025_017</t>
  </si>
  <si>
    <t>Desarrollar consultas de los servicios creados en SAT para independientes de trabajadores trasladables</t>
  </si>
  <si>
    <t>08/10/2025: Entre 06 y 07 de octubre, se desarrolla formulario de consulta para servicios del Ministerio de Trabajadores Independientes Trasladables de ARL.</t>
  </si>
  <si>
    <t>PRV_2025_023</t>
  </si>
  <si>
    <t>Modulo Objeciones y Devoluciones - Ajuste</t>
  </si>
  <si>
    <t>Implementar tarea programada para envío de notificaciones</t>
  </si>
  <si>
    <t>14/10/2025: El 08 de octubre Mauricio implementò la opcion de tarea programada en el modulo de Objeciones y Devoluciones, para notificación diaria a las 4 pm</t>
  </si>
  <si>
    <t>PRV_2025_024</t>
  </si>
  <si>
    <t>Modulo de Indicadores Pendientes</t>
  </si>
  <si>
    <t>Se implementa modulo para mostrar los casos sin resolucion</t>
  </si>
  <si>
    <t>14/10/2025: El 09 de octubre, Mauricio desarrolla el modulo de indicadores de pendientes, el cual muestra los casos sin resolver, clasificados por rangos de tiempo: Del dia 1 al dia 8, y mas de 8 dias. Este informe se presenta por usuario</t>
  </si>
  <si>
    <t>Img_2025_018</t>
  </si>
  <si>
    <t>Servidor de Produccion y Contingencia</t>
  </si>
  <si>
    <t>Sincronizacion BD</t>
  </si>
  <si>
    <t>14/10/2025: El viernes 10 de octubre, se notifico al area de TI Alfa, sobre la imposobilidad de sincronizar el servidor de produccion con el servidor de contingencia</t>
  </si>
  <si>
    <t>SST_2025_011</t>
  </si>
  <si>
    <t>Ajuste modulo profesionales-Ajuste</t>
  </si>
  <si>
    <t>Se requiere validar el cargue de documentos en la creacion del profesional, ya que no quedan adjuntos</t>
  </si>
  <si>
    <t>14/10/2025: El 10 de octubre, Mauricio realiza validacion y ajustes correspondientes en la incidencia presentada en cuanto al cargue de documentos como hoja de vida y licencia en la creaciòn de un profesional.</t>
  </si>
  <si>
    <t>PRV_2025_025</t>
  </si>
  <si>
    <t>Modulo de Inventarios - Ajuste 1</t>
  </si>
  <si>
    <t>Crear export de detalles</t>
  </si>
  <si>
    <t>15/10/2025: El 14 de octubre se agrega opción para exportar informe.
Pendiente definir por el área que campos se mostrarán, ya que actualmente exporta todos los datos</t>
  </si>
  <si>
    <t>Img_2025_019</t>
  </si>
  <si>
    <t>Ajuste en vista</t>
  </si>
  <si>
    <t>15/10/2025: El 14 de octubre se realiza ajuste a la vista de búsqueda de los servicios SAT Independientes</t>
  </si>
  <si>
    <t>PRV_2025_026</t>
  </si>
  <si>
    <t>Modulo de Inventarios - Ajuste 2</t>
  </si>
  <si>
    <t>Crear tarea programada</t>
  </si>
  <si>
    <t>15/10/2025: El 14 de octubre se crea tarea programada para la sincronización de inventarios cada media hora.</t>
  </si>
  <si>
    <t>PRV_2025_027</t>
  </si>
  <si>
    <t>Modulo Procesos Juridicos</t>
  </si>
  <si>
    <t>Se requiere crear opción de sincronizaciòn de información</t>
  </si>
  <si>
    <t>17/10/2025: El 15 de octubre Se refactorizó el módulo de procesos jurídicos, implementando un botón para la sincronización de información</t>
  </si>
  <si>
    <t>PRV_2025_028</t>
  </si>
  <si>
    <t>Modulo Procesos Juridicos - Ajuste</t>
  </si>
  <si>
    <t>Ajustar el cargue masivo</t>
  </si>
  <si>
    <t>17/10/2025: Actualmente se esta trabajando en el cargue masivo de procesos juridicos.
20/10/2025: Se realiza la corrección en el cargue masivo, para evitar errores</t>
  </si>
  <si>
    <t>PRV_2025_029</t>
  </si>
  <si>
    <t>Modulo Anexo 1 - Ajuste</t>
  </si>
  <si>
    <t>Se requiere export con el  reporte de casos</t>
  </si>
  <si>
    <t>17/10/2025: Al finalizar el proceso de sincronización (Anexo 1), se agrogo la funcionalidad de exportar un reporte detallado. Este reporte ahora incluye el conteo de cuantos casos de procesos juridicos se tienen por aplicación (Sipren Plus o Sipren Tierra)</t>
  </si>
  <si>
    <t>PRV_2025_030</t>
  </si>
  <si>
    <t>Modulo Aviso a la Renta - Ajuste</t>
  </si>
  <si>
    <t>Se requiere corregir programación de la tarea.</t>
  </si>
  <si>
    <t>20/10/2025: La solicitud original requeria ejecutar la tarea todos los viernes a las 6 pm con el ajuste al día anterior si era festivo, lo cual ha cambiado.  Ahora se requiere la ejecución diaria, de lunes a viernes a las 6pm</t>
  </si>
  <si>
    <t>PRV_2025_029_1</t>
  </si>
  <si>
    <t>PRV_2025_031</t>
  </si>
  <si>
    <t>Se requiere agregar ANS</t>
  </si>
  <si>
    <t>24/10/2025: Se implementó la opción de agregar indicadores de gestión</t>
  </si>
  <si>
    <t>PRV_2025_032</t>
  </si>
  <si>
    <t>Ajustar tarea programada para envío de notificaciones</t>
  </si>
  <si>
    <t>24/10/2025: Se ajusto la tarea programada para jecutar diariamente de lunes a viernes y días hábiles.</t>
  </si>
  <si>
    <t>PRV_2025_033</t>
  </si>
  <si>
    <t>Modulo Honorarios Jurídicos</t>
  </si>
  <si>
    <t>Implementar módulo de pago de honorarios juridicos del área Previsionales</t>
  </si>
  <si>
    <t>29/10/2025: Se avanza en el análisis y diseño del mòdulo requerido por el área de previsionales.
05/11/2025: Se avanzo en la construcción de validaciones para consolidar los valores a pagar.
Se finaliza el modulo para cargar el formato de prefactura y visualizar los casos pendientes de pago.
07/11/2025: Se crea grid como estaba la vista.
Pendiente validaciòn para pagos.
08/11/2025: Se continua trabajando en mejoras del diseño y visualizaciòn de datos y se genera el export del informe de honorarios juridicos a pagar.
10/11/2025: Con ayuda del jefe de unidad se valida y se verifican las validaciones que se deben tener en cuenta para los casos que van a ser objetados y pagados, revisando que las reglas si cumplan con la necesidad del cliente. Se reafina la vista y el grid.
11/11/2025: Se procede a integrar opción de edición directamente en la grid para los casos que no se sabe si se van a objetar o a pagar. Se incluye un combo con estado de "PAGAR" Y  "OBJETAR".
12/11/2025: Se termina de ajustar la funcionalidad para que el grid se pueda pagar y objetar, se agrega campo de observaciones y se agrega validaciones al momento de seleccionar el combo.
Se crea funcionalidad de cierre masivo.
El módulo se divide en dos pestañas: gestión de casos y el histórico.
13/11/2025: Se continua con la creacion de la pestaña de historico, donde se debe visualizar los casos cerrados y permitir exportar los formatos que se reportan a cada una de las areas correspondientes como PLUS, SIPREN y Tesoreria.
Se sostiene reunión con el área de previsionales para mostar los avances, pendiente por parte del cliente validar la información de los formatos si están acordes con el proceso.
14/11/2025: Se termina opciòn de històrico de honorarios jurìdicos, con cada una de las funcionalidades requeridas como descargar los formatos de SIPREN, Plus y Tesorerìa, se agrego funcionalidad de notificar cuando se hace el cierre manual.
18/11/2025: Reuniòn con el cliente para probar el mòdulo, realizando el cargue de la prefactura, cierre y gestiòn del proceso. De esta reunion surgieron recomendaciones y ajustes:
1. Que al descargar la prefactura baje tal cual como sube y permita agregar el estado "OBJETAR" y "PAGAR", que se agregue la causal de devoluciòn.
2. Que cuando se cargue nuevamente cambie el estado y la causal masivamente.
19/11/2025: Se continua realizando los ajustes solicitados en la reuniòn.
Se realiza sesiòn y se presenta nuevamente el mòdulo y genero issu en el cargue. Donde sale consumo de memoria. Se revisa el problema el cual se sigio presnetando hasta el 20 de noviembre, por lo que se requiriò una refactorizaciòn en el cargue..
24/11/2025: Se estuvo probando el modulo de honorarios juridicos, surgieron ajustes y control de cambios para el modulo.
25/11/2025: Entre el 24 y 25 se diò gestiòn a estos ajustes de incidencia, los de control de cambio se adelantan en un 70%</t>
  </si>
  <si>
    <t>REN_2025_06</t>
  </si>
  <si>
    <t>Validar y parametrizar los documentos en validacion documental en tipificación de documentos</t>
  </si>
  <si>
    <t xml:space="preserve">rentas </t>
  </si>
  <si>
    <t>29/10/2025: Se soluciona la incidencia reportada en la validación documental para la tipificación DDEP</t>
  </si>
  <si>
    <t>REN_2025_07</t>
  </si>
  <si>
    <t>05/11/2025:Se brinda apoyo a rentas vitalicias en cuanto a la validación documental y unos errores que se estaban presentando con una tipología.</t>
  </si>
  <si>
    <t>SST_2025_012</t>
  </si>
  <si>
    <t>Soporte a Seguridad y Salud en el Trabajo - SST</t>
  </si>
  <si>
    <t>05/11/2025: Se brinda soporte en ALFASST, para la definición de actividades transversales</t>
  </si>
  <si>
    <t>Img_2025_020</t>
  </si>
  <si>
    <t>Soporte a Wilson Aponte</t>
  </si>
  <si>
    <t>05/11/2025: Se brinda soporte en el ambiente de pruebas de Imaginex para el proceso masivo de certificados</t>
  </si>
  <si>
    <t>Img_2025_021</t>
  </si>
  <si>
    <t>06/11/2025: Se clona maquina local y se genera export por solicitud de Wilson Aponte, para montar el ambiente en su maquina virtual.</t>
  </si>
  <si>
    <t>Img_2025_022</t>
  </si>
  <si>
    <t>Sin conexión</t>
  </si>
  <si>
    <t>06/11/2025: El dìa 06 de noviembre Mauricio no tuvo conexiòn debido al traslado de equipo fisico a otro punto. Por tanto, no pudo avanzar en requerimientos.</t>
  </si>
  <si>
    <t>SST_2025_013</t>
  </si>
  <si>
    <t>Validar incidencia en creaciòn de cronograma</t>
  </si>
  <si>
    <t>07/11/2025: Se brinda soporte a SST en el módulo Alfasst ya que presentaba incidencia en la creaciòn de una OD en el cronograma</t>
  </si>
  <si>
    <t>REN_2025_08</t>
  </si>
  <si>
    <t>07/11/2025: Se brinda soporte a Rentas Vitalicias ya que estaba presentando error en el cargue de unas imagenes.</t>
  </si>
  <si>
    <t>Img_2025_023</t>
  </si>
  <si>
    <t>Despliegue a producción</t>
  </si>
  <si>
    <t>Realizar paso a producciòn de 3 requerimientos de Previsionales</t>
  </si>
  <si>
    <t>09/11/2025: Se realiza despliegue de los modulos Inventario, Devoluciòn y Objeciones y ANS Devoluciones y Objeciones. El proceso arranco a las 11:00 am y finalizó a las 3:00 pm</t>
  </si>
  <si>
    <t>Img_2025_024</t>
  </si>
  <si>
    <t>Soporte a Wilson Aponte - Certificados Masivos</t>
  </si>
  <si>
    <t>Subir funcionalidad de certificados masivos</t>
  </si>
  <si>
    <t>11/11/2025: Se desplegó en el ambiente de pruebas de Imagine, nueva funcionalidad de generaciòn de certificados masivos.</t>
  </si>
  <si>
    <t>SST_2025_014</t>
  </si>
  <si>
    <t>Se requiere eliminar imagenes</t>
  </si>
  <si>
    <t>13/11/2025: El área de SST reportan que necesitan eliminar unos archivos que se adjuntaron a la OS amp-118-2025, que no corresponden a la misma. Se procede a dar gestión y solución.
Pendiente novedad que al momento del usuario eliminar no borró y lo lleva a la pestaña de adjunto.
18/01/2026: Gestiòn de Archivos: Se ejecutó el borrado masivo de las imágenes solicitadas en los repositorios correspondientes.</t>
  </si>
  <si>
    <t>REN_2025_09</t>
  </si>
  <si>
    <t>Se requiere un ajuste para que muestre todos los beneficiarios de las rentas y no solo prioridad</t>
  </si>
  <si>
    <t>13/11/2025: Solicitan habilitar gestión de documentos para que muestre todos los documentos de todos los beneficiarios y no solo prioridad de unas rentas en particular, para unos temas de auditoría. Ya finalizada la auditoría se realizó actualización y reversión del ajuste.</t>
  </si>
  <si>
    <t>Img_2025_025</t>
  </si>
  <si>
    <t>Se requiere soporte para despliegue a producciòn y pruebas del modulo certificados masivos</t>
  </si>
  <si>
    <t>18/11/2025: Se brinda soporte a Wilson Aponte para bajar cambios de este modulo nuevo en producciòn y en pruebas. Durante el proceso se presento inconveniente con el repositorio debido a connection time out.</t>
  </si>
  <si>
    <t>SST_2025_015</t>
  </si>
  <si>
    <t>Validar incidencia reportada por el àrea en cierre de ordenes de servicio</t>
  </si>
  <si>
    <t xml:space="preserve">19/11/2025: El àrea reporta lentitud en el proceso de auditoria de prefactura, donde se generaba un error 500. Este error indicaba que el servidor se quedo sin espacio, lo que impedia finalizar o cerrar OS, se procede a dar soluciòn reubicando los soportes y actas a un disco con mas capacidad.
</t>
  </si>
  <si>
    <t>SST_2025_016</t>
  </si>
  <si>
    <t>Validar incidencia reportada por el àrea para el cargue de documentos por parte de los proveedores</t>
  </si>
  <si>
    <t>20/11/2025: Nos reportan incidencia en el cargue de los soportes por parte de los proveedores, por lo cual se procediò a corregir el tema debido a la contingencia reportada el dia anterior, no se tuvo en cuenta los permisos de carpeta, se corrige y se notifica al cliente.</t>
  </si>
  <si>
    <t>PRV_2025_034</t>
  </si>
  <si>
    <t>Informe Anexo 1</t>
  </si>
  <si>
    <t>Se requiere reajustar la vista del requerimiento</t>
  </si>
  <si>
    <t>20/11/2025: Se refactoriza script de anexo 1, acorde a lo enviado por el àrea para ser ajustadocon base a la lògica solicitada. Se realiza el ajuste pertinente , sin embargo se presenta inconsistencia con la informaciòn, en espera de respuesta del àrea para finalizar el tema.
12/03/2026: Se finaliza desarrollo y se entrega para pruebas del cliente. Se proyecta paso a producciòn el sabado 15 de marzo</t>
  </si>
  <si>
    <t>Img_2025_026</t>
  </si>
  <si>
    <t>Soporte modulo Imaginex</t>
  </si>
  <si>
    <t>Se requiere validaciòn en cambio de contraseña, arroja error</t>
  </si>
  <si>
    <t>21/11/2025: Se brindo apoyo para el cambio de contraseña a la Doc Claudia Vargas, ya que generaba error al redirigirla en la opciòn de cambiar la contraseña</t>
  </si>
  <si>
    <t>Img_2025_027</t>
  </si>
  <si>
    <t>20/11/2025: Se monta caso a tecnologia notificando que nos encontramos sin conexiòn con el repositorio. En horas de la tarde en sesiòn con Jenry Henao, nos manifesto que este inconveniente se presento debido a una falla en github, lo que impedia realizar Pull. Una vez restabecido el servicio, se procediò a desplegar los cambios en pruebas y producciòn.</t>
  </si>
  <si>
    <t>Img_2025_028</t>
  </si>
  <si>
    <t>Aviso de Incumplimiento</t>
  </si>
  <si>
    <t>Se require validar fechas de envio de notificaciones de aviso de incumplimiento</t>
  </si>
  <si>
    <t>25/11/2025: Llega solicitud que el envio masivo de incumplimiento esta llegando con fecha de pago incorrecta por lo cual nos solicitan corregir esto con base a los días hábiles de acuerdo a los rangos de los últimos dos dígitos del nit.
Se está analizando el codigo que realiza el proceso o si no aplicar funcionalidad para obtener los días hábiles de acuerdo a las reglas establecidas.</t>
  </si>
  <si>
    <t>PRV_2025_035</t>
  </si>
  <si>
    <t>Modulo Honorarios Jurídicos - Ajuste</t>
  </si>
  <si>
    <t>Validar incidencias y cambios de control que surgieron en sesiòn de pruebas UAT</t>
  </si>
  <si>
    <t xml:space="preserve">26/11/2025: En la sesión tenia con el cliente surgieron algunos temas de mejoras, se procedió a realizar los ajustes requeridos y se solucionaron los issus reportados.  
28/11/2025: se realiza sesión para revisar los temas propuestos en las sesiones pasadas, se realizan las pruebas satisfactoriamente, a excepción de dos cosas que no realizo cierre del mes de junio y se debe ajustar el campo rubro ya que hay formatos donde llega item-rubro. 
04/12/2025: Se tuvo reunión con el cliente para la realización de pruebas por parte de la funcionaria que realiza los pagos, y pidieron ajuste en los formatos de plus, sipren y tesoreria.
Se realizo el respectivo a ajuste. </t>
  </si>
  <si>
    <t>Img_2025_029</t>
  </si>
  <si>
    <t>Notificaciòn de Alto Flujo de Memoria Servidor de Pruebas</t>
  </si>
  <si>
    <t>Validar consumo de memoria</t>
  </si>
  <si>
    <t>28/11/2025: Se valida el servidor para identificar que proceso esta generando alto consumo de memoria y no se lograr evidenciar causa. Se solicita a tecnología que por favor que cuando se presente alto consumo, notificarnos con pantallazo del proceso que lo causa.
15/01/2026: Se realizó la depuración de logs y la deshabilitación de tareas obsoletas. Asimismo, se notificó al área de Tecnología la necesidad de aumentar la capacidad del servidor de contingencia.</t>
  </si>
  <si>
    <t>SST_2025_017</t>
  </si>
  <si>
    <t>Plan de Trabajo ALFASST</t>
  </si>
  <si>
    <t>Validar cambios que se requieren para la elaboraciòn de Cronograma, generaciòn de OD</t>
  </si>
  <si>
    <t>01/12/2025: Se requiere que el plan de trabajo se pueda agendar las ordene de servicio por periodo y ajustar tarifa para que tenga parametrización mas como lo es temática.  El dia de hoy se analizara el requerimiento con el jefe de unidad.
02/12/2025: Se estuvo analizando este nuevo ajuste el módulo de plan de trabajo, donde se requieren varios ajustes al módulo en cuanto a parámetros, productos, cronogramas y validar si no afecta modulo de profesionales.   
03/12/2025: Se realizó acompañamiento al jefe de unidad en la construcción del mockup del modulo de productos  y afinando estos nuevos ajustes.
Posterior se tuvo reunión con el cliente, para mostrar los mockups de cómo va ir quedando los modulo y despejar dudas frente a estos nuevos cambios.</t>
  </si>
  <si>
    <t>Img_2025_030</t>
  </si>
  <si>
    <t>Correspondencia - Soporte</t>
  </si>
  <si>
    <t xml:space="preserve">03/12/2025: Se presenta issu en el cargue de archivos debido a que el sistema tiene limitado el cargue 2MB, por lo tanto, de aumenta tamaño a 5MB </t>
  </si>
  <si>
    <t>PRV_2025_036</t>
  </si>
  <si>
    <t>Soporte Previsionales</t>
  </si>
  <si>
    <t>Asignar permisos</t>
  </si>
  <si>
    <t>03/12/2025: Solicitan asignar nuevos permisos a dos integrantes a los modulos que actualmente maneja Blanca.</t>
  </si>
  <si>
    <t>SST_2025_018</t>
  </si>
  <si>
    <t>Plan de Trabajo ALFASST - Parámetros</t>
  </si>
  <si>
    <t>Validar parámetros</t>
  </si>
  <si>
    <t>05/12/2025: Se estuvo ajustando el módulo de productos, para que en los parametros de temáticas se puede asociar a un programa.
Para las actividades se les puede asociar un valor.</t>
  </si>
  <si>
    <t>PRV_2025_037</t>
  </si>
  <si>
    <t>Soporte Previsionales - Cambio de Contraseña</t>
  </si>
  <si>
    <t>Validar cambios de contraseña</t>
  </si>
  <si>
    <t xml:space="preserve">05/12/2025: Nos notifican que esta teniendo problemas con el cambio de contraseña, se realiza refactorización de url y se le notifica al cliente. </t>
  </si>
  <si>
    <t>SST_2025_019</t>
  </si>
  <si>
    <t>Plan de Trabajo ALFASST - Productos</t>
  </si>
  <si>
    <t>Validar Productos</t>
  </si>
  <si>
    <t>10/12/2025 y 11/12/2025:  Se inició el trabajo de refactorización del módulo de productos, enfocándose en todo el proceso de creación y modificación. Esto se debe al cambio en la estructura de datos: la anterior (programa, actividades, categoría y concepto) fue reemplazada por la nueva (programa, temática y actividades).
15/12/2025, 17/12/2025 y 18/12/2025: Continúa el proceso de refactorización en la creación y modificación de productos. Se está adaptando toda la lógica a la nueva estructura: pasando del modelo anterior (programa, actividades, categoría y concepto) al nuevo esquema de programa, temática y actividades.
26/01/2026: Reestructuración de Plan de Trabajo: Se trabaja en la adaptación del cronograma a la nueva estructura (Programas, Temáticas y Actividades). Esto conlleva la refactorización integral de los módulos de Parámetros, Productos, Proveedores, Profesionales y Órdenes de Servicio.
05/02/2026: Del 26/01/2026 al 01/02/2026 Se refactorizaron los módulos de parámetros (Actividades, Programas y Temáticas) y el ajuste tarifario. El módulo de proveedores fue adaptado a la nueva estructura de asignación.
    Pendiente: Intervención del módulo de Profesionales, el cual representa un cambio crítico en las reglas de negocio para la asignación de roles y estados.
    Próximo paso: El cronograma requiere un ajuste mayor para permitir la generación masiva de órdenes de servicio por periodos.
03/02/2026 al 05/02/2026: Se refactorizaron con éxito los módulos de parámetros (actividades, programas y temáticas) incluyendo el ajuste tarifario.
        El módulo de proveedores se adaptó a la nueva estructura y se rediseñó la lógica de asignación de actividades.
        Se avanzó en el cronograma, implementando la agenda de ODS con sus validaciones.
        Pendientes: Intervención del módulo de Profesionales (reglas de negocio complejas), generación masiva de órdenes de servicio por periodos, e integración final en la creación del plan de trabajo.
05/02/2026: Se aperturan nuevos requerimientos donde se desglosa cada actividad en este reporte</t>
  </si>
  <si>
    <t>PRV_2025_038</t>
  </si>
  <si>
    <t>Validar de pagos y formatos</t>
  </si>
  <si>
    <t>16/12/2025: Se completaron los siguientes requerimientos:
        Parámetro de factura: Creación del campo para observaciones (solo modificable en periodo vigente). (100%)
        Plantilla SIPREN: Ajuste de formato (sin títulos, formatos de campo ni totales). (100%)
        Plantilla PLUS: Ajuste de formato (sin formatos de campo ni totales). (100%)
        Formato CSV: Configuración de salida SIPREN con separador ";" (punto y coma). (100%)
        Informe Tesorería: Se eliminó la validación del número de giro para permitir la gestión total de la información. (100%)
        Investigaciones: Análisis de viabilidad para control de cambios o Fase II. (PENDIENTE)
        Notificación de Cierre: Ajuste de la plantilla de correo (aplicativo, cantidad y valor). 
18/12/2025: Se llevó a cabo una sesión con el cliente para realizar la revisión y validación de los ajustes desarrollados en el módulo de Honorarios Jurídicos.
19/01/2026: Se realizó exitosamente el despliegue del módulo en el ambiente de producción. Actualmente, se está a la espera de que el cliente envíe el archivo consolidado con la información histórica hasta el cierre del año 2025
23/01/2026: Tras el despliegue en producción, se recibió el consolidado histórico hasta el año 2025. Se realizó el cargue completo de la información en el sistema con el apoyo del jefe de unidad.</t>
  </si>
  <si>
    <t>PRV_2025_039</t>
  </si>
  <si>
    <t>Soporte y Gestòn</t>
  </si>
  <si>
    <t>Validar permisos</t>
  </si>
  <si>
    <t>12/12/2025: Se asignarán permisos de administrador a los funcionarios solicitados por el área de previsionales.
        Se realizará una reunión con el jefe de unidad para analizar y contextualizar temas solicitados.
21/01/2026: Se completó la asignación de roles de usuario y se realizó la validación de acceso junto con el cliente.</t>
  </si>
  <si>
    <t>PRV_2025_040</t>
  </si>
  <si>
    <t>Soporte Previsionales - Modulo Dev y Objeciones</t>
  </si>
  <si>
    <t>Validar incidencias reportadas para el módulo de Devoluciones y Objeciones</t>
  </si>
  <si>
    <t>18/12/2025: Notificaciones: Se ajustó el envío masivo para que opere exclusivamente en días hábiles (lunes a viernes).
        Exportación: Se corrigió el generador de archivos (export); el despliegue a producción queda pendiente.
        Inventario: Se inició la validación de casos duplicados asociados al mismo siniestro.
21/01/2026: Se aplicaron los ajustes finales al módulo y se realizó el despliegue exitoso en el ambiente de producción.</t>
  </si>
  <si>
    <t>PRV_2025_041</t>
  </si>
  <si>
    <t>Cálculo de Intereses</t>
  </si>
  <si>
    <t>Se requiere opciòn para cargue de archivos excel</t>
  </si>
  <si>
    <t>13/01/2026 - 19/01/2026: Se está trabajando en el desarrollo de un nuevo requerimiento que permite la carga masiva de información desde archivos Excel para procesar y ejecutar los cálculos de valor de mesada correspondientes a cada periodo.
22/01/2026: Se desarrolló el requerimiento para la carga de archivos Excel y el posterior cálculo del valor de la mesada por periodo. El módulo fue finalizado y entregado exitosamente al cliente.</t>
  </si>
  <si>
    <t>Img_2025_031</t>
  </si>
  <si>
    <t>Transferencia de Aportes</t>
  </si>
  <si>
    <t>Subir al ambiente de pruebas el desarrollo</t>
  </si>
  <si>
    <t>19/01/2026: Se completó el despliegue del módulo en el ambiente de pruebas. El proceso queda pendiente únicamente de la ejecución y validación de las pruebas por parte de los interesados.</t>
  </si>
  <si>
    <t>PRV_2025_042</t>
  </si>
  <si>
    <t>Fast Track</t>
  </si>
  <si>
    <t>Análisis de pagos</t>
  </si>
  <si>
    <t>05/02/2026: Del 22 al 25 de enero A solicitud de Imagine SAS, se implementó la funcionalidad FastTrack. Esta mejora optimiza el flujo de trabajo permitiendo que los casos avancen directamente a aprobación sin pasar por filtros manuales. Se proyecta una reducción del 30% al 40% en la carga operativa de la unidad de previsionales de Seguros Alfa. Actualmente, la funcionalidad se encuentra en etapa de pruebas por parte del usuario.
12/03/2026: El 16/02/2026 Se aplicaron los ajustes finales al módulo y se realizó el despliegue exitoso en el ambiente de producción.</t>
  </si>
  <si>
    <t>Img_2025_032</t>
  </si>
  <si>
    <t>Restauración Bases de Datos Imagine</t>
  </si>
  <si>
    <t>Subir al ambiente de pruebas data de producciòn</t>
  </si>
  <si>
    <t>05/02/2026: El día 02/02/2026 Siguiendo la programación anual de Seguros Alfa, se realizó la restauración de las bases de datos de producción en el ambiente de pruebas. El objetivo es mantener la integridad y actualización de la data para procesos de QA y planes de contingencia.</t>
  </si>
  <si>
    <t>SST_2025_020</t>
  </si>
  <si>
    <t>Duplicar Plan de Trabajo</t>
  </si>
  <si>
    <t>05/02/2026: Entre el 02 y 03 de febrero, se finaliza el ajuste tarifario de SST, se generó el Plan de Trabajo 2026 bajo el nuevo esquema jerárquico. Se completó la carga masiva de tarifas y la asignación a proveedores. El sistema ya permite al usuario generar planes y órdenes de la vigencia actual. Se validó la visualización en los módulos de Proveedores y Auditoría.</t>
  </si>
  <si>
    <t>PRV_2025_043</t>
  </si>
  <si>
    <t>Anexo Uno</t>
  </si>
  <si>
    <t>Cargue de archivos</t>
  </si>
  <si>
    <t>09/02/2026 al 11/02/2026: Se está trabajando en el cargue de las diversas fuentes requeridas para la gestión de procesos jurídicos:
        Base siniestro y Bodega de datos.
        Cálculos y Consecutivos de Juntas.
        Resumen de Pago de Siniestros.
25/02/2026: Refacción de Archivos y Formatos. Adaptación de archivos de acuerdo a los procesos de la unidad. Se enfrentaron retos técnicos por carga de archivos de alta capacidad (más de 40 GB).
12/03/2026: Se finaliza desarrollo y se entrega para pruebas del cliente. Se proyecta paso a producciòn el sabado 15 de marzo</t>
  </si>
  <si>
    <t>Img_2025_033</t>
  </si>
  <si>
    <t>10/02/2026: Ante una falla técnica que generó datos corruptos en la base de datos img001, se ejecutó el protocolo de restauración al estado del 6 de febrero de 2026:
        Respaldo de la base de datos afectada y cierre de sesiones activas.
        Detención de servicios Imaginex.
        Recreación de la base de datos img001 y restauración del backup.
        Verificación y re-procesamiento manual de los datos trabajados el día sábado.</t>
  </si>
  <si>
    <t>PRV_2025_044</t>
  </si>
  <si>
    <t>11/02/2026: Se realizó el despliegue oficial del módulo de cálculo de intereses en el ambiente de producción.</t>
  </si>
  <si>
    <t>SST_2025_021</t>
  </si>
  <si>
    <t>Plan de Trabajo ALFASST - Actividades</t>
  </si>
  <si>
    <t>Modificación en el tarifario</t>
  </si>
  <si>
    <t>11/02/2026 - 17/02/2026 - 19/02/2026 - 20/02/2026: Actividades (Temáticas): Se ejecuta un cambio estructural del modelo de tarifación, pasando del esquema tradicional basado en actividades individuales a un concepto de temáticas, las cuales agrupan programas y actividades asociadas a un costo determinado. Avance 90%. Queda pendiente realizar despliegue y pruebas en el ambiente de PT, para posterior desplegar al ambiente de QA y que el cliente realice las actividades.
25/02/2026: Se finaliza desarrollo y despliegue en ambientes de pruebas y producciòn</t>
  </si>
  <si>
    <t>SST_2025_022</t>
  </si>
  <si>
    <t>Plan de Trabajo ALFASST - Proveedor</t>
  </si>
  <si>
    <t>Modificación en la asignación de productos y tarifas a los proveedores</t>
  </si>
  <si>
    <t>11/02/2026 - 17/02/2026 - 19/02/2026 - 20/02/2026: Administrador – Proveedor: Se ajusta la forma en que se asignan los productos y tarifas a los proveedores, alineándola al nuevo esquema por temáticas, lo que modifica reglas anteriores y requiere reconfigurar relaciones internas del sistema. Avance 90%. Queda pendiente realizar despliegue y pruebas en el ambiente de PT, para posterior desplegar al ambiente de QA y que el cliente realice las actividades.
26/02/2026: Se finaliza desarrollo y despliegue en ambientes de pruebas y producciòn</t>
  </si>
  <si>
    <t>SST_2025_023</t>
  </si>
  <si>
    <t>Plan de Trabajo ALFASST - Acreditación Profesionales</t>
  </si>
  <si>
    <t>Modificación en la acreditación de profesionales a las ordenes de servicio</t>
  </si>
  <si>
    <t>11/02/2026 - 17/02/2026 - 19/02/2026 - 20/02/2026: Acreditación de Profesionales: Se interviene la estructura que relaciona las actividades acreditadas, ahora bajo el modelo por temáticas, generando cambios importantes en la lógica y en la definición de reglas de negocio para la acreditación de profesionales. 
12/03/2026: Pendiente definiciòn nuevas funcionalidades por parte del cliente</t>
  </si>
  <si>
    <t>SST_2025_024</t>
  </si>
  <si>
    <t>Plan de Trabajo ALFASST - Sedes</t>
  </si>
  <si>
    <t>Modificación en la selección de sedes y creación de campo ciudad</t>
  </si>
  <si>
    <t>11/02/2026 - 17/02/2026 - 19/02/2026 - 20/02/2026: Sedes: Se ajustó para que solo se permita una sede principal; al momento de generar un cronograma de trabajo, solo se tendrá en cuenta la principal y las demás sedes se deshabilitarán del sistema actual. Posteriormente, en la programación de las órdenes, se agregó el campo "ciudad" para mejorar la trazabilidad, normalización de datos y capacidades de gestión. Avance 90%. Queda pendiente realizar despliegue y pruebas en el ambiente de PT, para posterior desplegar al ambiente de QA y que el cliente realice las actividades.
27/02/2026: Se finaliza desarrollo y despliegue en ambientes de pruebas y producciòn</t>
  </si>
  <si>
    <t>SST_2025_025</t>
  </si>
  <si>
    <t>Plan de Trabajo ALFASST - Cronograma</t>
  </si>
  <si>
    <t>Se requiere reestructurar la forma como se crea el cronograma actualmente</t>
  </si>
  <si>
    <t>11/02/2026 - 17/02/2026 - 19/02/2026 - 20/02/2026: Cronograma: Este componente tiene uno de los impactos funcionales más altos. Se requiere reestructurar el planificador incorporando temáticas, permitiendo calendarios más flexibles y habilitando la generación masiva de órdenes de servicio a futuro, lo que cambia por completo la forma en que opera la planificación anual del área.
23/02/2026: Rediseño integral del flujo para la creación de planes de trabajo, optimizando la entrada de datos.</t>
  </si>
  <si>
    <t>SST_2025_026</t>
  </si>
  <si>
    <t>Plan de Trabajo ALFASST - Pre-Orden de Servicio</t>
  </si>
  <si>
    <t>Modificación en la creación y generación de ordenes de servicio</t>
  </si>
  <si>
    <t>11/02/2026 - 17/02/2026 - 19/02/2026 - 20/02/2026: Pre-Orden de Servicio: Se ajusta la lógica de acuerdo con el nuevo flujo basado en temáticas y su integración con el cronograma y la acreditación de profesionales, afectando reglas, validaciones y la estructura de la pre-orden como tal. 
        Notas Adicionales: Queda pendiente el impacto en informes y nuevos datos estadísticos requeridos por el cliente. Se terminó la creación y modificación de las agendas; queda pendiente la modificación de las agendas por actividad.
25/02/2026: Integración de la nueva funcionalidad para agendar órdenes de servicio (OS) directamente desde el plan de trabajo.</t>
  </si>
  <si>
    <t>Img_2025_034</t>
  </si>
  <si>
    <t>INSTALACIÓN DE PYTHON EN AMBIENTE QA (INSTANCIA ALFASST)</t>
  </si>
  <si>
    <t>Acompañamiento en la instalación del programa en AWS</t>
  </si>
  <si>
    <t xml:space="preserve">18/02/2026: Se brindó acompañamiento técnico al señor Wilson Aponte en esta actividad, utilizando los siguientes comandos de gestión:
        Activar entorno: source /var/projects/entorno/bin/activate
        Desactivar entorno: deactivate
        Instalar paquete: pip install &lt;paquete&gt;
        Ejecutar script: python mi_script.py
        Verificar Python: python --version
        Sin entorno (global): python3.12 mi_script.py
        Pip global: pip3.12 install &lt;paquete&gt;
</t>
  </si>
  <si>
    <t>Img_2025_035</t>
  </si>
  <si>
    <t>FALLAS EN LOS SERVIDORES DE PRUEBAS Y PRODUCCIÓN</t>
  </si>
  <si>
    <t>Validación y restauración de BD de backups en servidores Imagine</t>
  </si>
  <si>
    <t xml:space="preserve">20/02/2026:         Incidente: Se detectó una inconsistencia masiva en las bases de datos del servidor img001, originada por procesos PAM ejecutados por el equipo Alfa. Esta corrupción de datos provocó la interrupción total de los servicios de Imaginex, deteniendo la línea de producción.
        Acciones Realizadas: Se procedió con la restauración de las bases de datos mediante respaldos previos. Posteriormente, se realizó la reintegración de la información gestionada en los días afectados. Afortunadamente, se logró recuperar la totalidad de los datos.
</t>
  </si>
  <si>
    <t>Img_2025_036</t>
  </si>
  <si>
    <t>CONTINGENCIA</t>
  </si>
  <si>
    <t>Acompañamiento en las pruebas de contingencia programadas por Alfa</t>
  </si>
  <si>
    <t>20/02/2026:         A las 22:00 horas, se procedió con la detención programada de los servicios Apache y PostgreSQL. Esta interrupción se realizó con el fin de facilitar las actividades de gestión de acceso privilegiado (PAM) ejecutadas por el equipo Alfa.</t>
  </si>
  <si>
    <t>SST_2025_027</t>
  </si>
  <si>
    <t>Plan de Trabajo ALFASST - Modulo de Edición</t>
  </si>
  <si>
    <t>Se requiere que los datos registrados en las OS puedan ser editados</t>
  </si>
  <si>
    <t>24/02/2026: Ajuste y optimización de la funcionalidad para modificar registros existentes de forma fluida.</t>
  </si>
  <si>
    <t>SST_2025_028</t>
  </si>
  <si>
    <t>Plan de Trabajo ALFASST - Logica de Validaciones</t>
  </si>
  <si>
    <t>Se requiere que las OS sean agendadas correctamente</t>
  </si>
  <si>
    <t>26/02/2026: Implementación de reglas técnicas y de negocio para asegurar que las agendas se generen sin errores ni traslapes.</t>
  </si>
  <si>
    <t>PRV_2025_045</t>
  </si>
  <si>
    <t>Configuración de Servidor</t>
  </si>
  <si>
    <t xml:space="preserve">Ajustes de infraestructura en el servidor para cargar archivos </t>
  </si>
  <si>
    <t>26/02/2026: Ajustes en la infraestructura para evitar caídas y detenciones del sistema causadas por el volumen excesivo de los archivos cargados.</t>
  </si>
  <si>
    <t>PRV_2025_046</t>
  </si>
  <si>
    <t>Acompañamiento en sesiòn de unidad</t>
  </si>
  <si>
    <t>Sesión de validaciones</t>
  </si>
  <si>
    <t>27/02/2026: Sesión de validación sobre la carga de archivos. Se planteó nuevamente la necesidad técnica de integrar la base de datos para optimizar los procesos.</t>
  </si>
  <si>
    <t>PRV_2025_047</t>
  </si>
  <si>
    <t>Tablero de Control - Control de cambios</t>
  </si>
  <si>
    <t>Ajuste de visualizaciòn de datos</t>
  </si>
  <si>
    <t>27/02/2026: Corrección del error en el tablero de control que impedía la generación del año en vigencia, normalizando los reportes actuales.</t>
  </si>
  <si>
    <t>SST_2025_029</t>
  </si>
  <si>
    <t>Plan de Trabajo ALFASST - Ordenes de Servicio</t>
  </si>
  <si>
    <t>Tarea Programada de Agendamiento.</t>
  </si>
  <si>
    <t>02/03/2026 - 03/03/2026: Desarrollo del proceso automático para la generación masiva de órdenes de servicio, sincronizada con la agenda programada.</t>
  </si>
  <si>
    <t>SST_2025_030</t>
  </si>
  <si>
    <t>Plan de Trabajo ALFASST - Optimización Integral (CRUD)</t>
  </si>
  <si>
    <t>Creación, Edición, Modificación y Eliminación</t>
  </si>
  <si>
    <t>04/03/2026: Fortalecimiento de procesos (Creación, Edición, Modificación y Eliminación). Ajuste de lógica para permitir la edición de planes cuando no existan agendas previas.</t>
  </si>
  <si>
    <t>SST_2025_031</t>
  </si>
  <si>
    <t>Plan de Trabajo ALFASST - Asignación actividades</t>
  </si>
  <si>
    <t>Mejora Visual de Asignación.</t>
  </si>
  <si>
    <t>04/03/2026: Optimización de la interfaz (UI) para la asignación de actividades, facilitando la gestión visual.</t>
  </si>
  <si>
    <t>PRV_2025_048</t>
  </si>
  <si>
    <t>Reservas</t>
  </si>
  <si>
    <t>Nuevo Módulo de Carga (Reservas).</t>
  </si>
  <si>
    <t>03/03/2026 al 05/03/2026: Creación del módulo para carga masiva de reservas con formatos específicos. Se implementó un reporte dinámico para exportar información por tipo de formato.</t>
  </si>
  <si>
    <t>PRV_2025_049</t>
  </si>
  <si>
    <t>Optimización de Importación Masiva.</t>
  </si>
  <si>
    <t>05/03/2026: Se eliminó el conteo de registros en caliente al adjuntar archivos, logrando una carga mucho más rápida y eficiente.</t>
  </si>
  <si>
    <t>PRV_2025_050</t>
  </si>
  <si>
    <t>06/03/2026: Pruebas finales para validar las mejoras, asegurando que la calidad de la información cumpla con las necesidades operativas de la unidad.</t>
  </si>
  <si>
    <t>SST_2025_032</t>
  </si>
  <si>
    <t>Optimización Visual y UX</t>
  </si>
  <si>
    <t>09/03/2026 - 10/03/2026: Refacción completa del diseño en la interfaz de asignación de actividades.</t>
  </si>
  <si>
    <t>SST_2025_033</t>
  </si>
  <si>
    <t>Plan de Trabajo ALFASST - Reportes</t>
  </si>
  <si>
    <t>Reportes Dinámicos por Períodos</t>
  </si>
  <si>
    <t>11/03/2026: Funcionalidad para visualizar flujo de órdenes totales vs. agendadas por prefijos.</t>
  </si>
  <si>
    <t>SST_2025_034</t>
  </si>
  <si>
    <t>Plan de Trabajo ALFASST - Trazabilidad</t>
  </si>
  <si>
    <t>Trazabilidad en Calendario (Dashboard).</t>
  </si>
  <si>
    <t>12/03/2026: Acción directa en el calendario para visualizar órdenes ejecutadas, generadas y sus valores.</t>
  </si>
  <si>
    <t>PRV_2025_051</t>
  </si>
  <si>
    <t>Anexo 1 - Formatos</t>
  </si>
  <si>
    <t>Ajuste en Formato de Cálculos</t>
  </si>
  <si>
    <t>12/03/2026: Adición de 7 campos nuevos al formato. Se ajustó el proceso de carga masiva a bloques de 500 registros (procesados de 100 en 100) para garantizar la estabilidad.</t>
  </si>
  <si>
    <t>PRV_2025_052</t>
  </si>
  <si>
    <t>Plantillas Point</t>
  </si>
  <si>
    <t>Ajuste en Data de Recuperación</t>
  </si>
  <si>
    <t>13/03/2026: Actualización técnica en el módulo de plantillas para optimizar el procesamiento de los datos de recuperación.</t>
  </si>
  <si>
    <t>Img_2025_037</t>
  </si>
  <si>
    <t>Incidencia en Servidor On-Premise (Producción)</t>
  </si>
  <si>
    <t>Gestión de Incidencias</t>
  </si>
  <si>
    <t xml:space="preserve">12/03/2026: Afectación en los archivos de base de datos del servidor on-premise (independiente a la infraestructura de Alfa). Se notificó al área tecnológica de Alfa para la restauración de servicios.
Resultado: Servicio restablecido exitosamente sin pérdida de información.
Nota: La infraestructura de Alfas y el entorno de pruebas se mantuvieron estables y operativos.
</t>
  </si>
  <si>
    <t>SST_2025_035</t>
  </si>
  <si>
    <t>Despliegue en Servidor de Pruebas</t>
  </si>
  <si>
    <t>Despliegue y QA</t>
  </si>
  <si>
    <t>12/03/2026: Despliegue de nuevas funcionalidades del Plan de Trabajo en el entorno de pruebas para validación final</t>
  </si>
  <si>
    <t>SST_2025_036</t>
  </si>
  <si>
    <t>Despliegue en Servidor de Producción</t>
  </si>
  <si>
    <t>Despliegue en Producción y Gestión de Ramas</t>
  </si>
  <si>
    <t>16/03/2026: Se realizó el despliegue oficial bajo el nuevo modelo de Programa, Actividades y Temáticas. Se resolvieron conflictos críticos de fusión (merge) y se actualizaron librerías y dependencias.</t>
  </si>
  <si>
    <t>SST_2025_037</t>
  </si>
  <si>
    <t>Estabilización de la Nueva Estructura.</t>
  </si>
  <si>
    <t>17/03/2026 al 20/03/2026: Monitoreo y corrección de inconsistencias derivadas del cambio lógico en Alfasst. Se ha trabajado activamente en mitigar inconvenientes para asegurar la estabilidad operativa del servicio.
01/04/2026: Finaliza estabilización de los servicios</t>
  </si>
  <si>
    <t>PRV_2025_053</t>
  </si>
  <si>
    <t>Despliegue de Mejoras en Aplicativo</t>
  </si>
  <si>
    <t>19/03/2026: Despliegue exitoso de los módulos Plantillas Point y Anexo 1 en producción, incluyendo ajustes en diversos formatos para optimizar la carga.</t>
  </si>
  <si>
    <t>SST_2025_038</t>
  </si>
  <si>
    <t>GESTIÓN CON EL CLIENTE Y CAPACITACIÓN</t>
  </si>
  <si>
    <t>Sesiones de Acompañamiento y Capacitación.</t>
  </si>
  <si>
    <t>17/03/2026 al 20/03/2026: Capacitación al equipo del cliente sobre las nuevas funcionalidades del modelo de Programa, Actividades y Temáticas.</t>
  </si>
  <si>
    <t>PRV_2025_054</t>
  </si>
  <si>
    <t>17/03/2026 al 20/03/2026: Demostración técnica y funcional del proceso de carga de formatos directamente en el entorno de producción.</t>
  </si>
  <si>
    <t>Img_2025_038</t>
  </si>
  <si>
    <t>OPTIMIZACIÓN DE INFRAESTRUCTURA</t>
  </si>
  <si>
    <t>Optimización del Sistema de Notificaciones.</t>
  </si>
  <si>
    <t>19/03/2026 al 20/03/2026: Integración con el agente de transferencia de correo Postfix en Oracle Linux. Permite un procesamiento de envíos más rápido y seguro.</t>
  </si>
  <si>
    <t>SST_2025_039</t>
  </si>
  <si>
    <t>REESTRUCTURACIÓN DE REPORTES</t>
  </si>
  <si>
    <t>Reingeniería de Informes Críticos.</t>
  </si>
  <si>
    <t>18/03/2026 al 20/03/2026: Adaptación de Tablero de Control, Ante-prefactura/Auditoría y Reporte General al nuevo esquema lógico.
21/03/2026 al 31/03/206: Calibración final de Tablero de Control, Auditoría y Reporte General bajo la nueva jerarquía.</t>
  </si>
  <si>
    <t>SST_2025_040</t>
  </si>
  <si>
    <t>Estabilización de la Migración Estructural</t>
  </si>
  <si>
    <t>21/03/2026 al 01/04/2026: Monitoreo y refinamiento continuo del modelo de Programa, Actividades y Temáticas. Se garantizó la consistencia de los datos migrados con la nueva lógica operativa</t>
  </si>
  <si>
    <t>SST_2025_041</t>
  </si>
  <si>
    <t>Soporte Técnico y Atención a Eventualidades.</t>
  </si>
  <si>
    <t>21/03/2026 al 01/04/2026: Acompañamiento constante a los clientes en sus gestiones diarias, resolviendo incidentes de manera inmediata tras el cambio de funcionalidades.</t>
  </si>
  <si>
    <t>PRV_2025_055</t>
  </si>
  <si>
    <t>Implementación de Bodega de Datos y Precierre</t>
  </si>
  <si>
    <t>Funcionalidades y Cargas de archivos</t>
  </si>
  <si>
    <t>23/03/2026 al 28/03/2026: Desarrollo de opciones de carga para Bodega de Datos y Precierre. Se realizaron pruebas de integridad y carga inicial satisfactoriamente.</t>
  </si>
  <si>
    <t>PRV_2025_056</t>
  </si>
  <si>
    <t>Validación de Formatos con el Cliente</t>
  </si>
  <si>
    <t>29/03/2026 al 01/04/2026: Validación de los nuevos formatos generados. Se confirmó el correcto funcionamiento de las cargas principales.
* Pendiente: Validación final por parte del cliente del formato específico de Precierre.
08/04/2026 al 10/04/2026: Estabilización del Formato "Saldo Reserva". Se resolvieron las inconsistencias en el parseo numérico y se implementó un control de campos vacíos. Se integró una validación con el archivo impor_file.lock, permitiendo que si el sistema detecta datos vacíos, libere el proceso automáticamente para evitar bloqueos en los siguientes cargues.</t>
  </si>
  <si>
    <t>Img_2025_039</t>
  </si>
  <si>
    <t>NUEVO APLICATIVO: INDEPENDIENTES (Diseño y Planeación)</t>
  </si>
  <si>
    <t>Refinamiento de Interfaz y UX.</t>
  </si>
  <si>
    <t>24/03/2026 al 31/03/2026: Se realizó un ajuste integral del diseño, incluyendo visualizaciones, iconos y estructura estética para mejorar la experiencia del usuario.
25/05/2026 al 27/05/2026: En este nuevo aplicativo se avanzó en la creación de la interfaz principal mediante tres tarjetas que representan los diferentes tipos de trámites: Independientes, Voluntarios por Empresa y Por Empresa. Adicionalmente, se desarrolló la funcionalidad para que, al interactuar con cualquiera de estas tarjetas, el sistema despliegue una ventana modal informativa que sirve de guía al usuario, detallando con precisión cuáles son los archivos específicos que se deben cargar para cada trámite.</t>
  </si>
  <si>
    <t>Img_2025_040</t>
  </si>
  <si>
    <t>Sesión de Definición Funcional (Wizard).</t>
  </si>
  <si>
    <t xml:space="preserve">01/04/2026: Reunión estratégica con el Jefe de Unidad y el equipo de trabajo para analizar las etapas del Wizard. Se definieron los objetivos iniciales de cada paso del proceso.
Próximo Paso: Sesión programada para la semana posterior a Semana Santa, donde se terminará de definir la integración de datos y requisitos por cada paso del Wizard.
</t>
  </si>
  <si>
    <t>Img_2025_041</t>
  </si>
  <si>
    <t>INFRAESTRUCTURA Y REPORTES</t>
  </si>
  <si>
    <t>Monitoreo Postfix (Oracle Linux)</t>
  </si>
  <si>
    <t>21/03/2026 al 01/04/2026: El sistema de colas mantiene un rendimiento rápido, seguro y estable en el envío de notificaciones.</t>
  </si>
  <si>
    <t>PRV_2025_057</t>
  </si>
  <si>
    <t>MÓDULO DE PREVISIONALES (Cargas Críticas)</t>
  </si>
  <si>
    <t>Importación de Formatos (Bodega de Datos y Precierre)</t>
  </si>
  <si>
    <t>06/04/2026 al 07/04/2026: Se está trabajando en la estabilización de los formatos de carga, específicamente en el archivo de Saldo Reserva, donde se identificaron dos bloqueos:
Tratamiento Numérico: El sistema omite decimales en valores con comas intermedias o grandes enteros (Ej: 711,000,750 o 650,000), afectando la precisión de los saldos.
Validación de Integridad: El proceso se detiene por duplicidad en la llave única de Periodo + Número de Siniestro en registros que no cumplen con el estándar del módulo.
09/04/2026 al 15/04/2026: Paso a Producción de nuevos formatos. Despliegue oficial de los formatos de Bodega de Datos y Precierre al servidor de producción, integrando la nueva lógica de estabilidad y control de bloqueos de archivos.</t>
  </si>
  <si>
    <t>PRV_2025_058</t>
  </si>
  <si>
    <t>Reingeniería de Scripts de Importación</t>
  </si>
  <si>
    <t>07/04/2026: Desarrollo y ajuste del parseo de datos para asegurar que los separadores de miles y decimales sean interpretados correctamente por el motor de base de datos, garantizando la integridad financiera
04/05/2026: Se finaliza funcionalidad para cargue de Bodega de Datos.</t>
  </si>
  <si>
    <t>PRV_2025_059</t>
  </si>
  <si>
    <t>Implementación de Gestión de Registros</t>
  </si>
  <si>
    <t>Implementar funcionalidad para eliminar registros</t>
  </si>
  <si>
    <t xml:space="preserve">11/04/2026 al 15/04/2026: Se desarrolló la funcionalidad para eliminar registros y permitir re-cargas. Se habilitó la eliminación individual por formato y la eliminación masiva en las opciones de Tabla de Cierre e Anexo 1.
11/05/2026: Se finaliza funcionalidad </t>
  </si>
  <si>
    <t>Img_2025_042</t>
  </si>
  <si>
    <t>Modulo Imaginex - Soporte Tecnico</t>
  </si>
  <si>
    <t>Corrección de Interfaz en Producción.</t>
  </si>
  <si>
    <t>13/04/2026 al 15/04/2026: Se resolvió una dificultad técnica con la visualización de una ventana modal que presentaba errores. La corrección ya fue desplegada y verificada en el entorno de producción.</t>
  </si>
  <si>
    <t>PRV_2025_060</t>
  </si>
  <si>
    <t>PROCESOS JURIDICOS</t>
  </si>
  <si>
    <t>Análisis y Diseño del Módulo "Jurídicos Corte".</t>
  </si>
  <si>
    <t xml:space="preserve">16/04/2026 al 23/04/2026: Se inició el análisis para la creación de un nuevo módulo centralizado para la gestión de procesos jurídicos. El objetivo es permitir el registro de procesos nuevos, realizar seguimiento detallado y definir estados finales de gestión (Pago u Objeción).
24/04/2026 al 07/05/2026: Optimización del reporte para procesos jurídicos.
Nuevas Funcionalidades: * Descarga del informe para la Superintendencia Financiera.
Habilitación de cargue de formatos adicionales.
</t>
  </si>
  <si>
    <t>SST_2025_042</t>
  </si>
  <si>
    <t>Contingencia por Fallo en Servidor de Correos.</t>
  </si>
  <si>
    <t>18/04/2026 al 21/04/2026: El sábado 18/04 se interrumpió la entrega de correos de prefacturación debido a un cambio de infraestructura (migración de VPN a MPLS) realizado por el área técnica, lo que causó la pérdida de conexión con el servidor de correos.
Tras coordinar con Infraestructura, se restableció el canal y se procedió con el reenvío masivo de todos los correos de prefacturación pendientes del día 18 a través del proceso interno de Alfasst.</t>
  </si>
  <si>
    <t>SST_2025_043</t>
  </si>
  <si>
    <t>Soporte y Acompañamiento al Cliente.</t>
  </si>
  <si>
    <t>19/04/2026 al 23/04/2026: Sesiones de soporte y reuniones constantes con el cliente para mitigar el impacto causado por el retraso de las notificaciones del fin de semana y asegurar la normalidad en la operación actual.
24/04/2026 al 07/05/2026: Se restableció la conexión con el servidor On-Premise de la base de datos de Imagines, necesaria para que Alfasst pueda cargar el presupuesto de cada empresa.</t>
  </si>
  <si>
    <t>Img_2025_043</t>
  </si>
  <si>
    <t>VALIDACIÓN CONECTIVIDAD</t>
  </si>
  <si>
    <t>Coordinación de Conectividad (VPN vs MPLS).</t>
  </si>
  <si>
    <t>18/04/2026 al 20/04/2026: Gestión con el equipo de TI para validar los nuevos parámetros de red y asegurar que las aplicaciones (Alfasst, Previsionales e Imaginex) tengan salida estable por el nuevo canal MPLS.</t>
  </si>
  <si>
    <t>PRV_2025_061</t>
  </si>
  <si>
    <t>APLICATIVO DE PREVISIONALES (Informes y Gestión)</t>
  </si>
  <si>
    <t>Tablero de Cierre</t>
  </si>
  <si>
    <t>23/04/2026 al 07/05/2026: Consolidación de información de Bodega de Datos y Precierre, permitiendo visualizar el estado de la operación antes del corte.</t>
  </si>
  <si>
    <t>PRV_2025_062</t>
  </si>
  <si>
    <t>CIERRE</t>
  </si>
  <si>
    <t>Movimientos de Cierre (Nuevo Módulo)</t>
  </si>
  <si>
    <t>23/04/2026 al 07/05/2026: Creación de un módulo específico para la trazabilidad de movimientos contables y operativos durante la etapa de cierre.</t>
  </si>
  <si>
    <t>SST_2025_044</t>
  </si>
  <si>
    <t>Módulo de Profesionales</t>
  </si>
  <si>
    <t>Intervención modulo de profesionales con cronograma</t>
  </si>
  <si>
    <t>23/04/2026 al 07/05/2026: Se retomó la intervención en el módulo de Profesionales para complementar y finalizar el proceso relacionado con el Cronograma de Trabajo.
07/05/2026 al 15/05/2026: Se venía trabajando en este módulo, pero las actividades se pausaron temporalmente debido a un requerimiento prioritario de negocio para desvincular varias empresas de sus grupos empresariales.
26/05/2026 al 27/05/2026: Se retomaron y avanzaron de manera paulatina las actividades de desarrollo dentro del módulo de Profesionales para seguir complementando el flujo de trabajo de la aplicación.</t>
  </si>
  <si>
    <t>Img_2025_044</t>
  </si>
  <si>
    <t>APLICATIVO IMAGINEX (Correcciones Técnico-Operativas</t>
  </si>
  <si>
    <t>Reporte Conciliaciones Loc</t>
  </si>
  <si>
    <t>23/04/2026 al 07/05/2026: Corrección en la Opción Segunda Conciliación. Se ajustó la consulta eliminando condiciones que impedían la generación y descarga del reporte.</t>
  </si>
  <si>
    <t>REN_2026_001</t>
  </si>
  <si>
    <t>MÓDULO DE RENTAS VITALICIAS</t>
  </si>
  <si>
    <t>Optimización de Estados</t>
  </si>
  <si>
    <t>23/04/2026 al 07/05/2026: Ajuste de lógica para que archivos con estado "Rechazado" puedan pasar a "Pendiente" o "En Proceso" según condiciones para su reprocesamiento.</t>
  </si>
  <si>
    <t>MAURICI2</t>
  </si>
  <si>
    <t>REN_2026_002</t>
  </si>
  <si>
    <t>Comprobantes de Nómina</t>
  </si>
  <si>
    <t>23/04/2026 al 07/05/2026: Inclusión de un Certificado Adicional como adjunto en el envío masivo de correos de nómina.</t>
  </si>
  <si>
    <t>SST_2025_045</t>
  </si>
  <si>
    <t>Modulo Empresas</t>
  </si>
  <si>
    <t>Desasociación de Empresas y Recálculo VIP</t>
  </si>
  <si>
    <t>07/05/2026 al 15/05/2026: El aplicativo no cuenta actualmente con un módulo visual para este despliegue. Por lo tanto, se ejecutó un proceso a nivel de backend (por debajo) para revertir el presupuesto descontado cuando las empresas pertenecían al grupo empresarial. Posterior a esto, se corrió la funcionalidad de recálculo de presupuesto para asociarlas correctamente bajo la modalidad de Empresas VIP.</t>
  </si>
  <si>
    <t>PRV_2025_063</t>
  </si>
  <si>
    <t>APLICATIVO DE PREVISIONALES (Paso a Producción)</t>
  </si>
  <si>
    <t>Despliegue de Nuevos Reportes en Producción</t>
  </si>
  <si>
    <t xml:space="preserve">07/05/2026 al 15/05/2026: Se realizó con éxito el despliegue oficial al entorno de producción de toda la batería de informes desarrollados:
*Informe de Movimientos de Cierre.
* Tablero de Cierre.
* Reporte de Procesos Jurídicos / Corte.
* Informe para la Superintendencia Financiera.
- Acción: Posterior al despliegue, se brindó soporte preventivo y acompañamiento para asegurar la estabilidad del módulo de carga y consultas.
</t>
  </si>
  <si>
    <t>Img_2025_045</t>
  </si>
  <si>
    <t>INFRAESTRUCTURA Y PLAN DE CONTINGENCIA</t>
  </si>
  <si>
    <t>Restauración y Pruebas en Ambiente de Contingencia</t>
  </si>
  <si>
    <t>07/05/2026 al 16/05/2026: Se realizó la restauración completa de las bases de datos de producción en el ambiente de contingencia.
* Cronograma de Pruebas: El viernes se ejecutó la primera fase de pruebas en este entorno. El sábado se continúa con el plan de pruebas exhaustivo para certificar y garantizar que el aplicativo funcione de manera idéntica y correcta frente a un escenario real de contingencia.</t>
  </si>
  <si>
    <t>PRV_2025_064</t>
  </si>
  <si>
    <t>APLICATIVO DE PREVISIONALES - RASEGUROS</t>
  </si>
  <si>
    <t>Desarrollo del nuevo módulo de Reaseguros</t>
  </si>
  <si>
    <t xml:space="preserve">16/05/2026 al 22/05/2026: Se inició la construcción técnica de este nuevo módulo con el fin de incorporar la funcionalidad de Libro Radicador (mecanismo adaptado del sistema de correspondencia). Se estructuró la lógica de extracción y mapeo para tres formatos clave: Base Siniestros, Saldo Reserva Cálculos y Libro Bodega de Datos. Actualmente, el cargue masivo para estos tres archivos base está prácticamente listo, y se avanza en la codificación de las reglas y excepciones particulares que exige el Libro Radicador para completar el flujo de información.
25/05/2026 al 27/05/2026: Se dio continuidad al desarrollo del módulo de Reaseguros, logrando la estabilización exitosa del proceso de cargue para el componente de Libro Radicador (utilizado en correspondencia) hacia la bodega de datos.
28/05/2026 al 06/06/2026: Se avanzó en la construcción del módulo para procesar los formatos del informe de Aviso a la Renta (hojas de Reservas, Pagos y Rentas Vitalicias).
Gestión con el Cliente: Se sostuvieron reuniones estratégicas con el usuario/cliente para validar los primeros resultados del informe de juntas, mostrándole la correcta generación y visualización de los datos correspondientes a la primera hoja de Rentas Vitalicias.
Avance Técnico: Se implementó exitosamente el cargue de los formatos de Rentas y Previsionales. 
</t>
  </si>
  <si>
    <t>SST_2025_046</t>
  </si>
  <si>
    <t>PRESUPUESTO EMPRESAS</t>
  </si>
  <si>
    <t>Optimización y Reajuste en Vista de Cotizaciones (cct.cotizacion).</t>
  </si>
  <si>
    <t>18/05/2026 al 20/05/2026: Se intervino la vista encargada de actualizar los presupuestos corporativos extraídos desde la base de datos de Imagines. La solución consistió en modificar la lógica de la consulta para permitir la carga de periodos adicionales que antes quedaban por fuera. Ahora, el sistema identifica de manera dinámica el último periodo que registró un presupuesto activo vinculado a la póliza y lo utiliza como plantilla base para proyectar y complementar los meses restantes de forma automática.</t>
  </si>
  <si>
    <t>SST_2025_047</t>
  </si>
  <si>
    <t>APLICATIVO ALFASST</t>
  </si>
  <si>
    <t xml:space="preserve">Soporte Crítico — Corrección Histórica de Prefacturas </t>
  </si>
  <si>
    <t>19/05/2026 al 21/05/2026: Debido al proceso masivo ejecutado anteriormente para desligar empresas de sus grupos empresariales, se identificó un efecto secundario en el reporte de prefacturación, el cual mezclaba datos históricos ya aprobados en meses anteriores con el periodo actual. Se corrigieron los filtros de la consulta SQL para aislar correctamente el histórico y devolver la consistencia a los reportes del mes.</t>
  </si>
  <si>
    <t>SST_2025_048</t>
  </si>
  <si>
    <t>Soporte Crítico — Ajuste en Planificador</t>
  </si>
  <si>
    <t xml:space="preserve">22/05/2026: Se solucionó un reporte de soporte técnico en el módulo del planificador de Alfasst, el cual estaba truncando los valores numéricos y omitiendo el procesamiento de los decimales en sus tareas automáticas. Se ajustó el formateo de las variables de cálculo para garantizar la precisión decimal exacta.
</t>
  </si>
  <si>
    <t>Img_2025_046</t>
  </si>
  <si>
    <t>INFRAESTRUCTURA Y SERVIDORES</t>
  </si>
  <si>
    <t>Diagnóstico y Depuración de Disco en Servidor de Contingencia.</t>
  </si>
  <si>
    <t>20/05/2026 al 22/05/2026: A raíz de la alerta emitida por el área tecnológica sobre el agotamiento de la capacidad de almacenamiento en el ambiente de contingencia (superada tras las pruebas masivas del fin de semana), se procedió con una revisión del sistema de archivos. Se está ejecutando un plan de limpieza, depuración de logs antiguos y compresión de tablas temporales. La meta es reducir el tamaño del almacenamiento para que el entorno de contingencia conserve la misma ligereza, peso y parámetros que el servidor de producción.
23/05/2026: Para mitigar las advertencias de almacenamiento lleno, se realizó un procedimiento técnico crítico: se respaldó la base de datos y se extrajo una copia de seguridad externa de la carpeta Data. Posteriormente, se procedió con el borrado de los archivos locales saturados y se ejecutó una sincronización mediante rsync desde el servidor de producción hacia el servidor de contingencia para restablecer la base de datos limpia y liberar espacio en el disco.
25/05/2026: El área de tecnología emitió una nueva alerta por superación de capacidad. Ante esto, se les ha venido manifestando formalmente que este comportamiento de alertamiento es recurrente y se presenta desde el 16 de mayo (cuando iniciaron las pruebas en este entorno). Se les reiteró que la falla persiste desde antes de las tareas del sábado, específicamente a raíz de la montada de dos nuevas unidades (files y www). Se mantiene la comunicación con el área tecnológica bajo las recomendaciones técnicas entregadas tras la actividad del sábado 23.</t>
  </si>
  <si>
    <t>PRV_2025_065</t>
  </si>
  <si>
    <t>APLICATIVO DE PREVISIONALES - JUNTAS</t>
  </si>
  <si>
    <t>Desarrollo, Validación y Despliegue del Módulo de Juntas</t>
  </si>
  <si>
    <t xml:space="preserve">28/05/2026 al 06/06/2026: Se avanzó en la construcción del módulo para procesar los formatos del informe de Aviso a la Renta (hojas de Reservas, Pagos y Rentas Vitalicias).
Gestión con el Cliente: Se sostuvieron reuniones estratégicas con el usuario/cliente para validar los primeros resultados del informe de juntas, mostrándole la correcta generación y visualización de los datos correspondientes a la primera hoja de Rentas Vitalicias.
Avance Técnico: Se implementó exitosamente el cargue de los formatos de Rentas y Previsionales.
</t>
  </si>
  <si>
    <t>PRV_2025_066</t>
  </si>
  <si>
    <t>Paso a Producción de Nuevos Módulos</t>
  </si>
  <si>
    <t>Despliegue en Producción</t>
  </si>
  <si>
    <t>06/06/2026: Se realizó de manera exitosa el despliegue en el ambiente de producción de los dos nuevos módulos desarrollados: Reaseguros y Juntas.</t>
  </si>
  <si>
    <t>Img_2025_047</t>
  </si>
  <si>
    <t>Revisión del Módulo de Radicación (Fallo en Envío de Correos)</t>
  </si>
  <si>
    <t xml:space="preserve">28/05/2026 AL 05/06/2026: Se revisó la gestión de radicación ante reportes de fallas en el envío de correos salientes. No se encontraron anomalías evidentes en los logs en el momento del análisis.
Se dejó el caso en observación. Se coordinó con los compañeros que operan el módulo para que nos informen apenas realicen el próximo proceso de radicación, permitiéndonos ejecutar un monitoreo en tiempo real del servidor de correo.
</t>
  </si>
  <si>
    <t>SST_2025_049</t>
  </si>
  <si>
    <t>APLICATIVO ALFASST - Soporte Operativo</t>
  </si>
  <si>
    <t>Ajuste en Modificación de Órdenes de Servicio</t>
  </si>
  <si>
    <t>01/06/2026 al 04/06/2026: Se brindó soporte y se solucionó un bloqueo que impedía editar las órdenes de servicio cuando se modificaban sus unidades. Se realizó el ajuste respectivo en el sistema para permitir guardar estos cambios sin inconvenientes.</t>
  </si>
  <si>
    <t>Img_2025_048</t>
  </si>
  <si>
    <t>INFRAESTRUCTURA Y SERVIDORES (Producción)</t>
  </si>
  <si>
    <t>Migración de File Systems en Servidores de Producción.</t>
  </si>
  <si>
    <t>01/06/2026 al 05/06/2026: Se ejecutó con éxito el cambio físico de las unidades de almacenamiento (File Systems) en el ambiente de producción. Esta migración de infraestructura optimiza y cambia las unidades tanto de los archivos de las aplicaciones como de los volúmenes de las bases de datos.</t>
  </si>
  <si>
    <t>Img_2025_049</t>
  </si>
  <si>
    <t>Configuración de Entorno Python en Producción.</t>
  </si>
  <si>
    <t>05/06/2026: Durante las horas de la tarde del viernes, se realizó la instalación y configuración de las librerías y los paquetes correspondientes de Python directamente en el servidor de producción, dejando el entorno listo y optimizado para los requerimientos del sistema.</t>
  </si>
  <si>
    <t>Asignado</t>
  </si>
  <si>
    <t>F. estimada de entrega</t>
  </si>
  <si>
    <t>Dias</t>
  </si>
  <si>
    <t>Observacion</t>
  </si>
  <si>
    <t>JAIRO NIÑO</t>
  </si>
  <si>
    <t xml:space="preserve">MDSB-642019 Cargue archivo tarifas y autorizaciones salud </t>
  </si>
  <si>
    <t>PRUEBAS BOLIVAR</t>
  </si>
  <si>
    <t>ok</t>
  </si>
  <si>
    <t>Gestión aplicativo reembolso salud</t>
  </si>
  <si>
    <t>Implementación de cartas (Devolución, glosa y pago).</t>
  </si>
  <si>
    <t>*02/10/2024 ya se encuentra implementado</t>
  </si>
  <si>
    <t>LUIS BAYONA</t>
  </si>
  <si>
    <t>MDSB-659398 Ajuste campos archivo Autorizaciones EPS</t>
  </si>
  <si>
    <t>Ajustar la tabla y el cargue del archivo</t>
  </si>
  <si>
    <t>CONTROL CAMBIOS PRD</t>
  </si>
  <si>
    <r>
      <rPr>
        <rFont val="Quattrocento Sans"/>
        <color theme="1"/>
        <sz val="11.0"/>
      </rPr>
      <t xml:space="preserve">*17/10/2024 Validación del desarrollo.
*18/10/2024 Continuara despues de terminar la  incidendia de "Caso internet"
*21/10/2024 ajustar campos y pruebas 
*22/10/2024 Subir ajustes a test, se debe solicitar control de cambios en test.
*24/10/2024 Se deben ajustar inconsitencias  en las fechas del informe.
*25/10/2024 Se suben ajustes a test
*12/11/2024 se debe subir a produccion (Solicitar control de cambios).
</t>
    </r>
    <r>
      <rPr>
        <rFont val="Quattrocento Sans"/>
        <b/>
        <color theme="1"/>
        <sz val="11.0"/>
      </rPr>
      <t>*13/11/2024</t>
    </r>
    <r>
      <rPr>
        <rFont val="Quattrocento Sans"/>
        <color theme="1"/>
        <sz val="11.0"/>
      </rPr>
      <t xml:space="preserve"> se escala control de cambios a produccion MDSB-705441.</t>
    </r>
  </si>
  <si>
    <t>MDSB-683637 REQ Ajustes datos migración EPS-Davinci</t>
  </si>
  <si>
    <t>Ajustar Glosa  por procedimiento</t>
  </si>
  <si>
    <t>*29/10/2024 Continua con el desarrollo
*30/10/2024 Finalizado</t>
  </si>
  <si>
    <t>DANILO RAMIREZ</t>
  </si>
  <si>
    <t xml:space="preserve"> GD772-52 Eliminar envio de correo de notificación de tipologia</t>
  </si>
  <si>
    <r>
      <rPr>
        <rFont val="Quattrocento Sans"/>
        <color theme="1"/>
        <sz val="11.0"/>
      </rPr>
      <t>Para la tipologia "</t>
    </r>
    <r>
      <rPr>
        <rFont val="Quattrocento Sans"/>
        <b/>
        <color theme="1"/>
        <sz val="11.0"/>
      </rPr>
      <t>Creación O Cambio De Usuario Administrador Pagina Web - Ap</t>
    </r>
    <r>
      <rPr>
        <rFont val="Quattrocento Sans"/>
        <color theme="1"/>
        <sz val="11.0"/>
      </rPr>
      <t>" se debe eliminar el envio al correo servicioalcliente@segurosbolivar.com cuado se radica en el portal solicitudes ARL.</t>
    </r>
  </si>
  <si>
    <t>PRUEBA BOLIVAR</t>
  </si>
  <si>
    <t>*07/11/2024 Pendiente pruebas por bolivar en produccion.</t>
  </si>
  <si>
    <t>Cargue archivo de pago y cambio estado  a  "Terminado o rechado de pago" e implementación de la carta correspondiente</t>
  </si>
  <si>
    <t>*28/10/2024 pendiente definir que estados se deben tomar para llevar el Reembolso a rechazo 
*01/11/2024 Reinicia Validando la logica de la bandeja.
*05/11/2024 aclarar dudas para implementar carta de bancolombia y en pruebas de archivo de pagos
*06/11/2024 devolucion por causal.
*07/11/2024 devolucion por causal lista  para test.</t>
  </si>
  <si>
    <t>MDSB-657409 Modulo para adicionar RG para gestion de respuestas a Glosa EPS</t>
  </si>
  <si>
    <t>EN  TEST</t>
  </si>
  <si>
    <t>*12/11/2024 Listo para entrega a Jenry
*13/11/2024 pendiente validación con jenry para pasar a dev y test.
*14/11/2024 pendiente pasar a test
*15/11/2024 Se pasa a test para  pruebas bolivar</t>
  </si>
  <si>
    <t>JESUS PEÑA</t>
  </si>
  <si>
    <t>GD772-71 Radicación de juntas</t>
  </si>
  <si>
    <t>Estimar tiempo de desarrollo</t>
  </si>
  <si>
    <t>EN PRUEBAS BOLIVAR</t>
  </si>
  <si>
    <t>10 Dias</t>
  </si>
  <si>
    <t>23/01/2025 Inicio de pruebas  para  pasar a test
31/01/2025 entregado a prubas Bolivar</t>
  </si>
  <si>
    <t>HU 1 Crear en el portal de solicitudes ARL la opción de radicación de JCI - EPS- AFP</t>
  </si>
  <si>
    <t>20/01/2025 pendiente ajustes en yii
31/01/2025 entregado a prubas Bolivar</t>
  </si>
  <si>
    <t>HU 2 Creación de formulario para radicación en el portal</t>
  </si>
  <si>
    <t>HU 3 Parte 2 formulario de radicación
Descripción</t>
  </si>
  <si>
    <t>H4 Opción consulta casos en portal ARL</t>
  </si>
  <si>
    <t>H5 Radicación individual</t>
  </si>
  <si>
    <t>31/01/2025 entregado a prubas Bolivar</t>
  </si>
  <si>
    <t>H6 Adjunto</t>
  </si>
  <si>
    <t>VALIDAR HALLAZGO DE LAS PRUEBAS</t>
  </si>
  <si>
    <t>27/01/2025 pendiente ajustar caso internet en nativo
28/01/2025 ajustes en test para  pruebas
28/01/2025 Pendiente ajuste en el campo identificacion en el 2do paso.
31/01/2025 entregado a prubas Bolivar</t>
  </si>
  <si>
    <t>dias estimados</t>
  </si>
  <si>
    <t xml:space="preserve">Seguimiento 28 Abril </t>
  </si>
  <si>
    <t>Seguimiento 28 Abril  2</t>
  </si>
  <si>
    <t>Column 4</t>
  </si>
  <si>
    <t>Column 5</t>
  </si>
  <si>
    <t xml:space="preserve">vulnerabilidades claudia </t>
  </si>
  <si>
    <t>07/04/2025: Pendiente de revisar; implica cambiar librerías como JavaScript o Bootstrap, lo que evaluará hoy para determinar viabilidad,Iniciara tan pronto finalice implementación de la Vulnerabilidad- Web Application Information Disclosure.
08/04/2025: Inicio
09/04/2025:Ayer finalizó y resolvió esta vulnerabilidad; todas las vulnerabilidades están cerradas por ahora.</t>
  </si>
  <si>
    <t xml:space="preserve">Se trabajaran alternando espacios con que permita la IA </t>
  </si>
  <si>
    <t xml:space="preserve">Pendiente cipres </t>
  </si>
  <si>
    <t xml:space="preserve">Paso a produccion 5 mayo </t>
  </si>
  <si>
    <t xml:space="preserve">finalizado 6 mayo </t>
  </si>
  <si>
    <t>Vulnerabilidades Retest</t>
  </si>
  <si>
    <t xml:space="preserve">02/04/2025: Inicia con la implementación 
03/04/2025:  Ayer comenzó esta vulnerabilidad, avanzó poco por otras tareas; hoy continuará trabajando en ella.  
04/04/2025: Unque avanzó bastante, la tarea aún no está finalizada. Hoy se continuará con ese objetivo.
07/04/2025 Finalizada en test
07/04/2025:  haciendo un cambio en Application error messages y subira  a test
08/04/2025: Finalizo implementación en test </t>
  </si>
  <si>
    <t xml:space="preserve">pendiente 2 vulnerabilidades se entrega hoy </t>
  </si>
  <si>
    <t xml:space="preserve">finaliado 6 mayo </t>
  </si>
  <si>
    <t xml:space="preserve">Vulnerabilidades Edgar </t>
  </si>
  <si>
    <t>25/03/2025: El viernes trabajó en esta vulnerabilidad, resolviendo varios detalles; estima terminarla hoy al mediodía y luego pasará a Lectura de Autorizaciones Médicas con IA.
26/03/2025: Ayer terminó esta vulnerabilidad y la subió a test; ya está resuelta, se realizaran pruebas y se subira a produccion.
28/03/2025: Subida a test el anteayer con pruebas listas; pendiente pasar a producción.  
31/03/2025: Se soliitara  crear una ventana para subirlo, se realizara  una solicitud  a Leydi Mayorga.
01/04/2025: falta pasar a producción; requiere reiniciar Apache (5 minutos), planeado para la noche para minimizar impacto.
03/04/2025: Listo en test, solo falta reiniciar Apache (segundos); lo hará hoy, preferiblemente en la noche para evitar interrupciones.
04/04/2025: Se aplicaron cambios relacionados con vulnerabilidades en Apache, pero no se reflejaron en producción, Hoy se hará validación para identificar el problema.
07/04/2025:No avanzó el viernes por priorizar Web Application Information Disclosure; hoy sacará tiempo para realizar la validación.
09/04/2025: Un se encuentra  pendiente validar el porque los cambios nose replicaron en produccion.
10/04/2025: Ayer tarde intentó cambios en los cifrados; funciona en test pero no en producción tras mucho tiempo invertido; lo dejará pendiente para buscar una solucion.</t>
  </si>
  <si>
    <t xml:space="preserve">MDSB-707440 </t>
  </si>
  <si>
    <t xml:space="preserve"> Portal reembolsos ARL</t>
  </si>
  <si>
    <t xml:space="preserve">Pausado por otras prioridades del negocio </t>
  </si>
  <si>
    <t xml:space="preserve">Todo este requerimiento es de Jairto </t>
  </si>
  <si>
    <t>Implementación de observacion  en la consulta de "Reconsideración Negativa de Servicios"</t>
  </si>
  <si>
    <t>28/01/2025 continua con la implementación del cargue y eliminación  de los archivos</t>
  </si>
  <si>
    <t xml:space="preserve">Relacionado con 440 jira </t>
  </si>
  <si>
    <t>Cambio de nombres en pensiones</t>
  </si>
  <si>
    <t>09/04/2025: Liyibet  pidió por correo ajustar nombres en pensiones; proponen una opción manual con rol (como Jesús hizo antes), evitando cambios manuales frecuentes; Jairo lo revisará.
10/04/2025: Hoy  ajustara por base de datos el registro solicitado por Liyibet  y quedara pendiente la implementación de la opcion automatica para la autogestion.
11/04/2025: no lo ha hecho por no encontrar el correo; lo reenvían hoy para avanzar con un update. 
14/04/2025: Hoy realizo modificacion solicitada, quedara pendiente la implementación de la opcion automatica para la autogestion.</t>
  </si>
  <si>
    <t>Confirguración de Tipología internacional (dudas).</t>
  </si>
  <si>
    <t>04/04/2025: Hoy continuara  con la confirguración de la tipologia.
07/04/2025: No trabajó en esto el viernes por otros temas; hoy configurará consultas y evaluará si se puede copiar o ajustar
09/04/2025: Ayer finalizó y pasó a test; listo para que Santiago inicie pruebas; incluye ajustes de fase 1 y 2 de reembolsos (dudas, retoma, informe).
10/04/2025: Santiago aprueba  paso a produccion, se estima pasarlo  junto  con el req GD772-61.
11/04/2025: Pendiente  realizar paso a produccion.
14/04/2025:Realizo paso a produccion hoy en la  mañana.</t>
  </si>
  <si>
    <t>Gestión de glosas y anticipos (Se identificaron errores por glosas parciales enviadas sin completar el flujo de anticipos)</t>
  </si>
  <si>
    <t>MDSB-797891</t>
  </si>
  <si>
    <t>04/04/2025: Se propuso agregar un botón de confirmación para validar el monto con el usuario antes de enviar la diferencia al centralizador contable, Iniciara al finalizar la Confirguración de Tipología internacional (dudas).
07/04/2025:Bolivat debera  radicar un jira con los  cambios requeridos.</t>
  </si>
  <si>
    <t xml:space="preserve">Hoy se pasa a produccion el comando </t>
  </si>
  <si>
    <t xml:space="preserve">pendiente pasar a produccion </t>
  </si>
  <si>
    <t xml:space="preserve">Finalizado viernes 2 Mayo </t>
  </si>
  <si>
    <t xml:space="preserve">MDSB-791997 </t>
  </si>
  <si>
    <t>Listado solicitudes 1de enero de 2024 al 31 de marzo de 2024</t>
  </si>
  <si>
    <t>04/04/2025: Bolivar requiere listado del total de solicitudes tramitadas por imagine mensualmente de 1de enero de 2024 al 31 de marzo de 2024, Continuara despues de  finalizar GD772-84 Comunicaciones gestión de aportes sin afiliacion 
09/04/2025: Ayer creó un query para contar casos por origen (masivos, portales, etc.) para ARL (nativo, medicamentos, incapacidades, fallos); Jairo ejecutó uno y dará tabla de fallos; sigue pendiente para incapacidades y medicamentos. 
10/04/2025: Ayer avanzó en query  para casos por origen; falta la tabla de fallos (Jairo la proporcionará hoy);  
14/04/2025: Se envia  informe solicitado  por Bolivar.</t>
  </si>
  <si>
    <t>Consulta de estado del CUPS en la malla</t>
  </si>
  <si>
    <t>10/04/2025: Se sugiere implementar consulta directa del estado del CUPS (activo/inactivo) en la vista de carga, incluyendo usuario y fecha de inactivación. Se puede reutilizar la función existente.</t>
  </si>
  <si>
    <t>GD772-84</t>
  </si>
  <si>
    <t>Comunicaciones gestión de aportes sin afiliacion (masivos)</t>
  </si>
  <si>
    <t>02/04/2025: Iniciara  tan pronto finalice GD772-92 - Malla CUPS en Nativo
03/04/2025: Iniciara hoy con el desarrollo.
04/04/2025: avanzó en la implementación para leer una segunda hoja de los archivos Excel de masivos, hoy se continuará con el armado de la respuesta y se realizarán pruebas en la tarde.
07/04/2025: El viernes probó con Fabio dos PDFs nuevos para masivos; funcionó bien, pero las plantillas están quemadas; hoy ajustarán un editor dinámico para plantillas y corregirán detalles menores, evaluando paso a producción. 
09/04/2025: Ayer corrigió fechas en PDFs para dos tipologías; listo en test para pruebas del cliente, pendiente paso a producción.
10/04/2025: Se realizara entrega al cliente  hoy.
11/04/2025: En pruebas con el cliente se presentó un hallazgo: el sistema tomó el mismo comunicado para las dos tipologías, cuando cada una debe tener un comunicado diferente. Se validará, ya que este error no ocurrió en pruebas previas.
14/04/2025 Realizara  validción y ajuste  del hallazgo de las  pruebas realizadas el 10 de Abril con el  cliente.
14/04/2025:Se realizan ajustes, se remite al cliente para pruebas y aprueba paso a produccion.</t>
  </si>
  <si>
    <t xml:space="preserve">GD772-95 </t>
  </si>
  <si>
    <t>MONTOS MINIMO GLOSA</t>
  </si>
  <si>
    <t xml:space="preserve">10/04/2025: Se plantea restricción para glosas parciales menores a $6.000. Se mostrará mensaje al usuario y se bloqueará si no cumple con el mínimo.
11/04/2025: Implementado en local (mensaje para glosas parciales &lt; 6.000 pesos); hoy lo pasará a producción tras pruebas en test.
14/04/2025: Requerimiento en test
14/04/2025: Se realiza pasoa produccion. </t>
  </si>
  <si>
    <t xml:space="preserve">GD772-96  </t>
  </si>
  <si>
    <t>VALOR RIPS</t>
  </si>
  <si>
    <t xml:space="preserve">10/04/2025: Hoy implementará que los campos de valor en JSON (ValorServices) sean mayores a cero en el portal, evitando RIPS en cero; tarea rápida de la mañana.
11/04/2025: Implementado en local (valor &gt; 0 en ValorServices); hoy lo pasará a producción tras pruebas en test.
14/04/2025: Requerimiento en test
14/04/2025: Se realiza  paso a produccion </t>
  </si>
  <si>
    <t xml:space="preserve">GD772-97 </t>
  </si>
  <si>
    <t>BOTON ENVIO PAGO DE FACTURAS RESPUESTA A GLOSA PARA EPS</t>
  </si>
  <si>
    <t>11/04/2025:  No lo entiende; pendiente de aclaración con el usuario para avanzar
14/04/2025:Se realiza paso a produccion.</t>
  </si>
  <si>
    <t>GD772-98</t>
  </si>
  <si>
    <t xml:space="preserve"> FACTURA PAGO ANTICIPO EPS</t>
  </si>
  <si>
    <t xml:space="preserve">11/04/2025: Implementado en local; hoy lo pasará a producción tras pruebas en test.  
14/04/2025: Requerimiento en test
14/04/2025: Se realiza paso a producción </t>
  </si>
  <si>
    <t>MDSB-796714</t>
  </si>
  <si>
    <t xml:space="preserve"> . JIRA SERVIENTREGA </t>
  </si>
  <si>
    <t>jESUS PEÑA</t>
  </si>
  <si>
    <t>MDSB-729146</t>
  </si>
  <si>
    <t xml:space="preserve">Jiras dia a dia </t>
  </si>
  <si>
    <t>MDSB-764755</t>
  </si>
  <si>
    <t>MDSB-765184</t>
  </si>
  <si>
    <t>MDSB-780326</t>
  </si>
  <si>
    <t>MDSB-781420</t>
  </si>
  <si>
    <t>MDSB-788689</t>
  </si>
  <si>
    <t>MDSB-793360</t>
  </si>
  <si>
    <t>MDSB-792179</t>
  </si>
  <si>
    <t>Interno</t>
  </si>
  <si>
    <t xml:space="preserve">Publicación informe analitica  en nativo </t>
  </si>
  <si>
    <t xml:space="preserve">Se realizo ajuste en prod el vienres </t>
  </si>
  <si>
    <t>MDSB-803317</t>
  </si>
  <si>
    <t xml:space="preserve">Error de recobros (Consulta Masiva de Soportes) </t>
  </si>
  <si>
    <t xml:space="preserve">Se subió a produccion en la mañana el ajuste </t>
  </si>
  <si>
    <t xml:space="preserve">Control para casos anulados en trazabilidad </t>
  </si>
  <si>
    <t xml:space="preserve">Control para casos sin usuario radicacion </t>
  </si>
  <si>
    <t>WILSON APONTE</t>
  </si>
  <si>
    <t xml:space="preserve">Interno </t>
  </si>
  <si>
    <t xml:space="preserve">Analitica de factura de cuentas medicas </t>
  </si>
  <si>
    <t xml:space="preserve">Se entregó el 8 de mayo </t>
  </si>
  <si>
    <t>Informe de RIPS (soporte)</t>
  </si>
  <si>
    <t xml:space="preserve">Se iniicia soporte </t>
  </si>
  <si>
    <t xml:space="preserve">finalizado el 5 mayo </t>
  </si>
  <si>
    <t>FABIO FORERO</t>
  </si>
  <si>
    <t>Manual MDSB-707440 - Portal Reembolsos ARL</t>
  </si>
  <si>
    <t>05/03/2025: Se iniciara al finalizar  Prueba en test GD772-82 Tipología sin flujo de radicación sisalud.</t>
  </si>
  <si>
    <t xml:space="preserve">Reemplazo negocio Proteccion </t>
  </si>
  <si>
    <t>Medio dia dedicado a proteccion, lo demas bolivar responsive</t>
  </si>
  <si>
    <t>Se tiene previsto avanzar lo máximo posible en Protección y luego retomar el nuevo requerimiento relacionado con autorizaciones médica</t>
  </si>
  <si>
    <t>Termino documentación  y seguimiento, Aunque se ha avanzado en el tema de protección, no se da por cerrado, ya que surgen casos constantemente. Ayer no se reportaron incidentes nuevos, pero en los días anteriores sí hubo, por lo cual se mantendrá como una tarea en proceso hasta que Alejandro retome la responsabilidad.</t>
  </si>
  <si>
    <t>Se trabajara en casos de protección que surjan</t>
  </si>
  <si>
    <t>La gestión  fue retomada por Alejandro desde el martes. No se han realizado más acciones sobre este tema desde el viernes 16 de mayo anterior, por lo que se da por cerrado el soporte temporal.</t>
  </si>
  <si>
    <t xml:space="preserve">Ajuste validación un cero al inicio en la lectura de IA CUPS </t>
  </si>
  <si>
    <t xml:space="preserve">Se entrega el dia de hoy </t>
  </si>
  <si>
    <t>Se confirma que el ajuste implementado el viernes  9 de mayo fue desplegado exitosamente en producción hacia las 6:00 p.m.</t>
  </si>
  <si>
    <t>Corrección de vulnerabilidad en la consulta de solicitudes ARL</t>
  </si>
  <si>
    <t>Se abordó una vulnerabilidad reportada a Lidy relacionada con la consulta de solicitudes ARL. Aunque los cambios necesarios ya habían sido desarrollados y aprobados por Fabio, no se habían subido a producción por razones desconocidas. Al encontrarse con una rama de código desactualizada, se optó por crear una nueva rama y migrar los cambios para solventar el problema.</t>
  </si>
  <si>
    <t>El  14 de mayo,Se abordó una vulnerabilidad reportada a Lidy relacionada con la consulta de solicitudes ARL. Aunque los cambios necesarios ya habían sido desarrollados y aprobados por Fabio, no se habían subido a producción por razones desconocidas. Al encontrarse con una rama de código desactualizada, se optó por crear una nueva rama y migrar los cambios para solventar el problema.</t>
  </si>
  <si>
    <r>
      <rPr>
        <rFont val="Quattrocento Sans"/>
        <b/>
        <color rgb="FF1155CC"/>
        <sz val="10.0"/>
        <u/>
      </rPr>
      <t>GD772-102</t>
    </r>
  </si>
  <si>
    <t>Bolivar da visto bueno para  pasar a produccion.</t>
  </si>
  <si>
    <t xml:space="preserve">El 12 de mayo  se realizo paso a produccion </t>
  </si>
  <si>
    <t>MDSB-809245</t>
  </si>
  <si>
    <t>Jira dia a dia ( Generar informe tipologias 10007, 10008, 10581 de pensiones</t>
  </si>
  <si>
    <t>Iniciara  con la generación del informe por DB</t>
  </si>
  <si>
    <t>Informe generado 13 de mayo y enviado  14 de mayo</t>
  </si>
  <si>
    <t>jeSUS PEÑA</t>
  </si>
  <si>
    <t>MDSB-792259</t>
  </si>
  <si>
    <t>Jira dia a dia ( Generar informe de casos radicados inicialmente bajo la tipología “Otro tipo de solicitud”</t>
  </si>
  <si>
    <t>Informe generado y enviado  13 de mayo</t>
  </si>
  <si>
    <r>
      <rPr>
        <rFont val="Roboto"/>
        <color rgb="FF1155CC"/>
        <sz val="9.0"/>
        <u/>
      </rPr>
      <t>GD772-81</t>
    </r>
  </si>
  <si>
    <t xml:space="preserve">Calificador automático (Ajuste de carta de respuesta) </t>
  </si>
  <si>
    <t>subira a test para  pruebas</t>
  </si>
  <si>
    <t>El viernes 16 de mayo  Se subieron a test varios ajustes, incluyendo el PDF de salida para nueve tipologías distintas, no solo una. También se configuró el administrador de cartas, permitiendo edición según cada tipología</t>
  </si>
  <si>
    <t>MDSB-786579</t>
  </si>
  <si>
    <t xml:space="preserve"> No permite enlazar tipologías (Nativo</t>
  </si>
  <si>
    <t xml:space="preserve">Inicia validación </t>
  </si>
  <si>
    <t>MDSB-812125</t>
  </si>
  <si>
    <t>Error en generación de cartas no furat (Nativo)</t>
  </si>
  <si>
    <t>Se realiza validación con la usuaria y se identifica una carta adicional creada en el administrador que no permitia que el  proceso tomara la  carta correcta, se inactiva la  carta y se espera que el  usuario realice pruebas y nos confirme que ha quedado correcto.</t>
  </si>
  <si>
    <t>El 20 de Mayo  lLeidy mayorga confirma que la  carta se esta generando bien.</t>
  </si>
  <si>
    <t>interno</t>
  </si>
  <si>
    <t>Validar funcionamiento listas blancas en test</t>
  </si>
  <si>
    <t>Iniciara con la Validación  hoy</t>
  </si>
  <si>
    <t>Se solucionó un error que impedía el correcto funcionamiento de listas blancas en ambiente de pruebas</t>
  </si>
  <si>
    <t>Adicionar sleep(1) en la DB en Nativo</t>
  </si>
  <si>
    <t xml:space="preserve">Ya lo tiene  creado  en local  para   subir a produccion  </t>
  </si>
  <si>
    <t>El 22  de mayo se  subio s produccion La instrucción sleep(1) se implementó para mitigar problemas de duplicación de actividades. Sin embargo, se detectó que otras funciones también abren/cierra casos</t>
  </si>
  <si>
    <t>MDSB-818098</t>
  </si>
  <si>
    <t>Jira solicitud de información(Informe seguimiento x actividades)</t>
  </si>
  <si>
    <t>Se genero informe a partir de una solicitud JIRA. El informe ya está elaborado, pero requiere apoyo para su generación final.</t>
  </si>
  <si>
    <t>MDSB-814988</t>
  </si>
  <si>
    <t>jiras dia a dia (Ajustar roll usuario 1024539753)</t>
  </si>
  <si>
    <t>MDSB-818156</t>
  </si>
  <si>
    <t>jiras dia a dia (Ajustar roll usuario 1082157117)</t>
  </si>
  <si>
    <t>Cerrar trazabilidad de Tipologias cierre automatico</t>
  </si>
  <si>
    <t>Realizara hoy el cierre</t>
  </si>
  <si>
    <t>MDSB-812348</t>
  </si>
  <si>
    <t>Jiras dia a dia ( Generacion de  informe  formato at 031 año 2024</t>
  </si>
  <si>
    <t>Informe generado y enviado al usuario</t>
  </si>
  <si>
    <t>GD772-104</t>
  </si>
  <si>
    <t>campos glosa aceptada y glosa conciliacion (pend JIRA)</t>
  </si>
  <si>
    <t>MDSB-803316</t>
  </si>
  <si>
    <t>MDSB-814807</t>
  </si>
  <si>
    <t xml:space="preserve">Se debe revisar el error de los campos de tamaño,  sin eso no se puede avanzar este req, ya se encuentra proximo a test </t>
  </si>
  <si>
    <t xml:space="preserve">Se entrega para TEST miercoles 30 abril </t>
  </si>
  <si>
    <t xml:space="preserve">Se pausó para soporte de informe RIPS </t>
  </si>
  <si>
    <t>Se realizaron ajustes solicitados relacionados con los campos de GLOSA, específicamente desde la línea 39. También se atendieron solicitudes de cambios adicionales</t>
  </si>
  <si>
    <t>se han aplicado algunos cambios solicitados en Campus Glossa, los cuales ya están en ambiente de pruebas. Solo se espera la validación final por parte del equipo solicitante, Adicional se está revisando si ese orden de la carta solicitado se encuentra implementado correctamente o si requiere ajustes.</t>
  </si>
  <si>
    <t>Se solicita control  de cambios a produccion MDSB-814807</t>
  </si>
  <si>
    <t>aún se está esperando el Jira MDSB-814807, se requiere aprobación por parte de varios actores</t>
  </si>
  <si>
    <t>El control de cambios se encuentra pendiente por aprovación de Juan David Leon, se estima la aprovación  hoy  para que sea incluido en comite de cambios digitales
*Control de cambios aprobado y ejecutado 21 de mayo a las 4pm.</t>
  </si>
  <si>
    <t>El desarrollo fue pasado a producción e incluye los nuevos campos solicitados. Sin embargo, el informe presenta limitaciones si existen más de tres Glosas, por lo que se propuso desarrollar un nuevo informe más claro y funcional.</t>
  </si>
  <si>
    <t>INTERNO</t>
  </si>
  <si>
    <t>Botón para radicación directa de nota crédito</t>
  </si>
  <si>
    <t>Se propuso automatizar la radicación de notas crédito mediante un botón que simplifique el proceso repetitivo. El desarrollo aún no ha iniciado, pero se estima de rápida implementación.</t>
  </si>
  <si>
    <t>ya está en producción y deben ser mostradas a los usuarios.(John)</t>
  </si>
  <si>
    <t>Validación informe general ARL-prd</t>
  </si>
  <si>
    <t>El informe presenta demoras al abrirse en Excel debido al alto volumen de registros. Se recomendó reducir el rango de fechas a 15 días y exportar en formato CSV para evitar bloqueos del sistema y mejorar el rendimiento.</t>
  </si>
  <si>
    <t>IIniciara hoy con la validación del imforme</t>
  </si>
  <si>
    <t>26 de Mayo finalizza ajuste del informe cambiando el formato de descarga a .csv, haciendo mas ligera la generación y apertura del informe.</t>
  </si>
  <si>
    <t xml:space="preserve">MDSB-794658
</t>
  </si>
  <si>
    <t>jira dia a dia ( No muestra infromación actualizada en consulta de autorizaciones)</t>
  </si>
  <si>
    <t>Se ajusta el limit de la consulta</t>
  </si>
  <si>
    <t>Apertura de flujo  caso 38929896 (Nativo Dictamen Jrci)</t>
  </si>
  <si>
    <t>El 29 de Mayo se realiza apertura del fllujo ya que el caso habia quedado con una sola actividad.</t>
  </si>
  <si>
    <t>MDSB-822809</t>
  </si>
  <si>
    <t>Jira dia a dia ( Descarga soportes AT 031 y AT 028)</t>
  </si>
  <si>
    <t>Se  implementara una  consulta para realizar  la descarga de los soportes  ya que son demasioado pesados.</t>
  </si>
  <si>
    <t xml:space="preserve">Buscar Tabla Log de calificación  </t>
  </si>
  <si>
    <t xml:space="preserve"> Jesús debe ubicar la tabla y realizar una consulta select para continuar con esta tarea, Falizada hoy 
</t>
  </si>
  <si>
    <t>Nuevos datos de ordenes medicas  con IA (Adicion de campos  informe cups)</t>
  </si>
  <si>
    <t>***</t>
  </si>
  <si>
    <t>Está en ambiente de prueba; faltan dos columnas cuya fuente debe identificarse</t>
  </si>
  <si>
    <t>El 5 de junio se realizan prueba y ajustes de los hallazgo en test, hoy realizara  despliegue a produccion</t>
  </si>
  <si>
    <t>Los Ajustes del  informe se pasaron a produccion el 6 de Junio.</t>
  </si>
  <si>
    <r>
      <rPr>
        <rFont val="Quattrocento Sans"/>
        <b/>
        <color rgb="FF1155CC"/>
        <sz val="10.0"/>
        <u/>
      </rPr>
      <t>GD772-88</t>
    </r>
  </si>
  <si>
    <t>Requerimiento gestión Medicamentos fase 2 - Sprint 1</t>
  </si>
  <si>
    <t xml:space="preserve">inicia requerimiento </t>
  </si>
  <si>
    <t xml:space="preserve">Se entrega para hoy </t>
  </si>
  <si>
    <t xml:space="preserve">Jesus subio a justes  a test 9 de mayo,  Fabio iniciara pruebas
</t>
  </si>
  <si>
    <t>Jesus realiza ajustes de hallazgos evidenciados en las  pruebas, se realizara validación de los ajustes  y realizar entrega al cliente hoy.</t>
  </si>
  <si>
    <t>En sesion de seguimiento con Bolivar confirman paso a produccion</t>
  </si>
  <si>
    <t>Se programa paso a produccion para  hoy en la tarde (5 pm)</t>
  </si>
  <si>
    <t xml:space="preserve">Se realiza paso a produccion </t>
  </si>
  <si>
    <t>MDSB-827826</t>
  </si>
  <si>
    <t>Jira dia a dia (Modificación texto carta comunicaciones masivas)</t>
  </si>
  <si>
    <t xml:space="preserve">El 10 de junio se realiza ajuste de las cartas por base de datos </t>
  </si>
  <si>
    <t>Vulnerabilidad, CVE-2017-18214 (Moment.js) – ReDoS al procesar cadenas de fecha maliciosas (&lt; v2.19.3)</t>
  </si>
  <si>
    <t>Permite ataques DoS por expresiones regulares (ReDoS) al manejar fechas especialmente diseñadas en Moment.js para Node.js</t>
  </si>
  <si>
    <t>Se actualizó a la versión 2.29.4 para corregir la vulnerabilidad</t>
  </si>
  <si>
    <t>Vulnerabilidad,CVE-2017-18214 (Linux Kernel) – Error en el subsistema DCCP del kernel de Linux</t>
  </si>
  <si>
    <t>Vulnerabilidad distinta con mismo identificador CVE, afecta al kernel de Linux y no está relacionada con Moment.js.</t>
  </si>
  <si>
    <t>Se cierre vulnerabilidad debido a que la  Versión de kernel es superior (5.15.0-1084-aws)</t>
  </si>
  <si>
    <t xml:space="preserve">Analitica de factura de cuentas medicas  (ingresar en el portal de yii)  ArL </t>
  </si>
  <si>
    <t xml:space="preserve">Pendiente hasta que lo active wilson </t>
  </si>
  <si>
    <t xml:space="preserve">Se inica dado que wilson ya entregó informe </t>
  </si>
  <si>
    <t>confirma estar trabajando en el portal. Comenta que durante el jueves y viernes estuvo enfocado principalmente en el informe elaborado por Wilson, sin embargo, encontró errores que ya fueron comunicados a Wlson, los cuales parecen estar relacionados con cambios que sufrió el informe después de haber comenzado su desarrollo</t>
  </si>
  <si>
    <t>El script que estaba utilizando Wilson se encuentra desactualizado respecto a la nueva estructura del informe. Es importante actualizar el script o definir un responsable para garantizar compatibilidad y evitar errores de ejecución.</t>
  </si>
  <si>
    <t>SE indicó por correo que el desarrollo estaba listo para subir, pero al hacerlo se detectaron errores. Aún no se ha recibido respuesta posterior de Wilson, posiblemente porque está involucrado en otros temas.</t>
  </si>
  <si>
    <t>Realizara validación e informara a Jairo cuando este listo.</t>
  </si>
  <si>
    <t>Wilson entrega  informe en HTML con imágenes a Jiaro, pero presenta inconvenientes técnicos para su visualización correcta. Se requiere solución que permita mostrar el contenido de forma segura e integrada.</t>
  </si>
  <si>
    <t xml:space="preserve"> El 23 de Mayo inició la revisión del informe de analítica de facturas de cuentas médicas en el portal Yii de la ARL, basado en el trabajo de Wilson, pero no alcanzó a completarla.</t>
  </si>
  <si>
    <t>No se han realizado avances en este requerimiento. Continúa pendiente de priorización frente a otras tareas.</t>
  </si>
  <si>
    <t xml:space="preserve">Aún no se ha retomado este requerimiento. Se planea revisarlo tan pronto como sea posible.
</t>
  </si>
  <si>
    <t>Se retomará el desarrollo durante la mañana de hoy. El objetivo es mostrar resultados concretos en esta jornada</t>
  </si>
  <si>
    <t xml:space="preserve">No se ha retomado el desarrollo. Se planea continuar una vez finalizado la  Mejora informe glosa req GD772-104
</t>
  </si>
  <si>
    <t>Ya fue desplegada en producción desde el 17 de junio. Pendiente revisión con el cliente (actualmente en vacaciones).</t>
  </si>
  <si>
    <t>MDSB-820704</t>
  </si>
  <si>
    <t>Jira dia a dia Error en generación informe mail 472 (Prefactura)</t>
  </si>
  <si>
    <t>En cola de trabajo</t>
  </si>
  <si>
    <t>Retomara validación de la incidencia</t>
  </si>
  <si>
    <t>Se identifica que el problema fue causado por un valor en el campo direccion_destino, donde la descripción de la dirección incluía un punto y coma (;) como parte del texto, Se añadió una codificación UTF-8 al tratamiento del texto, permitiendo omitir o interpretar correctamente el punto y coma, evitando así el desbordamiento de columnas al momento de cargar el archivo .csv</t>
  </si>
  <si>
    <t xml:space="preserve">Jira dia a dia Marcar como envio certificado tipologia  10665 Solicitud paz y salvo prestadores asistenciales. </t>
  </si>
  <si>
    <t>Se realiza maracación solicitada para la tipologia 10665 Solicitud paz y salvo prestadores asistenciales.</t>
  </si>
  <si>
    <t>Automatización de notas crédito</t>
  </si>
  <si>
    <t>Se implementó automatización basada en lectura del XML para reconocer y anular automáticamente notas crédito. Ya se encuentra  en producción desde el  17 de Junio.</t>
  </si>
  <si>
    <t>F. estimada de entrea</t>
  </si>
  <si>
    <t>VULNERABILIDADES ALTAS</t>
  </si>
  <si>
    <t>Cross site scripting</t>
  </si>
  <si>
    <t>*01/10/2024 Se encuentra en pruebas en test 
*02/10/2024 desplegado a  produccion el 1de octubre</t>
  </si>
  <si>
    <t>Arbitrary file upload</t>
  </si>
  <si>
    <t>*01/10/2024 Se encuentra en pruebas en test 
*01/10/2024 desplegado a  produccion.</t>
  </si>
  <si>
    <t>VULNERABILIDADES MEDIAS</t>
  </si>
  <si>
    <t>Database Error Message Disclosure</t>
  </si>
  <si>
    <t>*02/10/2024 finalizado</t>
  </si>
  <si>
    <t>Application error messages</t>
  </si>
  <si>
    <t>Development configuration files</t>
  </si>
  <si>
    <r>
      <rPr>
        <rFont val="Segoe UI"/>
        <b/>
        <color theme="1"/>
        <sz val="10.0"/>
      </rPr>
      <t>MDSB-679569</t>
    </r>
    <r>
      <rPr>
        <rFont val="Segoe UI"/>
        <color theme="1"/>
        <sz val="10.0"/>
      </rPr>
      <t xml:space="preserve"> No estan ingresando casi casos a la bandeja de con Externa y Crónicos.</t>
    </r>
  </si>
  <si>
    <t>*02/10/2024 Validar estadistico y no se evidencia intermitencia en el servicio.</t>
  </si>
  <si>
    <t>Cargue masivo de imágenes a casos reportados por John</t>
  </si>
  <si>
    <r>
      <rPr>
        <rFont val="Quattrocento Sans"/>
        <color theme="1"/>
        <sz val="10.0"/>
      </rPr>
      <t>*</t>
    </r>
    <r>
      <rPr>
        <rFont val="Segoe UI"/>
        <b/>
        <color theme="1"/>
        <sz val="10.0"/>
      </rPr>
      <t>02/10/2024, las imágenes se encuentran en una maquina local  se debe validar la forma de como pasarlas al  servidor</t>
    </r>
  </si>
  <si>
    <t>Validar creacion de plantillas de respuesta en nativo salud</t>
  </si>
  <si>
    <t>PRUEBAS</t>
  </si>
  <si>
    <t>* 02/10/2024 Realizando pruebas en local.</t>
  </si>
  <si>
    <t>JHOAN QUICENO</t>
  </si>
  <si>
    <t xml:space="preserve">MDSB-679787  Error cargue Constitución en Mora </t>
  </si>
  <si>
    <t>*03/10/2024 Se realiza despliegue a  produccion.</t>
  </si>
  <si>
    <t>Ausencia de control de peticiones</t>
  </si>
  <si>
    <t xml:space="preserve">*03/10/2024 Pendiente paso a produccion </t>
  </si>
  <si>
    <t>Enumeración de usuarios</t>
  </si>
  <si>
    <t>MDSB-665946 La lista blanca no esta tomando las IP</t>
  </si>
  <si>
    <t>*03/10/2024 se validara con Jenry la incidencia 
*04/10/2024 Se debe escalar a seguridad.</t>
  </si>
  <si>
    <t>GD772-39-incluir registro histórico de incapacidades por CC en bandeja de pendientes de cada analista</t>
  </si>
  <si>
    <t>*04/10/2024 Jose da el go para el paso a produccion,
*04/10/2024 Se realiza  paso a producción.</t>
  </si>
  <si>
    <t>https://github.com/Imaginesas/bolivar/compare/master...hotfix/anadirBotonCedulas</t>
  </si>
  <si>
    <t xml:space="preserve">Dar respuesta  al jira </t>
  </si>
  <si>
    <t xml:space="preserve">*04/10/2024 Se da respuesta al caso </t>
  </si>
  <si>
    <t xml:space="preserve">ENVIO DE ADJUNTOS DE ORDENES AFI </t>
  </si>
  <si>
    <t>No envia los adjuntos en el primer envio</t>
  </si>
  <si>
    <t>*04/10/2024 se agregó un delayed de 1 segundo para darle el tiempo que necesita el disco en reconstruir la imagen.</t>
  </si>
  <si>
    <t>Casos  que no se no se encuentra el  adjunto</t>
  </si>
  <si>
    <t>ADJUNTAR DOCUMENTOS PORTAL SALUD (Reembolsos)</t>
  </si>
  <si>
    <t>Agregar ipload para el cargue documentos por el  usuario y reabra los casos</t>
  </si>
  <si>
    <t>03/10/2024; reabrir casos
*04/10/2024 Cambios en test  para  pruebas.
07/10/2024 pruebaS.</t>
  </si>
  <si>
    <t>Requerimiento salud nativo</t>
  </si>
  <si>
    <t>Ajustar creación y edición de tipologías por un roll en específico</t>
  </si>
  <si>
    <t>EN PRUEBAS</t>
  </si>
  <si>
    <r>
      <rPr>
        <rFont val="Quattrocento Sans"/>
        <color theme="1"/>
        <sz val="10.0"/>
      </rPr>
      <t>* 02/10/2024 creacion de  un super roll  y se solicitara control de cambios a test</t>
    </r>
    <r>
      <rPr>
        <rFont val="Segoe UI"/>
        <b/>
        <color theme="1"/>
        <sz val="10.0"/>
      </rPr>
      <t>.
* 03/10/2024 controles de cambios MDSB-680626 y MDSB-680647 ejecutados correctamente, Se realizara despliegue a test para pruebas.</t>
    </r>
  </si>
  <si>
    <t>Corrección en la creación y actualización de usuarios por cada negocio en administracion de usuarios</t>
  </si>
  <si>
    <r>
      <rPr>
        <rFont val="Segoe UI"/>
        <b val="0"/>
        <color theme="1"/>
        <sz val="10.0"/>
      </rPr>
      <t>*02/10/2024, se subiran los ajustes  pendientes reportados en las pruebabas del 26 de septiembre</t>
    </r>
    <r>
      <rPr>
        <rFont val="Segoe UI"/>
        <b/>
        <color theme="1"/>
        <sz val="10.0"/>
      </rPr>
      <t>.
*03/10/2024 Se programara sesion para  validar los ajustes.</t>
    </r>
  </si>
  <si>
    <t>Administracion menu</t>
  </si>
  <si>
    <t xml:space="preserve">*04/10/2024 en test para  pruebas </t>
  </si>
  <si>
    <t>JOHN ROLON</t>
  </si>
  <si>
    <t>Paso de imágenes al servidor</t>
  </si>
  <si>
    <r>
      <rPr>
        <rFont val="Segoe UI"/>
        <b val="0"/>
        <color theme="1"/>
        <sz val="10.0"/>
      </rPr>
      <t>*02/10/2024 Validar la  forma de pasar las  imágenes al servidor.</t>
    </r>
    <r>
      <rPr>
        <rFont val="Segoe UI"/>
        <b/>
        <color theme="1"/>
        <sz val="10.0"/>
      </rPr>
      <t xml:space="preserve">
* 03/10/2024 Se realizara validacion  hoy.
*04/10/2024 se cargan 651 casos, quedan pendinetes 81 imágenes por  procesar por falta del numero de caso.</t>
    </r>
  </si>
  <si>
    <t>Ajustar visualizacion de Actividades, informacion caso internet y visor de imágenes, no se activan al  radicar  un caso.</t>
  </si>
  <si>
    <t>Realizar pruebas en test</t>
  </si>
  <si>
    <t xml:space="preserve">*04/10/2024 Se evidencia hallazgo en el borrado de plantillas y queda pendiente la validacion de las plantillas en gestion del caso.
*07/10/2024 a un no se ha desplegado el ajuste a test 
*07/10/2024 Las plantillas de no salen en gestion de caso </t>
  </si>
  <si>
    <t>Error 500 al consultar CC del radicado 30890192</t>
  </si>
  <si>
    <t>*08/10/2024 Revisar log de errores
*08/10/2024 Error producido por una modficación erronea de la fecha inc de la incapacidad.</t>
  </si>
  <si>
    <t xml:space="preserve">Ajustes visuales en la vista de gestión </t>
  </si>
  <si>
    <t>*08/10/2024 Se realizara paso a test para pruebas con Jenry</t>
  </si>
  <si>
    <t>Validar creación de plantillas de respuesta en nativo salud</t>
  </si>
  <si>
    <t>Validación de error al borrar plantillas</t>
  </si>
  <si>
    <t xml:space="preserve">*07/10/2024 Pendiente despliegue  a  test.
* 08/10/2024 se realiza validación y a un no permite el borrado
*09/10/2024 ajuste  aplicado correctamente, permite borrar la  plantilla </t>
  </si>
  <si>
    <t>MDSB-672997 Error en creación de usuario proveedores nit 811007144</t>
  </si>
  <si>
    <t>* 08/10/2024 No permite crear usuario como proveedor debido a que ya se encuentra creado como usuario de gestión, se dará respuesta de acuerdo a esta  validación
*09/10/2024 Se evidencia error en el roll asignado</t>
  </si>
  <si>
    <t>Creación  del API</t>
  </si>
  <si>
    <t xml:space="preserve">*08/10/2024 Compromiso de entrega  hoy en la tarde.
*09/10/2024 pendiente despliegue del jira </t>
  </si>
  <si>
    <t>Implementación del API en los servicios para actualizacion de estados.</t>
  </si>
  <si>
    <t>IMPLEMENTADO</t>
  </si>
  <si>
    <t>*09/10/2024 Pendiente creación de la tabla de estados en test para  probar.</t>
  </si>
  <si>
    <t>MDSB-685249 Erroren la  recuperacion de contraseña Yii</t>
  </si>
  <si>
    <t>*09/10/2024no tenía permisos la carpeta cache</t>
  </si>
  <si>
    <t>Ajustar validacion de la fecha inicial de inc en la edicion de fechas</t>
  </si>
  <si>
    <t xml:space="preserve">*09/10/2024 Fabio,realiza validación en  produccion y funciona correctamente </t>
  </si>
  <si>
    <t>https://github.com/Imaginesas/bolivar/compare/master...hotfix/fechaEnGestionEdicion</t>
  </si>
  <si>
    <t>MDSB-683770 ERROR EN EL ENVIO NOTIFICACIONES DE PAGO</t>
  </si>
  <si>
    <t>Confirmar que la notificación se envié al correo registrado.</t>
  </si>
  <si>
    <r>
      <rPr>
        <rFont val="Quattrocento Sans"/>
        <color theme="1"/>
        <sz val="11.0"/>
      </rPr>
      <t>*07/10/2024 Pendiente subir ajuste
*08/10/2024 Pendiente subir a producción</t>
    </r>
    <r>
      <rPr>
        <rFont val="Quattrocento Sans"/>
        <b/>
        <color theme="1"/>
        <sz val="11.0"/>
      </rPr>
      <t xml:space="preserve">
*09/10/2024 Subira a test y posteriomente a producción </t>
    </r>
  </si>
  <si>
    <t>https://github.com/Imaginesas/bolivar/compare/master...hotfix/correosMasivos</t>
  </si>
  <si>
    <t>VULNERABILIDADES BAJAS</t>
  </si>
  <si>
    <t>Web Server Allows Password Auto-Completion</t>
  </si>
  <si>
    <r>
      <rPr>
        <rFont val="Quattrocento Sans"/>
        <color theme="1"/>
        <sz val="11.0"/>
      </rPr>
      <t>*04/10/2024 pruebas
*</t>
    </r>
    <r>
      <rPr>
        <rFont val="Quattrocento Sans"/>
        <b/>
        <color theme="1"/>
        <sz val="11.0"/>
      </rPr>
      <t xml:space="preserve"> 07/10/2024 se entrega a Danilo para  pruebas y posterior despliegue a producción
* 09/10/2024 Confirmar entrega de rama a Danilo
* 10/10/2024 Etregadas a Danilo 9 de octubre </t>
    </r>
  </si>
  <si>
    <t>Autocomplete Enabled</t>
  </si>
  <si>
    <t xml:space="preserve">*04/10/2024 pruebas
* 07/10/2024 se entrega a Danilo para  pruebas y posterior despliegue a producción
* 09/10/2024 Confirmar entrega de rama a Danilo
* 10/10/2024 Etregadas a Danilo 9 de octubre </t>
  </si>
  <si>
    <t>Internal Server Error</t>
  </si>
  <si>
    <t>Reabrir casos devueltos por falta de documentación</t>
  </si>
  <si>
    <r>
      <rPr>
        <rFont val="Quattrocento Sans"/>
        <color theme="1"/>
        <sz val="11.0"/>
      </rPr>
      <t xml:space="preserve">*07/10/2024 Se escala jira MDSB-684400 para creación de tabla de estados en test
* 08/10/2024 Se realizara sesión para  validar el  proceso de estados.
</t>
    </r>
    <r>
      <rPr>
        <rFont val="Quattrocento Sans"/>
        <b/>
        <color theme="1"/>
        <sz val="11.0"/>
      </rPr>
      <t>*09/10/2024 pendiente creación de tabla de estados solicitad en jira MDSB-684795
*10/10/2024 implementación de la  lógica reabrir casos en devolución por documentos.</t>
    </r>
  </si>
  <si>
    <t>Crear combo obligatorio en generación de respuesta (Aceptado o Devolución ) Para casos radicados por el portal</t>
  </si>
  <si>
    <r>
      <rPr>
        <rFont val="Quattrocento Sans"/>
        <color theme="1"/>
        <sz val="11.0"/>
      </rPr>
      <t>*07/10/2024 Se escala jira MDSB-684400 para creación de tabla de estados en test
*08/10/2024 se escala nuevo jira MDSB-684795, por errores en el anterior.
*</t>
    </r>
    <r>
      <rPr>
        <rFont val="Quattrocento Sans"/>
        <b/>
        <color theme="1"/>
        <sz val="11.0"/>
      </rPr>
      <t>09/10/2024 pendiente creación de tabla de estados solicitad en jira MDSB-684795
*10/10/2024 Tabla de estados creada.</t>
    </r>
  </si>
  <si>
    <t>Ajustes de hallazgos obtenidos en pruebas de portal autorizaciones (Enviado por correo)</t>
  </si>
  <si>
    <t xml:space="preserve">Ordenar alfabeticamente tipo de solicitud </t>
  </si>
  <si>
    <t>*15/10/2024 finlizado</t>
  </si>
  <si>
    <t>Consumo de sisalud (Recurso de Bolívar)</t>
  </si>
  <si>
    <t>*08/10/2024 se encuentra realizando la lógica  para enviar el recurso a sisalud después de pagar.
*09/10/2024 Pruebas con Jenry
*10/10/2024 Se crearon los nuevos campos para homologar los estados de sisalud, pendiente crear campo para el cambio de servicio.
* 15/10/2024 ya permite el cambio de servicio.</t>
  </si>
  <si>
    <t>Buscar la ciudad con respecto al archivo de pagos( Facturas asistenciales)</t>
  </si>
  <si>
    <t xml:space="preserve">Creacion de indices </t>
  </si>
  <si>
    <t>* 15/10/2024 Finalizado</t>
  </si>
  <si>
    <t>MDSB-684778 Modificación texto carta de comunicaciones de cartera</t>
  </si>
  <si>
    <t>PASO A PRODUCCION</t>
  </si>
  <si>
    <t>*09/10/2024 Se habilitan plantillas para las tipologías de comunicados de cartera para que puedan ser modificadas, Aprobado para realizar paso a producción 10 de Octubre.
*10/10/2024 Se realizara paso a producción hoy.</t>
  </si>
  <si>
    <t>Campo Razon social  sea alfanumerico.</t>
  </si>
  <si>
    <t>15/10/2024, se subira ajuste hoy
15/10/2024 Fabio, Valida y el ajuste  quedo  ok</t>
  </si>
  <si>
    <t>Cambio de cuenta de correo de salida del nuevo portal de autorizaciones</t>
  </si>
  <si>
    <t>Cambio de cuenta de correo (POLIZAS DE SEGUROS)</t>
  </si>
  <si>
    <r>
      <rPr>
        <rFont val="Quattrocento Sans"/>
        <color theme="1"/>
        <sz val="11.0"/>
      </rPr>
      <t>*Iniciara tan pronto finalice la gestión de vulnerabilidades
*03/10/2024 Inicio al finalizar ADJUNTAR DOCUMENTOS PORTAL SALUD (Reembolsos)
*07/10/2024 Inicio con los ajustes desde el 4 de octubre.
*08/10/2024 Finalizado en local en pruebas</t>
    </r>
    <r>
      <rPr>
        <rFont val="Quattrocento Sans"/>
        <b/>
        <color theme="1"/>
        <sz val="11.0"/>
      </rPr>
      <t xml:space="preserve">
*09/10/2024 Pendiente ejecución de jira MDSB-684795 para  iniciar pruebas en test.
*10/10/2024 Crear el campo en la administración y adaptarla  lógica para agregarlo a la cola se subirá a test hoy  para pruebas.
*15/10/2024, Fabio, Valida y el correo llega  por la  cuenta indicada. (31022012).</t>
    </r>
  </si>
  <si>
    <t>Dejar registro de la "devolucion por documentos en la observación del caso"</t>
  </si>
  <si>
    <t>En la observacion del caso en nativo se debe registrar el usuario "Internet" con una observacion que indique que el caso fue  reabierto desde el portal</t>
  </si>
  <si>
    <t>*15/10/2024 Subira ajuste hoy</t>
  </si>
  <si>
    <t>Ajustes de hallazgos obtenidos en pruebas de portal Reembolsos (Enviado por correo)</t>
  </si>
  <si>
    <t>Ajustar variable reportada por Jenry</t>
  </si>
  <si>
    <t>15/10/2024 inicio de ajuste.
*16/10/2024 se adiciono una validacion adicional</t>
  </si>
  <si>
    <t xml:space="preserve"> Ajustas plantilla genérica para que no aparezca el Warning</t>
  </si>
  <si>
    <t>*15/10/2024 pendiente validar el ajuste 
*15/10/2024, A un sale en Warning</t>
  </si>
  <si>
    <t xml:space="preserve">Quitar  opciones "Pendientes por segmentación"  se encuentran en la pantalla de consulta. </t>
  </si>
  <si>
    <t>En la bandeja de pendientes se debe identificar que el caso fue reabierto por cargue de documentos en el portal</t>
  </si>
  <si>
    <t>*21/10/2024 prueba en test realizadas el viernes 18 de octubre boton  funciona ok.</t>
  </si>
  <si>
    <t>Consulta "Caso internet" en nativo</t>
  </si>
  <si>
    <t>*18/10/2024, pendiente ajuste de la consulta en Laravel de parte de Danilo</t>
  </si>
  <si>
    <t>Implementar Causales deglosas</t>
  </si>
  <si>
    <t>17/10/2024 Realizando la logica  para  incluir las casusales 
* 22/10/2024 Finalizado 17 de octubre</t>
  </si>
  <si>
    <t>Cargue de archivo de pagos</t>
  </si>
  <si>
    <r>
      <rPr>
        <rFont val="Quattrocento Sans"/>
        <color theme="1"/>
        <sz val="11.0"/>
      </rPr>
      <t>*26/09/2024 cargue del archivo después de finalizar la  implementación de cartas.
* 02/10/2024 continuara después de realizar paso  a   producción del nuevo portal.
*09/10/2024 control de cambios en test para agregar campos  y posterior pruebas con Jenry</t>
    </r>
    <r>
      <rPr>
        <rFont val="Quattrocento Sans"/>
        <b/>
        <color theme="1"/>
        <sz val="11.0"/>
      </rPr>
      <t xml:space="preserve">
10/10/2024 realizar  pruebas en test 
* 15/10/2024 pendiente cruce cuando esta pagado en validación 
*16/10/2024 Corregir incidencias en pruebas, corregir envio de formulario al dar F5
*17/10/2024 mostrar resumen de la radicacion 
*22/10/2024 Finalizado 17 de octubre</t>
    </r>
  </si>
  <si>
    <t>Ajustar el administrador de cartas para que salgan todas las  tipologias.</t>
  </si>
  <si>
    <t>*22/10/2024 Probado en test y  funciona correctamente, Fabio</t>
  </si>
  <si>
    <t>Crear una  opcion  Plantillas para la visualizacion de la tipologia en el administrador de cartas</t>
  </si>
  <si>
    <t xml:space="preserve">Validar geneación de informes de pendinete ARL  y Salud </t>
  </si>
  <si>
    <t>*22/10/2024 se escala  control de cambios MDSB-692401 para la modificación de la vista sql.</t>
  </si>
  <si>
    <t>Validar informe generación de volumenes y oportunidad</t>
  </si>
  <si>
    <t>*22/10/2024 Inicia Separación  por negocios.</t>
  </si>
  <si>
    <t>Hallazgos enviado 26 de septiembre</t>
  </si>
  <si>
    <r>
      <rPr>
        <rFont val="Quattrocento Sans"/>
        <color theme="1"/>
        <sz val="11.0"/>
      </rPr>
      <t>*07/10/2024, Iniciara con los ajustes.
* 08/10/2024 Continúa con los ajustes  
*</t>
    </r>
    <r>
      <rPr>
        <rFont val="Quattrocento Sans"/>
        <b/>
        <color theme="1"/>
        <sz val="11.0"/>
      </rPr>
      <t>09/10/2024 Subirá los puntos resueltos hasta el momento para pruebas.
*11/10/2024 Pendiente quitar bloqueo "Caso internet" y cola de correos.
*15/10/2024 ajustado el envio de correo por colas.
*16/10/2024 pendiente  consulta de "caso internet" se le asigna a juste a Luis Bayona
*21/10/2024 Ajustar consulta en laravel para mostrar "Caso internet" en nativo</t>
    </r>
  </si>
  <si>
    <t>Agregar la cuenta de correo de medicamentos</t>
  </si>
  <si>
    <t>gestion.farmaceutica@segurosbolivar.com</t>
  </si>
  <si>
    <t>*08/10/2024 se validara con Liyibet la cuenta que se debe cambiar
*09/10/2024 Pendiente confirmación de la contraseña de la  cuenta 
* 11/10/2024 Liyibet envia credenciales 10/10/2023 
*15/10/2024 finalizado para pruebas.
* Paso a produccion 22 de octbre</t>
  </si>
  <si>
    <t>Preparacion de scritp para paso a produccion oficina virtual salud</t>
  </si>
  <si>
    <t>Jira pqr_bolivar</t>
  </si>
  <si>
    <t>*23/10/2024 jira  radicado MDSB-693206 en aprobación QA</t>
  </si>
  <si>
    <t>Jira riesgos</t>
  </si>
  <si>
    <t>24/10/2024 jira  radicado MDSB-693891 en aprobación QA</t>
  </si>
  <si>
    <t>Jira radicador</t>
  </si>
  <si>
    <t>*23/10/2024 jira  radicado MDSB-693912 en aprobación QA</t>
  </si>
  <si>
    <t xml:space="preserve"> GD772-44 - Ajuste en la consulta del informe datos contactos solicitudes ARL (Rango de consulta no debe superar un mes)</t>
  </si>
  <si>
    <t xml:space="preserve">No muestras en algunos  casos el numero de identificación y nombres  en los informes de producción </t>
  </si>
  <si>
    <t>EN PRODUCCION</t>
  </si>
  <si>
    <t>*09/10/2024 paso a producción
*11/10/2024 Validando  incidencia
* 15/10/2024 Se reunirá con Johan  para validar  dudas para la sl de la incidencia.
* 16/10/2024 se realiza  sesión  con jairo y se ajusta campo identificación trabajador, luis ajustara  el campo identificación empresa.
*18/10/2024 presenta  error al generar el informe de prefactura.
*21/10/2024 Despliegue a produccion 18 de octubre</t>
  </si>
  <si>
    <t>GD772-48 Bloqueo de radicación de incapacidades que ya se encuentren radicadas y pagadas con el mismo número de CC y fecha de inicio</t>
  </si>
  <si>
    <t xml:space="preserve">EN PRODUCCIÓN </t>
  </si>
  <si>
    <t xml:space="preserve">*01/10/2024 Pendiente go para paso a produccion.
*25/10/2024 Se realiza paso a producion a las 9:57 a. m. </t>
  </si>
  <si>
    <t>Encriptar  numero de cuenta (Dejar visibles los promeros 5 numeros, EN CONSULTA   y BANDEJA DE AUDITORIA</t>
  </si>
  <si>
    <t xml:space="preserve">*23/10/2024 Continua trabajando.
*25/10/2024 Encripta los ultimos 4 digitos de la cluenta </t>
  </si>
  <si>
    <t>Generar el ajuste para adicionar el campo del ID en la integración de Glosas</t>
  </si>
  <si>
    <t>CONTROL CAMBIOS PROD/ stand by</t>
  </si>
  <si>
    <r>
      <rPr>
        <rFont val="Quattrocento Sans"/>
        <color theme="1"/>
        <sz val="11.0"/>
      </rPr>
      <t>*</t>
    </r>
    <r>
      <rPr>
        <rFont val="Quattrocento Sans"/>
        <b/>
        <color theme="1"/>
        <sz val="11.0"/>
      </rPr>
      <t xml:space="preserve">07/10/2024  </t>
    </r>
    <r>
      <rPr>
        <rFont val="Quattrocento Sans"/>
        <color theme="1"/>
        <sz val="11.0"/>
      </rPr>
      <t xml:space="preserve">Entrega de estimación 8 de octubre
</t>
    </r>
    <r>
      <rPr>
        <rFont val="Quattrocento Sans"/>
        <b/>
        <color theme="1"/>
        <sz val="11.0"/>
      </rPr>
      <t>*09/10/2024 Pendiente estimación 
*10/10/2024 jira  para alterar la tabla MDSB-685532 ejecutado correctamente, se solicitara control de cambios  para  producción.
11/10/2024 Se continuara  finalizando rembolsos.
*15/10/2024 Pendiente incluir campo en el envio.
*16/10/2024 jira MDSB-689499 control de cambios prod.
*21/10/2024 Control de cambios ejecutado 18 de octubre</t>
    </r>
  </si>
  <si>
    <t>Resoluion de jiras Incidencias</t>
  </si>
  <si>
    <r>
      <rPr>
        <rFont val="Quattrocento Sans"/>
        <b/>
        <color theme="1"/>
        <sz val="11.0"/>
      </rPr>
      <t xml:space="preserve">MDSB-588398 </t>
    </r>
    <r>
      <rPr>
        <rFont val="Quattrocento Sans"/>
        <color theme="1"/>
        <sz val="11.0"/>
      </rPr>
      <t>asignacion de casos a usuaria inhabilitada para  la  tipologia Control vencimiento recomendaciones laborales</t>
    </r>
  </si>
  <si>
    <t>*24/10/2024 En el requerimiento inicial  se contemplo la opcion de como se asignaria los casos de control de vencimiento  si el usuario asignado en el caso padre ya no trabajara en la compañía.</t>
  </si>
  <si>
    <t xml:space="preserve">WILSON </t>
  </si>
  <si>
    <t>Pruebas  imágenes fs a  s3</t>
  </si>
  <si>
    <t>Pruebas copiar imágenes en desarrollo</t>
  </si>
  <si>
    <t>*15/10/2024 revisara si la  tarea en que porcentaje va</t>
  </si>
  <si>
    <t>Oficina virtual (nuevo portal)</t>
  </si>
  <si>
    <t>Ajuste en la fecha de autorizacion en la consulta del proveedor</t>
  </si>
  <si>
    <t>*24/10/2024 Sitio de laravel ajustado  para  iniciar validaciones.
*25/10/2024 Inicia validacion del hallazgo</t>
  </si>
  <si>
    <t>Validación de campos requeridos al cargar excel</t>
  </si>
  <si>
    <t>*24/10/2024 Sitio de laravel ajustado  para  iniciar validaciones.
*25/10/2024 Inicia validacion del hallazgo
*28/10/2024 soliictar paso a test  y crear jira control de cmbios prod</t>
  </si>
  <si>
    <t>carta de pago en validación</t>
  </si>
  <si>
    <t xml:space="preserve">*24/10/2024 en proceso de implementación </t>
  </si>
  <si>
    <t>inconsistencia en la asignación de usuarios a las tipologias</t>
  </si>
  <si>
    <t>x</t>
  </si>
  <si>
    <t>Desarrollo para el control de ID consecutivo por parte de Imagine en la integración de Glosas</t>
  </si>
  <si>
    <r>
      <rPr>
        <rFont val="Quattrocento Sans"/>
        <color theme="1"/>
        <sz val="11.0"/>
      </rPr>
      <t>*07/10/2024  Entrega de estimación 8 de octubre</t>
    </r>
    <r>
      <rPr>
        <rFont val="Quattrocento Sans"/>
        <b/>
        <color theme="1"/>
        <sz val="11.0"/>
      </rPr>
      <t xml:space="preserve">
*09/10/2024 Pendiente estimación.
10/10/2024 Se creo un campo nuevo en la tabla para manejar un consecutivo que se enviara en el reporte davinci, solicitara control de cambios  para  producción
11/10/2024 Se continuara  finalizando rembolsos.
*25/10/2024 reinicia  con esta actividad.</t>
    </r>
  </si>
  <si>
    <t>Adicionar en reenvió en portales (Autorizaciones y Reembolsos)</t>
  </si>
  <si>
    <r>
      <rPr>
        <rFont val="Quattrocento Sans"/>
        <color theme="1"/>
        <sz val="11.0"/>
      </rPr>
      <t xml:space="preserve">15/10/2024 Continua con este  ajuste.
*16/10/2024 continua con el ajuste para Reembolsos y después de terminado continuara con autorizaciones
*17/10/2024 probar reenvió de rembolsos y continua con autorizaciones.
*18/10/2024 Lógica para reenvió ya se encuentra, validar encolamiento
*21/10/2024 Validar consumo de colas para el reenvio.
*22/10/2024 Queda ajustado el reenvio para nativo
</t>
    </r>
    <r>
      <rPr>
        <rFont val="Quattrocento Sans"/>
        <b/>
        <color theme="1"/>
        <sz val="11.0"/>
      </rPr>
      <t>*24/10/2024</t>
    </r>
    <r>
      <rPr>
        <rFont val="Quattrocento Sans"/>
        <b/>
        <color rgb="FFFF0000"/>
        <sz val="11.0"/>
      </rPr>
      <t xml:space="preserve"> </t>
    </r>
    <r>
      <rPr>
        <rFont val="Quattrocento Sans"/>
        <b/>
        <color theme="1"/>
        <sz val="11.0"/>
      </rPr>
      <t>Presenta inconsistencia en el reevio en autorizaciones, Reenvia la primera respuesta no la ultima.
*25/10/2024 Ajustara notificación del reenvio de correo de envio donde muestre la cuenta de correo a que se envio el reenvio.
*28/10/2024 Notificación de correo de reenvio ajustado.</t>
    </r>
  </si>
  <si>
    <t>Mejoras autorizaciones, mensajes y respuestas</t>
  </si>
  <si>
    <t xml:space="preserve">*25/10/2024 se han realizado modificaciónes 
*25/10/2024 pendiente ajus messajes en el formulario de salud.
*28/10/2024 Validacion de mas campos.
</t>
  </si>
  <si>
    <t xml:space="preserve">Realizar  a justes  de hallazgos  de las pruebas consulta de autorizaciones  en oficina virtual </t>
  </si>
  <si>
    <r>
      <rPr>
        <rFont val="Quattrocento Sans"/>
        <color theme="1"/>
        <sz val="11.0"/>
      </rPr>
      <t>*21/10/2024 Se realiza validación de ajustes en test  y a un queda pendiente  que la fecha de autorización cargano no coincide con la arrojada en la consulta y  permite el  cargue de una misma autorizacion a diferente paciente.
*</t>
    </r>
    <r>
      <rPr>
        <rFont val="Quattrocento Sans"/>
        <b/>
        <color theme="1"/>
        <sz val="11.0"/>
      </rPr>
      <t>22/10/2024 Jesus se encuentra incapacitado hasta del 21 hasta el 29 de Octubre</t>
    </r>
  </si>
  <si>
    <t>Cierre de actividades de casos de incapacidades  ya cerrados ( Solicitud reportada  por Liyibet)</t>
  </si>
  <si>
    <t>Cierre de actividades abiertas</t>
  </si>
  <si>
    <t>Devolver caso 30554693 a la actividad correspondencia avisado (Pensionados)</t>
  </si>
  <si>
    <t>Devolver actividad</t>
  </si>
  <si>
    <t>Caso 31022540 registra 2 veces en la bandeja de pendientes Autorizaciones</t>
  </si>
  <si>
    <t>*30/10/2024 Al realizar la prueba en test presenta error en la gestion de casos, hasta no resolver esta incidencia no es posible balidar ajuste de la bandeja.
*31/10/2024 Fabio valida ajuste y funciona correctamnete.</t>
  </si>
  <si>
    <t>Modificaciones del flujo y codigo.</t>
  </si>
  <si>
    <t>*30/10/2024 continua con las modificaciones.
*31/10/2024 Continua en la logica de cada boton.
*01/11/2024 en test</t>
  </si>
  <si>
    <r>
      <rPr>
        <rFont val="Quattrocento Sans"/>
        <b/>
        <color theme="1"/>
        <sz val="11.0"/>
      </rPr>
      <t>MDSB-700005</t>
    </r>
    <r>
      <rPr>
        <rFont val="Quattrocento Sans"/>
        <color theme="1"/>
        <sz val="11.0"/>
      </rPr>
      <t xml:space="preserve"> Solicitud de imágenes lote 158660</t>
    </r>
  </si>
  <si>
    <t>GD772-50 Actualización Guía depuración de inconsistencias</t>
  </si>
  <si>
    <t>Cambiar archivo descarble de la tipologia " 11 Conciliación y Depuración de inconsistencias de aportes"</t>
  </si>
  <si>
    <t xml:space="preserve">*07/11/2024 En paso a produccion </t>
  </si>
  <si>
    <t xml:space="preserve"> Warning en gestion del caso </t>
  </si>
  <si>
    <t>*12/11/2024 se correguen en la estibilización del sistema.</t>
  </si>
  <si>
    <t xml:space="preserve">Reporte de caida del servidor </t>
  </si>
  <si>
    <t xml:space="preserve">Verificación de procesos y recoleccion de evidencias </t>
  </si>
  <si>
    <t>Preparar sitio para  paso a producción</t>
  </si>
  <si>
    <t xml:space="preserve">*22/10/2024 solicitar creación de tablas en  producción 
*23/10/2024 continuar con la adaptación del sitio, DNS funcional
*24/10/2024 continuara con la  preparación  apuntando a test
*24/10/2024 Queda montado el sitio en la url de producción  hace falta las claves para el recaptcha.
*25/10/2024 Liyibet envio solicitud de las claves del recapcha
*29/10/2024 Pendiente aprobación de jiras a producción y la entrega del Recapchat
*31/10/2024  Recapchat implemtendo, pendiente control de cambios 
*05/11/2024 Ejecutar los insert del restos de los formularios y cambiar la url de test a producción.
*06/11/2024 Pendiente la creación de 2 tipologías una nacional y otra  internacional (descripción muy larga) -  pendiente ejecución del control de cambios MDSB-700129
*07/11/2024 control de cambios ejecutado y se ajusta tipología con descripción de la tiologia </t>
  </si>
  <si>
    <t>GD772-30 Informe cuentas médicas 472 ( Informe de prefactura)</t>
  </si>
  <si>
    <t xml:space="preserve">Cargue de Excel y validaciones entre tablas </t>
  </si>
  <si>
    <r>
      <rPr>
        <rFont val="Quattrocento Sans"/>
        <color theme="1"/>
        <sz val="11.0"/>
      </rPr>
      <t>*04/10/2024 Pendiente  socializar req
* 08/10/2024 entregara 9 de octubre
*</t>
    </r>
    <r>
      <rPr>
        <rFont val="Quattrocento Sans"/>
        <b/>
        <color theme="1"/>
        <sz val="11.0"/>
      </rPr>
      <t>09/10/2024 adaptar lógica
* 10/10/2024 pruebas locales entrega 10 am
11/10/2024 Solicitud de control de cambios a test MDSB-687277
*15/10/2024 debe ajustar el SQL para solicitar otro control de cambios ya que el MDSB-687277 presento error. 
*16/10/2024 subira ajuste a test 16 de octubre
*17/10/2024 Debe  validar  encolamiento y la vista del imforme en el aplicativo.
*22/10/2024 Debe finalizar ajustes indicados  por Jenry.
*24/10/2024 se debe solicitar cotrol de cambios en produccion.
*25/10/2024 Se adjunta documento de pruebas de imagine alGD772-30
*07/11/2024 Control de cambios ejecutado 6 de noviembre, se realizara  paso a produccion despues del paso de portales salud.
*12/11/2024 Se debe realizar despliegue a produccion
*13/11/2024 paso a produccion realizado el 12 de noviembre en la tarde.</t>
    </r>
  </si>
  <si>
    <t>MDSB-670944  REENVIO DE CORREO CUENTA NOVEDADES</t>
  </si>
  <si>
    <t>*31/10/2024 se realiza Validación y se evidencia que la cuenta esta inhabilitada, Se realizara nueva validación del reenvió después de que la cuenta este activa nuevamente .
*06/11/2024 La  cuenta  ya se encuentra habilitada   para  realizar nuevamente la  validación del  reenvió.
*12/11/2024 Reinicia  Validación.
*13/11/2024 Danilo realiza pruebas  y la cuenta esta funcionado correctamente, se debe validar codigo desde nativo. se asignara a Johan para su validación.</t>
  </si>
  <si>
    <t>HABILITAR PERMISOS EN DEV PARA S3</t>
  </si>
  <si>
    <t>Habilitar permisos en las carpetas de dev</t>
  </si>
  <si>
    <t>*06/11/2024 Validar como dar permiso definitivo a las carpetas para el ingreso a dev.
*13/11/2024 se va a realizar cambio de disco por tanto no se realizara modificaciones.</t>
  </si>
  <si>
    <t>ESTABILIZACIÓN DEL SISTEMA.</t>
  </si>
  <si>
    <t>Ajustar busqueda de casos por secuencia y cronograma</t>
  </si>
  <si>
    <r>
      <rPr>
        <rFont val="Quattrocento Sans"/>
        <b/>
        <color theme="1"/>
        <sz val="11.0"/>
      </rPr>
      <t>MDSB-700537</t>
    </r>
    <r>
      <rPr>
        <rFont val="Quattrocento Sans"/>
        <color theme="1"/>
        <sz val="11.0"/>
      </rPr>
      <t xml:space="preserve"> Cargue de adjunto al caso 29831254</t>
    </r>
  </si>
  <si>
    <t>*07/11/2024 se realizara el cargue en compañía de Jenry
*08/11/2024 Jenry realiza en cargue del documento.</t>
  </si>
  <si>
    <r>
      <rPr>
        <rFont val="Quattrocento Sans"/>
        <b/>
        <color theme="1"/>
        <sz val="11.0"/>
      </rPr>
      <t xml:space="preserve">Envió de correo de notificaciones de pago cuentas médicas  </t>
    </r>
    <r>
      <rPr>
        <rFont val="Segoe UI"/>
        <b val="0"/>
        <color theme="1"/>
        <sz val="11.0"/>
      </rPr>
      <t xml:space="preserve">(Respuesta glosa Adición de 5 correos) </t>
    </r>
  </si>
  <si>
    <r>
      <rPr>
        <rFont val="Segoe UI"/>
        <b val="0"/>
        <color theme="1"/>
        <sz val="11.0"/>
      </rPr>
      <t>*02/10/2024 pasara  a producción  con el portal</t>
    </r>
    <r>
      <rPr>
        <rFont val="Segoe UI"/>
        <b/>
        <color theme="1"/>
        <sz val="11.0"/>
      </rPr>
      <t xml:space="preserve">
*03/10/2024 pendiente pasar código a producción, el  control de cambios ya esta  realizado
*13/11/2024 realizo estbilización de rama y se realizara  paso a produccion 13 de noviembre
*14/11/2024 en produccion</t>
    </r>
  </si>
  <si>
    <t>REQUERIMIENTO GD772-45,CLARITY Y ANALYTICS EN OFICINA VIRTUAL</t>
  </si>
  <si>
    <t>Implementación ambiente en dev</t>
  </si>
  <si>
    <t>*12/09/2024 A la espera de la confirmación del dominio de desarrollo de la plataforma.
*07/11/2024 Colocar rama en clarity
*08/11/2024 implementado dev
*13/11/2024 Se corrigio administración de Clarity y validara si se estan generando estadisticas.
*14/11/2024 realizo cambio de url e implementación en test.
*15/11/2024 Realiza paso a producción el 14 de noviembre.</t>
  </si>
  <si>
    <t>CONSULTAS POR NIT</t>
  </si>
  <si>
    <t>*15/11/2024 Se desplegara a test
*18/11/2024 se pasa ajuste directamente a produccion debido aque test no esta habilitado, se realiza prueba con el nt 800216345 y se pueden consultar los  casos correctamente.</t>
  </si>
  <si>
    <t>Cambio carta de autorizacion de pago de beneficiario diferente a tomador en reembolsos</t>
  </si>
  <si>
    <t>*19/11/2024 Liyibet comparte carta  para produccion
*19/11/2024 Implementación realizada.</t>
  </si>
  <si>
    <t>Generar listado de usuarios para reasignación 
(Validar con Leidy cuales de esos usuarios deben salir en reasignación)</t>
  </si>
  <si>
    <t>informe de pendientes ARL arroja información de masivos</t>
  </si>
  <si>
    <t>*14/11/2024 Se escala jira MDSB-705234 para ajustar la vista.
*18/11/2024 Ya no se registra información de masivos y aun se detectan lineas corridas a la derecha.
*20/11/2024 Se debe  incluir la  actividad.</t>
  </si>
  <si>
    <t>Error de masivos en producción,  no pasa del punto 4 al usuario 1013628744  para la tipología aviso incumplimiento</t>
  </si>
  <si>
    <t>*19/11/2024 Se aumenta el limit en PHP.</t>
  </si>
  <si>
    <t>Está permitiendo radicar casos sin adjuntar los soportes en el portal de Arl
Ejemplo: 29907461</t>
  </si>
  <si>
    <t>*18/11/2024 pediente validar a profuncidad la incidencia ya que se realizan pruebas y no permite la radicación  sin adjuntos</t>
  </si>
  <si>
    <t xml:space="preserve">Caida del servidor </t>
  </si>
  <si>
    <t>Revisar los servicios activos de FTP, para evaluar si hay usuarios haciendo uso del servicio.</t>
  </si>
  <si>
    <t>*19/11/2024 Inicia validación 18 de noviembre.
*22/11/2024 Enviar correo con las ulr de la reunion del 21 de noviembre y otro reportando lo que se le han echo al servidor.</t>
  </si>
  <si>
    <t>Error en la tabla facturas pendientes para la  radicación de Country.</t>
  </si>
  <si>
    <t>*25/11/2024 en Pruebas locales y se sube a produccion</t>
  </si>
  <si>
    <t>AJUSTES REEMBOLSOS</t>
  </si>
  <si>
    <t>Implementar una validación que garantice que la póliza 'Genérica' tenga asignado un usuario en los campos Analista y Auditores.</t>
  </si>
  <si>
    <r>
      <rPr>
        <rFont val="Quattrocento Sans"/>
        <b/>
        <color theme="1"/>
        <sz val="11.0"/>
      </rPr>
      <t xml:space="preserve">26/11/2024 En test ya se encuentra  validación implementada "Usuarios no puede ser nulo.", se valida en producción y la  validación  ya se encuentra implñementada. </t>
    </r>
    <r>
      <rPr>
        <rFont val="Quattrocento Sans"/>
        <b/>
        <color rgb="FFFF0000"/>
        <sz val="11.0"/>
      </rPr>
      <t>Por ende  no se implementa  validación a dicional.</t>
    </r>
  </si>
  <si>
    <t>Crear un área llamada 'Reembolsos Salud'</t>
  </si>
  <si>
    <t>INICIO</t>
  </si>
  <si>
    <r>
      <rPr>
        <rFont val="Quattrocento Sans"/>
        <b/>
        <color theme="1"/>
        <sz val="11.0"/>
      </rPr>
      <t>26/11/2024 No representa  cambio en codigo.</t>
    </r>
    <r>
      <rPr>
        <rFont val="Quattrocento Sans"/>
        <b/>
        <color rgb="FFFF0000"/>
        <sz val="11.0"/>
      </rPr>
      <t xml:space="preserve"> Por tanto no se hara modificaciones</t>
    </r>
    <r>
      <rPr>
        <rFont val="Quattrocento Sans"/>
        <b/>
        <color theme="1"/>
        <sz val="11.0"/>
      </rPr>
      <t xml:space="preserve"> </t>
    </r>
  </si>
  <si>
    <t>Jenry Henao</t>
  </si>
  <si>
    <t xml:space="preserve">MDSB-705835  Borrar  spam correo solucionesdocumental@mintrabajo.gov.co </t>
  </si>
  <si>
    <t>*18/11/2024 se deben solicitar casos para eliminar.
*20/11/2024 Finalizado</t>
  </si>
  <si>
    <t>GD772-51 Modificacion en generación de plano ARPTRAD</t>
  </si>
  <si>
    <t>Ajuste de la lectura del archivo</t>
  </si>
  <si>
    <t>*12/11/2024 Finalizado en DEV y subira a test
*13/11/2024 Se realiza prueba en test, se insertan los datos en la  tabla pero al consultar en nativo no muestra  información, de acuerdo a validación con Johan la  infromación de trabajadores va ligada con la de empresas.. 
*22/11/2024 Se debe desarcer los cambios realizados y solo ajustar los caracteres especiales que hace que se desplace la  información hacia la derecha.lo entregara 22 de noviembre
*25/11/2024 Se ajusta funcion para quitar acentos y "ñ", se pasa a test prueba exitosa. 
*26/11/2024 se realiza paso a produccion.</t>
  </si>
  <si>
    <t xml:space="preserve">Crear un rol  llamado “Consultas Reembolsos Salud” </t>
  </si>
  <si>
    <t>*15/11/2024 separando bandejas con 50% de progreso.
*18/11/2024 Se detiene por Vacaciones 
*25/11/2024 Retoma  con generacion de una  nueva  bandeja para reembolsos  en test
*26/11/2024 Se pasara a produccion 
27/11/2024 Pendiente  paso del codigo a producción
*28/11/2024 Pendiente  paso del codigo a producción
29/11/2024 En produccion</t>
  </si>
  <si>
    <t>Ajuste de informe de volumenes</t>
  </si>
  <si>
    <t>PRUEBAS PRD</t>
  </si>
  <si>
    <t>*29/10/2024,  28 de octubre se solicita control de cambios en test MDSB-696174  modificación de vista sql.
*30/10/2024 Pendiente aporbacion de QA
*13/11/2024 se solicitara control de cambios a produccion, Control de cambios MDSB-705234.
*15/11/2024 Control de cambios en aprobacion comité
*18/11/2024 Se realizan pruebas y genera con algunos  casos que no trae el numero de nit.
*19/11/2024 validara tabla de donde se estan realizando las consulta del nit.</t>
  </si>
  <si>
    <t>Implementación de discos ebs y s3 en dev
(Pasar aplicaciones y logs)</t>
  </si>
  <si>
    <t>*27/11/2024 Discos e infraestructura montadas..
*28/11/2024 Realizar  copias de las aplicaciones y subir el sitio.
*29/11/2024 La implementación  quedo aplicada en dev y test</t>
  </si>
  <si>
    <t>MDSB-717180 Modificación de Tipo de documento y número de documento del proceso de reembolsos</t>
  </si>
  <si>
    <t>29/11/2024 Creación de formulario
02/12/2024 Ajuste aplicado en producción.</t>
  </si>
  <si>
    <t>GD772-30 Informe cuentas médicas 472 (MDSB-705663)</t>
  </si>
  <si>
    <t xml:space="preserve">Encolar informe  </t>
  </si>
  <si>
    <t>22/11/2024, Se debe reiniciar el requerimiento debido a que se ejecuto en una  opcion diferente a al  indicada en el  requerimiento. 
25/11/2024 Se estima entrega 25 de Noviembre antes de medio día
*27/11/2024 Confirman en la   tarde  el encolamiento del informe de salida.
*28/11/2024  se realiza  paso a  producción, se debe solucionar error al ejecutar el informe en producción.
* 29/11/2024 Se ajusta error en produccion y permite  genera informe correctamente.</t>
  </si>
  <si>
    <t>GD772-56 incluir campo " ACTIVIDAD" en informe pendientes ARL.</t>
  </si>
  <si>
    <t>Adicion de campo en la tabla de Test</t>
  </si>
  <si>
    <t>EN PRODUCCCIN</t>
  </si>
  <si>
    <t>*20/11/2024 Se escala jira MDSB-709927 para control de cambios en test.
*22/11/2024 Control de cambios ejecutado correctamente el 21 de Niviembre.
*25/11/2024 Se escala control de cambio a producción MDSB-713871
*28/11/2024 Control de cambios en aprobación  QA.
*02/12/2024 Control de cambios en Aprobación PO
*04/12/2024 Control de cambios ejecutado correctamente el 3 de diciembre.
*05/12/2024 paso  aproducion realizado  4 de diciembre</t>
  </si>
  <si>
    <t>Faltan filtros de busqueda dentro de la consulta de casos por nit</t>
  </si>
  <si>
    <t>22/11/2024 Realizando validaciones  para  identificar la causa del error.
22/11/2024 Se realizan pruebas en test y se muestran los  filtros.
*05/12/2024 Paso a produccion 4 de diciembre.</t>
  </si>
  <si>
    <t>Organizar informes de salud y queden en la pestaña de autorizaciones</t>
  </si>
  <si>
    <t>*25/11/2024 Los informes ya se encuentran el la pestaña autorizaciones, pendiente  generación de informes 
*27/11/2024 Informe de tipologias esta funcional.
*05/12/2024 Paso a produccion 4 de diciembre.</t>
  </si>
  <si>
    <t>Dividir por negocio el informe de pendientes de cuidado al trabajador</t>
  </si>
  <si>
    <t>*26/11/2024 en test no  genera informe para  validar la  division de negocio
*27/11/2024 Genera informe  pero sin mostrar información y no esposible validar si la tipologias de salud salen o no.
27/11/2024 se realiza ajuste, ya descarga información y no salen las tipologias de salud, pendiente  validar porque no salen los  casos redicados por redicador de salida.
*05/12/2024 paso a produccion 4 de diciembre</t>
  </si>
  <si>
    <t>Error reembolsos poliza internacional (No permite pasar del paso 2)</t>
  </si>
  <si>
    <t>*04/12/2024 se realizan pruebas y se sigue presentando el error, se encontrba pendiente pasar los cambios al servidor de prd.</t>
  </si>
  <si>
    <t>Cambio de tipoologias de Salud que se encuentran en ARL ( Nativo)</t>
  </si>
  <si>
    <t>*02/12/2024 se realizara validación con santiago de los  casos que no se estan visualizando..
*04/12/2024 Iniciara gestion.
*06/12/2024 se pasan directamente a produccion ya que en test tienen codigos direntes.</t>
  </si>
  <si>
    <t>Implementación  del API en dev</t>
  </si>
  <si>
    <t>*05/12/2024 Da respuesta interna mas no externa, Se solicito consumo del API por el puerto 8000
06/12/2024 pendiente  apertura  de puerto 8000, Nohan dado respuesta al ticket de solicitud.
09/12/2024 Utiliza un puerto que ya estaba abierto (2443) y se espera que Johan realice las  pruebas y certifique el funcionamiento.</t>
  </si>
  <si>
    <t>Implementación  del API en test</t>
  </si>
  <si>
    <t>ERROR EN EL CARGUE DE ADJUNTOS EN EL MODULO DE GESTION DE INCAPACIDADES EN TEST.</t>
  </si>
  <si>
    <t>*06/12/2024 esperar a permisos en test  para  validar permisos…
*10/12/2024 Se realiza validación y permite adjuntar y descargar adjuntos correctamente.</t>
  </si>
  <si>
    <t>Ajuste del recaptcha</t>
  </si>
  <si>
    <t>10/12/2024 Finalizado  e implementado en produccion.</t>
  </si>
  <si>
    <t>ERROR ASIGNACIÓN DE INCAPACIDADES</t>
  </si>
  <si>
    <t>09/12/2024 continurevisando traza de los casos  para encontrar el error
*10/12/2024 Los  casos se radicaron dos  veces desde el portal, continua con la  busqueda de la  causa del error, se ejecutara query para  cerrar casos abiertos..
*10/12/2024 se cierran los casos y se implementa  ajustes para que no se vuelva a presentar....en pruebas.
Despues de la  validación se realizan los ajustes, se encuentra en pruebas..
11/12/2024 las pruebas exitosas.</t>
  </si>
  <si>
    <t>Desarrollo para la edicion de campos y procedimientos</t>
  </si>
  <si>
    <t>09/12/2024 Continua con el desarrollo
*10/12/2024 se pasara a produccion  para  pruebas  internas.
11/12/2024 ya se encuentra en produccion, pendiente realizar cambios solicitados  por Jenry
12/12/2024 Cambios  realizados.</t>
  </si>
  <si>
    <t xml:space="preserve">Ocultar campos </t>
  </si>
  <si>
    <t>16/12/2024  Campos ocultados el 13 de diciembre.</t>
  </si>
  <si>
    <t>Error en  informe 472 mail</t>
  </si>
  <si>
    <t>Implementar funcion para reemplazar las comillas</t>
  </si>
  <si>
    <t>*11/12/2024 en pruebas  para  implementar  funcion para reemplazar comillas, se realiza paso a produccion
*12/12/2024 reportan  un nuevo  error en el cargue de un nuevo archivo.
16/12/2024 se pasa a produccion 12 de diciembre</t>
  </si>
  <si>
    <t>MDSB-723805 error 500 al ingresar a imagine  en el campo "caso internet" ( caso 29687692)</t>
  </si>
  <si>
    <t xml:space="preserve">Ajuste de la  Logica </t>
  </si>
  <si>
    <t>*12/12/2024 Pendiente  pruebas en test.</t>
  </si>
  <si>
    <t>MDSB-719675 SOLICITUD DE INACTIVACIÓN TEMPORAL DE FUNCIONARIOS EN LAS TIPOLOGIAS DE TRASLADOS Y MESAS DE CONCILIACION</t>
  </si>
  <si>
    <t>MDSB-719903 Error en el cargue de constitución en Mora</t>
  </si>
  <si>
    <t>Script  para radicacion facturas cuentas medicas</t>
  </si>
  <si>
    <t>Radicacion automatica</t>
  </si>
  <si>
    <t>Encolamiento de informes</t>
  </si>
  <si>
    <t>Configurar correo polizadeseguridad@segurosbolivar.com - Poliza Salud en nativo</t>
  </si>
  <si>
    <t>Ajuste de fecha de radicacion al  cargar adjuntos en la consulta del portal (Reembolsos)</t>
  </si>
  <si>
    <t>VULNERABILIDADES ( MEDIA)</t>
  </si>
  <si>
    <t>Permissive HTTP Strict Transport Security Policy Detected</t>
  </si>
  <si>
    <t xml:space="preserve">06/12/2024 En implementación </t>
  </si>
  <si>
    <t>VULNERABILIDADES (BAJA)</t>
  </si>
  <si>
    <t xml:space="preserve">HTTP Header Information Disclosure </t>
  </si>
  <si>
    <t>Missing 'Cache-Control' Header</t>
  </si>
  <si>
    <t>VULNERABILIDADES (Critica)</t>
  </si>
  <si>
    <t>SQL Injection 
(incidencias a nivel general de Nativo)</t>
  </si>
  <si>
    <t xml:space="preserve">12/12/2024 continua con la  validación y estima  terminarla 12 de diciembre
16/12/2024 Continua en la  validación de las  vulnerabilidad.
17/12/2024 Pendientes terminar de subir  cambios.
18/12/2024 Paso a produccion </t>
  </si>
  <si>
    <t xml:space="preserve"> Boolean Based SQL Injection
(incidencias a nivel general de Nativo)</t>
  </si>
  <si>
    <t>16/12/2024 16/12/2024 Continua en la  validación de las  vulnerabilidad.
17/12/2024 Pendientes terminar de subir  cambios.
18/12/2024 Paso a produccion</t>
  </si>
  <si>
    <t>Cierre de casos de la vista materializada</t>
  </si>
  <si>
    <t>Revisar las plantillas de salud no se estan guardando ni mostrando en la generación de respuesta</t>
  </si>
  <si>
    <t xml:space="preserve">18/12/2024 Pendiente  pruebas  para  pasar a produccion </t>
  </si>
  <si>
    <t>Visualizacion historico malla celulas</t>
  </si>
  <si>
    <t>MDSB-728431 marcar en un color diferencial los casos de moneda extranjera en la bandeja del analista o auditor(reembolsos)</t>
  </si>
  <si>
    <t>MDSB-722921 Informe de control de pendientes de reembolsos salud</t>
  </si>
  <si>
    <t>Creción del menu para informes</t>
  </si>
  <si>
    <t>*10/12/2024 Inicia  desarrollo.
16/12/2024 pendiente radicación de  control de cambios (Indices). Control de cambios para test MDSB-727561, Jira ejecutado correctamente en test
18/12/2024 Solucion de errores en el conteo de dias ok, pendiente cambio de usuario de imagine
20/12/2024 control de  cambios en PRD MDSB-729552 se ejecuto correctamente. Pendiente menu de descarga.
23/12/2024 Se entrega vista de informe en  produccion</t>
  </si>
  <si>
    <t>Consulta de caso del portal en bandeja de pendientes</t>
  </si>
  <si>
    <t>10/12/2024 se paso directamente a produccion.</t>
  </si>
  <si>
    <t>Retoma de casos</t>
  </si>
  <si>
    <t xml:space="preserve">12/12/2024 La opcion de retoma que existe hoy  en dia funciona  para la  cunmplir la necesidad </t>
  </si>
  <si>
    <t>Reasignacion de casos</t>
  </si>
  <si>
    <t>12/12/2024 Corregira error en la trazabilidad y se estima pasar a test  12 de diciembre.</t>
  </si>
  <si>
    <t xml:space="preserve">Paso a ambientes bajos de Lectura de archivos en python </t>
  </si>
  <si>
    <t>18/12/2024 Se llevara acabo sesion para iniciar paso a dev. Por  recursos del servidos del ambiente de dev no es posible ejecutar la aplicación, se realizara prueba en produccion en la  intancia de portales.</t>
  </si>
  <si>
    <t>Ajuste reembolsos para  poder simular el envio a Sisalud</t>
  </si>
  <si>
    <t>MDSB-734746 Creación de habilidad para crear RT</t>
  </si>
  <si>
    <t>Se realiza ajustes solicitado y se realiza entrega a  Santiago Prieto y Alexandra González.</t>
  </si>
  <si>
    <t>Informe de Reembolsos</t>
  </si>
  <si>
    <t>Informe de infraestructura</t>
  </si>
  <si>
    <t>MDSB-734626 caso de autorizaciones sin adjuntos</t>
  </si>
  <si>
    <t xml:space="preserve">No fue posible recuperar los  adjuntos </t>
  </si>
  <si>
    <t xml:space="preserve">No genera informe 472 fisico </t>
  </si>
  <si>
    <t>16/12/2024 Se debe  realizar  validación de consultas.
26/12/2024 ontinua con validaciones 
30/12/2024 Error en en el diligenciamiento del archivo de carga</t>
  </si>
  <si>
    <t>MDSB-735323 casos sin adjuntos notificación ( 30945076 y 30945045)</t>
  </si>
  <si>
    <t>Lectura de archivos en python</t>
  </si>
  <si>
    <t>Implementación en produccion</t>
  </si>
  <si>
    <t xml:space="preserve">07/01/2025 Evaluara el comportamiento del servicio al implementarlo en produccion.
08/01/2025 se realizan pruebas en produccion 7 de enero en la tarde arrojando resultados  exitosos, se debe ajustar la respuesta del json.
</t>
  </si>
  <si>
    <t>Vallidar hallazgos de portal proveedores</t>
  </si>
  <si>
    <t>No permite realizar la consulta por nit en el aplicativo (Nativo)</t>
  </si>
  <si>
    <t xml:space="preserve"> Ajustar el nombre del módulo a “Radicación de proveedores”</t>
  </si>
  <si>
    <t>MDSB-739336 Informe de tipologias activas y el area a la  que corresponde</t>
  </si>
  <si>
    <t xml:space="preserve">Ajuste de formato de fechas lago de datos </t>
  </si>
  <si>
    <t>Cambios en el  codigo y creacion de vistas</t>
  </si>
  <si>
    <t>08/01/2025 Se debe escalar control de  cambios en test  para la creación de alter
08/01/2025 se escala control de cambios en test MDSB-739779
09/01/2025 Control de cambios en test ejecutado.</t>
  </si>
  <si>
    <t>GD772-54  Radicacion Proveedor por portal ARL (Formato At - 031 Hoja De Seguimiento)</t>
  </si>
  <si>
    <t>*13/11/2024 Se estima 2 dias de desarrollo con pruebas.
*15/11/2024 comienza ejecución
25/11/2024, El dia  viernes 22 de noviembre termino el  paso 1 y 25 de noviembre inicia paso 2 el cual estima  terminar 25 de Noviembre. 
*27/11/2024 desarrollo en test, presenta error en la  visualizacion de  campos en nativo.
*28/11/2024 Solucion de error reportado 27 de noviembre.
*04/12/2024 Pendiente realizar pruebas de los ajustes de los hallazgos reportados el 28 de Noviembre
* 06/12/2024 Se han realizado pruebas a los ajustes de los hallazgos y se confirma que los resultados fueron exitosos, garantizando que el proceso de radicación se ejecuta correctamente
18/12/2024 entregado a bolivar para pruebas 
10/01/2025 Paso a produccion 10 de enero de 2025</t>
  </si>
  <si>
    <r>
      <rPr>
        <rFont val="Quattrocento Sans"/>
        <b/>
        <color theme="1"/>
        <sz val="11.0"/>
      </rPr>
      <t>PASO 1</t>
    </r>
    <r>
      <rPr>
        <rFont val="Quattrocento Sans"/>
        <color theme="1"/>
        <sz val="11.0"/>
      </rPr>
      <t xml:space="preserve">
</t>
    </r>
    <r>
      <rPr>
        <rFont val="Quattrocento Sans"/>
        <b/>
        <color theme="1"/>
        <sz val="11.0"/>
      </rPr>
      <t>H1</t>
    </r>
    <r>
      <rPr>
        <rFont val="Quattrocento Sans"/>
        <color theme="1"/>
        <sz val="11.0"/>
      </rPr>
      <t xml:space="preserve"> Crear en el portal de solicitudes ARL opción de radicación de proveedores
</t>
    </r>
    <r>
      <rPr>
        <rFont val="Quattrocento Sans"/>
        <b/>
        <color theme="1"/>
        <sz val="11.0"/>
      </rPr>
      <t>H2</t>
    </r>
    <r>
      <rPr>
        <rFont val="Quattrocento Sans"/>
        <color theme="1"/>
        <sz val="11.0"/>
      </rPr>
      <t xml:space="preserve"> Creación de formulario para radicación 
</t>
    </r>
    <r>
      <rPr>
        <rFont val="Quattrocento Sans"/>
        <b/>
        <color theme="1"/>
        <sz val="11.0"/>
      </rPr>
      <t>H5</t>
    </r>
    <r>
      <rPr>
        <rFont val="Quattrocento Sans"/>
        <color theme="1"/>
        <sz val="11.0"/>
      </rPr>
      <t xml:space="preserve"> Precargar datos proveedor</t>
    </r>
  </si>
  <si>
    <t>*15/11/2024 Genera error al confirgurar campos.
*18/11/2024 Continua con la validación del error. 
*19/11/2024 Se detuvo la gestion, ya que empleo gran parte del tiempo atendiendo la caida de los ambientes dev y test
*27/11/2024 en test</t>
  </si>
  <si>
    <r>
      <rPr>
        <rFont val="Quattrocento Sans"/>
        <b/>
        <color theme="1"/>
        <sz val="11.0"/>
      </rPr>
      <t>PASO 2</t>
    </r>
    <r>
      <rPr>
        <rFont val="Quattrocento Sans"/>
        <color theme="1"/>
        <sz val="11.0"/>
      </rPr>
      <t xml:space="preserve">
</t>
    </r>
    <r>
      <rPr>
        <rFont val="Quattrocento Sans"/>
        <b/>
        <color theme="1"/>
        <sz val="11.0"/>
      </rPr>
      <t>H2</t>
    </r>
    <r>
      <rPr>
        <rFont val="Quattrocento Sans"/>
        <color theme="1"/>
        <sz val="11.0"/>
      </rPr>
      <t xml:space="preserve"> Creación de formulario para radicación.
</t>
    </r>
  </si>
  <si>
    <t>*25/11/2024 Formularios  ok
*27/11/2024 en test</t>
  </si>
  <si>
    <r>
      <rPr>
        <rFont val="Quattrocento Sans"/>
        <b/>
        <color theme="1"/>
        <sz val="11.0"/>
      </rPr>
      <t>PASO 3</t>
    </r>
    <r>
      <rPr>
        <rFont val="Quattrocento Sans"/>
        <color theme="1"/>
        <sz val="11.0"/>
      </rPr>
      <t xml:space="preserve">
</t>
    </r>
    <r>
      <rPr>
        <rFont val="Quattrocento Sans"/>
        <b/>
        <color theme="1"/>
        <sz val="11.0"/>
      </rPr>
      <t>H4</t>
    </r>
    <r>
      <rPr>
        <rFont val="Quattrocento Sans"/>
        <color theme="1"/>
        <sz val="11.0"/>
      </rPr>
      <t xml:space="preserve"> Debe permitir subir varios archivos.
</t>
    </r>
    <r>
      <rPr>
        <rFont val="Quattrocento Sans"/>
        <b/>
        <color theme="1"/>
        <sz val="11.0"/>
      </rPr>
      <t>H3</t>
    </r>
    <r>
      <rPr>
        <rFont val="Quattrocento Sans"/>
        <color theme="1"/>
        <sz val="11.0"/>
      </rPr>
      <t xml:space="preserve"> Asociacion de tipología portal vs nativo.
</t>
    </r>
    <r>
      <rPr>
        <rFont val="Quattrocento Sans"/>
        <b/>
        <color theme="1"/>
        <sz val="11.0"/>
      </rPr>
      <t>H4</t>
    </r>
    <r>
      <rPr>
        <rFont val="Quattrocento Sans"/>
        <color theme="1"/>
        <sz val="11.0"/>
      </rPr>
      <t xml:space="preserve"> Opción consulta casos en portal ARL</t>
    </r>
  </si>
  <si>
    <r>
      <rPr>
        <rFont val="Quattrocento Sans"/>
        <color theme="1"/>
        <sz val="11.0"/>
      </rPr>
      <t>*25/11/2024  Administración de archivos finalizado 
26/11/2024 continua con la  H3 
*</t>
    </r>
    <r>
      <rPr>
        <rFont val="Quattrocento Sans"/>
        <b/>
        <color theme="1"/>
        <sz val="11.0"/>
      </rPr>
      <t>27/11/2024 Trabajara en error al  replicar los  casos en nativo, no se visualizan algunos  campos.
*28/11/2024 subir  cambios de los  ajustes de los errores de la replica de nativo.</t>
    </r>
  </si>
  <si>
    <t>Ajustes de halazgos pruebas test</t>
  </si>
  <si>
    <t>02/12/2024 Inciara validaciones 
*03/12/2024 Falta la incidencia # 8 
04/12/2024 Pendiente realizar  pruebas de los  ajustes.
06/12/2024 Se han realizado pruebas a los ajustes de los hallazgos y se confirma que los resultados fueron exitosos, garantizando que el proceso de radicación se ejecuta correctamente</t>
  </si>
  <si>
    <t xml:space="preserve">Cookie Without Secure Flag Detected </t>
  </si>
  <si>
    <t>*10/12/2024 Continua con la  implementación.
19/12/2024 continua con las correcciones.
20/12/2024 EN TEST.
10/01/2025 Se despliega a produccion</t>
  </si>
  <si>
    <t>Cookie Without HttpOnly Flag Detected</t>
  </si>
  <si>
    <t>19/12/2024 continua con las correcciones.
20/12/2024 en test.
10/01/2025 Se despliega a produccion</t>
  </si>
  <si>
    <t>Cookie Without SameSite Flag Detected</t>
  </si>
  <si>
    <t>19/12/2024 continua con las correcciones.
20/12/2024 continua con las correcciones.
10/01/2025 10/01/2025 Se despliega a produccion</t>
  </si>
  <si>
    <t xml:space="preserve"> Missing Content Security Policy </t>
  </si>
  <si>
    <t>19/12/2024 continua con las correcciones.
20/12/2024 continua con las correcciones.
10/01/2025 Se despliega a produccion</t>
  </si>
  <si>
    <t>Hacer comando en medicamenteos para el cierre de caso despues de 3 dias del envio de la respuesta si no se obtiene resuesta</t>
  </si>
  <si>
    <t>MDSB-740230 Informe tipologia 10182 incluyendo campos (caso - fecha radicación- fecha cierre -  Razón social - Tipología en la que se cerró el caso- Área de la tipología)</t>
  </si>
  <si>
    <t>MDSB-739939 Desahabilitar plantilla  y validar adjuntos  requeridos en solicitudes ARL</t>
  </si>
  <si>
    <t>14/01/2025 Se ajusta en test por codigo la desabilitación del archivo descargable, pendiente solucionar los adjuntos  requeridos.</t>
  </si>
  <si>
    <t xml:space="preserve">MDSB-734210 Validar observaciones de la tipologia "Estrategia CAVI"  y adiocionar al  informe de tipologias </t>
  </si>
  <si>
    <t xml:space="preserve">GD772-47 - Requerimiento ajuste comunicados de cartera </t>
  </si>
  <si>
    <t xml:space="preserve">Enviar script para solicitar control de cambios a produccion </t>
  </si>
  <si>
    <t>20/01/2025 No se creara mas controles de cambios se dejara el creado en Diciembre MDSB-732153</t>
  </si>
  <si>
    <t>Validar error al ejecutar el comando en test</t>
  </si>
  <si>
    <t>Validar cargue de archivo de trabajadores enviado por Doria</t>
  </si>
  <si>
    <t>16/01/2025 Fabio realiza la validacion y no hay error, solo que el archivo es demasiado grande y se debe cargar seccionado.</t>
  </si>
  <si>
    <t>MDSB-740958 Error en el tipo de correo para gestión de devoluciones</t>
  </si>
  <si>
    <t>14/01/2025 Se detiene para  trabajar jira  MDSB-738724.</t>
  </si>
  <si>
    <t>MDSB-738724  Revisar asignación de casos para que se puedan gestionar,(Radicados por el proveedor)</t>
  </si>
  <si>
    <t>13/01/2025: el viernes 10 de enero  realiza validaciones pero no evidencia el error.
14/01/2025 a un no se identifica la causa del error, 
16/01/2025 se evidencia un dos cedulas con el mismo nombre.
16/01/2025, Se evidencia que no es un error del aplicativo, sino que corresponde a la creacion del mismo usuario con numero de CC diferentes.</t>
  </si>
  <si>
    <t>MDSB-746480 Subir a la malla de asignación tipologías</t>
  </si>
  <si>
    <t>MDSB-706522 Tablero de Indicadores de control de la operación, control imagine y validación factura imagine</t>
  </si>
  <si>
    <t>*27/11/2024 Ya esta creada la vista y validara el query entregado por Jenry. 
*28/11/2024 inicia  en la  elaboración del  primer  indicador.</t>
  </si>
  <si>
    <t>Oportunidad Radicación en Sisalud</t>
  </si>
  <si>
    <t xml:space="preserve">*02/12/2024 continua  con ajustes 
03/12/2024 se subira a test 
*04/12/2024 Pendiente subir a test. Sin acceso a test
*05/12/2024 Pendiente permisos en test para  subir ajustes.
*10/12/2024 Indicador  ya se encuentra en produccion.
</t>
  </si>
  <si>
    <t>Oportunidad en la gestion de  inconsistencias</t>
  </si>
  <si>
    <t>*04/12/2024 En proceso
*05/12/2024 continua con el desarrollo, se estima  subir a test 5 de diciembre.
*06/12/2024 en produccion incompleto para pruebas solo con el usuario de jenry
*09/12/2024 Pendiente realizar ajustes indicados por Jenry
*10/12/2024 pendiente dividir el informe de  inconsistencias de bolivar y de Imagine.
*27/12/2024 Realizara la  division de  usuarios de bolivar y de Imagine.
30/12/2024 inicia  con la separación de usuarios, Creación de la  vista</t>
  </si>
  <si>
    <t>MDSB-728389 Crear tipos de documento para disparar servicio</t>
  </si>
  <si>
    <r>
      <rPr>
        <rFont val="Quattrocento Sans"/>
        <b/>
        <color theme="1"/>
        <sz val="11.0"/>
      </rPr>
      <t xml:space="preserve">19/12/2024 </t>
    </r>
    <r>
      <rPr>
        <rFont val="Quattrocento Sans"/>
        <b val="0"/>
        <color theme="1"/>
        <sz val="11.0"/>
      </rPr>
      <t>Los tipos de documentos se encuentran quemados en el  codigo en prd, pendiente realizar tabla para manejar los  portales.
20/12/2024 pendiente realizar tabla para manejar los  portales.</t>
    </r>
  </si>
  <si>
    <t>Comando en incapacidades para los casos  que quedan en devolucion y no se cierran y los que generan doble actividad</t>
  </si>
  <si>
    <t>1.Dos actividades abiertas
2, Cuando hay cierre  caso y queda una actividad abierta
3. Cuando queda en devolucion abierta.</t>
  </si>
  <si>
    <t>13/01/2025 Continuara con el desarrollo.
15/01/2025 Entregara hoy
20/01/2025 Se pasara a producción hoy.</t>
  </si>
  <si>
    <t>MDSB-744896 a la  usuaria no le aparece el boton  para gestionar el caso 30236793</t>
  </si>
  <si>
    <t>23/01/2025 Se identifica que el problema es cuando se obtienen radicaciones del buzon se validara el  proceso con Freddy tibocha y se sugiere crear otro caso para la gestion del que presenta la inconsistencia.</t>
  </si>
  <si>
    <t>MDSB-738836  Se evidencia que los casos asignados a los usuarios 1106308141 y 1024530884 no aparecen en los informes de Arl.</t>
  </si>
  <si>
    <t>FINALIZADOS</t>
  </si>
  <si>
    <t>14/01/2025se soluciona error reportado al consultar los  uusarios en la reasignacion por tipologias, quedo en  producción   y la solucion definitiva esta en test.
15/01/2025 Continuara con la valida de los usuario que en administración  quedan con un area y rol difeente al que  se muestra en la  reasignación
16/01/2025 Usuario indica que aun los casos  radicados no se contabilizan en un informe de efectividad, estamos a las espera de la ruta de dicho informe para  validar.
23/01/2025 Se identifica error en el codigo del area de la  tabla de usuarios.</t>
  </si>
  <si>
    <t>Ajustar Formato informes ARL en Yii</t>
  </si>
  <si>
    <t>08/01/2025 Se  subiran ajustes a test 
10/01/2025 se sube a test el 9 de enero
17/01/2025 Se realiza paso a producción 
20/01/2025 Debe  validar formularios que aun no traen el formato de fecha correcto
20/01/2025 Solucion lista para  subir a test 
22/01/2025 SE SUBEN AJUSTES  A PRD EL  21 DE ENERO</t>
  </si>
  <si>
    <t>GD772- 77 ADICIONAR 2 INFORMES, GLOSAS E INCONSISTENCIAS  PARA REEMBOLSOS</t>
  </si>
  <si>
    <t xml:space="preserve">Ajustar informes glosas </t>
  </si>
  <si>
    <t>no incluir reembolsos</t>
  </si>
  <si>
    <t xml:space="preserve">GD772-75 Simulacion  la radicacion de reembolsos según mensaje tipo y numero de documento </t>
  </si>
  <si>
    <t>GD772-76 Cambio en el calculo de los informes de reembolsos</t>
  </si>
  <si>
    <t xml:space="preserve">GD772-46 REQ DE MEDICAMENTOS </t>
  </si>
  <si>
    <t>Resolver incidencias reportadas por bolivar 10 de enero (7 puntos)</t>
  </si>
  <si>
    <t>DESPLIEGUE PRODUCCION</t>
  </si>
  <si>
    <t>13/01/2025 Subira a test para  ir probando.
14/01/2025 pendiente solucionar el  punto 6 Informe de salida de correos.
16/01/2025 pendiente retirar del  informe de salida de correos los  casos que se encuentran pendientes de gestion.</t>
  </si>
  <si>
    <t>Agregar en la  gestion  una pestaña para  el  historial de reembolsos por CC</t>
  </si>
  <si>
    <t>27/01/2025 entregar a Jenry para subir aproduccion 
29/01/2025 se pasara a produccion y se actualizara test.</t>
  </si>
  <si>
    <t>Redireccionamiento del viejo portal al nuevo portal de ARL</t>
  </si>
  <si>
    <t>Se estima medio día</t>
  </si>
  <si>
    <t>29/01/2025 Continua con el redirecionamiento.</t>
  </si>
  <si>
    <t>MDSB-752092 ERROR  FLUJO  Tipología  10537  Dictamen Pcl Afp Y Comun</t>
  </si>
  <si>
    <t>No se identifico error ya que la tipologia esta para la radicacion de casos del buzon.</t>
  </si>
  <si>
    <t>Req boton anular Caso en pensiones</t>
  </si>
  <si>
    <t>30/01/2025 INCLUIR BOTON  EN CONSULTA 
31/01/2025 se sube a produccion el 30 de enero</t>
  </si>
  <si>
    <t>Ajustar envio de adjuntos para AFIN</t>
  </si>
  <si>
    <t>Validar error en autollenado del nombre trabajador /razon social empresa en portales  test y produccion.</t>
  </si>
  <si>
    <t xml:space="preserve">29/01/2025 se realiza validaciones y no es posible una solucion, se continuara despues de Redireccionamiento del viejo portal al nuevo portal de ARL.
30/01/2025 Continuara  con la validacion del campo y realizacion de  cambios.
31/01/2025 Continua con la validación del error  y  se espera dejar solucionado hoy.
</t>
  </si>
  <si>
    <t>Ajuste de glosas por procedimeinto en ARL</t>
  </si>
  <si>
    <r>
      <rPr>
        <rFont val="Quattrocento Sans"/>
        <color theme="1"/>
        <sz val="11.0"/>
      </rPr>
      <t>*04/12/2024 Subira a teste hoy, pendiente de ajustar boton de tramitar envio.
*05/12/2024 Pendiente permisos en test para  subir ajustes.
*10/12/2024 se subira a test.
*11/12/2024 En test  para  pruebas.
*</t>
    </r>
    <r>
      <rPr>
        <rFont val="Quattrocento Sans"/>
        <b/>
        <color theme="1"/>
        <sz val="11.0"/>
      </rPr>
      <t>12/12/2024 Validar error  en test
17/12/2024 Pendiente validar error en test
20/12/2024 Pendiente validar error en test
23/12/2024 continua validando error
26/12/2024 Corregir error en test
27/12/2024 Realiza  correccion de errores y cambios de validación, quedan en test
03/02/2025 Sube a producción</t>
    </r>
  </si>
  <si>
    <t>Cambio de lógica en la recepción de los nuevos rips en el portal de facturas</t>
  </si>
  <si>
    <t>Actulizar con respecto a Master  correguir conflictos</t>
  </si>
  <si>
    <t>04/02/2025 en proceso de estabilizacion</t>
  </si>
  <si>
    <t>Llenar las nuevas tablas de rips</t>
  </si>
  <si>
    <r>
      <rPr>
        <rFont val="Quattrocento Sans"/>
        <color theme="1"/>
        <sz val="11.0"/>
      </rPr>
      <t xml:space="preserve">*01/10/2024, Se solicita control de cambios producción MDSB-678685 30 de septiembre
*02/10/2024 estado jira MDSB-678685  en Validación
</t>
    </r>
    <r>
      <rPr>
        <rFont val="Segoe UI"/>
        <b/>
        <color theme="1"/>
        <sz val="11.0"/>
      </rPr>
      <t xml:space="preserve">*03/10/2024 Jira ejecutado correctamente, Pendiente  pasar código a  producción por cambios en la resolución. </t>
    </r>
  </si>
  <si>
    <t xml:space="preserve">Validación de cartas </t>
  </si>
  <si>
    <r>
      <rPr>
        <rFont val="Quattrocento Sans"/>
        <color theme="1"/>
        <sz val="11.0"/>
      </rPr>
      <t xml:space="preserve">* 02/10/2024 pendiente ajustar plantilla de radicación y de las devoluciones de nota crédito.
*04/10/2024 Continuara ya que se dedico a trabajar en el envió de correos d autorizaciones.
</t>
    </r>
    <r>
      <rPr>
        <rFont val="Quattrocento Sans"/>
        <b/>
        <color theme="1"/>
        <sz val="11.0"/>
      </rPr>
      <t>*07/10/2024, Se detiene para continuar trabajando en reembolsos.
04/02/2025 Reinicia ajuste.</t>
    </r>
  </si>
  <si>
    <t>consulta del CUV</t>
  </si>
  <si>
    <r>
      <rPr>
        <rFont val="Quattrocento Sans"/>
        <b/>
        <color theme="1"/>
        <sz val="11.0"/>
      </rPr>
      <t xml:space="preserve">*03/10/2024 </t>
    </r>
    <r>
      <rPr>
        <rFont val="Quattrocento Sans"/>
        <b val="0"/>
        <color theme="1"/>
        <sz val="11.0"/>
      </rPr>
      <t>En cuanto a código ya esta listo, se sesión  hoy con Bolívar  para  validar la demora en la respuesta del  recuso suministrado</t>
    </r>
    <r>
      <rPr>
        <rFont val="Quattrocento Sans"/>
        <b/>
        <color theme="1"/>
        <sz val="11.0"/>
      </rPr>
      <t xml:space="preserve">
*07/10/2024, Se detiene para continuar trabajando en reembolsos.</t>
    </r>
  </si>
  <si>
    <t>Glosas con nueva estructura (norma 2284)</t>
  </si>
  <si>
    <r>
      <rPr>
        <rFont val="Quattrocento Sans"/>
        <color theme="1"/>
        <sz val="11.0"/>
      </rPr>
      <t>*12/09/2024 Pendiente envió de facturas de partes de bolívar para  Realizar pruebas 
*02/10/2024 pasara  a producción  con el portal, pendiente aclaración de carta de glosa efectiva y masiva.</t>
    </r>
    <r>
      <rPr>
        <rFont val="Segoe UI"/>
        <b/>
        <color theme="1"/>
        <sz val="11.0"/>
      </rPr>
      <t xml:space="preserve">
*03/10/2024 resolución cambio en las fechas de salida, queda pendiente pasar código a  producción.</t>
    </r>
  </si>
  <si>
    <t>*22/10/2024 Se realizara sesion con Jenifer para despejar dudas.
*23/10/2024 Jenifer  enviara información detallada  para cada una de las tipologias.
*28/10/2024 24 de Octubre Jennifer envia las estructuras finales.
*06/11/2024 Continuara Luis con el desarrollo del  req, se realizara sesion de entendimiento. (22/11/2024).
*07/11/2024 Luis iniciara tan pronto termine el req GD772-51
*13/11/2024 Se da sesion de entendimiento e inicia con el desarrollo, Validación de la lógica y flijo.
*14/11/2024 inicio de la  implementación
*19/11/2024 solicitara  paso a TEST para inicio de pruebas.
*21/11/2024 Se realizan preubas en test no y genera errores, El requerimiento lo  retomara Johan la  proxima  semana.
* 28/11/2024 Johan retoma  req, en creación de los archivos .csv
*02/12/2024 Jira de control de cambios test MDSB-717693 en estado abierta, control de cambios ejecutado...
19/12/2024 Realizar ajustes  finales para la entrega.
23/12/2024 Se entrega req a bolivar  para  pruebas el 20 de diciembre 
Se escala control de cambios prd MDSB-732153
27/01/2025 dan go para  paso a produccion.
01/02/2025 Control de cambios ejecutado correctamente</t>
  </si>
  <si>
    <t>Creacion de archivos csv</t>
  </si>
  <si>
    <t>29/11/2024 se escala  control de cambios MDSB-717693 en test.</t>
  </si>
  <si>
    <t>Salida de correos por Exchange copia al correo de novedades, solo las 2 tipologías que salen por arl correo certificado no cambia</t>
  </si>
  <si>
    <t>Modificar proformas de acuerdo a las plantillas de Word del req</t>
  </si>
  <si>
    <t>Validar que las devoluciones  caigan a quien debe ser.</t>
  </si>
  <si>
    <t>09/12/2024 Continua con la validación.
10/12/2024 se implementa un cron que  todos los días va a revisar los casos en estado devolución y garantizara que queden a quien realizó el envío masivo</t>
  </si>
  <si>
    <t>Pruebas en test para entregar a Bolivar</t>
  </si>
  <si>
    <t>19/12/2024 Realizar ajustes  finales para la entrega.</t>
  </si>
  <si>
    <t>ADICION DE CAMPO TIPO DE DOCUMENTO EN ARCHIVO GD772-47  COMUNICADOS DE CARTERA</t>
  </si>
  <si>
    <t xml:space="preserve">07/01/2025 se sube cambio a test </t>
  </si>
  <si>
    <t>H2 Crear menú con nombre:  Autorizaciones, bandeja autorizaciones</t>
  </si>
  <si>
    <t>05/02/2025 Control de cambios produccion  MDSB-755413 ejecutado correctamente.
06/02/2025 Despliegue  programado para el  10 de Febrero.</t>
  </si>
  <si>
    <t xml:space="preserve">H3 Creación de menú administración autorizaciones </t>
  </si>
  <si>
    <r>
      <rPr>
        <rFont val="Quattrocento Sans"/>
        <color theme="1"/>
        <sz val="11.0"/>
      </rPr>
      <t xml:space="preserve">*10/10/2024 Vista de reasignación ok, En realización de la lógica de las vistas ya creadas. Estima entrega  para 11 de octubre
*15/10/2024. En local ya esta lista la  creación de casos 
*16/10/2024 se estima la entrega de la  historia para 17 de octubre.
*17/10/2024 Implementar la  logica que el caso se asigne correctamente.
* </t>
    </r>
    <r>
      <rPr>
        <rFont val="Quattrocento Sans"/>
        <b/>
        <color theme="1"/>
        <sz val="11.0"/>
      </rPr>
      <t xml:space="preserve">22/10/2024 Jesus se encuentra incapacitado hasta del 21 hasta el 29 de Octubre
*29/10/2024 Reinicia  gestion en dev, crear  campos  y  realizar pruebas..
*30/10/2024 Presenta error al ingresar a aws para  ingresar a dev
*01/11/2024 Finalizado en local, pendiente permisos en dev para realizar pruebas.
*06/11/2024 acceso a dev solucionado, subira desarrollo a dev 
*03/12/2024 solicitar control de cambios a test </t>
    </r>
  </si>
  <si>
    <t>H4 Creación de opción asignación por tiempos</t>
  </si>
  <si>
    <r>
      <rPr>
        <rFont val="Quattrocento Sans"/>
        <color theme="1"/>
        <sz val="11.0"/>
      </rPr>
      <t>*09/10/2024 Confirmar  fecha de finalización
*10/10/2024 En realización de la lógica de las vistas ya creadas estima entrega  para 11 de octubre
*11/10/2024 Se acalraran dudas con Jenry en la asignación de casos a los usuarios.
*15/10/2024 se realiza entendimiento con Jenry asignación de casos por tiempos, se debe validar si en caso de no tener usuarios activos habrá uno que este las 24 H disponible para recibir los casos.
*16/10/2024 creación de nueva tabla.
*16/10/2024 se estima la entrega de la  historia para 17 de octubre
*17/10/2024 realizo la vista de asignacón por tiempos y cambio de fechas de asignación, continua con la  reasignación.
* 18/10/2024 subira a develo
*</t>
    </r>
    <r>
      <rPr>
        <rFont val="Quattrocento Sans"/>
        <b/>
        <color theme="1"/>
        <sz val="11.0"/>
      </rPr>
      <t>22/10/2024 Jesus se encuentra incapacitado hasta del 21 hasta el 29 de Octubre
*29/10/2024 Reinicia  gestion en dev Reinicia  gestion en dev, crear  campos  y  realizar pruebas..
*30/10/2024 Presenta error al ingresar a aws para  ingresar a dev
*01/11/2024 Finalizado en local, pendiente permisos en dev para realizar pruebas.
06/11/2024 acceso a dev solucionado, subira desarrollo a dev</t>
    </r>
  </si>
  <si>
    <r>
      <rPr>
        <rFont val="Quattrocento Sans"/>
        <b/>
        <color theme="1"/>
        <sz val="11.0"/>
      </rPr>
      <t>H5</t>
    </r>
    <r>
      <rPr>
        <rFont val="Quattrocento Sans"/>
        <color theme="1"/>
        <sz val="11.0"/>
      </rPr>
      <t xml:space="preserve"> Crear dentro del menú con Autorizaciones, opción:  Administración Autorizaciones /Agregar proveedor -Gestor farmaceutico (Crud)</t>
    </r>
  </si>
  <si>
    <t>*30/10/2024 Inicia desarrollo 29 de octubre  de esta historia.
*31/10/2024 Continua con el desarrollo.
*01/11/2024 finalizado en local
*06/11/2024 acceso a dev solucionado, subira desarrollo a dev</t>
  </si>
  <si>
    <r>
      <rPr>
        <rFont val="Quattrocento Sans"/>
        <b/>
        <color theme="1"/>
        <sz val="11.0"/>
      </rPr>
      <t>H6</t>
    </r>
    <r>
      <rPr>
        <rFont val="Quattrocento Sans"/>
        <color theme="1"/>
        <sz val="11.0"/>
      </rPr>
      <t xml:space="preserve"> Crear la opción cargue grupo afin dentro del menu administración.</t>
    </r>
  </si>
  <si>
    <t>*01/11/2024 Inicio de desarrollo.
*06/11/2024 solucionar error y subr a dev
*07/11/2024 Validar error en el paginador</t>
  </si>
  <si>
    <t>H7 Creación Bandeja de gestión Autorizaciones</t>
  </si>
  <si>
    <t xml:space="preserve">*06/11/2024 Inicia desarrollo  y confirmara  tiempo estimado de entrega.
*07/11/2024 Estima finalizar desarrollo  8 de noviembre en la tarde.
*12/11/2024 Fecha de entrega 13 de noviembre.
*14/11/2024 finalizado en local, realiza paso oa Dev.
* 04/12/2024 Adiciono actividad faltante </t>
  </si>
  <si>
    <r>
      <rPr>
        <rFont val="Quattrocento Sans"/>
        <b/>
        <color theme="1"/>
        <sz val="11.0"/>
      </rPr>
      <t xml:space="preserve">H8 Creación funcionalidad Bandeja de gestión Autorizaciones </t>
    </r>
    <r>
      <rPr>
        <rFont val="Quattrocento Sans"/>
        <color theme="1"/>
        <sz val="11.0"/>
      </rPr>
      <t xml:space="preserve">
* Crear campos dinamicos en Yii
* Organizar vista de gestion (Flujo).</t>
    </r>
  </si>
  <si>
    <t>*14/11/2024 inicia y pendiente estimar entrega.
*15/11/2024 el 14 de noviembre organiza la  vista del flujo y realiza pruebas radicando casos desde el portal, 15 de noviembre se encuentra disfrutando del dia de la familia.
*18/11/2024 Continuara sulicionar errores (muestra de imagenes en gestión)en dev  para  continuar con el  flujo, 3 prueba en Dev..
*19/11/2024 Continua con eldesarrollo creando modal.
*20/11/2024 Solicitara control de cambios en test
*22/11/2024 Se solicita control de cambios en test MDSB-712296</t>
  </si>
  <si>
    <r>
      <rPr>
        <rFont val="Quattrocento Sans"/>
        <b/>
        <color theme="1"/>
        <sz val="11.0"/>
      </rPr>
      <t>H9</t>
    </r>
    <r>
      <rPr>
        <rFont val="Quattrocento Sans"/>
        <color theme="1"/>
        <sz val="11.0"/>
      </rPr>
      <t xml:space="preserve"> Creación funcionalidad Bandeja de gestión Autorizaciones -</t>
    </r>
    <r>
      <rPr>
        <rFont val="Quattrocento Sans"/>
        <b/>
        <color theme="1"/>
        <sz val="11.0"/>
      </rPr>
      <t xml:space="preserve"> Medicamento autorización total</t>
    </r>
    <r>
      <rPr>
        <rFont val="Quattrocento Sans"/>
        <color theme="1"/>
        <sz val="11.0"/>
      </rPr>
      <t>:</t>
    </r>
  </si>
  <si>
    <r>
      <rPr>
        <rFont val="Quattrocento Sans"/>
        <color theme="1"/>
        <sz val="11.0"/>
      </rPr>
      <t xml:space="preserve">25/11/2024 Modal finalizado 21 de noviembre en local.
*27/11/2024 Generación de plantaillas de envio = ok.
</t>
    </r>
    <r>
      <rPr>
        <rFont val="Quattrocento Sans"/>
        <b/>
        <color theme="1"/>
        <sz val="11.0"/>
      </rPr>
      <t>28/11/2024 Implementar envio de correo a proveedor = ok</t>
    </r>
  </si>
  <si>
    <r>
      <rPr>
        <rFont val="Quattrocento Sans"/>
        <b/>
        <color theme="1"/>
        <sz val="11.0"/>
      </rPr>
      <t>H10</t>
    </r>
    <r>
      <rPr>
        <rFont val="Quattrocento Sans"/>
        <color theme="1"/>
        <sz val="11.0"/>
      </rPr>
      <t xml:space="preserve"> Creación funcionalidad Bandeja de gestión Autorizaciones - </t>
    </r>
    <r>
      <rPr>
        <rFont val="Quattrocento Sans"/>
        <b/>
        <color theme="1"/>
        <sz val="11.0"/>
      </rPr>
      <t>Medicamento autorización parcial:</t>
    </r>
  </si>
  <si>
    <r>
      <rPr>
        <rFont val="Quattrocento Sans"/>
        <color theme="1"/>
        <sz val="11.0"/>
      </rPr>
      <t xml:space="preserve">*25/11/2024 estima finalizar el modal 25 de noviembre.
* 26/11/2024 Pendiente ajuste de la logica  
*27/11/2024 Generación de plantaillas de envio =ok.
</t>
    </r>
    <r>
      <rPr>
        <rFont val="Quattrocento Sans"/>
        <b/>
        <color theme="1"/>
        <sz val="11.0"/>
      </rPr>
      <t>*28/11/2024 Implementar envio de correo a proveedor.=ok</t>
    </r>
  </si>
  <si>
    <r>
      <rPr>
        <rFont val="Quattrocento Sans"/>
        <color theme="1"/>
        <sz val="11.0"/>
      </rPr>
      <t xml:space="preserve">H11 Creación funcionalidad Bandeja de gestión Autorizaciones - </t>
    </r>
    <r>
      <rPr>
        <rFont val="Quattrocento Sans"/>
        <b/>
        <color theme="1"/>
        <sz val="11.0"/>
      </rPr>
      <t>Medicamento no autorizado</t>
    </r>
  </si>
  <si>
    <r>
      <rPr>
        <rFont val="Quattrocento Sans"/>
        <color theme="1"/>
        <sz val="11.0"/>
      </rPr>
      <t xml:space="preserve">*25/11/2024 estima finalizar el modal 2 y 3 para el 25 de noviembre.
*26/11/2024 Pendiente ajuste de la logica, validaciones y  subir  adev 
*27/11/2024 Generación de plantaillas de envio = ok.
</t>
    </r>
    <r>
      <rPr>
        <rFont val="Quattrocento Sans"/>
        <b/>
        <color theme="1"/>
        <sz val="11.0"/>
      </rPr>
      <t>*29/11/2024 Realizar crud para la administración de la causal de devolución</t>
    </r>
    <r>
      <rPr>
        <rFont val="Quattrocento Sans"/>
        <color theme="1"/>
        <sz val="11.0"/>
      </rPr>
      <t>.= ok 
*03/12/2024 Se solicitara  control de cambios en test para  permisos en la secuencia.
*04/12/2024 Control de cambios MDSB-719403 ejecutado correctamente.</t>
    </r>
  </si>
  <si>
    <t>H12 Permitir adjuntar documento a casos</t>
  </si>
  <si>
    <t>* 02/12/2024 Contimua con el desarrollo</t>
  </si>
  <si>
    <r>
      <rPr>
        <rFont val="Quattrocento Sans"/>
        <b/>
        <color theme="1"/>
        <sz val="11.0"/>
      </rPr>
      <t>H16</t>
    </r>
    <r>
      <rPr>
        <rFont val="Quattrocento Sans"/>
        <color theme="1"/>
        <sz val="11.0"/>
      </rPr>
      <t xml:space="preserve"> Informe autorización y tiempos (unificar)</t>
    </r>
  </si>
  <si>
    <t>*06/12/2024 trabajando en encolamiento..
09/12/2024 estima finalizar informes para el 10 de diciembre
*10/12/2024  organizar campos según estructura</t>
  </si>
  <si>
    <r>
      <rPr>
        <rFont val="Quattrocento Sans"/>
        <b/>
        <color theme="1"/>
        <sz val="11.0"/>
      </rPr>
      <t>H17</t>
    </r>
    <r>
      <rPr>
        <rFont val="Quattrocento Sans"/>
        <color theme="1"/>
        <sz val="11.0"/>
      </rPr>
      <t xml:space="preserve"> Informe pendientes</t>
    </r>
  </si>
  <si>
    <r>
      <rPr>
        <rFont val="Quattrocento Sans"/>
        <b/>
        <color theme="1"/>
        <sz val="11.0"/>
      </rPr>
      <t xml:space="preserve">H18  </t>
    </r>
    <r>
      <rPr>
        <rFont val="Quattrocento Sans"/>
        <b val="0"/>
        <color theme="1"/>
        <sz val="11.0"/>
      </rPr>
      <t>Informe de control salida de correos:</t>
    </r>
  </si>
  <si>
    <t>*06/12/2024 trabajando en encolamiento..
*10/12/2024  organizar campos según estructura</t>
  </si>
  <si>
    <r>
      <rPr>
        <rFont val="Quattrocento Sans"/>
        <b/>
        <color theme="1"/>
        <sz val="11.0"/>
      </rPr>
      <t xml:space="preserve">H19 </t>
    </r>
    <r>
      <rPr>
        <rFont val="Quattrocento Sans"/>
        <b val="0"/>
        <color theme="1"/>
        <sz val="11.0"/>
      </rPr>
      <t>Configuración del correo electrónico</t>
    </r>
  </si>
  <si>
    <t>*05/12/2024 La cuenta de correo gestion.farmaceutica@segurosbolivar.com. Ya se encuentra configurada.
09/12/2024 estima finalizar informes para el 10 de diciembre</t>
  </si>
  <si>
    <t xml:space="preserve">Ajustes pruebas test medicamentos </t>
  </si>
  <si>
    <t>16/12/2024 pendientes realizar  ajustes envidenciados 13 de diciembre
17/12/2024 : se suben cambios a test para  pruebas.
19/12/2024 Se completaran ajustes pendiente para  la entrega.
20/12/2024 Finalizar ajustes.</t>
  </si>
  <si>
    <t>Validar lector de  correo y creación actividad</t>
  </si>
  <si>
    <t>20/12/2024 Iniciara con la logica  para los casos que generan devolucion 
23/12/2024 ontmi
26/12/2024 Continua  con la  gestion de lectura de corregir
27/12/2024 se creo endpoint  para la logica de los  correos devueltos.
30/12/2024 Quitar funciones innecesarias y  pruebas locales, y crear modal al usuario que gestiono el caso y pueda corregir el correo de envio que genero la devolución.
02/01/2025 hacer pruebas y subir a test.
03/01/2025 creacion de vista de envio de correos, pendiente subir reenvio de correos.
08/01/2025 Cambios subidos test el 7 de Enero para pruebas</t>
  </si>
  <si>
    <t>Mejoras según entrega a Bilivar</t>
  </si>
  <si>
    <t>27/12/2024 Continua con los ajustes indicados en la entrega del requerimiento a  bolivar.
27/12/2024 Quitar campos sobrantes y adición de los  campos  nuevos. El 26 de diciembre se escala control de cambios en test MDSB-733905 quedo ejecutado correctament.
27/12/2024 Mejoras  en  test para pruebas.
07/01/2025 Trabajara en puntos enviados  por Liyibet
08/01/2025 pustos listos  para pruebas.</t>
  </si>
  <si>
    <t>Ajustar los pediodos en la carta que se envia al cliente</t>
  </si>
  <si>
    <t xml:space="preserve">21/01/2025 En test para pruebas </t>
  </si>
  <si>
    <t>MDSB-752072 Error en el funcionario asignado en los casos  del  informe efectividad de  Gestión Control Conciliación UGPP</t>
  </si>
  <si>
    <t>El informe funciona correctamente "Se realizó la validación del tablero de efectividad de Gestión Control Conciliación UGPP y no se identificaron inconsistencias.
Para que un caso aparezca como cerrado en el tablero, debe cumplir con la condición de tener la actividad "Generación de Respuesta" en estado cerrado y registrara el usuario que realizó dicho cierre."</t>
  </si>
  <si>
    <t>Query de información incapacidades (Primer formulario)</t>
  </si>
  <si>
    <t>05/02/2025  Entregado a Liyibet</t>
  </si>
  <si>
    <t xml:space="preserve"> JIRAS MDSB-753991 y MDSB-755565, No registra empresa a la que esta afiliado el trabajador  los casos 30311197 y 30334336 (Drummond NIT 800021308) y no se visualizan los  casos por consulnta  pot CC</t>
  </si>
  <si>
    <t>05/02/2025 La incidencia se ocaciono por un espacio al final del numero de documento registrado en la tabla.</t>
  </si>
  <si>
    <t>MDSB-753221 caso 30310430 radicado por el  buzon no muestra la Empresa a la que esta activo el trabajador</t>
  </si>
  <si>
    <t>GD772-46 REQ DE MEDICAMENTOS (Estabilizacion producción)</t>
  </si>
  <si>
    <t>ajustar trazabilidad ( muestra diferente a la del caso)</t>
  </si>
  <si>
    <t xml:space="preserve">Ajustar usuario Interner aparece en la gestion </t>
  </si>
  <si>
    <t>Errores de correso duplicados 472</t>
  </si>
  <si>
    <t>Manejando la exceocion de los errores.</t>
  </si>
  <si>
    <t>12/02/2025 Se realizan ajustes, Guardando en la tabla  correos con error</t>
  </si>
  <si>
    <t>Query de incapacidades para  incluir en API de  recobros</t>
  </si>
  <si>
    <t xml:space="preserve">Creación  bitácora  de pensiones </t>
  </si>
  <si>
    <t>ESTIMACION</t>
  </si>
  <si>
    <t xml:space="preserve">Creacion de tabla </t>
  </si>
  <si>
    <t>09/01/2025 Se escala control de cambios en test MDSB-740424
10/01/2025 El codigo esta terminado al pendiente de la ejecucion del control de cambios en test
13/01/2025 Control de cambios ejecutado correctamente.
14/01/2025 se realizan pruebas en test y ya se encuentra funcional
20/01/2025 se escala jira MDSB-746991 para control de cambios en PRD
24/01/2025 Pendiente que cristian suba evidencias al jira, ingresa de vacaciones el lunes 27 de enero
31/01/2025 pendiente subir evidencia de las  pruebas en test  de parte de PO
12/02/2025 control de cambio aprobado se ejecutara 4:30pm.
13/02/2025 Se realiza despliegue a produccion.</t>
  </si>
  <si>
    <t>Revisar archivos temporales del servidor  de portales para que no se llene.</t>
  </si>
  <si>
    <t xml:space="preserve">Implementar validacion para la eliminación de archivos temporales </t>
  </si>
  <si>
    <t>13/02/2025 Se ajusto el cron para que eliminara los archivos que llevaran mas de 7 dias.</t>
  </si>
  <si>
    <r>
      <rPr>
        <rFont val="Quattrocento Sans"/>
        <b/>
        <color theme="1"/>
        <sz val="11.0"/>
      </rPr>
      <t xml:space="preserve">MDSB-670944 </t>
    </r>
    <r>
      <rPr>
        <rFont val="Quattrocento Sans"/>
        <color theme="1"/>
        <sz val="11.0"/>
      </rPr>
      <t>validar reenvio de casos (Cuenta novedades)</t>
    </r>
  </si>
  <si>
    <t>*31/10/2024 se realiza validación con Danilo y se evidencia que la cuenta esta inhabilitada, se espera activación  para realizar validación  nuevamente
*31/10/2024 se realiza Validación y se evidencia que la cuenta esta inhabilitada, Se realizara nueva validación del reenvió después de que la cuenta este activa nuevamente .
*06/11/2024 La  cuenta  ya se encuentra habilitada   para  realizar nuevamente la  validación del  reenvió.
*12/11/2024 Reinicia  Validación.
*13/11/2024 Danilo realiza pruebas  y la cuenta esta funcionado correctamente, se debe validar codigo desde nativo.
*20/11/2024 Se realizar nueva validación  sin obtener resultados exitosos, Caso problema
14/02/2025 Tras la salida del req de comunicados de  cartera la cuenta no se utilizara mas para los reenvios.</t>
  </si>
  <si>
    <t>Ajuste informe de pendientes de cuidado al trabajador ( Saltos  de linea)</t>
  </si>
  <si>
    <t>18/12/2024 Pendiente envio de casos que se deben ajustar de parte de Fabio
19/12/2024 se envia casos  que presentan error en el informe(Fabio).</t>
  </si>
  <si>
    <t>Validar consumo de digital</t>
  </si>
  <si>
    <t>30/01/2025 En pruebas.
31/01/2025 pendiente envio de la URL para  realizar el  consumo.</t>
  </si>
  <si>
    <t>Migraciaón Digital a Nativo</t>
  </si>
  <si>
    <t>*28/10/2024 se requiere una segunda sesion de entendimiento con Jenry.
*29/10/2024 Validación de dudas con Jairo.
*30/10/2024 Esta en la migración de servicios a nativo.
*31/10/2024 Entrega hoy en la tarde para revision con Jenry en local..
*01/11/2024 falta  procesos de calificacion y ver pdf,  aclarara dudas con Jairo de tema procedimental .
*05/11/2024 probar consulta de documento y radicacion del caso.
*06/11/2024 subir a dev para mostrar a Jenry
*07/11/2024 Requerimiento en DEV  para validar con jenry
03/01/2025 Cambios de subidos a tets que generaban conflicto.
08/01/2025 Validar creación de casos 
10/01/2025 Se encuentra validando el porque no esta generando los dos  casos.
14/01/2025  13 de enero sube ajustes a test  para  realizar pruebas 
27/01/2025 Realizara validación del porque los  casos creados no se replican en Nativo
28/01/2025 solucionar error en insert de los  casos, se bube solucucion a test.
29/01/2025 realizar  pruebas..
31/01/2025 se detiene  para  dar  paso 
05/02/2025 Se realizara sesion para  realizar paso a paso.
06/02/2025 Tras la sesion, se debe ajustar notificacion de de descarga  de pdf y la marcación de los casos en Nativo</t>
  </si>
  <si>
    <t>Lectura de archivos en python en el ambiente DEV</t>
  </si>
  <si>
    <t>Montar ambiente dev en local</t>
  </si>
  <si>
    <t>LOCAL</t>
  </si>
  <si>
    <t>*20/11/2024 Validando error.
22/11/2024 requerimiento funcional, pendiente realizar ajuste para guardar datos en base de datos 
27/11/2024 Continuara al terminara ajustes de 472.
*28/11/2024 Ajustes en la busqueda de documentos.
*02/12/2024 implementado modelo de clasificación de información = ok, se estima entrega hoy  hacia el medio día.
*03/12/2024 validar modelo implementado ya que la información no la clsifica de manera consistente.
*04/12/2024 Debe  cambiar modelo de busqueda de acuerdo a sesion con Faber.
*05/12/2024 ya estrae información  consistente, estan en pruebas con mas incapacidades. (falta mostrar  dias y el codigo de diagnostico), se realizara sesion con Jenry para validar avance.
*09/12/2024 Revisar con Danilo y Jairo se realizaron  pruebas en servidor de Jairo y funciono correctamente.
*10/12/2024 se realizara despliegue a dev  en la tarde para pruebas.
*10/12/2024 generar los  campos  adicionales.
17/12/2024 Pendiente  prueba de los nuevos campos y ajustar para que solo traiga el texto netamnete de la  incapacidad
18/12/2024 Implementar validacion para la extraccion de solo la información de la incapacidad, se realizara sesion 18 de diciembre para iniciar despliegue a dev.
19/12/2024 se realizara despliegue a produccion para prueba ya que no es posible desplegar en dev por temas de recursos insuficientes..
20/12/2024 pruebas de lectura de documentos.
23/12/2024 Prue finalizadas exitosaas
30/12/2024 Crear una linea de comandos  para tomar la ruta de la  imagen.
02/01/2025 pruebas  
03/01/2025 se suben cambios 
07/01/2025 Reaizara pruebas de implementación den  produccion con  Danilo
08/01/2025 Ajustar respuesta del Json 
14/01/2025 Conexion para traer adjuntos de la db por consola y enviarlos a la API
15/01/2025 Implemnetado ruta para acceder a los archivos de manera externa.
20/01/2025 Se desplego a produccion el 17 de enero, se debe validar generación del Json
23/01/2025 realiza cambios en el api, y realizara pruebas con mas modelos...para paso a produccion.
27/01/2025 subira  cambios  para pruebas en  produccion 
28/01/2025 en produccion para  pruebas 
31/01/2025 Validar errores evidenciados en la Reu con Danilo y Jairo.( Se genera un bucle al guardar los datos)
04/02/2025 En pruebas  de cambios  al momento de enviar datos ( No envia el texto).
05/02/2025 listo  para subir a producción  y  pruebas.
06/02/2025 Pendiente completar despliegue a produccion y realizar pruebas con Jairo</t>
  </si>
  <si>
    <t>Generar log en cada una de las etapas para validar el tiempo de ejecucion.</t>
  </si>
  <si>
    <t>*12/12/2024 En pruebas locales
16/12/2024 ya se encuentran realizados  y muestra los  porcentajes en cada etapa, Se requiere Pasar a dev.</t>
  </si>
  <si>
    <t>Corrección de información registrada erradamente en Imagine</t>
  </si>
  <si>
    <t>SIN ASIGNAR</t>
  </si>
  <si>
    <t>MDSB-660738 Error en generación de plano ARPTRAD</t>
  </si>
  <si>
    <t>Ajustar recepción del archivo de acuerdo a la nueva estructura.</t>
  </si>
  <si>
    <t>* 10/10/2024 Se cancela jira de incidencia MDSB-660738, Pendiente que Bolívar radique el  requerimiento con el  histórico de trabajadores para la  actualización en  imagine.</t>
  </si>
  <si>
    <t>DETALLE DE LAS  IMÁGENES COBRADAS (Estadistico de facturación)</t>
  </si>
  <si>
    <t>Modificación en la copia de información del fs al S3</t>
  </si>
  <si>
    <t>Hacer un script para cambiar la forma en que se están copiando las imágenes</t>
  </si>
  <si>
    <t>13/01/2025 termina el script  pero se deben realizar algunas modificaciones…
14/01/2025 La implementación se podra realizar hasta que aws defina si hay otra manera de ejecutarlo.</t>
  </si>
  <si>
    <t>Vulnerabilidad DDS- DOS de portales (denegación de servicio distribuido)</t>
  </si>
  <si>
    <t>14/01/2025 continua con la implementación, se estima 2 semanas.
15/01/2025 continuara con la  implementación.</t>
  </si>
  <si>
    <t>Validación de incidentes en cargue de envios en produccion</t>
  </si>
  <si>
    <t>06/02/2025 Continua con ajustes.
07/02/2025 Implementar otra opcion para ejecutar la  linea de codigo  para la creacion de casos usar las funciones  exec y system.
10/02/2025 paso a produccion los ajustes el 7 de febrero, pero hoy reportan nuevamente problemas al generar los  casos al parecer es problema de  cron tab.</t>
  </si>
  <si>
    <t>API, peticiones GET generan errores en el CloudFront (Recobros)</t>
  </si>
  <si>
    <t>Solicitar a bolivar permisos para hacer las peticiones GET en ambientes bajos</t>
  </si>
  <si>
    <t>11/12/2024 se reaiza solicitud de permisos bajo el  jira MDSB-724459
12/12/2024 A no se optine  respuesta a la  solicitud.
30/12/2024 Ajustar el host viirtual</t>
  </si>
  <si>
    <t>Implementación del host virtual  (1 Dia)</t>
  </si>
  <si>
    <t>07/01/2025 el sitio de desarrollo no esta funcionando  por tanto se escala  jira  reportando la incidencia.
10/01/2025  el dominio es tabien  creado solo que esta apuntado a una IP que no debe ser, Se escala jira  MDSB-740596 para actualizar el registro 
13/01/2025 Validar si la ectualizacion requerida ya ha sido resuelta.
22/01/2025 dan respuesta al  jira MDSB-738879 indicando que el acceso a dev ha quedado  habilitado.
23/01/2025 genera error en la implementacón, se debe validar que tipo de rerror es 
27/01/2025 Hoy  Wilson y Danilo validaran el error originado al enviar la peticion desde  Postman a Imaginex.
28/01/2025 En pruebas se identifican problemas en el cifrado externo, se solicita a Redes la verificacion del dominio bajo en jira MDSB-751187
29/01/2025 Radicar jira a infraestructura  para  validación del error..
30/01/2025 validar si es posible  cambiar el metodo..
14/02/2025 Quedo ajustado los errores.</t>
  </si>
  <si>
    <t>Ajustar archivo de pagos (reembolsos)</t>
  </si>
  <si>
    <t>27/01/2025 entregar a Jenry para subir aproduccion 
28/01/2025 Organizar botones en la  gestion (Organizando la logica del archivo)
29/01/2025 se pasara a produccion corriendo archivo con filtro para las pagadas y se actualizara test.
30/01/2025 Falta correr los rechazon, Glosas parciales y bolivar validara los de check para correlos.
31/01/2025, El 30 de enero se sube reporte glosa parcial, Pendiente los  rechazos
07/02/2025 Cambio de la logica del flujo  para dejarlo en analista ( rechazos), se pasara hoy al sitio para vallidación 
10/02/2025 se pasara hoy a produccion  y se validara con Jenry.
11/02/2025  se pasara hoy a produccion,
12/02/2025 se subira a produccion.
13/02/2025 Pendiente resolucion de dudas, sesion 9:30 am.
14/02/2025 se deben realizar difrentes cambios  para que reciba primero un documento y luego el otro.
17/02/2025 archivo listo para  pasar a produccion con los cambios  realizados.
18/02/2025 Se corrige carta de  devoluciones.</t>
  </si>
  <si>
    <t xml:space="preserve"> MDSB-764326 incluir a CC 1019137718 Laura Pinzón en  el tablero de efectividad de Servicio - Acogida y Cercanía</t>
  </si>
  <si>
    <t>19/02/2025 Usuaria incluida en el tablero, pendiente que registren los casos pendientes y cerrados.</t>
  </si>
  <si>
    <t xml:space="preserve"> MDSB-758207 error en consulta de trabajadores para El trabajador CC 382286 </t>
  </si>
  <si>
    <t>19/02/2025 pendiente ajustar empresa asignada al caso 30375027</t>
  </si>
  <si>
    <t>MDSB-756755   error en consulta de trabajadores para El trabajador CC  Martha Liliana</t>
  </si>
  <si>
    <t>19/02/2025 pendiente ajustar empresa asignada al caso 30313251</t>
  </si>
  <si>
    <t>Radicación de facturas con zip con subcarpetas</t>
  </si>
  <si>
    <t>19/02/2025 En pruebas.</t>
  </si>
  <si>
    <t>Copiar paginas, rutas de yii  que se pasaran a  laravel para  posterior enliminacion</t>
  </si>
  <si>
    <t>Alistar requerimiento  para pasar a produccion</t>
  </si>
  <si>
    <t>10/02/2025 Se debe realizar el paso a produccion.
11/02/2025 Se realiza paso a produccion 10 de febrero, y se validaran hallazgos en validacion de funcionamiento</t>
  </si>
  <si>
    <t>268 Casos que en el informe indica que no son  de AFIN y que en realidad si lo son</t>
  </si>
  <si>
    <t>21/02/2025 Los caso reportados en informe de medicamentos como no AFIN, en la validación  se identifican que si son de AFIN, la radicacion de estos  casos no se concluto por un error de correo presentado el dia 12 y 13 de  febrero, los casos seran borrados ya  que los usuario realizaron una segunda radicación de forma efectiva.</t>
  </si>
  <si>
    <t>No permite la gestionar la devolucion (Validar error de adjunto)</t>
  </si>
  <si>
    <t>12/02/2025 Revisando error de adjuntos ya que en la devolución no hay adjuntos.
14/02/2025 Continua con la validación, Se valido el codigo y esta bien.</t>
  </si>
  <si>
    <t>Error 500 al  reasignar desde usuario Internet.</t>
  </si>
  <si>
    <t xml:space="preserve">Caso 30432276 radicado sin numero de cedula y nombres, Nuevo caso30470385 </t>
  </si>
  <si>
    <t>14/02/2025 se identica que son casos que se estan radicando dobles y el duplicado radica sin algunos  datos.
18/02/2025 reportan nuevo caso 30470385  
19/02/2025 se implementara una condicional en portales  para la validacion de campos vienen al  crear al caso.
20/02/2025 se suben ajustes a prd el 19 de febrero</t>
  </si>
  <si>
    <t>Nuero de contacto no salio en la atorizacion  total, caso 30431258.</t>
  </si>
  <si>
    <t>Otorga permisos de consulta a 468 usuarios de medicamentos.</t>
  </si>
  <si>
    <t>13/02/2025 Se le asignan permiso de consulta a los 468 usuarios.</t>
  </si>
  <si>
    <t>Correo AFIN se esta enviando sin datos y sin adjuntos.</t>
  </si>
  <si>
    <t>Caida ambiente de desarrollo</t>
  </si>
  <si>
    <t>24/02/2025 cuando se sube el servicio de phppm, depende de unos directorios, de unas carpetas, y había una de esas carpetas que no estaba creada, o se había Borrado, Tocó crearlo, otorgarle permisos y subir nuevamente el servicio</t>
  </si>
  <si>
    <t>MDSB-757942 radicado 30954156  asociado a sisalud 7532107 no se encuentra.</t>
  </si>
  <si>
    <t>11/02/2025 el caso aparece en la  tabla Rad_solicitudes si aparece el  caso pero en la  tabla red_incapacidades no esta el  caso.
12/02/2025 Se buscara el ID del caso para buscar la  información  para  hacer la  insersion.
14/02/2025 a un no se ha encontrado la causa de la desaparicion del caso, se solicita que se revise con la usuaria si al momento de radicar sele presento algun error o si se pueden obtener la  imagenes para radicar el caso manual.
24/02/2025 : Edison envia la  imagen de la incapacidad para  crearla de nuevo en el  portal
25/02/2025: Tras realizar diversas validaciones no se evidencian las causasde la desaparicion del caso, la sra Nini sabogal  nos informa que la empresa radicó el caso 30968621, generando el radicado 7585377 y dejando como glosado el 7532107, lo que permite dar continuidad a la gestión.</t>
  </si>
  <si>
    <t>Consulta de casos antiguos en el nuevo portal</t>
  </si>
  <si>
    <t>EN PRODUCCIO</t>
  </si>
  <si>
    <t>19/02/2025 ya se pueden consultar los casos antiguos,  falta mostrar adjuntos y detalle de trazabilidad..
20/02/2025 Ya se pueden ver los casos y adjuntos, pendiente mostrar la trazabilidad.
21/02/2025 Se encuentra en finalización de configuraciones esenciales para la consulta de casos antiguos de medicamentos en el nuevo portal, se estima implementar esta consulta en producción el 21 de febrero
24/02/2025 El 21 de febrero se sube a produccion</t>
  </si>
  <si>
    <t>Pruebas en test MDSB-707440 - Portal Reembolsos ARL</t>
  </si>
  <si>
    <t>25/02/2025 Se finalizan las pruebas confirmando que el sistema cumple con los criterios establecidos en aspectos clave como la validación de solicitudes, la inscripción y modificación de cuentas bancarias, la carga de adjuntos y la consulta de casos.</t>
  </si>
  <si>
    <t>No se evidencia trazabilidad y detalle en los  casos 30499547 - 30378640 de medicamentos.</t>
  </si>
  <si>
    <t>FINALIZADA</t>
  </si>
  <si>
    <t>25/02/2025 Se encuentra en validación de la  incidencia.
26/02/2025 La incidencia ha quedado solucionada, se presento por temas de cache.</t>
  </si>
  <si>
    <t>Ajustes informe Reembolsos Salud</t>
  </si>
  <si>
    <t>26/02/2025: Se ajusta informe para que muestra la  última fecha de gestión del analista o del auditor.
27/02/2025: Se subira a test para realizar entrega al cliente.
28/02/2025: Se realiza entrega de ajustes del informe al cliente en el ambiente de producción</t>
  </si>
  <si>
    <t xml:space="preserve">Ajustar Caso 30521678: Asignado a usuario internet sin trazabilidad 
</t>
  </si>
  <si>
    <t xml:space="preserve">28/02/2025: Validar porque si dos personas tienen igual cantidad de casos, no se asigna ninguno. Planea ajustar el query para asignar a cualquiera en caso de empate.
</t>
  </si>
  <si>
    <t>Crear manual doble factor de autenticación en Laravel dev</t>
  </si>
  <si>
    <t>24/02/2025 Al momento de ingresar al ambiente dev, indica que el servicio no está disponible,Se le notifica a Jesús para la solución.
26/02/2025 Se realiza entrega del manual a Liyibet y Jenry, se recibe retroalimentación para  ajustes.
27/02/2025: Se incluyen requicitos previos antes de activar el doble factor de autenticación
28/02/2025: Se incluyen requicitos previos antes de activar el doble factor de autenticación, y se realizara envio del manual al cliente.</t>
  </si>
  <si>
    <t xml:space="preserve">Caso 30965971: Incapacidades inexistentes
</t>
  </si>
  <si>
    <t xml:space="preserve">28/02/2025: Del area de incapacidades reportan un caso que no existe al consultarlo en el aplicativo, Se debe destinar un buen tiempo para su validacion.
03/03/2025: Se recupera el caso y se realiza un cambio (eliminar o comentar el "delete") para evitar que se pierdan incapacidades al pasar entre actividades.
</t>
  </si>
  <si>
    <t>Ajustar aplicación Nativo en local:</t>
  </si>
  <si>
    <t>24/02/2025: Al descargar el repositorio encontro cinco archivos de de 472 de nativo que tienen un signo de interrogación y requiere renombrarlos.
25/02/2025 Continua la organización del sitio, se estima que este listo para el 25 de febrero.
25/02/2025 Se descargar el repositorio haciendo que Git ignorara los archivos con problemas, Se instalaran los Composer para poder iniciar con las tareas de Nativo.
26/02/2025:En actualización de la  base de datos con las tablas nuevas
27/02/2025: Continua con la actualizacion de la base de datos.
28/02/2025: creó nuevos campos y tablas, estabilizando hasta la vista de informes sin errores en local.
03/03/2025: El viernes no hubo avance debido a que a que se dedico a validar los incidentes  reportados por medicamentos, hoy continuara  con el desarrollo
04/03/2025: Estabilizó Nativo en su local, creando 50 casos de prueba para generar datos y validar informes; ya está completamente funcional en su entorno.</t>
  </si>
  <si>
    <t xml:space="preserve">Manual bitacora de pensiones </t>
  </si>
  <si>
    <t xml:space="preserve">27/02/2025: Inicia con el desarrollo
03/03/2025: Se finaliza manual y se realiza envio al cliente. </t>
  </si>
  <si>
    <t xml:space="preserve">Manual boton de devolución </t>
  </si>
  <si>
    <t xml:space="preserve">28/02/2025: Se iniciara al finalizar manual de Bitacora
03/03/2025 Se finaliza elaboración de manual de usuario y se entrega a Liyibet. </t>
  </si>
  <si>
    <t>Enviar informacion a cristian de la devolucion  de actividades.</t>
  </si>
  <si>
    <t>Control de cambios test  MDSB-772562 para  Req  GD772-83  GD772-85</t>
  </si>
  <si>
    <t>03/03/2025 Se escala control de cambios, Control ejecutado con éxito</t>
  </si>
  <si>
    <t>MANUAL FLUJO DE ENVÍOS MASIVOS EN IMAGINE</t>
  </si>
  <si>
    <t>13/02/2025 se inicia la elaboracion del manual con las tipologias ajustadas en el requerimiento de comunicados de cartera.
25/02/2025 se estima entrega el 26 de febrero.
26/02/2025 Se realiza envio del  manual a Liyibet para su validación y aprobación.</t>
  </si>
  <si>
    <t>Escalar control de cambios en test para Req de doble factor de autenticación (MDSB-768688)</t>
  </si>
  <si>
    <t xml:space="preserve">24/02/2025 El control de cambios quedó escalado bajo el Jira MDSB-768688, Pendiente la creación del req caja de parte de Bolívar para asociarlo al control de cambios y que QA pueda aprobarlo
28/02/2025: Pendiente de parte de Bolivar la creacion del requerimiento caja 
03/03/2025 : El dia viernes 28 de febrero  Bolivar crea el requerimiento caja GD772-87 para adjuntarlo al control de cambios en test y continuar con el proceso.
04/03/2025: Control de cambios MDSB-768688 se encuentra en estado aprobacion QA de Bolivar, Se solicita gestion para la aprobación. </t>
  </si>
  <si>
    <t>Opcion de devolucion de actividades ( Pensionados)</t>
  </si>
  <si>
    <t>DEVOLUCION DE ACTIVIDAD (Sin actividades paralelas AVISADO Y JURIDICO)</t>
  </si>
  <si>
    <t>31/01/2025 Se subira a test para pruebas, se requiere enviar a Jesus listado de tipologias paralelas.
04/02/2025 Incluir  actividades paralelas
04/03/2025: Hoy se realizara paso del desarrollo al ambiente productivo
05/03/2025: Pendiente pasar a producción la devolución de actividades en pensionados, planeado para hoy.
05/03/2025;Se realiza paso a produccion.
06/03/2025: : Ayer subió a producción la devolución de casos en pensionados; probarán hoy un caso pendiente y entregarán resultados el viernes a Cristian.</t>
  </si>
  <si>
    <t>Abrir fljujo caso 30527802 PREAUTORIZACIONES POLIZA SALUD - Analista (incluido en reporte de casos con una sola actividad.</t>
  </si>
  <si>
    <t>05/03/2025: Se reportó un caso de salud en radicación sin avanzar; requiere añadir trazabilidad al flujo, pero Jesús desconoce el proceso exacto que realizaba Joan, se validará con Liyibet.
05/03/2025: Se abre flujo del caso reportado.
06/03/2025: Ayer abrió urgentemente la trazabilidad de un caso de Nativo que estaba solo en radicación, resolviéndolo en la tarde.</t>
  </si>
  <si>
    <t>Ajuste de error al descargar facturas de Birc</t>
  </si>
  <si>
    <t>07/03/2025 : Resolvió un error en la descarga de facturas de Birc cambiando el consumo, y ya funciona correctamente.</t>
  </si>
  <si>
    <t>Colocar manual en video en el portal de facturas</t>
  </si>
  <si>
    <t>07/03/2025: Tiene pendiente subir un video manual al portal de facturas, además de atender unas incidencias recientes.
10/03/2025 : Manual quedo en produccion el 7 de marzo.</t>
  </si>
  <si>
    <t xml:space="preserve">MDSB-775090 Revisar error en infrome de de seguimiento x actividad en nativo </t>
  </si>
  <si>
    <t>06/03/2025 : Presenta error en las fechas arrojadas en el informe y solicitan validacion urgente por motivos de auditoria a Bolivar.
07/03/2025: Hoy revisará un error en un informe de Nativo por un formato de fecha incorrecto que afecta cálculos de horas.
10/03/2025: El error fue solucionado el 7 de marzo, el error se debio a registros con fechas nulas que generaban un conflicto en el procesamiento del informe y se soluciono agregar una validación en el código para ignorar dichas fechas.</t>
  </si>
  <si>
    <t xml:space="preserve">https://github.com/Imaginesas/bolivar_migration/compare/hotfix/repararInformeArl?expand=1 </t>
  </si>
  <si>
    <t>Crear dos campos en nativo</t>
  </si>
  <si>
    <t>06/03/2025: Se debe validar con Jenry los campos que se deben adicionar.</t>
  </si>
  <si>
    <t>Revisar cargue de trabajadores en nativo que esta afectando la malla</t>
  </si>
  <si>
    <t>Revisar casos duplicados en informe viejos</t>
  </si>
  <si>
    <t>07/03/2025: Configuró tres informes (incluido el de Johanna) corrigiendo duplicados y errores de cantidades; se subirán a producción hoy a las 10 a.m.
10/03/2025: Ajuste desplegado a produccion el 7 de marzo</t>
  </si>
  <si>
    <t>https://github.com/Imaginesas/bolivar/compare/master...hotfix/estabilizacionMed02</t>
  </si>
  <si>
    <t>Informe de medicamentos ajustar según correo de  Johana</t>
  </si>
  <si>
    <t xml:space="preserve">06/03/2025: Se requiere adicionar y eleiminar campos en el informe de medicamentos.
10/03/2025: Ajuste desplegado a produccion el 7 de marzo, solo queda pendiente ajustar el nombre de la columna L a "Ciudad de residencia". </t>
  </si>
  <si>
    <t>Ajuste en la asignación de casos de Medicamentos( Creacion del Log)</t>
  </si>
  <si>
    <t>05/03/2025; el comando que se ejecuta en la noche (12:10 a.m.) no se ejecutó antes de anoche por posibles fallos del servidor o bloqueos, pero anoche sí funcionó. Añadirá logs para monitorearlo.
06/03/2025: El log ha sido creado y lo subira hoy a produccion.
07/03/2025: Creó un log para el comando de la noche de asignación de casos, que se subirá a producción hoy junto con otros cambios en la misma rama.
10/03/2025: Ajuste desplegado a produccion el 7 de marzo</t>
  </si>
  <si>
    <t>MDSB-777203 en la oficina virtual para autorizaciones   genera doble radicado para la misma tipología</t>
  </si>
  <si>
    <t>11/03/2025: Se confirma que la interfaz muestra un historial de radicaciones sin recargar la vista, lo que puede dar la impresión de que existen radicados duplicados, se concluye que no se trata de un error del sistema en la generación de radicados, sino de la forma en que se visualizan en la interfaz</t>
  </si>
  <si>
    <t>Ajuste en informe formato de hora en los campos gestión autorización y  total tiempo de autorización.</t>
  </si>
  <si>
    <t xml:space="preserve">11/03/2025: Cambio el formato de hora en el informe de medicamentos (de días y horas a solo horas),ajuste  desplegado hoy a produccion.
</t>
  </si>
  <si>
    <t>MDSB-753982  botón administrativo para poder asignar por malla</t>
  </si>
  <si>
    <t>06/03/2025: Este es un desarrollo que Jhoan Qiceno dejo en el ambiente Test el 11 de Febrero y el 12 de febrero se escalaron los controles de cambios para pasar aproduccion MDSB-762066 y MDSB-762083 los cuales estaban pendientes por aprobacion de Bolivar, fueron aprobados ayer 5 de marzo y estamos a la espere de que sean incluidos en el comite de control de cambios para su aprobacion final.07/03/2025
07/03/2025; Los controles de cambios fueron aprobados por el comite de cambios digitales y ejecutados con exito, se realizara despliege del codigo a produccion el lunes 10 de marzo.
11/03/2025: Jesus identifica la rama para realizar el paso a produccion  pero le presenta conflictos.
12/03/2025: Se realiza paso a produccion, se realiza sesion  para  validar errores en la asignación por malla y en la actualización de datos en producción. Se evidenció la necesidad de corregir mensajes incorrectos en la interfaz y mejorar la función que procesa las asignaciones. El equipo realizará pruebas locales y revisará permisos en producción para garantizar el correcto funcionamiento del sistema.
13/03/2025: Ayer desplegó en producción el ajuste de roles y permisos para asignación por malla, corrigiendo errores de campos distintos entre ambientes; ya está estable.</t>
  </si>
  <si>
    <t>AJUSTES  DE INFORMES DE PENDIENTES  Y  VOLUMENES  EN SALUD  DE NATIVO</t>
  </si>
  <si>
    <t>26/02/2025: Iniciara tan pronto finalice el ajuste del aplicativo Nativo en su equipo local
28/02/2025: Iniciara a trabajar en el informe mas complejo (Volumenes).
03/03/2025: El viernes no hubo avance debido a que a que se dedico a validar los incidentes  reportados por medicamentos, hoy continuara  con el desarrollo.
04/03/2025: Modificó el informe de volúmenes añadiendo fechas de inicio y fin, pero identificó un error en la tabla "Informe Gestión" que duplica datos al llenarse; no encontró el origen del llenado tras buscar en los ambientes y seguirá investigando.
05/03/2025: Reestructuró el informe de volúmenes, lo está probando en local y lo subirá a Dev hoy, pasando a Test si faltan datos reales.
06/03/2025: Planeaba subir los informes a producción hoy tras probar en local (50 casos creados), pero en Test y Develop no hay datos del negocio 2; solucionó un warning en producción y espera casos reales para validar
07/03/2025: Sube a produccion ajuste de informes el 6 de febrero
07/03/2025: Subió los informes a producción ayer a las 3:30 p.m., pero la vista sigue lenta (6,000 registros en la tabla); ajustará el orden de actividades para que la última (ej. cierre caso) aparezca al final, como en la trazabilidad del caso..
11/03/2025: Ajuste pendiente por pasar a produccion. 
13/03/2025: Ayer se despliego ajuste  del orden de actividades en el informes.</t>
  </si>
  <si>
    <t xml:space="preserve">https://github.com/Imaginesas/bolivar_migration/compare/master...hotfix/reportesParaProduccion?expand=1 </t>
  </si>
  <si>
    <t>GD772-91 Tipología sin flujo de radicación sisalud (Escalar dudas Reembolsos)</t>
  </si>
  <si>
    <t>06/02/2025 Se realizara sesion de entendimeinto del  req
07/02/2025 Pediente Sesion de entendimiento con Jenry, Iinicia  bajando el sitio Oficina vitual.
10/02/2025 continuara con las  estabilización del sitio
11/02/2025 Se inicia con el analisis y desarrollo del requerimiento.
12/02/2025 Detenido para solucionar error en solicitudes de cartera.
13/02/2025continua la creación de la tipologia y la gestion,
14/02/2025 Validar un archivo para la radicacion desde el portal e iniciara con la Gestion del flujo de la tipologia.
17/02/2025 Implementara la logica del  flujo
19/02/2025 falta pestaña de gestion.
20/02/2025 se estima hacer entrega en test.
21/02/2025 incluir consultas  para pasar a test, Se escala control de cambios en test. MDSB-767526
24/02/2025 control de cambios ejecutado pero presenta errores, se escala  un nuevo control de cambios MDSB-768725
25/02/2025 Se escala un nuevo control de cambios en test MDSB-769335, Control de cambios ejecutado con exito.
26/02/2025: El desarrollo correspondiente a la oficina virtual ya se encuenttra en test para realizar pruebas, y se continuara desplegandolo en Yii  para iniciar la creacion del flujo, se citara al  cliente  hoy 4 pm para motrar los avances
27/02/2025:Se encuentra en pruebas por Bolivar y se de el go para escalar el control de cambios a producion.
28/02/2025:Se encuentra en pruebas por Bolivar, Imagine queda al pendiente de el visto bueno para realizar el  paso a produccion.
03/03/2025: Se escala  control de cambios a produccion MDSB-772592.
04/03/2025 Imagine esta a la espera que Santiago cargue al requerimiento evidencias de pruebas para que el control de cambios continue su proceso.
06/03/2025: El control de cambios sigue pendiente de aprobación por QA; Santiago subió evidencias, y esperan la colaboración de Luz para avanzar en JIRA.
07/03/2025 ; Control de cambios MDSB-772592 aprobado por QA y se encuentra pendiente por aprobación de Aprobación PO / Usuario Final.
10/03/2025; El control de cambio se encuentra programado  para hoy al comité de cambios digitales
11/03/2025: El control de cambios para la nueva tipología ya se ejecutó; está listo para pasar a producción hoy.
12/03/2025: Realizara paso a producción al final de la tarde.
13/03/2025 : Se realiza paso a produccion ayer en la tarde,se notifica al  clente para  realizar pruebas funcionales.</t>
  </si>
  <si>
    <t xml:space="preserve"> Ajuste en descuadre glosa</t>
  </si>
  <si>
    <t xml:space="preserve">11/03/2025: bloqueará la edición del campo en el sistema para reflejar solo el valor exacto de la glosa previa, dejando ajustes posteriores en Access.
12/03/2025: 12/03/2025: El dia 11 de marzo se pausa desarrollo  ya que se encuentra trabajando en la presentación del modulo de facturas para Colmena
13/03/2025: Se encientra pendiente hasta finalizar los req GD772-85 Cambio en el 2do envio de EPS (Imprimir valores del IVA)  y GD772-72 Requerimiento Captura de datos e informe (Reembolsos).
14/03/2025: Reinicio los ajustes en la recepcion de la glosa y se va a hacer una corrección donde se editan los datos para que haga la validación de la cantidad.
17/03/2025: El viernes quedaron los ajustes en test, hoy se realizaran algunos ajustes para realizar el  paso a produccion.
18/03/2025: Se Ajustó ayer en la mañana una validación en producción para facturas con respuesta glosa y anticipo, corrigiendo descuadres (valor a pagar menos anticipo), ya que test no tiene datos suficientes.
</t>
  </si>
  <si>
    <t>Radicación de juntas</t>
  </si>
  <si>
    <t xml:space="preserve">17/03/2025 : Se propone implementar un cron para validar diariamente el grupo de Juntas, que falla sin causa clara, evitando depender de reportes externos; por ahora, se explorara  una consulta diaria mientras investiga la raíz del problema.
18/03/2025: Solucionó ayer un problema de radicación de juntas reportado por Liyibet, dejándolo resuelto.
</t>
  </si>
  <si>
    <t>Abrir flujo del caso 30588265 PREAUTORIZACIONES POLIZA SALUD - Analistas</t>
  </si>
  <si>
    <t>17/03/2025: El viernes realizo la apertura del flujo.
18/03/2025: Confirmó que el flujo del caso ya quedó abierto ayer tras revisarlo</t>
  </si>
  <si>
    <t xml:space="preserve"> MDSB-776307 Ajuste en envios masivos para las tipologias 3_comunicación Aviso Al Mintrabajo  y  constitucion en mora</t>
  </si>
  <si>
    <t>10/03/2025; Se debe validar porque en la carta de envio no se consolidad los trabajadores por periodos y muestra el desgloce de los trabajadores expuestos.
11/03/2025: Se realiza sesion con el cliente y se acuerda ajustar las notificaciones agrupando el total de trabajadores por periodo, ajuste en test para pruebas por Bolivar
13/03/2025: hoy el cliente probará en test para subirlo a producción tras validar.
14/03/2025: Se validó que las dos tipologías que presentaban error ya fueron corregidas. Sin embargo, al revisar el grupo completo de seis tipologías, se identificó una que aún no está agrupando correctamente. Se trabajará en su ajuste.
17/03/2025: El viernes corrigió una tipología de cargue masivo que fallaba desde hace meses; las 6 tipologías están bien en test, pendientes de subir a producción tras aprobación.
18/03/2025: Ayer se realiza paso a produccion de los ajustes tras aprobación  de Bolivar.</t>
  </si>
  <si>
    <t>Error en el cargue del archivo de trabajadores en imagine</t>
  </si>
  <si>
    <t xml:space="preserve">10/03/2025; Iniciara validacipon tan pronto termine con "El ajuste de envios masivos".
13/03/2025; Iniciara con la  validacion de errores.
14/03/2025: Se identificó y solucionó un error que desplazaba la información cuando había caracteres especiales como "ñ" o tildes. Se ajustó la decodificación para evitar este problema, e continuará trabajando en los otros dos problemas detectados en el proceso de carga.
17/03/2025: Continuara con las validaciónes tras terminar  MDSB-780227 Duplicación de actividades en Nativo.
18/03/2025: Ayer añadió una función para actualizar el estado (Activo/Retirado) de acuerdo al archivo que se cargue en imagine y revisó la actualización del NIT en el los casos; duda entre dos NIT en la tabla WF Radicación (NIT y NIT_empresa), y espera reunión para definir lógica antes de subir a test.
19/03/2025: Ayer probó con Fabio los dos primeros puntos en test (funcionan bien); para el tercer punto (actualización del NIT de empresa), propone un comando separado para evitar sobrecargar el cargue directo, ya que actualizar miles de registros en tablas relacionadas es pesado..
20/03/2025: Ayer revisó con Fabio el flujo en Nativo (correcto) y encontró en Yii un error por falta de "order by", trayendo la primera empresa en lugar de la última; lo corrigió, hoy a las 10 a.m. se paso a produccion  y se ralizaron pruebas  las cuales fueron exitosas. 
</t>
  </si>
  <si>
    <t xml:space="preserve">Errores en imágenes de facturas </t>
  </si>
  <si>
    <t>25/03/2025:  El viernes resolvió un problema con imágenes de las facturas ya que generaba un error al digitar.</t>
  </si>
  <si>
    <t>Ajuste de casos con error en nombre de empresa al radicar</t>
  </si>
  <si>
    <t xml:space="preserve">25/03/2025 : El viernes por la tarde se actualizó el NIT de empresa de 5 casos en Imagine reportados como erróneos; ya está resuelto
</t>
  </si>
  <si>
    <t>Vulnerabilidades - Cookie without HttpOnly flag set   Y   Cookie without Secure flag set</t>
  </si>
  <si>
    <t>18/03/2025 Tras entregar Radicación Express a Jenry, se dedicará a temas de seguridad, priorizados con fechas específicas
19/03/2025:  Ayer trabajó poco en vulnerabilidades, avanzó algo pero no lo terminó; hoy priorizará otras tareas antes de retomarlo.
20/03/2025:Ayer trabajó en estas vulnerabilidades, enfrentó inconvenientes y no las terminó; sigue en proceso sin avances significativos reportados hoy.
21/03/2025: Ayer implementó ambas vulnerabilidades y hoy las subirá a test; planea avanzar en otras vulnerabilidades, revisando las de alta prioridad para priorizarlas.
25/03/2025: mplementadas el viernes, pero no subidas a test; hoy las subirá junto con Weak Ciphers y mostrará cómo probarlas.
26/03/2025: Ayer subio la impementación a produccion.</t>
  </si>
  <si>
    <t xml:space="preserve">MDSB-752092 Error en el flujo de la tipología Dictamen PCL AFP y COMUN, y Acta de ejecutoria </t>
  </si>
  <si>
    <t>25/03/2025: Iniciará hoy la validación del comportamiento de estas tipologías.
26/03/2025: Ayer identificó y solucionó un error en la asignación de usuarios (campo "Tipo de asignación" no se llenaba como "Flujo"); ya está resuelto.</t>
  </si>
  <si>
    <t>MDSB-770809 La tipología Dictamen Jrci - Drummond asigna directamente desde buzón sin estar incluida en el lector de correos .</t>
  </si>
  <si>
    <t>25/03/2025 Iniciara tan pronto  termine con MDSB-752092 Error en el flujo de la tipología Dictamen PCL AFP y COMUN, y Acta de ejecutoria.
26/03/2025: Validó el código con Jairo, no encontró errores en la asignación; se identificó que fue asignada manualmente.</t>
  </si>
  <si>
    <t xml:space="preserve">Error en el asunto en la respuesta del caso 30690847 </t>
  </si>
  <si>
    <t>27/03/2025: No lo revisó ayer; lo hará hoy tras subir Malla CUPS a test.
28/03/2025: Ayer encontró que el módulo de correos (hecho por Jairo) falla por asuntos no obligatorios en tablas de Nativo; propone validar y usar un asunto por defecto, Al intentar a justar el caso se evidencia que el caso fue anulado por el usuario.</t>
  </si>
  <si>
    <t>Vulnerabilidades - Misconfigured Access-Control-Allow-Origin Header .</t>
  </si>
  <si>
    <t>28/03/2025:  Hoy continuará con esta vulnerabilidad si el control de cambios de Autorizaciones Médicas no se ejecuta; de lo contrario, priorizará pruebas de GD772-92.
31/03/2025: El viernes resolvió esta vulnerabilidad y la mostró a Fabio; ya está en producción, aunque las pruebas externas fueron complicadas y se hicieron internamente.</t>
  </si>
  <si>
    <t>Adicionar actividad devolución mail caso 30256921</t>
  </si>
  <si>
    <t>28/03/2025:Reportado por Leidy, el caso no activó la actividad de devolución tras una respuesta devuelta; lo abrirá hoy; La actividad quedo incluida.</t>
  </si>
  <si>
    <t>MDSB-788329 usuario Medicos Gici no permite realizar reasignación por tipologia.</t>
  </si>
  <si>
    <t>31/03/2025: Se identifica  que el usuario no tenia  el rol actualizado en la tabla de  usuarios.</t>
  </si>
  <si>
    <t xml:space="preserve">23/01/2025 Inicio de pruebas  para  pasar a test
31/01/2025 entregado a prubas Bolivar
26/03/2025: Bolivar requiere pasarlo a produccion y ocultar la opcion en el portal hasta que ellos lo indiquen
27/03/2025: Bolívar pidió ayer desplegarlo a producción con la pestaña oculto hasta que indiquen habilitarlo; es viable, se confirmara fecha de despliegue. 
28/03/2025: Listo para producción con botón oculto (solicitado por Bolívar); hoy revisará el código y rama para asegurar el despliegue.  
03/04/2025: ayer en la tarde Se realiza paso a produccion de acuerdo a la  indicación del cliente. </t>
  </si>
  <si>
    <t>https://github.com/Imaginesas/portales/compare/master...hotfix/juntasFase1?expand=1</t>
  </si>
  <si>
    <t>GD772-92 - Malla CUPS en Nativo</t>
  </si>
  <si>
    <t>GD772-92 Lectura de Autorizaciones Médicas con IA</t>
  </si>
  <si>
    <t>25/03/2025: Planea iniciar después del mediodía la validación  de como integrar con la Malla CUPS de Jesús, explorando el reconocimiento de documentos con IA. 
26/03/2025: Inició ayer y avanzó; hoy seguirá trabajando para mostrar progreso si no hay bloqueos. 
26/03/2025: Se escala control de cambios a test MDSB-787009 para la creación de un  trigger.
27/03/2025: Ayer trabajó en modificaciones para leer documentos al insertar solicitudes, solicitó el control de cambios MDSB-787009 para un trigger; coordinó con Jesús la URL para integrar CUPS, y hoy implementará y desplegará a test si se aprueba el control.
28/03/2025: Ayer terminó el consumo del endpoint, pero no puede probar hasta que se ejecute el control de cambios MDSB-787009; hoy espera su aprobación para desplegar a test y realizar pruebas.
01/04/2025 : Control de cambios MDSB-787009 aplicado, iniciara  con el paso a test e iniciar pruebas.
02/04/2025: Se realizaron cambios en la implementación de un servicio, se creó un nuevo servicio que utiliza un token de autenticación a través de Nativo.
03/04/2025: Ayer subió el cambio a test; tras aprobación del cliente, solicitó el control de cambios MDSB-790997 en producción para crear el trigger y avanzar al paso final.  
04/04/2025: Pendiente pruebas de Bolivar para continuar el avance del control de cambios.
07/04/2025: Pruebas adjuntas al  requerimiento y control de cambios MDSB-790997 pasa a Aprobacion QA de bolivar
09/04/2025: Ayer se desplegó a producción sin problemas; hubo una confusión con códigos de tipologías, ajustada con Jesús y Danilo en 5 minutos hoy; queda cerrado tras seguimiento.
10/04/2025:Ayer ajustó la lógica para que deje de leer un caso tras extraer el CUPS y pase al siguiente; el cambio se subió, validó durante el día y está en producción</t>
  </si>
  <si>
    <t>GD772-85 Cambio en el 2do envio de EPS (Imprimir valores del IVA)</t>
  </si>
  <si>
    <t>26/02/2025: se encuentra pendiente hasta terminar el req GD772-82 Tipología sin flujo de radicación sisalud y GD772-83 Boton Glosa parcial del total de la factura.
28/02/2025:está avanzado y listo para pruebas, pero tiene una duda sobre glosa parcial  ¿Cómo se trabajaría? ¿Qué se debería hacer? que resolverán en la reunión de hoy a las 11 a.m.
03/03/2025: El viernes 28 de febrero se aclaran dudas para lo cual se escala control de cambios en test MDSB-772562.Control ejecutado con exito
04/03/2025: Tras la ejecucion exitosa del control de cambios hoy trabajara en la estabilizacion en test logrando su finalizacion. 
05/03/2025: Está listo para pasar a test con validaciones de IVA, descuentos y glosas, ajustado para no exceder valores pagados o glosados, y se probará con Jenry generando archivo JSON.
06/03/2025: Está haciendo cambios para el IVA y JSON en test, pero detectó un fallo (busca 31 columnas cuando son 33), y planea resolverlo hoy con Jenry.
07/03/2025: Terminó el requerimiento en test y ayer hizo pruebas con Jenry, quedando listo para probar con el cliente.
11/03/2025: Pendiente agendamiento de sesion para realizar pruebas con el cliente.
13/03/2025: Está listo para pruebas en conjunto con el cliente a las 11 a.m., esperando que todo funcione bien tras preparativos de ayer.
14/03/2025; Se realiza presentación delrequerimiento al cliente y surge una  pequeña corrección en las tarifas del IVA, la cual fue ajustada en la tarde.
17/03/2025:Esta a la  espera  de envio de parte del cliente el envio de data  para realizar nuevamente las pruebas.
18/03/2025: Está listo para mostrar hoylos ajustes, pero no hay servicio en test, lo que podría afectar la presentación.
19/03/2025: Hay una reunión hoy con EPS, pero no enviaron escenarios; se mostrará lo disponible en test, esperando que Karol tenga acceso para presentarlo.
20/03/2025: Ayer no se mostró la información. Bolivar tenía la tarea de enviar escenarios para crear facturas, pero los envió justo antes de la reunión.Jairo se comprometió a entregarlos el martes, pero hoy habrá otra reunión para ajustarlos, ya que incluían solo procedimientos glosados o con IVA, generando glosas incorrectas.
26/03/2025:  Ayer organizó facturas y realizó una prueba exitosa con el cliente; hoy hay otra reunión con EPS para radicar glosas (últimos escenarios), y estaría listo tras eso.
27/03/2025: Ayer no hubo pruebas por falta de acceso  a test del usuario de bolivar (sin permisos de IP).
01/04/2025 : se espera  confirmación de despliegue a produccion para soicitar control de cambios.
03/04/2025:  Pendiente de respuesta de Bolívar sobre las pruebas, retrasadas por visita de la Superintendencia; sigue en espera.
09/04/2025: 09/04/2025: Se escala control de cambios MDSB-794007 a producción
10/04/2025: Ayer se aprobo el control de  cambios  MDSB-794007 y se ejecutara hoy a las 4 pm.
11/04/2025: Ayer pasó a producción junto con glosas parciales; Santiago fue notificado de los cambios.</t>
  </si>
  <si>
    <t>GD772-83 Boton Glosa parcial del total de la factura (El boton debe  permitir seleccionar cups para realizar glosa general)</t>
  </si>
  <si>
    <t>24/02/2025:Se encuentra hecha la tabla con los checks.
25/02/2025 : Inicia con la lógica para colocar botones en los campos read-only para que solo se editen según la tabla, y realizara pruebas de los checks que funcionen de manera dinamica.
26/02/2025 :Se encuentra en la ejecucion de las devoluciones y despejando algunas  dudas..
27/02/2025: Se realizara  paso a test  y solicitara sesion con el cliente para la entrega.
28/02/2025: Requerimiento en ambiente test, pendieinte que Bolivar de el espacio para realizarles la entrega.
03/03/2025: Se realiza entrega a Bolivar el 28 de febrero donde solicitan una modificación  en el descuento  para lo cual se debe realizar un cambio en la logica y se escala control de cambios en test MDSB-772562, Control aejecutado con exito
04/03/2025: Tras la ejecucion exitosa del control de cambios hoy trabajara en la estabilizacion en test logrando su finalizacion.
07/03/2025: Terminó el requerimiento en test quedando listo para probar con el cliente
05/03/2025: Se fusionó con GD772-85 (2do envío de EPS) para un desarrollo conjunto
06/03/2025: Ayer trabajó en el tema de glosas, pero en test aparece un error por columnas no encontradas en la base de datos, por lo que necesita corregirlo.
07/03/2025:Terminó el requerimiento en test  quedando listo para probar con el cliente.
11/03/2025: Está en test, vinculado con el req Cambio en el 2do envio de EPS; se espera la validación de la usuaria.
14/03/2025: A la espera del agendamiento de la sesion de parte del cliente para realizar la entrega.   
02/04/2025:Adiciono funcionalidad a las glosas de ARL
03/04/2025: Pasó a test la funcionalidad de seleccionar CUPS para glosa general en ARL; no se mencionan pendientes adicionales.
09/04/2025: Se escala control de cambios MDSB-794007 a producción
10/04/2025: Ayer se aprobo el control de  cambios  MDSB-794007 y se ejecutara hoy  a las 4 pm.
11/04/2025: Ayer pasó a producción con req GD772-85 IVA</t>
  </si>
  <si>
    <t>GD772-61 Manejo de IVa Facturas EPS (Incluye req GD772-72, GD772-85 y GD772-83 )</t>
  </si>
  <si>
    <t>09/04/2025: Se escala control de cambios MDSB-794007 a producción, se estima aprovacion hoy de comité de control de cambios, en este control de cambios se incluyen los cambios de los  req GD772-72, GD772-85 y GD772-83.
10/04/2025: Ayer se aprobo el control de  cambios  MDSB-794007 y se ejecutara hoy  a las 4 pm.
11/04/2025:Control de cambios ejecutado con exito y se realiza despliegue a produccion.</t>
  </si>
  <si>
    <t xml:space="preserve">MDSB-767213 Error en corrección de número de documento del caso (Nativo) </t>
  </si>
  <si>
    <t>03/04/2025: Revisó el error; el módulo de correcciones actualiza la razón social pero no el NIT; implemento solucion en local está haciendo pruebas para validar hoy en test.
04/04/2025: Ayer se ajustaron una funciones en el codigo que no permitian la actualizacion del cambio de nit, falta  revisar  una tipologia "Viaticos" radicada desde el portal que a un no esta tomando los  cambios implementados.
07/04/2025: Pendiente revisar  una tipologia "Viaticos" radicada desde el portal que a un no esta tomando los  cambios implementados.
10/04/2025: falta ajustar la lógica para la tabla de valores en otras tipologías; planea terminarlo hoy antes de las 10 a.m.
11/04/2025: Incidencia  ajustada y finalizada</t>
  </si>
  <si>
    <t>MDSB-753982</t>
  </si>
  <si>
    <t>botón administrativo para poder asignar por malla</t>
  </si>
  <si>
    <t>EN CONTROL DE CAMBIO PRD</t>
  </si>
  <si>
    <t>04/02/2025 Creando administrador de permisos para la vista de la asignación
05/02/2025 se en etregara  jueves 6 de febrero, detenido 
05/02/2025 Se detiene hasta resolver incidencias de comunicados de cartera en Prd.
10/02/2025 Se escalan controles de cambios a test (MDSB-760269  y MDSB-760283)
11/02/2025 Controles ejecutados correctamente, se realiza despliegue a test.
11/02/2025 pruebas exitosas en test, al pendiente de que Santiago relice las pruebas y de el go para paso a producción,
12/02/2025: Santiago adjunta evidencias de las pruebas en test y se escalan control de cambios a produccion MDSB-762066 y MDSB-762083, pendiente aprobacion de Santiago para que continue el proceso.
20/02/2025: QA de bolivar realiza aprobacion de los controles y  Santiago prieto realiza aprobación de PO, quedando pendiente  por aprobación de Jefatura de desarrollo de Bolivar (Juan David León Sánchez).
06/03/2025: Jefatura de desarrollo de Bolivar (Juan David León Sánchez) realiza aprobación  de control de  cambios.</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</si>
  <si>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</si>
  <si>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</si>
  <si>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</si>
  <si>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</si>
  <si>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</si>
  <si>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</si>
  <si>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</si>
  <si>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</si>
  <si>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</si>
  <si>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</si>
  <si>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</si>
  <si>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</si>
  <si>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</si>
  <si>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</si>
  <si>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</si>
  <si>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</si>
  <si>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</si>
  <si>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</si>
  <si>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</si>
  <si>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</si>
  <si>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</si>
  <si>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</si>
  <si>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</si>
  <si>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</si>
  <si>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</si>
  <si>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</si>
  <si>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</si>
  <si>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</si>
  <si>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</si>
  <si>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</si>
  <si>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</si>
  <si>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</si>
  <si>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</si>
  <si>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</si>
  <si>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</si>
  <si>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</si>
  <si>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</si>
  <si>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</si>
  <si>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</si>
  <si>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SI</t>
  </si>
  <si>
    <t>no (Dia de la familia)</t>
  </si>
  <si>
    <t>No hubo sesion</t>
  </si>
  <si>
    <t>NO</t>
  </si>
  <si>
    <t xml:space="preserve">No hubo sesión </t>
  </si>
  <si>
    <t>NO HUBO SESION</t>
  </si>
  <si>
    <t>NO HAY SESION</t>
  </si>
  <si>
    <t>Vacaciones</t>
  </si>
  <si>
    <t>No hobo sesion por caida de los sitios.</t>
  </si>
  <si>
    <t>Dia de la familia</t>
  </si>
  <si>
    <t>Falla electrica</t>
  </si>
  <si>
    <t>LUIS BEDOYA</t>
  </si>
  <si>
    <t>SIN INTERNET</t>
  </si>
  <si>
    <t>JOHAN QUICENO</t>
  </si>
  <si>
    <t>Permiso</t>
  </si>
  <si>
    <t>sin internet</t>
  </si>
  <si>
    <t>TRABAJO HASTA HOY</t>
  </si>
  <si>
    <t>JENRY HENAO</t>
  </si>
  <si>
    <t>LIYIBET PEREZ</t>
  </si>
  <si>
    <t>nomina</t>
  </si>
  <si>
    <t>NOMINA</t>
  </si>
  <si>
    <t>Fecha  Caida</t>
  </si>
  <si>
    <t>Hora Inicio</t>
  </si>
  <si>
    <t>Hora Fin</t>
  </si>
  <si>
    <t xml:space="preserve">Duración </t>
  </si>
  <si>
    <t>Mesa de crisis</t>
  </si>
  <si>
    <t xml:space="preserve">Observaciones </t>
  </si>
  <si>
    <t xml:space="preserve">SI </t>
  </si>
  <si>
    <t>El balanceador se quedo sin Ips, se creo un nuevo cidr vinculado a la misma etc para extender las ips</t>
  </si>
  <si>
    <t>504 Gateway Time-out
INC-SOFTWARE-Imagine-MASTER - MDSB-827224</t>
  </si>
  <si>
    <t>La conexión SSH se ha terminado con un error.
Razón:
Clase de error: Desconexión SSH local (LocalSshDisconn),
CPor la aplicación (ByApplication),
Mensaje: FlowSshPacketDecoder: tiempo de espera por falta de respuesta.</t>
  </si>
  <si>
    <t>Encolar informe de efectividad de salud</t>
  </si>
  <si>
    <t xml:space="preserve">*02/10/2024 inicia  gestion.
*03/10/2024 Finalizar la consulta y realizar pruebas
* 07/10/2024 desarrollo en test  para  pruebas </t>
  </si>
  <si>
    <r>
      <rPr>
        <rFont val="Quattrocento Sans"/>
        <color theme="1"/>
        <sz val="10.0"/>
      </rPr>
      <t>*04/10/2024 pruebas
*</t>
    </r>
    <r>
      <rPr>
        <rFont val="Quattrocento Sans"/>
        <b/>
        <color theme="1"/>
        <sz val="10.0"/>
      </rPr>
      <t xml:space="preserve"> 07/10/2024 se entrega a Danilo para  pruebas y posterior despliegue a producción
* 09/10/2024 Confirmar entrega de rama a Danilo
* 10/10/2024 Etregadas a Danilo 9 de octubre, </t>
    </r>
  </si>
  <si>
    <t>Autocomplete Enabled (15 Y 18)</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</si>
</sst>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dd&quot;/&quot;mm&quot;/&quot;yyyy"/>
    <numFmt numFmtId="166" formatCode="d/M/yyyy"/>
    <numFmt numFmtId="167" formatCode="dd/mm/yyyy"/>
    <numFmt numFmtId="168" formatCode="yyyy/mm/dd"/>
  </numFmts>
  <fonts count="166">
    <font>
      <sz val="12.0"/>
      <color theme="1"/>
      <name val="Quattrocento Sans"/>
      <scheme val="minor"/>
    </font>
    <font>
      <b/>
      <u/>
      <sz val="9.0"/>
      <color theme="1"/>
      <name val="Quattrocento Sans"/>
    </font>
    <font>
      <b/>
      <u/>
      <sz val="10.0"/>
      <color theme="1"/>
      <name val="Quattrocento Sans"/>
    </font>
    <font>
      <u/>
      <sz val="11.0"/>
      <color theme="1"/>
      <name val="Quattrocento Sans"/>
    </font>
    <font>
      <u/>
      <sz val="11.0"/>
      <color theme="1"/>
      <name val="Quattrocento Sans"/>
    </font>
    <font>
      <b/>
      <u/>
      <sz val="10.0"/>
      <color theme="1"/>
      <name val="Quattrocento Sans"/>
    </font>
    <font>
      <b/>
      <u/>
      <sz val="10.0"/>
      <color theme="1"/>
      <name val="Quattrocento Sans"/>
    </font>
    <font>
      <b/>
      <sz val="10.0"/>
      <color theme="1"/>
      <name val="Quattrocento Sans"/>
    </font>
    <font>
      <b/>
      <sz val="8.0"/>
      <color theme="1"/>
      <name val="Quattrocento Sans"/>
    </font>
    <font>
      <sz val="10.0"/>
      <color rgb="FF000000"/>
      <name val="Quattrocento Sans"/>
      <scheme val="minor"/>
    </font>
    <font>
      <b/>
      <sz val="13.0"/>
      <color rgb="FF000000"/>
      <name val="Quattrocento Sans"/>
    </font>
    <font>
      <b/>
      <u/>
      <sz val="9.0"/>
      <color theme="1"/>
      <name val="Quattrocento Sans"/>
    </font>
    <font>
      <sz val="11.0"/>
      <color theme="1"/>
      <name val="Quattrocento Sans"/>
      <scheme val="minor"/>
    </font>
    <font>
      <u/>
      <sz val="11.0"/>
      <color theme="1"/>
      <name val="Quattrocento Sans"/>
    </font>
    <font>
      <b/>
      <u/>
      <sz val="10.0"/>
      <color theme="1"/>
      <name val="Quattrocento Sans"/>
    </font>
    <font>
      <u/>
      <sz val="10.0"/>
      <color theme="1"/>
      <name val="Quattrocento Sans"/>
    </font>
    <font>
      <sz val="10.0"/>
      <color theme="1"/>
      <name val="Quattrocento Sans"/>
    </font>
    <font>
      <color theme="1"/>
      <name val="Quattrocento Sans"/>
      <scheme val="minor"/>
    </font>
    <font>
      <u/>
      <sz val="11.0"/>
      <color theme="1"/>
      <name val="Quattrocento Sans"/>
    </font>
    <font>
      <u/>
      <sz val="11.0"/>
      <color theme="1"/>
      <name val="Quattrocento Sans"/>
    </font>
    <font>
      <color rgb="FF000000"/>
      <name val="&quot;Quattrocento Sans&quot;"/>
    </font>
    <font>
      <b/>
      <u/>
      <sz val="9.0"/>
      <color theme="1"/>
      <name val="Quattrocento Sans"/>
    </font>
    <font>
      <u/>
      <sz val="11.0"/>
      <color theme="1"/>
      <name val="Quattrocento Sans"/>
    </font>
    <font>
      <u/>
      <sz val="10.0"/>
      <color theme="1"/>
      <name val="Quattrocento Sans"/>
    </font>
    <font>
      <u/>
      <sz val="10.0"/>
      <color theme="1"/>
      <name val="Quattrocento Sans"/>
    </font>
    <font>
      <u/>
      <sz val="11.0"/>
      <color theme="1"/>
      <name val="Quattrocento Sans"/>
    </font>
    <font>
      <u/>
      <sz val="10.0"/>
      <color theme="1"/>
      <name val="Quattrocento Sans"/>
    </font>
    <font>
      <u/>
      <sz val="10.0"/>
      <color theme="1"/>
      <name val="Quattrocento Sans"/>
    </font>
    <font>
      <b/>
      <sz val="9.0"/>
      <color theme="1"/>
      <name val="Quattrocento Sans"/>
    </font>
    <font>
      <b/>
      <color theme="1"/>
      <name val="Quattrocento Sans"/>
      <scheme val="minor"/>
    </font>
    <font>
      <sz val="11.0"/>
      <color theme="1"/>
      <name val="Quattrocento Sans"/>
    </font>
    <font>
      <b/>
      <u/>
      <sz val="11.0"/>
      <color theme="1"/>
      <name val="Quattrocento Sans"/>
    </font>
    <font>
      <color rgb="FF292A2E"/>
      <name val="Quattrocento Sans"/>
      <scheme val="minor"/>
    </font>
    <font>
      <u/>
      <sz val="10.0"/>
      <color rgb="FF0000FF"/>
      <name val="Quattrocento Sans"/>
    </font>
    <font>
      <u/>
      <sz val="10.0"/>
      <color theme="1"/>
      <name val="Quattrocento Sans"/>
    </font>
    <font>
      <u/>
      <sz val="11.0"/>
      <color rgb="FF000000"/>
      <name val="&quot;Quattrocento Sans&quot;"/>
    </font>
    <font>
      <u/>
      <color rgb="FF000000"/>
      <name val="&quot;Quattrocento Sans&quot;"/>
    </font>
    <font>
      <u/>
      <color rgb="FF000000"/>
      <name val="&quot;Quattrocento Sans&quot;"/>
    </font>
    <font>
      <sz val="10.0"/>
      <color rgb="FF000000"/>
      <name val="&quot;Quattrocento Sans&quot;"/>
    </font>
    <font>
      <u/>
      <sz val="11.0"/>
      <color rgb="FF000000"/>
      <name val="&quot;Quattrocento Sans&quot;"/>
    </font>
    <font>
      <u/>
      <sz val="11.0"/>
      <color rgb="FF0000FF"/>
      <name val="Roboto"/>
    </font>
    <font>
      <sz val="11.0"/>
      <color rgb="FF000000"/>
      <name val="&quot;Quattrocento Sans&quot;"/>
    </font>
    <font>
      <b/>
      <sz val="13.0"/>
      <color theme="1"/>
      <name val="Quattrocento Sans"/>
    </font>
    <font>
      <b/>
      <sz val="11.0"/>
      <color theme="1"/>
      <name val="Quattrocento Sans"/>
    </font>
    <font>
      <u/>
      <sz val="10.0"/>
      <color rgb="FF0000FF"/>
      <name val="Quattrocento Sans"/>
    </font>
    <font>
      <u/>
      <sz val="10.0"/>
      <color rgb="FF0000FF"/>
      <name val="Quattrocento Sans"/>
    </font>
    <font>
      <u/>
      <sz val="10.0"/>
      <color rgb="FF0000FF"/>
      <name val="Quattrocento Sans"/>
    </font>
    <font>
      <u/>
      <sz val="10.0"/>
      <color rgb="FF434343"/>
      <name val="Quattrocento Sans"/>
    </font>
    <font>
      <u/>
      <sz val="10.0"/>
      <color theme="1"/>
      <name val="Quattrocento Sans"/>
    </font>
    <font>
      <sz val="11.0"/>
      <color rgb="FF434343"/>
      <name val="Roboto"/>
    </font>
    <font>
      <u/>
      <sz val="10.0"/>
      <color theme="1"/>
      <name val="Quattrocento Sans"/>
    </font>
    <font>
      <u/>
      <sz val="11.0"/>
      <color theme="1"/>
      <name val="Quattrocento Sans"/>
    </font>
    <font>
      <u/>
      <sz val="11.0"/>
      <color theme="1"/>
      <name val="Quattrocento Sans"/>
    </font>
    <font>
      <sz val="12.0"/>
      <color rgb="FF434343"/>
      <name val="Roboto"/>
    </font>
    <font>
      <sz val="7.0"/>
      <color theme="1"/>
      <name val="Quattrocento Sans"/>
    </font>
    <font>
      <u/>
      <sz val="10.0"/>
      <color theme="1"/>
      <name val="Quattrocento Sans"/>
    </font>
    <font>
      <u/>
      <color rgb="FF292A2E"/>
      <name val="Roboto"/>
    </font>
    <font>
      <color rgb="FF000000"/>
      <name val="Arial"/>
    </font>
    <font>
      <u/>
      <sz val="10.0"/>
      <color theme="1"/>
      <name val="Quattrocento Sans"/>
    </font>
    <font>
      <b/>
      <u/>
      <color rgb="FFFFFFFF"/>
      <name val="Quattrocento Sans"/>
    </font>
    <font>
      <u/>
      <sz val="10.0"/>
      <color theme="1"/>
      <name val="Quattrocento Sans"/>
    </font>
    <font>
      <b/>
      <sz val="10.0"/>
      <color rgb="FF434343"/>
      <name val="Quattrocento Sans"/>
    </font>
    <font>
      <b/>
      <u/>
      <sz val="10.0"/>
      <color theme="1"/>
      <name val="Quattrocento Sans"/>
    </font>
    <font>
      <u/>
      <sz val="10.0"/>
      <color theme="1"/>
      <name val="Quattrocento Sans"/>
    </font>
    <font>
      <b/>
      <u/>
      <color theme="1"/>
      <name val="Quattrocento Sans"/>
    </font>
    <font>
      <b/>
      <u/>
      <color theme="1"/>
      <name val="Quattrocento Sans"/>
    </font>
    <font>
      <b/>
      <u/>
      <sz val="11.0"/>
      <color theme="1"/>
      <name val="Quattrocento Sans"/>
    </font>
    <font>
      <b/>
      <u/>
      <sz val="10.0"/>
      <color theme="1"/>
      <name val="Quattrocento Sans"/>
    </font>
    <font>
      <b/>
      <u/>
      <sz val="10.0"/>
      <color theme="1"/>
      <name val="Quattrocento Sans"/>
    </font>
    <font>
      <u/>
      <sz val="9.0"/>
      <color rgb="FF000000"/>
      <name val="Roboto"/>
    </font>
    <font>
      <u/>
      <sz val="11.0"/>
      <color rgb="FF000000"/>
      <name val="Quattrocento Sans"/>
    </font>
    <font>
      <b/>
      <u/>
      <sz val="10.0"/>
      <color theme="1"/>
      <name val="Quattrocento Sans"/>
    </font>
    <font>
      <u/>
      <sz val="11.0"/>
      <color theme="1"/>
      <name val="Quattrocento Sans"/>
    </font>
    <font>
      <b/>
      <u/>
      <color theme="1"/>
      <name val="Quattrocento Sans"/>
    </font>
    <font>
      <b/>
      <u/>
      <color theme="1"/>
      <name val="Quattrocento Sans"/>
    </font>
    <font>
      <u/>
      <sz val="11.0"/>
      <color theme="1"/>
      <name val="Quattrocento Sans"/>
    </font>
    <font>
      <b/>
      <u/>
      <color theme="1"/>
      <name val="Quattrocento Sans"/>
    </font>
    <font>
      <b/>
      <u/>
      <sz val="9.0"/>
      <color theme="1"/>
      <name val="Quattrocento Sans"/>
    </font>
    <font>
      <b/>
      <u/>
      <color theme="1"/>
      <name val="Quattrocento Sans"/>
    </font>
    <font>
      <u/>
      <sz val="10.0"/>
      <color theme="1"/>
      <name val="Quattrocento Sans"/>
    </font>
    <font>
      <u/>
      <sz val="11.0"/>
      <color rgb="FF000000"/>
      <name val="&quot;Quattrocento Sans&quot;"/>
    </font>
    <font>
      <u/>
      <color rgb="FF000000"/>
      <name val="&quot;Quattrocento Sans&quot;"/>
    </font>
    <font>
      <u/>
      <color rgb="FF000000"/>
      <name val="&quot;Quattrocento Sans&quot;"/>
    </font>
    <font>
      <u/>
      <sz val="10.0"/>
      <color theme="1"/>
      <name val="Quattrocento Sans"/>
    </font>
    <font>
      <u/>
      <sz val="10.0"/>
      <color theme="1"/>
      <name val="Quattrocento Sans"/>
    </font>
    <font>
      <b/>
      <u/>
      <sz val="10.0"/>
      <color theme="1"/>
      <name val="Quattrocento Sans"/>
    </font>
    <font>
      <b/>
      <u/>
      <sz val="9.0"/>
      <color theme="1"/>
      <name val="Quattrocento Sans"/>
    </font>
    <font>
      <b/>
      <u/>
      <color theme="1"/>
      <name val="Quattrocento Sans"/>
    </font>
    <font>
      <u/>
      <sz val="11.0"/>
      <color theme="1"/>
      <name val="Quattrocento Sans"/>
    </font>
    <font>
      <sz val="12.0"/>
      <color theme="1"/>
      <name val="Quattrocento Sans"/>
    </font>
    <font>
      <b/>
      <u/>
      <sz val="12.0"/>
      <color rgb="FF434343"/>
      <name val="Quattrocento Sans"/>
    </font>
    <font>
      <u/>
      <color rgb="FF11734B"/>
      <name val="Quattrocento Sans"/>
    </font>
    <font>
      <color theme="1"/>
      <name val="Quattrocento Sans"/>
    </font>
    <font>
      <b/>
      <u/>
      <sz val="12.0"/>
      <color rgb="FF434343"/>
      <name val="Quattrocento Sans"/>
    </font>
    <font>
      <u/>
      <color theme="1"/>
      <name val="Quattrocento Sans"/>
    </font>
    <font>
      <sz val="12.0"/>
      <color rgb="FF434343"/>
      <name val="Quattrocento Sans"/>
    </font>
    <font>
      <u/>
      <color theme="1"/>
      <name val="Quattrocento Sans"/>
    </font>
    <font>
      <b/>
      <u/>
      <sz val="12.0"/>
      <color rgb="FF434343"/>
      <name val="Quattrocento Sans"/>
    </font>
    <font>
      <u/>
      <sz val="11.0"/>
      <color theme="1"/>
      <name val="Quattrocento Sans"/>
    </font>
    <font>
      <b/>
      <u/>
      <sz val="12.0"/>
      <color rgb="FF434343"/>
      <name val="Quattrocento Sans"/>
    </font>
    <font>
      <u/>
      <color rgb="FF11734B"/>
      <name val="Quattrocento Sans"/>
    </font>
    <font>
      <b/>
      <u/>
      <sz val="12.0"/>
      <color rgb="FF434343"/>
      <name val="Quattrocento Sans"/>
    </font>
    <font>
      <u/>
      <sz val="12.0"/>
      <color rgb="FF11734B"/>
      <name val="Quattrocento Sans"/>
    </font>
    <font>
      <b/>
      <u/>
      <sz val="12.0"/>
      <color rgb="FF434343"/>
      <name val="Quattrocento Sans"/>
    </font>
    <font>
      <u/>
      <sz val="12.0"/>
      <color rgb="FF11734B"/>
      <name val="Quattrocento Sans"/>
    </font>
    <font>
      <b/>
      <u/>
      <sz val="9.0"/>
      <color rgb="FF434343"/>
      <name val="Quattrocento Sans"/>
    </font>
    <font>
      <u/>
      <sz val="11.0"/>
      <color rgb="FF434343"/>
      <name val="Quattrocento Sans"/>
    </font>
    <font>
      <u/>
      <sz val="12.0"/>
      <color rgb="FF473821"/>
      <name val="Quattrocento Sans"/>
    </font>
    <font>
      <u/>
      <sz val="12.0"/>
      <color rgb="FF434343"/>
      <name val="Quattrocento Sans"/>
    </font>
    <font>
      <u/>
      <sz val="10.0"/>
      <color theme="1"/>
      <name val="Quattrocento Sans"/>
    </font>
    <font>
      <b/>
      <u/>
      <sz val="9.0"/>
      <color rgb="FF434343"/>
      <name val="Quattrocento Sans"/>
    </font>
    <font>
      <b/>
      <u/>
      <sz val="12.0"/>
      <color rgb="FF434343"/>
      <name val="Quattrocento Sans"/>
    </font>
    <font>
      <u/>
      <sz val="11.0"/>
      <color rgb="FF434343"/>
      <name val="Quattrocento Sans"/>
    </font>
    <font>
      <b/>
      <u/>
      <sz val="12.0"/>
      <color rgb="FF434343"/>
      <name val="Quattrocento Sans"/>
    </font>
    <font>
      <u/>
      <sz val="12.0"/>
      <color rgb="FF473821"/>
      <name val="Quattrocento Sans"/>
    </font>
    <font>
      <u/>
      <sz val="12.0"/>
      <color rgb="FF11734B"/>
      <name val="Quattrocento Sans"/>
    </font>
    <font>
      <u/>
      <sz val="12.0"/>
      <color rgb="FF434343"/>
      <name val="Quattrocento Sans"/>
    </font>
    <font>
      <u/>
      <sz val="11.0"/>
      <color rgb="FF434343"/>
      <name val="Quattrocento Sans"/>
    </font>
    <font>
      <u/>
      <sz val="12.0"/>
      <color rgb="FF11734B"/>
      <name val="Quattrocento Sans"/>
    </font>
    <font>
      <u/>
      <sz val="11.0"/>
      <color rgb="FF434343"/>
      <name val="Quattrocento Sans"/>
    </font>
    <font>
      <u/>
      <sz val="12.0"/>
      <color rgb="FF434343"/>
      <name val="Quattrocento Sans"/>
    </font>
    <font>
      <sz val="12.0"/>
      <color theme="1"/>
      <name val="&quot;Calibri&quot;"/>
    </font>
    <font>
      <b/>
      <color theme="1"/>
      <name val="Quattrocento Sans"/>
    </font>
    <font>
      <sz val="12.0"/>
      <color rgb="FF434343"/>
      <name val="Calibri"/>
    </font>
    <font>
      <u/>
      <sz val="9.0"/>
      <color rgb="FF434343"/>
      <name val="Quattrocento Sans"/>
    </font>
    <font>
      <b/>
      <sz val="12.0"/>
      <color rgb="FF434343"/>
      <name val="Quattrocento Sans"/>
    </font>
    <font>
      <b/>
      <u/>
      <sz val="9.0"/>
      <color rgb="FF434343"/>
      <name val="Quattrocento Sans"/>
    </font>
    <font>
      <b/>
      <u/>
      <sz val="12.0"/>
      <color rgb="FF434343"/>
      <name val="Quattrocento Sans"/>
    </font>
    <font>
      <u/>
      <sz val="11.0"/>
      <color rgb="FF434343"/>
      <name val="Quattrocento Sans"/>
    </font>
    <font>
      <b/>
      <u/>
      <sz val="12.0"/>
      <color rgb="FF434343"/>
      <name val="Quattrocento Sans"/>
    </font>
    <font>
      <u/>
      <sz val="12.0"/>
      <color rgb="FF11734B"/>
      <name val="Quattrocento Sans"/>
    </font>
    <font>
      <b/>
      <u/>
      <sz val="12.0"/>
      <color rgb="FF434343"/>
      <name val="Quattrocento Sans"/>
    </font>
    <font>
      <b/>
      <u/>
      <sz val="9.0"/>
      <color rgb="FF434343"/>
      <name val="Quattrocento Sans"/>
    </font>
    <font>
      <u/>
      <sz val="11.0"/>
      <color rgb="FF434343"/>
      <name val="Quattrocento Sans"/>
    </font>
    <font>
      <u/>
      <sz val="12.0"/>
      <color rgb="FF434343"/>
      <name val="Quattrocento Sans"/>
    </font>
    <font>
      <b/>
      <u/>
      <sz val="12.0"/>
      <color rgb="FF434343"/>
      <name val="Quattrocento Sans"/>
    </font>
    <font>
      <u/>
      <sz val="12.0"/>
      <color rgb="FF473821"/>
      <name val="Quattrocento Sans"/>
    </font>
    <font>
      <b/>
      <sz val="12.0"/>
      <color theme="1"/>
      <name val="Quattrocento Sans"/>
    </font>
    <font>
      <b/>
      <u/>
      <sz val="12.0"/>
      <color rgb="FF434343"/>
      <name val="Quattrocento Sans"/>
    </font>
    <font>
      <sz val="9.0"/>
      <color theme="1"/>
      <name val="Roboto"/>
    </font>
    <font>
      <sz val="11.0"/>
      <color rgb="FF000000"/>
      <name val="Calibri"/>
    </font>
    <font>
      <sz val="10.0"/>
      <color theme="1"/>
      <name val="Quattrocento Sans"/>
      <scheme val="minor"/>
    </font>
    <font>
      <b/>
      <u/>
      <sz val="10.0"/>
      <color theme="1"/>
      <name val="Quattrocento Sans"/>
    </font>
    <font>
      <u/>
      <sz val="9.0"/>
      <color rgb="FF0000FF"/>
      <name val="Roboto"/>
    </font>
    <font>
      <u/>
      <sz val="10.0"/>
      <color rgb="FF0000FF"/>
      <name val="Quattrocento Sans"/>
    </font>
    <font>
      <b/>
      <u/>
      <sz val="9.0"/>
      <color rgb="FF000000"/>
      <name val="&quot;Quattrocento Sans&quot;"/>
    </font>
    <font>
      <u/>
      <color rgb="FF000000"/>
      <name val="&quot;Quattrocento Sans&quot;"/>
    </font>
    <font>
      <u/>
      <sz val="11.0"/>
      <color theme="1"/>
      <name val="Quattrocento Sans"/>
    </font>
    <font>
      <u/>
      <sz val="10.0"/>
      <color theme="1"/>
      <name val="Quattrocento Sans"/>
    </font>
    <font>
      <b/>
      <u/>
      <sz val="9.0"/>
      <color theme="1"/>
      <name val="Quattrocento Sans"/>
    </font>
    <font>
      <u/>
      <sz val="9.0"/>
      <color theme="1"/>
      <name val="Roboto"/>
    </font>
    <font>
      <u/>
      <sz val="11.0"/>
      <color theme="1"/>
      <name val="Quattrocento Sans"/>
    </font>
    <font>
      <u/>
      <sz val="9.0"/>
      <color theme="1"/>
      <name val="Roboto"/>
    </font>
    <font>
      <b/>
      <u/>
      <sz val="10.0"/>
      <color theme="1"/>
      <name val="Quattrocento Sans"/>
    </font>
    <font>
      <u/>
      <sz val="11.0"/>
      <color theme="1"/>
      <name val="Quattrocento Sans"/>
    </font>
    <font>
      <b/>
      <sz val="9.0"/>
      <color rgb="FF000000"/>
      <name val="&quot;Quattrocento Sans&quot;"/>
    </font>
    <font>
      <u/>
      <sz val="10.0"/>
      <color theme="10"/>
      <name val="Quattrocento Sans"/>
    </font>
    <font>
      <u/>
      <sz val="12.0"/>
      <color theme="10"/>
      <name val="Quattrocento Sans"/>
    </font>
    <font>
      <u/>
      <sz val="12.0"/>
      <color theme="10"/>
      <name val="Quattrocento Sans"/>
    </font>
    <font>
      <u/>
      <sz val="12.0"/>
      <color theme="1"/>
      <name val="Quattrocento Sans"/>
    </font>
    <font/>
    <font>
      <u/>
      <sz val="12.0"/>
      <color theme="10"/>
      <name val="Quattrocento Sans"/>
    </font>
    <font>
      <u/>
      <sz val="12.0"/>
      <color theme="10"/>
      <name val="Quattrocento Sans"/>
    </font>
    <font>
      <b/>
      <sz val="11.0"/>
      <color rgb="FFFF0000"/>
      <name val="Quattrocento Sans"/>
    </font>
    <font>
      <sz val="12.0"/>
      <color rgb="FFFF0000"/>
      <name val="Quattrocento Sans"/>
    </font>
    <font>
      <b/>
      <sz val="12.0"/>
      <color rgb="FFFF0000"/>
      <name val="Quattrocento Sans"/>
    </font>
  </fonts>
  <fills count="21">
    <fill>
      <patternFill patternType="none"/>
    </fill>
    <fill>
      <patternFill patternType="lightGray"/>
    </fill>
    <fill>
      <patternFill patternType="solid">
        <fgColor rgb="FFF4CCCC"/>
        <bgColor rgb="FFF4CCCC"/>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051524"/>
        <bgColor rgb="FF051524"/>
      </patternFill>
    </fill>
    <fill>
      <patternFill patternType="solid">
        <fgColor rgb="FFFF9900"/>
        <bgColor rgb="FFFF9900"/>
      </patternFill>
    </fill>
    <fill>
      <patternFill patternType="solid">
        <fgColor rgb="FF356854"/>
        <bgColor rgb="FF356854"/>
      </patternFill>
    </fill>
    <fill>
      <patternFill patternType="solid">
        <fgColor rgb="FFF6F8F9"/>
        <bgColor rgb="FFF6F8F9"/>
      </patternFill>
    </fill>
    <fill>
      <patternFill patternType="solid">
        <fgColor rgb="FFC5E0B3"/>
        <bgColor rgb="FFC5E0B3"/>
      </patternFill>
    </fill>
    <fill>
      <patternFill patternType="solid">
        <fgColor rgb="FFDADADA"/>
        <bgColor rgb="FFDADADA"/>
      </patternFill>
    </fill>
    <fill>
      <patternFill patternType="solid">
        <fgColor rgb="FFF7CAAC"/>
        <bgColor rgb="FFF7CAAC"/>
      </patternFill>
    </fill>
    <fill>
      <patternFill patternType="solid">
        <fgColor rgb="FFF2F2F2"/>
        <bgColor rgb="FFF2F2F2"/>
      </patternFill>
    </fill>
    <fill>
      <patternFill patternType="solid">
        <fgColor theme="0"/>
        <bgColor theme="0"/>
      </patternFill>
    </fill>
    <fill>
      <patternFill patternType="solid">
        <fgColor rgb="FFD9D9D9"/>
        <bgColor rgb="FFD9D9D9"/>
      </patternFill>
    </fill>
    <fill>
      <patternFill patternType="solid">
        <fgColor rgb="FFFFE598"/>
        <bgColor rgb="FFFFE598"/>
      </patternFill>
    </fill>
    <fill>
      <patternFill patternType="solid">
        <fgColor rgb="FFD8D8D8"/>
        <bgColor rgb="FFD8D8D8"/>
      </patternFill>
    </fill>
    <fill>
      <patternFill patternType="solid">
        <fgColor rgb="FFDEEAF6"/>
        <bgColor rgb="FFDEEAF6"/>
      </patternFill>
    </fill>
    <fill>
      <patternFill patternType="solid">
        <fgColor rgb="FFB4C6E7"/>
        <bgColor rgb="FFB4C6E7"/>
      </patternFill>
    </fill>
  </fills>
  <borders count="3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356854"/>
      </left>
      <right style="thin">
        <color rgb="FF356854"/>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right/>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top style="thin">
        <color rgb="FF000000"/>
      </top>
    </border>
    <border>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right/>
      <top style="thin">
        <color rgb="FF000000"/>
      </top>
      <bottom/>
    </border>
    <border>
      <left style="thin">
        <color rgb="FF000000"/>
      </lef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right/>
      <top style="thin">
        <color rgb="FF000000"/>
      </top>
      <bottom/>
    </border>
    <border>
      <left style="thin">
        <color rgb="FF000000"/>
      </left>
      <right/>
      <top/>
      <bottom style="thin">
        <color rgb="FF000000"/>
      </bottom>
    </border>
    <border>
      <left style="thin">
        <color rgb="FF000000"/>
      </left>
      <right/>
      <top/>
      <bottom/>
    </border>
    <border>
      <left style="thin">
        <color rgb="FF000000"/>
      </left>
      <right/>
      <top style="thin">
        <color rgb="FF000000"/>
      </top>
      <bottom style="thin">
        <color rgb="FF000000"/>
      </bottom>
    </border>
    <border>
      <left/>
      <right style="thin">
        <color rgb="FF000000"/>
      </right>
      <top style="thin">
        <color rgb="FF000000"/>
      </top>
      <bottom/>
    </border>
    <border>
      <left/>
      <right/>
      <top/>
      <bottom style="thin">
        <color rgb="FF000000"/>
      </bottom>
    </border>
  </borders>
  <cellStyleXfs count="1">
    <xf borderId="0" fillId="0" fontId="0" numFmtId="0" applyAlignment="1" applyFont="1"/>
  </cellStyleXfs>
  <cellXfs count="94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0"/>
    </xf>
    <xf borderId="0" fillId="0" fontId="8"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1"/>
    </xf>
    <xf borderId="0" fillId="2" fontId="9" numFmtId="49" xfId="0" applyAlignment="1" applyFill="1" applyFont="1" applyNumberFormat="1">
      <alignment horizontal="center" readingOrder="0" shrinkToFit="0" vertical="center" wrapText="1"/>
    </xf>
    <xf borderId="0" fillId="0" fontId="7" numFmtId="14" xfId="0" applyAlignment="1" applyFont="1" applyNumberFormat="1">
      <alignment horizontal="center" readingOrder="0" shrinkToFit="0" vertical="top" wrapText="0"/>
    </xf>
    <xf borderId="0" fillId="0" fontId="7" numFmtId="49" xfId="0" applyAlignment="1" applyFont="1" applyNumberFormat="1">
      <alignment horizontal="center" readingOrder="0" shrinkToFit="0" vertical="top" wrapText="1"/>
    </xf>
    <xf borderId="0" fillId="3" fontId="10" numFmtId="0" xfId="0" applyAlignment="1" applyFill="1" applyFont="1">
      <alignment horizontal="center" readingOrder="0" shrinkToFit="0" vertical="top" wrapText="1"/>
    </xf>
    <xf borderId="0" fillId="0" fontId="7" numFmtId="0" xfId="0" applyAlignment="1" applyFont="1">
      <alignment horizontal="center" readingOrder="0" shrinkToFit="0" vertical="top" wrapText="1"/>
    </xf>
    <xf borderId="1" fillId="4" fontId="11" numFmtId="0" xfId="0" applyAlignment="1" applyBorder="1" applyFill="1" applyFont="1">
      <alignment horizontal="center" readingOrder="0" shrinkToFit="0" vertical="center" wrapText="1"/>
    </xf>
    <xf borderId="1" fillId="0" fontId="12" numFmtId="0" xfId="0" applyAlignment="1" applyBorder="1" applyFont="1">
      <alignment shrinkToFit="0" vertical="center" wrapText="0"/>
    </xf>
    <xf borderId="1" fillId="4" fontId="13" numFmtId="0" xfId="0" applyAlignment="1" applyBorder="1" applyFont="1">
      <alignment horizontal="left" readingOrder="0" shrinkToFit="0" vertical="center" wrapText="1"/>
    </xf>
    <xf borderId="1" fillId="4" fontId="14" numFmtId="0" xfId="0" applyAlignment="1" applyBorder="1" applyFont="1">
      <alignment horizontal="center" shrinkToFit="0" vertical="center" wrapText="1"/>
    </xf>
    <xf borderId="1" fillId="4" fontId="15" numFmtId="0" xfId="0" applyAlignment="1" applyBorder="1" applyFont="1">
      <alignment readingOrder="0" shrinkToFit="0" vertical="center" wrapText="1"/>
    </xf>
    <xf borderId="1" fillId="4" fontId="16" numFmtId="0" xfId="0" applyAlignment="1" applyBorder="1" applyFont="1">
      <alignment horizontal="center" readingOrder="0" shrinkToFit="0" vertical="center" wrapText="1"/>
    </xf>
    <xf borderId="1" fillId="4" fontId="7" numFmtId="3" xfId="0" applyAlignment="1" applyBorder="1" applyFont="1" applyNumberFormat="1">
      <alignment horizontal="center" readingOrder="0" shrinkToFit="0" vertical="center" wrapText="0"/>
    </xf>
    <xf borderId="1" fillId="4" fontId="16" numFmtId="164" xfId="0" applyAlignment="1" applyBorder="1" applyFont="1" applyNumberFormat="1">
      <alignment shrinkToFit="0" vertical="center" wrapText="1"/>
    </xf>
    <xf borderId="1" fillId="4" fontId="16" numFmtId="165" xfId="0" applyAlignment="1" applyBorder="1" applyFont="1" applyNumberFormat="1">
      <alignment shrinkToFit="0" vertical="center" wrapText="1"/>
    </xf>
    <xf borderId="1" fillId="4" fontId="7" numFmtId="165" xfId="0" applyAlignment="1" applyBorder="1" applyFont="1" applyNumberFormat="1">
      <alignment readingOrder="0" shrinkToFit="0" vertical="center" wrapText="0"/>
    </xf>
    <xf borderId="1" fillId="4" fontId="16" numFmtId="165" xfId="0" applyAlignment="1" applyBorder="1" applyFont="1" applyNumberFormat="1">
      <alignment readingOrder="0" shrinkToFit="0" vertical="center" wrapText="1"/>
    </xf>
    <xf borderId="1" fillId="4" fontId="16" numFmtId="3" xfId="0" applyAlignment="1" applyBorder="1" applyFont="1" applyNumberFormat="1">
      <alignment horizontal="center" shrinkToFit="0" vertical="center" wrapText="1"/>
    </xf>
    <xf borderId="0" fillId="0" fontId="17" numFmtId="0" xfId="0" applyAlignment="1" applyFont="1">
      <alignment shrinkToFit="0" vertical="center" wrapText="0"/>
    </xf>
    <xf borderId="1" fillId="4" fontId="7" numFmtId="166" xfId="0" applyAlignment="1" applyBorder="1" applyFont="1" applyNumberFormat="1">
      <alignment shrinkToFit="0" vertical="center" wrapText="0"/>
    </xf>
    <xf borderId="1" fillId="4" fontId="16" numFmtId="0" xfId="0" applyAlignment="1" applyBorder="1" applyFont="1">
      <alignment horizontal="left" readingOrder="0" shrinkToFit="0" vertical="top" wrapText="0"/>
    </xf>
    <xf borderId="1" fillId="4" fontId="16" numFmtId="49" xfId="0" applyAlignment="1" applyBorder="1" applyFont="1" applyNumberFormat="1">
      <alignment readingOrder="0" shrinkToFit="0" vertical="top" wrapText="0"/>
    </xf>
    <xf borderId="1" fillId="4" fontId="16" numFmtId="14" xfId="0" applyAlignment="1" applyBorder="1" applyFont="1" applyNumberFormat="1">
      <alignment horizontal="center" shrinkToFit="0" vertical="center" wrapText="1"/>
    </xf>
    <xf borderId="1" fillId="4" fontId="7" numFmtId="0" xfId="0" applyAlignment="1" applyBorder="1" applyFont="1">
      <alignment shrinkToFit="0" vertical="center" wrapText="0"/>
    </xf>
    <xf borderId="1" fillId="4" fontId="16" numFmtId="0" xfId="0" applyAlignment="1" applyBorder="1" applyFont="1">
      <alignment horizontal="left" readingOrder="0" shrinkToFit="0" vertical="top" wrapText="0"/>
    </xf>
    <xf borderId="1" fillId="4" fontId="16" numFmtId="0" xfId="0" applyAlignment="1" applyBorder="1" applyFont="1">
      <alignment horizontal="left" readingOrder="0" shrinkToFit="0" vertical="top" wrapText="0"/>
    </xf>
    <xf borderId="0" fillId="4" fontId="16" numFmtId="0" xfId="0" applyAlignment="1" applyFont="1">
      <alignment horizontal="left" readingOrder="0" shrinkToFit="0" vertical="top" wrapText="0"/>
    </xf>
    <xf borderId="0" fillId="4" fontId="16" numFmtId="0" xfId="0" applyAlignment="1" applyFont="1">
      <alignment horizontal="left" readingOrder="0" shrinkToFit="0" vertical="top" wrapText="0"/>
    </xf>
    <xf borderId="1" fillId="4" fontId="7" numFmtId="0" xfId="0" applyAlignment="1" applyBorder="1" applyFont="1">
      <alignment horizontal="left" readingOrder="0" shrinkToFit="0" vertical="top" wrapText="0"/>
    </xf>
    <xf borderId="1" fillId="4" fontId="16" numFmtId="1" xfId="0" applyAlignment="1" applyBorder="1" applyFont="1" applyNumberFormat="1">
      <alignment horizontal="center" shrinkToFit="0" vertical="center" wrapText="1"/>
    </xf>
    <xf borderId="1" fillId="4" fontId="7" numFmtId="0" xfId="0" applyAlignment="1" applyBorder="1" applyFont="1">
      <alignment horizontal="left" readingOrder="0" shrinkToFit="0" vertical="top" wrapText="0"/>
    </xf>
    <xf borderId="1" fillId="4" fontId="7" numFmtId="0" xfId="0" applyAlignment="1" applyBorder="1" applyFont="1">
      <alignment horizontal="left" readingOrder="0" shrinkToFit="0" vertical="top" wrapText="0"/>
    </xf>
    <xf borderId="0" fillId="4" fontId="7" numFmtId="0" xfId="0" applyAlignment="1" applyFont="1">
      <alignment horizontal="left" readingOrder="0" shrinkToFit="0" vertical="top" wrapText="0"/>
    </xf>
    <xf borderId="1" fillId="4" fontId="18" numFmtId="0" xfId="0" applyAlignment="1" applyBorder="1" applyFont="1">
      <alignment horizontal="left" shrinkToFit="0" vertical="center" wrapText="1"/>
    </xf>
    <xf borderId="1" fillId="5" fontId="19" numFmtId="0" xfId="0" applyAlignment="1" applyBorder="1" applyFill="1" applyFont="1">
      <alignment horizontal="left" readingOrder="0" shrinkToFit="0" vertical="center" wrapText="1"/>
    </xf>
    <xf borderId="1" fillId="4" fontId="20" numFmtId="165" xfId="0" applyAlignment="1" applyBorder="1" applyFont="1" applyNumberFormat="1">
      <alignment horizontal="right" readingOrder="0" shrinkToFit="0" vertical="center" wrapText="0"/>
    </xf>
    <xf borderId="1" fillId="4" fontId="16" numFmtId="164" xfId="0" applyAlignment="1" applyBorder="1" applyFont="1" applyNumberFormat="1">
      <alignment readingOrder="0" shrinkToFit="0" vertical="center" wrapText="1"/>
    </xf>
    <xf borderId="1" fillId="4" fontId="16" numFmtId="1" xfId="0" applyAlignment="1" applyBorder="1" applyFont="1" applyNumberFormat="1">
      <alignment horizontal="center" readingOrder="0" shrinkToFit="0" vertical="center" wrapText="1"/>
    </xf>
    <xf borderId="1" fillId="4" fontId="7" numFmtId="0" xfId="0" applyAlignment="1" applyBorder="1" applyFont="1">
      <alignment readingOrder="0" shrinkToFit="0" vertical="center" wrapText="0"/>
    </xf>
    <xf borderId="1" fillId="4" fontId="7" numFmtId="0" xfId="0" applyAlignment="1" applyBorder="1" applyFont="1">
      <alignment horizontal="left" readingOrder="0" shrinkToFit="0" vertical="top" wrapText="1"/>
    </xf>
    <xf borderId="1" fillId="4" fontId="7" numFmtId="0" xfId="0" applyAlignment="1" applyBorder="1" applyFont="1">
      <alignment horizontal="left" readingOrder="0" shrinkToFit="0" vertical="top" wrapText="1"/>
    </xf>
    <xf borderId="0" fillId="4" fontId="7" numFmtId="0" xfId="0" applyAlignment="1" applyFont="1">
      <alignment horizontal="left" readingOrder="0" shrinkToFit="0" vertical="top" wrapText="1"/>
    </xf>
    <xf borderId="1" fillId="4" fontId="7" numFmtId="165" xfId="0" applyAlignment="1" applyBorder="1" applyFont="1" applyNumberFormat="1">
      <alignment shrinkToFit="0" vertical="center" wrapText="0"/>
    </xf>
    <xf borderId="1" fillId="4" fontId="16" numFmtId="14" xfId="0" applyAlignment="1" applyBorder="1" applyFont="1" applyNumberFormat="1">
      <alignment horizontal="left" shrinkToFit="0" vertical="top" wrapText="0"/>
    </xf>
    <xf borderId="0" fillId="4" fontId="7" numFmtId="0" xfId="0" applyAlignment="1" applyFont="1">
      <alignment horizontal="left" readingOrder="0" shrinkToFit="0" vertical="top" wrapText="0"/>
    </xf>
    <xf borderId="1" fillId="4" fontId="21" numFmtId="0" xfId="0" applyAlignment="1" applyBorder="1" applyFont="1">
      <alignment horizontal="center" readingOrder="0" shrinkToFit="0" vertical="center" wrapText="0"/>
    </xf>
    <xf borderId="1" fillId="6" fontId="22" numFmtId="0" xfId="0" applyAlignment="1" applyBorder="1" applyFill="1" applyFont="1">
      <alignment horizontal="left" readingOrder="0" shrinkToFit="0" vertical="center" wrapText="0"/>
    </xf>
    <xf borderId="1" fillId="4" fontId="23" numFmtId="0" xfId="0" applyAlignment="1" applyBorder="1" applyFont="1">
      <alignment shrinkToFit="0" vertical="center" wrapText="0"/>
    </xf>
    <xf borderId="1" fillId="4" fontId="16" numFmtId="0" xfId="0" applyAlignment="1" applyBorder="1" applyFont="1">
      <alignment horizontal="center" readingOrder="0" shrinkToFit="0" vertical="center" wrapText="0"/>
    </xf>
    <xf borderId="1" fillId="4" fontId="16" numFmtId="164" xfId="0" applyAlignment="1" applyBorder="1" applyFont="1" applyNumberFormat="1">
      <alignment shrinkToFit="0" vertical="center" wrapText="0"/>
    </xf>
    <xf borderId="1" fillId="4" fontId="16" numFmtId="165" xfId="0" applyAlignment="1" applyBorder="1" applyFont="1" applyNumberFormat="1">
      <alignment readingOrder="0" shrinkToFit="0" vertical="center" wrapText="0"/>
    </xf>
    <xf borderId="1" fillId="4" fontId="16" numFmtId="166" xfId="0" applyAlignment="1" applyBorder="1" applyFont="1" applyNumberFormat="1">
      <alignment readingOrder="0" shrinkToFit="0" vertical="center" wrapText="0"/>
    </xf>
    <xf borderId="1" fillId="4" fontId="16" numFmtId="0" xfId="0" applyAlignment="1" applyBorder="1" applyFont="1">
      <alignment readingOrder="0" shrinkToFit="0" vertical="center" wrapText="1"/>
    </xf>
    <xf borderId="1" fillId="4" fontId="16" numFmtId="0" xfId="0" applyAlignment="1" applyBorder="1" applyFont="1">
      <alignment readingOrder="0" shrinkToFit="0" vertical="center" wrapText="0"/>
    </xf>
    <xf borderId="1" fillId="4" fontId="16" numFmtId="0" xfId="0" applyAlignment="1" applyBorder="1" applyFont="1">
      <alignment readingOrder="0" shrinkToFit="0" vertical="center" wrapText="1"/>
    </xf>
    <xf borderId="1" fillId="4" fontId="16" numFmtId="0" xfId="0" applyAlignment="1" applyBorder="1" applyFont="1">
      <alignment readingOrder="0" shrinkToFit="0" vertical="center" wrapText="1"/>
    </xf>
    <xf borderId="0" fillId="4" fontId="16" numFmtId="0" xfId="0" applyAlignment="1" applyFont="1">
      <alignment readingOrder="0" shrinkToFit="0" vertical="center" wrapText="1"/>
    </xf>
    <xf borderId="1" fillId="4" fontId="24" numFmtId="0" xfId="0" applyAlignment="1" applyBorder="1" applyFont="1">
      <alignment shrinkToFit="0" vertical="center" wrapText="1"/>
    </xf>
    <xf borderId="1" fillId="4" fontId="16" numFmtId="165" xfId="0" applyAlignment="1" applyBorder="1" applyFont="1" applyNumberFormat="1">
      <alignment shrinkToFit="0" vertical="center" wrapText="0"/>
    </xf>
    <xf borderId="1" fillId="4" fontId="16" numFmtId="166" xfId="0" applyAlignment="1" applyBorder="1" applyFont="1" applyNumberFormat="1">
      <alignment shrinkToFit="0" vertical="center" wrapText="0"/>
    </xf>
    <xf borderId="1" fillId="4" fontId="16" numFmtId="0" xfId="0" applyAlignment="1" applyBorder="1" applyFont="1">
      <alignment shrinkToFit="0" vertical="top" wrapText="0"/>
    </xf>
    <xf borderId="1" fillId="4" fontId="16" numFmtId="0" xfId="0" applyAlignment="1" applyBorder="1" applyFont="1">
      <alignment horizontal="center" shrinkToFit="0" vertical="center" wrapText="0"/>
    </xf>
    <xf borderId="1" fillId="4" fontId="16" numFmtId="0" xfId="0" applyAlignment="1" applyBorder="1" applyFont="1">
      <alignment shrinkToFit="0" vertical="center" wrapText="0"/>
    </xf>
    <xf borderId="1" fillId="4" fontId="16" numFmtId="0" xfId="0" applyAlignment="1" applyBorder="1" applyFont="1">
      <alignment readingOrder="0" shrinkToFit="0" vertical="top" wrapText="0"/>
    </xf>
    <xf borderId="0" fillId="4" fontId="16" numFmtId="0" xfId="0" applyAlignment="1" applyFont="1">
      <alignment readingOrder="0" shrinkToFit="0" vertical="top" wrapText="0"/>
    </xf>
    <xf borderId="0" fillId="4" fontId="16" numFmtId="0" xfId="0" applyAlignment="1" applyFont="1">
      <alignment readingOrder="0" shrinkToFit="0" vertical="top" wrapText="0"/>
    </xf>
    <xf borderId="1" fillId="4" fontId="25" numFmtId="0" xfId="0" applyAlignment="1" applyBorder="1" applyFont="1">
      <alignment horizontal="left" readingOrder="0" shrinkToFit="0" vertical="center" wrapText="0"/>
    </xf>
    <xf borderId="1" fillId="4" fontId="16" numFmtId="0" xfId="0" applyAlignment="1" applyBorder="1" applyFont="1">
      <alignment readingOrder="0" shrinkToFit="0" vertical="center" wrapText="0"/>
    </xf>
    <xf borderId="1" fillId="4" fontId="16" numFmtId="0" xfId="0" applyAlignment="1" applyBorder="1" applyFont="1">
      <alignment shrinkToFit="0" vertical="center" wrapText="0"/>
    </xf>
    <xf borderId="0" fillId="4" fontId="16" numFmtId="0" xfId="0" applyAlignment="1" applyFont="1">
      <alignment shrinkToFit="0" vertical="center" wrapText="0"/>
    </xf>
    <xf borderId="0" fillId="4" fontId="16" numFmtId="0" xfId="0" applyAlignment="1" applyFont="1">
      <alignment readingOrder="0" shrinkToFit="0" vertical="center" wrapText="0"/>
    </xf>
    <xf borderId="1" fillId="4" fontId="16" numFmtId="164" xfId="0" applyAlignment="1" applyBorder="1" applyFont="1" applyNumberFormat="1">
      <alignment readingOrder="0" shrinkToFit="0" vertical="center" wrapText="0"/>
    </xf>
    <xf borderId="1" fillId="4" fontId="16" numFmtId="0" xfId="0" applyAlignment="1" applyBorder="1" applyFont="1">
      <alignment readingOrder="0" shrinkToFit="0" vertical="center" wrapText="0"/>
    </xf>
    <xf borderId="1" fillId="4" fontId="16" numFmtId="0" xfId="0" applyAlignment="1" applyBorder="1" applyFont="1">
      <alignment readingOrder="0" shrinkToFit="0" vertical="center" wrapText="0"/>
    </xf>
    <xf borderId="1" fillId="4" fontId="26" numFmtId="0" xfId="0" applyAlignment="1" applyBorder="1" applyFont="1">
      <alignment horizontal="left" shrinkToFit="0" vertical="center" wrapText="1"/>
    </xf>
    <xf borderId="1" fillId="4" fontId="27" numFmtId="0" xfId="0" applyAlignment="1" applyBorder="1" applyFont="1">
      <alignment readingOrder="0" shrinkToFit="0" vertical="center" wrapText="0"/>
    </xf>
    <xf borderId="1" fillId="4" fontId="16" numFmtId="0" xfId="0" applyAlignment="1" applyBorder="1" applyFont="1">
      <alignment horizontal="left" readingOrder="0" shrinkToFit="0" vertical="top" wrapText="1"/>
    </xf>
    <xf borderId="1" fillId="4" fontId="16" numFmtId="0" xfId="0" applyAlignment="1" applyBorder="1" applyFont="1">
      <alignment horizontal="left" shrinkToFit="0" vertical="top" wrapText="1"/>
    </xf>
    <xf borderId="1" fillId="4" fontId="16" numFmtId="0" xfId="0" applyAlignment="1" applyBorder="1" applyFont="1">
      <alignment horizontal="left" readingOrder="0" shrinkToFit="0" vertical="top" wrapText="1"/>
    </xf>
    <xf borderId="1" fillId="4" fontId="16" numFmtId="0" xfId="0" applyAlignment="1" applyBorder="1" applyFont="1">
      <alignment horizontal="left" readingOrder="0" shrinkToFit="0" vertical="top" wrapText="1"/>
    </xf>
    <xf borderId="0" fillId="4" fontId="16" numFmtId="0" xfId="0" applyAlignment="1" applyFont="1">
      <alignment horizontal="left" readingOrder="0" shrinkToFit="0" vertical="top" wrapText="1"/>
    </xf>
    <xf borderId="0" fillId="4" fontId="16" numFmtId="0" xfId="0" applyAlignment="1" applyFont="1">
      <alignment horizontal="left" readingOrder="0" shrinkToFit="0" vertical="top" wrapText="1"/>
    </xf>
    <xf borderId="1" fillId="4" fontId="28" numFmtId="0" xfId="0" applyAlignment="1" applyBorder="1" applyFont="1">
      <alignment horizontal="center" readingOrder="0" shrinkToFit="0" vertical="center" wrapText="0"/>
    </xf>
    <xf borderId="1" fillId="0" fontId="12" numFmtId="0" xfId="0" applyAlignment="1" applyBorder="1" applyFont="1">
      <alignment readingOrder="0" shrinkToFit="0" vertical="center" wrapText="0"/>
    </xf>
    <xf borderId="1" fillId="0" fontId="29" numFmtId="0" xfId="0" applyAlignment="1" applyBorder="1" applyFont="1">
      <alignment readingOrder="0" shrinkToFit="0" vertical="center" wrapText="1"/>
    </xf>
    <xf borderId="1" fillId="4" fontId="30" numFmtId="0" xfId="0" applyAlignment="1" applyBorder="1" applyFont="1">
      <alignment horizontal="left" readingOrder="0" shrinkToFit="0" vertical="center" wrapText="0"/>
    </xf>
    <xf borderId="1" fillId="4" fontId="16" numFmtId="0" xfId="0" applyAlignment="1" applyBorder="1" applyFont="1">
      <alignment horizontal="left" shrinkToFit="0" vertical="center" wrapText="0"/>
    </xf>
    <xf borderId="1" fillId="4" fontId="16" numFmtId="0" xfId="0" applyAlignment="1" applyBorder="1" applyFont="1">
      <alignment horizontal="center" readingOrder="0" shrinkToFit="0" vertical="center" wrapText="0"/>
    </xf>
    <xf borderId="1" fillId="4" fontId="16" numFmtId="164" xfId="0" applyAlignment="1" applyBorder="1" applyFont="1" applyNumberFormat="1">
      <alignment readingOrder="0" shrinkToFit="0" vertical="center" wrapText="0"/>
    </xf>
    <xf borderId="1" fillId="4" fontId="16" numFmtId="165" xfId="0" applyAlignment="1" applyBorder="1" applyFont="1" applyNumberFormat="1">
      <alignment readingOrder="0" shrinkToFit="0" vertical="center" wrapText="0"/>
    </xf>
    <xf borderId="1" fillId="4" fontId="16" numFmtId="166" xfId="0" applyAlignment="1" applyBorder="1" applyFont="1" applyNumberFormat="1">
      <alignment readingOrder="0" shrinkToFit="0" vertical="center" wrapText="0"/>
    </xf>
    <xf borderId="1" fillId="4" fontId="16" numFmtId="14" xfId="0" applyAlignment="1" applyBorder="1" applyFont="1" applyNumberFormat="1">
      <alignment horizontal="center" shrinkToFit="0" vertical="center" wrapText="0"/>
    </xf>
    <xf borderId="1" fillId="4" fontId="16" numFmtId="0" xfId="0" applyAlignment="1" applyBorder="1" applyFont="1">
      <alignment readingOrder="0" shrinkToFit="0" vertical="center" wrapText="0"/>
    </xf>
    <xf borderId="1" fillId="4" fontId="16" numFmtId="0" xfId="0" applyAlignment="1" applyBorder="1" applyFont="1">
      <alignment horizontal="left" shrinkToFit="0" vertical="top" wrapText="0"/>
    </xf>
    <xf borderId="0" fillId="4" fontId="16" numFmtId="0" xfId="0" applyAlignment="1" applyFont="1">
      <alignment horizontal="left" shrinkToFit="0" vertical="top" wrapText="0"/>
    </xf>
    <xf borderId="0" fillId="0" fontId="17" numFmtId="167" xfId="0" applyAlignment="1" applyFont="1" applyNumberFormat="1">
      <alignment readingOrder="0" shrinkToFit="0" vertical="center" wrapText="0"/>
    </xf>
    <xf borderId="1" fillId="0" fontId="29" numFmtId="0" xfId="0" applyAlignment="1" applyBorder="1" applyFont="1">
      <alignment shrinkToFit="0" vertical="center" wrapText="1"/>
    </xf>
    <xf borderId="1" fillId="0" fontId="17" numFmtId="0" xfId="0" applyAlignment="1" applyBorder="1" applyFont="1">
      <alignment shrinkToFit="0" vertical="center" wrapText="0"/>
    </xf>
    <xf borderId="1" fillId="4" fontId="31" numFmtId="0" xfId="0" applyAlignment="1" applyBorder="1" applyFont="1">
      <alignment horizontal="left" readingOrder="0" shrinkToFit="0" vertical="center" wrapText="0"/>
    </xf>
    <xf borderId="1" fillId="4" fontId="16" numFmtId="0" xfId="0" applyAlignment="1" applyBorder="1" applyFont="1">
      <alignment readingOrder="0" shrinkToFit="0" vertical="center" wrapText="0"/>
    </xf>
    <xf borderId="1" fillId="5" fontId="12" numFmtId="0" xfId="0" applyAlignment="1" applyBorder="1" applyFont="1">
      <alignment readingOrder="0" shrinkToFit="0" vertical="center" wrapText="0"/>
    </xf>
    <xf borderId="1" fillId="0" fontId="32" numFmtId="0" xfId="0" applyAlignment="1" applyBorder="1" applyFont="1">
      <alignment readingOrder="0" shrinkToFit="0" vertical="center" wrapText="0"/>
    </xf>
    <xf borderId="1" fillId="4" fontId="16" numFmtId="0" xfId="0" applyAlignment="1" applyBorder="1" applyFont="1">
      <alignment readingOrder="0" shrinkToFit="0" vertical="center" wrapText="1"/>
    </xf>
    <xf borderId="1" fillId="4" fontId="16" numFmtId="49" xfId="0" applyAlignment="1" applyBorder="1" applyFont="1" applyNumberFormat="1">
      <alignment readingOrder="0" shrinkToFit="0" vertical="center" wrapText="1"/>
    </xf>
    <xf borderId="1" fillId="4" fontId="33" numFmtId="0" xfId="0" applyAlignment="1" applyBorder="1" applyFont="1">
      <alignment horizontal="left" readingOrder="0" shrinkToFit="0" vertical="top" wrapText="0"/>
    </xf>
    <xf borderId="1" fillId="4" fontId="30" numFmtId="0" xfId="0" applyAlignment="1" applyBorder="1" applyFont="1">
      <alignment horizontal="left" readingOrder="0" shrinkToFit="0" vertical="center" wrapText="1"/>
    </xf>
    <xf borderId="1" fillId="4" fontId="16" numFmtId="0" xfId="0" applyAlignment="1" applyBorder="1" applyFont="1">
      <alignment shrinkToFit="0" vertical="top" wrapText="1"/>
    </xf>
    <xf borderId="1" fillId="4" fontId="16" numFmtId="0" xfId="0" applyAlignment="1" applyBorder="1" applyFont="1">
      <alignment readingOrder="0" shrinkToFit="0" vertical="center" wrapText="1"/>
    </xf>
    <xf borderId="1" fillId="4" fontId="16" numFmtId="0" xfId="0" applyAlignment="1" applyBorder="1" applyFont="1">
      <alignment shrinkToFit="0" vertical="center" wrapText="1"/>
    </xf>
    <xf borderId="0" fillId="4" fontId="16" numFmtId="0" xfId="0" applyAlignment="1" applyFont="1">
      <alignment shrinkToFit="0" vertical="center" wrapText="1"/>
    </xf>
    <xf borderId="1" fillId="5" fontId="17" numFmtId="0" xfId="0" applyAlignment="1" applyBorder="1" applyFont="1">
      <alignment readingOrder="0" shrinkToFit="0" vertical="center" wrapText="1"/>
    </xf>
    <xf borderId="1" fillId="0" fontId="30" numFmtId="0" xfId="0" applyAlignment="1" applyBorder="1" applyFont="1">
      <alignment horizontal="left" readingOrder="0" shrinkToFit="0" vertical="center" wrapText="0"/>
    </xf>
    <xf borderId="1" fillId="4" fontId="16" numFmtId="0" xfId="0" applyAlignment="1" applyBorder="1" applyFont="1">
      <alignment readingOrder="0" shrinkToFit="0" vertical="center" wrapText="0"/>
    </xf>
    <xf borderId="1" fillId="4" fontId="28" numFmtId="0" xfId="0" applyAlignment="1" applyBorder="1" applyFont="1">
      <alignment horizontal="center" readingOrder="0" shrinkToFit="0" vertical="center" wrapText="0"/>
    </xf>
    <xf borderId="1" fillId="4" fontId="34" numFmtId="0" xfId="0" applyAlignment="1" applyBorder="1" applyFont="1">
      <alignment horizontal="left" shrinkToFit="0" vertical="center" wrapText="0"/>
    </xf>
    <xf borderId="1" fillId="4" fontId="16" numFmtId="0" xfId="0" applyAlignment="1" applyBorder="1" applyFont="1">
      <alignment horizontal="left" shrinkToFit="0" vertical="top" wrapText="0"/>
    </xf>
    <xf borderId="1" fillId="0" fontId="17" numFmtId="0" xfId="0" applyAlignment="1" applyBorder="1" applyFont="1">
      <alignment shrinkToFit="0" vertical="center" wrapText="0"/>
    </xf>
    <xf borderId="1" fillId="0" fontId="17" numFmtId="0" xfId="0" applyAlignment="1" applyBorder="1" applyFont="1">
      <alignment shrinkToFit="0" vertical="center" wrapText="0"/>
    </xf>
    <xf borderId="1" fillId="0" fontId="17" numFmtId="0" xfId="0" applyAlignment="1" applyBorder="1" applyFont="1">
      <alignment readingOrder="0" shrinkToFit="0" vertical="center" wrapText="0"/>
    </xf>
    <xf borderId="0" fillId="0" fontId="17" numFmtId="0" xfId="0" applyAlignment="1" applyFont="1">
      <alignment shrinkToFit="0" vertical="center" wrapText="0"/>
    </xf>
    <xf borderId="0" fillId="0" fontId="17" numFmtId="0" xfId="0" applyAlignment="1" applyFont="1">
      <alignment readingOrder="0" shrinkToFit="0" vertical="center" wrapText="0"/>
    </xf>
    <xf borderId="2" fillId="4" fontId="35" numFmtId="0" xfId="0" applyAlignment="1" applyBorder="1" applyFont="1">
      <alignment horizontal="left" readingOrder="0" shrinkToFit="0" vertical="top" wrapText="1"/>
    </xf>
    <xf borderId="2" fillId="4" fontId="36" numFmtId="0" xfId="0" applyAlignment="1" applyBorder="1" applyFont="1">
      <alignment readingOrder="0" shrinkToFit="0" vertical="center" wrapText="0"/>
    </xf>
    <xf borderId="2" fillId="4" fontId="37" numFmtId="0" xfId="0" applyAlignment="1" applyBorder="1" applyFont="1">
      <alignment readingOrder="0" shrinkToFit="0" vertical="center" wrapText="0"/>
    </xf>
    <xf borderId="1" fillId="4" fontId="20" numFmtId="0" xfId="0" applyAlignment="1" applyBorder="1" applyFont="1">
      <alignment horizontal="center" readingOrder="0" shrinkToFit="0" vertical="center" wrapText="0"/>
    </xf>
    <xf borderId="1" fillId="4" fontId="38" numFmtId="164" xfId="0" applyAlignment="1" applyBorder="1" applyFont="1" applyNumberFormat="1">
      <alignment horizontal="right" readingOrder="0" shrinkToFit="0" vertical="center" wrapText="0"/>
    </xf>
    <xf borderId="1" fillId="4" fontId="16" numFmtId="0" xfId="0" applyAlignment="1" applyBorder="1" applyFont="1">
      <alignment horizontal="center" readingOrder="0" shrinkToFit="0" vertical="center" wrapText="0"/>
    </xf>
    <xf borderId="2" fillId="0" fontId="39" numFmtId="0" xfId="0" applyAlignment="1" applyBorder="1" applyFont="1">
      <alignment horizontal="left" readingOrder="0" shrinkToFit="0" vertical="center" wrapText="0"/>
    </xf>
    <xf borderId="1" fillId="0" fontId="40" numFmtId="0" xfId="0" applyAlignment="1" applyBorder="1" applyFont="1">
      <alignment shrinkToFit="0" vertical="center" wrapText="0"/>
    </xf>
    <xf borderId="1" fillId="4" fontId="16" numFmtId="14" xfId="0" applyAlignment="1" applyBorder="1" applyFont="1" applyNumberFormat="1">
      <alignment horizontal="center" shrinkToFit="0" vertical="center" wrapText="0"/>
    </xf>
    <xf borderId="0" fillId="4" fontId="16" numFmtId="0" xfId="0" applyAlignment="1" applyFont="1">
      <alignment horizontal="center" readingOrder="0" shrinkToFit="0" vertical="top" wrapText="0"/>
    </xf>
    <xf borderId="1" fillId="0" fontId="17" numFmtId="0" xfId="0" applyAlignment="1" applyBorder="1" applyFont="1">
      <alignment readingOrder="0" shrinkToFit="0" vertical="center" wrapText="1"/>
    </xf>
    <xf borderId="1" fillId="0" fontId="17" numFmtId="0" xfId="0" applyAlignment="1" applyBorder="1" applyFont="1">
      <alignment shrinkToFit="0" vertical="center" wrapText="1"/>
    </xf>
    <xf borderId="1" fillId="4" fontId="30" numFmtId="0" xfId="0" applyAlignment="1" applyBorder="1" applyFont="1">
      <alignment horizontal="left" readingOrder="0" shrinkToFit="0" vertical="center" wrapText="0"/>
    </xf>
    <xf borderId="1" fillId="4" fontId="16" numFmtId="0" xfId="0" applyAlignment="1" applyBorder="1" applyFont="1">
      <alignment horizontal="left" shrinkToFit="0" vertical="center" wrapText="0"/>
    </xf>
    <xf borderId="1" fillId="4" fontId="16" numFmtId="0" xfId="0" applyAlignment="1" applyBorder="1" applyFont="1">
      <alignment horizontal="left" readingOrder="0" shrinkToFit="0" vertical="center" wrapText="0"/>
    </xf>
    <xf borderId="0" fillId="0" fontId="17" numFmtId="0" xfId="0" applyAlignment="1" applyFont="1">
      <alignment readingOrder="0" shrinkToFit="0" vertical="center" wrapText="0"/>
    </xf>
    <xf borderId="1" fillId="4" fontId="41" numFmtId="0" xfId="0" applyAlignment="1" applyBorder="1" applyFont="1">
      <alignment horizontal="left" readingOrder="0" shrinkToFit="0" vertical="center" wrapText="1"/>
    </xf>
    <xf borderId="1" fillId="4" fontId="20" numFmtId="0" xfId="0" applyAlignment="1" applyBorder="1" applyFont="1">
      <alignment readingOrder="0" shrinkToFit="0" vertical="center" wrapText="0"/>
    </xf>
    <xf borderId="1" fillId="4" fontId="41" numFmtId="0" xfId="0" applyAlignment="1" applyBorder="1" applyFont="1">
      <alignment horizontal="left" readingOrder="0" shrinkToFit="0" vertical="center" wrapText="0"/>
    </xf>
    <xf borderId="1" fillId="4" fontId="30" numFmtId="0" xfId="0" applyAlignment="1" applyBorder="1" applyFont="1">
      <alignment horizontal="left" readingOrder="0" shrinkToFit="0" vertical="center" wrapText="1"/>
    </xf>
    <xf borderId="1" fillId="0" fontId="17" numFmtId="0" xfId="0" applyAlignment="1" applyBorder="1" applyFont="1">
      <alignment readingOrder="0" shrinkToFit="0" vertical="center" wrapText="0"/>
    </xf>
    <xf borderId="1" fillId="4" fontId="41" numFmtId="0" xfId="0" applyAlignment="1" applyBorder="1" applyFont="1">
      <alignment horizontal="left" readingOrder="0" shrinkToFit="0" vertical="center" wrapText="0"/>
    </xf>
    <xf borderId="1" fillId="4" fontId="30" numFmtId="0" xfId="0" applyAlignment="1" applyBorder="1" applyFont="1">
      <alignment readingOrder="0" shrinkToFit="0" vertical="center" wrapText="1"/>
    </xf>
    <xf borderId="1" fillId="0" fontId="17" numFmtId="0" xfId="0" applyAlignment="1" applyBorder="1" applyFont="1">
      <alignment readingOrder="0" shrinkToFit="0" vertical="center" wrapText="0"/>
    </xf>
    <xf borderId="1" fillId="4" fontId="42" numFmtId="0" xfId="0" applyAlignment="1" applyBorder="1" applyFont="1">
      <alignment horizontal="center" readingOrder="0" shrinkToFit="0" vertical="center" wrapText="0"/>
    </xf>
    <xf borderId="1" fillId="4" fontId="43" numFmtId="0" xfId="0" applyAlignment="1" applyBorder="1" applyFont="1">
      <alignment horizontal="left" readingOrder="0" shrinkToFit="0" vertical="center" wrapText="0"/>
    </xf>
    <xf borderId="1" fillId="4" fontId="42" numFmtId="0" xfId="0" applyAlignment="1" applyBorder="1" applyFont="1">
      <alignment horizontal="center" readingOrder="0" shrinkToFit="0" vertical="center" wrapText="1"/>
    </xf>
    <xf borderId="1" fillId="4" fontId="16" numFmtId="0" xfId="0" applyAlignment="1" applyBorder="1" applyFont="1">
      <alignment horizontal="center" readingOrder="0" shrinkToFit="0" vertical="center" wrapText="1"/>
    </xf>
    <xf borderId="0" fillId="4" fontId="44" numFmtId="0" xfId="0" applyAlignment="1" applyFont="1">
      <alignment readingOrder="0" shrinkToFit="0" vertical="center" wrapText="1"/>
    </xf>
    <xf borderId="0" fillId="4" fontId="42" numFmtId="0" xfId="0" applyAlignment="1" applyFont="1">
      <alignment horizontal="center" readingOrder="0" shrinkToFit="0" vertical="center" wrapText="0"/>
    </xf>
    <xf borderId="0" fillId="4" fontId="16" numFmtId="0" xfId="0" applyAlignment="1" applyFont="1">
      <alignment horizontal="center" readingOrder="0" shrinkToFit="0" vertical="center" wrapText="0"/>
    </xf>
    <xf borderId="0" fillId="4" fontId="16" numFmtId="0" xfId="0" applyAlignment="1" applyFont="1">
      <alignment readingOrder="0" shrinkToFit="0" vertical="center" wrapText="0"/>
    </xf>
    <xf borderId="1" fillId="5" fontId="30" numFmtId="0" xfId="0" applyAlignment="1" applyBorder="1" applyFont="1">
      <alignment horizontal="left" readingOrder="0" shrinkToFit="0" vertical="center" wrapText="0"/>
    </xf>
    <xf borderId="0" fillId="4" fontId="16" numFmtId="14" xfId="0" applyAlignment="1" applyFont="1" applyNumberFormat="1">
      <alignment horizontal="center" shrinkToFit="0" vertical="center" wrapText="0"/>
    </xf>
    <xf borderId="0" fillId="4" fontId="16" numFmtId="0" xfId="0" applyAlignment="1" applyFont="1">
      <alignment horizontal="center" readingOrder="0" shrinkToFit="0" vertical="center" wrapText="0"/>
    </xf>
    <xf borderId="0" fillId="4" fontId="16" numFmtId="0" xfId="0" applyAlignment="1" applyFont="1">
      <alignment readingOrder="0" shrinkToFit="0" vertical="center" wrapText="0"/>
    </xf>
    <xf borderId="0" fillId="4" fontId="45" numFmtId="0" xfId="0" applyAlignment="1" applyFont="1">
      <alignment horizontal="left" readingOrder="0" shrinkToFit="0" vertical="top" wrapText="0"/>
    </xf>
    <xf borderId="0" fillId="4" fontId="16" numFmtId="0" xfId="0" applyAlignment="1" applyFont="1">
      <alignment horizontal="center" shrinkToFit="0" vertical="center" wrapText="0"/>
    </xf>
    <xf borderId="0" fillId="4" fontId="16" numFmtId="0" xfId="0" applyAlignment="1" applyFont="1">
      <alignment shrinkToFit="0" vertical="center" wrapText="0"/>
    </xf>
    <xf borderId="0" fillId="0" fontId="17" numFmtId="166" xfId="0" applyAlignment="1" applyFont="1" applyNumberFormat="1">
      <alignment shrinkToFit="0" vertical="center" wrapText="0"/>
    </xf>
    <xf borderId="0" fillId="4" fontId="46" numFmtId="0" xfId="0" applyAlignment="1" applyFont="1">
      <alignment readingOrder="0" shrinkToFit="0" vertical="center" wrapText="0"/>
    </xf>
    <xf borderId="0" fillId="4" fontId="16" numFmtId="0" xfId="0" applyAlignment="1" applyFont="1">
      <alignment readingOrder="0" shrinkToFit="0" vertical="center" wrapText="0"/>
    </xf>
    <xf borderId="1" fillId="4" fontId="30" numFmtId="0" xfId="0" applyAlignment="1" applyBorder="1" applyFont="1">
      <alignment horizontal="left" shrinkToFit="0" vertical="center" wrapText="1"/>
    </xf>
    <xf borderId="0" fillId="4" fontId="47" numFmtId="0" xfId="0" applyAlignment="1" applyFont="1">
      <alignment horizontal="left" readingOrder="0" shrinkToFit="0" vertical="top" wrapText="0"/>
    </xf>
    <xf borderId="1" fillId="4" fontId="16" numFmtId="165" xfId="0" applyAlignment="1" applyBorder="1" applyFont="1" applyNumberFormat="1">
      <alignment readingOrder="0" shrinkToFit="0" vertical="center" wrapText="0"/>
    </xf>
    <xf borderId="1" fillId="0" fontId="17" numFmtId="164" xfId="0" applyAlignment="1" applyBorder="1" applyFont="1" applyNumberFormat="1">
      <alignment readingOrder="0" shrinkToFit="0" vertical="center" wrapText="0"/>
    </xf>
    <xf borderId="0" fillId="0" fontId="17" numFmtId="164" xfId="0" applyAlignment="1" applyFont="1" applyNumberFormat="1">
      <alignment readingOrder="0" shrinkToFit="0" vertical="center" wrapText="0"/>
    </xf>
    <xf borderId="1" fillId="4" fontId="16" numFmtId="0" xfId="0" applyAlignment="1" applyBorder="1" applyFont="1">
      <alignment shrinkToFit="0" vertical="center" wrapText="1"/>
    </xf>
    <xf borderId="0" fillId="4" fontId="30" numFmtId="0" xfId="0" applyAlignment="1" applyFont="1">
      <alignment horizontal="left" readingOrder="0" shrinkToFit="0" vertical="center" wrapText="0"/>
    </xf>
    <xf borderId="0" fillId="4" fontId="16" numFmtId="0" xfId="0" applyAlignment="1" applyFont="1">
      <alignment horizontal="left" shrinkToFit="0" vertical="center" wrapText="0"/>
    </xf>
    <xf borderId="0" fillId="4" fontId="16" numFmtId="164" xfId="0" applyAlignment="1" applyFont="1" applyNumberFormat="1">
      <alignment readingOrder="0" shrinkToFit="0" vertical="center" wrapText="0"/>
    </xf>
    <xf borderId="0" fillId="4" fontId="16" numFmtId="165" xfId="0" applyAlignment="1" applyFont="1" applyNumberFormat="1">
      <alignment readingOrder="0" shrinkToFit="0" vertical="center" wrapText="0"/>
    </xf>
    <xf borderId="0" fillId="4" fontId="16" numFmtId="166" xfId="0" applyAlignment="1" applyFont="1" applyNumberFormat="1">
      <alignment readingOrder="0" shrinkToFit="0" vertical="center" wrapText="0"/>
    </xf>
    <xf borderId="1" fillId="0" fontId="17" numFmtId="165" xfId="0" applyAlignment="1" applyBorder="1" applyFont="1" applyNumberFormat="1">
      <alignment readingOrder="0" shrinkToFit="0" vertical="center" wrapText="0"/>
    </xf>
    <xf borderId="1" fillId="5" fontId="17" numFmtId="0" xfId="0" applyAlignment="1" applyBorder="1" applyFont="1">
      <alignment readingOrder="0" shrinkToFit="0" vertical="center" wrapText="0"/>
    </xf>
    <xf borderId="1" fillId="4" fontId="16" numFmtId="164" xfId="0" applyAlignment="1" applyBorder="1" applyFont="1" applyNumberFormat="1">
      <alignment horizontal="center" readingOrder="0" shrinkToFit="0" vertical="center" wrapText="0"/>
    </xf>
    <xf borderId="1" fillId="4" fontId="30" numFmtId="0" xfId="0" applyAlignment="1" applyBorder="1" applyFont="1">
      <alignment horizontal="left" readingOrder="0" shrinkToFit="0" vertical="center" wrapText="0"/>
    </xf>
    <xf borderId="0" fillId="0" fontId="17" numFmtId="165" xfId="0" applyAlignment="1" applyFont="1" applyNumberFormat="1">
      <alignment shrinkToFit="0" vertical="center" wrapText="0"/>
    </xf>
    <xf borderId="0" fillId="0" fontId="17" numFmtId="0" xfId="0" applyAlignment="1" applyFont="1">
      <alignment readingOrder="0" shrinkToFit="0" vertical="center" wrapText="0"/>
    </xf>
    <xf borderId="1" fillId="4" fontId="16" numFmtId="0" xfId="0" applyAlignment="1" applyBorder="1" applyFont="1">
      <alignment horizontal="left" readingOrder="0" shrinkToFit="0" vertical="top" wrapText="0"/>
    </xf>
    <xf borderId="1" fillId="4" fontId="48" numFmtId="0" xfId="0" applyAlignment="1" applyBorder="1" applyFont="1">
      <alignment horizontal="left" readingOrder="0" shrinkToFit="0" vertical="top" wrapText="0"/>
    </xf>
    <xf borderId="1" fillId="4" fontId="16" numFmtId="167" xfId="0" applyAlignment="1" applyBorder="1" applyFont="1" applyNumberFormat="1">
      <alignment horizontal="center" readingOrder="0" shrinkToFit="0" vertical="center" wrapText="0"/>
    </xf>
    <xf borderId="1" fillId="4" fontId="28" numFmtId="164" xfId="0" applyAlignment="1" applyBorder="1" applyFont="1" applyNumberFormat="1">
      <alignment horizontal="center" readingOrder="0" shrinkToFit="0" vertical="center" wrapText="0"/>
    </xf>
    <xf borderId="0" fillId="0" fontId="17" numFmtId="165" xfId="0" applyAlignment="1" applyFont="1" applyNumberFormat="1">
      <alignment readingOrder="0" shrinkToFit="0" vertical="center" wrapText="0"/>
    </xf>
    <xf borderId="1" fillId="4" fontId="49" numFmtId="0" xfId="0" applyAlignment="1" applyBorder="1" applyFont="1">
      <alignment readingOrder="0" shrinkToFit="0" vertical="center" wrapText="0"/>
    </xf>
    <xf borderId="1" fillId="4" fontId="16" numFmtId="167" xfId="0" applyAlignment="1" applyBorder="1" applyFont="1" applyNumberFormat="1">
      <alignment readingOrder="0" shrinkToFit="0" vertical="center" wrapText="0"/>
    </xf>
    <xf borderId="1" fillId="4" fontId="50" numFmtId="0" xfId="0" applyAlignment="1" applyBorder="1" applyFont="1">
      <alignment readingOrder="0" shrinkToFit="0" vertical="center" wrapText="1"/>
    </xf>
    <xf borderId="0" fillId="0" fontId="17" numFmtId="165" xfId="0" applyAlignment="1" applyFont="1" applyNumberFormat="1">
      <alignment shrinkToFit="0" vertical="center" wrapText="0"/>
    </xf>
    <xf borderId="0" fillId="4" fontId="16" numFmtId="165" xfId="0" applyAlignment="1" applyFont="1" applyNumberFormat="1">
      <alignment shrinkToFit="0" vertical="center" wrapText="0"/>
    </xf>
    <xf borderId="0" fillId="0" fontId="32" numFmtId="0" xfId="0" applyAlignment="1" applyFont="1">
      <alignment readingOrder="0" shrinkToFit="0" vertical="center" wrapText="0"/>
    </xf>
    <xf borderId="0" fillId="4" fontId="16" numFmtId="165" xfId="0" applyAlignment="1" applyFont="1" applyNumberFormat="1">
      <alignment readingOrder="0" shrinkToFit="0" vertical="center" wrapText="0"/>
    </xf>
    <xf borderId="0" fillId="0" fontId="17" numFmtId="166" xfId="0" applyAlignment="1" applyFont="1" applyNumberFormat="1">
      <alignment readingOrder="0" shrinkToFit="0" vertical="center" wrapText="0"/>
    </xf>
    <xf borderId="1" fillId="0" fontId="51" numFmtId="0" xfId="0" applyAlignment="1" applyBorder="1" applyFont="1">
      <alignment horizontal="left" readingOrder="0" shrinkToFit="0" vertical="center" wrapText="1"/>
    </xf>
    <xf borderId="1" fillId="4" fontId="52" numFmtId="0" xfId="0" applyAlignment="1" applyBorder="1" applyFont="1">
      <alignment horizontal="left" readingOrder="0" shrinkToFit="0" vertical="center" wrapText="0"/>
    </xf>
    <xf borderId="1" fillId="4" fontId="42" numFmtId="14" xfId="0" applyAlignment="1" applyBorder="1" applyFont="1" applyNumberFormat="1">
      <alignment horizontal="center" shrinkToFit="0" vertical="center" wrapText="0"/>
    </xf>
    <xf borderId="1" fillId="0" fontId="29" numFmtId="0" xfId="0" applyAlignment="1" applyBorder="1" applyFont="1">
      <alignment readingOrder="0" shrinkToFit="0" vertical="center" wrapText="0"/>
    </xf>
    <xf borderId="1" fillId="4" fontId="7" numFmtId="0" xfId="0" applyAlignment="1" applyBorder="1" applyFont="1">
      <alignment horizontal="center" readingOrder="0" shrinkToFit="0" vertical="center" wrapText="0"/>
    </xf>
    <xf borderId="1" fillId="5" fontId="29" numFmtId="0" xfId="0" applyAlignment="1" applyBorder="1" applyFont="1">
      <alignment readingOrder="0" shrinkToFit="0" vertical="center" wrapText="0"/>
    </xf>
    <xf borderId="1" fillId="5" fontId="17" numFmtId="0" xfId="0" applyAlignment="1" applyBorder="1" applyFont="1">
      <alignment shrinkToFit="0" vertical="center" wrapText="0"/>
    </xf>
    <xf borderId="0" fillId="5" fontId="32" numFmtId="0" xfId="0" applyAlignment="1" applyFont="1">
      <alignment readingOrder="0" shrinkToFit="0" vertical="center" wrapText="0"/>
    </xf>
    <xf borderId="0" fillId="0" fontId="32" numFmtId="0" xfId="0" applyAlignment="1" applyFont="1">
      <alignment readingOrder="0" shrinkToFit="0" vertical="center" wrapText="0"/>
    </xf>
    <xf borderId="1" fillId="4" fontId="53" numFmtId="0" xfId="0" applyAlignment="1" applyBorder="1" applyFont="1">
      <alignment readingOrder="0" shrinkToFit="0" vertical="center" wrapText="1"/>
    </xf>
    <xf borderId="0" fillId="4" fontId="30" numFmtId="0" xfId="0" applyAlignment="1" applyFont="1">
      <alignment horizontal="left" readingOrder="0" shrinkToFit="0" vertical="center" wrapText="1"/>
    </xf>
    <xf borderId="1" fillId="4" fontId="54" numFmtId="0" xfId="0" applyAlignment="1" applyBorder="1" applyFont="1">
      <alignment readingOrder="0" shrinkToFit="0" vertical="center" wrapText="1"/>
    </xf>
    <xf borderId="0" fillId="4" fontId="55" numFmtId="0" xfId="0" applyAlignment="1" applyFont="1">
      <alignment horizontal="left" readingOrder="0" shrinkToFit="0" vertical="top" wrapText="0"/>
    </xf>
    <xf borderId="0" fillId="4" fontId="16" numFmtId="0" xfId="0" applyAlignment="1" applyFont="1">
      <alignment horizontal="left" readingOrder="0" shrinkToFit="0" vertical="top" wrapText="0"/>
    </xf>
    <xf borderId="1" fillId="0" fontId="56"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57" numFmtId="165" xfId="0" applyAlignment="1" applyBorder="1" applyFont="1" applyNumberFormat="1">
      <alignment horizontal="center" readingOrder="0" shrinkToFit="0" vertical="center" wrapText="0"/>
    </xf>
    <xf borderId="1" fillId="4" fontId="16" numFmtId="164" xfId="0" applyAlignment="1" applyBorder="1" applyFont="1" applyNumberFormat="1">
      <alignment horizontal="center" shrinkToFit="0" vertical="center" wrapText="0"/>
    </xf>
    <xf borderId="1" fillId="4" fontId="16" numFmtId="0" xfId="0" applyAlignment="1" applyBorder="1" applyFont="1">
      <alignment horizontal="left" shrinkToFit="0" vertical="top" wrapText="1"/>
    </xf>
    <xf borderId="1" fillId="0" fontId="30" numFmtId="164" xfId="0" applyAlignment="1" applyBorder="1" applyFont="1" applyNumberFormat="1">
      <alignment horizontal="center" shrinkToFit="0" vertical="center" wrapText="0"/>
    </xf>
    <xf borderId="1" fillId="0" fontId="30" numFmtId="165" xfId="0" applyAlignment="1" applyBorder="1" applyFont="1" applyNumberFormat="1">
      <alignment horizontal="center" shrinkToFit="0" vertical="center" wrapText="0"/>
    </xf>
    <xf borderId="1" fillId="4" fontId="16" numFmtId="165" xfId="0" applyAlignment="1" applyBorder="1" applyFont="1" applyNumberFormat="1">
      <alignment shrinkToFit="0" vertical="center" wrapText="0"/>
    </xf>
    <xf borderId="1" fillId="0" fontId="30" numFmtId="165" xfId="0" applyAlignment="1" applyBorder="1" applyFont="1" applyNumberFormat="1">
      <alignment horizontal="center" readingOrder="0" shrinkToFit="0" vertical="center" wrapText="0"/>
    </xf>
    <xf borderId="1" fillId="0" fontId="30" numFmtId="166" xfId="0" applyAlignment="1" applyBorder="1" applyFont="1" applyNumberFormat="1">
      <alignment horizontal="center" readingOrder="0" shrinkToFit="0" vertical="center" wrapText="0"/>
    </xf>
    <xf borderId="1" fillId="4" fontId="16" numFmtId="166" xfId="0" applyAlignment="1" applyBorder="1" applyFont="1" applyNumberFormat="1">
      <alignment readingOrder="0" shrinkToFit="0" vertical="center" wrapText="1"/>
    </xf>
    <xf borderId="1" fillId="5" fontId="29" numFmtId="0" xfId="0" applyAlignment="1" applyBorder="1" applyFont="1">
      <alignment readingOrder="0" shrinkToFit="0" vertical="center" wrapText="1"/>
    </xf>
    <xf borderId="0" fillId="0" fontId="17" numFmtId="0" xfId="0" applyAlignment="1" applyFont="1">
      <alignment readingOrder="0" shrinkToFit="0" vertical="center" wrapText="1"/>
    </xf>
    <xf borderId="0" fillId="4" fontId="28" numFmtId="0" xfId="0" applyAlignment="1" applyFont="1">
      <alignment horizontal="center" readingOrder="0" shrinkToFit="0" vertical="center" wrapText="0"/>
    </xf>
    <xf borderId="0" fillId="0" fontId="12" numFmtId="0" xfId="0" applyAlignment="1" applyFont="1">
      <alignment shrinkToFit="0" vertical="center" wrapText="0"/>
    </xf>
    <xf borderId="0" fillId="4" fontId="16" numFmtId="167" xfId="0" applyAlignment="1" applyFont="1" applyNumberFormat="1">
      <alignment horizontal="center" readingOrder="0" shrinkToFit="0" vertical="center" wrapText="0"/>
    </xf>
    <xf borderId="0" fillId="4" fontId="16" numFmtId="49" xfId="0" applyAlignment="1" applyFont="1" applyNumberFormat="1">
      <alignment shrinkToFit="0" vertical="top" wrapText="0"/>
    </xf>
    <xf borderId="0" fillId="4" fontId="16" numFmtId="3" xfId="0" applyAlignment="1" applyFont="1" applyNumberFormat="1">
      <alignment horizontal="center" readingOrder="0" shrinkToFit="0" vertical="center" wrapText="0"/>
    </xf>
    <xf borderId="0" fillId="4" fontId="16" numFmtId="0" xfId="0" applyAlignment="1" applyFont="1">
      <alignment horizontal="left" shrinkToFit="0" vertical="top" wrapText="0"/>
    </xf>
    <xf borderId="0" fillId="7" fontId="32" numFmtId="0" xfId="0" applyAlignment="1" applyFill="1" applyFont="1">
      <alignment shrinkToFit="0" vertical="center" wrapText="0"/>
    </xf>
    <xf borderId="0" fillId="7" fontId="32" numFmtId="0" xfId="0" applyAlignment="1" applyFont="1">
      <alignment readingOrder="0" shrinkToFit="0" vertical="center" wrapText="0"/>
    </xf>
    <xf borderId="0" fillId="8" fontId="58" numFmtId="49" xfId="0" applyAlignment="1" applyFill="1" applyFont="1" applyNumberFormat="1">
      <alignment horizontal="center" readingOrder="0" shrinkToFit="0" vertical="center" wrapText="1"/>
    </xf>
    <xf borderId="3" fillId="9" fontId="59" numFmtId="49" xfId="0" applyAlignment="1" applyBorder="1" applyFill="1" applyFont="1" applyNumberFormat="1">
      <alignment horizontal="center" readingOrder="0" shrinkToFit="0" vertical="center" wrapText="0"/>
    </xf>
    <xf borderId="0" fillId="0" fontId="60" numFmtId="0" xfId="0" applyAlignment="1" applyFont="1">
      <alignment horizontal="center" readingOrder="0" shrinkToFit="0" vertical="center" wrapText="1"/>
    </xf>
    <xf borderId="0" fillId="2" fontId="61" numFmtId="49" xfId="0" applyAlignment="1" applyFont="1" applyNumberFormat="1">
      <alignment horizontal="center" readingOrder="0" shrinkToFit="0" vertical="center" wrapText="1"/>
    </xf>
    <xf borderId="0" fillId="8" fontId="7" numFmtId="0" xfId="0" applyAlignment="1" applyFont="1">
      <alignment horizontal="center" readingOrder="0" shrinkToFit="0" vertical="top" wrapText="1"/>
    </xf>
    <xf borderId="1" fillId="4" fontId="62" numFmtId="0" xfId="0" applyAlignment="1" applyBorder="1" applyFont="1">
      <alignment horizontal="center" readingOrder="0" shrinkToFit="0" vertical="center" wrapText="1"/>
    </xf>
    <xf borderId="1" fillId="4" fontId="63" numFmtId="0" xfId="0" applyAlignment="1" applyBorder="1" applyFont="1">
      <alignment readingOrder="0" shrinkToFit="0" vertical="center" wrapText="1"/>
    </xf>
    <xf borderId="1" fillId="4" fontId="64" numFmtId="0" xfId="0" applyAlignment="1" applyBorder="1" applyFont="1">
      <alignment horizontal="center" shrinkToFit="0" vertical="center" wrapText="1"/>
    </xf>
    <xf borderId="1" fillId="4" fontId="7" numFmtId="0" xfId="0" applyAlignment="1" applyBorder="1" applyFont="1">
      <alignment horizontal="center" readingOrder="0" shrinkToFit="0" vertical="center" wrapText="0"/>
    </xf>
    <xf borderId="1" fillId="0" fontId="17" numFmtId="164" xfId="0" applyAlignment="1" applyBorder="1" applyFont="1" applyNumberFormat="1">
      <alignment shrinkToFit="0" vertical="center" wrapText="0"/>
    </xf>
    <xf borderId="1" fillId="4" fontId="7" numFmtId="166" xfId="0" applyAlignment="1" applyBorder="1" applyFont="1" applyNumberFormat="1">
      <alignment readingOrder="0" shrinkToFit="0" vertical="center" wrapText="0"/>
    </xf>
    <xf borderId="1" fillId="4" fontId="16" numFmtId="0" xfId="0" applyAlignment="1" applyBorder="1" applyFont="1">
      <alignment horizontal="left" readingOrder="0" shrinkToFit="0" vertical="bottom" wrapText="0"/>
    </xf>
    <xf borderId="1" fillId="4" fontId="65" numFmtId="49" xfId="0" applyAlignment="1" applyBorder="1" applyFont="1" applyNumberFormat="1">
      <alignment readingOrder="0" shrinkToFit="0" vertical="center" wrapText="1"/>
    </xf>
    <xf borderId="1" fillId="0" fontId="66" numFmtId="0" xfId="0" applyAlignment="1" applyBorder="1" applyFont="1">
      <alignment horizontal="left" readingOrder="0" shrinkToFit="0" vertical="center" wrapText="1"/>
    </xf>
    <xf borderId="1" fillId="4" fontId="67" numFmtId="0" xfId="0" applyAlignment="1" applyBorder="1" applyFont="1">
      <alignment readingOrder="0" shrinkToFit="0" vertical="center" wrapText="1"/>
    </xf>
    <xf borderId="1" fillId="4" fontId="68" numFmtId="0" xfId="0" applyAlignment="1" applyBorder="1" applyFont="1">
      <alignment readingOrder="0" shrinkToFit="0" vertical="center" wrapText="1"/>
    </xf>
    <xf borderId="1" fillId="4" fontId="69" numFmtId="0" xfId="0" applyAlignment="1" applyBorder="1" applyFont="1">
      <alignment horizontal="center" readingOrder="0" shrinkToFit="0" vertical="center" wrapText="0"/>
    </xf>
    <xf borderId="1" fillId="0" fontId="70" numFmtId="0" xfId="0" applyAlignment="1" applyBorder="1" applyFont="1">
      <alignment horizontal="left" readingOrder="0" shrinkToFit="0" vertical="center" wrapText="1"/>
    </xf>
    <xf borderId="1" fillId="4" fontId="7" numFmtId="165" xfId="0" applyAlignment="1" applyBorder="1" applyFont="1" applyNumberFormat="1">
      <alignment readingOrder="0" shrinkToFit="0" vertical="center" wrapText="1"/>
    </xf>
    <xf borderId="1" fillId="4" fontId="71" numFmtId="0" xfId="0" applyAlignment="1" applyBorder="1" applyFont="1">
      <alignment horizontal="center" readingOrder="0" shrinkToFit="0" vertical="center" wrapText="0"/>
    </xf>
    <xf borderId="1" fillId="0" fontId="72" numFmtId="0" xfId="0" applyAlignment="1" applyBorder="1" applyFont="1">
      <alignment horizontal="left" readingOrder="0" shrinkToFit="0" textRotation="0" vertical="center" wrapText="0"/>
    </xf>
    <xf borderId="1" fillId="4" fontId="73" numFmtId="0" xfId="0" applyAlignment="1" applyBorder="1" applyFont="1">
      <alignment horizontal="center" shrinkToFit="0" vertical="center" wrapText="0"/>
    </xf>
    <xf borderId="1" fillId="4" fontId="16" numFmtId="0" xfId="0" applyAlignment="1" applyBorder="1" applyFont="1">
      <alignment shrinkToFit="0" vertical="center" wrapText="0"/>
    </xf>
    <xf borderId="1" fillId="4" fontId="7" numFmtId="164" xfId="0" applyAlignment="1" applyBorder="1" applyFont="1" applyNumberFormat="1">
      <alignment shrinkToFit="0" vertical="center" wrapText="0"/>
    </xf>
    <xf borderId="1" fillId="4" fontId="7" numFmtId="0" xfId="0" applyAlignment="1" applyBorder="1" applyFont="1">
      <alignment horizontal="left" readingOrder="0" shrinkToFit="0" vertical="top" wrapText="1"/>
    </xf>
    <xf borderId="1" fillId="0" fontId="30" numFmtId="0" xfId="0" applyAlignment="1" applyBorder="1" applyFont="1">
      <alignment horizontal="left" readingOrder="0" shrinkToFit="0" textRotation="0" vertical="center" wrapText="0"/>
    </xf>
    <xf borderId="1" fillId="4" fontId="16" numFmtId="0" xfId="0" applyAlignment="1" applyBorder="1" applyFont="1">
      <alignment readingOrder="0" shrinkToFit="0" vertical="center" wrapText="1"/>
    </xf>
    <xf borderId="1" fillId="4" fontId="74" numFmtId="0" xfId="0" applyAlignment="1" applyBorder="1" applyFont="1">
      <alignment horizontal="center" shrinkToFit="0" vertical="center" wrapText="0"/>
    </xf>
    <xf borderId="1" fillId="4" fontId="7" numFmtId="0" xfId="0" applyAlignment="1" applyBorder="1" applyFont="1">
      <alignment horizontal="left" shrinkToFit="0" vertical="top" wrapText="1"/>
    </xf>
    <xf borderId="1" fillId="0" fontId="75" numFmtId="0" xfId="0" applyAlignment="1" applyBorder="1" applyFont="1">
      <alignment horizontal="left" readingOrder="0" shrinkToFit="0" vertical="center" wrapText="0"/>
    </xf>
    <xf borderId="1" fillId="4" fontId="16" numFmtId="0" xfId="0" applyAlignment="1" applyBorder="1" applyFont="1">
      <alignment readingOrder="0" shrinkToFit="0" vertical="top" wrapText="0"/>
    </xf>
    <xf borderId="1" fillId="4" fontId="16" numFmtId="0" xfId="0" applyAlignment="1" applyBorder="1" applyFont="1">
      <alignment readingOrder="0" shrinkToFit="0" vertical="top" wrapText="0"/>
    </xf>
    <xf borderId="1" fillId="4" fontId="76" numFmtId="0" xfId="0" applyAlignment="1" applyBorder="1" applyFont="1">
      <alignment horizontal="center" shrinkToFit="0" vertical="center" wrapText="1"/>
    </xf>
    <xf borderId="1" fillId="4" fontId="16" numFmtId="0" xfId="0" applyAlignment="1" applyBorder="1" applyFont="1">
      <alignment shrinkToFit="0" vertical="center" wrapText="0"/>
    </xf>
    <xf borderId="1" fillId="5" fontId="77" numFmtId="0" xfId="0" applyAlignment="1" applyBorder="1" applyFont="1">
      <alignment horizontal="center" readingOrder="0" shrinkToFit="0" vertical="center" wrapText="1"/>
    </xf>
    <xf borderId="1" fillId="4" fontId="78" numFmtId="0" xfId="0" applyAlignment="1" applyBorder="1" applyFont="1">
      <alignment horizontal="center" shrinkToFit="0" vertical="center" wrapText="1"/>
    </xf>
    <xf borderId="1" fillId="4" fontId="79" numFmtId="0" xfId="0" applyAlignment="1" applyBorder="1" applyFont="1">
      <alignment readingOrder="0" shrinkToFit="0" vertical="center" wrapText="0"/>
    </xf>
    <xf borderId="2" fillId="0" fontId="80" numFmtId="0" xfId="0" applyAlignment="1" applyBorder="1" applyFont="1">
      <alignment horizontal="left" readingOrder="0" shrinkToFit="0" vertical="top" wrapText="1"/>
    </xf>
    <xf borderId="2" fillId="4" fontId="81" numFmtId="0" xfId="0" applyAlignment="1" applyBorder="1" applyFont="1">
      <alignment readingOrder="0" shrinkToFit="0" vertical="center" wrapText="0"/>
    </xf>
    <xf borderId="2" fillId="4" fontId="82" numFmtId="0" xfId="0" applyAlignment="1" applyBorder="1" applyFont="1">
      <alignment readingOrder="0" shrinkToFit="0" vertical="center" wrapText="0"/>
    </xf>
    <xf borderId="1" fillId="4" fontId="83" numFmtId="0" xfId="0" applyAlignment="1" applyBorder="1" applyFont="1">
      <alignment readingOrder="0" shrinkToFit="0" vertical="center" wrapText="0"/>
    </xf>
    <xf borderId="1" fillId="4" fontId="84" numFmtId="0" xfId="0" applyAlignment="1" applyBorder="1" applyFont="1">
      <alignment readingOrder="0" shrinkToFit="0" vertical="center" wrapText="0"/>
    </xf>
    <xf borderId="1" fillId="4" fontId="85" numFmtId="0" xfId="0" applyAlignment="1" applyBorder="1" applyFont="1">
      <alignment readingOrder="0" shrinkToFit="0" vertical="center" wrapText="0"/>
    </xf>
    <xf borderId="1" fillId="4" fontId="7" numFmtId="164" xfId="0" applyAlignment="1" applyBorder="1" applyFont="1" applyNumberFormat="1">
      <alignment readingOrder="0" shrinkToFit="0" vertical="center" wrapText="0"/>
    </xf>
    <xf borderId="1" fillId="4" fontId="86" numFmtId="0" xfId="0" applyAlignment="1" applyBorder="1" applyFont="1">
      <alignment horizontal="center" shrinkToFit="0" vertical="center" wrapText="1"/>
    </xf>
    <xf borderId="1" fillId="4" fontId="87" numFmtId="0" xfId="0" applyAlignment="1" applyBorder="1" applyFont="1">
      <alignment horizontal="center" readingOrder="0" shrinkToFit="0" vertical="center" wrapText="1"/>
    </xf>
    <xf borderId="1" fillId="10" fontId="88" numFmtId="0" xfId="0" applyAlignment="1" applyBorder="1" applyFill="1" applyFont="1">
      <alignment readingOrder="0" shrinkToFit="0" vertical="center" wrapText="0"/>
    </xf>
    <xf borderId="1" fillId="4" fontId="89" numFmtId="0" xfId="0" applyAlignment="1" applyBorder="1" applyFont="1">
      <alignment readingOrder="0" shrinkToFit="0" vertical="center" wrapText="0"/>
    </xf>
    <xf borderId="1" fillId="10" fontId="90" numFmtId="0" xfId="0" applyAlignment="1" applyBorder="1" applyFont="1">
      <alignment horizontal="center" shrinkToFit="0" vertical="center" wrapText="1"/>
    </xf>
    <xf borderId="1" fillId="4" fontId="91" numFmtId="0" xfId="0" applyAlignment="1" applyBorder="1" applyFont="1">
      <alignment readingOrder="0" shrinkToFit="0" vertical="center" wrapText="0"/>
    </xf>
    <xf borderId="1" fillId="4" fontId="92" numFmtId="0" xfId="0" applyAlignment="1" applyBorder="1" applyFont="1">
      <alignment horizontal="center" readingOrder="0" shrinkToFit="0" vertical="center" wrapText="0"/>
    </xf>
    <xf borderId="1" fillId="4" fontId="92" numFmtId="164" xfId="0" applyAlignment="1" applyBorder="1" applyFont="1" applyNumberFormat="1">
      <alignment horizontal="right" readingOrder="0" shrinkToFit="0" vertical="center" wrapText="0"/>
    </xf>
    <xf borderId="1" fillId="4" fontId="92" numFmtId="165" xfId="0" applyAlignment="1" applyBorder="1" applyFont="1" applyNumberFormat="1">
      <alignment horizontal="right" readingOrder="0" shrinkToFit="0" vertical="center" wrapText="0"/>
    </xf>
    <xf borderId="1" fillId="4" fontId="89" numFmtId="164" xfId="0" applyAlignment="1" applyBorder="1" applyFont="1" applyNumberFormat="1">
      <alignment shrinkToFit="0" vertical="center" wrapText="0"/>
    </xf>
    <xf borderId="1" fillId="4" fontId="89" numFmtId="166" xfId="0" applyAlignment="1" applyBorder="1" applyFont="1" applyNumberFormat="1">
      <alignment shrinkToFit="0" vertical="center" wrapText="0"/>
    </xf>
    <xf borderId="1" fillId="10" fontId="92" numFmtId="0" xfId="0" applyAlignment="1" applyBorder="1" applyFont="1">
      <alignment readingOrder="0" shrinkToFit="0" vertical="top" wrapText="0"/>
    </xf>
    <xf borderId="1" fillId="10" fontId="93" numFmtId="49" xfId="0" applyAlignment="1" applyBorder="1" applyFont="1" applyNumberFormat="1">
      <alignment shrinkToFit="0" vertical="center" wrapText="1"/>
    </xf>
    <xf borderId="1" fillId="10" fontId="89" numFmtId="0" xfId="0" applyAlignment="1" applyBorder="1" applyFont="1">
      <alignment shrinkToFit="0" vertical="top" wrapText="0"/>
    </xf>
    <xf borderId="1" fillId="4" fontId="94" numFmtId="0" xfId="0" applyAlignment="1" applyBorder="1" applyFont="1">
      <alignment readingOrder="0" shrinkToFit="0" vertical="center" wrapText="0"/>
    </xf>
    <xf borderId="1" fillId="10" fontId="95" numFmtId="165" xfId="0" applyAlignment="1" applyBorder="1" applyFont="1" applyNumberFormat="1">
      <alignment horizontal="right" readingOrder="0" shrinkToFit="0" vertical="center" wrapText="0"/>
    </xf>
    <xf borderId="1" fillId="10" fontId="95" numFmtId="0" xfId="0" applyAlignment="1" applyBorder="1" applyFont="1">
      <alignment readingOrder="0" shrinkToFit="0" vertical="top" wrapText="0"/>
    </xf>
    <xf borderId="1" fillId="4" fontId="96" numFmtId="0" xfId="0" applyAlignment="1" applyBorder="1" applyFont="1">
      <alignment shrinkToFit="0" vertical="center" wrapText="0"/>
    </xf>
    <xf borderId="1" fillId="10" fontId="97" numFmtId="0" xfId="0" applyAlignment="1" applyBorder="1" applyFont="1">
      <alignment horizontal="center" readingOrder="0" shrinkToFit="0" vertical="center" wrapText="1"/>
    </xf>
    <xf borderId="1" fillId="4" fontId="98" numFmtId="0" xfId="0" applyAlignment="1" applyBorder="1" applyFont="1">
      <alignment shrinkToFit="0" vertical="center" wrapText="0"/>
    </xf>
    <xf borderId="1" fillId="4" fontId="89" numFmtId="0" xfId="0" applyAlignment="1" applyBorder="1" applyFont="1">
      <alignment shrinkToFit="0" vertical="center" wrapText="0"/>
    </xf>
    <xf borderId="1" fillId="10" fontId="99" numFmtId="0" xfId="0" applyAlignment="1" applyBorder="1" applyFont="1">
      <alignment horizontal="center" shrinkToFit="0" vertical="center" wrapText="1"/>
    </xf>
    <xf borderId="1" fillId="4" fontId="100" numFmtId="0" xfId="0" applyAlignment="1" applyBorder="1" applyFont="1">
      <alignment shrinkToFit="0" vertical="center" wrapText="0"/>
    </xf>
    <xf borderId="1" fillId="4" fontId="92" numFmtId="0" xfId="0" applyAlignment="1" applyBorder="1" applyFont="1">
      <alignment horizontal="center" shrinkToFit="0" vertical="center" wrapText="0"/>
    </xf>
    <xf borderId="1" fillId="4" fontId="92" numFmtId="164" xfId="0" applyAlignment="1" applyBorder="1" applyFont="1" applyNumberFormat="1">
      <alignment horizontal="right" shrinkToFit="0" vertical="center" wrapText="0"/>
    </xf>
    <xf borderId="1" fillId="4" fontId="92" numFmtId="165" xfId="0" applyAlignment="1" applyBorder="1" applyFont="1" applyNumberFormat="1">
      <alignment horizontal="right" shrinkToFit="0" vertical="center" wrapText="0"/>
    </xf>
    <xf borderId="1" fillId="4" fontId="89" numFmtId="0" xfId="0" applyAlignment="1" applyBorder="1" applyFont="1">
      <alignment shrinkToFit="0" vertical="top" wrapText="0"/>
    </xf>
    <xf borderId="1" fillId="4" fontId="101" numFmtId="0" xfId="0" applyAlignment="1" applyBorder="1" applyFont="1">
      <alignment horizontal="center" shrinkToFit="0" vertical="center" wrapText="1"/>
    </xf>
    <xf borderId="1" fillId="4" fontId="102" numFmtId="0" xfId="0" applyAlignment="1" applyBorder="1" applyFont="1">
      <alignment readingOrder="0" shrinkToFit="0" vertical="center" wrapText="0"/>
    </xf>
    <xf borderId="1" fillId="4" fontId="95" numFmtId="0" xfId="0" applyAlignment="1" applyBorder="1" applyFont="1">
      <alignment horizontal="center" readingOrder="0" shrinkToFit="0" vertical="center" wrapText="0"/>
    </xf>
    <xf borderId="1" fillId="4" fontId="103" numFmtId="49" xfId="0" applyAlignment="1" applyBorder="1" applyFont="1" applyNumberFormat="1">
      <alignment shrinkToFit="0" vertical="center" wrapText="1"/>
    </xf>
    <xf borderId="1" fillId="4" fontId="104" numFmtId="0" xfId="0" applyAlignment="1" applyBorder="1" applyFont="1">
      <alignment shrinkToFit="0" vertical="center" wrapText="0"/>
    </xf>
    <xf borderId="1" fillId="4" fontId="95" numFmtId="0" xfId="0" applyAlignment="1" applyBorder="1" applyFont="1">
      <alignment horizontal="center" shrinkToFit="0" vertical="center" wrapText="0"/>
    </xf>
    <xf borderId="1" fillId="10" fontId="105" numFmtId="0" xfId="0" applyAlignment="1" applyBorder="1" applyFont="1">
      <alignment horizontal="center" shrinkToFit="0" vertical="center" wrapText="1"/>
    </xf>
    <xf borderId="1" fillId="10" fontId="106" numFmtId="0" xfId="0" applyAlignment="1" applyBorder="1" applyFont="1">
      <alignment readingOrder="0" shrinkToFit="0" vertical="center" wrapText="0"/>
    </xf>
    <xf borderId="1" fillId="10" fontId="107" numFmtId="0" xfId="0" applyAlignment="1" applyBorder="1" applyFont="1">
      <alignment readingOrder="0" shrinkToFit="0" vertical="center" wrapText="0"/>
    </xf>
    <xf borderId="1" fillId="10" fontId="95" numFmtId="0" xfId="0" applyAlignment="1" applyBorder="1" applyFont="1">
      <alignment horizontal="center" readingOrder="0" shrinkToFit="0" vertical="center" wrapText="0"/>
    </xf>
    <xf borderId="1" fillId="10" fontId="89" numFmtId="164" xfId="0" applyAlignment="1" applyBorder="1" applyFont="1" applyNumberFormat="1">
      <alignment shrinkToFit="0" vertical="center" wrapText="0"/>
    </xf>
    <xf borderId="1" fillId="10" fontId="89" numFmtId="166" xfId="0" applyAlignment="1" applyBorder="1" applyFont="1" applyNumberFormat="1">
      <alignment shrinkToFit="0" vertical="center" wrapText="0"/>
    </xf>
    <xf borderId="1" fillId="10" fontId="108" numFmtId="0" xfId="0" applyAlignment="1" applyBorder="1" applyFont="1">
      <alignment readingOrder="0" shrinkToFit="0" vertical="center" wrapText="0"/>
    </xf>
    <xf borderId="1" fillId="10" fontId="95" numFmtId="164" xfId="0" applyAlignment="1" applyBorder="1" applyFont="1" applyNumberFormat="1">
      <alignment horizontal="right" readingOrder="0" shrinkToFit="0" vertical="center" wrapText="0"/>
    </xf>
    <xf borderId="1" fillId="4" fontId="109" numFmtId="0" xfId="0" applyAlignment="1" applyBorder="1" applyFont="1">
      <alignment readingOrder="0" shrinkToFit="0" vertical="center" wrapText="1"/>
    </xf>
    <xf borderId="1" fillId="4" fontId="110" numFmtId="0" xfId="0" applyAlignment="1" applyBorder="1" applyFont="1">
      <alignment horizontal="center" shrinkToFit="0" vertical="center" wrapText="1"/>
    </xf>
    <xf borderId="1" fillId="4" fontId="111" numFmtId="0" xfId="0" applyAlignment="1" applyBorder="1" applyFont="1">
      <alignment horizontal="center" readingOrder="0" shrinkToFit="0" vertical="center" wrapText="1"/>
    </xf>
    <xf borderId="1" fillId="4" fontId="112" numFmtId="0" xfId="0" applyAlignment="1" applyBorder="1" applyFont="1">
      <alignment readingOrder="0" shrinkToFit="0" vertical="center" wrapText="0"/>
    </xf>
    <xf borderId="1" fillId="4" fontId="113" numFmtId="0" xfId="0" applyAlignment="1" applyBorder="1" applyFont="1">
      <alignment horizontal="center" shrinkToFit="0" vertical="center" wrapText="1"/>
    </xf>
    <xf borderId="1" fillId="4" fontId="114" numFmtId="0" xfId="0" applyAlignment="1" applyBorder="1" applyFont="1">
      <alignment readingOrder="0" shrinkToFit="0" vertical="center" wrapText="0"/>
    </xf>
    <xf borderId="1" fillId="4" fontId="89" numFmtId="0" xfId="0" applyAlignment="1" applyBorder="1" applyFont="1">
      <alignment shrinkToFit="0" vertical="top" wrapText="0"/>
    </xf>
    <xf borderId="1" fillId="10" fontId="115" numFmtId="0" xfId="0" applyAlignment="1" applyBorder="1" applyFont="1">
      <alignment shrinkToFit="0" vertical="center" wrapText="0"/>
    </xf>
    <xf borderId="1" fillId="10" fontId="95" numFmtId="0" xfId="0" applyAlignment="1" applyBorder="1" applyFont="1">
      <alignment horizontal="center" shrinkToFit="0" vertical="center" wrapText="0"/>
    </xf>
    <xf borderId="1" fillId="10" fontId="95" numFmtId="0" xfId="0" applyAlignment="1" applyBorder="1" applyFont="1">
      <alignment readingOrder="0" shrinkToFit="0" vertical="center" wrapText="0"/>
    </xf>
    <xf borderId="1" fillId="4" fontId="116" numFmtId="0" xfId="0" applyAlignment="1" applyBorder="1" applyFont="1">
      <alignment readingOrder="0" shrinkToFit="0" vertical="center" wrapText="0"/>
    </xf>
    <xf borderId="1" fillId="4" fontId="95" numFmtId="164" xfId="0" applyAlignment="1" applyBorder="1" applyFont="1" applyNumberFormat="1">
      <alignment horizontal="right" readingOrder="0" shrinkToFit="0" vertical="center" wrapText="0"/>
    </xf>
    <xf borderId="1" fillId="4" fontId="95" numFmtId="165" xfId="0" applyAlignment="1" applyBorder="1" applyFont="1" applyNumberFormat="1">
      <alignment horizontal="right" readingOrder="0" shrinkToFit="0" vertical="center" wrapText="0"/>
    </xf>
    <xf borderId="1" fillId="4" fontId="95" numFmtId="0" xfId="0" applyAlignment="1" applyBorder="1" applyFont="1">
      <alignment readingOrder="0" shrinkToFit="0" vertical="top" wrapText="0"/>
    </xf>
    <xf borderId="1" fillId="10" fontId="117" numFmtId="0" xfId="0" applyAlignment="1" applyBorder="1" applyFont="1">
      <alignment shrinkToFit="0" vertical="center" wrapText="0"/>
    </xf>
    <xf borderId="1" fillId="10" fontId="89" numFmtId="0" xfId="0" applyAlignment="1" applyBorder="1" applyFont="1">
      <alignment shrinkToFit="0" vertical="top" wrapText="0"/>
    </xf>
    <xf borderId="1" fillId="10" fontId="118" numFmtId="0" xfId="0" applyAlignment="1" applyBorder="1" applyFont="1">
      <alignment readingOrder="0" shrinkToFit="0" vertical="center" wrapText="0"/>
    </xf>
    <xf borderId="1" fillId="4" fontId="119" numFmtId="0" xfId="0" applyAlignment="1" applyBorder="1" applyFont="1">
      <alignment shrinkToFit="0" vertical="center" wrapText="0"/>
    </xf>
    <xf borderId="1" fillId="4" fontId="120" numFmtId="0" xfId="0" applyAlignment="1" applyBorder="1" applyFont="1">
      <alignment shrinkToFit="0" vertical="center" wrapText="0"/>
    </xf>
    <xf borderId="1" fillId="4" fontId="95" numFmtId="164" xfId="0" applyAlignment="1" applyBorder="1" applyFont="1" applyNumberFormat="1">
      <alignment horizontal="right" shrinkToFit="0" vertical="center" wrapText="0"/>
    </xf>
    <xf borderId="1" fillId="4" fontId="95" numFmtId="165" xfId="0" applyAlignment="1" applyBorder="1" applyFont="1" applyNumberFormat="1">
      <alignment horizontal="right" shrinkToFit="0" vertical="center" wrapText="0"/>
    </xf>
    <xf borderId="1" fillId="4" fontId="95" numFmtId="0" xfId="0" applyAlignment="1" applyBorder="1" applyFont="1">
      <alignment shrinkToFit="0" vertical="top" wrapText="0"/>
    </xf>
    <xf borderId="1" fillId="0" fontId="121" numFmtId="0" xfId="0" applyAlignment="1" applyBorder="1" applyFont="1">
      <alignment readingOrder="0" shrinkToFit="0" vertical="center" wrapText="0"/>
    </xf>
    <xf borderId="1" fillId="4" fontId="95" numFmtId="0" xfId="0" applyAlignment="1" applyBorder="1" applyFont="1">
      <alignment readingOrder="0" shrinkToFit="0" vertical="center" wrapText="0"/>
    </xf>
    <xf borderId="1" fillId="4" fontId="122" numFmtId="0" xfId="0" applyAlignment="1" applyBorder="1" applyFont="1">
      <alignment horizontal="center" shrinkToFit="0" vertical="center" wrapText="0"/>
    </xf>
    <xf borderId="1" fillId="4" fontId="92" numFmtId="1" xfId="0" applyAlignment="1" applyBorder="1" applyFont="1" applyNumberFormat="1">
      <alignment horizontal="center" shrinkToFit="0" vertical="center" wrapText="1"/>
    </xf>
    <xf borderId="1" fillId="4" fontId="123" numFmtId="0" xfId="0" applyAlignment="1" applyBorder="1" applyFont="1">
      <alignment readingOrder="0" shrinkToFit="0" vertical="center" wrapText="0"/>
    </xf>
    <xf borderId="1" fillId="4" fontId="124" numFmtId="0" xfId="0" applyAlignment="1" applyBorder="1" applyFont="1">
      <alignment horizontal="center" shrinkToFit="0" vertical="center" wrapText="1"/>
    </xf>
    <xf borderId="1" fillId="10" fontId="89" numFmtId="0" xfId="0" applyAlignment="1" applyBorder="1" applyFont="1">
      <alignment readingOrder="0" shrinkToFit="0" vertical="center" wrapText="0"/>
    </xf>
    <xf borderId="1" fillId="10" fontId="125" numFmtId="0" xfId="0" applyAlignment="1" applyBorder="1" applyFont="1">
      <alignment horizontal="center" shrinkToFit="0" vertical="center" wrapText="0"/>
    </xf>
    <xf borderId="1" fillId="10" fontId="95" numFmtId="1" xfId="0" applyAlignment="1" applyBorder="1" applyFont="1" applyNumberFormat="1">
      <alignment horizontal="center" shrinkToFit="0" vertical="center" wrapText="1"/>
    </xf>
    <xf borderId="0" fillId="10" fontId="126" numFmtId="0" xfId="0" applyAlignment="1" applyFont="1">
      <alignment horizontal="center" shrinkToFit="0" vertical="center" wrapText="1"/>
    </xf>
    <xf borderId="0" fillId="10" fontId="127" numFmtId="0" xfId="0" applyAlignment="1" applyFont="1">
      <alignment horizontal="center" readingOrder="0" shrinkToFit="0" vertical="center" wrapText="1"/>
    </xf>
    <xf borderId="0" fillId="10" fontId="128" numFmtId="0" xfId="0" applyAlignment="1" applyFont="1">
      <alignment readingOrder="0" shrinkToFit="0" vertical="center" wrapText="0"/>
    </xf>
    <xf borderId="0" fillId="10" fontId="89" numFmtId="0" xfId="0" applyAlignment="1" applyFont="1">
      <alignment readingOrder="0" shrinkToFit="0" vertical="center" wrapText="0"/>
    </xf>
    <xf borderId="0" fillId="10" fontId="129" numFmtId="0" xfId="0" applyAlignment="1" applyFont="1">
      <alignment horizontal="center" shrinkToFit="0" vertical="center" wrapText="1"/>
    </xf>
    <xf borderId="0" fillId="10" fontId="130" numFmtId="0" xfId="0" applyAlignment="1" applyFont="1">
      <alignment readingOrder="0" shrinkToFit="0" vertical="center" wrapText="0"/>
    </xf>
    <xf borderId="0" fillId="10" fontId="95" numFmtId="0" xfId="0" applyAlignment="1" applyFont="1">
      <alignment horizontal="center" readingOrder="0" shrinkToFit="0" vertical="center" wrapText="0"/>
    </xf>
    <xf borderId="0" fillId="4" fontId="95" numFmtId="164" xfId="0" applyAlignment="1" applyFont="1" applyNumberFormat="1">
      <alignment horizontal="right" readingOrder="0" shrinkToFit="0" vertical="center" wrapText="0"/>
    </xf>
    <xf borderId="0" fillId="4" fontId="95" numFmtId="165" xfId="0" applyAlignment="1" applyFont="1" applyNumberFormat="1">
      <alignment horizontal="right" readingOrder="0" shrinkToFit="0" vertical="center" wrapText="0"/>
    </xf>
    <xf borderId="0" fillId="10" fontId="89" numFmtId="164" xfId="0" applyAlignment="1" applyFont="1" applyNumberFormat="1">
      <alignment shrinkToFit="0" vertical="center" wrapText="0"/>
    </xf>
    <xf borderId="0" fillId="10" fontId="89" numFmtId="166" xfId="0" applyAlignment="1" applyFont="1" applyNumberFormat="1">
      <alignment shrinkToFit="0" vertical="center" wrapText="0"/>
    </xf>
    <xf borderId="0" fillId="4" fontId="95" numFmtId="0" xfId="0" applyAlignment="1" applyFont="1">
      <alignment readingOrder="0" shrinkToFit="0" vertical="top" wrapText="0"/>
    </xf>
    <xf borderId="0" fillId="10" fontId="131" numFmtId="49" xfId="0" applyAlignment="1" applyFont="1" applyNumberFormat="1">
      <alignment shrinkToFit="0" vertical="center" wrapText="1"/>
    </xf>
    <xf borderId="0" fillId="10" fontId="89" numFmtId="0" xfId="0" applyAlignment="1" applyFont="1">
      <alignment shrinkToFit="0" vertical="top" wrapText="0"/>
    </xf>
    <xf borderId="0" fillId="4" fontId="132" numFmtId="0" xfId="0" applyAlignment="1" applyFont="1">
      <alignment horizontal="center" shrinkToFit="0" vertical="center" wrapText="1"/>
    </xf>
    <xf borderId="0" fillId="4" fontId="133" numFmtId="0" xfId="0" applyAlignment="1" applyFont="1">
      <alignment readingOrder="0" shrinkToFit="0" vertical="center" wrapText="0"/>
    </xf>
    <xf borderId="0" fillId="4" fontId="134" numFmtId="0" xfId="0" applyAlignment="1" applyFont="1">
      <alignment readingOrder="0" shrinkToFit="0" vertical="center" wrapText="0"/>
    </xf>
    <xf borderId="0" fillId="4" fontId="135" numFmtId="0" xfId="0" applyAlignment="1" applyFont="1">
      <alignment horizontal="center" readingOrder="0" shrinkToFit="0" vertical="center" wrapText="1"/>
    </xf>
    <xf borderId="0" fillId="4" fontId="136" numFmtId="0" xfId="0" applyAlignment="1" applyFont="1">
      <alignment readingOrder="0" shrinkToFit="0" vertical="center" wrapText="0"/>
    </xf>
    <xf borderId="0" fillId="4" fontId="95" numFmtId="0" xfId="0" applyAlignment="1" applyFont="1">
      <alignment horizontal="center" readingOrder="0" shrinkToFit="0" vertical="center" wrapText="0"/>
    </xf>
    <xf borderId="0" fillId="4" fontId="89" numFmtId="164" xfId="0" applyAlignment="1" applyFont="1" applyNumberFormat="1">
      <alignment shrinkToFit="0" vertical="center" wrapText="0"/>
    </xf>
    <xf borderId="0" fillId="4" fontId="137" numFmtId="166" xfId="0" applyAlignment="1" applyFont="1" applyNumberFormat="1">
      <alignment shrinkToFit="0" vertical="center" wrapText="0"/>
    </xf>
    <xf borderId="0" fillId="4" fontId="125" numFmtId="0" xfId="0" applyAlignment="1" applyFont="1">
      <alignment readingOrder="0" shrinkToFit="0" vertical="top" wrapText="0"/>
    </xf>
    <xf borderId="0" fillId="4" fontId="138" numFmtId="49" xfId="0" applyAlignment="1" applyFont="1" applyNumberFormat="1">
      <alignment shrinkToFit="0" vertical="center" wrapText="1"/>
    </xf>
    <xf borderId="0" fillId="4" fontId="89" numFmtId="0" xfId="0" applyAlignment="1" applyFont="1">
      <alignment shrinkToFit="0" vertical="top" wrapText="0"/>
    </xf>
    <xf borderId="0" fillId="4" fontId="28" numFmtId="0" xfId="0" applyAlignment="1" applyFont="1">
      <alignment horizontal="center" readingOrder="0" shrinkToFit="0" vertical="center" wrapText="0"/>
    </xf>
    <xf borderId="0" fillId="4" fontId="139" numFmtId="0" xfId="0" applyAlignment="1" applyFont="1">
      <alignment horizontal="center" shrinkToFit="0" vertical="center" wrapText="0"/>
    </xf>
    <xf borderId="0" fillId="0" fontId="30" numFmtId="0" xfId="0" applyAlignment="1" applyFont="1">
      <alignment horizontal="left" readingOrder="0" shrinkToFit="0" vertical="center" wrapText="0"/>
    </xf>
    <xf borderId="0" fillId="4" fontId="16" numFmtId="0" xfId="0" applyAlignment="1" applyFont="1">
      <alignment readingOrder="0" shrinkToFit="0" vertical="center" wrapText="0"/>
    </xf>
    <xf borderId="4" fillId="4" fontId="89" numFmtId="0" xfId="0" applyAlignment="1" applyBorder="1" applyFont="1">
      <alignment shrinkToFit="0" vertical="center" wrapText="0"/>
    </xf>
    <xf borderId="0" fillId="4" fontId="16" numFmtId="0" xfId="0" applyAlignment="1" applyFont="1">
      <alignment readingOrder="0" shrinkToFit="0" vertical="center" wrapText="0"/>
    </xf>
    <xf borderId="0" fillId="4" fontId="16" numFmtId="167" xfId="0" applyAlignment="1" applyFont="1" applyNumberFormat="1">
      <alignment horizontal="center" readingOrder="0" shrinkToFit="0" vertical="center" wrapText="0"/>
    </xf>
    <xf borderId="0" fillId="4" fontId="16" numFmtId="164" xfId="0" applyAlignment="1" applyFont="1" applyNumberFormat="1">
      <alignment readingOrder="0" shrinkToFit="0" vertical="center" wrapText="0"/>
    </xf>
    <xf borderId="0" fillId="0" fontId="140" numFmtId="0" xfId="0" applyAlignment="1" applyFont="1">
      <alignment readingOrder="0" shrinkToFit="0" vertical="bottom" wrapText="0"/>
    </xf>
    <xf borderId="4" fillId="4" fontId="89" numFmtId="49" xfId="0" applyAlignment="1" applyBorder="1" applyFont="1" applyNumberFormat="1">
      <alignment shrinkToFit="0" vertical="center" wrapText="0"/>
    </xf>
    <xf borderId="0" fillId="4" fontId="139" numFmtId="0" xfId="0" applyAlignment="1" applyFont="1">
      <alignment horizontal="center" shrinkToFit="0" vertical="center" wrapText="0"/>
    </xf>
    <xf borderId="0" fillId="0" fontId="30" numFmtId="0" xfId="0" applyAlignment="1" applyFont="1">
      <alignment horizontal="left" readingOrder="0" shrinkToFit="0" vertical="center" wrapText="0"/>
    </xf>
    <xf borderId="0" fillId="4" fontId="16" numFmtId="0" xfId="0" applyAlignment="1" applyFont="1">
      <alignment readingOrder="0" shrinkToFit="0" vertical="center" wrapText="0"/>
    </xf>
    <xf borderId="5" fillId="10" fontId="89" numFmtId="0" xfId="0" applyAlignment="1" applyBorder="1" applyFont="1">
      <alignment shrinkToFit="0" vertical="center" wrapText="0"/>
    </xf>
    <xf borderId="5" fillId="10" fontId="89" numFmtId="49" xfId="0" applyAlignment="1" applyBorder="1" applyFont="1" applyNumberFormat="1">
      <alignment shrinkToFit="0" vertical="center" wrapText="0"/>
    </xf>
    <xf borderId="6" fillId="4" fontId="89" numFmtId="0" xfId="0" applyAlignment="1" applyBorder="1" applyFont="1">
      <alignment shrinkToFit="0" vertical="center" wrapText="0"/>
    </xf>
    <xf borderId="6" fillId="4" fontId="89" numFmtId="49" xfId="0" applyAlignment="1" applyBorder="1" applyFont="1" applyNumberFormat="1">
      <alignment shrinkToFit="0" vertical="center" wrapText="0"/>
    </xf>
    <xf borderId="0" fillId="4" fontId="89" numFmtId="0" xfId="0" applyAlignment="1" applyFont="1">
      <alignment shrinkToFit="0" vertical="center" wrapText="0"/>
    </xf>
    <xf borderId="0" fillId="4" fontId="89" numFmtId="49" xfId="0" applyAlignment="1" applyFont="1" applyNumberFormat="1">
      <alignment shrinkToFit="0" vertical="center" wrapText="0"/>
    </xf>
    <xf borderId="1" fillId="11" fontId="43" numFmtId="0" xfId="0" applyAlignment="1" applyBorder="1" applyFill="1" applyFont="1">
      <alignment horizontal="center" vertical="center"/>
    </xf>
    <xf borderId="1" fillId="12" fontId="43" numFmtId="0" xfId="0" applyAlignment="1" applyBorder="1" applyFill="1" applyFont="1">
      <alignment horizontal="center" vertical="center"/>
    </xf>
    <xf borderId="1" fillId="12" fontId="43" numFmtId="0" xfId="0" applyAlignment="1" applyBorder="1" applyFont="1">
      <alignment horizontal="center" shrinkToFit="0" vertical="center" wrapText="1"/>
    </xf>
    <xf borderId="1" fillId="13" fontId="43" numFmtId="0" xfId="0" applyAlignment="1" applyBorder="1" applyFill="1" applyFont="1">
      <alignment horizontal="center" vertical="center"/>
    </xf>
    <xf borderId="1" fillId="0" fontId="43" numFmtId="0" xfId="0" applyAlignment="1" applyBorder="1" applyFont="1">
      <alignment horizontal="center" vertical="center"/>
    </xf>
    <xf borderId="0" fillId="0" fontId="30" numFmtId="0" xfId="0" applyAlignment="1" applyFont="1">
      <alignment horizontal="center" vertical="center"/>
    </xf>
    <xf borderId="7" fillId="0" fontId="30" numFmtId="0" xfId="0" applyAlignment="1" applyBorder="1" applyFont="1">
      <alignment vertical="center"/>
    </xf>
    <xf borderId="8" fillId="5" fontId="43" numFmtId="0" xfId="0" applyAlignment="1" applyBorder="1" applyFont="1">
      <alignment shrinkToFit="0" wrapText="1"/>
    </xf>
    <xf borderId="7" fillId="0" fontId="30" numFmtId="0" xfId="0" applyBorder="1" applyFont="1"/>
    <xf borderId="7" fillId="0" fontId="30" numFmtId="0" xfId="0" applyAlignment="1" applyBorder="1" applyFont="1">
      <alignment horizontal="center" shrinkToFit="0" vertical="center" wrapText="1"/>
    </xf>
    <xf borderId="7" fillId="0" fontId="30" numFmtId="14" xfId="0" applyBorder="1" applyFont="1" applyNumberFormat="1"/>
    <xf borderId="0" fillId="0" fontId="30" numFmtId="0" xfId="0" applyFont="1"/>
    <xf borderId="1" fillId="0" fontId="30" numFmtId="0" xfId="0" applyAlignment="1" applyBorder="1" applyFont="1">
      <alignment vertical="center"/>
    </xf>
    <xf borderId="1" fillId="0" fontId="43" numFmtId="0" xfId="0" applyAlignment="1" applyBorder="1" applyFont="1">
      <alignment shrinkToFit="0" vertical="center" wrapText="1"/>
    </xf>
    <xf borderId="1" fillId="0" fontId="30" numFmtId="0" xfId="0" applyAlignment="1" applyBorder="1" applyFont="1">
      <alignment horizontal="left" shrinkToFit="0" vertical="center" wrapText="1"/>
    </xf>
    <xf borderId="1" fillId="0" fontId="30" numFmtId="14" xfId="0" applyAlignment="1" applyBorder="1" applyFont="1" applyNumberFormat="1">
      <alignment horizontal="center" vertical="center"/>
    </xf>
    <xf borderId="1" fillId="0" fontId="30" numFmtId="0" xfId="0" applyAlignment="1" applyBorder="1" applyFont="1">
      <alignment horizontal="center" vertical="center"/>
    </xf>
    <xf borderId="1" fillId="0" fontId="30" numFmtId="1" xfId="0" applyAlignment="1" applyBorder="1" applyFont="1" applyNumberFormat="1">
      <alignment horizontal="center" shrinkToFit="0" vertical="center" wrapText="1"/>
    </xf>
    <xf borderId="1" fillId="0" fontId="30" numFmtId="0" xfId="0" applyAlignment="1" applyBorder="1" applyFont="1">
      <alignment horizontal="left" shrinkToFit="0" vertical="top" wrapText="1"/>
    </xf>
    <xf borderId="1" fillId="14" fontId="30" numFmtId="0" xfId="0" applyAlignment="1" applyBorder="1" applyFill="1" applyFont="1">
      <alignment shrinkToFit="0" vertical="center" wrapText="1"/>
    </xf>
    <xf borderId="1" fillId="5" fontId="43" numFmtId="0" xfId="0" applyAlignment="1" applyBorder="1" applyFont="1">
      <alignment shrinkToFit="0" vertical="center" wrapText="1"/>
    </xf>
    <xf borderId="1" fillId="14" fontId="43" numFmtId="0" xfId="0" applyAlignment="1" applyBorder="1" applyFont="1">
      <alignment shrinkToFit="0" vertical="center" wrapText="1"/>
    </xf>
    <xf borderId="1" fillId="14" fontId="30" numFmtId="0" xfId="0" applyAlignment="1" applyBorder="1" applyFont="1">
      <alignment horizontal="center" shrinkToFit="0" vertical="center" wrapText="1"/>
    </xf>
    <xf borderId="1" fillId="14" fontId="30" numFmtId="14" xfId="0" applyAlignment="1" applyBorder="1" applyFont="1" applyNumberFormat="1">
      <alignment vertical="center"/>
    </xf>
    <xf borderId="9" fillId="14" fontId="30" numFmtId="14" xfId="0" applyAlignment="1" applyBorder="1" applyFont="1" applyNumberFormat="1">
      <alignment vertical="center"/>
    </xf>
    <xf borderId="1" fillId="14" fontId="30" numFmtId="1" xfId="0" applyAlignment="1" applyBorder="1" applyFont="1" applyNumberFormat="1">
      <alignment horizontal="center" shrinkToFit="0" vertical="center" wrapText="1"/>
    </xf>
    <xf borderId="0" fillId="0" fontId="30" numFmtId="0" xfId="0" applyAlignment="1" applyFont="1">
      <alignment vertical="center"/>
    </xf>
    <xf borderId="1" fillId="0" fontId="89" numFmtId="0" xfId="0" applyAlignment="1" applyBorder="1" applyFont="1">
      <alignment vertical="center"/>
    </xf>
    <xf borderId="1" fillId="14" fontId="43" numFmtId="0" xfId="0" applyAlignment="1" applyBorder="1" applyFont="1">
      <alignment horizontal="center" shrinkToFit="0" vertical="center" wrapText="1"/>
    </xf>
    <xf borderId="1" fillId="14" fontId="43" numFmtId="14" xfId="0" applyAlignment="1" applyBorder="1" applyFont="1" applyNumberFormat="1">
      <alignment horizontal="center" vertical="center"/>
    </xf>
    <xf borderId="1" fillId="14" fontId="43" numFmtId="0" xfId="0" applyAlignment="1" applyBorder="1" applyFont="1">
      <alignment horizontal="center" shrinkToFit="0" vertical="top" wrapText="1"/>
    </xf>
    <xf borderId="10" fillId="14" fontId="30" numFmtId="0" xfId="0" applyAlignment="1" applyBorder="1" applyFont="1">
      <alignment horizontal="left" vertical="center"/>
    </xf>
    <xf borderId="10" fillId="14" fontId="30" numFmtId="0" xfId="0" applyAlignment="1" applyBorder="1" applyFont="1">
      <alignment horizontal="center" vertical="center"/>
    </xf>
    <xf borderId="1" fillId="0" fontId="89" numFmtId="0" xfId="0" applyAlignment="1" applyBorder="1" applyFont="1">
      <alignment horizontal="center" shrinkToFit="0" vertical="center" wrapText="1"/>
    </xf>
    <xf borderId="1" fillId="0" fontId="89" numFmtId="14" xfId="0" applyAlignment="1" applyBorder="1" applyFont="1" applyNumberFormat="1">
      <alignment vertical="center"/>
    </xf>
    <xf borderId="1" fillId="0" fontId="30" numFmtId="0" xfId="0" applyAlignment="1" applyBorder="1" applyFont="1">
      <alignment shrinkToFit="0" vertical="center" wrapText="1"/>
    </xf>
    <xf borderId="0" fillId="0" fontId="89" numFmtId="0" xfId="0" applyAlignment="1" applyFont="1">
      <alignment vertical="center"/>
    </xf>
    <xf borderId="1" fillId="15" fontId="43" numFmtId="0" xfId="0" applyAlignment="1" applyBorder="1" applyFill="1" applyFont="1">
      <alignment horizontal="center" vertical="center"/>
    </xf>
    <xf borderId="1" fillId="5" fontId="43" numFmtId="0" xfId="0" applyAlignment="1" applyBorder="1" applyFont="1">
      <alignment horizontal="left" shrinkToFit="0" vertical="center" wrapText="1"/>
    </xf>
    <xf borderId="1" fillId="15" fontId="30" numFmtId="0" xfId="0" applyAlignment="1" applyBorder="1" applyFont="1">
      <alignment horizontal="left" vertical="center"/>
    </xf>
    <xf borderId="1" fillId="15" fontId="30" numFmtId="14" xfId="0" applyAlignment="1" applyBorder="1" applyFont="1" applyNumberFormat="1">
      <alignment horizontal="center" vertical="center"/>
    </xf>
    <xf borderId="1" fillId="15" fontId="30" numFmtId="1" xfId="0" applyAlignment="1" applyBorder="1" applyFont="1" applyNumberFormat="1">
      <alignment horizontal="center" shrinkToFit="0" vertical="center" wrapText="1"/>
    </xf>
    <xf borderId="1" fillId="15" fontId="30" numFmtId="0" xfId="0" applyAlignment="1" applyBorder="1" applyFont="1">
      <alignment horizontal="left" shrinkToFit="0" vertical="top" wrapText="1"/>
    </xf>
    <xf borderId="1" fillId="14" fontId="43" numFmtId="0" xfId="0" applyAlignment="1" applyBorder="1" applyFont="1">
      <alignment horizontal="center" vertical="center"/>
    </xf>
    <xf borderId="8" fillId="14" fontId="43" numFmtId="0" xfId="0" applyAlignment="1" applyBorder="1" applyFont="1">
      <alignment horizontal="center" shrinkToFit="0" vertical="center" wrapText="1"/>
    </xf>
    <xf borderId="1" fillId="14" fontId="30" numFmtId="0" xfId="0" applyBorder="1" applyFont="1"/>
    <xf borderId="1" fillId="14" fontId="30" numFmtId="0" xfId="0" applyAlignment="1" applyBorder="1" applyFont="1">
      <alignment horizontal="left" shrinkToFit="0" vertical="center" wrapText="1"/>
    </xf>
    <xf borderId="1" fillId="14" fontId="30" numFmtId="14" xfId="0" applyAlignment="1" applyBorder="1" applyFont="1" applyNumberFormat="1">
      <alignment horizontal="center" vertical="center"/>
    </xf>
    <xf borderId="1" fillId="14" fontId="30" numFmtId="14" xfId="0" applyAlignment="1" applyBorder="1" applyFont="1" applyNumberFormat="1">
      <alignment horizontal="center"/>
    </xf>
    <xf borderId="1" fillId="14" fontId="30" numFmtId="0" xfId="0" applyAlignment="1" applyBorder="1" applyFont="1">
      <alignment shrinkToFit="0" wrapText="1"/>
    </xf>
    <xf borderId="0" fillId="0" fontId="89" numFmtId="0" xfId="0" applyFont="1"/>
    <xf borderId="11" fillId="14" fontId="43" numFmtId="0" xfId="0" applyAlignment="1" applyBorder="1" applyFont="1">
      <alignment horizontal="center" shrinkToFit="0" vertical="center" wrapText="1"/>
    </xf>
    <xf borderId="12" fillId="14" fontId="43" numFmtId="0" xfId="0" applyAlignment="1" applyBorder="1" applyFont="1">
      <alignment horizontal="center" shrinkToFit="0" vertical="center" wrapText="1"/>
    </xf>
    <xf borderId="1" fillId="5" fontId="30" numFmtId="0" xfId="0" applyAlignment="1" applyBorder="1" applyFont="1">
      <alignment shrinkToFit="0" wrapText="1"/>
    </xf>
    <xf borderId="0" fillId="0" fontId="28"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30" numFmtId="0" xfId="0" applyAlignment="1" applyFont="1">
      <alignment horizontal="left" readingOrder="0" shrinkToFit="0" vertical="center" wrapText="0"/>
    </xf>
    <xf borderId="0" fillId="0" fontId="16" numFmtId="0" xfId="0" applyAlignment="1" applyFont="1">
      <alignment horizontal="center" readingOrder="0" shrinkToFit="0" vertical="center" wrapText="1"/>
    </xf>
    <xf borderId="0" fillId="0" fontId="7" numFmtId="0" xfId="0" applyAlignment="1" applyFont="1">
      <alignment horizontal="center" readingOrder="0" shrinkToFit="0" vertical="top" wrapText="1"/>
    </xf>
    <xf borderId="1" fillId="4" fontId="28" numFmtId="0" xfId="0" applyAlignment="1" applyBorder="1" applyFont="1">
      <alignment horizontal="center" shrinkToFit="0" vertical="center" wrapText="1"/>
    </xf>
    <xf borderId="1" fillId="4" fontId="7" numFmtId="0" xfId="0" applyAlignment="1" applyBorder="1" applyFont="1">
      <alignment horizontal="center" readingOrder="0" shrinkToFit="0" vertical="center" wrapText="1"/>
    </xf>
    <xf borderId="1" fillId="4" fontId="7" numFmtId="14" xfId="0" applyAlignment="1" applyBorder="1" applyFont="1" applyNumberFormat="1">
      <alignment horizontal="center" shrinkToFit="0" vertical="center" wrapText="0"/>
    </xf>
    <xf borderId="1" fillId="4" fontId="7" numFmtId="0" xfId="0" applyAlignment="1" applyBorder="1" applyFont="1">
      <alignment horizontal="center" shrinkToFit="0" vertical="center" wrapText="0"/>
    </xf>
    <xf borderId="0" fillId="4" fontId="16" numFmtId="0" xfId="0" applyAlignment="1" applyFont="1">
      <alignment horizontal="left" shrinkToFit="0" vertical="top" wrapText="1"/>
    </xf>
    <xf borderId="1" fillId="4" fontId="7" numFmtId="0" xfId="0" applyAlignment="1" applyBorder="1" applyFont="1">
      <alignment horizontal="center" shrinkToFit="0" vertical="center" wrapText="1"/>
    </xf>
    <xf borderId="1" fillId="4" fontId="43" numFmtId="0" xfId="0" applyAlignment="1" applyBorder="1" applyFont="1">
      <alignment horizontal="left" readingOrder="0" shrinkToFit="0" vertical="center" wrapText="1"/>
    </xf>
    <xf borderId="1" fillId="16" fontId="30" numFmtId="0" xfId="0" applyAlignment="1" applyBorder="1" applyFill="1" applyFont="1">
      <alignment horizontal="left" readingOrder="0" shrinkToFit="0" vertical="center" wrapText="0"/>
    </xf>
    <xf borderId="1" fillId="4" fontId="141" numFmtId="0" xfId="0" applyAlignment="1" applyBorder="1" applyFont="1">
      <alignment readingOrder="0" shrinkToFit="0" vertical="center" wrapText="0"/>
    </xf>
    <xf borderId="1" fillId="4" fontId="141" numFmtId="0" xfId="0" applyAlignment="1" applyBorder="1" applyFont="1">
      <alignment horizontal="center" readingOrder="0" shrinkToFit="0" vertical="center" wrapText="0"/>
    </xf>
    <xf borderId="1" fillId="4" fontId="141" numFmtId="0" xfId="0" applyAlignment="1" applyBorder="1" applyFont="1">
      <alignment shrinkToFit="0" vertical="center" wrapText="0"/>
    </xf>
    <xf borderId="1" fillId="4" fontId="141" numFmtId="164" xfId="0" applyAlignment="1" applyBorder="1" applyFont="1" applyNumberFormat="1">
      <alignment shrinkToFit="0" vertical="center" wrapText="0"/>
    </xf>
    <xf borderId="1" fillId="4" fontId="141" numFmtId="165" xfId="0" applyAlignment="1" applyBorder="1" applyFont="1" applyNumberFormat="1">
      <alignment shrinkToFit="0" vertical="center" wrapText="0"/>
    </xf>
    <xf borderId="1" fillId="4" fontId="141" numFmtId="0" xfId="0" applyAlignment="1" applyBorder="1" applyFont="1">
      <alignment horizontal="center" shrinkToFit="0" vertical="center" wrapText="0"/>
    </xf>
    <xf borderId="1" fillId="4" fontId="141" numFmtId="166" xfId="0" applyAlignment="1" applyBorder="1" applyFont="1" applyNumberFormat="1">
      <alignment shrinkToFit="0" vertical="center" wrapText="0"/>
    </xf>
    <xf borderId="0" fillId="4" fontId="141" numFmtId="0" xfId="0" applyAlignment="1" applyFont="1">
      <alignment readingOrder="0" shrinkToFit="0" vertical="center" wrapText="0"/>
    </xf>
    <xf borderId="0" fillId="4" fontId="141" numFmtId="0" xfId="0" applyAlignment="1" applyFont="1">
      <alignment readingOrder="0" shrinkToFit="0" vertical="center" wrapText="0"/>
    </xf>
    <xf borderId="1" fillId="4" fontId="30" numFmtId="0" xfId="0" applyAlignment="1" applyBorder="1" applyFont="1">
      <alignment horizontal="left" shrinkToFit="0" textRotation="0" vertical="center" wrapText="0"/>
    </xf>
    <xf borderId="1" fillId="4" fontId="28" numFmtId="0" xfId="0" applyAlignment="1" applyBorder="1" applyFont="1">
      <alignment horizontal="center" vertical="center"/>
    </xf>
    <xf borderId="1" fillId="4" fontId="7" numFmtId="0" xfId="0" applyAlignment="1" applyBorder="1" applyFont="1">
      <alignment horizontal="center" shrinkToFit="0" vertical="center" wrapText="1"/>
    </xf>
    <xf borderId="1" fillId="4" fontId="30" numFmtId="0" xfId="0" applyAlignment="1" applyBorder="1" applyFont="1">
      <alignment horizontal="left" shrinkToFit="0" vertical="center" wrapText="1"/>
    </xf>
    <xf borderId="1" fillId="4" fontId="16" numFmtId="14" xfId="0" applyAlignment="1" applyBorder="1" applyFont="1" applyNumberFormat="1">
      <alignment horizontal="center" vertical="center"/>
    </xf>
    <xf borderId="1" fillId="4" fontId="16" numFmtId="164" xfId="0" applyAlignment="1" applyBorder="1" applyFont="1" applyNumberFormat="1">
      <alignment vertical="center"/>
    </xf>
    <xf borderId="1" fillId="4" fontId="16" numFmtId="165" xfId="0" applyAlignment="1" applyBorder="1" applyFont="1" applyNumberFormat="1">
      <alignment vertical="center"/>
    </xf>
    <xf borderId="1" fillId="4" fontId="16" numFmtId="1" xfId="0" applyAlignment="1" applyBorder="1" applyFont="1" applyNumberFormat="1">
      <alignment horizontal="center" shrinkToFit="0" vertical="center" wrapText="1"/>
    </xf>
    <xf borderId="1" fillId="4" fontId="16" numFmtId="166" xfId="0" applyAlignment="1" applyBorder="1" applyFont="1" applyNumberFormat="1">
      <alignment vertical="center"/>
    </xf>
    <xf borderId="1" fillId="4" fontId="16" numFmtId="0" xfId="0" applyAlignment="1" applyBorder="1" applyFont="1">
      <alignment horizontal="left" shrinkToFit="0" vertical="top" wrapText="1"/>
    </xf>
    <xf borderId="0" fillId="4" fontId="16" numFmtId="0" xfId="0" applyAlignment="1" applyFont="1">
      <alignment horizontal="left" shrinkToFit="0" vertical="top" wrapText="1"/>
    </xf>
    <xf borderId="0" fillId="0" fontId="16" numFmtId="0" xfId="0" applyAlignment="1" applyFont="1">
      <alignment horizontal="center" vertical="center"/>
    </xf>
    <xf borderId="1" fillId="4" fontId="16" numFmtId="0" xfId="0" applyAlignment="1" applyBorder="1" applyFont="1">
      <alignment shrinkToFit="0" vertical="center" wrapText="1"/>
    </xf>
    <xf borderId="1" fillId="4" fontId="16" numFmtId="0" xfId="0" applyAlignment="1" applyBorder="1" applyFont="1">
      <alignment horizontal="left" vertical="top"/>
    </xf>
    <xf borderId="0" fillId="4" fontId="16" numFmtId="0" xfId="0" applyAlignment="1" applyFont="1">
      <alignment horizontal="left" vertical="top"/>
    </xf>
    <xf borderId="1" fillId="4" fontId="30" numFmtId="0" xfId="0" applyAlignment="1" applyBorder="1" applyFont="1">
      <alignment horizontal="left" readingOrder="0" shrinkToFit="0" vertical="center" wrapText="1"/>
    </xf>
    <xf borderId="1" fillId="4" fontId="16" numFmtId="0" xfId="0" applyAlignment="1" applyBorder="1" applyFont="1">
      <alignment horizontal="center" readingOrder="0" vertical="center"/>
    </xf>
    <xf borderId="0" fillId="4" fontId="16" numFmtId="0" xfId="0" applyAlignment="1" applyFont="1">
      <alignment horizontal="left" vertical="top"/>
    </xf>
    <xf borderId="0" fillId="0" fontId="141" numFmtId="0" xfId="0" applyFont="1"/>
    <xf borderId="0" fillId="4" fontId="16" numFmtId="0" xfId="0" applyAlignment="1" applyFont="1">
      <alignment horizontal="left" readingOrder="0" shrinkToFit="0" vertical="top" wrapText="1"/>
    </xf>
    <xf borderId="0" fillId="4" fontId="16" numFmtId="0" xfId="0" applyAlignment="1" applyFont="1">
      <alignment horizontal="left" readingOrder="0" shrinkToFit="0" vertical="top" wrapText="1"/>
    </xf>
    <xf borderId="0" fillId="0" fontId="16" numFmtId="0" xfId="0" applyFont="1"/>
    <xf borderId="1" fillId="4" fontId="7" numFmtId="0" xfId="0" applyAlignment="1" applyBorder="1" applyFont="1">
      <alignment horizontal="center" readingOrder="0" shrinkToFit="0" vertical="center" wrapText="1"/>
    </xf>
    <xf borderId="1" fillId="4" fontId="16" numFmtId="0" xfId="0" applyAlignment="1" applyBorder="1" applyFont="1">
      <alignment horizontal="center" shrinkToFit="0" wrapText="1"/>
    </xf>
    <xf borderId="1" fillId="4" fontId="16" numFmtId="165" xfId="0" applyAlignment="1" applyBorder="1" applyFont="1" applyNumberFormat="1">
      <alignment shrinkToFit="0" wrapText="1"/>
    </xf>
    <xf borderId="1" fillId="4" fontId="16" numFmtId="165" xfId="0" applyAlignment="1" applyBorder="1" applyFont="1" applyNumberFormat="1">
      <alignment shrinkToFit="0" vertical="center" wrapText="1"/>
    </xf>
    <xf borderId="1" fillId="4" fontId="16" numFmtId="0" xfId="0" applyAlignment="1" applyBorder="1" applyFont="1">
      <alignment horizontal="center"/>
    </xf>
    <xf borderId="1" fillId="4" fontId="16" numFmtId="164" xfId="0" applyBorder="1" applyFont="1" applyNumberFormat="1"/>
    <xf borderId="1" fillId="4" fontId="16" numFmtId="0" xfId="0" applyBorder="1" applyFont="1"/>
    <xf borderId="1" fillId="4" fontId="16" numFmtId="166" xfId="0" applyBorder="1" applyFont="1" applyNumberFormat="1"/>
    <xf borderId="1" fillId="4" fontId="16" numFmtId="14" xfId="0" applyAlignment="1" applyBorder="1" applyFont="1" applyNumberFormat="1">
      <alignment horizontal="left" shrinkToFit="0" vertical="top" wrapText="1"/>
    </xf>
    <xf borderId="0" fillId="4" fontId="16" numFmtId="0" xfId="0" applyAlignment="1" applyFont="1">
      <alignment horizontal="left" shrinkToFit="0" vertical="top" wrapText="1"/>
    </xf>
    <xf borderId="1" fillId="4" fontId="141" numFmtId="0" xfId="0" applyAlignment="1" applyBorder="1" applyFont="1">
      <alignment horizontal="center" shrinkToFit="0" wrapText="1"/>
    </xf>
    <xf borderId="1" fillId="4" fontId="141" numFmtId="165" xfId="0" applyBorder="1" applyFont="1" applyNumberFormat="1"/>
    <xf borderId="1" fillId="4" fontId="141" numFmtId="165" xfId="0" applyAlignment="1" applyBorder="1" applyFont="1" applyNumberFormat="1">
      <alignment shrinkToFit="0" wrapText="1"/>
    </xf>
    <xf borderId="1" fillId="4" fontId="141" numFmtId="0" xfId="0" applyAlignment="1" applyBorder="1" applyFont="1">
      <alignment horizontal="center"/>
    </xf>
    <xf borderId="1" fillId="4" fontId="141" numFmtId="164" xfId="0" applyBorder="1" applyFont="1" applyNumberFormat="1"/>
    <xf borderId="1" fillId="4" fontId="141" numFmtId="0" xfId="0" applyBorder="1" applyFont="1"/>
    <xf borderId="1" fillId="4" fontId="141" numFmtId="166" xfId="0" applyBorder="1" applyFont="1" applyNumberFormat="1"/>
    <xf borderId="0" fillId="4" fontId="16" numFmtId="0" xfId="0" applyFont="1"/>
    <xf borderId="1" fillId="4" fontId="7" numFmtId="0" xfId="0" applyAlignment="1" applyBorder="1" applyFont="1">
      <alignment horizontal="center" readingOrder="0" vertical="center"/>
    </xf>
    <xf borderId="1" fillId="4" fontId="30" numFmtId="0" xfId="0" applyAlignment="1" applyBorder="1" applyFont="1">
      <alignment horizontal="left" readingOrder="0" vertical="center"/>
    </xf>
    <xf borderId="1" fillId="4" fontId="16" numFmtId="14" xfId="0" applyAlignment="1" applyBorder="1" applyFont="1" applyNumberFormat="1">
      <alignment horizontal="center"/>
    </xf>
    <xf borderId="1" fillId="4" fontId="16" numFmtId="0" xfId="0" applyAlignment="1" applyBorder="1" applyFont="1">
      <alignment shrinkToFit="0" vertical="top" wrapText="1"/>
    </xf>
    <xf borderId="0" fillId="4" fontId="16" numFmtId="0" xfId="0" applyAlignment="1" applyFont="1">
      <alignment shrinkToFit="0" vertical="top" wrapText="1"/>
    </xf>
    <xf borderId="0" fillId="4" fontId="16" numFmtId="0" xfId="0" applyAlignment="1" applyFont="1">
      <alignment shrinkToFit="0" vertical="top" wrapText="1"/>
    </xf>
    <xf borderId="1" fillId="4" fontId="28" numFmtId="0" xfId="0" applyAlignment="1" applyBorder="1" applyFont="1">
      <alignment horizontal="center" readingOrder="0" vertical="center"/>
    </xf>
    <xf borderId="1" fillId="4" fontId="16" numFmtId="14" xfId="0" applyAlignment="1" applyBorder="1" applyFont="1" applyNumberFormat="1">
      <alignment horizontal="center" readingOrder="0" vertical="center"/>
    </xf>
    <xf borderId="1" fillId="4" fontId="16" numFmtId="164" xfId="0" applyAlignment="1" applyBorder="1" applyFont="1" applyNumberFormat="1">
      <alignment readingOrder="0" vertical="center"/>
    </xf>
    <xf borderId="1" fillId="4" fontId="16" numFmtId="165" xfId="0" applyAlignment="1" applyBorder="1" applyFont="1" applyNumberFormat="1">
      <alignment readingOrder="0" vertical="center"/>
    </xf>
    <xf borderId="1" fillId="4" fontId="139" numFmtId="0" xfId="0" applyAlignment="1" applyBorder="1" applyFont="1">
      <alignment horizontal="center"/>
    </xf>
    <xf borderId="1" fillId="4" fontId="16" numFmtId="0" xfId="0" applyAlignment="1" applyBorder="1" applyFont="1">
      <alignment readingOrder="0" vertical="center"/>
    </xf>
    <xf borderId="1" fillId="4" fontId="16" numFmtId="167" xfId="0" applyAlignment="1" applyBorder="1" applyFont="1" applyNumberFormat="1">
      <alignment horizontal="center" readingOrder="0" vertical="center"/>
    </xf>
    <xf borderId="1" fillId="4" fontId="16" numFmtId="166" xfId="0" applyAlignment="1" applyBorder="1" applyFont="1" applyNumberFormat="1">
      <alignment readingOrder="0" vertical="center"/>
    </xf>
    <xf borderId="1" fillId="4" fontId="16" numFmtId="167" xfId="0" applyAlignment="1" applyBorder="1" applyFont="1" applyNumberFormat="1">
      <alignment horizontal="center" readingOrder="0" vertical="center"/>
    </xf>
    <xf borderId="1" fillId="4" fontId="16" numFmtId="166" xfId="0" applyAlignment="1" applyBorder="1" applyFont="1" applyNumberFormat="1">
      <alignment readingOrder="0" vertical="center"/>
    </xf>
    <xf borderId="0" fillId="4" fontId="16" numFmtId="0" xfId="0" applyAlignment="1" applyFont="1">
      <alignment horizontal="left" readingOrder="0" vertical="top"/>
    </xf>
    <xf borderId="0" fillId="4" fontId="16" numFmtId="0" xfId="0" applyAlignment="1" applyFont="1">
      <alignment horizontal="left" readingOrder="0" vertical="top"/>
    </xf>
    <xf borderId="1" fillId="4" fontId="139" numFmtId="0" xfId="0" applyAlignment="1" applyBorder="1" applyFont="1">
      <alignment horizontal="center" readingOrder="0"/>
    </xf>
    <xf borderId="1" fillId="4" fontId="28" numFmtId="0" xfId="0" applyAlignment="1" applyBorder="1" applyFont="1">
      <alignment horizontal="center" shrinkToFit="0" vertical="center" wrapText="1"/>
    </xf>
    <xf borderId="1" fillId="4" fontId="28" numFmtId="0" xfId="0" applyAlignment="1" applyBorder="1" applyFont="1">
      <alignment vertical="center"/>
    </xf>
    <xf borderId="1" fillId="4" fontId="16" numFmtId="0" xfId="0" applyAlignment="1" applyBorder="1" applyFont="1">
      <alignment horizontal="center" shrinkToFit="0" vertical="center" wrapText="1"/>
    </xf>
    <xf borderId="1" fillId="4" fontId="16" numFmtId="0" xfId="0" applyAlignment="1" applyBorder="1" applyFont="1">
      <alignment horizontal="center" vertical="center"/>
    </xf>
    <xf borderId="1" fillId="4" fontId="16" numFmtId="0" xfId="0" applyAlignment="1" applyBorder="1" applyFont="1">
      <alignment readingOrder="0" vertical="center"/>
    </xf>
    <xf borderId="1" fillId="4" fontId="30" numFmtId="0" xfId="0" applyAlignment="1" applyBorder="1" applyFont="1">
      <alignment horizontal="left" readingOrder="0" vertical="center"/>
    </xf>
    <xf borderId="1" fillId="4" fontId="16" numFmtId="0" xfId="0" applyAlignment="1" applyBorder="1" applyFont="1">
      <alignment readingOrder="0" vertical="center"/>
    </xf>
    <xf borderId="1" fillId="4" fontId="16" numFmtId="14" xfId="0" applyAlignment="1" applyBorder="1" applyFont="1" applyNumberFormat="1">
      <alignment horizontal="center" vertical="center"/>
    </xf>
    <xf borderId="1" fillId="4" fontId="16" numFmtId="164" xfId="0" applyAlignment="1" applyBorder="1" applyFont="1" applyNumberFormat="1">
      <alignment readingOrder="0" vertical="center"/>
    </xf>
    <xf borderId="0" fillId="4" fontId="16" numFmtId="0" xfId="0" applyAlignment="1" applyFont="1">
      <alignment readingOrder="0" vertical="center"/>
    </xf>
    <xf borderId="0" fillId="4" fontId="16" numFmtId="166" xfId="0" applyAlignment="1" applyFont="1" applyNumberFormat="1">
      <alignment readingOrder="0" vertical="center"/>
    </xf>
    <xf borderId="0" fillId="4" fontId="16" numFmtId="0" xfId="0" applyAlignment="1" applyFont="1">
      <alignment horizontal="left" readingOrder="0" vertical="top"/>
    </xf>
    <xf borderId="1" fillId="4" fontId="142" numFmtId="0" xfId="0" applyAlignment="1" applyBorder="1" applyFont="1">
      <alignment horizontal="center" readingOrder="0" vertical="center"/>
    </xf>
    <xf borderId="1" fillId="4" fontId="16" numFmtId="1" xfId="0" applyAlignment="1" applyBorder="1" applyFont="1" applyNumberFormat="1">
      <alignment horizontal="center" vertical="center"/>
    </xf>
    <xf borderId="1" fillId="4" fontId="16" numFmtId="0" xfId="0" applyAlignment="1" applyBorder="1" applyFont="1">
      <alignment vertical="center"/>
    </xf>
    <xf borderId="1" fillId="4" fontId="28" numFmtId="0" xfId="0" applyAlignment="1" applyBorder="1" applyFont="1">
      <alignment horizontal="center" readingOrder="0" shrinkToFit="0" vertical="center" wrapText="1"/>
    </xf>
    <xf borderId="1" fillId="4" fontId="143" numFmtId="0" xfId="0" applyAlignment="1" applyBorder="1" applyFont="1">
      <alignment horizontal="center"/>
    </xf>
    <xf borderId="1" fillId="4" fontId="139" numFmtId="0" xfId="0" applyAlignment="1" applyBorder="1" applyFont="1">
      <alignment horizontal="center" readingOrder="0"/>
    </xf>
    <xf borderId="1" fillId="4" fontId="144" numFmtId="0" xfId="0" applyAlignment="1" applyBorder="1" applyFont="1">
      <alignment horizontal="center" readingOrder="0" vertical="center"/>
    </xf>
    <xf borderId="1" fillId="4" fontId="145" numFmtId="0" xfId="0" applyAlignment="1" applyBorder="1" applyFont="1">
      <alignment horizontal="center" readingOrder="0" shrinkToFit="0" wrapText="0"/>
    </xf>
    <xf borderId="2" fillId="4" fontId="146" numFmtId="0" xfId="0" applyAlignment="1" applyBorder="1" applyFont="1">
      <alignment horizontal="center" readingOrder="0" shrinkToFit="0" wrapText="0"/>
    </xf>
    <xf borderId="1" fillId="4" fontId="147" numFmtId="0" xfId="0" applyAlignment="1" applyBorder="1" applyFont="1">
      <alignment horizontal="left" readingOrder="0" vertical="center"/>
    </xf>
    <xf borderId="1" fillId="4" fontId="148" numFmtId="0" xfId="0" applyAlignment="1" applyBorder="1" applyFont="1">
      <alignment readingOrder="0" vertical="center"/>
    </xf>
    <xf borderId="1" fillId="4" fontId="38" numFmtId="164" xfId="0" applyAlignment="1" applyBorder="1" applyFont="1" applyNumberFormat="1">
      <alignment horizontal="right" readingOrder="0" shrinkToFit="0" wrapText="0"/>
    </xf>
    <xf borderId="1" fillId="4" fontId="16" numFmtId="0" xfId="0" applyAlignment="1" applyBorder="1" applyFont="1">
      <alignment horizontal="left" vertical="top"/>
    </xf>
    <xf borderId="1" fillId="4" fontId="16" numFmtId="0" xfId="0" applyAlignment="1" applyBorder="1" applyFont="1">
      <alignment horizontal="left" readingOrder="0" vertical="top"/>
    </xf>
    <xf borderId="1" fillId="4" fontId="16" numFmtId="0" xfId="0" applyAlignment="1" applyBorder="1" applyFont="1">
      <alignment horizontal="left" readingOrder="0" vertical="top"/>
    </xf>
    <xf borderId="1" fillId="4" fontId="149" numFmtId="0" xfId="0" applyAlignment="1" applyBorder="1" applyFont="1">
      <alignment horizontal="center" readingOrder="0" vertical="center"/>
    </xf>
    <xf borderId="1" fillId="4" fontId="150" numFmtId="0" xfId="0" applyAlignment="1" applyBorder="1" applyFont="1">
      <alignment horizontal="center" readingOrder="0"/>
    </xf>
    <xf borderId="1" fillId="4" fontId="151" numFmtId="0" xfId="0" applyAlignment="1" applyBorder="1" applyFont="1">
      <alignment horizontal="left" readingOrder="0" shrinkToFit="0" vertical="center" wrapText="1"/>
    </xf>
    <xf borderId="1" fillId="4" fontId="152" numFmtId="0" xfId="0" applyAlignment="1" applyBorder="1" applyFont="1">
      <alignment horizontal="center" readingOrder="0"/>
    </xf>
    <xf borderId="1" fillId="4" fontId="153" numFmtId="0" xfId="0" applyAlignment="1" applyBorder="1" applyFont="1">
      <alignment horizontal="center" readingOrder="0" vertical="center"/>
    </xf>
    <xf borderId="1" fillId="4" fontId="16" numFmtId="0" xfId="0" applyAlignment="1" applyBorder="1" applyFont="1">
      <alignment horizontal="left" shrinkToFit="0" vertical="top" wrapText="1"/>
    </xf>
    <xf borderId="1" fillId="4" fontId="16" numFmtId="0" xfId="0" applyAlignment="1" applyBorder="1" applyFont="1">
      <alignment horizontal="left" readingOrder="0" shrinkToFit="0" vertical="top" wrapText="1"/>
    </xf>
    <xf borderId="1" fillId="4" fontId="16" numFmtId="0" xfId="0" applyAlignment="1" applyBorder="1" applyFont="1">
      <alignment horizontal="left" readingOrder="0" shrinkToFit="0" vertical="top" wrapText="1"/>
    </xf>
    <xf borderId="1" fillId="0" fontId="154" numFmtId="0" xfId="0" applyAlignment="1" applyBorder="1" applyFont="1">
      <alignment horizontal="left" readingOrder="0" vertical="center"/>
    </xf>
    <xf borderId="1" fillId="0" fontId="16" numFmtId="0" xfId="0" applyAlignment="1" applyBorder="1" applyFont="1">
      <alignment horizontal="center" readingOrder="0" vertical="center"/>
    </xf>
    <xf borderId="1" fillId="0" fontId="30" numFmtId="0" xfId="0" applyAlignment="1" applyBorder="1" applyFont="1">
      <alignment horizontal="left" readingOrder="0" vertical="center"/>
    </xf>
    <xf borderId="1" fillId="4" fontId="155" numFmtId="0" xfId="0" applyAlignment="1" applyBorder="1" applyFont="1">
      <alignment horizontal="center" readingOrder="0" shrinkToFit="0" wrapText="0"/>
    </xf>
    <xf borderId="1" fillId="0" fontId="16" numFmtId="167" xfId="0" applyAlignment="1" applyBorder="1" applyFont="1" applyNumberFormat="1">
      <alignment horizontal="center" readingOrder="0" vertical="center"/>
    </xf>
    <xf borderId="1" fillId="17" fontId="7" numFmtId="0" xfId="0" applyAlignment="1" applyBorder="1" applyFill="1" applyFont="1">
      <alignment horizontal="center" vertical="center"/>
    </xf>
    <xf borderId="1" fillId="12" fontId="7" numFmtId="0" xfId="0" applyAlignment="1" applyBorder="1" applyFont="1">
      <alignment horizontal="center" vertical="center"/>
    </xf>
    <xf borderId="1" fillId="12" fontId="7" numFmtId="0" xfId="0" applyAlignment="1" applyBorder="1" applyFont="1">
      <alignment horizontal="center" shrinkToFit="0" vertical="center" wrapText="1"/>
    </xf>
    <xf borderId="1" fillId="13" fontId="7" numFmtId="0" xfId="0" applyAlignment="1" applyBorder="1" applyFont="1">
      <alignment horizontal="center" vertical="center"/>
    </xf>
    <xf borderId="1" fillId="11" fontId="7" numFmtId="0" xfId="0" applyAlignment="1" applyBorder="1" applyFont="1">
      <alignment horizontal="center" vertical="center"/>
    </xf>
    <xf borderId="1" fillId="0" fontId="7" numFmtId="0" xfId="0" applyAlignment="1" applyBorder="1" applyFont="1">
      <alignment horizontal="center" vertical="center"/>
    </xf>
    <xf borderId="1" fillId="0" fontId="16" numFmtId="0" xfId="0" applyAlignment="1" applyBorder="1" applyFont="1">
      <alignment shrinkToFit="0" vertical="center" wrapText="1"/>
    </xf>
    <xf borderId="7" fillId="0" fontId="7" numFmtId="0" xfId="0" applyAlignment="1" applyBorder="1" applyFont="1">
      <alignment horizontal="left" vertical="center"/>
    </xf>
    <xf borderId="1" fillId="0" fontId="16" numFmtId="0" xfId="0" applyAlignment="1" applyBorder="1" applyFont="1">
      <alignment horizontal="left" vertical="center"/>
    </xf>
    <xf borderId="1" fillId="0" fontId="16" numFmtId="0" xfId="0" applyAlignment="1" applyBorder="1" applyFont="1">
      <alignment horizontal="center" vertical="center"/>
    </xf>
    <xf borderId="1" fillId="0" fontId="16" numFmtId="14" xfId="0" applyAlignment="1" applyBorder="1" applyFont="1" applyNumberFormat="1">
      <alignment horizontal="center" vertical="center"/>
    </xf>
    <xf borderId="0" fillId="0" fontId="16" numFmtId="14" xfId="0" applyAlignment="1" applyFont="1" applyNumberFormat="1">
      <alignment vertical="center"/>
    </xf>
    <xf borderId="1" fillId="0" fontId="16" numFmtId="1" xfId="0" applyAlignment="1" applyBorder="1" applyFont="1" applyNumberFormat="1">
      <alignment horizontal="center" shrinkToFit="0" vertical="center" wrapText="1"/>
    </xf>
    <xf borderId="1" fillId="0" fontId="16" numFmtId="0" xfId="0" applyAlignment="1" applyBorder="1" applyFont="1">
      <alignment horizontal="left" shrinkToFit="0" vertical="top" wrapText="1"/>
    </xf>
    <xf borderId="13" fillId="0" fontId="89" numFmtId="0" xfId="0" applyBorder="1" applyFont="1"/>
    <xf borderId="14" fillId="0" fontId="7" numFmtId="0" xfId="0" applyAlignment="1" applyBorder="1" applyFont="1">
      <alignment horizontal="center" shrinkToFit="0" vertical="center" wrapText="1"/>
    </xf>
    <xf borderId="15" fillId="0" fontId="89" numFmtId="0" xfId="0" applyBorder="1" applyFont="1"/>
    <xf borderId="1" fillId="0" fontId="1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16" numFmtId="0" xfId="0" applyAlignment="1" applyBorder="1" applyFont="1">
      <alignment horizontal="center" shrinkToFit="0" vertical="center" wrapText="1"/>
    </xf>
    <xf borderId="7" fillId="0" fontId="7" numFmtId="0" xfId="0" applyAlignment="1" applyBorder="1" applyFont="1">
      <alignment vertical="center"/>
    </xf>
    <xf borderId="1" fillId="0" fontId="7" numFmtId="0" xfId="0" applyAlignment="1" applyBorder="1" applyFont="1">
      <alignment horizontal="left" vertical="center"/>
    </xf>
    <xf borderId="1" fillId="5"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left" shrinkToFit="0" vertical="top" wrapText="1"/>
    </xf>
    <xf borderId="1" fillId="0" fontId="7" numFmtId="0" xfId="0" applyAlignment="1" applyBorder="1" applyFont="1">
      <alignment shrinkToFit="0" wrapText="1"/>
    </xf>
    <xf borderId="1" fillId="0" fontId="16" numFmtId="0" xfId="0" applyBorder="1" applyFont="1"/>
    <xf borderId="1" fillId="0" fontId="16" numFmtId="14" xfId="0" applyAlignment="1" applyBorder="1" applyFont="1" applyNumberFormat="1">
      <alignment vertical="center"/>
    </xf>
    <xf borderId="1" fillId="0" fontId="16" numFmtId="0" xfId="0" applyAlignment="1" applyBorder="1" applyFont="1">
      <alignment shrinkToFit="0" vertical="top" wrapText="1"/>
    </xf>
    <xf borderId="0" fillId="0" fontId="156" numFmtId="0" xfId="0" applyAlignment="1" applyFont="1">
      <alignment shrinkToFit="0" vertical="top" wrapText="1"/>
    </xf>
    <xf borderId="8" fillId="5"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7" fillId="0" fontId="16" numFmtId="0" xfId="0" applyAlignment="1" applyBorder="1" applyFont="1">
      <alignment horizontal="center" shrinkToFit="0" vertical="center" wrapText="1"/>
    </xf>
    <xf borderId="7" fillId="0" fontId="16" numFmtId="14" xfId="0" applyAlignment="1" applyBorder="1" applyFont="1" applyNumberFormat="1">
      <alignment horizontal="center" vertical="center"/>
    </xf>
    <xf borderId="7" fillId="0" fontId="16" numFmtId="1" xfId="0" applyAlignment="1" applyBorder="1" applyFont="1" applyNumberFormat="1">
      <alignment horizontal="center" shrinkToFit="0" vertical="center" wrapText="1"/>
    </xf>
    <xf borderId="7" fillId="0" fontId="16" numFmtId="0" xfId="0" applyAlignment="1" applyBorder="1" applyFont="1">
      <alignment horizontal="center" vertical="center"/>
    </xf>
    <xf borderId="7" fillId="0" fontId="16" numFmtId="0" xfId="0" applyAlignment="1" applyBorder="1" applyFont="1">
      <alignment horizontal="left" shrinkToFit="0" vertical="top" wrapText="1"/>
    </xf>
    <xf borderId="16" fillId="0" fontId="7" numFmtId="0" xfId="0" applyAlignment="1" applyBorder="1" applyFont="1">
      <alignment horizontal="center" vertical="center"/>
    </xf>
    <xf borderId="1" fillId="0" fontId="7" numFmtId="14" xfId="0" applyAlignment="1" applyBorder="1" applyFont="1" applyNumberFormat="1">
      <alignment horizontal="left" shrinkToFit="0" vertical="top" wrapText="1"/>
    </xf>
    <xf borderId="17" fillId="0" fontId="89" numFmtId="0" xfId="0" applyBorder="1" applyFont="1"/>
    <xf borderId="1" fillId="5" fontId="7" numFmtId="0" xfId="0" applyAlignment="1" applyBorder="1" applyFont="1">
      <alignment horizontal="center" vertical="center"/>
    </xf>
    <xf borderId="12" fillId="5" fontId="7" numFmtId="0" xfId="0" applyAlignment="1" applyBorder="1" applyFont="1">
      <alignment horizontal="center" shrinkToFit="0" vertical="center" wrapText="1"/>
    </xf>
    <xf borderId="18" fillId="0" fontId="7" numFmtId="0" xfId="0" applyAlignment="1" applyBorder="1" applyFont="1">
      <alignment vertical="center"/>
    </xf>
    <xf borderId="8" fillId="5" fontId="7" numFmtId="0" xfId="0" applyAlignment="1" applyBorder="1" applyFont="1">
      <alignment horizontal="center" vertical="center"/>
    </xf>
    <xf borderId="7" fillId="0" fontId="16" numFmtId="0" xfId="0" applyAlignment="1" applyBorder="1" applyFont="1">
      <alignment horizontal="left" shrinkToFit="0" vertical="center" wrapText="1"/>
    </xf>
    <xf borderId="1" fillId="5" fontId="43" numFmtId="0" xfId="0" applyAlignment="1" applyBorder="1" applyFont="1">
      <alignment horizontal="center" vertical="center"/>
    </xf>
    <xf borderId="7" fillId="0" fontId="43" numFmtId="0" xfId="0" applyAlignment="1" applyBorder="1" applyFont="1">
      <alignment shrinkToFit="0" vertical="center" wrapText="1"/>
    </xf>
    <xf borderId="1" fillId="0" fontId="30" numFmtId="0" xfId="0" applyAlignment="1" applyBorder="1" applyFont="1">
      <alignment horizontal="left" vertical="center"/>
    </xf>
    <xf borderId="12" fillId="5" fontId="43" numFmtId="0" xfId="0" applyAlignment="1" applyBorder="1" applyFont="1">
      <alignment horizontal="center" shrinkToFit="0" vertical="center" wrapText="1"/>
    </xf>
    <xf borderId="19" fillId="0" fontId="43" numFmtId="0" xfId="0" applyAlignment="1" applyBorder="1" applyFont="1">
      <alignment shrinkToFit="0" vertical="center" wrapText="1"/>
    </xf>
    <xf borderId="20" fillId="0" fontId="43" numFmtId="0" xfId="0" applyAlignment="1" applyBorder="1" applyFont="1">
      <alignment horizontal="left" shrinkToFit="0" vertical="center" wrapText="1"/>
    </xf>
    <xf borderId="20" fillId="0" fontId="30" numFmtId="0" xfId="0" applyAlignment="1" applyBorder="1" applyFont="1">
      <alignment horizontal="center" vertical="center"/>
    </xf>
    <xf borderId="20" fillId="0" fontId="30" numFmtId="14" xfId="0" applyAlignment="1" applyBorder="1" applyFont="1" applyNumberFormat="1">
      <alignment horizontal="center" vertical="center"/>
    </xf>
    <xf borderId="13" fillId="0" fontId="30" numFmtId="14" xfId="0" applyBorder="1" applyFont="1" applyNumberFormat="1"/>
    <xf borderId="13" fillId="0" fontId="30" numFmtId="1" xfId="0" applyAlignment="1" applyBorder="1" applyFont="1" applyNumberFormat="1">
      <alignment horizontal="center" shrinkToFit="0" vertical="center" wrapText="1"/>
    </xf>
    <xf borderId="20" fillId="0" fontId="30" numFmtId="0" xfId="0" applyAlignment="1" applyBorder="1" applyFont="1">
      <alignment horizontal="left" shrinkToFit="0" vertical="top" wrapText="1"/>
    </xf>
    <xf borderId="18" fillId="0" fontId="43" numFmtId="0" xfId="0" applyAlignment="1" applyBorder="1" applyFont="1">
      <alignment shrinkToFit="0" vertical="center" wrapText="1"/>
    </xf>
    <xf borderId="1" fillId="0" fontId="43" numFmtId="0" xfId="0" applyAlignment="1" applyBorder="1" applyFont="1">
      <alignment horizontal="left" shrinkToFit="0" vertical="center" wrapText="1"/>
    </xf>
    <xf borderId="1" fillId="0" fontId="30" numFmtId="14" xfId="0" applyBorder="1" applyFont="1" applyNumberFormat="1"/>
    <xf borderId="1" fillId="0" fontId="30" numFmtId="0" xfId="0" applyAlignment="1" applyBorder="1" applyFont="1">
      <alignment shrinkToFit="0" vertical="top" wrapText="1"/>
    </xf>
    <xf borderId="8" fillId="5" fontId="43" numFmtId="0" xfId="0" applyAlignment="1" applyBorder="1" applyFont="1">
      <alignment horizontal="center" shrinkToFit="0" vertical="center" wrapText="1"/>
    </xf>
    <xf borderId="1" fillId="0" fontId="30" numFmtId="0" xfId="0" applyAlignment="1" applyBorder="1" applyFont="1">
      <alignment horizontal="center" shrinkToFit="0" vertical="center" wrapText="1"/>
    </xf>
    <xf borderId="1" fillId="0" fontId="43" numFmtId="0" xfId="0" applyAlignment="1" applyBorder="1" applyFont="1">
      <alignment horizontal="left" shrinkToFit="0" vertical="top" wrapText="1"/>
    </xf>
    <xf borderId="1" fillId="0" fontId="43" numFmtId="0" xfId="0" applyAlignment="1" applyBorder="1" applyFont="1">
      <alignment horizontal="center" shrinkToFit="0" vertical="center" wrapText="1"/>
    </xf>
    <xf borderId="0" fillId="0" fontId="30" numFmtId="0" xfId="0" applyAlignment="1" applyFont="1">
      <alignment horizontal="left" vertical="center"/>
    </xf>
    <xf borderId="0" fillId="0" fontId="157" numFmtId="0" xfId="0" applyAlignment="1" applyFont="1">
      <alignment horizontal="left" vertical="center"/>
    </xf>
    <xf borderId="7" fillId="0" fontId="43" numFmtId="0" xfId="0" applyAlignment="1" applyBorder="1" applyFont="1">
      <alignment horizontal="center" shrinkToFit="0" vertical="center" wrapText="1"/>
    </xf>
    <xf borderId="7" fillId="0" fontId="43" numFmtId="0" xfId="0" applyAlignment="1" applyBorder="1" applyFont="1">
      <alignment horizontal="center" vertical="center"/>
    </xf>
    <xf borderId="8" fillId="5" fontId="43" numFmtId="0" xfId="0" applyAlignment="1" applyBorder="1" applyFont="1">
      <alignment horizontal="center" vertical="center"/>
    </xf>
    <xf borderId="20" fillId="0" fontId="89" numFmtId="0" xfId="0" applyBorder="1" applyFont="1"/>
    <xf borderId="7" fillId="0" fontId="30" numFmtId="0" xfId="0" applyAlignment="1" applyBorder="1" applyFont="1">
      <alignment horizontal="left" vertical="center"/>
    </xf>
    <xf borderId="7" fillId="0" fontId="30" numFmtId="0" xfId="0" applyAlignment="1" applyBorder="1" applyFont="1">
      <alignment horizontal="center" vertical="center"/>
    </xf>
    <xf borderId="7" fillId="0" fontId="30" numFmtId="14" xfId="0" applyAlignment="1" applyBorder="1" applyFont="1" applyNumberFormat="1">
      <alignment horizontal="center" vertical="center"/>
    </xf>
    <xf borderId="7" fillId="0" fontId="30" numFmtId="1" xfId="0" applyAlignment="1" applyBorder="1" applyFont="1" applyNumberFormat="1">
      <alignment horizontal="center" shrinkToFit="0" vertical="center" wrapText="1"/>
    </xf>
    <xf borderId="7" fillId="0" fontId="30" numFmtId="0" xfId="0" applyAlignment="1" applyBorder="1" applyFont="1">
      <alignment horizontal="left" shrinkToFit="0" vertical="top" wrapText="1"/>
    </xf>
    <xf borderId="20" fillId="0" fontId="43" numFmtId="0" xfId="0" applyAlignment="1" applyBorder="1" applyFont="1">
      <alignment horizontal="center" shrinkToFit="0" vertical="center" wrapText="1"/>
    </xf>
    <xf borderId="13" fillId="0" fontId="43" numFmtId="0" xfId="0" applyAlignment="1" applyBorder="1" applyFont="1">
      <alignment horizontal="left" shrinkToFit="0" vertical="center" wrapText="1"/>
    </xf>
    <xf borderId="13" fillId="0" fontId="30" numFmtId="0" xfId="0" applyAlignment="1" applyBorder="1" applyFont="1">
      <alignment horizontal="center" vertical="center"/>
    </xf>
    <xf borderId="13" fillId="0" fontId="30" numFmtId="14" xfId="0" applyAlignment="1" applyBorder="1" applyFont="1" applyNumberFormat="1">
      <alignment vertical="center"/>
    </xf>
    <xf borderId="13" fillId="0" fontId="30" numFmtId="0" xfId="0" applyAlignment="1" applyBorder="1" applyFont="1">
      <alignment shrinkToFit="0" vertical="top" wrapText="1"/>
    </xf>
    <xf borderId="11" fillId="5" fontId="43" numFmtId="0" xfId="0" applyAlignment="1" applyBorder="1" applyFont="1">
      <alignment horizontal="center" shrinkToFit="0" vertical="center" wrapText="1"/>
    </xf>
    <xf borderId="20" fillId="0" fontId="30" numFmtId="14" xfId="0" applyBorder="1" applyFont="1" applyNumberFormat="1"/>
    <xf borderId="20" fillId="0" fontId="30" numFmtId="0" xfId="0" applyAlignment="1" applyBorder="1" applyFont="1">
      <alignment shrinkToFit="0" vertical="top" wrapText="1"/>
    </xf>
    <xf borderId="1" fillId="5" fontId="43" numFmtId="0" xfId="0" applyAlignment="1" applyBorder="1" applyFont="1">
      <alignment horizontal="center" shrinkToFit="0" vertical="center" wrapText="1"/>
    </xf>
    <xf borderId="20" fillId="0" fontId="43" numFmtId="0" xfId="0" applyAlignment="1" applyBorder="1" applyFont="1">
      <alignment shrinkToFit="0" vertical="center" wrapText="1"/>
    </xf>
    <xf borderId="13" fillId="0" fontId="30" numFmtId="0" xfId="0" applyAlignment="1" applyBorder="1" applyFont="1">
      <alignment horizontal="center" shrinkToFit="0" vertical="center" wrapText="1"/>
    </xf>
    <xf borderId="13" fillId="0" fontId="43" numFmtId="0" xfId="0" applyAlignment="1" applyBorder="1" applyFont="1">
      <alignment shrinkToFit="0" wrapText="1"/>
    </xf>
    <xf borderId="13" fillId="0" fontId="30" numFmtId="0" xfId="0" applyBorder="1" applyFont="1"/>
    <xf borderId="13" fillId="0" fontId="30" numFmtId="0" xfId="0" applyAlignment="1" applyBorder="1" applyFont="1">
      <alignment horizontal="center" shrinkToFit="0" wrapText="1"/>
    </xf>
    <xf borderId="13" fillId="0" fontId="30" numFmtId="0" xfId="0" applyAlignment="1" applyBorder="1" applyFont="1">
      <alignment shrinkToFit="0" wrapText="1"/>
    </xf>
    <xf borderId="21" fillId="14" fontId="43" numFmtId="0" xfId="0" applyAlignment="1" applyBorder="1" applyFont="1">
      <alignment horizontal="center" shrinkToFit="0" vertical="center" wrapText="1"/>
    </xf>
    <xf borderId="8" fillId="14" fontId="43" numFmtId="0" xfId="0" applyAlignment="1" applyBorder="1" applyFont="1">
      <alignment shrinkToFit="0" vertical="center" wrapText="1"/>
    </xf>
    <xf borderId="1" fillId="14" fontId="30" numFmtId="0" xfId="0" applyAlignment="1" applyBorder="1" applyFont="1">
      <alignment horizontal="left" vertical="center"/>
    </xf>
    <xf borderId="1" fillId="14" fontId="30" numFmtId="0" xfId="0" applyAlignment="1" applyBorder="1" applyFont="1">
      <alignment horizontal="center" vertical="center"/>
    </xf>
    <xf borderId="1" fillId="14" fontId="30" numFmtId="0" xfId="0" applyAlignment="1" applyBorder="1" applyFont="1">
      <alignment horizontal="left" shrinkToFit="0" vertical="top" wrapText="1"/>
    </xf>
    <xf borderId="1" fillId="14" fontId="43" numFmtId="0" xfId="0" applyAlignment="1" applyBorder="1" applyFont="1">
      <alignment horizontal="left" shrinkToFit="0" vertical="center" wrapText="1"/>
    </xf>
    <xf borderId="16" fillId="0" fontId="43" numFmtId="0" xfId="0" applyAlignment="1" applyBorder="1" applyFont="1">
      <alignment shrinkToFit="0" vertical="center" wrapText="1"/>
    </xf>
    <xf borderId="1" fillId="0" fontId="30" numFmtId="0" xfId="0" applyAlignment="1" applyBorder="1" applyFont="1">
      <alignment shrinkToFit="0" wrapText="1"/>
    </xf>
    <xf borderId="1" fillId="0" fontId="30" numFmtId="0" xfId="0" applyBorder="1" applyFont="1"/>
    <xf borderId="0" fillId="0" fontId="30" numFmtId="0" xfId="0" applyAlignment="1" applyFont="1">
      <alignment horizontal="left"/>
    </xf>
    <xf borderId="7" fillId="0" fontId="30" numFmtId="0" xfId="0" applyAlignment="1" applyBorder="1" applyFont="1">
      <alignment shrinkToFit="0" wrapText="1"/>
    </xf>
    <xf borderId="20" fillId="0" fontId="30" numFmtId="0" xfId="0" applyAlignment="1" applyBorder="1" applyFont="1">
      <alignment shrinkToFit="0" wrapText="1"/>
    </xf>
    <xf borderId="22" fillId="0" fontId="30" numFmtId="0" xfId="0" applyAlignment="1" applyBorder="1" applyFont="1">
      <alignment horizontal="center" vertical="center"/>
    </xf>
    <xf borderId="13" fillId="0" fontId="30" numFmtId="0" xfId="0" applyAlignment="1" applyBorder="1" applyFont="1">
      <alignment horizontal="left" vertical="center"/>
    </xf>
    <xf borderId="12" fillId="14" fontId="30" numFmtId="0" xfId="0" applyAlignment="1" applyBorder="1" applyFont="1">
      <alignment horizontal="center" vertical="center"/>
    </xf>
    <xf borderId="23" fillId="14" fontId="30" numFmtId="14" xfId="0" applyAlignment="1" applyBorder="1" applyFont="1" applyNumberFormat="1">
      <alignment horizontal="center" vertical="center"/>
    </xf>
    <xf borderId="12" fillId="14" fontId="30" numFmtId="14" xfId="0" applyAlignment="1" applyBorder="1" applyFont="1" applyNumberFormat="1">
      <alignment horizontal="center" vertical="center"/>
    </xf>
    <xf borderId="12" fillId="14" fontId="30" numFmtId="0" xfId="0" applyAlignment="1" applyBorder="1" applyFont="1">
      <alignment horizontal="left" shrinkToFit="0" vertical="top" wrapText="1"/>
    </xf>
    <xf borderId="24" fillId="0" fontId="30" numFmtId="14" xfId="0" applyAlignment="1" applyBorder="1" applyFont="1" applyNumberFormat="1">
      <alignment horizontal="center" vertical="center"/>
    </xf>
    <xf borderId="13" fillId="0" fontId="30" numFmtId="14" xfId="0" applyAlignment="1" applyBorder="1" applyFont="1" applyNumberFormat="1">
      <alignment horizontal="center" vertical="center"/>
    </xf>
    <xf borderId="13" fillId="0" fontId="30" numFmtId="0" xfId="0" applyAlignment="1" applyBorder="1" applyFont="1">
      <alignment horizontal="left" shrinkToFit="0" vertical="top" wrapText="1"/>
    </xf>
    <xf borderId="1" fillId="0" fontId="30" numFmtId="14" xfId="0" applyAlignment="1" applyBorder="1" applyFont="1" applyNumberFormat="1">
      <alignment vertical="center"/>
    </xf>
    <xf borderId="18" fillId="0" fontId="30" numFmtId="0" xfId="0" applyAlignment="1" applyBorder="1" applyFont="1">
      <alignment shrinkToFit="0" wrapText="1"/>
    </xf>
    <xf borderId="22" fillId="0" fontId="30" numFmtId="0" xfId="0" applyAlignment="1" applyBorder="1" applyFont="1">
      <alignment shrinkToFit="0" vertical="center" wrapText="1"/>
    </xf>
    <xf borderId="20" fillId="0" fontId="158" numFmtId="0" xfId="0" applyAlignment="1" applyBorder="1" applyFont="1">
      <alignment horizontal="left" vertical="center"/>
    </xf>
    <xf borderId="20" fillId="0" fontId="30" numFmtId="1" xfId="0" applyAlignment="1" applyBorder="1" applyFont="1" applyNumberFormat="1">
      <alignment horizontal="center" shrinkToFit="0" vertical="center" wrapText="1"/>
    </xf>
    <xf borderId="20" fillId="0" fontId="43" numFmtId="0" xfId="0" applyAlignment="1" applyBorder="1" applyFont="1">
      <alignment horizontal="left" shrinkToFit="0" vertical="top" wrapText="1"/>
    </xf>
    <xf borderId="21" fillId="14" fontId="43" numFmtId="14" xfId="0" applyAlignment="1" applyBorder="1" applyFont="1" applyNumberFormat="1">
      <alignment horizontal="center" shrinkToFit="0" vertical="center" wrapText="1"/>
    </xf>
    <xf borderId="21" fillId="14" fontId="43" numFmtId="0" xfId="0" applyAlignment="1" applyBorder="1" applyFont="1">
      <alignment horizontal="left" shrinkToFit="0" vertical="center" wrapText="1"/>
    </xf>
    <xf borderId="18" fillId="0" fontId="43" numFmtId="0" xfId="0" applyAlignment="1" applyBorder="1" applyFont="1">
      <alignment horizontal="center" shrinkToFit="0" vertical="center" wrapText="1"/>
    </xf>
    <xf borderId="8" fillId="14" fontId="30" numFmtId="0" xfId="0" applyAlignment="1" applyBorder="1" applyFont="1">
      <alignment shrinkToFit="0" vertical="center" wrapText="1"/>
    </xf>
    <xf borderId="11" fillId="14" fontId="43" numFmtId="0" xfId="0" applyAlignment="1" applyBorder="1" applyFont="1">
      <alignment shrinkToFit="0" wrapText="1"/>
    </xf>
    <xf borderId="8" fillId="14" fontId="30" numFmtId="0" xfId="0" applyAlignment="1" applyBorder="1" applyFont="1">
      <alignment shrinkToFit="0" wrapText="1"/>
    </xf>
    <xf borderId="8" fillId="14" fontId="30" numFmtId="0" xfId="0" applyAlignment="1" applyBorder="1" applyFont="1">
      <alignment horizontal="center" shrinkToFit="0" vertical="center" wrapText="1"/>
    </xf>
    <xf borderId="8" fillId="14" fontId="30" numFmtId="14" xfId="0" applyAlignment="1" applyBorder="1" applyFont="1" applyNumberFormat="1">
      <alignment vertical="center"/>
    </xf>
    <xf borderId="11" fillId="14" fontId="30" numFmtId="0" xfId="0" applyAlignment="1" applyBorder="1" applyFont="1">
      <alignment vertical="center"/>
    </xf>
    <xf borderId="11" fillId="14" fontId="30" numFmtId="14" xfId="0" applyAlignment="1" applyBorder="1" applyFont="1" applyNumberFormat="1">
      <alignment horizontal="center" vertical="center"/>
    </xf>
    <xf borderId="11" fillId="14" fontId="30" numFmtId="1" xfId="0" applyAlignment="1" applyBorder="1" applyFont="1" applyNumberFormat="1">
      <alignment horizontal="center" shrinkToFit="0" vertical="center" wrapText="1"/>
    </xf>
    <xf borderId="11" fillId="14" fontId="30" numFmtId="14" xfId="0" applyAlignment="1" applyBorder="1" applyFont="1" applyNumberFormat="1">
      <alignment vertical="center"/>
    </xf>
    <xf borderId="11" fillId="14" fontId="30" numFmtId="0" xfId="0" applyAlignment="1" applyBorder="1" applyFont="1">
      <alignment shrinkToFit="0" vertical="center" wrapText="1"/>
    </xf>
    <xf borderId="20" fillId="0" fontId="30" numFmtId="0" xfId="0" applyAlignment="1" applyBorder="1" applyFont="1">
      <alignment horizontal="left" shrinkToFit="0" vertical="center" wrapText="1"/>
    </xf>
    <xf borderId="15" fillId="0" fontId="30" numFmtId="14" xfId="0" applyAlignment="1" applyBorder="1" applyFont="1" applyNumberFormat="1">
      <alignment horizontal="center" vertical="center"/>
    </xf>
    <xf borderId="1" fillId="0" fontId="30" numFmtId="0" xfId="0" applyAlignment="1" applyBorder="1" applyFont="1">
      <alignment horizontal="center" shrinkToFit="0" vertical="top" wrapText="1"/>
    </xf>
    <xf borderId="7" fillId="0" fontId="43" numFmtId="0" xfId="0" applyAlignment="1" applyBorder="1" applyFont="1">
      <alignment horizontal="left" vertical="center"/>
    </xf>
    <xf borderId="1" fillId="14" fontId="30" numFmtId="0" xfId="0" applyAlignment="1" applyBorder="1" applyFont="1">
      <alignment vertical="center"/>
    </xf>
    <xf borderId="13" fillId="0" fontId="30" numFmtId="0" xfId="0" applyAlignment="1" applyBorder="1" applyFont="1">
      <alignment horizontal="left" shrinkToFit="0" vertical="center" wrapText="1"/>
    </xf>
    <xf borderId="22" fillId="0" fontId="30" numFmtId="0" xfId="0" applyAlignment="1" applyBorder="1" applyFont="1">
      <alignment horizontal="left" shrinkToFit="0" vertical="center" wrapText="1"/>
    </xf>
    <xf borderId="2" fillId="0" fontId="30" numFmtId="14" xfId="0" applyAlignment="1" applyBorder="1" applyFont="1" applyNumberFormat="1">
      <alignment horizontal="center" vertical="center"/>
    </xf>
    <xf borderId="8" fillId="5" fontId="30" numFmtId="0" xfId="0" applyAlignment="1" applyBorder="1" applyFont="1">
      <alignment shrinkToFit="0" wrapText="1"/>
    </xf>
    <xf borderId="14" fillId="0" fontId="30" numFmtId="0" xfId="0" applyAlignment="1" applyBorder="1" applyFont="1">
      <alignment horizontal="center" vertical="center"/>
    </xf>
    <xf borderId="14" fillId="0" fontId="30" numFmtId="14" xfId="0" applyAlignment="1" applyBorder="1" applyFont="1" applyNumberFormat="1">
      <alignment horizontal="center" vertical="center"/>
    </xf>
    <xf borderId="1" fillId="5" fontId="30" numFmtId="0" xfId="0" applyAlignment="1" applyBorder="1" applyFont="1">
      <alignment horizontal="left" shrinkToFit="0" vertical="center" wrapText="1"/>
    </xf>
    <xf borderId="1" fillId="0" fontId="43" numFmtId="0" xfId="0" applyAlignment="1" applyBorder="1" applyFont="1">
      <alignment vertical="center"/>
    </xf>
    <xf borderId="7" fillId="0" fontId="43" numFmtId="14" xfId="0" applyAlignment="1" applyBorder="1" applyFont="1" applyNumberFormat="1">
      <alignment horizontal="center" vertical="center"/>
    </xf>
    <xf borderId="7" fillId="0" fontId="43" numFmtId="14" xfId="0" applyAlignment="1" applyBorder="1" applyFont="1" applyNumberFormat="1">
      <alignment horizontal="center" shrinkToFit="0" vertical="center" wrapText="1"/>
    </xf>
    <xf borderId="7" fillId="0" fontId="43" numFmtId="0" xfId="0" applyAlignment="1" applyBorder="1" applyFont="1">
      <alignment horizontal="center" shrinkToFit="0" vertical="top" wrapText="1"/>
    </xf>
    <xf borderId="8" fillId="14" fontId="43" numFmtId="0" xfId="0" applyAlignment="1" applyBorder="1" applyFont="1">
      <alignment horizontal="center" vertical="center"/>
    </xf>
    <xf borderId="8" fillId="14" fontId="43" numFmtId="0" xfId="0" applyAlignment="1" applyBorder="1" applyFont="1">
      <alignment horizontal="left" shrinkToFit="0" vertical="center" wrapText="1"/>
    </xf>
    <xf borderId="11" fillId="14" fontId="30" numFmtId="0" xfId="0" applyAlignment="1" applyBorder="1" applyFont="1">
      <alignment horizontal="left" vertical="center"/>
    </xf>
    <xf borderId="8" fillId="14" fontId="30" numFmtId="14" xfId="0" applyAlignment="1" applyBorder="1" applyFont="1" applyNumberFormat="1">
      <alignment horizontal="center" vertical="center"/>
    </xf>
    <xf borderId="8" fillId="14" fontId="30" numFmtId="1" xfId="0" applyAlignment="1" applyBorder="1" applyFont="1" applyNumberFormat="1">
      <alignment horizontal="center" shrinkToFit="0" vertical="center" wrapText="1"/>
    </xf>
    <xf borderId="8" fillId="14" fontId="30" numFmtId="0" xfId="0" applyAlignment="1" applyBorder="1" applyFont="1">
      <alignment horizontal="left" shrinkToFit="0" vertical="top" wrapText="1"/>
    </xf>
    <xf borderId="1" fillId="14" fontId="43" numFmtId="0" xfId="0" applyAlignment="1" applyBorder="1" applyFont="1">
      <alignment horizontal="left" shrinkToFit="0" vertical="top" wrapText="1"/>
    </xf>
    <xf borderId="8" fillId="14" fontId="30" numFmtId="0" xfId="0" applyAlignment="1" applyBorder="1" applyFont="1">
      <alignment horizontal="center" vertical="center"/>
    </xf>
    <xf borderId="8" fillId="14" fontId="43" numFmtId="14" xfId="0" applyAlignment="1" applyBorder="1" applyFont="1" applyNumberFormat="1">
      <alignment horizontal="center" vertical="center"/>
    </xf>
    <xf borderId="8" fillId="14" fontId="43" numFmtId="0" xfId="0" applyAlignment="1" applyBorder="1" applyFont="1">
      <alignment horizontal="left" shrinkToFit="0" vertical="top" wrapText="1"/>
    </xf>
    <xf borderId="1" fillId="0" fontId="30" numFmtId="14" xfId="0" applyAlignment="1" applyBorder="1" applyFont="1" applyNumberFormat="1">
      <alignment horizontal="center"/>
    </xf>
    <xf borderId="1" fillId="0" fontId="89" numFmtId="0" xfId="0" applyBorder="1" applyFont="1"/>
    <xf borderId="1" fillId="0" fontId="89" numFmtId="14" xfId="0" applyBorder="1" applyFont="1" applyNumberFormat="1"/>
    <xf borderId="1" fillId="15" fontId="43" numFmtId="0" xfId="0" applyAlignment="1" applyBorder="1" applyFont="1">
      <alignment horizontal="left" shrinkToFit="0" vertical="center" wrapText="1"/>
    </xf>
    <xf borderId="1" fillId="15" fontId="43" numFmtId="0" xfId="0" applyAlignment="1" applyBorder="1" applyFont="1">
      <alignment horizontal="center" shrinkToFit="0" vertical="center" wrapText="1"/>
    </xf>
    <xf borderId="1" fillId="15" fontId="43" numFmtId="14" xfId="0" applyAlignment="1" applyBorder="1" applyFont="1" applyNumberFormat="1">
      <alignment horizontal="center" vertical="center"/>
    </xf>
    <xf borderId="1" fillId="15" fontId="43" numFmtId="0" xfId="0" applyAlignment="1" applyBorder="1" applyFont="1">
      <alignment horizontal="left" shrinkToFit="0" vertical="top" wrapText="1"/>
    </xf>
    <xf borderId="10" fillId="15" fontId="30" numFmtId="0" xfId="0" applyAlignment="1" applyBorder="1" applyFont="1">
      <alignment horizontal="left" vertical="center"/>
    </xf>
    <xf borderId="10" fillId="15" fontId="30" numFmtId="0" xfId="0" applyAlignment="1" applyBorder="1" applyFont="1">
      <alignment horizontal="center" vertical="center"/>
    </xf>
    <xf borderId="10" fillId="15" fontId="89" numFmtId="0" xfId="0" applyBorder="1" applyFont="1"/>
    <xf borderId="1" fillId="4" fontId="43" numFmtId="0" xfId="0" applyAlignment="1" applyBorder="1" applyFont="1">
      <alignment horizontal="center" vertical="center"/>
    </xf>
    <xf borderId="1" fillId="0" fontId="30" numFmtId="14" xfId="0" applyAlignment="1" applyBorder="1" applyFont="1" applyNumberFormat="1">
      <alignment horizontal="center" shrinkToFit="0" vertical="center" wrapText="1"/>
    </xf>
    <xf borderId="1" fillId="4" fontId="30" numFmtId="1" xfId="0" applyAlignment="1" applyBorder="1" applyFont="1" applyNumberFormat="1">
      <alignment horizontal="center" shrinkToFit="0" vertical="center" wrapText="1"/>
    </xf>
    <xf borderId="1" fillId="0" fontId="43" numFmtId="14" xfId="0" applyAlignment="1" applyBorder="1" applyFont="1" applyNumberFormat="1">
      <alignment horizontal="center" vertical="center"/>
    </xf>
    <xf borderId="8" fillId="4" fontId="43" numFmtId="0" xfId="0" applyAlignment="1" applyBorder="1" applyFont="1">
      <alignment shrinkToFit="0" vertical="center" wrapText="1"/>
    </xf>
    <xf borderId="1" fillId="4" fontId="43" numFmtId="0" xfId="0" applyAlignment="1" applyBorder="1" applyFont="1">
      <alignment horizontal="center" shrinkToFit="0" vertical="center" wrapText="1"/>
    </xf>
    <xf borderId="1" fillId="4" fontId="30" numFmtId="0" xfId="0" applyAlignment="1" applyBorder="1" applyFont="1">
      <alignment horizontal="center" vertical="center"/>
    </xf>
    <xf borderId="1" fillId="4" fontId="30" numFmtId="14" xfId="0" applyAlignment="1" applyBorder="1" applyFont="1" applyNumberFormat="1">
      <alignment horizontal="center" vertical="center"/>
    </xf>
    <xf borderId="1" fillId="4" fontId="30" numFmtId="14" xfId="0" applyAlignment="1" applyBorder="1" applyFont="1" applyNumberFormat="1">
      <alignment horizontal="center" shrinkToFit="0" vertical="center" wrapText="1"/>
    </xf>
    <xf borderId="1" fillId="4" fontId="43" numFmtId="14" xfId="0" applyAlignment="1" applyBorder="1" applyFont="1" applyNumberFormat="1">
      <alignment horizontal="center" vertical="center"/>
    </xf>
    <xf borderId="1" fillId="4" fontId="43" numFmtId="0" xfId="0" applyAlignment="1" applyBorder="1" applyFont="1">
      <alignment horizontal="left" shrinkToFit="0" vertical="top" wrapText="1"/>
    </xf>
    <xf borderId="8" fillId="14" fontId="30" numFmtId="0" xfId="0" applyAlignment="1" applyBorder="1" applyFont="1">
      <alignment horizontal="left" vertical="center"/>
    </xf>
    <xf borderId="1" fillId="4" fontId="43" numFmtId="0" xfId="0" applyAlignment="1" applyBorder="1" applyFont="1">
      <alignment shrinkToFit="0" vertical="center" wrapText="1"/>
    </xf>
    <xf borderId="1" fillId="4" fontId="30" numFmtId="0" xfId="0" applyAlignment="1" applyBorder="1" applyFont="1">
      <alignment horizontal="center" shrinkToFit="0" vertical="center" wrapText="1"/>
    </xf>
    <xf borderId="9" fillId="4" fontId="43" numFmtId="14" xfId="0" applyAlignment="1" applyBorder="1" applyFont="1" applyNumberFormat="1">
      <alignment horizontal="center" vertical="center"/>
    </xf>
    <xf borderId="18" fillId="0" fontId="43" numFmtId="0" xfId="0" applyAlignment="1" applyBorder="1" applyFont="1">
      <alignment vertical="center"/>
    </xf>
    <xf borderId="25" fillId="14" fontId="30" numFmtId="0" xfId="0" applyAlignment="1" applyBorder="1" applyFont="1">
      <alignment horizontal="center" vertical="center"/>
    </xf>
    <xf borderId="8" fillId="4" fontId="43" numFmtId="0" xfId="0" applyAlignment="1" applyBorder="1" applyFont="1">
      <alignment horizontal="center" vertical="center"/>
    </xf>
    <xf borderId="8" fillId="4" fontId="43" numFmtId="0" xfId="0" applyAlignment="1" applyBorder="1" applyFont="1">
      <alignment horizontal="center" shrinkToFit="0" vertical="center" wrapText="1"/>
    </xf>
    <xf borderId="8" fillId="4" fontId="30" numFmtId="0" xfId="0" applyAlignment="1" applyBorder="1" applyFont="1">
      <alignment horizontal="center" shrinkToFit="0" vertical="center" wrapText="1"/>
    </xf>
    <xf borderId="8" fillId="4" fontId="30" numFmtId="14" xfId="0" applyAlignment="1" applyBorder="1" applyFont="1" applyNumberFormat="1">
      <alignment horizontal="center" vertical="center"/>
    </xf>
    <xf borderId="1" fillId="14" fontId="43" numFmtId="0" xfId="0" applyAlignment="1" applyBorder="1" applyFont="1">
      <alignment horizontal="left" vertical="center"/>
    </xf>
    <xf borderId="9" fillId="14" fontId="30" numFmtId="14" xfId="0" applyAlignment="1" applyBorder="1" applyFont="1" applyNumberFormat="1">
      <alignment horizontal="center" vertical="center"/>
    </xf>
    <xf borderId="1" fillId="14" fontId="30" numFmtId="14" xfId="0" applyAlignment="1" applyBorder="1" applyFont="1" applyNumberFormat="1">
      <alignment horizontal="left" shrinkToFit="0" vertical="top" wrapText="1"/>
    </xf>
    <xf borderId="13" fillId="0" fontId="43" numFmtId="0" xfId="0" applyAlignment="1" applyBorder="1" applyFont="1">
      <alignment horizontal="center" shrinkToFit="0" vertical="center" wrapText="1"/>
    </xf>
    <xf borderId="1" fillId="5" fontId="89" numFmtId="0" xfId="0" applyAlignment="1" applyBorder="1" applyFont="1">
      <alignment shrinkToFit="0" wrapText="1"/>
    </xf>
    <xf borderId="1" fillId="0" fontId="89" numFmtId="14" xfId="0" applyAlignment="1" applyBorder="1" applyFont="1" applyNumberFormat="1">
      <alignment horizontal="center"/>
    </xf>
    <xf borderId="1" fillId="0" fontId="89" numFmtId="0" xfId="0" applyAlignment="1" applyBorder="1" applyFont="1">
      <alignment shrinkToFit="0" vertical="top" wrapText="1"/>
    </xf>
    <xf borderId="25" fillId="14" fontId="43" numFmtId="0" xfId="0" applyAlignment="1" applyBorder="1" applyFont="1">
      <alignment horizontal="center" shrinkToFit="0" vertical="center" wrapText="1"/>
    </xf>
    <xf borderId="8" fillId="14" fontId="43" numFmtId="14" xfId="0" applyAlignment="1" applyBorder="1" applyFont="1" applyNumberFormat="1">
      <alignment horizontal="left" shrinkToFit="0" vertical="top" wrapText="1"/>
    </xf>
    <xf borderId="25" fillId="14" fontId="43" numFmtId="0" xfId="0" applyAlignment="1" applyBorder="1" applyFont="1">
      <alignment horizontal="center" vertical="center"/>
    </xf>
    <xf borderId="26" fillId="14" fontId="43" numFmtId="0" xfId="0" applyAlignment="1" applyBorder="1" applyFont="1">
      <alignment horizontal="left" shrinkToFit="0" vertical="center" wrapText="1"/>
    </xf>
    <xf borderId="12" fillId="14" fontId="30" numFmtId="1" xfId="0" applyAlignment="1" applyBorder="1" applyFont="1" applyNumberFormat="1">
      <alignment horizontal="center" shrinkToFit="0" vertical="center" wrapText="1"/>
    </xf>
    <xf borderId="12" fillId="14" fontId="30" numFmtId="14" xfId="0" applyAlignment="1" applyBorder="1" applyFont="1" applyNumberFormat="1">
      <alignment horizontal="left" shrinkToFit="0" vertical="top" wrapText="1"/>
    </xf>
    <xf borderId="1" fillId="5" fontId="43" numFmtId="0" xfId="0" applyAlignment="1" applyBorder="1" applyFont="1">
      <alignment vertical="center"/>
    </xf>
    <xf borderId="10" fillId="4" fontId="30" numFmtId="0" xfId="0" applyAlignment="1" applyBorder="1" applyFont="1">
      <alignment horizontal="center" vertical="center"/>
    </xf>
    <xf borderId="10" fillId="4" fontId="89" numFmtId="0" xfId="0" applyBorder="1" applyFont="1"/>
    <xf borderId="8" fillId="5" fontId="43" numFmtId="0" xfId="0" applyAlignment="1" applyBorder="1" applyFont="1">
      <alignment horizontal="left" vertical="center"/>
    </xf>
    <xf borderId="8" fillId="14" fontId="30" numFmtId="0" xfId="0" applyAlignment="1" applyBorder="1" applyFont="1">
      <alignment horizontal="left" shrinkToFit="0" vertical="center" wrapText="1"/>
    </xf>
    <xf borderId="25" fillId="14" fontId="30" numFmtId="14" xfId="0" applyAlignment="1" applyBorder="1" applyFont="1" applyNumberFormat="1">
      <alignment horizontal="center" vertical="center"/>
    </xf>
    <xf borderId="8" fillId="5" fontId="30" numFmtId="0" xfId="0" applyAlignment="1" applyBorder="1" applyFont="1">
      <alignment shrinkToFit="0" vertical="center" wrapText="1"/>
    </xf>
    <xf borderId="8" fillId="5" fontId="30" numFmtId="0" xfId="0" applyAlignment="1" applyBorder="1" applyFont="1">
      <alignment shrinkToFit="0" vertical="top" wrapText="1"/>
    </xf>
    <xf borderId="7" fillId="0" fontId="30" numFmtId="0" xfId="0" applyAlignment="1" applyBorder="1" applyFont="1">
      <alignment shrinkToFit="0" vertical="center" wrapText="1"/>
    </xf>
    <xf borderId="27" fillId="14" fontId="43" numFmtId="0" xfId="0" applyAlignment="1" applyBorder="1" applyFont="1">
      <alignment horizontal="center" shrinkToFit="0" vertical="center" wrapText="1"/>
    </xf>
    <xf borderId="12" fillId="14" fontId="30" numFmtId="0" xfId="0" applyAlignment="1" applyBorder="1" applyFont="1">
      <alignment horizontal="left" shrinkToFit="0" vertical="center" wrapText="1"/>
    </xf>
    <xf borderId="12" fillId="14" fontId="43" numFmtId="0" xfId="0" applyAlignment="1" applyBorder="1" applyFont="1">
      <alignment horizontal="center" vertical="center"/>
    </xf>
    <xf borderId="21" fillId="14" fontId="30" numFmtId="0" xfId="0" applyAlignment="1" applyBorder="1" applyFont="1">
      <alignment horizontal="center" shrinkToFit="0" vertical="center" wrapText="1"/>
    </xf>
    <xf borderId="7" fillId="0" fontId="30" numFmtId="0" xfId="0" applyAlignment="1" applyBorder="1" applyFont="1">
      <alignment shrinkToFit="0" vertical="top" wrapText="1"/>
    </xf>
    <xf borderId="1" fillId="0" fontId="43" numFmtId="14" xfId="0" applyAlignment="1" applyBorder="1" applyFont="1" applyNumberFormat="1">
      <alignment horizontal="left" shrinkToFit="0" vertical="top" wrapText="1"/>
    </xf>
    <xf borderId="1" fillId="14" fontId="137" numFmtId="0" xfId="0" applyAlignment="1" applyBorder="1" applyFont="1">
      <alignment vertical="center"/>
    </xf>
    <xf borderId="1" fillId="14" fontId="89" numFmtId="0" xfId="0" applyAlignment="1" applyBorder="1" applyFont="1">
      <alignment vertical="center"/>
    </xf>
    <xf borderId="1" fillId="14" fontId="89" numFmtId="0" xfId="0" applyAlignment="1" applyBorder="1" applyFont="1">
      <alignment horizontal="center" vertical="center"/>
    </xf>
    <xf borderId="1" fillId="14" fontId="89" numFmtId="14" xfId="0" applyAlignment="1" applyBorder="1" applyFont="1" applyNumberFormat="1">
      <alignment vertical="center"/>
    </xf>
    <xf borderId="1" fillId="14" fontId="89" numFmtId="0" xfId="0" applyAlignment="1" applyBorder="1" applyFont="1">
      <alignment shrinkToFit="0" vertical="center" wrapText="1"/>
    </xf>
    <xf borderId="1" fillId="14" fontId="43" numFmtId="0" xfId="0" applyAlignment="1" applyBorder="1" applyFont="1">
      <alignment shrinkToFit="0" vertical="top" wrapText="1"/>
    </xf>
    <xf borderId="2" fillId="0" fontId="16" numFmtId="0" xfId="0" applyAlignment="1" applyBorder="1" applyFont="1">
      <alignment shrinkToFit="0" vertical="top" wrapText="1"/>
    </xf>
    <xf borderId="1" fillId="14" fontId="43" numFmtId="0" xfId="0" applyAlignment="1" applyBorder="1" applyFont="1">
      <alignment vertical="center"/>
    </xf>
    <xf borderId="8" fillId="14" fontId="30" numFmtId="0" xfId="0" applyAlignment="1" applyBorder="1" applyFont="1">
      <alignment vertical="center"/>
    </xf>
    <xf borderId="8" fillId="14" fontId="30" numFmtId="0" xfId="0" applyAlignment="1" applyBorder="1" applyFont="1">
      <alignment shrinkToFit="0" vertical="top" wrapText="1"/>
    </xf>
    <xf borderId="10" fillId="14" fontId="30" numFmtId="14" xfId="0" applyAlignment="1" applyBorder="1" applyFont="1" applyNumberFormat="1">
      <alignment horizontal="center" vertical="center"/>
    </xf>
    <xf borderId="1" fillId="14" fontId="30" numFmtId="0" xfId="0" applyAlignment="1" applyBorder="1" applyFont="1">
      <alignment shrinkToFit="0" vertical="top" wrapText="1"/>
    </xf>
    <xf borderId="1" fillId="14" fontId="30" numFmtId="14" xfId="0" applyAlignment="1" applyBorder="1" applyFont="1" applyNumberFormat="1">
      <alignment shrinkToFit="0" vertical="top" wrapText="1"/>
    </xf>
    <xf borderId="28" fillId="14" fontId="30" numFmtId="0" xfId="0" applyAlignment="1" applyBorder="1" applyFont="1">
      <alignment horizontal="center" shrinkToFit="0" vertical="center" wrapText="1"/>
    </xf>
    <xf borderId="12" fillId="5" fontId="30" numFmtId="0" xfId="0" applyAlignment="1" applyBorder="1" applyFont="1">
      <alignment horizontal="left" vertical="center"/>
    </xf>
    <xf borderId="8" fillId="5" fontId="30" numFmtId="0" xfId="0" applyAlignment="1" applyBorder="1" applyFont="1">
      <alignment horizontal="left" vertical="center"/>
    </xf>
    <xf borderId="1" fillId="0" fontId="30" numFmtId="14" xfId="0" applyAlignment="1" applyBorder="1" applyFont="1" applyNumberFormat="1">
      <alignment shrinkToFit="0" vertical="center" wrapText="1"/>
    </xf>
    <xf borderId="1" fillId="5" fontId="30" numFmtId="0" xfId="0" applyAlignment="1" applyBorder="1" applyFont="1">
      <alignment vertical="center"/>
    </xf>
    <xf borderId="0" fillId="0" fontId="89" numFmtId="0" xfId="0" applyAlignment="1" applyFont="1">
      <alignment shrinkToFit="0" wrapText="1"/>
    </xf>
    <xf borderId="1" fillId="0" fontId="89" numFmtId="0" xfId="0" applyAlignment="1" applyBorder="1" applyFont="1">
      <alignment horizontal="left" shrinkToFit="0" vertical="center" wrapText="1"/>
    </xf>
    <xf borderId="1" fillId="0" fontId="159" numFmtId="0" xfId="0" applyAlignment="1" applyBorder="1" applyFont="1">
      <alignment horizontal="left" shrinkToFit="0" vertical="center" wrapText="1"/>
    </xf>
    <xf borderId="10" fillId="5" fontId="43" numFmtId="0" xfId="0" applyAlignment="1" applyBorder="1" applyFont="1">
      <alignment horizontal="left" shrinkToFit="0" vertical="center" wrapText="1"/>
    </xf>
    <xf borderId="1" fillId="14" fontId="30" numFmtId="14" xfId="0" applyAlignment="1" applyBorder="1" applyFont="1" applyNumberFormat="1">
      <alignment horizontal="left" shrinkToFit="0" vertical="center" wrapText="1"/>
    </xf>
    <xf borderId="1" fillId="14" fontId="30" numFmtId="14" xfId="0" applyBorder="1" applyFont="1" applyNumberFormat="1"/>
    <xf borderId="12" fillId="15" fontId="43" numFmtId="0" xfId="0" applyAlignment="1" applyBorder="1" applyFont="1">
      <alignment horizontal="center" vertical="center"/>
    </xf>
    <xf borderId="12" fillId="5" fontId="43" numFmtId="0" xfId="0" applyAlignment="1" applyBorder="1" applyFont="1">
      <alignment horizontal="left" shrinkToFit="0" vertical="center" wrapText="1"/>
    </xf>
    <xf borderId="12" fillId="15" fontId="30" numFmtId="0" xfId="0" applyAlignment="1" applyBorder="1" applyFont="1">
      <alignment horizontal="left" vertical="center"/>
    </xf>
    <xf borderId="12" fillId="15" fontId="30" numFmtId="0" xfId="0" applyAlignment="1" applyBorder="1" applyFont="1">
      <alignment horizontal="center" vertical="center"/>
    </xf>
    <xf borderId="12" fillId="15" fontId="30" numFmtId="14" xfId="0" applyAlignment="1" applyBorder="1" applyFont="1" applyNumberFormat="1">
      <alignment horizontal="center" vertical="center"/>
    </xf>
    <xf borderId="12" fillId="15" fontId="30" numFmtId="1" xfId="0" applyAlignment="1" applyBorder="1" applyFont="1" applyNumberFormat="1">
      <alignment horizontal="center" shrinkToFit="0" vertical="center" wrapText="1"/>
    </xf>
    <xf borderId="12" fillId="15" fontId="30" numFmtId="0" xfId="0" applyAlignment="1" applyBorder="1" applyFont="1">
      <alignment horizontal="left" shrinkToFit="0" vertical="top" wrapText="1"/>
    </xf>
    <xf borderId="13" fillId="0" fontId="43" numFmtId="0" xfId="0" applyAlignment="1" applyBorder="1" applyFont="1">
      <alignment horizontal="center" vertical="center"/>
    </xf>
    <xf borderId="13" fillId="0" fontId="30" numFmtId="14" xfId="0" applyAlignment="1" applyBorder="1" applyFont="1" applyNumberFormat="1">
      <alignment horizontal="left" shrinkToFit="0" vertical="top" wrapText="1"/>
    </xf>
    <xf borderId="13" fillId="0" fontId="43" numFmtId="0" xfId="0" applyAlignment="1" applyBorder="1" applyFont="1">
      <alignment horizontal="left" vertical="center"/>
    </xf>
    <xf borderId="1" fillId="0" fontId="43" numFmtId="0" xfId="0" applyAlignment="1" applyBorder="1" applyFont="1">
      <alignment horizontal="left" vertical="center"/>
    </xf>
    <xf borderId="28" fillId="5" fontId="30" numFmtId="0" xfId="0" applyAlignment="1" applyBorder="1" applyFont="1">
      <alignment shrinkToFit="0" wrapText="1"/>
    </xf>
    <xf borderId="22" fillId="0" fontId="30" numFmtId="0" xfId="0" applyAlignment="1" applyBorder="1" applyFont="1">
      <alignment shrinkToFit="0" wrapText="1"/>
    </xf>
    <xf borderId="8" fillId="14" fontId="43" numFmtId="0" xfId="0" applyAlignment="1" applyBorder="1" applyFont="1">
      <alignment vertical="center"/>
    </xf>
    <xf borderId="12" fillId="14" fontId="30" numFmtId="0" xfId="0" applyAlignment="1" applyBorder="1" applyFont="1">
      <alignment horizontal="left" vertical="center"/>
    </xf>
    <xf borderId="10" fillId="14" fontId="43" numFmtId="0" xfId="0" applyAlignment="1" applyBorder="1" applyFont="1">
      <alignment horizontal="center" vertical="center"/>
    </xf>
    <xf borderId="12" fillId="5" fontId="30" numFmtId="0" xfId="0" applyAlignment="1" applyBorder="1" applyFont="1">
      <alignment horizontal="left" shrinkToFit="0" vertical="center" wrapText="1"/>
    </xf>
    <xf borderId="11" fillId="14" fontId="30" numFmtId="0" xfId="0" applyAlignment="1" applyBorder="1" applyFont="1">
      <alignment horizontal="center" vertical="center"/>
    </xf>
    <xf borderId="26" fillId="5" fontId="30" numFmtId="0" xfId="0" applyAlignment="1" applyBorder="1" applyFont="1">
      <alignment horizontal="left" shrinkToFit="0" vertical="center" wrapText="1"/>
    </xf>
    <xf borderId="12" fillId="14" fontId="30" numFmtId="0" xfId="0" applyAlignment="1" applyBorder="1" applyFont="1">
      <alignment horizontal="center" shrinkToFit="0" vertical="center" wrapText="1"/>
    </xf>
    <xf borderId="26" fillId="5" fontId="43" numFmtId="0" xfId="0" applyAlignment="1" applyBorder="1" applyFont="1">
      <alignment horizontal="left" shrinkToFit="0" vertical="center" wrapText="1"/>
    </xf>
    <xf borderId="27" fillId="5" fontId="43" numFmtId="0" xfId="0" applyAlignment="1" applyBorder="1" applyFont="1">
      <alignment horizontal="left" shrinkToFit="0" vertical="center" wrapText="1"/>
    </xf>
    <xf borderId="29" fillId="14" fontId="30" numFmtId="14" xfId="0" applyAlignment="1" applyBorder="1" applyFont="1" applyNumberFormat="1">
      <alignment horizontal="center" vertical="center"/>
    </xf>
    <xf borderId="11" fillId="14" fontId="30" numFmtId="14" xfId="0" applyAlignment="1" applyBorder="1" applyFont="1" applyNumberFormat="1">
      <alignment horizontal="left" shrinkToFit="0" vertical="top" wrapText="1"/>
    </xf>
    <xf borderId="30" fillId="14" fontId="43" numFmtId="0" xfId="0" applyAlignment="1" applyBorder="1" applyFont="1">
      <alignment horizontal="center" vertical="center"/>
    </xf>
    <xf borderId="1" fillId="18" fontId="30" numFmtId="1" xfId="0" applyAlignment="1" applyBorder="1" applyFill="1" applyFont="1" applyNumberFormat="1">
      <alignment horizontal="center" shrinkToFit="0" vertical="center" wrapText="1"/>
    </xf>
    <xf borderId="1" fillId="14" fontId="30" numFmtId="14" xfId="0" applyAlignment="1" applyBorder="1" applyFont="1" applyNumberFormat="1">
      <alignment shrinkToFit="0" wrapText="1"/>
    </xf>
    <xf borderId="1" fillId="14" fontId="30" numFmtId="0" xfId="0" applyAlignment="1" applyBorder="1" applyFont="1">
      <alignment vertical="top"/>
    </xf>
    <xf borderId="20" fillId="0" fontId="89" numFmtId="0" xfId="0" applyAlignment="1" applyBorder="1" applyFont="1">
      <alignment horizontal="left" shrinkToFit="0" vertical="center" wrapText="1"/>
    </xf>
    <xf borderId="20" fillId="0" fontId="30" numFmtId="0" xfId="0" applyAlignment="1" applyBorder="1" applyFont="1">
      <alignment horizontal="left" vertical="center"/>
    </xf>
    <xf borderId="7" fillId="14" fontId="43" numFmtId="0" xfId="0" applyAlignment="1" applyBorder="1" applyFont="1">
      <alignment horizontal="center" vertical="center"/>
    </xf>
    <xf borderId="13" fillId="0" fontId="160" numFmtId="0" xfId="0" applyBorder="1" applyFont="1"/>
    <xf borderId="1" fillId="14" fontId="43" numFmtId="14" xfId="0" applyAlignment="1" applyBorder="1" applyFont="1" applyNumberFormat="1">
      <alignment horizontal="left" shrinkToFit="0" vertical="top" wrapText="1"/>
    </xf>
    <xf borderId="0" fillId="0" fontId="89" numFmtId="0" xfId="0" applyAlignment="1" applyFont="1">
      <alignment horizontal="center"/>
    </xf>
    <xf borderId="20" fillId="0" fontId="43" numFmtId="0" xfId="0" applyAlignment="1" applyBorder="1" applyFont="1">
      <alignment horizontal="center" vertical="center"/>
    </xf>
    <xf borderId="13" fillId="0" fontId="89" numFmtId="0" xfId="0" applyAlignment="1" applyBorder="1" applyFont="1">
      <alignment horizontal="left" shrinkToFit="0" vertical="center" wrapText="1"/>
    </xf>
    <xf borderId="1" fillId="5" fontId="30" numFmtId="0" xfId="0" applyAlignment="1" applyBorder="1" applyFont="1">
      <alignment shrinkToFit="0" vertical="top" wrapText="1"/>
    </xf>
    <xf borderId="1" fillId="14" fontId="30" numFmtId="14" xfId="0" applyAlignment="1" applyBorder="1" applyFont="1" applyNumberFormat="1">
      <alignment horizontal="center" shrinkToFit="0" vertical="center" wrapText="1"/>
    </xf>
    <xf borderId="1" fillId="5" fontId="30" numFmtId="0" xfId="0" applyBorder="1" applyFont="1"/>
    <xf borderId="1" fillId="0" fontId="89" numFmtId="0" xfId="0" applyAlignment="1" applyBorder="1" applyFont="1">
      <alignment shrinkToFit="0" vertical="center" wrapText="1"/>
    </xf>
    <xf borderId="1" fillId="5" fontId="89" numFmtId="0" xfId="0" applyAlignment="1" applyBorder="1" applyFont="1">
      <alignment vertical="center"/>
    </xf>
    <xf borderId="1" fillId="14" fontId="137" numFmtId="0" xfId="0" applyAlignment="1" applyBorder="1" applyFont="1">
      <alignment shrinkToFit="0" vertical="center" wrapText="1"/>
    </xf>
    <xf borderId="1" fillId="14" fontId="89" numFmtId="14" xfId="0" applyAlignment="1" applyBorder="1" applyFont="1" applyNumberFormat="1">
      <alignment shrinkToFit="0" vertical="center" wrapText="1"/>
    </xf>
    <xf borderId="1" fillId="5" fontId="89" numFmtId="0" xfId="0" applyAlignment="1" applyBorder="1" applyFont="1">
      <alignment horizontal="center" vertical="center"/>
    </xf>
    <xf borderId="1" fillId="0" fontId="89" numFmtId="14" xfId="0" applyAlignment="1" applyBorder="1" applyFont="1" applyNumberFormat="1">
      <alignment horizontal="center" vertical="center"/>
    </xf>
    <xf borderId="1" fillId="0" fontId="89" numFmtId="0" xfId="0" applyAlignment="1" applyBorder="1" applyFont="1">
      <alignment horizontal="center" vertical="center"/>
    </xf>
    <xf borderId="0" fillId="0" fontId="89" numFmtId="0" xfId="0" applyAlignment="1" applyFont="1">
      <alignment horizontal="center" vertical="center"/>
    </xf>
    <xf borderId="1" fillId="5" fontId="30" numFmtId="0" xfId="0" applyAlignment="1" applyBorder="1" applyFont="1">
      <alignment horizontal="left" vertical="center"/>
    </xf>
    <xf borderId="1" fillId="0" fontId="89" numFmtId="0" xfId="0" applyAlignment="1" applyBorder="1" applyFont="1">
      <alignment horizontal="center" shrinkToFit="0" wrapText="1"/>
    </xf>
    <xf borderId="1" fillId="0" fontId="89" numFmtId="0" xfId="0" applyAlignment="1" applyBorder="1" applyFont="1">
      <alignment shrinkToFit="0" wrapText="1"/>
    </xf>
    <xf borderId="1" fillId="14" fontId="30" numFmtId="0" xfId="0" applyAlignment="1" applyBorder="1" applyFont="1">
      <alignment horizontal="left" vertical="top"/>
    </xf>
    <xf borderId="1" fillId="0" fontId="43" numFmtId="0" xfId="0" applyAlignment="1" applyBorder="1" applyFont="1">
      <alignment shrinkToFit="0" vertical="top" wrapText="1"/>
    </xf>
    <xf borderId="0" fillId="0" fontId="161" numFmtId="0" xfId="0" applyFont="1"/>
    <xf borderId="1" fillId="0" fontId="30" numFmtId="0" xfId="0" applyAlignment="1" applyBorder="1" applyFont="1">
      <alignment horizontal="center"/>
    </xf>
    <xf borderId="1" fillId="0" fontId="43" numFmtId="0" xfId="0" applyAlignment="1" applyBorder="1" applyFont="1">
      <alignment horizontal="center" shrinkToFit="0" vertical="top" wrapText="1"/>
    </xf>
    <xf borderId="1" fillId="5" fontId="43" numFmtId="0" xfId="0" applyAlignment="1" applyBorder="1" applyFont="1">
      <alignment shrinkToFit="0" vertical="top" wrapText="1"/>
    </xf>
    <xf borderId="10" fillId="5" fontId="89" numFmtId="0" xfId="0" applyBorder="1" applyFont="1"/>
    <xf borderId="0" fillId="0" fontId="89" numFmtId="14" xfId="0" applyFont="1" applyNumberFormat="1"/>
    <xf borderId="1" fillId="14" fontId="30" numFmtId="14" xfId="0" applyAlignment="1" applyBorder="1" applyFont="1" applyNumberFormat="1">
      <alignment horizontal="left" vertical="center"/>
    </xf>
    <xf borderId="1" fillId="14" fontId="162" numFmtId="14" xfId="0" applyAlignment="1" applyBorder="1" applyFont="1" applyNumberFormat="1">
      <alignment horizontal="left" vertical="top"/>
    </xf>
    <xf borderId="1" fillId="0" fontId="137" numFmtId="0" xfId="0" applyAlignment="1" applyBorder="1" applyFont="1">
      <alignment shrinkToFit="0" vertical="center" wrapText="1"/>
    </xf>
    <xf borderId="1" fillId="14" fontId="89" numFmtId="0" xfId="0" applyAlignment="1" applyBorder="1" applyFont="1">
      <alignment horizontal="center" shrinkToFit="0" vertical="center" wrapText="1"/>
    </xf>
    <xf borderId="1" fillId="14" fontId="89" numFmtId="14" xfId="0" applyAlignment="1" applyBorder="1" applyFont="1" applyNumberFormat="1">
      <alignment readingOrder="0" vertical="center"/>
    </xf>
    <xf borderId="1" fillId="14" fontId="89" numFmtId="0" xfId="0" applyAlignment="1" applyBorder="1" applyFont="1">
      <alignment vertical="top"/>
    </xf>
    <xf borderId="10" fillId="5" fontId="137" numFmtId="0" xfId="0" applyBorder="1" applyFont="1"/>
    <xf borderId="1" fillId="14" fontId="30" numFmtId="0" xfId="0" applyAlignment="1" applyBorder="1" applyFont="1">
      <alignment horizontal="center" readingOrder="0" shrinkToFit="0" vertical="center" wrapText="1"/>
    </xf>
    <xf borderId="10" fillId="14" fontId="43" numFmtId="0" xfId="0" applyAlignment="1" applyBorder="1" applyFont="1">
      <alignment horizontal="left" shrinkToFit="0" vertical="center" wrapText="1"/>
    </xf>
    <xf borderId="10" fillId="5" fontId="30" numFmtId="0" xfId="0" applyAlignment="1" applyBorder="1" applyFont="1">
      <alignment horizontal="left" vertical="center"/>
    </xf>
    <xf borderId="10" fillId="14" fontId="30" numFmtId="0" xfId="0" applyAlignment="1" applyBorder="1" applyFont="1">
      <alignment horizontal="left" vertical="top"/>
    </xf>
    <xf borderId="1" fillId="5" fontId="89" numFmtId="0" xfId="0" applyBorder="1" applyFont="1"/>
    <xf borderId="7" fillId="0" fontId="43" numFmtId="0" xfId="0" applyAlignment="1" applyBorder="1" applyFont="1">
      <alignment vertical="top"/>
    </xf>
    <xf borderId="8" fillId="5" fontId="30" numFmtId="0" xfId="0" applyBorder="1" applyFont="1"/>
    <xf borderId="7" fillId="0" fontId="30" numFmtId="14" xfId="0" applyAlignment="1" applyBorder="1" applyFont="1" applyNumberFormat="1">
      <alignment horizontal="center"/>
    </xf>
    <xf borderId="8" fillId="14" fontId="30" numFmtId="1" xfId="0" applyAlignment="1" applyBorder="1" applyFont="1" applyNumberFormat="1">
      <alignment horizontal="center" vertical="center"/>
    </xf>
    <xf borderId="10" fillId="14" fontId="43" numFmtId="0" xfId="0" applyAlignment="1" applyBorder="1" applyFont="1">
      <alignment horizontal="center" shrinkToFit="0" vertical="center" wrapText="1"/>
    </xf>
    <xf borderId="7" fillId="0" fontId="43" numFmtId="0" xfId="0" applyAlignment="1" applyBorder="1" applyFont="1">
      <alignment shrinkToFit="0" vertical="top" wrapText="1"/>
    </xf>
    <xf borderId="1" fillId="14" fontId="30" numFmtId="14" xfId="0" applyAlignment="1" applyBorder="1" applyFont="1" applyNumberFormat="1">
      <alignment horizontal="left" vertical="top"/>
    </xf>
    <xf borderId="10" fillId="14" fontId="43" numFmtId="0" xfId="0" applyAlignment="1" applyBorder="1" applyFont="1">
      <alignment horizontal="left" shrinkToFit="0" vertical="top" wrapText="1"/>
    </xf>
    <xf borderId="7" fillId="0" fontId="30" numFmtId="0" xfId="0" applyAlignment="1" applyBorder="1" applyFont="1">
      <alignment vertical="top"/>
    </xf>
    <xf borderId="0" fillId="0" fontId="137" numFmtId="0" xfId="0" applyFont="1"/>
    <xf borderId="9" fillId="14" fontId="30" numFmtId="0" xfId="0" applyAlignment="1" applyBorder="1" applyFont="1">
      <alignment horizontal="center" shrinkToFit="0" vertical="center" wrapText="1"/>
    </xf>
    <xf borderId="21" fillId="14" fontId="163" numFmtId="0" xfId="0" applyAlignment="1" applyBorder="1" applyFont="1">
      <alignment horizontal="left" shrinkToFit="0" vertical="center" wrapText="1"/>
    </xf>
    <xf borderId="18" fillId="0" fontId="43" numFmtId="0" xfId="0" applyAlignment="1" applyBorder="1" applyFont="1">
      <alignment shrinkToFit="0" vertical="top" wrapText="1"/>
    </xf>
    <xf borderId="1" fillId="5" fontId="137" numFmtId="0" xfId="0" applyAlignment="1" applyBorder="1" applyFont="1">
      <alignment vertical="center"/>
    </xf>
    <xf borderId="1" fillId="14" fontId="30" numFmtId="1" xfId="0" applyAlignment="1" applyBorder="1" applyFont="1" applyNumberFormat="1">
      <alignment horizontal="center" vertical="center"/>
    </xf>
    <xf borderId="1" fillId="5" fontId="137" numFmtId="0" xfId="0" applyAlignment="1" applyBorder="1" applyFont="1">
      <alignment shrinkToFit="0" vertical="center" wrapText="1"/>
    </xf>
    <xf borderId="1" fillId="5" fontId="89" numFmtId="0" xfId="0" applyAlignment="1" applyBorder="1" applyFont="1">
      <alignment shrinkToFit="0" vertical="center" wrapText="1"/>
    </xf>
    <xf borderId="1" fillId="0" fontId="89" numFmtId="14" xfId="0" applyAlignment="1" applyBorder="1" applyFont="1" applyNumberFormat="1">
      <alignment shrinkToFit="0" vertical="center" wrapText="1"/>
    </xf>
    <xf borderId="0" fillId="0" fontId="89" numFmtId="0" xfId="0" applyAlignment="1" applyFont="1">
      <alignment shrinkToFit="0" vertical="center" wrapText="1"/>
    </xf>
    <xf borderId="1" fillId="0" fontId="30" numFmtId="0" xfId="0" applyAlignment="1" applyBorder="1" applyFont="1">
      <alignment vertical="top"/>
    </xf>
    <xf borderId="1" fillId="4" fontId="43" numFmtId="0" xfId="0" applyAlignment="1" applyBorder="1" applyFont="1">
      <alignment readingOrder="0" vertical="center"/>
    </xf>
    <xf borderId="1" fillId="4" fontId="30" numFmtId="0" xfId="0" applyAlignment="1" applyBorder="1" applyFont="1">
      <alignment horizontal="left" shrinkToFit="0" vertical="top" wrapText="1"/>
    </xf>
    <xf borderId="0" fillId="0" fontId="16" numFmtId="0" xfId="0" applyAlignment="1" applyFont="1">
      <alignment horizontal="center"/>
    </xf>
    <xf borderId="0" fillId="0" fontId="17" numFmtId="0" xfId="0" applyAlignment="1" applyFont="1">
      <alignment horizontal="center"/>
    </xf>
    <xf borderId="0" fillId="0" fontId="89" numFmtId="166" xfId="0" applyFont="1" applyNumberFormat="1"/>
    <xf borderId="0" fillId="0" fontId="17" numFmtId="0" xfId="0" applyAlignment="1" applyFont="1">
      <alignment readingOrder="0"/>
    </xf>
    <xf borderId="0" fillId="0" fontId="17" numFmtId="166" xfId="0" applyAlignment="1" applyFont="1" applyNumberFormat="1">
      <alignment readingOrder="0"/>
    </xf>
    <xf borderId="1" fillId="19" fontId="137" numFmtId="0" xfId="0" applyAlignment="1" applyBorder="1" applyFill="1" applyFont="1">
      <alignment vertical="center"/>
    </xf>
    <xf borderId="1" fillId="19" fontId="137" numFmtId="14" xfId="0" applyAlignment="1" applyBorder="1" applyFont="1" applyNumberFormat="1">
      <alignment horizontal="center" shrinkToFit="0" vertical="center" wrapText="1"/>
    </xf>
    <xf borderId="8" fillId="19" fontId="137" numFmtId="14" xfId="0" applyAlignment="1" applyBorder="1" applyFont="1" applyNumberFormat="1">
      <alignment horizontal="center" shrinkToFit="0" vertical="center" wrapText="1"/>
    </xf>
    <xf borderId="21" fillId="19" fontId="137" numFmtId="14" xfId="0" applyAlignment="1" applyBorder="1" applyFont="1" applyNumberFormat="1">
      <alignment horizontal="center" shrinkToFit="0" vertical="center" wrapText="1"/>
    </xf>
    <xf borderId="1" fillId="14" fontId="137" numFmtId="0" xfId="0" applyBorder="1" applyFont="1"/>
    <xf borderId="1" fillId="0" fontId="89" numFmtId="0" xfId="0" applyAlignment="1" applyBorder="1" applyFont="1">
      <alignment horizontal="center"/>
    </xf>
    <xf borderId="1" fillId="0" fontId="164" numFmtId="0" xfId="0" applyBorder="1" applyFont="1"/>
    <xf borderId="22" fillId="0" fontId="89" numFmtId="0" xfId="0" applyBorder="1" applyFont="1"/>
    <xf borderId="7" fillId="0" fontId="89" numFmtId="0" xfId="0" applyAlignment="1" applyBorder="1" applyFont="1">
      <alignment horizontal="center" shrinkToFit="0" vertical="center" wrapText="1"/>
    </xf>
    <xf borderId="20" fillId="0" fontId="160" numFmtId="0" xfId="0" applyBorder="1" applyFont="1"/>
    <xf borderId="1" fillId="0" fontId="165" numFmtId="0" xfId="0" applyBorder="1" applyFont="1"/>
    <xf borderId="1" fillId="0" fontId="29" numFmtId="0" xfId="0" applyAlignment="1" applyBorder="1" applyFont="1">
      <alignment readingOrder="0"/>
    </xf>
    <xf borderId="1" fillId="0" fontId="29" numFmtId="0" xfId="0" applyAlignment="1" applyBorder="1" applyFont="1">
      <alignment horizontal="center" readingOrder="0"/>
    </xf>
    <xf borderId="1" fillId="0" fontId="29" numFmtId="0" xfId="0" applyAlignment="1" applyBorder="1" applyFont="1">
      <alignment readingOrder="0" shrinkToFit="0" wrapText="1"/>
    </xf>
    <xf borderId="1" fillId="0" fontId="17" numFmtId="168" xfId="0" applyAlignment="1" applyBorder="1" applyFont="1" applyNumberFormat="1">
      <alignment horizontal="center" readingOrder="0" vertical="center"/>
    </xf>
    <xf borderId="1" fillId="0" fontId="17" numFmtId="20" xfId="0" applyAlignment="1" applyBorder="1" applyFont="1" applyNumberFormat="1">
      <alignment horizontal="center" readingOrder="0" vertical="center"/>
    </xf>
    <xf borderId="1" fillId="0" fontId="17" numFmtId="0" xfId="0" applyAlignment="1" applyBorder="1" applyFont="1">
      <alignment horizontal="center" readingOrder="0" vertical="center"/>
    </xf>
    <xf borderId="1" fillId="0" fontId="17" numFmtId="0" xfId="0" applyAlignment="1" applyBorder="1" applyFont="1">
      <alignment horizontal="left" readingOrder="0" shrinkToFit="0" vertical="center" wrapText="1"/>
    </xf>
    <xf borderId="0" fillId="0" fontId="17" numFmtId="0" xfId="0" applyAlignment="1" applyFont="1">
      <alignment horizontal="center" vertical="center"/>
    </xf>
    <xf borderId="1" fillId="0" fontId="17" numFmtId="20" xfId="0" applyAlignment="1" applyBorder="1" applyFont="1" applyNumberFormat="1">
      <alignment horizontal="center" readingOrder="0"/>
    </xf>
    <xf borderId="1" fillId="0" fontId="17" numFmtId="0" xfId="0" applyAlignment="1" applyBorder="1" applyFont="1">
      <alignment horizontal="center" readingOrder="0"/>
    </xf>
    <xf borderId="1" fillId="0" fontId="17" numFmtId="0" xfId="0" applyAlignment="1" applyBorder="1" applyFont="1">
      <alignment readingOrder="0" shrinkToFit="0" wrapText="1"/>
    </xf>
    <xf borderId="1" fillId="0" fontId="17" numFmtId="168" xfId="0" applyAlignment="1" applyBorder="1" applyFont="1" applyNumberFormat="1">
      <alignment horizontal="left" readingOrder="0"/>
    </xf>
    <xf borderId="1" fillId="0" fontId="17" numFmtId="20" xfId="0" applyAlignment="1" applyBorder="1" applyFont="1" applyNumberFormat="1">
      <alignment horizontal="left" readingOrder="0"/>
    </xf>
    <xf borderId="1" fillId="0" fontId="17" numFmtId="20" xfId="0" applyAlignment="1" applyBorder="1" applyFont="1" applyNumberFormat="1">
      <alignment horizontal="left" readingOrder="0" vertical="center"/>
    </xf>
    <xf borderId="1" fillId="0" fontId="17" numFmtId="0" xfId="0" applyAlignment="1" applyBorder="1" applyFont="1">
      <alignment horizontal="left" readingOrder="0"/>
    </xf>
    <xf borderId="1" fillId="0" fontId="17" numFmtId="0" xfId="0" applyAlignment="1" applyBorder="1" applyFont="1">
      <alignment horizontal="left" readingOrder="0" shrinkToFit="0" wrapText="1"/>
    </xf>
    <xf borderId="1" fillId="0" fontId="17" numFmtId="0" xfId="0" applyBorder="1" applyFont="1"/>
    <xf borderId="1" fillId="0" fontId="17" numFmtId="0" xfId="0" applyAlignment="1" applyBorder="1" applyFont="1">
      <alignment horizontal="center"/>
    </xf>
    <xf borderId="1" fillId="0" fontId="17" numFmtId="0" xfId="0" applyAlignment="1" applyBorder="1" applyFont="1">
      <alignment shrinkToFit="0" wrapText="1"/>
    </xf>
    <xf borderId="0" fillId="0" fontId="17" numFmtId="0" xfId="0" applyAlignment="1" applyFont="1">
      <alignment shrinkToFit="0" wrapText="1"/>
    </xf>
    <xf borderId="1" fillId="20" fontId="7" numFmtId="0" xfId="0" applyAlignment="1" applyBorder="1" applyFill="1" applyFont="1">
      <alignment horizontal="center" vertical="center"/>
    </xf>
    <xf borderId="7" fillId="0" fontId="7" numFmtId="0" xfId="0" applyAlignment="1" applyBorder="1" applyFont="1">
      <alignment horizontal="center" vertical="center"/>
    </xf>
    <xf borderId="0" fillId="0" fontId="16" numFmtId="0" xfId="0" applyAlignment="1" applyFont="1">
      <alignment horizontal="left" vertical="center"/>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s>
  <tableStyles count="22">
    <tableStyle count="4" pivot="0" name="EN PROCESO (Bolivar)-style">
      <tableStyleElement dxfId="1" type="headerRow"/>
      <tableStyleElement dxfId="2" type="firstRowStripe"/>
      <tableStyleElement dxfId="3" type="secondRowStripe"/>
      <tableStyleElement dxfId="4" size="0" type="wholeTable"/>
    </tableStyle>
    <tableStyle count="4" pivot="0" name="EN PROCESO (Alfa)-style">
      <tableStyleElement dxfId="1" type="headerRow"/>
      <tableStyleElement dxfId="2" type="firstRowStripe"/>
      <tableStyleElement dxfId="3" type="secondRowStripe"/>
      <tableStyleElement dxfId="4" size="0" type="wholeTable"/>
    </tableStyle>
    <tableStyle count="4" pivot="0" name="FINALIZADOS 2-style">
      <tableStyleElement dxfId="1" type="headerRow"/>
      <tableStyleElement dxfId="2" type="firstRowStripe"/>
      <tableStyleElement dxfId="3" type="secondRowStripe"/>
      <tableStyleElement dxfId="4" size="0" type="wholeTable"/>
    </tableStyle>
    <tableStyle count="4" pivot="0" name="FINALIZADOS 2-style 2">
      <tableStyleElement dxfId="1" type="headerRow"/>
      <tableStyleElement dxfId="2" type="firstRowStripe"/>
      <tableStyleElement dxfId="3" type="secondRowStripe"/>
      <tableStyleElement dxfId="4" size="0" type="wholeTable"/>
    </tableStyle>
    <tableStyle count="2" pivot="0" name="FINALIZADOS 2-style 3">
      <tableStyleElement dxfId="2" type="firstRowStripe"/>
      <tableStyleElement dxfId="3" type="secondRowStripe"/>
    </tableStyle>
    <tableStyle count="2" pivot="0" name="FINALIZADOS 2-style 4">
      <tableStyleElement dxfId="3" type="firstRowStripe"/>
      <tableStyleElement dxfId="2" type="secondRowStripe"/>
    </tableStyle>
    <tableStyle count="2" pivot="0" name="FINALIZADOS 2-style 5">
      <tableStyleElement dxfId="2" type="firstRowStripe"/>
      <tableStyleElement dxfId="3" type="secondRowStripe"/>
    </tableStyle>
    <tableStyle count="2" pivot="0" name="FINALIZADOS 2-style 6">
      <tableStyleElement dxfId="3" type="firstRowStripe"/>
      <tableStyleElement dxfId="2" type="secondRowStripe"/>
    </tableStyle>
    <tableStyle count="2" pivot="0" name="FINALIZADOS 2-style 7">
      <tableStyleElement dxfId="2" type="firstRowStripe"/>
      <tableStyleElement dxfId="3" type="secondRowStripe"/>
    </tableStyle>
    <tableStyle count="2" pivot="0" name="FINALIZADOS 2-style 8">
      <tableStyleElement dxfId="3" type="firstRowStripe"/>
      <tableStyleElement dxfId="2" type="secondRowStripe"/>
    </tableStyle>
    <tableStyle count="2" pivot="0" name="FINALIZADOS 2-style 9">
      <tableStyleElement dxfId="2" type="firstRowStripe"/>
      <tableStyleElement dxfId="3" type="secondRowStripe"/>
    </tableStyle>
    <tableStyle count="2" pivot="0" name="FINALIZADOS 2-style 10">
      <tableStyleElement dxfId="2" type="firstRowStripe"/>
      <tableStyleElement dxfId="3" type="secondRowStripe"/>
    </tableStyle>
    <tableStyle count="2" pivot="0" name="FINALIZADOS 2-style 11">
      <tableStyleElement dxfId="2" type="firstRowStripe"/>
      <tableStyleElement dxfId="3" type="secondRowStripe"/>
    </tableStyle>
    <tableStyle count="2" pivot="0" name="FINALIZADOS 2-style 12">
      <tableStyleElement dxfId="3" type="firstRowStripe"/>
      <tableStyleElement dxfId="2" type="secondRowStripe"/>
    </tableStyle>
    <tableStyle count="2" pivot="0" name="FINALIZADOS 2-style 13">
      <tableStyleElement dxfId="2" type="firstRowStripe"/>
      <tableStyleElement dxfId="3" type="secondRowStripe"/>
    </tableStyle>
    <tableStyle count="2" pivot="0" name="FINALIZADOS 2-style 14">
      <tableStyleElement dxfId="2" type="firstRowStripe"/>
      <tableStyleElement dxfId="3" type="secondRowStripe"/>
    </tableStyle>
    <tableStyle count="2" pivot="0" name="FINALIZADOS 2-style 15">
      <tableStyleElement dxfId="2" type="firstRowStripe"/>
      <tableStyleElement dxfId="3" type="secondRowStripe"/>
    </tableStyle>
    <tableStyle count="2" pivot="0" name="FINALIZADOS 2-style 16">
      <tableStyleElement dxfId="3" type="firstRowStripe"/>
      <tableStyleElement dxfId="2" type="secondRowStripe"/>
    </tableStyle>
    <tableStyle count="2" pivot="0" name="FINALIZADOS 2-style 17">
      <tableStyleElement dxfId="2" type="firstRowStripe"/>
      <tableStyleElement dxfId="3" type="secondRowStripe"/>
    </tableStyle>
    <tableStyle count="2" pivot="0" name="FINALIZADOS 2-style 18">
      <tableStyleElement dxfId="2" type="firstRowStripe"/>
      <tableStyleElement dxfId="3" type="secondRowStripe"/>
    </tableStyle>
    <tableStyle count="2" pivot="0" name="FINALIZADOS 2-style 19">
      <tableStyleElement dxfId="3" type="firstRowStripe"/>
      <tableStyleElement dxfId="2" type="secondRowStripe"/>
    </tableStyle>
    <tableStyle count="2" pivot="0" name="FINALIZADOS 2-style 20">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O1285" displayName="Tabla_1" name="Tabla_1" id="1">
  <autoFilter ref="$A$1:$BO$1285">
    <filterColumn colId="0">
      <filters>
        <filter val="jESUS"/>
        <filter val="WILSON"/>
        <filter val="faBIO"/>
        <filter val="DANILO"/>
      </filters>
    </filterColumn>
    <filterColumn colId="5">
      <filters blank="1">
        <filter val="PRUEBAS IMAGINE"/>
        <filter val="ESTIMAR"/>
        <filter val="PENDIENTE CLIENTE"/>
        <filter val="REANUDAR"/>
        <filter val="PAUSADO"/>
        <filter val="PENDIENTE"/>
        <filter val="EN PROCESO"/>
        <filter val="PRUEBAS CLIENTE"/>
        <filter val="EN TEST"/>
      </filters>
    </filterColumn>
  </autoFilter>
  <tableColumns count="67">
    <tableColumn name="Asignado a" id="1"/>
    <tableColumn name="Jira Caja" id="2"/>
    <tableColumn name="Requerimiento " id="3"/>
    <tableColumn name="Descripcion req " id="4"/>
    <tableColumn name="Actividad" id="5"/>
    <tableColumn name="ESTADO" id="6"/>
    <tableColumn name="% Avance" id="7"/>
    <tableColumn name="Dias estimados desarrollo" id="8"/>
    <tableColumn name="F.Asignado" id="9"/>
    <tableColumn name="Fecha inicio" id="10"/>
    <tableColumn name="Fecha estimada de entrega" id="11"/>
    <tableColumn name="Finalizado" id="12"/>
    <tableColumn name="Dias total desarrollo" id="13"/>
    <tableColumn name="Fecha compromiso cliente" id="14"/>
    <tableColumn name="TEST" id="15"/>
    <tableColumn name="PRODUCCION" id="16"/>
    <tableColumn name="OBSERVACIONES" id="17"/>
    <tableColumn name="VISIBLE" id="18"/>
    <tableColumn name="Prioridad" id="19"/>
    <tableColumn name="Jira TEST" id="20"/>
    <tableColumn name="jira PROD" id="21"/>
    <tableColumn name="Rama" id="22"/>
    <tableColumn name="Seguimiento 5 mayo " id="23"/>
    <tableColumn name="seguimiento 7 mayo " id="24"/>
    <tableColumn name="seguimiento 9 mayo " id="25"/>
    <tableColumn name="seguimiento 9 mayo  2" id="26"/>
    <tableColumn name="seguimiento 12 mayo " id="27"/>
    <tableColumn name="seguimiento 14 mayo " id="28"/>
    <tableColumn name="seguimiento 15 mayo " id="29"/>
    <tableColumn name="seguimiento 16 mayo " id="30"/>
    <tableColumn name="seguimiento 19 mayo " id="31"/>
    <tableColumn name="seguimiento 21 mayo " id="32"/>
    <tableColumn name="seguimiento 23 mayo " id="33"/>
    <tableColumn name="seguimiento 26 mayo " id="34"/>
    <tableColumn name="seguimiento 28  mayo " id="35"/>
    <tableColumn name="seguimiento  30 mayo " id="36"/>
    <tableColumn name="seguimiento  4 Junio" id="37"/>
    <tableColumn name="seguimiento  6 Junio" id="38"/>
    <tableColumn name="seguimiento  9 Junio" id="39"/>
    <tableColumn name="seguimiento  11 Junio" id="40"/>
    <tableColumn name="seguimiento  13 Junio" id="41"/>
    <tableColumn name="seguimiento  16 Junio" id="42"/>
    <tableColumn name="seguimiento  18 Junio" id="43"/>
    <tableColumn name="seguimiento  20 Junio" id="44"/>
    <tableColumn name="seguimiento  25 Junio" id="45"/>
    <tableColumn name="seguimiento  26 Junio" id="46"/>
    <tableColumn name="seguimiento  27 Junio" id="47"/>
    <tableColumn name="seguimiento  01 de Julio" id="48"/>
    <tableColumn name="seguimiento  02 de Julio" id="49"/>
    <tableColumn name="seguimiento  04 de Julio" id="50"/>
    <tableColumn name="seguimiento  07 de Julio" id="51"/>
    <tableColumn name="seguimiento  08 de Julio" id="52"/>
    <tableColumn name="seguimiento  09 de Julio" id="53"/>
    <tableColumn name="seguimiento  10 de Julio" id="54"/>
    <tableColumn name="seguimiento  11 de Julio" id="55"/>
    <tableColumn name="seguimiento  14 de Julio" id="56"/>
    <tableColumn name="seguimiento  15 de Julio" id="57"/>
    <tableColumn name="seguimiento  16 de Julio" id="58"/>
    <tableColumn name="seguimiento  17 de Julio" id="59"/>
    <tableColumn name="seguimiento  18 de Julio" id="60"/>
    <tableColumn name="seguimiento  21 de Julio" id="61"/>
    <tableColumn name="seguimiento  23 de Julio" id="62"/>
    <tableColumn name="seguimiento  23 de Julio 2" id="63"/>
    <tableColumn name="Column 61" id="64"/>
    <tableColumn name="Column 62" id="65"/>
    <tableColumn name="Column 63" id="66"/>
    <tableColumn name="Column 64" id="67"/>
  </tableColumns>
  <tableStyleInfo name="EN PROCESO (Bolivar)-style" showColumnStripes="0" showFirstColumn="1" showLastColumn="1" showRowStripes="1"/>
</table>
</file>

<file path=xl/tables/table2.xml><?xml version="1.0" encoding="utf-8"?>
<table xmlns="http://schemas.openxmlformats.org/spreadsheetml/2006/main" ref="A1:S1115" displayName="Tabla" name="Tabla" id="2">
  <autoFilter ref="$A$1:$S$1115"/>
  <tableColumns count="19">
    <tableColumn name="Asignado a" id="1"/>
    <tableColumn name="# REQ" id="2"/>
    <tableColumn name="Requerimiento " id="3"/>
    <tableColumn name="Detalle del requerimiento" id="4"/>
    <tableColumn name="Proceso " id="5"/>
    <tableColumn name="ESTADO" id="6"/>
    <tableColumn name="%" id="7"/>
    <tableColumn name="Dias estimados desarrollo" id="8"/>
    <tableColumn name="F.Asignado" id="9"/>
    <tableColumn name="Fecha inicio" id="10"/>
    <tableColumn name="Fecha estimada de entrega" id="11"/>
    <tableColumn name="Finalizado" id="12"/>
    <tableColumn name="Dias total desarrollo" id="13"/>
    <tableColumn name="Fecha compromiso cliente" id="14"/>
    <tableColumn name="TEST" id="15"/>
    <tableColumn name="PRODUCCION" id="16"/>
    <tableColumn name="OBSERVACIONES" id="17"/>
    <tableColumn name="Visible" id="18"/>
    <tableColumn name="OBSERVACIONES  ALFA" id="19"/>
  </tableColumns>
  <tableStyleInfo name="EN PROCESO (Alfa)-style" showColumnStripes="0" showFirstColumn="1" showLastColumn="1" showRowStripes="1"/>
</table>
</file>

<file path=xl/tables/table3.xml><?xml version="1.0" encoding="utf-8"?>
<table xmlns="http://schemas.openxmlformats.org/spreadsheetml/2006/main" ref="A1:W7" displayName="Tabla_2" name="Tabla_2" id="3">
  <tableColumns count="23">
    <tableColumn name="Asignado a" id="1"/>
    <tableColumn name="Jira Caja" id="2"/>
    <tableColumn name="Requerimiento " id="3"/>
    <tableColumn name="ESTADO" id="4"/>
    <tableColumn name="%" id="5"/>
    <tableColumn name="dias estimados" id="6"/>
    <tableColumn name="F.Asignado" id="7"/>
    <tableColumn name="Fecha inicio" id="8"/>
    <tableColumn name="F. estimada de entrega" id="9"/>
    <tableColumn name="Finalizado" id="10"/>
    <tableColumn name="Dias" id="11"/>
    <tableColumn name="Jira TEST" id="12"/>
    <tableColumn name="TEST" id="13"/>
    <tableColumn name="jira PROD" id="14"/>
    <tableColumn name="PRODUCCION" id="15"/>
    <tableColumn name="OBSERVACIONES" id="16"/>
    <tableColumn name="Seguimiento 28 Abril " id="17"/>
    <tableColumn name="Seguimiento 28 Abril  2" id="18"/>
    <tableColumn name="Seguimiento 5 mayo " id="19"/>
    <tableColumn name="seguimiento 7 mayo " id="20"/>
    <tableColumn name="seguimiento 9 mayo " id="21"/>
    <tableColumn name="seguimiento 9 mayo  2" id="22"/>
    <tableColumn name="seguimiento 12 mayo " id="23"/>
  </tableColumns>
  <tableStyleInfo name="FINALIZADOS 2-style" showColumnStripes="0" showFirstColumn="1" showLastColumn="1" showRowStripes="1"/>
</table>
</file>

<file path=xl/tables/table4.xml><?xml version="1.0" encoding="utf-8"?>
<table xmlns="http://schemas.openxmlformats.org/spreadsheetml/2006/main" headerRowCount="0" ref="AJ1:AN1" displayName="Tabla_3" name="Tabla_3" id="4">
  <tableColumns count="5">
    <tableColumn name="Column1" id="1"/>
    <tableColumn name="Column2" id="2"/>
    <tableColumn name="Column3" id="3"/>
    <tableColumn name="Column4" id="4"/>
    <tableColumn name="Column5" id="5"/>
  </tableColumns>
  <tableStyleInfo name="FINALIZADOS 2-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8:W34" displayName="Table_1" name="Table_1"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FINALIZADOS 2-style 3" showColumnStripes="0" showFirstColumn="1" showLastColumn="1" showRowStripes="1"/>
</table>
</file>

<file path=xl/tables/table6.xml><?xml version="1.0" encoding="utf-8"?>
<table xmlns="http://schemas.openxmlformats.org/spreadsheetml/2006/main" headerRowCount="0" ref="A35:W35" displayName="Table_2" name="Table_2"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FINALIZADOS 2-style 4" showColumnStripes="0" showFirstColumn="1" showLastColumn="1" showRowStripes="1"/>
</table>
</file>

<file path=xl/tables/table7.xml><?xml version="1.0" encoding="utf-8"?>
<table xmlns="http://schemas.openxmlformats.org/spreadsheetml/2006/main" headerRowCount="0" ref="A36:AN37" displayName="Table_3" name="Table_3" id="7">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5" showColumnStripes="0" showFirstColumn="1" showLastColumn="1" showRowStripes="1"/>
</table>
</file>

<file path=xl/tables/table8.xml><?xml version="1.0" encoding="utf-8"?>
<table xmlns="http://schemas.openxmlformats.org/spreadsheetml/2006/main" headerRowCount="0" ref="A38:AN38" displayName="Table_4" name="Table_4" id="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6" showColumnStripes="0" showFirstColumn="1" showLastColumn="1" showRowStripes="1"/>
</table>
</file>

<file path=xl/tables/table9.xml><?xml version="1.0" encoding="utf-8"?>
<table xmlns="http://schemas.openxmlformats.org/spreadsheetml/2006/main" headerRowCount="0" ref="A39:AN39" displayName="Table_5" name="Table_5" id="9">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7" showColumnStripes="0" showFirstColumn="1" showLastColumn="1" showRowStripes="1"/>
</table>
</file>

<file path=xl/tables/table10.xml><?xml version="1.0" encoding="utf-8"?>
<table xmlns="http://schemas.openxmlformats.org/spreadsheetml/2006/main" headerRowCount="0" ref="A40:AN42" displayName="Table_6" name="Table_6" id="10">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8" showColumnStripes="0" showFirstColumn="1" showLastColumn="1" showRowStripes="1"/>
</table>
</file>

<file path=xl/tables/table11.xml><?xml version="1.0" encoding="utf-8"?>
<table xmlns="http://schemas.openxmlformats.org/spreadsheetml/2006/main" headerRowCount="0" ref="A43:AN44" displayName="Table_7" name="Table_7" id="1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9" showColumnStripes="0" showFirstColumn="1" showLastColumn="1" showRowStripes="1"/>
</table>
</file>

<file path=xl/tables/table12.xml><?xml version="1.0" encoding="utf-8"?>
<table xmlns="http://schemas.openxmlformats.org/spreadsheetml/2006/main" headerRowCount="0" ref="A45:AN45" displayName="Table_8" name="Table_8" id="1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0" showColumnStripes="0" showFirstColumn="1" showLastColumn="1" showRowStripes="1"/>
</table>
</file>

<file path=xl/tables/table13.xml><?xml version="1.0" encoding="utf-8"?>
<table xmlns="http://schemas.openxmlformats.org/spreadsheetml/2006/main" headerRowCount="0" ref="A46:AN46" displayName="Table_9" name="Table_9" id="13">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1" showColumnStripes="0" showFirstColumn="1" showLastColumn="1" showRowStripes="1"/>
</table>
</file>

<file path=xl/tables/table14.xml><?xml version="1.0" encoding="utf-8"?>
<table xmlns="http://schemas.openxmlformats.org/spreadsheetml/2006/main" headerRowCount="0" ref="A47:AN51" displayName="Table_10" name="Table_10" id="1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2" showColumnStripes="0" showFirstColumn="1" showLastColumn="1" showRowStripes="1"/>
</table>
</file>

<file path=xl/tables/table15.xml><?xml version="1.0" encoding="utf-8"?>
<table xmlns="http://schemas.openxmlformats.org/spreadsheetml/2006/main" headerRowCount="0" ref="A52:AN52" displayName="Table_11" name="Table_11" id="1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3" showColumnStripes="0" showFirstColumn="1" showLastColumn="1" showRowStripes="1"/>
</table>
</file>

<file path=xl/tables/table16.xml><?xml version="1.0" encoding="utf-8"?>
<table xmlns="http://schemas.openxmlformats.org/spreadsheetml/2006/main" headerRowCount="0" ref="A53:AN53" displayName="Table_12" name="Table_12" id="16">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4" showColumnStripes="0" showFirstColumn="1" showLastColumn="1" showRowStripes="1"/>
</table>
</file>

<file path=xl/tables/table17.xml><?xml version="1.0" encoding="utf-8"?>
<table xmlns="http://schemas.openxmlformats.org/spreadsheetml/2006/main" headerRowCount="0" ref="A54:AN59" displayName="Table_13" name="Table_13" id="17">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5" showColumnStripes="0" showFirstColumn="1" showLastColumn="1" showRowStripes="1"/>
</table>
</file>

<file path=xl/tables/table18.xml><?xml version="1.0" encoding="utf-8"?>
<table xmlns="http://schemas.openxmlformats.org/spreadsheetml/2006/main" headerRowCount="0" ref="A60:AN60" displayName="Table_14" name="Table_14" id="1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6" showColumnStripes="0" showFirstColumn="1" showLastColumn="1" showRowStripes="1"/>
</table>
</file>

<file path=xl/tables/table19.xml><?xml version="1.0" encoding="utf-8"?>
<table xmlns="http://schemas.openxmlformats.org/spreadsheetml/2006/main" headerRowCount="0" ref="A61:AN61" displayName="Table_15" name="Table_15" id="19">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7" showColumnStripes="0" showFirstColumn="1" showLastColumn="1" showRowStripes="1"/>
</table>
</file>

<file path=xl/tables/table20.xml><?xml version="1.0" encoding="utf-8"?>
<table xmlns="http://schemas.openxmlformats.org/spreadsheetml/2006/main" headerRowCount="0" ref="A62:AN62" displayName="Table_16" name="Table_16" id="20">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8" showColumnStripes="0" showFirstColumn="1" showLastColumn="1" showRowStripes="1"/>
</table>
</file>

<file path=xl/tables/table21.xml><?xml version="1.0" encoding="utf-8"?>
<table xmlns="http://schemas.openxmlformats.org/spreadsheetml/2006/main" headerRowCount="0" ref="A63:AN64" displayName="Table_17" name="Table_17" id="2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19" showColumnStripes="0" showFirstColumn="1" showLastColumn="1" showRowStripes="1"/>
</table>
</file>

<file path=xl/tables/table22.xml><?xml version="1.0" encoding="utf-8"?>
<table xmlns="http://schemas.openxmlformats.org/spreadsheetml/2006/main" headerRowCount="0" ref="A65:AN68" displayName="Table_18" name="Table_18" id="2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IZADOS 2-style 2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imaginex-portales.segurosbolivar.com/consultaCertificaciones)" TargetMode="External"/><Relationship Id="rId22" Type="http://schemas.openxmlformats.org/officeDocument/2006/relationships/table" Target="../tables/table1.xml"/><Relationship Id="rId10" Type="http://schemas.openxmlformats.org/officeDocument/2006/relationships/hyperlink" Target="https://digital.experienciasbolivar.segurosbolivar.com/xpertia-web" TargetMode="External"/><Relationship Id="rId13" Type="http://schemas.openxmlformats.org/officeDocument/2006/relationships/hyperlink" Target="https://github.com/Imaginesas/bolivar_migration/compare/master...hotfix/informeActividadExcel?expand=1" TargetMode="External"/><Relationship Id="rId12" Type="http://schemas.openxmlformats.org/officeDocument/2006/relationships/hyperlink" Target="http://marzo.se/" TargetMode="External"/><Relationship Id="rId1" Type="http://schemas.openxmlformats.org/officeDocument/2006/relationships/comments" Target="../comments1.xml"/><Relationship Id="rId2" Type="http://schemas.openxmlformats.org/officeDocument/2006/relationships/hyperlink" Target="https://github.com/Imaginesas/portales/compare/master...feature/juntasFase2?expand=1" TargetMode="External"/><Relationship Id="rId3" Type="http://schemas.openxmlformats.org/officeDocument/2006/relationships/hyperlink" Target="https://jirasegurosbolivar.atlassian.net/browse/GD772-81" TargetMode="External"/><Relationship Id="rId4" Type="http://schemas.openxmlformats.org/officeDocument/2006/relationships/hyperlink" Target="https://github.com/Imaginesas/bolivar/compare/master...hotfix/copiarJobsPortales" TargetMode="External"/><Relationship Id="rId9" Type="http://schemas.openxmlformats.org/officeDocument/2006/relationships/hyperlink" Target="https://github.com/Imaginesas/oficina_virtual/compare/master...hotfix/validacionTipoFecha?expand=1" TargetMode="External"/><Relationship Id="rId15" Type="http://schemas.openxmlformats.org/officeDocument/2006/relationships/hyperlink" Target="https://imaginex-portales.segurosbolivar.com/incapacidadeps/incapacidadeseps" TargetMode="External"/><Relationship Id="rId14" Type="http://schemas.openxmlformats.org/officeDocument/2006/relationships/hyperlink" Target="https://imaginex-arlbolivar.segurosbolivar.com/oficina/express/1" TargetMode="External"/><Relationship Id="rId17" Type="http://schemas.openxmlformats.org/officeDocument/2006/relationships/hyperlink" Target="https://github.com/Imaginesas/bolivar/compare/master...feature/flujo_modalidades_2?expand=1" TargetMode="External"/><Relationship Id="rId16" Type="http://schemas.openxmlformats.org/officeDocument/2006/relationships/hyperlink" Target="https://github.com/Imaginesas/bolivar_migration/compare/master...hotfix/yiras2810?expand=1" TargetMode="External"/><Relationship Id="rId5" Type="http://schemas.openxmlformats.org/officeDocument/2006/relationships/hyperlink" Target="https://github.com/Imaginesas/bolivar/compare/master...feature/despliegue-login" TargetMode="External"/><Relationship Id="rId19" Type="http://schemas.openxmlformats.org/officeDocument/2006/relationships/drawing" Target="../drawings/drawing1.xml"/><Relationship Id="rId6" Type="http://schemas.openxmlformats.org/officeDocument/2006/relationships/hyperlink" Target="https://github.com/Imaginesas/portales/compare/master...feature/copiaIncapacidadApiOcr?expand=1" TargetMode="External"/><Relationship Id="rId18" Type="http://schemas.openxmlformats.org/officeDocument/2006/relationships/hyperlink" Target="http://septiembre.se/" TargetMode="External"/><Relationship Id="rId7" Type="http://schemas.openxmlformats.org/officeDocument/2006/relationships/hyperlink" Target="https://github.com/Imaginesas/portales/compare/master...feature/ocultarBotonInc?expand=1" TargetMode="External"/><Relationship Id="rId8" Type="http://schemas.openxmlformats.org/officeDocument/2006/relationships/hyperlink" Target="https://github.com/Imaginesas/portales/compare/master...feature/copiaIncapacidadApiOcr?expand=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17.xml"/><Relationship Id="rId42" Type="http://schemas.openxmlformats.org/officeDocument/2006/relationships/table" Target="../tables/table19.xml"/><Relationship Id="rId41" Type="http://schemas.openxmlformats.org/officeDocument/2006/relationships/table" Target="../tables/table18.xml"/><Relationship Id="rId44" Type="http://schemas.openxmlformats.org/officeDocument/2006/relationships/table" Target="../tables/table21.xml"/><Relationship Id="rId43" Type="http://schemas.openxmlformats.org/officeDocument/2006/relationships/table" Target="../tables/table20.xml"/><Relationship Id="rId45" Type="http://schemas.openxmlformats.org/officeDocument/2006/relationships/table" Target="../tables/table22.xml"/><Relationship Id="rId1" Type="http://schemas.openxmlformats.org/officeDocument/2006/relationships/hyperlink" Target="https://jirasegurosbolivar.atlassian.net/browse/GD772-102" TargetMode="External"/><Relationship Id="rId2" Type="http://schemas.openxmlformats.org/officeDocument/2006/relationships/hyperlink" Target="https://jirasegurosbolivar.atlassian.net/browse/GD772-81" TargetMode="External"/><Relationship Id="rId3" Type="http://schemas.openxmlformats.org/officeDocument/2006/relationships/hyperlink" Target="https://jirasegurosbolivar.atlassian.net/jira/servicedesk/projects/MDSB/issue/MDSB-803316" TargetMode="External"/><Relationship Id="rId4" Type="http://schemas.openxmlformats.org/officeDocument/2006/relationships/hyperlink" Target="https://jirasegurosbolivar.atlassian.net/browse/GD772-88" TargetMode="External"/><Relationship Id="rId26" Type="http://schemas.openxmlformats.org/officeDocument/2006/relationships/table" Target="../tables/table3.xml"/><Relationship Id="rId28" Type="http://schemas.openxmlformats.org/officeDocument/2006/relationships/table" Target="../tables/table5.xml"/><Relationship Id="rId27" Type="http://schemas.openxmlformats.org/officeDocument/2006/relationships/table" Target="../tables/table4.xml"/><Relationship Id="rId5" Type="http://schemas.openxmlformats.org/officeDocument/2006/relationships/drawing" Target="../drawings/drawing4.xml"/><Relationship Id="rId29" Type="http://schemas.openxmlformats.org/officeDocument/2006/relationships/table" Target="../tables/table6.xml"/><Relationship Id="rId31" Type="http://schemas.openxmlformats.org/officeDocument/2006/relationships/table" Target="../tables/table8.xml"/><Relationship Id="rId30" Type="http://schemas.openxmlformats.org/officeDocument/2006/relationships/table" Target="../tables/table7.xml"/><Relationship Id="rId33" Type="http://schemas.openxmlformats.org/officeDocument/2006/relationships/table" Target="../tables/table10.xml"/><Relationship Id="rId32" Type="http://schemas.openxmlformats.org/officeDocument/2006/relationships/table" Target="../tables/table9.xml"/><Relationship Id="rId35" Type="http://schemas.openxmlformats.org/officeDocument/2006/relationships/table" Target="../tables/table12.xml"/><Relationship Id="rId34" Type="http://schemas.openxmlformats.org/officeDocument/2006/relationships/table" Target="../tables/table11.xml"/><Relationship Id="rId37" Type="http://schemas.openxmlformats.org/officeDocument/2006/relationships/table" Target="../tables/table14.xml"/><Relationship Id="rId36" Type="http://schemas.openxmlformats.org/officeDocument/2006/relationships/table" Target="../tables/table13.xml"/><Relationship Id="rId39" Type="http://schemas.openxmlformats.org/officeDocument/2006/relationships/table" Target="../tables/table16.xml"/><Relationship Id="rId38"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Imaginesas/bolivar/compare/master...hotfix/anadirBotonCedulas" TargetMode="External"/><Relationship Id="rId2" Type="http://schemas.openxmlformats.org/officeDocument/2006/relationships/hyperlink" Target="https://github.com/Imaginesas/bolivar/compare/master...hotfix/fechaEnGestionEdicion" TargetMode="External"/><Relationship Id="rId3" Type="http://schemas.openxmlformats.org/officeDocument/2006/relationships/hyperlink" Target="https://github.com/Imaginesas/bolivar/compare/master...hotfix/correosMasivos" TargetMode="External"/><Relationship Id="rId4" Type="http://schemas.openxmlformats.org/officeDocument/2006/relationships/hyperlink" Target="mailto:gestion.farmaceutica@segurosbolivar.com" TargetMode="External"/><Relationship Id="rId5" Type="http://schemas.openxmlformats.org/officeDocument/2006/relationships/hyperlink" Target="https://github.com/Imaginesas/bolivar_migration/compare/hotfix/repararInformeArl?expand=1" TargetMode="External"/><Relationship Id="rId6" Type="http://schemas.openxmlformats.org/officeDocument/2006/relationships/hyperlink" Target="https://github.com/Imaginesas/bolivar_migration/compare/master...hotfix/reportesParaProduccion?expand=1" TargetMode="External"/><Relationship Id="rId7" Type="http://schemas.openxmlformats.org/officeDocument/2006/relationships/hyperlink" Target="https://github.com/Imaginesas/portales/compare/master...hotfix/juntasFase1?expand=1"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1.22" defaultRowHeight="15.0"/>
  <cols>
    <col customWidth="1" min="1" max="1" width="11.56"/>
    <col customWidth="1" min="2" max="2" width="16.44"/>
    <col customWidth="1" min="3" max="3" width="40.22"/>
    <col customWidth="1" min="4" max="4" width="8.33"/>
    <col customWidth="1" hidden="1" min="5" max="5" width="36.22"/>
    <col customWidth="1" min="6" max="6" width="20.22"/>
    <col customWidth="1" min="7" max="7" width="10.56"/>
    <col customWidth="1" min="8" max="8" width="13.0"/>
    <col customWidth="1" min="9" max="9" width="14.67"/>
    <col customWidth="1" min="10" max="10" width="10.22"/>
    <col customWidth="1" min="11" max="11" width="13.56"/>
    <col customWidth="1" min="12" max="12" width="12.56"/>
    <col customWidth="1" min="13" max="13" width="14.67"/>
    <col customWidth="1" min="14" max="14" width="15.78"/>
    <col customWidth="1" min="15" max="15" width="11.0"/>
    <col customWidth="1" min="16" max="16" width="10.56"/>
    <col customWidth="1" min="17" max="17" width="33.44"/>
    <col customWidth="1" min="18" max="18" width="11.22"/>
    <col customWidth="1" min="19" max="19" width="13.56"/>
    <col customWidth="1" min="20" max="20" width="10.56"/>
    <col customWidth="1" min="21" max="21" width="17.22"/>
    <col customWidth="1" min="22" max="67" width="10.56"/>
  </cols>
  <sheetData>
    <row r="1" ht="39.75" customHeight="1">
      <c r="A1" s="1" t="s">
        <v>0</v>
      </c>
      <c r="B1" s="2" t="s">
        <v>1</v>
      </c>
      <c r="C1" s="3" t="s">
        <v>2</v>
      </c>
      <c r="D1" s="4" t="s">
        <v>3</v>
      </c>
      <c r="E1" s="5" t="s">
        <v>4</v>
      </c>
      <c r="F1" s="6" t="s">
        <v>5</v>
      </c>
      <c r="G1" s="7" t="s">
        <v>6</v>
      </c>
      <c r="H1" s="8" t="s">
        <v>7</v>
      </c>
      <c r="I1" s="9" t="s">
        <v>8</v>
      </c>
      <c r="J1" s="9" t="s">
        <v>9</v>
      </c>
      <c r="K1" s="10" t="s">
        <v>10</v>
      </c>
      <c r="L1" s="10" t="s">
        <v>11</v>
      </c>
      <c r="M1" s="10" t="s">
        <v>12</v>
      </c>
      <c r="N1" s="11" t="s">
        <v>13</v>
      </c>
      <c r="O1" s="9" t="s">
        <v>14</v>
      </c>
      <c r="P1" s="10" t="s">
        <v>15</v>
      </c>
      <c r="Q1" s="12" t="s">
        <v>16</v>
      </c>
      <c r="R1" s="13" t="s">
        <v>17</v>
      </c>
      <c r="S1" s="14" t="s">
        <v>18</v>
      </c>
      <c r="T1" s="7" t="s">
        <v>19</v>
      </c>
      <c r="U1" s="7"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row>
    <row r="2" ht="29.25" customHeight="1">
      <c r="A2" s="16" t="s">
        <v>67</v>
      </c>
      <c r="B2" s="17" t="s">
        <v>68</v>
      </c>
      <c r="C2" s="18" t="s">
        <v>69</v>
      </c>
      <c r="D2" s="18"/>
      <c r="E2" s="19"/>
      <c r="F2" s="20" t="s">
        <v>70</v>
      </c>
      <c r="G2" s="21">
        <v>90.0</v>
      </c>
      <c r="H2" s="22">
        <f>IF(OR(J2="",K2="",K2&lt;J2),0,NETWORKDAYS(J2,K2,fESTIVOS!$A$2:$A$53))
</f>
        <v>40</v>
      </c>
      <c r="I2" s="23">
        <v>45715.0</v>
      </c>
      <c r="J2" s="24">
        <v>45715.0</v>
      </c>
      <c r="K2" s="25">
        <v>45775.0</v>
      </c>
      <c r="L2" s="26">
        <v>45734.0</v>
      </c>
      <c r="M2" s="27">
        <f>IF(OR(J2="",AND(L2="",TODAY()&lt;J2),AND(L2&lt;&gt;"",L2&lt;J2)),0,
   IF(L2="",
      NETWORKDAYS(J2,TODAY(),fESTIVOS!$A$2:$A$53),
      NETWORKDAYS(J2,L2,fESTIVOS!$A$2:$A$53)
   )
)
</f>
        <v>14</v>
      </c>
      <c r="N2" s="28"/>
      <c r="O2" s="23">
        <v>45734.0</v>
      </c>
      <c r="P2" s="29"/>
      <c r="Q2" s="30" t="s">
        <v>71</v>
      </c>
      <c r="R2" s="31" t="s">
        <v>72</v>
      </c>
      <c r="S2" s="32"/>
      <c r="T2" s="32"/>
      <c r="U2" s="33"/>
      <c r="V2" s="34" t="s">
        <v>73</v>
      </c>
      <c r="W2" s="35"/>
      <c r="X2" s="35"/>
      <c r="Y2" s="35"/>
      <c r="Z2" s="35"/>
      <c r="AA2" s="35"/>
      <c r="AB2" s="35"/>
      <c r="AC2" s="35"/>
      <c r="AD2" s="35"/>
      <c r="AE2" s="35"/>
      <c r="AF2" s="35"/>
      <c r="AG2" s="35"/>
      <c r="AH2" s="35"/>
      <c r="AI2" s="36"/>
      <c r="AJ2" s="36"/>
      <c r="AK2" s="36"/>
      <c r="AL2" s="36"/>
      <c r="AM2" s="36"/>
      <c r="AN2" s="36"/>
      <c r="AO2" s="36"/>
      <c r="AP2" s="36"/>
      <c r="AQ2" s="36"/>
      <c r="AR2" s="36"/>
      <c r="AS2" s="36"/>
      <c r="AT2" s="36"/>
      <c r="AU2" s="37">
        <v>1.0</v>
      </c>
      <c r="AV2" s="37"/>
      <c r="AW2" s="37"/>
      <c r="AX2" s="37"/>
      <c r="AY2" s="37"/>
      <c r="AZ2" s="37"/>
      <c r="BA2" s="37"/>
      <c r="BB2" s="37"/>
      <c r="BC2" s="37"/>
      <c r="BD2" s="37"/>
      <c r="BE2" s="37"/>
      <c r="BF2" s="37"/>
      <c r="BG2" s="37"/>
      <c r="BH2" s="37"/>
      <c r="BI2" s="37"/>
      <c r="BJ2" s="37"/>
      <c r="BK2" s="37"/>
      <c r="BL2" s="37"/>
      <c r="BM2" s="37"/>
      <c r="BN2" s="37"/>
      <c r="BO2" s="37"/>
    </row>
    <row r="3" ht="29.25" hidden="1" customHeight="1">
      <c r="A3" s="16" t="s">
        <v>67</v>
      </c>
      <c r="B3" s="17" t="s">
        <v>74</v>
      </c>
      <c r="C3" s="18" t="s">
        <v>75</v>
      </c>
      <c r="D3" s="18"/>
      <c r="E3" s="19"/>
      <c r="F3" s="20" t="s">
        <v>76</v>
      </c>
      <c r="G3" s="21">
        <v>100.0</v>
      </c>
      <c r="H3" s="22">
        <f>IF(OR(J3="",K3="",K3&lt;J3),0,NETWORKDAYS(J3,K3,fESTIVOS!$A$2:$A$53))
</f>
        <v>64</v>
      </c>
      <c r="I3" s="23">
        <v>45702.0</v>
      </c>
      <c r="J3" s="24">
        <v>45702.0</v>
      </c>
      <c r="K3" s="25">
        <v>45797.0</v>
      </c>
      <c r="L3" s="26">
        <v>45713.0</v>
      </c>
      <c r="M3" s="27">
        <f>IF(OR(J3="",AND(L3="",TODAY()&lt;J3),AND(L3&lt;&gt;"",L3&lt;J3)),0,
   IF(L3="",
      NETWORKDAYS(J3,TODAY(),fESTIVOS!$A$2:$A$53),
      NETWORKDAYS(J3,L3,fESTIVOS!$A$2:$A$53)
   )
)
</f>
        <v>8</v>
      </c>
      <c r="N3" s="28"/>
      <c r="O3" s="23"/>
      <c r="P3" s="29"/>
      <c r="Q3" s="38" t="s">
        <v>77</v>
      </c>
      <c r="R3" s="31" t="s">
        <v>78</v>
      </c>
      <c r="S3" s="39"/>
      <c r="T3" s="39"/>
      <c r="U3" s="33"/>
      <c r="V3" s="40"/>
      <c r="W3" s="40"/>
      <c r="X3" s="40"/>
      <c r="Y3" s="40"/>
      <c r="Z3" s="40"/>
      <c r="AA3" s="40"/>
      <c r="AB3" s="41" t="s">
        <v>79</v>
      </c>
      <c r="AC3" s="40"/>
      <c r="AD3" s="40"/>
      <c r="AE3" s="41" t="s">
        <v>80</v>
      </c>
      <c r="AF3" s="41" t="s">
        <v>81</v>
      </c>
      <c r="AG3" s="40"/>
      <c r="AH3" s="40"/>
      <c r="AI3" s="42" t="s">
        <v>82</v>
      </c>
      <c r="AJ3" s="42" t="s">
        <v>83</v>
      </c>
      <c r="AK3" s="42"/>
      <c r="AL3" s="42"/>
      <c r="AM3" s="42"/>
      <c r="AN3" s="42" t="s">
        <v>84</v>
      </c>
      <c r="AO3" s="42" t="s">
        <v>85</v>
      </c>
      <c r="AP3" s="42"/>
      <c r="AQ3" s="42"/>
      <c r="AR3" s="42" t="s">
        <v>86</v>
      </c>
      <c r="AS3" s="42"/>
      <c r="AT3" s="42"/>
      <c r="AU3" s="42" t="s">
        <v>87</v>
      </c>
      <c r="AV3" s="42"/>
      <c r="AW3" s="42"/>
      <c r="AX3" s="42"/>
      <c r="AY3" s="42"/>
      <c r="AZ3" s="42"/>
      <c r="BA3" s="42"/>
      <c r="BB3" s="42"/>
      <c r="BC3" s="42"/>
      <c r="BD3" s="42"/>
      <c r="BE3" s="42"/>
      <c r="BF3" s="42"/>
      <c r="BG3" s="42"/>
      <c r="BH3" s="42"/>
      <c r="BI3" s="42"/>
      <c r="BJ3" s="42"/>
      <c r="BK3" s="42"/>
      <c r="BL3" s="42"/>
      <c r="BM3" s="42"/>
      <c r="BN3" s="42"/>
      <c r="BO3" s="42"/>
    </row>
    <row r="4" ht="29.25" hidden="1" customHeight="1">
      <c r="A4" s="16" t="s">
        <v>67</v>
      </c>
      <c r="B4" s="17" t="s">
        <v>88</v>
      </c>
      <c r="C4" s="43" t="s">
        <v>89</v>
      </c>
      <c r="D4" s="44" t="s">
        <v>90</v>
      </c>
      <c r="E4" s="19"/>
      <c r="F4" s="20" t="s">
        <v>91</v>
      </c>
      <c r="G4" s="21">
        <v>95.0</v>
      </c>
      <c r="H4" s="22">
        <f>IF(OR(J4="",K4="",K4&lt;J4),0,NETWORKDAYS(J4,K4,fESTIVOS!$A$2:$A$53))
</f>
        <v>3</v>
      </c>
      <c r="I4" s="23">
        <v>45701.0</v>
      </c>
      <c r="J4" s="26">
        <v>45762.0</v>
      </c>
      <c r="K4" s="25">
        <v>45768.0</v>
      </c>
      <c r="L4" s="45">
        <v>45799.0</v>
      </c>
      <c r="M4" s="27">
        <f>IF(OR(J4="",AND(L4="",TODAY()&lt;J4),AND(L4&lt;&gt;"",L4&lt;J4)),0,
   IF(L4="",
      NETWORKDAYS(J4,TODAY(),fESTIVOS!$A$2:$A$53),
      NETWORKDAYS(J4,L4,fESTIVOS!$A$2:$A$53)
   )
)
</f>
        <v>25</v>
      </c>
      <c r="N4" s="28"/>
      <c r="O4" s="46">
        <v>45939.0</v>
      </c>
      <c r="P4" s="29"/>
      <c r="Q4" s="38" t="s">
        <v>92</v>
      </c>
      <c r="R4" s="31" t="s">
        <v>93</v>
      </c>
      <c r="S4" s="47">
        <v>0.0</v>
      </c>
      <c r="T4" s="47" t="s">
        <v>94</v>
      </c>
      <c r="U4" s="48" t="s">
        <v>95</v>
      </c>
      <c r="V4" s="40"/>
      <c r="W4" s="40"/>
      <c r="X4" s="40"/>
      <c r="Y4" s="40"/>
      <c r="Z4" s="40"/>
      <c r="AA4" s="40"/>
      <c r="AB4" s="49" t="s">
        <v>96</v>
      </c>
      <c r="AC4" s="50"/>
      <c r="AD4" s="49" t="s">
        <v>97</v>
      </c>
      <c r="AE4" s="49" t="s">
        <v>98</v>
      </c>
      <c r="AF4" s="49" t="s">
        <v>99</v>
      </c>
      <c r="AG4" s="49" t="s">
        <v>100</v>
      </c>
      <c r="AH4" s="49" t="s">
        <v>101</v>
      </c>
      <c r="AI4" s="51" t="s">
        <v>102</v>
      </c>
      <c r="AJ4" s="51" t="s">
        <v>103</v>
      </c>
      <c r="AK4" s="51"/>
      <c r="AL4" s="51"/>
      <c r="AM4" s="51"/>
      <c r="AN4" s="51"/>
      <c r="AO4" s="51" t="s">
        <v>104</v>
      </c>
      <c r="AP4" s="51"/>
      <c r="AQ4" s="51"/>
      <c r="AR4" s="51" t="s">
        <v>105</v>
      </c>
      <c r="AS4" s="37" t="s">
        <v>106</v>
      </c>
      <c r="AT4" s="37" t="s">
        <v>107</v>
      </c>
      <c r="AU4" s="37"/>
      <c r="AV4" s="37"/>
      <c r="AW4" s="37" t="s">
        <v>108</v>
      </c>
      <c r="AX4" s="37" t="s">
        <v>109</v>
      </c>
      <c r="AY4" s="37"/>
      <c r="AZ4" s="37"/>
      <c r="BA4" s="37" t="s">
        <v>110</v>
      </c>
      <c r="BB4" s="37" t="s">
        <v>111</v>
      </c>
      <c r="BC4" s="37" t="s">
        <v>112</v>
      </c>
      <c r="BD4" s="37" t="s">
        <v>113</v>
      </c>
      <c r="BE4" s="37"/>
      <c r="BF4" s="37" t="s">
        <v>114</v>
      </c>
      <c r="BG4" s="37" t="s">
        <v>115</v>
      </c>
      <c r="BH4" s="37" t="s">
        <v>116</v>
      </c>
      <c r="BI4" s="37" t="s">
        <v>117</v>
      </c>
      <c r="BJ4" s="37" t="s">
        <v>118</v>
      </c>
      <c r="BK4" s="37" t="s">
        <v>119</v>
      </c>
      <c r="BL4" s="37"/>
      <c r="BM4" s="37" t="s">
        <v>120</v>
      </c>
      <c r="BN4" s="37"/>
      <c r="BO4" s="37"/>
    </row>
    <row r="5" ht="29.25" hidden="1" customHeight="1">
      <c r="A5" s="16" t="s">
        <v>67</v>
      </c>
      <c r="B5" s="17" t="s">
        <v>121</v>
      </c>
      <c r="C5" s="43" t="s">
        <v>122</v>
      </c>
      <c r="D5" s="43"/>
      <c r="E5" s="19"/>
      <c r="F5" s="20" t="s">
        <v>123</v>
      </c>
      <c r="G5" s="32"/>
      <c r="H5" s="22">
        <f>IF(OR(J5="",K5="",K5&lt;J5),0,NETWORKDAYS(J5,K5,fESTIVOS!$A$2:$A$53))
</f>
        <v>0</v>
      </c>
      <c r="I5" s="23">
        <v>45712.0</v>
      </c>
      <c r="J5" s="24">
        <v>45715.0</v>
      </c>
      <c r="K5" s="52"/>
      <c r="L5" s="24">
        <v>45723.0</v>
      </c>
      <c r="M5" s="27">
        <f>IF(OR(J5="",AND(L5="",TODAY()&lt;J5),AND(L5&lt;&gt;"",L5&lt;J5)),0,
   IF(L5="",
      NETWORKDAYS(J5,TODAY(),fESTIVOS!$A$2:$A$53),
      NETWORKDAYS(J5,L5,fESTIVOS!$A$2:$A$53)
   )
)
</f>
        <v>7</v>
      </c>
      <c r="N5" s="28"/>
      <c r="O5" s="23"/>
      <c r="P5" s="29"/>
      <c r="Q5" s="53" t="s">
        <v>124</v>
      </c>
      <c r="R5" s="31" t="s">
        <v>93</v>
      </c>
      <c r="S5" s="34"/>
      <c r="T5" s="34"/>
      <c r="U5" s="33"/>
      <c r="V5" s="35"/>
      <c r="W5" s="35"/>
      <c r="X5" s="35"/>
      <c r="Y5" s="35"/>
      <c r="Z5" s="35"/>
      <c r="AA5" s="35"/>
      <c r="AB5" s="35"/>
      <c r="AC5" s="35"/>
      <c r="AD5" s="35"/>
      <c r="AE5" s="35"/>
      <c r="AF5" s="35"/>
      <c r="AG5" s="35"/>
      <c r="AH5" s="35"/>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row>
    <row r="6" ht="29.25" hidden="1" customHeight="1">
      <c r="A6" s="16" t="s">
        <v>67</v>
      </c>
      <c r="B6" s="17" t="s">
        <v>125</v>
      </c>
      <c r="C6" s="43" t="s">
        <v>126</v>
      </c>
      <c r="D6" s="43"/>
      <c r="E6" s="19"/>
      <c r="F6" s="20" t="s">
        <v>123</v>
      </c>
      <c r="G6" s="32"/>
      <c r="H6" s="22">
        <f>IF(OR(J6="",K6="",K6&lt;J6),0,NETWORKDAYS(J6,K6,fESTIVOS!$A$2:$A$53))
</f>
        <v>0</v>
      </c>
      <c r="I6" s="23">
        <v>45747.0</v>
      </c>
      <c r="J6" s="24">
        <v>45747.0</v>
      </c>
      <c r="K6" s="52"/>
      <c r="L6" s="24"/>
      <c r="M6" s="27">
        <f>IF(OR(J6="",AND(L6="",TODAY()&lt;J6),AND(L6&lt;&gt;"",L6&lt;J6)),0,
   IF(L6="",
      NETWORKDAYS(J6,TODAY(),fESTIVOS!$A$2:$A$53),
      NETWORKDAYS(J6,L6,fESTIVOS!$A$2:$A$53)
   )
)
</f>
        <v>295</v>
      </c>
      <c r="N6" s="28"/>
      <c r="O6" s="23"/>
      <c r="P6" s="29"/>
      <c r="Q6" s="53" t="s">
        <v>127</v>
      </c>
      <c r="R6" s="31" t="s">
        <v>93</v>
      </c>
      <c r="S6" s="41"/>
      <c r="T6" s="41"/>
      <c r="U6" s="33"/>
      <c r="V6" s="40"/>
      <c r="W6" s="40"/>
      <c r="X6" s="40"/>
      <c r="Y6" s="40"/>
      <c r="Z6" s="40"/>
      <c r="AA6" s="40"/>
      <c r="AB6" s="40"/>
      <c r="AC6" s="40"/>
      <c r="AD6" s="40"/>
      <c r="AE6" s="40"/>
      <c r="AF6" s="40"/>
      <c r="AG6" s="40"/>
      <c r="AH6" s="40"/>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row>
    <row r="7" ht="39.0" hidden="1" customHeight="1">
      <c r="A7" s="55" t="s">
        <v>128</v>
      </c>
      <c r="B7" s="17" t="s">
        <v>129</v>
      </c>
      <c r="C7" s="56" t="s">
        <v>130</v>
      </c>
      <c r="D7" s="56"/>
      <c r="E7" s="57"/>
      <c r="F7" s="20" t="s">
        <v>76</v>
      </c>
      <c r="G7" s="58">
        <v>100.0</v>
      </c>
      <c r="H7" s="22">
        <f>IF(OR(J7="",K7="",K7&lt;J7),0,NETWORKDAYS(J7,K7,fESTIVOS!$A$2:$A$53))
</f>
        <v>11</v>
      </c>
      <c r="I7" s="59">
        <v>45719.0</v>
      </c>
      <c r="J7" s="60">
        <v>45779.0</v>
      </c>
      <c r="K7" s="60">
        <v>45793.0</v>
      </c>
      <c r="L7" s="60">
        <v>45791.0</v>
      </c>
      <c r="M7" s="27">
        <f>IF(OR(J7="",AND(L7="",TODAY()&lt;J7),AND(L7&lt;&gt;"",L7&lt;J7)),0,
   IF(L7="",
      NETWORKDAYS(J7,TODAY(),fESTIVOS!$A$2:$A$53),
      NETWORKDAYS(J7,L7,fESTIVOS!$A$2:$A$53)
   )
)
</f>
        <v>9</v>
      </c>
      <c r="N7" s="28"/>
      <c r="O7" s="59"/>
      <c r="P7" s="61">
        <v>45883.0</v>
      </c>
      <c r="Q7" s="62" t="s">
        <v>131</v>
      </c>
      <c r="R7" s="31" t="s">
        <v>78</v>
      </c>
      <c r="S7" s="58"/>
      <c r="T7" s="58" t="s">
        <v>132</v>
      </c>
      <c r="U7" s="63" t="s">
        <v>133</v>
      </c>
      <c r="V7" s="64" t="s">
        <v>134</v>
      </c>
      <c r="W7" s="64" t="s">
        <v>135</v>
      </c>
      <c r="X7" s="64" t="s">
        <v>136</v>
      </c>
      <c r="Y7" s="65"/>
      <c r="Z7" s="64" t="s">
        <v>137</v>
      </c>
      <c r="AA7" s="64" t="s">
        <v>138</v>
      </c>
      <c r="AB7" s="64" t="s">
        <v>139</v>
      </c>
      <c r="AC7" s="65"/>
      <c r="AD7" s="64" t="s">
        <v>140</v>
      </c>
      <c r="AE7" s="64" t="s">
        <v>141</v>
      </c>
      <c r="AF7" s="64" t="s">
        <v>142</v>
      </c>
      <c r="AG7" s="64" t="s">
        <v>143</v>
      </c>
      <c r="AH7" s="65"/>
      <c r="AI7" s="66" t="s">
        <v>144</v>
      </c>
      <c r="AJ7" s="66" t="s">
        <v>145</v>
      </c>
      <c r="AK7" s="66" t="s">
        <v>146</v>
      </c>
      <c r="AL7" s="66" t="s">
        <v>147</v>
      </c>
      <c r="AM7" s="66" t="s">
        <v>148</v>
      </c>
      <c r="AN7" s="66" t="s">
        <v>149</v>
      </c>
      <c r="AO7" s="66" t="s">
        <v>150</v>
      </c>
      <c r="AP7" s="66"/>
      <c r="AQ7" s="66" t="s">
        <v>151</v>
      </c>
      <c r="AR7" s="66"/>
      <c r="AS7" s="66"/>
      <c r="AT7" s="66"/>
      <c r="AU7" s="66" t="s">
        <v>152</v>
      </c>
      <c r="AV7" s="66"/>
      <c r="AW7" s="66"/>
      <c r="AX7" s="66"/>
      <c r="BF7" s="66" t="s">
        <v>153</v>
      </c>
      <c r="BG7" s="66"/>
      <c r="BH7" s="66"/>
      <c r="BI7" s="66"/>
      <c r="BJ7" s="66" t="s">
        <v>154</v>
      </c>
      <c r="BK7" s="66" t="s">
        <v>155</v>
      </c>
      <c r="BL7" s="66"/>
      <c r="BM7" s="66" t="s">
        <v>156</v>
      </c>
      <c r="BN7" s="66"/>
      <c r="BO7" s="66"/>
    </row>
    <row r="8" ht="29.25" hidden="1" customHeight="1">
      <c r="A8" s="55" t="s">
        <v>157</v>
      </c>
      <c r="B8" s="17" t="s">
        <v>158</v>
      </c>
      <c r="C8" s="18" t="s">
        <v>159</v>
      </c>
      <c r="D8" s="18"/>
      <c r="E8" s="67" t="s">
        <v>160</v>
      </c>
      <c r="F8" s="20" t="s">
        <v>76</v>
      </c>
      <c r="G8" s="58">
        <v>100.0</v>
      </c>
      <c r="H8" s="22">
        <f>IF(OR(J8="",K8="",K8&lt;J8),0,NETWORKDAYS(J8,K8,fESTIVOS!$A$2:$A$53))
</f>
        <v>0</v>
      </c>
      <c r="I8" s="59">
        <v>45730.0</v>
      </c>
      <c r="J8" s="68">
        <v>45733.0</v>
      </c>
      <c r="K8" s="24"/>
      <c r="L8" s="26">
        <v>45824.0</v>
      </c>
      <c r="M8" s="27">
        <f>IF(OR(J8="",AND(L8="",TODAY()&lt;J8),AND(L8&lt;&gt;"",L8&lt;J8)),0,
   IF(L8="",
      NETWORKDAYS(J8,TODAY(),fESTIVOS!$A$2:$A$53),
      NETWORKDAYS(J8,L8,fESTIVOS!$A$2:$A$53)
   )
)
</f>
        <v>61</v>
      </c>
      <c r="N8" s="28"/>
      <c r="O8" s="59"/>
      <c r="P8" s="69"/>
      <c r="Q8" s="70" t="s">
        <v>161</v>
      </c>
      <c r="R8" s="31" t="s">
        <v>78</v>
      </c>
      <c r="S8" s="71"/>
      <c r="T8" s="71"/>
      <c r="U8" s="72"/>
      <c r="V8" s="73"/>
      <c r="W8" s="73"/>
      <c r="X8" s="73"/>
      <c r="Y8" s="73"/>
      <c r="Z8" s="73"/>
      <c r="AA8" s="73"/>
      <c r="AB8" s="73"/>
      <c r="AC8" s="73"/>
      <c r="AD8" s="73"/>
      <c r="AE8" s="73"/>
      <c r="AF8" s="73"/>
      <c r="AG8" s="73"/>
      <c r="AH8" s="73"/>
      <c r="AI8" s="74"/>
      <c r="AJ8" s="74"/>
      <c r="AK8" s="74"/>
      <c r="AL8" s="74"/>
      <c r="AM8" s="74"/>
      <c r="AN8" s="74"/>
      <c r="AO8" s="74"/>
      <c r="AP8" s="75" t="s">
        <v>162</v>
      </c>
      <c r="AQ8" s="74"/>
      <c r="AR8" s="74"/>
      <c r="AS8" s="74"/>
      <c r="AT8" s="74"/>
      <c r="AU8" s="75" t="s">
        <v>163</v>
      </c>
      <c r="AV8" s="75"/>
      <c r="AW8" s="75"/>
      <c r="AX8" s="75"/>
      <c r="AY8" s="75"/>
      <c r="AZ8" s="75"/>
      <c r="BA8" s="75"/>
      <c r="BB8" s="75"/>
      <c r="BC8" s="75"/>
      <c r="BD8" s="75"/>
      <c r="BE8" s="75"/>
      <c r="BF8" s="75"/>
      <c r="BG8" s="75"/>
      <c r="BH8" s="75"/>
      <c r="BI8" s="75"/>
      <c r="BJ8" s="75"/>
      <c r="BK8" s="75"/>
      <c r="BL8" s="75"/>
      <c r="BM8" s="75"/>
      <c r="BN8" s="75"/>
      <c r="BO8" s="75"/>
    </row>
    <row r="9" ht="29.25" hidden="1" customHeight="1">
      <c r="A9" s="55" t="s">
        <v>157</v>
      </c>
      <c r="B9" s="17" t="s">
        <v>164</v>
      </c>
      <c r="C9" s="76" t="s">
        <v>165</v>
      </c>
      <c r="D9" s="76"/>
      <c r="E9" s="57"/>
      <c r="F9" s="20" t="s">
        <v>123</v>
      </c>
      <c r="G9" s="58">
        <v>97.0</v>
      </c>
      <c r="H9" s="22">
        <f>IF(OR(J9="",K9="",K9&lt;J9),0,NETWORKDAYS(J9,K9,fESTIVOS!$A$2:$A$53))
</f>
        <v>2</v>
      </c>
      <c r="I9" s="59">
        <v>45691.0</v>
      </c>
      <c r="J9" s="68">
        <v>45688.0</v>
      </c>
      <c r="K9" s="24">
        <v>45691.0</v>
      </c>
      <c r="L9" s="24">
        <v>45700.0</v>
      </c>
      <c r="M9" s="27">
        <f>IF(OR(J9="",AND(L9="",TODAY()&lt;J9),AND(L9&lt;&gt;"",L9&lt;J9)),0,
   IF(L9="",
      NETWORKDAYS(J9,TODAY(),fESTIVOS!$A$2:$A$53),
      NETWORKDAYS(J9,L9,fESTIVOS!$A$2:$A$53)
   )
)
</f>
        <v>9</v>
      </c>
      <c r="N9" s="28"/>
      <c r="O9" s="59">
        <v>45723.0</v>
      </c>
      <c r="P9" s="69"/>
      <c r="Q9" s="77" t="s">
        <v>166</v>
      </c>
      <c r="R9" s="31" t="s">
        <v>93</v>
      </c>
      <c r="S9" s="58"/>
      <c r="T9" s="58" t="s">
        <v>167</v>
      </c>
      <c r="U9" s="63" t="s">
        <v>168</v>
      </c>
      <c r="V9" s="78"/>
      <c r="W9" s="78"/>
      <c r="X9" s="78"/>
      <c r="Y9" s="78"/>
      <c r="Z9" s="78"/>
      <c r="AA9" s="78"/>
      <c r="AB9" s="78"/>
      <c r="AC9" s="78"/>
      <c r="AD9" s="78"/>
      <c r="AE9" s="78"/>
      <c r="AF9" s="78"/>
      <c r="AG9" s="78"/>
      <c r="AH9" s="78"/>
      <c r="AI9" s="79"/>
      <c r="AJ9" s="79"/>
      <c r="AK9" s="79"/>
      <c r="AL9" s="79"/>
      <c r="AM9" s="79"/>
      <c r="AN9" s="79"/>
      <c r="AO9" s="80" t="s">
        <v>169</v>
      </c>
      <c r="AP9" s="80"/>
      <c r="AQ9" s="79"/>
      <c r="AR9" s="80" t="s">
        <v>170</v>
      </c>
      <c r="AS9" s="80" t="s">
        <v>171</v>
      </c>
      <c r="AT9" s="80"/>
      <c r="AU9" s="80"/>
      <c r="AV9" s="80"/>
      <c r="AW9" s="80"/>
      <c r="AX9" s="80"/>
      <c r="AY9" s="80"/>
      <c r="AZ9" s="80"/>
      <c r="BA9" s="80"/>
      <c r="BB9" s="80"/>
      <c r="BC9" s="80"/>
      <c r="BD9" s="80"/>
      <c r="BE9" s="80" t="s">
        <v>172</v>
      </c>
      <c r="BF9" s="80" t="s">
        <v>173</v>
      </c>
      <c r="BG9" s="80"/>
      <c r="BH9" s="80"/>
      <c r="BI9" s="80"/>
      <c r="BJ9" s="80"/>
      <c r="BK9" s="80"/>
      <c r="BL9" s="80"/>
      <c r="BM9" s="80"/>
      <c r="BN9" s="80"/>
      <c r="BO9" s="80"/>
    </row>
    <row r="10" ht="29.25" hidden="1" customHeight="1">
      <c r="A10" s="55" t="s">
        <v>157</v>
      </c>
      <c r="B10" s="17" t="s">
        <v>174</v>
      </c>
      <c r="C10" s="76" t="s">
        <v>175</v>
      </c>
      <c r="D10" s="76"/>
      <c r="E10" s="57"/>
      <c r="F10" s="20" t="s">
        <v>123</v>
      </c>
      <c r="G10" s="58">
        <v>97.0</v>
      </c>
      <c r="H10" s="22">
        <f>IF(OR(J10="",K10="",K10&lt;J10),0,NETWORKDAYS(J10,K10,fESTIVOS!$A$2:$A$53))
</f>
        <v>0</v>
      </c>
      <c r="I10" s="59">
        <v>45761.0</v>
      </c>
      <c r="J10" s="68">
        <v>45761.0</v>
      </c>
      <c r="K10" s="24"/>
      <c r="L10" s="60">
        <v>45771.0</v>
      </c>
      <c r="M10" s="27">
        <f>IF(OR(J10="",AND(L10="",TODAY()&lt;J10),AND(L10&lt;&gt;"",L10&lt;J10)),0,
   IF(L10="",
      NETWORKDAYS(J10,TODAY(),fESTIVOS!$A$2:$A$53),
      NETWORKDAYS(J10,L10,fESTIVOS!$A$2:$A$53)
   )
)
</f>
        <v>7</v>
      </c>
      <c r="N10" s="28"/>
      <c r="O10" s="81">
        <v>45771.0</v>
      </c>
      <c r="P10" s="69"/>
      <c r="Q10" s="77" t="s">
        <v>176</v>
      </c>
      <c r="R10" s="31" t="s">
        <v>93</v>
      </c>
      <c r="S10" s="58"/>
      <c r="T10" s="58" t="s">
        <v>167</v>
      </c>
      <c r="U10" s="63" t="s">
        <v>168</v>
      </c>
      <c r="V10" s="78"/>
      <c r="W10" s="78"/>
      <c r="X10" s="78"/>
      <c r="Y10" s="78"/>
      <c r="Z10" s="78"/>
      <c r="AA10" s="78"/>
      <c r="AB10" s="82" t="s">
        <v>177</v>
      </c>
      <c r="AC10" s="83"/>
      <c r="AD10" s="83"/>
      <c r="AE10" s="83"/>
      <c r="AF10" s="82" t="s">
        <v>178</v>
      </c>
      <c r="AG10" s="82" t="s">
        <v>179</v>
      </c>
      <c r="AH10" s="82" t="s">
        <v>180</v>
      </c>
      <c r="AI10" s="80" t="s">
        <v>181</v>
      </c>
      <c r="AJ10" s="80"/>
      <c r="AK10" s="80"/>
      <c r="AL10" s="80"/>
      <c r="AM10" s="80"/>
      <c r="AN10" s="80"/>
      <c r="AO10" s="80" t="s">
        <v>169</v>
      </c>
      <c r="AP10" s="80"/>
      <c r="AQ10" s="80"/>
      <c r="AR10" s="80" t="s">
        <v>170</v>
      </c>
      <c r="AS10" s="80" t="s">
        <v>171</v>
      </c>
      <c r="AT10" s="80"/>
      <c r="AU10" s="80"/>
      <c r="AV10" s="80"/>
      <c r="AW10" s="80"/>
      <c r="AX10" s="80"/>
      <c r="AY10" s="80"/>
      <c r="AZ10" s="80"/>
      <c r="BA10" s="80"/>
      <c r="BB10" s="80"/>
      <c r="BC10" s="80"/>
      <c r="BD10" s="80"/>
      <c r="BE10" s="80" t="s">
        <v>172</v>
      </c>
      <c r="BF10" s="80"/>
      <c r="BG10" s="80"/>
      <c r="BH10" s="80"/>
      <c r="BI10" s="80"/>
      <c r="BJ10" s="80"/>
      <c r="BK10" s="80"/>
      <c r="BL10" s="80"/>
      <c r="BM10" s="80"/>
      <c r="BN10" s="80"/>
      <c r="BO10" s="80"/>
    </row>
    <row r="11" ht="29.25" hidden="1" customHeight="1">
      <c r="A11" s="55" t="s">
        <v>157</v>
      </c>
      <c r="B11" s="17" t="s">
        <v>182</v>
      </c>
      <c r="C11" s="76" t="s">
        <v>183</v>
      </c>
      <c r="D11" s="76"/>
      <c r="E11" s="84"/>
      <c r="F11" s="85" t="s">
        <v>76</v>
      </c>
      <c r="G11" s="58">
        <v>100.0</v>
      </c>
      <c r="H11" s="22">
        <f>IF(OR(J11="",K11="",K11&lt;J11),0,NETWORKDAYS(J11,K11,fESTIVOS!$A$2:$A$53))
</f>
        <v>11</v>
      </c>
      <c r="I11" s="81">
        <v>45814.0</v>
      </c>
      <c r="J11" s="60">
        <v>45826.0</v>
      </c>
      <c r="K11" s="60">
        <v>45842.0</v>
      </c>
      <c r="L11" s="60">
        <v>45849.0</v>
      </c>
      <c r="M11" s="27">
        <f>IF(OR(J11="",AND(L11="",TODAY()&lt;J11),AND(L11&lt;&gt;"",L11&lt;J11)),0,
   IF(L11="",
      NETWORKDAYS(J11,TODAY(),fESTIVOS!$A$2:$A$53),
      NETWORKDAYS(J11,L11,fESTIVOS!$A$2:$A$53)
   )
)
</f>
        <v>16</v>
      </c>
      <c r="N11" s="28"/>
      <c r="O11" s="81">
        <v>45849.0</v>
      </c>
      <c r="P11" s="61">
        <v>45924.0</v>
      </c>
      <c r="Q11" s="86" t="s">
        <v>184</v>
      </c>
      <c r="R11" s="31" t="s">
        <v>78</v>
      </c>
      <c r="S11" s="58"/>
      <c r="T11" s="58" t="s">
        <v>185</v>
      </c>
      <c r="U11" s="63" t="s">
        <v>186</v>
      </c>
      <c r="V11" s="87"/>
      <c r="W11" s="87"/>
      <c r="X11" s="88"/>
      <c r="Y11" s="89"/>
      <c r="Z11" s="88"/>
      <c r="AA11" s="88"/>
      <c r="AB11" s="88"/>
      <c r="AC11" s="89"/>
      <c r="AD11" s="89"/>
      <c r="AE11" s="89"/>
      <c r="AF11" s="89"/>
      <c r="AG11" s="89"/>
      <c r="AH11" s="89"/>
      <c r="AI11" s="90"/>
      <c r="AJ11" s="90"/>
      <c r="AK11" s="91"/>
      <c r="AL11" s="91"/>
      <c r="AM11" s="91" t="s">
        <v>187</v>
      </c>
      <c r="AN11" s="91"/>
      <c r="AO11" s="91"/>
      <c r="AP11" s="91" t="s">
        <v>188</v>
      </c>
      <c r="AQ11" s="91" t="s">
        <v>189</v>
      </c>
      <c r="AR11" s="91" t="s">
        <v>190</v>
      </c>
      <c r="AS11" s="91" t="s">
        <v>191</v>
      </c>
      <c r="AT11" s="91"/>
      <c r="AU11" s="91" t="s">
        <v>192</v>
      </c>
      <c r="AV11" s="91"/>
      <c r="AW11" s="91" t="s">
        <v>193</v>
      </c>
      <c r="AX11" s="91" t="s">
        <v>194</v>
      </c>
      <c r="AY11" s="91" t="s">
        <v>195</v>
      </c>
      <c r="AZ11" s="91"/>
      <c r="BA11" s="91" t="s">
        <v>196</v>
      </c>
      <c r="BB11" s="91" t="s">
        <v>197</v>
      </c>
      <c r="BC11" s="91" t="s">
        <v>198</v>
      </c>
      <c r="BD11" s="91" t="s">
        <v>199</v>
      </c>
      <c r="BE11" s="91"/>
      <c r="BF11" s="91" t="s">
        <v>200</v>
      </c>
      <c r="BG11" s="91"/>
      <c r="BH11" s="91" t="s">
        <v>201</v>
      </c>
      <c r="BI11" s="91"/>
      <c r="BJ11" s="91" t="s">
        <v>202</v>
      </c>
      <c r="BK11" s="91"/>
      <c r="BL11" s="91"/>
      <c r="BM11" s="91" t="s">
        <v>203</v>
      </c>
      <c r="BN11" s="91"/>
      <c r="BO11" s="91"/>
    </row>
    <row r="12" ht="29.25" hidden="1" customHeight="1">
      <c r="A12" s="92" t="s">
        <v>157</v>
      </c>
      <c r="B12" s="93" t="s">
        <v>204</v>
      </c>
      <c r="C12" s="94" t="s">
        <v>205</v>
      </c>
      <c r="D12" s="95" t="s">
        <v>206</v>
      </c>
      <c r="E12" s="96"/>
      <c r="F12" s="20" t="s">
        <v>76</v>
      </c>
      <c r="G12" s="97">
        <v>100.0</v>
      </c>
      <c r="H12" s="22">
        <f>IF(OR(J12="",K12="",K12&lt;J12),0,NETWORKDAYS(J12,K12,fESTIVOS!$A$2:$A$53))
</f>
        <v>0</v>
      </c>
      <c r="I12" s="98">
        <v>46170.0</v>
      </c>
      <c r="J12" s="99">
        <v>46170.0</v>
      </c>
      <c r="K12" s="99"/>
      <c r="L12" s="99">
        <v>46171.0</v>
      </c>
      <c r="M12" s="27">
        <f>IF(OR(J12="",AND(L12="",TODAY()&lt;J12),AND(L12&lt;&gt;"",L12&lt;J12)),0,
   IF(L12="",
      NETWORKDAYS(J12,TODAY(),fESTIVOS!$A$2:$A$53),
      NETWORKDAYS(J12,L12,fESTIVOS!$A$2:$A$53)
   )
)
</f>
        <v>2</v>
      </c>
      <c r="N12" s="28"/>
      <c r="O12" s="98"/>
      <c r="P12" s="100"/>
      <c r="Q12" s="34" t="s">
        <v>207</v>
      </c>
      <c r="R12" s="31" t="s">
        <v>208</v>
      </c>
      <c r="S12" s="101"/>
      <c r="T12" s="101"/>
      <c r="U12" s="102"/>
      <c r="V12" s="103"/>
      <c r="W12" s="103"/>
      <c r="X12" s="103"/>
      <c r="Y12" s="103"/>
      <c r="Z12" s="103"/>
      <c r="AA12" s="103"/>
      <c r="AB12" s="103"/>
      <c r="AC12" s="103"/>
      <c r="AD12" s="103"/>
      <c r="AE12" s="103"/>
      <c r="AF12" s="103"/>
      <c r="AG12" s="103"/>
      <c r="AH12" s="103"/>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row>
    <row r="13" ht="29.25" hidden="1" customHeight="1">
      <c r="A13" s="92" t="s">
        <v>157</v>
      </c>
      <c r="B13" s="93" t="s">
        <v>209</v>
      </c>
      <c r="C13" s="94" t="s">
        <v>210</v>
      </c>
      <c r="D13" s="95" t="s">
        <v>211</v>
      </c>
      <c r="E13" s="96"/>
      <c r="F13" s="20" t="s">
        <v>76</v>
      </c>
      <c r="G13" s="97">
        <v>100.0</v>
      </c>
      <c r="H13" s="22">
        <f>IF(OR(J13="",K13="",K13&lt;J13),0,NETWORKDAYS(J13,K13,fESTIVOS!$A$2:$A$53))
</f>
        <v>0</v>
      </c>
      <c r="I13" s="98">
        <v>46171.0</v>
      </c>
      <c r="J13" s="99">
        <v>46171.0</v>
      </c>
      <c r="K13" s="99"/>
      <c r="L13" s="99">
        <v>46175.0</v>
      </c>
      <c r="M13" s="27">
        <f>IF(OR(J13="",AND(L13="",TODAY()&lt;J13),AND(L13&lt;&gt;"",L13&lt;J13)),0,
   IF(L13="",
      NETWORKDAYS(J13,TODAY(),fESTIVOS!$A$2:$A$53),
      NETWORKDAYS(J13,L13,fESTIVOS!$A$2:$A$53)
   )
)
</f>
        <v>3</v>
      </c>
      <c r="N13" s="28"/>
      <c r="O13" s="98"/>
      <c r="P13" s="100"/>
      <c r="Q13" s="34" t="s">
        <v>212</v>
      </c>
      <c r="R13" s="31" t="s">
        <v>208</v>
      </c>
      <c r="S13" s="101"/>
      <c r="T13" s="101"/>
      <c r="U13" s="102"/>
      <c r="V13" s="103"/>
      <c r="W13" s="103"/>
      <c r="X13" s="103"/>
      <c r="Y13" s="103"/>
      <c r="Z13" s="103"/>
      <c r="AA13" s="103"/>
      <c r="AB13" s="103"/>
      <c r="AC13" s="103"/>
      <c r="AD13" s="103"/>
      <c r="AE13" s="103"/>
      <c r="AF13" s="103"/>
      <c r="AG13" s="103"/>
      <c r="AH13" s="103"/>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row>
    <row r="14" ht="29.25" hidden="1" customHeight="1">
      <c r="A14" s="92" t="s">
        <v>157</v>
      </c>
      <c r="B14" s="93" t="s">
        <v>213</v>
      </c>
      <c r="C14" s="94" t="s">
        <v>214</v>
      </c>
      <c r="D14" s="95" t="s">
        <v>215</v>
      </c>
      <c r="E14" s="96"/>
      <c r="F14" s="20" t="s">
        <v>216</v>
      </c>
      <c r="G14" s="97">
        <v>40.0</v>
      </c>
      <c r="H14" s="22">
        <f>IF(OR(J14="",K14="",K14&lt;J14),0,NETWORKDAYS(J14,K14,fESTIVOS!$A$2:$A$53))
</f>
        <v>0</v>
      </c>
      <c r="I14" s="98">
        <v>46175.0</v>
      </c>
      <c r="J14" s="99">
        <v>46175.0</v>
      </c>
      <c r="K14" s="99"/>
      <c r="L14" s="99"/>
      <c r="M14" s="27">
        <f>IF(OR(J14="",AND(L14="",TODAY()&lt;J14),AND(L14&lt;&gt;"",L14&lt;J14)),0,
   IF(L14="",
      NETWORKDAYS(J14,TODAY(),fESTIVOS!$A$2:$A$53),
      NETWORKDAYS(J14,L14,fESTIVOS!$A$2:$A$53)
   )
)
</f>
        <v>9</v>
      </c>
      <c r="N14" s="105">
        <v>46199.0</v>
      </c>
      <c r="O14" s="98"/>
      <c r="P14" s="100"/>
      <c r="Q14" s="34" t="s">
        <v>217</v>
      </c>
      <c r="R14" s="31" t="s">
        <v>208</v>
      </c>
      <c r="S14" s="101"/>
      <c r="T14" s="101"/>
      <c r="U14" s="102"/>
      <c r="V14" s="103"/>
      <c r="W14" s="103"/>
      <c r="X14" s="103"/>
      <c r="Y14" s="103"/>
      <c r="Z14" s="103"/>
      <c r="AA14" s="103"/>
      <c r="AB14" s="103"/>
      <c r="AC14" s="103"/>
      <c r="AD14" s="103"/>
      <c r="AE14" s="103"/>
      <c r="AF14" s="103"/>
      <c r="AG14" s="103"/>
      <c r="AH14" s="103"/>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row>
    <row r="15" ht="29.25" hidden="1" customHeight="1">
      <c r="A15" s="92" t="s">
        <v>157</v>
      </c>
      <c r="B15" s="93" t="s">
        <v>218</v>
      </c>
      <c r="C15" s="94" t="s">
        <v>219</v>
      </c>
      <c r="D15" s="95" t="s">
        <v>220</v>
      </c>
      <c r="E15" s="96"/>
      <c r="F15" s="20" t="s">
        <v>216</v>
      </c>
      <c r="G15" s="97">
        <v>30.0</v>
      </c>
      <c r="H15" s="22">
        <f>IF(OR(J15="",K15="",K15&lt;J15),0,NETWORKDAYS(J15,K15,fESTIVOS!$A$2:$A$53))
</f>
        <v>0</v>
      </c>
      <c r="I15" s="98">
        <v>46184.0</v>
      </c>
      <c r="J15" s="99">
        <v>46185.0</v>
      </c>
      <c r="K15" s="99"/>
      <c r="L15" s="99"/>
      <c r="M15" s="27">
        <f>IF(OR(J15="",AND(L15="",TODAY()&lt;J15),AND(L15&lt;&gt;"",L15&lt;J15)),0,
   IF(L15="",
      NETWORKDAYS(J15,TODAY(),fESTIVOS!$A$2:$A$53),
      NETWORKDAYS(J15,L15,fESTIVOS!$A$2:$A$53)
   )
)
</f>
        <v>2</v>
      </c>
      <c r="N15" s="28"/>
      <c r="O15" s="98"/>
      <c r="P15" s="100"/>
      <c r="Q15" s="34" t="s">
        <v>221</v>
      </c>
      <c r="R15" s="31" t="s">
        <v>208</v>
      </c>
      <c r="S15" s="101"/>
      <c r="T15" s="101"/>
      <c r="U15" s="102"/>
      <c r="V15" s="103"/>
      <c r="W15" s="103"/>
      <c r="X15" s="103"/>
      <c r="Y15" s="103"/>
      <c r="Z15" s="103"/>
      <c r="AA15" s="103"/>
      <c r="AB15" s="103"/>
      <c r="AC15" s="103"/>
      <c r="AD15" s="103"/>
      <c r="AE15" s="103"/>
      <c r="AF15" s="103"/>
      <c r="AG15" s="103"/>
      <c r="AH15" s="103"/>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row>
    <row r="16" ht="29.25" hidden="1" customHeight="1">
      <c r="A16" s="92" t="s">
        <v>157</v>
      </c>
      <c r="B16" s="93" t="s">
        <v>222</v>
      </c>
      <c r="C16" s="94" t="s">
        <v>223</v>
      </c>
      <c r="D16" s="95" t="s">
        <v>224</v>
      </c>
      <c r="E16" s="96"/>
      <c r="F16" s="20" t="s">
        <v>76</v>
      </c>
      <c r="G16" s="97">
        <v>100.0</v>
      </c>
      <c r="H16" s="22">
        <f>IF(OR(J16="",K16="",K16&lt;J16),0,NETWORKDAYS(J16,K16,fESTIVOS!$A$2:$A$53))
</f>
        <v>0</v>
      </c>
      <c r="I16" s="98">
        <v>46185.0</v>
      </c>
      <c r="J16" s="99">
        <v>46189.0</v>
      </c>
      <c r="K16" s="99"/>
      <c r="L16" s="99">
        <v>46189.0</v>
      </c>
      <c r="M16" s="27">
        <f>IF(OR(J16="",AND(L16="",TODAY()&lt;J16),AND(L16&lt;&gt;"",L16&lt;J16)),0,
   IF(L16="",
      NETWORKDAYS(J16,TODAY(),fESTIVOS!$A$2:$A$53),
      NETWORKDAYS(J16,L16,fESTIVOS!$A$2:$A$53)
   )
)
</f>
        <v>1</v>
      </c>
      <c r="N16" s="28"/>
      <c r="O16" s="98"/>
      <c r="P16" s="100"/>
      <c r="Q16" s="34" t="s">
        <v>225</v>
      </c>
      <c r="R16" s="31" t="s">
        <v>208</v>
      </c>
      <c r="S16" s="101"/>
      <c r="T16" s="101"/>
      <c r="U16" s="102"/>
      <c r="V16" s="103"/>
      <c r="W16" s="103"/>
      <c r="X16" s="103"/>
      <c r="Y16" s="103"/>
      <c r="Z16" s="103"/>
      <c r="AA16" s="103"/>
      <c r="AB16" s="103"/>
      <c r="AC16" s="103"/>
      <c r="AD16" s="103"/>
      <c r="AE16" s="103"/>
      <c r="AF16" s="103"/>
      <c r="AG16" s="103"/>
      <c r="AH16" s="103"/>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row>
    <row r="17" ht="29.25" hidden="1" customHeight="1">
      <c r="A17" s="92" t="s">
        <v>157</v>
      </c>
      <c r="B17" s="93" t="s">
        <v>226</v>
      </c>
      <c r="C17" s="94" t="s">
        <v>227</v>
      </c>
      <c r="D17" s="95" t="s">
        <v>228</v>
      </c>
      <c r="E17" s="96"/>
      <c r="F17" s="20" t="s">
        <v>229</v>
      </c>
      <c r="G17" s="97"/>
      <c r="H17" s="22">
        <f>IF(OR(J17="",K17="",K17&lt;J17),0,NETWORKDAYS(J17,K17,fESTIVOS!$A$2:$A$53))
</f>
        <v>0</v>
      </c>
      <c r="I17" s="98"/>
      <c r="J17" s="99"/>
      <c r="K17" s="99"/>
      <c r="L17" s="99"/>
      <c r="M17" s="27">
        <f>IF(OR(J17="",AND(L17="",TODAY()&lt;J17),AND(L17&lt;&gt;"",L17&lt;J17)),0,
   IF(L17="",
      NETWORKDAYS(J17,TODAY(),fESTIVOS!$A$2:$A$53),
      NETWORKDAYS(J17,L17,fESTIVOS!$A$2:$A$53)
   )
)
</f>
        <v>0</v>
      </c>
      <c r="N17" s="28"/>
      <c r="O17" s="98"/>
      <c r="P17" s="100"/>
      <c r="Q17" s="34"/>
      <c r="R17" s="31" t="s">
        <v>93</v>
      </c>
      <c r="S17" s="101"/>
      <c r="T17" s="101"/>
      <c r="U17" s="102"/>
      <c r="V17" s="103"/>
      <c r="W17" s="103"/>
      <c r="X17" s="103"/>
      <c r="Y17" s="103"/>
      <c r="Z17" s="103"/>
      <c r="AA17" s="103"/>
      <c r="AB17" s="103"/>
      <c r="AC17" s="103"/>
      <c r="AD17" s="103"/>
      <c r="AE17" s="103"/>
      <c r="AF17" s="103"/>
      <c r="AG17" s="103"/>
      <c r="AH17" s="103"/>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ht="29.25" hidden="1" customHeight="1">
      <c r="A18" s="92" t="s">
        <v>157</v>
      </c>
      <c r="B18" s="93" t="s">
        <v>230</v>
      </c>
      <c r="C18" s="94" t="s">
        <v>231</v>
      </c>
      <c r="D18" s="95" t="s">
        <v>232</v>
      </c>
      <c r="E18" s="96"/>
      <c r="F18" s="20" t="s">
        <v>76</v>
      </c>
      <c r="G18" s="97">
        <v>100.0</v>
      </c>
      <c r="H18" s="22">
        <f>IF(OR(J18="",K18="",K18&lt;J18),0,NETWORKDAYS(J18,K18,fESTIVOS!$A$2:$A$53))
</f>
        <v>0</v>
      </c>
      <c r="I18" s="98">
        <v>46154.0</v>
      </c>
      <c r="J18" s="99">
        <v>46154.0</v>
      </c>
      <c r="K18" s="99"/>
      <c r="L18" s="99">
        <v>46164.0</v>
      </c>
      <c r="M18" s="27">
        <f>IF(OR(J18="",AND(L18="",TODAY()&lt;J18),AND(L18&lt;&gt;"",L18&lt;J18)),0,
   IF(L18="",
      NETWORKDAYS(J18,TODAY(),fESTIVOS!$A$2:$A$53),
      NETWORKDAYS(J18,L18,fESTIVOS!$A$2:$A$53)
   )
)
</f>
        <v>8</v>
      </c>
      <c r="N18" s="28"/>
      <c r="O18" s="98"/>
      <c r="P18" s="100"/>
      <c r="Q18" s="34" t="s">
        <v>233</v>
      </c>
      <c r="R18" s="31" t="s">
        <v>78</v>
      </c>
      <c r="S18" s="101"/>
      <c r="T18" s="101"/>
      <c r="U18" s="102"/>
      <c r="V18" s="103"/>
      <c r="W18" s="103"/>
      <c r="X18" s="103"/>
      <c r="Y18" s="103"/>
      <c r="Z18" s="103"/>
      <c r="AA18" s="103"/>
      <c r="AB18" s="103"/>
      <c r="AC18" s="103"/>
      <c r="AD18" s="103"/>
      <c r="AE18" s="103"/>
      <c r="AF18" s="103"/>
      <c r="AG18" s="103"/>
      <c r="AH18" s="103"/>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row>
    <row r="19" ht="29.25" hidden="1" customHeight="1">
      <c r="A19" s="92" t="s">
        <v>157</v>
      </c>
      <c r="B19" s="93" t="s">
        <v>234</v>
      </c>
      <c r="C19" s="94" t="s">
        <v>235</v>
      </c>
      <c r="D19" s="95"/>
      <c r="E19" s="96"/>
      <c r="F19" s="20" t="s">
        <v>229</v>
      </c>
      <c r="G19" s="97"/>
      <c r="H19" s="22">
        <f>IF(OR(J19="",K19="",K19&lt;J19),0,NETWORKDAYS(J19,K19,fESTIVOS!$A$2:$A$53))
</f>
        <v>0</v>
      </c>
      <c r="I19" s="98">
        <v>46164.0</v>
      </c>
      <c r="J19" s="99"/>
      <c r="K19" s="99"/>
      <c r="L19" s="99"/>
      <c r="M19" s="27">
        <f>IF(OR(J19="",AND(L19="",TODAY()&lt;J19),AND(L19&lt;&gt;"",L19&lt;J19)),0,
   IF(L19="",
      NETWORKDAYS(J19,TODAY(),fESTIVOS!$A$2:$A$53),
      NETWORKDAYS(J19,L19,fESTIVOS!$A$2:$A$53)
   )
)
</f>
        <v>0</v>
      </c>
      <c r="N19" s="28"/>
      <c r="O19" s="98"/>
      <c r="P19" s="100"/>
      <c r="Q19" s="34"/>
      <c r="R19" s="31" t="s">
        <v>236</v>
      </c>
      <c r="S19" s="101"/>
      <c r="T19" s="101"/>
      <c r="U19" s="102"/>
      <c r="V19" s="103"/>
      <c r="W19" s="103"/>
      <c r="X19" s="103"/>
      <c r="Y19" s="103"/>
      <c r="Z19" s="103"/>
      <c r="AA19" s="103"/>
      <c r="AB19" s="103"/>
      <c r="AC19" s="103"/>
      <c r="AD19" s="103"/>
      <c r="AE19" s="103"/>
      <c r="AF19" s="103"/>
      <c r="AG19" s="103"/>
      <c r="AH19" s="103"/>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row>
    <row r="20" ht="29.25" hidden="1" customHeight="1">
      <c r="A20" s="92" t="s">
        <v>157</v>
      </c>
      <c r="B20" s="93" t="s">
        <v>237</v>
      </c>
      <c r="C20" s="94" t="s">
        <v>238</v>
      </c>
      <c r="D20" s="95"/>
      <c r="E20" s="96"/>
      <c r="F20" s="20" t="s">
        <v>76</v>
      </c>
      <c r="G20" s="97">
        <v>100.0</v>
      </c>
      <c r="H20" s="22">
        <f>IF(OR(J20="",K20="",K20&lt;J20),0,NETWORKDAYS(J20,K20,fESTIVOS!$A$2:$A$53))
</f>
        <v>0</v>
      </c>
      <c r="I20" s="98">
        <v>46161.0</v>
      </c>
      <c r="J20" s="99">
        <v>46161.0</v>
      </c>
      <c r="K20" s="99"/>
      <c r="L20" s="99">
        <v>46167.0</v>
      </c>
      <c r="M20" s="27">
        <f>IF(OR(J20="",AND(L20="",TODAY()&lt;J20),AND(L20&lt;&gt;"",L20&lt;J20)),0,
   IF(L20="",
      NETWORKDAYS(J20,TODAY(),fESTIVOS!$A$2:$A$53),
      NETWORKDAYS(J20,L20,fESTIVOS!$A$2:$A$53)
   )
)
</f>
        <v>5</v>
      </c>
      <c r="N20" s="28"/>
      <c r="O20" s="98"/>
      <c r="P20" s="100"/>
      <c r="Q20" s="34" t="s">
        <v>239</v>
      </c>
      <c r="R20" s="31" t="s">
        <v>78</v>
      </c>
      <c r="S20" s="101"/>
      <c r="T20" s="101"/>
      <c r="U20" s="102"/>
      <c r="V20" s="103"/>
      <c r="W20" s="103"/>
      <c r="X20" s="103"/>
      <c r="Y20" s="103"/>
      <c r="Z20" s="103"/>
      <c r="AA20" s="103"/>
      <c r="AB20" s="103"/>
      <c r="AC20" s="103"/>
      <c r="AD20" s="103"/>
      <c r="AE20" s="103"/>
      <c r="AF20" s="103"/>
      <c r="AG20" s="103"/>
      <c r="AH20" s="103"/>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row>
    <row r="21" ht="29.25" hidden="1" customHeight="1">
      <c r="A21" s="92" t="s">
        <v>157</v>
      </c>
      <c r="B21" s="93" t="s">
        <v>240</v>
      </c>
      <c r="C21" s="94" t="s">
        <v>241</v>
      </c>
      <c r="D21" s="95"/>
      <c r="E21" s="96"/>
      <c r="F21" s="20" t="s">
        <v>229</v>
      </c>
      <c r="G21" s="97"/>
      <c r="H21" s="22">
        <f>IF(OR(J21="",K21="",K21&lt;J21),0,NETWORKDAYS(J21,K21,fESTIVOS!$A$2:$A$53))
</f>
        <v>0</v>
      </c>
      <c r="I21" s="98">
        <v>46167.0</v>
      </c>
      <c r="J21" s="99"/>
      <c r="K21" s="99"/>
      <c r="L21" s="99"/>
      <c r="M21" s="27">
        <f>IF(OR(J21="",AND(L21="",TODAY()&lt;J21),AND(L21&lt;&gt;"",L21&lt;J21)),0,
   IF(L21="",
      NETWORKDAYS(J21,TODAY(),fESTIVOS!$A$2:$A$53),
      NETWORKDAYS(J21,L21,fESTIVOS!$A$2:$A$53)
   )
)
</f>
        <v>0</v>
      </c>
      <c r="N21" s="28"/>
      <c r="O21" s="98"/>
      <c r="P21" s="100"/>
      <c r="Q21" s="34"/>
      <c r="R21" s="31" t="s">
        <v>236</v>
      </c>
      <c r="S21" s="101"/>
      <c r="T21" s="101"/>
      <c r="U21" s="102"/>
      <c r="V21" s="103"/>
      <c r="W21" s="103"/>
      <c r="X21" s="103"/>
      <c r="Y21" s="103"/>
      <c r="Z21" s="103"/>
      <c r="AA21" s="103"/>
      <c r="AB21" s="103"/>
      <c r="AC21" s="103"/>
      <c r="AD21" s="103"/>
      <c r="AE21" s="103"/>
      <c r="AF21" s="103"/>
      <c r="AG21" s="103"/>
      <c r="AH21" s="103"/>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row>
    <row r="22" ht="29.25" hidden="1" customHeight="1">
      <c r="A22" s="92" t="s">
        <v>157</v>
      </c>
      <c r="B22" s="93" t="s">
        <v>242</v>
      </c>
      <c r="C22" s="94" t="s">
        <v>243</v>
      </c>
      <c r="D22" s="95" t="s">
        <v>244</v>
      </c>
      <c r="E22" s="96"/>
      <c r="F22" s="20" t="s">
        <v>245</v>
      </c>
      <c r="G22" s="97">
        <v>10.0</v>
      </c>
      <c r="H22" s="22">
        <f>IF(OR(J22="",K22="",K22&lt;J22),0,NETWORKDAYS(J22,K22,fESTIVOS!$A$2:$A$53))
</f>
        <v>0</v>
      </c>
      <c r="I22" s="98">
        <v>46156.0</v>
      </c>
      <c r="J22" s="99">
        <v>46162.0</v>
      </c>
      <c r="K22" s="99"/>
      <c r="L22" s="99"/>
      <c r="M22" s="27">
        <f>IF(OR(J22="",AND(L22="",TODAY()&lt;J22),AND(L22&lt;&gt;"",L22&lt;J22)),0,
   IF(L22="",
      NETWORKDAYS(J22,TODAY(),fESTIVOS!$A$2:$A$53),
      NETWORKDAYS(J22,L22,fESTIVOS!$A$2:$A$53)
   )
)
</f>
        <v>18</v>
      </c>
      <c r="N22" s="28"/>
      <c r="O22" s="98"/>
      <c r="P22" s="100"/>
      <c r="Q22" s="34" t="s">
        <v>246</v>
      </c>
      <c r="R22" s="31" t="s">
        <v>236</v>
      </c>
      <c r="S22" s="101"/>
      <c r="T22" s="101"/>
      <c r="U22" s="102"/>
      <c r="V22" s="103"/>
      <c r="W22" s="103"/>
      <c r="X22" s="103"/>
      <c r="Y22" s="103"/>
      <c r="Z22" s="103"/>
      <c r="AA22" s="103"/>
      <c r="AB22" s="103"/>
      <c r="AC22" s="103"/>
      <c r="AD22" s="103"/>
      <c r="AE22" s="103"/>
      <c r="AF22" s="103"/>
      <c r="AG22" s="103"/>
      <c r="AH22" s="103"/>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row>
    <row r="23" ht="29.25" hidden="1" customHeight="1">
      <c r="A23" s="92" t="s">
        <v>157</v>
      </c>
      <c r="B23" s="93" t="s">
        <v>247</v>
      </c>
      <c r="C23" s="106" t="s">
        <v>248</v>
      </c>
      <c r="D23" s="95" t="s">
        <v>249</v>
      </c>
      <c r="E23" s="96"/>
      <c r="F23" s="20" t="s">
        <v>245</v>
      </c>
      <c r="G23" s="97">
        <v>90.0</v>
      </c>
      <c r="H23" s="22">
        <f>IF(OR(J23="",K23="",K23&lt;J23),0,NETWORKDAYS(J23,K23,fESTIVOS!$A$2:$A$53))
</f>
        <v>0</v>
      </c>
      <c r="I23" s="98">
        <v>45958.0</v>
      </c>
      <c r="J23" s="99">
        <v>45988.0</v>
      </c>
      <c r="K23" s="99"/>
      <c r="L23" s="99">
        <v>46000.0</v>
      </c>
      <c r="M23" s="27">
        <f>IF(OR(J23="",AND(L23="",TODAY()&lt;J23),AND(L23&lt;&gt;"",L23&lt;J23)),0,
   IF(L23="",
      NETWORKDAYS(J23,TODAY(),fESTIVOS!$A$2:$A$53),
      NETWORKDAYS(J23,L23,fESTIVOS!$A$2:$A$53)
   )
)
</f>
        <v>8</v>
      </c>
      <c r="N23" s="28"/>
      <c r="O23" s="98">
        <v>45995.0</v>
      </c>
      <c r="P23" s="100"/>
      <c r="Q23" s="34" t="s">
        <v>250</v>
      </c>
      <c r="R23" s="31" t="s">
        <v>78</v>
      </c>
      <c r="S23" s="101"/>
      <c r="T23" s="101"/>
      <c r="U23" s="102"/>
      <c r="V23" s="103"/>
      <c r="W23" s="103"/>
      <c r="X23" s="103"/>
      <c r="Y23" s="103"/>
      <c r="Z23" s="103"/>
      <c r="AA23" s="103"/>
      <c r="AB23" s="103"/>
      <c r="AC23" s="103"/>
      <c r="AD23" s="103"/>
      <c r="AE23" s="103"/>
      <c r="AF23" s="103"/>
      <c r="AG23" s="103"/>
      <c r="AH23" s="103"/>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row>
    <row r="24" ht="29.25" hidden="1" customHeight="1">
      <c r="A24" s="55" t="s">
        <v>251</v>
      </c>
      <c r="B24" s="93" t="s">
        <v>252</v>
      </c>
      <c r="C24" s="107" t="s">
        <v>253</v>
      </c>
      <c r="D24" s="108"/>
      <c r="E24" s="84"/>
      <c r="F24" s="85" t="s">
        <v>76</v>
      </c>
      <c r="G24" s="58">
        <v>100.0</v>
      </c>
      <c r="H24" s="22">
        <f>IF(OR(J24="",K24="",K24&lt;J24),0,NETWORKDAYS(J24,K24,fESTIVOS!$A$2:$A$53))
</f>
        <v>0</v>
      </c>
      <c r="I24" s="81">
        <v>45938.0</v>
      </c>
      <c r="J24" s="60">
        <v>45938.0</v>
      </c>
      <c r="K24" s="60"/>
      <c r="L24" s="60">
        <v>45946.0</v>
      </c>
      <c r="M24" s="27">
        <f>IF(OR(J24="",AND(L24="",TODAY()&lt;J24),AND(L24&lt;&gt;"",L24&lt;J24)),0,
   IF(L24="",
      NETWORKDAYS(J24,TODAY(),fESTIVOS!$A$2:$A$53),
      NETWORKDAYS(J24,L24,fESTIVOS!$A$2:$A$53)
   )
)
</f>
        <v>6</v>
      </c>
      <c r="N24" s="28"/>
      <c r="O24" s="81"/>
      <c r="P24" s="61"/>
      <c r="Q24" s="86" t="s">
        <v>254</v>
      </c>
      <c r="R24" s="31" t="s">
        <v>78</v>
      </c>
      <c r="S24" s="58"/>
      <c r="T24" s="58"/>
      <c r="U24" s="109"/>
      <c r="V24" s="87"/>
      <c r="W24" s="87"/>
      <c r="X24" s="88"/>
      <c r="Y24" s="89"/>
      <c r="Z24" s="88"/>
      <c r="AA24" s="88"/>
      <c r="AB24" s="88"/>
      <c r="AC24" s="89"/>
      <c r="AD24" s="89"/>
      <c r="AE24" s="89"/>
      <c r="AF24" s="89"/>
      <c r="AG24" s="89"/>
      <c r="AH24" s="89"/>
      <c r="AI24" s="90"/>
      <c r="AJ24" s="90"/>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row>
    <row r="25" ht="29.25" hidden="1" customHeight="1">
      <c r="A25" s="92" t="s">
        <v>255</v>
      </c>
      <c r="B25" s="110" t="s">
        <v>256</v>
      </c>
      <c r="C25" s="94" t="s">
        <v>257</v>
      </c>
      <c r="D25" s="111"/>
      <c r="E25" s="96"/>
      <c r="F25" s="112" t="s">
        <v>76</v>
      </c>
      <c r="G25" s="97">
        <v>100.0</v>
      </c>
      <c r="H25" s="22">
        <f>IF(OR(J25="",K25="",K25&lt;J25),0,NETWORKDAYS(J25,K25,fESTIVOS!$A$2:$A$53))
</f>
        <v>0</v>
      </c>
      <c r="I25" s="98">
        <v>46001.0</v>
      </c>
      <c r="J25" s="99">
        <v>46002.0</v>
      </c>
      <c r="K25" s="99">
        <v>45970.0</v>
      </c>
      <c r="L25" s="99">
        <v>46009.0</v>
      </c>
      <c r="M25" s="27">
        <f>IF(OR(J25="",AND(L25="",TODAY()&lt;J25),AND(L25&lt;&gt;"",L25&lt;J25)),0,
   IF(L25="",
      NETWORKDAYS(J25,TODAY(),fESTIVOS!$A$2:$A$53),
      NETWORKDAYS(J25,L25,fESTIVOS!$A$2:$A$53)
   )
)
</f>
        <v>6</v>
      </c>
      <c r="N25" s="28"/>
      <c r="O25" s="98">
        <v>46009.0</v>
      </c>
      <c r="P25" s="100">
        <v>46021.0</v>
      </c>
      <c r="Q25" s="34" t="s">
        <v>258</v>
      </c>
      <c r="R25" s="113" t="s">
        <v>78</v>
      </c>
      <c r="S25" s="97"/>
      <c r="T25" s="97"/>
      <c r="U25" s="102"/>
      <c r="V25" s="114" t="s">
        <v>259</v>
      </c>
      <c r="W25" s="103"/>
      <c r="X25" s="103"/>
      <c r="Y25" s="103"/>
      <c r="Z25" s="103"/>
      <c r="AA25" s="103"/>
      <c r="AB25" s="103"/>
      <c r="AC25" s="103"/>
      <c r="AD25" s="103"/>
      <c r="AE25" s="103"/>
      <c r="AF25" s="103"/>
      <c r="AG25" s="103"/>
      <c r="AH25" s="103"/>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row>
    <row r="26" ht="29.25" hidden="1" customHeight="1">
      <c r="A26" s="55" t="s">
        <v>157</v>
      </c>
      <c r="B26" s="93" t="s">
        <v>260</v>
      </c>
      <c r="C26" s="107" t="s">
        <v>261</v>
      </c>
      <c r="D26" s="115" t="s">
        <v>262</v>
      </c>
      <c r="E26" s="116"/>
      <c r="F26" s="117" t="s">
        <v>76</v>
      </c>
      <c r="G26" s="58">
        <v>100.0</v>
      </c>
      <c r="H26" s="22">
        <f>IF(OR(J26="",K26="",K26&lt;J26),0,NETWORKDAYS(J26,K26,fESTIVOS!$A$2:$A$53))
</f>
        <v>0</v>
      </c>
      <c r="I26" s="81">
        <v>45894.0</v>
      </c>
      <c r="J26" s="60">
        <v>45894.0</v>
      </c>
      <c r="K26" s="68"/>
      <c r="L26" s="60">
        <v>45895.0</v>
      </c>
      <c r="M26" s="27">
        <f>IF(OR(J26="",AND(L26="",TODAY()&lt;J26),AND(L26&lt;&gt;"",L26&lt;J26)),0,
   IF(L26="",
      NETWORKDAYS(J26,TODAY(),fESTIVOS!$A$2:$A$53),
      NETWORKDAYS(J26,L26,fESTIVOS!$A$2:$A$53)
   )
)
</f>
        <v>2</v>
      </c>
      <c r="N26" s="28"/>
      <c r="O26" s="81">
        <v>45898.0</v>
      </c>
      <c r="P26" s="69"/>
      <c r="Q26" s="62" t="s">
        <v>263</v>
      </c>
      <c r="R26" s="113" t="s">
        <v>78</v>
      </c>
      <c r="S26" s="71"/>
      <c r="T26" s="71"/>
      <c r="U26" s="72"/>
      <c r="V26" s="118"/>
      <c r="W26" s="118"/>
      <c r="X26" s="118"/>
      <c r="Y26" s="118"/>
      <c r="Z26" s="118"/>
      <c r="AA26" s="118"/>
      <c r="AB26" s="118"/>
      <c r="AC26" s="118"/>
      <c r="AD26" s="118"/>
      <c r="AE26" s="118"/>
      <c r="AF26" s="118"/>
      <c r="AG26" s="118"/>
      <c r="AH26" s="118"/>
      <c r="AI26" s="119"/>
      <c r="AJ26" s="119"/>
      <c r="AK26" s="119"/>
      <c r="AL26" s="119"/>
      <c r="AM26" s="119"/>
      <c r="AN26" s="119"/>
      <c r="AO26" s="119"/>
      <c r="AP26" s="66"/>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row>
    <row r="27" ht="29.25" hidden="1" customHeight="1">
      <c r="A27" s="92" t="s">
        <v>157</v>
      </c>
      <c r="B27" s="93" t="s">
        <v>264</v>
      </c>
      <c r="C27" s="120" t="s">
        <v>265</v>
      </c>
      <c r="D27" s="121" t="s">
        <v>266</v>
      </c>
      <c r="E27" s="96"/>
      <c r="F27" s="122" t="s">
        <v>76</v>
      </c>
      <c r="G27" s="97">
        <v>100.0</v>
      </c>
      <c r="H27" s="22">
        <f>IF(OR(J27="",K27="",K27&lt;J27),0,NETWORKDAYS(J27,K27,fESTIVOS!$A$2:$A$53))
</f>
        <v>0</v>
      </c>
      <c r="I27" s="98">
        <v>45994.0</v>
      </c>
      <c r="J27" s="99">
        <v>46003.0</v>
      </c>
      <c r="K27" s="99"/>
      <c r="L27" s="99">
        <v>46003.0</v>
      </c>
      <c r="M27" s="27">
        <f>IF(OR(J27="",AND(L27="",TODAY()&lt;J27),AND(L27&lt;&gt;"",L27&lt;J27)),0,
   IF(L27="",
      NETWORKDAYS(J27,TODAY(),fESTIVOS!$A$2:$A$53),
      NETWORKDAYS(J27,L27,fESTIVOS!$A$2:$A$53)
   )
)
</f>
        <v>1</v>
      </c>
      <c r="N27" s="28"/>
      <c r="O27" s="98">
        <v>46003.0</v>
      </c>
      <c r="P27" s="100">
        <v>46003.0</v>
      </c>
      <c r="Q27" s="34" t="s">
        <v>267</v>
      </c>
      <c r="R27" s="113" t="s">
        <v>78</v>
      </c>
      <c r="S27" s="101"/>
      <c r="T27" s="97"/>
      <c r="U27" s="102"/>
      <c r="V27" s="103"/>
      <c r="W27" s="103"/>
      <c r="X27" s="103"/>
      <c r="Y27" s="103"/>
      <c r="Z27" s="103"/>
      <c r="AA27" s="103"/>
      <c r="AB27" s="103"/>
      <c r="AC27" s="103"/>
      <c r="AD27" s="103"/>
      <c r="AE27" s="103"/>
      <c r="AF27" s="103"/>
      <c r="AG27" s="103"/>
      <c r="AH27" s="103"/>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row>
    <row r="28" ht="29.25" hidden="1" customHeight="1">
      <c r="A28" s="92" t="s">
        <v>255</v>
      </c>
      <c r="B28" s="110" t="s">
        <v>268</v>
      </c>
      <c r="C28" s="94" t="s">
        <v>269</v>
      </c>
      <c r="D28" s="121"/>
      <c r="E28" s="96"/>
      <c r="F28" s="122" t="s">
        <v>76</v>
      </c>
      <c r="G28" s="97">
        <v>100.0</v>
      </c>
      <c r="H28" s="22">
        <f>IF(OR(J28="",K28="",K28&lt;J28),0,NETWORKDAYS(J28,K28,fESTIVOS!$A$2:$A$53))
</f>
        <v>0</v>
      </c>
      <c r="I28" s="98">
        <v>46014.0</v>
      </c>
      <c r="J28" s="99">
        <v>46014.0</v>
      </c>
      <c r="K28" s="99"/>
      <c r="L28" s="99">
        <v>46014.0</v>
      </c>
      <c r="M28" s="27">
        <f>IF(OR(J28="",AND(L28="",TODAY()&lt;J28),AND(L28&lt;&gt;"",L28&lt;J28)),0,
   IF(L28="",
      NETWORKDAYS(J28,TODAY(),fESTIVOS!$A$2:$A$53),
      NETWORKDAYS(J28,L28,fESTIVOS!$A$2:$A$53)
   )
)
</f>
        <v>1</v>
      </c>
      <c r="N28" s="28"/>
      <c r="O28" s="98">
        <v>46014.0</v>
      </c>
      <c r="P28" s="100">
        <v>46021.0</v>
      </c>
      <c r="Q28" s="34" t="s">
        <v>270</v>
      </c>
      <c r="R28" s="31" t="s">
        <v>78</v>
      </c>
      <c r="S28" s="101"/>
      <c r="T28" s="97"/>
      <c r="U28" s="102"/>
      <c r="V28" s="103"/>
      <c r="W28" s="103"/>
      <c r="X28" s="103"/>
      <c r="Y28" s="103"/>
      <c r="Z28" s="103"/>
      <c r="AA28" s="103"/>
      <c r="AB28" s="103"/>
      <c r="AC28" s="103"/>
      <c r="AD28" s="103"/>
      <c r="AE28" s="103"/>
      <c r="AF28" s="103"/>
      <c r="AG28" s="103"/>
      <c r="AH28" s="103"/>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row>
    <row r="29" ht="29.25" hidden="1" customHeight="1">
      <c r="A29" s="123" t="s">
        <v>251</v>
      </c>
      <c r="B29" s="93" t="s">
        <v>271</v>
      </c>
      <c r="C29" s="94" t="s">
        <v>272</v>
      </c>
      <c r="D29" s="121" t="s">
        <v>273</v>
      </c>
      <c r="E29" s="96"/>
      <c r="F29" s="122" t="s">
        <v>76</v>
      </c>
      <c r="G29" s="97">
        <v>100.0</v>
      </c>
      <c r="H29" s="22">
        <f>IF(OR(J29="",K29="",K29&lt;J29),0,NETWORKDAYS(J29,K29,fESTIVOS!$A$2:$A$53))
</f>
        <v>0</v>
      </c>
      <c r="I29" s="98">
        <v>46042.0</v>
      </c>
      <c r="J29" s="99">
        <v>46062.0</v>
      </c>
      <c r="K29" s="99"/>
      <c r="L29" s="99">
        <v>46063.0</v>
      </c>
      <c r="M29" s="27">
        <f>IF(OR(J29="",AND(L29="",TODAY()&lt;J29),AND(L29&lt;&gt;"",L29&lt;J29)),0,
   IF(L29="",
      NETWORKDAYS(J29,TODAY(),fESTIVOS!$A$2:$A$53),
      NETWORKDAYS(J29,L29,fESTIVOS!$A$2:$A$53)
   )
)
</f>
        <v>2</v>
      </c>
      <c r="N29" s="28"/>
      <c r="O29" s="98"/>
      <c r="P29" s="100"/>
      <c r="Q29" s="34" t="s">
        <v>274</v>
      </c>
      <c r="R29" s="31" t="s">
        <v>275</v>
      </c>
      <c r="S29" s="101"/>
      <c r="T29" s="97"/>
      <c r="U29" s="102"/>
      <c r="V29" s="103"/>
      <c r="W29" s="103"/>
      <c r="X29" s="103"/>
      <c r="Y29" s="103"/>
      <c r="Z29" s="103"/>
      <c r="AA29" s="103"/>
      <c r="AB29" s="103"/>
      <c r="AC29" s="103"/>
      <c r="AD29" s="103"/>
      <c r="AE29" s="103"/>
      <c r="AF29" s="103"/>
      <c r="AG29" s="103"/>
      <c r="AH29" s="103"/>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row>
    <row r="30" ht="29.25" hidden="1" customHeight="1">
      <c r="A30" s="123" t="s">
        <v>251</v>
      </c>
      <c r="B30" s="110" t="s">
        <v>276</v>
      </c>
      <c r="C30" s="94" t="s">
        <v>277</v>
      </c>
      <c r="D30" s="121"/>
      <c r="E30" s="96"/>
      <c r="F30" s="122" t="s">
        <v>76</v>
      </c>
      <c r="G30" s="97">
        <v>100.0</v>
      </c>
      <c r="H30" s="22">
        <f>IF(OR(J30="",K30="",K30&lt;J30),0,NETWORKDAYS(J30,K30,fESTIVOS!$A$2:$A$53))
</f>
        <v>0</v>
      </c>
      <c r="I30" s="98">
        <v>46022.0</v>
      </c>
      <c r="J30" s="99">
        <v>46064.0</v>
      </c>
      <c r="K30" s="99"/>
      <c r="L30" s="99">
        <v>46064.0</v>
      </c>
      <c r="M30" s="27">
        <f>IF(OR(J30="",AND(L30="",TODAY()&lt;J30),AND(L30&lt;&gt;"",L30&lt;J30)),0,
   IF(L30="",
      NETWORKDAYS(J30,TODAY(),fESTIVOS!$A$2:$A$53),
      NETWORKDAYS(J30,L30,fESTIVOS!$A$2:$A$53)
   )
)
</f>
        <v>1</v>
      </c>
      <c r="N30" s="28"/>
      <c r="O30" s="98"/>
      <c r="P30" s="100"/>
      <c r="Q30" s="34" t="s">
        <v>278</v>
      </c>
      <c r="R30" s="31" t="s">
        <v>275</v>
      </c>
      <c r="S30" s="101"/>
      <c r="T30" s="97"/>
      <c r="U30" s="102"/>
      <c r="V30" s="103"/>
      <c r="W30" s="103"/>
      <c r="X30" s="103"/>
      <c r="Y30" s="103"/>
      <c r="Z30" s="103"/>
      <c r="AA30" s="103"/>
      <c r="AB30" s="103"/>
      <c r="AC30" s="103"/>
      <c r="AD30" s="103"/>
      <c r="AE30" s="103"/>
      <c r="AF30" s="103"/>
      <c r="AG30" s="103"/>
      <c r="AH30" s="103"/>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row>
    <row r="31" ht="29.25" hidden="1" customHeight="1">
      <c r="A31" s="92" t="s">
        <v>157</v>
      </c>
      <c r="B31" s="110" t="s">
        <v>279</v>
      </c>
      <c r="C31" s="94" t="s">
        <v>280</v>
      </c>
      <c r="D31" s="121" t="s">
        <v>281</v>
      </c>
      <c r="E31" s="96"/>
      <c r="F31" s="122" t="s">
        <v>76</v>
      </c>
      <c r="G31" s="97">
        <v>100.0</v>
      </c>
      <c r="H31" s="22">
        <f>IF(OR(J31="",K31="",K31&lt;J31),0,NETWORKDAYS(J31,K31,fESTIVOS!$A$2:$A$53))
</f>
        <v>0</v>
      </c>
      <c r="I31" s="98">
        <v>46000.0</v>
      </c>
      <c r="J31" s="99">
        <v>46001.0</v>
      </c>
      <c r="K31" s="99"/>
      <c r="L31" s="99">
        <v>46009.0</v>
      </c>
      <c r="M31" s="27">
        <f>IF(OR(J31="",AND(L31="",TODAY()&lt;J31),AND(L31&lt;&gt;"",L31&lt;J31)),0,
   IF(L31="",
      NETWORKDAYS(J31,TODAY(),fESTIVOS!$A$2:$A$53),
      NETWORKDAYS(J31,L31,fESTIVOS!$A$2:$A$53)
   )
)
</f>
        <v>7</v>
      </c>
      <c r="N31" s="28"/>
      <c r="O31" s="98">
        <v>46009.0</v>
      </c>
      <c r="P31" s="100">
        <v>46020.0</v>
      </c>
      <c r="Q31" s="34" t="s">
        <v>282</v>
      </c>
      <c r="R31" s="31" t="s">
        <v>78</v>
      </c>
      <c r="S31" s="101"/>
      <c r="T31" s="97"/>
      <c r="U31" s="102"/>
      <c r="V31" s="103"/>
      <c r="W31" s="103"/>
      <c r="X31" s="103"/>
      <c r="Y31" s="103"/>
      <c r="Z31" s="103"/>
      <c r="AA31" s="103"/>
      <c r="AB31" s="103"/>
      <c r="AC31" s="103"/>
      <c r="AD31" s="103"/>
      <c r="AE31" s="103"/>
      <c r="AF31" s="103"/>
      <c r="AG31" s="103"/>
      <c r="AH31" s="103"/>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row>
    <row r="32" ht="29.25" hidden="1" customHeight="1">
      <c r="A32" s="55" t="s">
        <v>128</v>
      </c>
      <c r="B32" s="17" t="s">
        <v>283</v>
      </c>
      <c r="C32" s="107" t="s">
        <v>284</v>
      </c>
      <c r="D32" s="76"/>
      <c r="E32" s="124" t="s">
        <v>285</v>
      </c>
      <c r="F32" s="20" t="s">
        <v>123</v>
      </c>
      <c r="G32" s="58"/>
      <c r="H32" s="22">
        <f>IF(OR(J32="",K32="",K32&lt;J32),0,NETWORKDAYS(J32,K32,fESTIVOS!$A$2:$A$53))
</f>
        <v>0</v>
      </c>
      <c r="I32" s="59">
        <v>45757.0</v>
      </c>
      <c r="J32" s="68"/>
      <c r="K32" s="68"/>
      <c r="L32" s="68"/>
      <c r="M32" s="27">
        <f>IF(OR(J32="",AND(L32="",TODAY()&lt;J32),AND(L32&lt;&gt;"",L32&lt;J32)),0,
   IF(L32="",
      NETWORKDAYS(J32,TODAY(),fESTIVOS!$A$2:$A$53),
      NETWORKDAYS(J32,L32,fESTIVOS!$A$2:$A$53)
   )
)
</f>
        <v>0</v>
      </c>
      <c r="N32" s="28"/>
      <c r="O32" s="59"/>
      <c r="P32" s="69"/>
      <c r="Q32" s="125"/>
      <c r="R32" s="31" t="s">
        <v>93</v>
      </c>
      <c r="S32" s="34"/>
      <c r="T32" s="34"/>
      <c r="U32" s="72"/>
      <c r="V32" s="34" t="s">
        <v>286</v>
      </c>
      <c r="W32" s="35"/>
      <c r="X32" s="35"/>
      <c r="Y32" s="35"/>
      <c r="Z32" s="35"/>
      <c r="AA32" s="126"/>
      <c r="AB32" s="127"/>
      <c r="AC32" s="127"/>
      <c r="AD32" s="127"/>
      <c r="AE32" s="127"/>
      <c r="AF32" s="127"/>
      <c r="AG32" s="128" t="s">
        <v>287</v>
      </c>
      <c r="AH32" s="127"/>
      <c r="AI32" s="129"/>
      <c r="AJ32" s="129"/>
      <c r="AK32" s="129"/>
      <c r="AL32" s="129"/>
      <c r="AM32" s="129"/>
      <c r="AN32" s="129"/>
      <c r="AO32" s="129"/>
      <c r="AP32" s="130" t="s">
        <v>288</v>
      </c>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row>
    <row r="33" ht="29.25" hidden="1" customHeight="1">
      <c r="A33" s="55" t="s">
        <v>128</v>
      </c>
      <c r="B33" s="17" t="s">
        <v>289</v>
      </c>
      <c r="C33" s="107" t="s">
        <v>290</v>
      </c>
      <c r="D33" s="131"/>
      <c r="E33" s="132" t="s">
        <v>229</v>
      </c>
      <c r="F33" s="133" t="s">
        <v>76</v>
      </c>
      <c r="G33" s="134">
        <v>100.0</v>
      </c>
      <c r="H33" s="22">
        <f>IF(OR(J33="",K33="",K33&lt;J33),0,NETWORKDAYS(J33,K33,fESTIVOS!$A$2:$A$53))
</f>
        <v>0</v>
      </c>
      <c r="I33" s="135">
        <v>45800.0</v>
      </c>
      <c r="J33" s="60">
        <v>45800.0</v>
      </c>
      <c r="K33" s="60"/>
      <c r="L33" s="60">
        <v>45825.0</v>
      </c>
      <c r="M33" s="27">
        <f>IF(OR(J33="",AND(L33="",TODAY()&lt;J33),AND(L33&lt;&gt;"",L33&lt;J33)),0,
   IF(L33="",
      NETWORKDAYS(J33,TODAY(),fESTIVOS!$A$2:$A$53),
      NETWORKDAYS(J33,L33,fESTIVOS!$A$2:$A$53)
   )
)
</f>
        <v>17</v>
      </c>
      <c r="N33" s="28"/>
      <c r="O33" s="81">
        <v>45825.0</v>
      </c>
      <c r="P33" s="61">
        <v>45835.0</v>
      </c>
      <c r="Q33" s="125"/>
      <c r="R33" s="31" t="s">
        <v>78</v>
      </c>
      <c r="S33" s="136"/>
      <c r="T33" s="136"/>
      <c r="U33" s="109"/>
      <c r="V33" s="34"/>
      <c r="W33" s="34"/>
      <c r="X33" s="35"/>
      <c r="Y33" s="35"/>
      <c r="Z33" s="35"/>
      <c r="AA33" s="34"/>
      <c r="AB33" s="34"/>
      <c r="AC33" s="35"/>
      <c r="AD33" s="34"/>
      <c r="AE33" s="34"/>
      <c r="AF33" s="34"/>
      <c r="AG33" s="34" t="s">
        <v>291</v>
      </c>
      <c r="AH33" s="34" t="s">
        <v>292</v>
      </c>
      <c r="AI33" s="37" t="s">
        <v>293</v>
      </c>
      <c r="AJ33" s="37" t="s">
        <v>294</v>
      </c>
      <c r="AK33" s="37"/>
      <c r="AL33" s="37"/>
      <c r="AM33" s="37" t="s">
        <v>295</v>
      </c>
      <c r="AN33" s="37" t="s">
        <v>296</v>
      </c>
      <c r="AO33" s="37" t="s">
        <v>297</v>
      </c>
      <c r="AP33" s="37" t="s">
        <v>298</v>
      </c>
      <c r="AQ33" s="37" t="s">
        <v>299</v>
      </c>
      <c r="AR33" s="37" t="s">
        <v>300</v>
      </c>
      <c r="AS33" s="37" t="s">
        <v>301</v>
      </c>
      <c r="AT33" s="37"/>
      <c r="AU33" s="37" t="s">
        <v>302</v>
      </c>
      <c r="AV33" s="37"/>
      <c r="AW33" s="37" t="s">
        <v>303</v>
      </c>
      <c r="AX33" s="37"/>
      <c r="AY33" s="37"/>
      <c r="AZ33" s="37"/>
      <c r="BA33" s="37"/>
      <c r="BB33" s="37"/>
      <c r="BC33" s="37"/>
      <c r="BD33" s="37"/>
      <c r="BE33" s="37"/>
      <c r="BF33" s="37"/>
      <c r="BG33" s="37"/>
      <c r="BH33" s="37"/>
      <c r="BI33" s="37"/>
      <c r="BJ33" s="37"/>
      <c r="BK33" s="37"/>
      <c r="BL33" s="37"/>
      <c r="BM33" s="37"/>
      <c r="BN33" s="37"/>
      <c r="BO33" s="37"/>
    </row>
    <row r="34" ht="29.25" hidden="1" customHeight="1">
      <c r="A34" s="55" t="s">
        <v>128</v>
      </c>
      <c r="B34" s="17" t="s">
        <v>304</v>
      </c>
      <c r="C34" s="107" t="s">
        <v>305</v>
      </c>
      <c r="D34" s="137"/>
      <c r="E34" s="132" t="s">
        <v>229</v>
      </c>
      <c r="F34" s="133" t="s">
        <v>76</v>
      </c>
      <c r="G34" s="134">
        <v>100.0</v>
      </c>
      <c r="H34" s="22">
        <f>IF(OR(J34="",K34="",K34&lt;J34),0,NETWORKDAYS(J34,K34,fESTIVOS!$A$2:$A$53))
</f>
        <v>0</v>
      </c>
      <c r="I34" s="135">
        <v>45800.0</v>
      </c>
      <c r="J34" s="60">
        <v>45813.0</v>
      </c>
      <c r="K34" s="60"/>
      <c r="L34" s="60">
        <v>45835.0</v>
      </c>
      <c r="M34" s="27">
        <f>IF(OR(J34="",AND(L34="",TODAY()&lt;J34),AND(L34&lt;&gt;"",L34&lt;J34)),0,
   IF(L34="",
      NETWORKDAYS(J34,TODAY(),fESTIVOS!$A$2:$A$53),
      NETWORKDAYS(J34,L34,fESTIVOS!$A$2:$A$53)
   )
)
</f>
        <v>16</v>
      </c>
      <c r="N34" s="28"/>
      <c r="O34" s="81">
        <v>45813.0</v>
      </c>
      <c r="P34" s="61">
        <v>45835.0</v>
      </c>
      <c r="Q34" s="125"/>
      <c r="R34" s="31" t="s">
        <v>78</v>
      </c>
      <c r="S34" s="136"/>
      <c r="T34" s="136"/>
      <c r="U34" s="109"/>
      <c r="V34" s="34"/>
      <c r="W34" s="34"/>
      <c r="X34" s="35"/>
      <c r="Y34" s="35"/>
      <c r="Z34" s="35"/>
      <c r="AA34" s="34"/>
      <c r="AB34" s="34"/>
      <c r="AC34" s="35"/>
      <c r="AD34" s="34"/>
      <c r="AE34" s="34"/>
      <c r="AF34" s="34"/>
      <c r="AG34" s="34" t="s">
        <v>306</v>
      </c>
      <c r="AH34" s="35"/>
      <c r="AI34" s="37" t="s">
        <v>293</v>
      </c>
      <c r="AJ34" s="37"/>
      <c r="AK34" s="37" t="s">
        <v>307</v>
      </c>
      <c r="AL34" s="37" t="s">
        <v>308</v>
      </c>
      <c r="AM34" s="37" t="s">
        <v>309</v>
      </c>
      <c r="AN34" s="37" t="s">
        <v>310</v>
      </c>
      <c r="AO34" s="37"/>
      <c r="AP34" s="37"/>
      <c r="AQ34" s="37"/>
      <c r="AR34" s="37"/>
      <c r="AS34" s="37" t="s">
        <v>311</v>
      </c>
      <c r="AT34" s="37"/>
      <c r="AU34" s="37" t="s">
        <v>312</v>
      </c>
      <c r="AV34" s="37"/>
      <c r="AW34" s="37" t="s">
        <v>313</v>
      </c>
      <c r="AX34" s="37"/>
      <c r="AY34" s="37"/>
      <c r="AZ34" s="37"/>
      <c r="BA34" s="37"/>
      <c r="BB34" s="37"/>
      <c r="BC34" s="37"/>
      <c r="BD34" s="37"/>
      <c r="BE34" s="37"/>
      <c r="BF34" s="37"/>
      <c r="BG34" s="37"/>
      <c r="BH34" s="37"/>
      <c r="BI34" s="37"/>
      <c r="BJ34" s="37"/>
      <c r="BK34" s="37"/>
      <c r="BL34" s="37"/>
      <c r="BM34" s="37"/>
      <c r="BN34" s="37"/>
      <c r="BO34" s="37"/>
    </row>
    <row r="35" ht="29.25" hidden="1" customHeight="1">
      <c r="A35" s="55" t="s">
        <v>157</v>
      </c>
      <c r="B35" s="138" t="s">
        <v>314</v>
      </c>
      <c r="C35" s="107" t="s">
        <v>315</v>
      </c>
      <c r="D35" s="76"/>
      <c r="E35" s="124"/>
      <c r="F35" s="85" t="s">
        <v>123</v>
      </c>
      <c r="G35" s="58">
        <v>90.0</v>
      </c>
      <c r="H35" s="22">
        <f>IF(OR(J35="",K35="",K35&lt;J35),0,NETWORKDAYS(J35,K35,fESTIVOS!$A$2:$A$53))
</f>
        <v>3</v>
      </c>
      <c r="I35" s="81">
        <v>45772.0</v>
      </c>
      <c r="J35" s="60">
        <v>45775.0</v>
      </c>
      <c r="K35" s="60">
        <v>45777.0</v>
      </c>
      <c r="L35" s="60"/>
      <c r="M35" s="27">
        <f>IF(OR(J35="",AND(L35="",TODAY()&lt;J35),AND(L35&lt;&gt;"",L35&lt;J35)),0,
   IF(L35="",
      NETWORKDAYS(J35,TODAY(),fESTIVOS!$A$2:$A$53),
      NETWORKDAYS(J35,L35,fESTIVOS!$A$2:$A$53)
   )
)
</f>
        <v>277</v>
      </c>
      <c r="N35" s="28"/>
      <c r="O35" s="81"/>
      <c r="P35" s="61"/>
      <c r="Q35" s="34" t="s">
        <v>316</v>
      </c>
      <c r="R35" s="31" t="s">
        <v>93</v>
      </c>
      <c r="S35" s="139"/>
      <c r="T35" s="139"/>
      <c r="U35" s="102"/>
      <c r="V35" s="34" t="s">
        <v>317</v>
      </c>
      <c r="W35" s="88" t="s">
        <v>318</v>
      </c>
      <c r="X35" s="88" t="s">
        <v>319</v>
      </c>
      <c r="Y35" s="89"/>
      <c r="Z35" s="89"/>
      <c r="AA35" s="89"/>
      <c r="AB35" s="89"/>
      <c r="AC35" s="89"/>
      <c r="AD35" s="89"/>
      <c r="AE35" s="88" t="s">
        <v>320</v>
      </c>
      <c r="AF35" s="89"/>
      <c r="AG35" s="89"/>
      <c r="AH35" s="89"/>
      <c r="AI35" s="90"/>
      <c r="AJ35" s="90"/>
      <c r="AK35" s="90"/>
      <c r="AL35" s="90"/>
      <c r="AM35" s="90"/>
      <c r="AN35" s="90"/>
      <c r="AO35" s="90"/>
      <c r="AP35" s="90"/>
      <c r="AQ35" s="90"/>
      <c r="AR35" s="90"/>
      <c r="AS35" s="90"/>
      <c r="AT35" s="90"/>
      <c r="AU35" s="90"/>
      <c r="AV35" s="90"/>
      <c r="AW35" s="90"/>
      <c r="AX35" s="90"/>
      <c r="AY35" s="90"/>
      <c r="AZ35" s="91" t="s">
        <v>321</v>
      </c>
      <c r="BA35" s="91" t="s">
        <v>322</v>
      </c>
      <c r="BB35" s="91"/>
      <c r="BC35" s="91"/>
      <c r="BD35" s="91" t="s">
        <v>323</v>
      </c>
      <c r="BE35" s="91"/>
      <c r="BF35" s="91" t="s">
        <v>324</v>
      </c>
      <c r="BG35" s="91"/>
      <c r="BH35" s="91" t="s">
        <v>325</v>
      </c>
      <c r="BI35" s="91" t="s">
        <v>326</v>
      </c>
      <c r="BJ35" s="91" t="s">
        <v>327</v>
      </c>
      <c r="BK35" s="91" t="s">
        <v>328</v>
      </c>
      <c r="BL35" s="91"/>
      <c r="BM35" s="91"/>
      <c r="BN35" s="91"/>
      <c r="BO35" s="91"/>
    </row>
    <row r="36" ht="29.25" hidden="1" customHeight="1">
      <c r="A36" s="16" t="s">
        <v>67</v>
      </c>
      <c r="B36" s="17" t="s">
        <v>329</v>
      </c>
      <c r="C36" s="107" t="s">
        <v>330</v>
      </c>
      <c r="D36" s="76"/>
      <c r="E36" s="124"/>
      <c r="F36" s="85" t="s">
        <v>76</v>
      </c>
      <c r="G36" s="58">
        <v>100.0</v>
      </c>
      <c r="H36" s="22">
        <f>IF(OR(J36="",K36="",K36&lt;J36),0,NETWORKDAYS(J36,K36,fESTIVOS!$A$2:$A$53))
</f>
        <v>2</v>
      </c>
      <c r="I36" s="81">
        <v>45827.0</v>
      </c>
      <c r="J36" s="60">
        <v>45827.0</v>
      </c>
      <c r="K36" s="60">
        <v>45828.0</v>
      </c>
      <c r="L36" s="60">
        <v>45867.0</v>
      </c>
      <c r="M36" s="27">
        <f>IF(OR(J36="",AND(L36="",TODAY()&lt;J36),AND(L36&lt;&gt;"",L36&lt;J36)),0,
   IF(L36="",
      NETWORKDAYS(J36,TODAY(),fESTIVOS!$A$2:$A$53),
      NETWORKDAYS(J36,L36,fESTIVOS!$A$2:$A$53)
   )
)
</f>
        <v>27</v>
      </c>
      <c r="N36" s="28"/>
      <c r="O36" s="81"/>
      <c r="P36" s="100"/>
      <c r="Q36" s="103"/>
      <c r="R36" s="31" t="s">
        <v>78</v>
      </c>
      <c r="S36" s="139"/>
      <c r="T36" s="139"/>
      <c r="U36" s="102"/>
      <c r="V36" s="103"/>
      <c r="W36" s="103"/>
      <c r="X36" s="34"/>
      <c r="Y36" s="35"/>
      <c r="Z36" s="35"/>
      <c r="AA36" s="34"/>
      <c r="AB36" s="35"/>
      <c r="AC36" s="35"/>
      <c r="AD36" s="35"/>
      <c r="AE36" s="35"/>
      <c r="AF36" s="35"/>
      <c r="AG36" s="35"/>
      <c r="AH36" s="35"/>
      <c r="AI36" s="37"/>
      <c r="AJ36" s="37"/>
      <c r="AK36" s="37"/>
      <c r="AL36" s="37"/>
      <c r="AM36" s="37"/>
      <c r="AN36" s="37"/>
      <c r="AO36" s="37"/>
      <c r="AP36" s="37"/>
      <c r="AQ36" s="37"/>
      <c r="AR36" s="37" t="s">
        <v>331</v>
      </c>
      <c r="AS36" s="37" t="s">
        <v>332</v>
      </c>
      <c r="AT36" s="37"/>
      <c r="AU36" s="37" t="s">
        <v>333</v>
      </c>
      <c r="AV36" s="37"/>
      <c r="AW36" s="37"/>
      <c r="AX36" s="37"/>
      <c r="AY36" s="37"/>
      <c r="AZ36" s="37"/>
      <c r="BA36" s="37"/>
      <c r="BB36" s="37"/>
      <c r="BC36" s="37"/>
      <c r="BD36" s="37"/>
      <c r="BE36" s="37"/>
      <c r="BF36" s="37"/>
      <c r="BG36" s="37"/>
      <c r="BH36" s="37"/>
      <c r="BI36" s="37"/>
      <c r="BJ36" s="37" t="s">
        <v>334</v>
      </c>
      <c r="BK36" s="37" t="s">
        <v>335</v>
      </c>
      <c r="BL36" s="37"/>
      <c r="BM36" s="37" t="s">
        <v>336</v>
      </c>
      <c r="BN36" s="37"/>
      <c r="BO36" s="37"/>
    </row>
    <row r="37" ht="29.25" hidden="1" customHeight="1">
      <c r="A37" s="16" t="s">
        <v>67</v>
      </c>
      <c r="B37" s="17" t="s">
        <v>337</v>
      </c>
      <c r="C37" s="107" t="s">
        <v>338</v>
      </c>
      <c r="D37" s="76"/>
      <c r="E37" s="124"/>
      <c r="F37" s="85" t="s">
        <v>76</v>
      </c>
      <c r="G37" s="58">
        <v>100.0</v>
      </c>
      <c r="H37" s="22">
        <f>IF(OR(J37="",K37="",K37&lt;J37),0,NETWORKDAYS(J37,K37,fESTIVOS!$A$2:$A$53))
</f>
        <v>0</v>
      </c>
      <c r="I37" s="81">
        <v>45785.0</v>
      </c>
      <c r="J37" s="60">
        <v>45791.0</v>
      </c>
      <c r="K37" s="60"/>
      <c r="L37" s="60">
        <v>45972.0</v>
      </c>
      <c r="M37" s="27">
        <f>IF(OR(J37="",AND(L37="",TODAY()&lt;J37),AND(L37&lt;&gt;"",L37&lt;J37)),0,
   IF(L37="",
      NETWORKDAYS(J37,TODAY(),fESTIVOS!$A$2:$A$53),
      NETWORKDAYS(J37,L37,fESTIVOS!$A$2:$A$53)
   )
)
</f>
        <v>123</v>
      </c>
      <c r="N37" s="28"/>
      <c r="O37" s="81"/>
      <c r="P37" s="100"/>
      <c r="Q37" s="34" t="s">
        <v>339</v>
      </c>
      <c r="R37" s="31" t="s">
        <v>78</v>
      </c>
      <c r="S37" s="139"/>
      <c r="T37" s="139"/>
      <c r="U37" s="102"/>
      <c r="V37" s="103"/>
      <c r="W37" s="103"/>
      <c r="X37" s="103"/>
      <c r="Y37" s="103"/>
      <c r="Z37" s="103"/>
      <c r="AA37" s="34" t="s">
        <v>340</v>
      </c>
      <c r="AB37" s="34" t="s">
        <v>341</v>
      </c>
      <c r="AC37" s="35"/>
      <c r="AD37" s="34" t="s">
        <v>342</v>
      </c>
      <c r="AE37" s="34" t="s">
        <v>343</v>
      </c>
      <c r="AF37" s="34" t="s">
        <v>344</v>
      </c>
      <c r="AG37" s="34" t="s">
        <v>345</v>
      </c>
      <c r="AH37" s="34" t="s">
        <v>346</v>
      </c>
      <c r="AI37" s="37" t="s">
        <v>347</v>
      </c>
      <c r="AJ37" s="37" t="s">
        <v>348</v>
      </c>
      <c r="AK37" s="37" t="s">
        <v>349</v>
      </c>
      <c r="AL37" s="37"/>
      <c r="AM37" s="37"/>
      <c r="AN37" s="37" t="s">
        <v>350</v>
      </c>
      <c r="AO37" s="37"/>
      <c r="AP37" s="37"/>
      <c r="AQ37" s="37" t="s">
        <v>351</v>
      </c>
      <c r="AR37" s="37" t="s">
        <v>352</v>
      </c>
      <c r="AS37" s="37"/>
      <c r="AT37" s="37"/>
      <c r="AU37" s="37" t="s">
        <v>353</v>
      </c>
      <c r="AV37" s="37"/>
      <c r="AW37" s="37"/>
      <c r="AX37" s="37" t="s">
        <v>354</v>
      </c>
      <c r="AY37" s="37"/>
      <c r="AZ37" s="37"/>
      <c r="BA37" s="37"/>
      <c r="BB37" s="37"/>
      <c r="BC37" s="37" t="s">
        <v>355</v>
      </c>
      <c r="BD37" s="37"/>
      <c r="BE37" s="37"/>
      <c r="BF37" s="37"/>
      <c r="BG37" s="37"/>
      <c r="BH37" s="37"/>
      <c r="BI37" s="37" t="s">
        <v>356</v>
      </c>
      <c r="BJ37" s="37" t="s">
        <v>357</v>
      </c>
      <c r="BK37" s="37" t="s">
        <v>358</v>
      </c>
      <c r="BL37" s="140" t="s">
        <v>359</v>
      </c>
      <c r="BM37" s="140"/>
      <c r="BN37" s="140" t="s">
        <v>360</v>
      </c>
      <c r="BO37" s="140"/>
    </row>
    <row r="38" ht="29.25" hidden="1" customHeight="1">
      <c r="A38" s="92" t="s">
        <v>157</v>
      </c>
      <c r="B38" s="93" t="s">
        <v>361</v>
      </c>
      <c r="C38" s="141" t="s">
        <v>362</v>
      </c>
      <c r="D38" s="121" t="s">
        <v>363</v>
      </c>
      <c r="E38" s="96"/>
      <c r="F38" s="122" t="s">
        <v>76</v>
      </c>
      <c r="G38" s="97">
        <v>100.0</v>
      </c>
      <c r="H38" s="22">
        <f>IF(OR(J38="",K38="",K38&lt;J38),0,NETWORKDAYS(J38,K38,fESTIVOS!$A$2:$A$53))
</f>
        <v>0</v>
      </c>
      <c r="I38" s="98">
        <v>46002.0</v>
      </c>
      <c r="J38" s="99">
        <v>46003.0</v>
      </c>
      <c r="K38" s="99"/>
      <c r="L38" s="99">
        <v>46003.0</v>
      </c>
      <c r="M38" s="27">
        <f>IF(OR(J38="",AND(L38="",TODAY()&lt;J38),AND(L38&lt;&gt;"",L38&lt;J38)),0,
   IF(L38="",
      NETWORKDAYS(J38,TODAY(),fESTIVOS!$A$2:$A$53),
      NETWORKDAYS(J38,L38,fESTIVOS!$A$2:$A$53)
   )
)
</f>
        <v>1</v>
      </c>
      <c r="N38" s="28"/>
      <c r="O38" s="98"/>
      <c r="P38" s="100"/>
      <c r="Q38" s="34" t="s">
        <v>364</v>
      </c>
      <c r="R38" s="31" t="s">
        <v>78</v>
      </c>
      <c r="S38" s="101"/>
      <c r="T38" s="97"/>
      <c r="U38" s="102"/>
      <c r="V38" s="103"/>
      <c r="W38" s="103"/>
      <c r="X38" s="103"/>
      <c r="Y38" s="103"/>
      <c r="Z38" s="103"/>
      <c r="AA38" s="103"/>
      <c r="AB38" s="103"/>
      <c r="AC38" s="103"/>
      <c r="AD38" s="103"/>
      <c r="AE38" s="103"/>
      <c r="AF38" s="103"/>
      <c r="AG38" s="103"/>
      <c r="AH38" s="103"/>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row>
    <row r="39" ht="29.25" hidden="1" customHeight="1">
      <c r="A39" s="92" t="s">
        <v>157</v>
      </c>
      <c r="B39" s="110" t="s">
        <v>365</v>
      </c>
      <c r="C39" s="120" t="s">
        <v>366</v>
      </c>
      <c r="D39" s="121" t="s">
        <v>367</v>
      </c>
      <c r="E39" s="96"/>
      <c r="F39" s="122" t="s">
        <v>76</v>
      </c>
      <c r="G39" s="97">
        <v>100.0</v>
      </c>
      <c r="H39" s="22">
        <f>IF(OR(J39="",K39="",K39&lt;J39),0,NETWORKDAYS(J39,K39,fESTIVOS!$A$2:$A$53))
</f>
        <v>0</v>
      </c>
      <c r="I39" s="98">
        <v>46003.0</v>
      </c>
      <c r="J39" s="99">
        <v>46006.0</v>
      </c>
      <c r="K39" s="99"/>
      <c r="L39" s="99">
        <v>46007.0</v>
      </c>
      <c r="M39" s="27">
        <f>IF(OR(J39="",AND(L39="",TODAY()&lt;J39),AND(L39&lt;&gt;"",L39&lt;J39)),0,
   IF(L39="",
      NETWORKDAYS(J39,TODAY(),fESTIVOS!$A$2:$A$53),
      NETWORKDAYS(J39,L39,fESTIVOS!$A$2:$A$53)
   )
)
</f>
        <v>2</v>
      </c>
      <c r="N39" s="28"/>
      <c r="O39" s="98"/>
      <c r="P39" s="100"/>
      <c r="Q39" s="34" t="s">
        <v>368</v>
      </c>
      <c r="R39" s="31" t="s">
        <v>78</v>
      </c>
      <c r="S39" s="101"/>
      <c r="T39" s="97"/>
      <c r="U39" s="102"/>
      <c r="V39" s="103"/>
      <c r="W39" s="103"/>
      <c r="X39" s="103"/>
      <c r="Y39" s="103"/>
      <c r="Z39" s="103"/>
      <c r="AA39" s="103"/>
      <c r="AB39" s="103"/>
      <c r="AC39" s="103"/>
      <c r="AD39" s="103"/>
      <c r="AE39" s="103"/>
      <c r="AF39" s="103"/>
      <c r="AG39" s="103"/>
      <c r="AH39" s="103"/>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row>
    <row r="40" ht="29.25" hidden="1" customHeight="1">
      <c r="A40" s="55" t="s">
        <v>157</v>
      </c>
      <c r="B40" s="93" t="s">
        <v>369</v>
      </c>
      <c r="C40" s="142" t="s">
        <v>370</v>
      </c>
      <c r="D40" s="76" t="s">
        <v>371</v>
      </c>
      <c r="E40" s="84"/>
      <c r="F40" s="85" t="s">
        <v>76</v>
      </c>
      <c r="G40" s="58">
        <v>100.0</v>
      </c>
      <c r="H40" s="22">
        <f>IF(OR(J40="",K40="",K40&lt;J40),0,NETWORKDAYS(J40,K40,fESTIVOS!$A$2:$A$53))
</f>
        <v>0</v>
      </c>
      <c r="I40" s="81">
        <v>45918.0</v>
      </c>
      <c r="J40" s="60">
        <v>45929.0</v>
      </c>
      <c r="K40" s="60"/>
      <c r="L40" s="60">
        <v>45930.0</v>
      </c>
      <c r="M40" s="27">
        <f>IF(OR(J40="",AND(L40="",TODAY()&lt;J40),AND(L40&lt;&gt;"",L40&lt;J40)),0,
   IF(L40="",
      NETWORKDAYS(J40,TODAY(),fESTIVOS!$A$2:$A$53),
      NETWORKDAYS(J40,L40,fESTIVOS!$A$2:$A$53)
   )
)
</f>
        <v>2</v>
      </c>
      <c r="N40" s="28"/>
      <c r="O40" s="81">
        <v>45930.0</v>
      </c>
      <c r="P40" s="61">
        <v>46009.0</v>
      </c>
      <c r="Q40" s="86" t="s">
        <v>372</v>
      </c>
      <c r="R40" s="31" t="s">
        <v>78</v>
      </c>
      <c r="S40" s="58"/>
      <c r="T40" s="58"/>
      <c r="U40" s="109"/>
      <c r="V40" s="88" t="s">
        <v>373</v>
      </c>
      <c r="W40" s="87"/>
      <c r="X40" s="88"/>
      <c r="Y40" s="89"/>
      <c r="Z40" s="88"/>
      <c r="AA40" s="88"/>
      <c r="AB40" s="88"/>
      <c r="AC40" s="89"/>
      <c r="AD40" s="89"/>
      <c r="AE40" s="89"/>
      <c r="AF40" s="89"/>
      <c r="AG40" s="89"/>
      <c r="AH40" s="89"/>
      <c r="AI40" s="90"/>
      <c r="AJ40" s="90"/>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row>
    <row r="41" ht="29.25" hidden="1" customHeight="1">
      <c r="A41" s="55" t="s">
        <v>128</v>
      </c>
      <c r="B41" s="17" t="s">
        <v>374</v>
      </c>
      <c r="C41" s="107" t="s">
        <v>375</v>
      </c>
      <c r="D41" s="143"/>
      <c r="E41" s="144"/>
      <c r="F41" s="63" t="s">
        <v>76</v>
      </c>
      <c r="G41" s="58">
        <v>100.0</v>
      </c>
      <c r="H41" s="22">
        <f>IF(OR(J41="",K41="",K41&lt;J41),0,NETWORKDAYS(J41,K41,fESTIVOS!$A$2:$A$53))
</f>
        <v>0</v>
      </c>
      <c r="I41" s="81">
        <v>45806.0</v>
      </c>
      <c r="J41" s="60">
        <v>45806.0</v>
      </c>
      <c r="K41" s="60"/>
      <c r="L41" s="60">
        <v>45835.0</v>
      </c>
      <c r="M41" s="27">
        <f>IF(OR(J41="",AND(L41="",TODAY()&lt;J41),AND(L41&lt;&gt;"",L41&lt;J41)),0,
   IF(L41="",
      NETWORKDAYS(J41,TODAY(),fESTIVOS!$A$2:$A$53),
      NETWORKDAYS(J41,L41,fESTIVOS!$A$2:$A$53)
   )
)
</f>
        <v>20</v>
      </c>
      <c r="N41" s="28"/>
      <c r="O41" s="81"/>
      <c r="P41" s="100"/>
      <c r="Q41" s="103"/>
      <c r="R41" s="31" t="s">
        <v>78</v>
      </c>
      <c r="S41" s="139"/>
      <c r="T41" s="139"/>
      <c r="U41" s="102"/>
      <c r="V41" s="103"/>
      <c r="W41" s="103"/>
      <c r="X41" s="103"/>
      <c r="Y41" s="103"/>
      <c r="Z41" s="103"/>
      <c r="AA41" s="103"/>
      <c r="AB41" s="103"/>
      <c r="AC41" s="103"/>
      <c r="AD41" s="103"/>
      <c r="AE41" s="103"/>
      <c r="AF41" s="103"/>
      <c r="AG41" s="103"/>
      <c r="AH41" s="103"/>
      <c r="AI41" s="103"/>
      <c r="AJ41" s="34" t="s">
        <v>376</v>
      </c>
      <c r="AK41" s="37" t="s">
        <v>377</v>
      </c>
      <c r="AL41" s="37" t="s">
        <v>378</v>
      </c>
      <c r="AM41" s="37" t="s">
        <v>379</v>
      </c>
      <c r="AN41" s="37" t="s">
        <v>380</v>
      </c>
      <c r="AO41" s="37" t="s">
        <v>381</v>
      </c>
      <c r="AP41" s="37"/>
      <c r="AQ41" s="37"/>
      <c r="AR41" s="37"/>
      <c r="AS41" s="37" t="s">
        <v>382</v>
      </c>
      <c r="AT41" s="37"/>
      <c r="AU41" s="37" t="s">
        <v>383</v>
      </c>
      <c r="AV41" s="37"/>
      <c r="AW41" s="37"/>
      <c r="AX41" s="37"/>
      <c r="AY41" s="37"/>
      <c r="AZ41" s="37"/>
      <c r="BA41" s="37"/>
      <c r="BB41" s="37"/>
      <c r="BC41" s="37"/>
      <c r="BD41" s="37"/>
      <c r="BE41" s="37"/>
      <c r="BF41" s="37"/>
      <c r="BG41" s="37"/>
      <c r="BH41" s="37"/>
      <c r="BI41" s="37"/>
      <c r="BJ41" s="37"/>
      <c r="BK41" s="37"/>
      <c r="BL41" s="37"/>
      <c r="BM41" s="37"/>
      <c r="BN41" s="37"/>
      <c r="BO41" s="37"/>
    </row>
    <row r="42" ht="29.25" hidden="1" customHeight="1">
      <c r="A42" s="55" t="s">
        <v>157</v>
      </c>
      <c r="B42" s="93" t="s">
        <v>384</v>
      </c>
      <c r="C42" s="107" t="s">
        <v>385</v>
      </c>
      <c r="D42" s="143"/>
      <c r="E42" s="144"/>
      <c r="F42" s="63" t="s">
        <v>76</v>
      </c>
      <c r="G42" s="58">
        <v>100.0</v>
      </c>
      <c r="H42" s="22">
        <f>IF(OR(J42="",K42="",K42&lt;J42),0,NETWORKDAYS(J42,K42,fESTIVOS!$A$2:$A$53))
</f>
        <v>0</v>
      </c>
      <c r="I42" s="81">
        <v>45834.0</v>
      </c>
      <c r="J42" s="60">
        <v>45834.0</v>
      </c>
      <c r="K42" s="60"/>
      <c r="L42" s="60">
        <v>45834.0</v>
      </c>
      <c r="M42" s="27">
        <f>IF(OR(J42="",AND(L42="",TODAY()&lt;J42),AND(L42&lt;&gt;"",L42&lt;J42)),0,
   IF(L42="",
      NETWORKDAYS(J42,TODAY(),fESTIVOS!$A$2:$A$53),
      NETWORKDAYS(J42,L42,fESTIVOS!$A$2:$A$53)
   )
)
</f>
        <v>1</v>
      </c>
      <c r="N42" s="28"/>
      <c r="O42" s="81"/>
      <c r="P42" s="100"/>
      <c r="Q42" s="103"/>
      <c r="R42" s="31" t="s">
        <v>78</v>
      </c>
      <c r="S42" s="139"/>
      <c r="T42" s="139"/>
      <c r="U42" s="102"/>
      <c r="V42" s="103"/>
      <c r="W42" s="103"/>
      <c r="X42" s="103"/>
      <c r="Y42" s="103"/>
      <c r="Z42" s="103"/>
      <c r="AA42" s="103"/>
      <c r="AB42" s="103"/>
      <c r="AC42" s="103"/>
      <c r="AD42" s="103"/>
      <c r="AE42" s="103"/>
      <c r="AF42" s="103"/>
      <c r="AG42" s="103"/>
      <c r="AH42" s="103"/>
      <c r="AI42" s="103"/>
      <c r="AJ42" s="103"/>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row>
    <row r="43" ht="29.25" hidden="1" customHeight="1">
      <c r="A43" s="55" t="s">
        <v>157</v>
      </c>
      <c r="B43" s="17" t="s">
        <v>386</v>
      </c>
      <c r="C43" s="107" t="s">
        <v>387</v>
      </c>
      <c r="D43" s="115"/>
      <c r="E43" s="144"/>
      <c r="F43" s="63" t="s">
        <v>76</v>
      </c>
      <c r="G43" s="58">
        <v>100.0</v>
      </c>
      <c r="H43" s="22">
        <f>IF(OR(J43="",K43="",K43&lt;J43),0,NETWORKDAYS(J43,K43,fESTIVOS!$A$2:$A$53))
</f>
        <v>0</v>
      </c>
      <c r="I43" s="81">
        <v>45846.0</v>
      </c>
      <c r="J43" s="60">
        <v>45848.0</v>
      </c>
      <c r="K43" s="60"/>
      <c r="L43" s="60">
        <v>45848.0</v>
      </c>
      <c r="M43" s="27">
        <f>IF(OR(J43="",AND(L43="",TODAY()&lt;J43),AND(L43&lt;&gt;"",L43&lt;J43)),0,
   IF(L43="",
      NETWORKDAYS(J43,TODAY(),fESTIVOS!$A$2:$A$53),
      NETWORKDAYS(J43,L43,fESTIVOS!$A$2:$A$53)
   )
)
</f>
        <v>1</v>
      </c>
      <c r="N43" s="28"/>
      <c r="O43" s="81"/>
      <c r="P43" s="100"/>
      <c r="Q43" s="103"/>
      <c r="R43" s="31" t="s">
        <v>78</v>
      </c>
      <c r="S43" s="139"/>
      <c r="T43" s="139"/>
      <c r="U43" s="102"/>
      <c r="V43" s="103"/>
      <c r="W43" s="103"/>
      <c r="X43" s="103"/>
      <c r="Y43" s="103"/>
      <c r="Z43" s="103"/>
      <c r="AA43" s="103"/>
      <c r="AB43" s="103"/>
      <c r="AC43" s="103"/>
      <c r="AD43" s="103"/>
      <c r="AE43" s="103"/>
      <c r="AF43" s="103"/>
      <c r="AG43" s="103"/>
      <c r="AH43" s="103"/>
      <c r="AI43" s="103"/>
      <c r="AJ43" s="103"/>
      <c r="AK43" s="37"/>
      <c r="AL43" s="37"/>
      <c r="AM43" s="37"/>
      <c r="AN43" s="37"/>
      <c r="AO43" s="37"/>
      <c r="AP43" s="37"/>
      <c r="AQ43" s="37"/>
      <c r="AR43" s="37"/>
      <c r="AS43" s="37"/>
      <c r="AT43" s="37"/>
      <c r="AU43" s="37"/>
      <c r="AV43" s="37"/>
      <c r="AW43" s="37"/>
      <c r="AX43" s="37"/>
      <c r="AY43" s="37"/>
      <c r="AZ43" s="37"/>
      <c r="BA43" s="37"/>
      <c r="BB43" s="37" t="s">
        <v>388</v>
      </c>
      <c r="BC43" s="37"/>
      <c r="BD43" s="37"/>
      <c r="BE43" s="37"/>
      <c r="BF43" s="37"/>
      <c r="BG43" s="37"/>
      <c r="BH43" s="37"/>
      <c r="BI43" s="37"/>
      <c r="BJ43" s="37"/>
      <c r="BK43" s="37"/>
      <c r="BL43" s="37"/>
      <c r="BM43" s="37"/>
      <c r="BN43" s="37"/>
      <c r="BO43" s="37"/>
    </row>
    <row r="44" ht="29.25" hidden="1" customHeight="1">
      <c r="A44" s="55" t="s">
        <v>67</v>
      </c>
      <c r="B44" s="93" t="s">
        <v>389</v>
      </c>
      <c r="C44" s="107" t="s">
        <v>390</v>
      </c>
      <c r="D44" s="143"/>
      <c r="E44" s="144"/>
      <c r="F44" s="63" t="s">
        <v>76</v>
      </c>
      <c r="G44" s="58">
        <v>100.0</v>
      </c>
      <c r="H44" s="22">
        <f>IF(OR(J44="",K44="",K44&lt;J44),0,NETWORKDAYS(J44,K44,fESTIVOS!$A$2:$A$53))
</f>
        <v>0</v>
      </c>
      <c r="I44" s="81">
        <v>45835.0</v>
      </c>
      <c r="J44" s="60">
        <v>45840.0</v>
      </c>
      <c r="K44" s="60"/>
      <c r="L44" s="60">
        <v>45915.0</v>
      </c>
      <c r="M44" s="27">
        <f>IF(OR(J44="",AND(L44="",TODAY()&lt;J44),AND(L44&lt;&gt;"",L44&lt;J44)),0,
   IF(L44="",
      NETWORKDAYS(J44,TODAY(),fESTIVOS!$A$2:$A$53),
      NETWORKDAYS(J44,L44,fESTIVOS!$A$2:$A$53)
   )
)
</f>
        <v>52</v>
      </c>
      <c r="N44" s="28"/>
      <c r="O44" s="81">
        <v>45916.0</v>
      </c>
      <c r="P44" s="100">
        <v>45929.0</v>
      </c>
      <c r="Q44" s="34" t="s">
        <v>391</v>
      </c>
      <c r="R44" s="31" t="s">
        <v>78</v>
      </c>
      <c r="S44" s="139"/>
      <c r="T44" s="139"/>
      <c r="U44" s="102"/>
      <c r="V44" s="103"/>
      <c r="W44" s="103"/>
      <c r="X44" s="103"/>
      <c r="Y44" s="103"/>
      <c r="Z44" s="103"/>
      <c r="AA44" s="103"/>
      <c r="AB44" s="103"/>
      <c r="AC44" s="103"/>
      <c r="AD44" s="103"/>
      <c r="AE44" s="103"/>
      <c r="AF44" s="103"/>
      <c r="AG44" s="103"/>
      <c r="AH44" s="103"/>
      <c r="AI44" s="103"/>
      <c r="AJ44" s="103"/>
      <c r="AK44" s="37"/>
      <c r="AL44" s="37"/>
      <c r="AM44" s="37"/>
      <c r="AN44" s="37"/>
      <c r="AO44" s="37"/>
      <c r="AP44" s="37"/>
      <c r="AQ44" s="37"/>
      <c r="AR44" s="37"/>
      <c r="AS44" s="37"/>
      <c r="AT44" s="37" t="s">
        <v>392</v>
      </c>
      <c r="AU44" s="37"/>
      <c r="AV44" s="37"/>
      <c r="AW44" s="37" t="s">
        <v>393</v>
      </c>
      <c r="AX44" s="37"/>
      <c r="AY44" s="37" t="s">
        <v>394</v>
      </c>
      <c r="AZ44" s="37" t="s">
        <v>395</v>
      </c>
      <c r="BA44" s="37"/>
      <c r="BB44" s="37"/>
      <c r="BC44" s="37"/>
      <c r="BD44" s="37" t="s">
        <v>396</v>
      </c>
      <c r="BE44" s="37" t="s">
        <v>397</v>
      </c>
      <c r="BF44" s="37" t="s">
        <v>398</v>
      </c>
      <c r="BG44" s="37"/>
      <c r="BH44" s="37" t="s">
        <v>399</v>
      </c>
      <c r="BI44" s="37"/>
      <c r="BJ44" s="37"/>
      <c r="BK44" s="37" t="s">
        <v>400</v>
      </c>
      <c r="BL44" s="37"/>
      <c r="BM44" s="37"/>
      <c r="BN44" s="37"/>
      <c r="BO44" s="37"/>
    </row>
    <row r="45" ht="29.25" hidden="1" customHeight="1">
      <c r="A45" s="55" t="s">
        <v>157</v>
      </c>
      <c r="B45" s="93" t="s">
        <v>401</v>
      </c>
      <c r="C45" s="107" t="s">
        <v>402</v>
      </c>
      <c r="D45" s="143"/>
      <c r="E45" s="144"/>
      <c r="F45" s="63" t="s">
        <v>76</v>
      </c>
      <c r="G45" s="58">
        <v>100.0</v>
      </c>
      <c r="H45" s="22">
        <f>IF(OR(J45="",K45="",K45&lt;J45),0,NETWORKDAYS(J45,K45,fESTIVOS!$A$2:$A$53))
</f>
        <v>1</v>
      </c>
      <c r="I45" s="81">
        <v>45811.0</v>
      </c>
      <c r="J45" s="60">
        <v>45817.0</v>
      </c>
      <c r="K45" s="60">
        <v>45817.0</v>
      </c>
      <c r="L45" s="60">
        <v>45834.0</v>
      </c>
      <c r="M45" s="27">
        <f>IF(OR(J45="",AND(L45="",TODAY()&lt;J45),AND(L45&lt;&gt;"",L45&lt;J45)),0,
   IF(L45="",
      NETWORKDAYS(J45,TODAY(),fESTIVOS!$A$2:$A$53),
      NETWORKDAYS(J45,L45,fESTIVOS!$A$2:$A$53)
   )
)
</f>
        <v>13</v>
      </c>
      <c r="N45" s="28"/>
      <c r="O45" s="81"/>
      <c r="P45" s="100"/>
      <c r="Q45" s="103"/>
      <c r="R45" s="31" t="s">
        <v>78</v>
      </c>
      <c r="S45" s="139"/>
      <c r="T45" s="139"/>
      <c r="U45" s="102"/>
      <c r="V45" s="103"/>
      <c r="W45" s="103"/>
      <c r="X45" s="103"/>
      <c r="Y45" s="103"/>
      <c r="Z45" s="103"/>
      <c r="AA45" s="103"/>
      <c r="AB45" s="103"/>
      <c r="AC45" s="103"/>
      <c r="AD45" s="103"/>
      <c r="AE45" s="103"/>
      <c r="AF45" s="103"/>
      <c r="AG45" s="103"/>
      <c r="AH45" s="103"/>
      <c r="AI45" s="103"/>
      <c r="AJ45" s="103"/>
      <c r="AK45" s="37" t="s">
        <v>403</v>
      </c>
      <c r="AL45" s="37" t="s">
        <v>404</v>
      </c>
      <c r="AM45" s="37" t="s">
        <v>405</v>
      </c>
      <c r="AN45" s="37" t="s">
        <v>406</v>
      </c>
      <c r="AO45" s="37" t="s">
        <v>407</v>
      </c>
      <c r="AP45" s="37" t="s">
        <v>408</v>
      </c>
      <c r="AQ45" s="37" t="s">
        <v>409</v>
      </c>
      <c r="AR45" s="37" t="s">
        <v>410</v>
      </c>
      <c r="AS45" s="37" t="s">
        <v>411</v>
      </c>
      <c r="AT45" s="37" t="s">
        <v>412</v>
      </c>
      <c r="AU45" s="37" t="s">
        <v>413</v>
      </c>
      <c r="AV45" s="37"/>
      <c r="AW45" s="37"/>
      <c r="AX45" s="37"/>
      <c r="AY45" s="37"/>
      <c r="AZ45" s="37"/>
      <c r="BA45" s="37"/>
      <c r="BB45" s="37"/>
      <c r="BC45" s="37"/>
      <c r="BD45" s="37"/>
      <c r="BE45" s="37"/>
      <c r="BF45" s="37"/>
      <c r="BG45" s="37"/>
      <c r="BH45" s="37"/>
      <c r="BI45" s="37"/>
      <c r="BJ45" s="37"/>
      <c r="BK45" s="37"/>
      <c r="BL45" s="37"/>
      <c r="BM45" s="37"/>
      <c r="BN45" s="37"/>
      <c r="BO45" s="37"/>
    </row>
    <row r="46" ht="41.25" hidden="1" customHeight="1">
      <c r="A46" s="55" t="s">
        <v>128</v>
      </c>
      <c r="B46" s="93" t="s">
        <v>414</v>
      </c>
      <c r="C46" s="107" t="s">
        <v>415</v>
      </c>
      <c r="D46" s="115"/>
      <c r="E46" s="145"/>
      <c r="F46" s="63" t="s">
        <v>76</v>
      </c>
      <c r="G46" s="58">
        <v>100.0</v>
      </c>
      <c r="H46" s="22">
        <f>IF(OR(J46="",K46="",K46&lt;J46),0,NETWORKDAYS(J46,K46,fESTIVOS!$A$2:$A$53))
</f>
        <v>0</v>
      </c>
      <c r="I46" s="81">
        <v>45845.0</v>
      </c>
      <c r="J46" s="60">
        <v>45845.0</v>
      </c>
      <c r="K46" s="60"/>
      <c r="L46" s="60">
        <v>45849.0</v>
      </c>
      <c r="M46" s="27">
        <f>IF(OR(J46="",AND(L46="",TODAY()&lt;J46),AND(L46&lt;&gt;"",L46&lt;J46)),0,
   IF(L46="",
      NETWORKDAYS(J46,TODAY(),fESTIVOS!$A$2:$A$53),
      NETWORKDAYS(J46,L46,fESTIVOS!$A$2:$A$53)
   )
)
</f>
        <v>5</v>
      </c>
      <c r="N46" s="28"/>
      <c r="O46" s="81">
        <v>45849.0</v>
      </c>
      <c r="P46" s="100"/>
      <c r="Q46" s="103"/>
      <c r="R46" s="31" t="s">
        <v>78</v>
      </c>
      <c r="S46" s="139"/>
      <c r="T46" s="139"/>
      <c r="U46" s="102"/>
      <c r="V46" s="103"/>
      <c r="W46" s="103"/>
      <c r="X46" s="103"/>
      <c r="Y46" s="103"/>
      <c r="Z46" s="103"/>
      <c r="AA46" s="103"/>
      <c r="AB46" s="103"/>
      <c r="AC46" s="103"/>
      <c r="AD46" s="103"/>
      <c r="AE46" s="103"/>
      <c r="AF46" s="103"/>
      <c r="AG46" s="103"/>
      <c r="AH46" s="103"/>
      <c r="AI46" s="103"/>
      <c r="AJ46" s="103"/>
      <c r="AK46" s="37"/>
      <c r="AL46" s="37"/>
      <c r="AM46" s="37"/>
      <c r="AN46" s="37"/>
      <c r="AO46" s="37"/>
      <c r="AP46" s="37"/>
      <c r="AQ46" s="37"/>
      <c r="AR46" s="37"/>
      <c r="AS46" s="37"/>
      <c r="AT46" s="37"/>
      <c r="AU46" s="37"/>
      <c r="AV46" s="37"/>
      <c r="AW46" s="37"/>
      <c r="AX46" s="37"/>
      <c r="AY46" s="66" t="s">
        <v>416</v>
      </c>
      <c r="AZ46" s="66"/>
      <c r="BA46" s="66" t="s">
        <v>417</v>
      </c>
      <c r="BB46" s="66"/>
      <c r="BC46" s="66" t="s">
        <v>418</v>
      </c>
      <c r="BD46" s="66" t="s">
        <v>419</v>
      </c>
      <c r="BE46" s="66"/>
      <c r="BF46" s="146" t="s">
        <v>153</v>
      </c>
      <c r="BG46" s="146"/>
      <c r="BH46" s="146"/>
      <c r="BI46" s="146"/>
      <c r="BJ46" s="146"/>
      <c r="BK46" s="146"/>
      <c r="BL46" s="146"/>
      <c r="BM46" s="146"/>
      <c r="BN46" s="146"/>
      <c r="BO46" s="146"/>
    </row>
    <row r="47" ht="29.25" hidden="1" customHeight="1">
      <c r="A47" s="92" t="s">
        <v>128</v>
      </c>
      <c r="B47" s="110" t="s">
        <v>420</v>
      </c>
      <c r="C47" s="107" t="s">
        <v>421</v>
      </c>
      <c r="D47" s="95" t="s">
        <v>422</v>
      </c>
      <c r="E47" s="96"/>
      <c r="F47" s="112" t="s">
        <v>76</v>
      </c>
      <c r="G47" s="97">
        <v>100.0</v>
      </c>
      <c r="H47" s="22">
        <f>IF(OR(J47="",K47="",K47&lt;J47),0,NETWORKDAYS(J47,K47,fESTIVOS!$A$2:$A$53))
</f>
        <v>0</v>
      </c>
      <c r="I47" s="98">
        <v>45902.0</v>
      </c>
      <c r="J47" s="99">
        <v>45946.0</v>
      </c>
      <c r="K47" s="99"/>
      <c r="L47" s="99">
        <v>45967.0</v>
      </c>
      <c r="M47" s="27">
        <f>IF(OR(J47="",AND(L47="",TODAY()&lt;J47),AND(L47&lt;&gt;"",L47&lt;J47)),0,
   IF(L47="",
      NETWORKDAYS(J47,TODAY(),fESTIVOS!$A$2:$A$53),
      NETWORKDAYS(J47,L47,fESTIVOS!$A$2:$A$53)
   )
)
</f>
        <v>15</v>
      </c>
      <c r="N47" s="28"/>
      <c r="O47" s="98">
        <v>45967.0</v>
      </c>
      <c r="P47" s="100">
        <v>46003.0</v>
      </c>
      <c r="Q47" s="34" t="s">
        <v>423</v>
      </c>
      <c r="R47" s="31" t="s">
        <v>78</v>
      </c>
      <c r="S47" s="101"/>
      <c r="T47" s="97" t="s">
        <v>424</v>
      </c>
      <c r="U47" s="122" t="s">
        <v>425</v>
      </c>
      <c r="V47" s="103"/>
      <c r="W47" s="103"/>
      <c r="X47" s="103"/>
      <c r="Y47" s="103"/>
      <c r="Z47" s="103"/>
      <c r="AA47" s="103"/>
      <c r="AB47" s="103"/>
      <c r="AC47" s="103"/>
      <c r="AD47" s="103"/>
      <c r="AE47" s="103"/>
      <c r="AF47" s="103"/>
      <c r="AG47" s="103"/>
      <c r="AH47" s="103"/>
      <c r="AI47" s="103"/>
      <c r="AJ47" s="103"/>
      <c r="AK47" s="103"/>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row>
    <row r="48" ht="29.25" hidden="1" customHeight="1">
      <c r="A48" s="92" t="s">
        <v>251</v>
      </c>
      <c r="B48" s="93" t="s">
        <v>426</v>
      </c>
      <c r="C48" s="120" t="s">
        <v>427</v>
      </c>
      <c r="D48" s="95"/>
      <c r="E48" s="96"/>
      <c r="F48" s="122" t="s">
        <v>76</v>
      </c>
      <c r="G48" s="97">
        <v>100.0</v>
      </c>
      <c r="H48" s="22">
        <f>IF(OR(J48="",K48="",K48&lt;J48),0,NETWORKDAYS(J48,K48,fESTIVOS!$A$2:$A$53))
</f>
        <v>0</v>
      </c>
      <c r="I48" s="98">
        <v>46006.0</v>
      </c>
      <c r="J48" s="99">
        <v>46009.0</v>
      </c>
      <c r="K48" s="99"/>
      <c r="L48" s="99">
        <v>46021.0</v>
      </c>
      <c r="M48" s="27">
        <f>IF(OR(J48="",AND(L48="",TODAY()&lt;J48),AND(L48&lt;&gt;"",L48&lt;J48)),0,
   IF(L48="",
      NETWORKDAYS(J48,TODAY(),fESTIVOS!$A$2:$A$53),
      NETWORKDAYS(J48,L48,fESTIVOS!$A$2:$A$53)
   )
)
</f>
        <v>8</v>
      </c>
      <c r="N48" s="28"/>
      <c r="O48" s="98"/>
      <c r="P48" s="100"/>
      <c r="Q48" s="34" t="s">
        <v>428</v>
      </c>
      <c r="R48" s="113" t="s">
        <v>78</v>
      </c>
      <c r="S48" s="101"/>
      <c r="T48" s="97"/>
      <c r="U48" s="102"/>
      <c r="V48" s="103"/>
      <c r="W48" s="103"/>
      <c r="X48" s="103"/>
      <c r="Y48" s="103"/>
      <c r="Z48" s="103"/>
      <c r="AA48" s="103"/>
      <c r="AB48" s="103"/>
      <c r="AC48" s="103"/>
      <c r="AD48" s="103"/>
      <c r="AE48" s="103"/>
      <c r="AF48" s="103"/>
      <c r="AG48" s="103"/>
      <c r="AH48" s="103"/>
      <c r="AI48" s="103"/>
      <c r="AJ48" s="103"/>
      <c r="AK48" s="103"/>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row>
    <row r="49" ht="29.25" hidden="1" customHeight="1">
      <c r="A49" s="55" t="s">
        <v>128</v>
      </c>
      <c r="B49" s="17" t="s">
        <v>429</v>
      </c>
      <c r="C49" s="107" t="s">
        <v>430</v>
      </c>
      <c r="D49" s="147"/>
      <c r="E49" s="148"/>
      <c r="F49" s="63" t="s">
        <v>76</v>
      </c>
      <c r="G49" s="58">
        <v>100.0</v>
      </c>
      <c r="H49" s="22">
        <f>IF(OR(J49="",K49="",K49&lt;J49),0,NETWORKDAYS(J49,K49,fESTIVOS!$A$2:$A$53))
</f>
        <v>0</v>
      </c>
      <c r="I49" s="81">
        <v>45841.0</v>
      </c>
      <c r="J49" s="60">
        <v>45853.0</v>
      </c>
      <c r="K49" s="60"/>
      <c r="L49" s="60">
        <v>45859.0</v>
      </c>
      <c r="M49" s="27">
        <f>IF(OR(J49="",AND(L49="",TODAY()&lt;J49),AND(L49&lt;&gt;"",L49&lt;J49)),0,
   IF(L49="",
      NETWORKDAYS(J49,TODAY(),fESTIVOS!$A$2:$A$53),
      NETWORKDAYS(J49,L49,fESTIVOS!$A$2:$A$53)
   )
)
</f>
        <v>5</v>
      </c>
      <c r="N49" s="28"/>
      <c r="O49" s="81"/>
      <c r="P49" s="100"/>
      <c r="Q49" s="103"/>
      <c r="R49" s="31" t="s">
        <v>78</v>
      </c>
      <c r="S49" s="58"/>
      <c r="T49" s="58"/>
      <c r="U49" s="102"/>
      <c r="V49" s="103"/>
      <c r="W49" s="103"/>
      <c r="X49" s="103"/>
      <c r="Y49" s="103"/>
      <c r="Z49" s="103"/>
      <c r="AA49" s="103"/>
      <c r="AB49" s="103"/>
      <c r="AC49" s="103"/>
      <c r="AD49" s="103"/>
      <c r="AE49" s="103"/>
      <c r="AF49" s="103"/>
      <c r="AG49" s="103"/>
      <c r="AH49" s="103"/>
      <c r="AI49" s="103"/>
      <c r="AJ49" s="103"/>
      <c r="AK49" s="103"/>
      <c r="AL49" s="37"/>
      <c r="AM49" s="37"/>
      <c r="AN49" s="146"/>
      <c r="AO49" s="146"/>
      <c r="AP49" s="146"/>
      <c r="AQ49" s="146"/>
      <c r="AR49" s="37"/>
      <c r="AS49" s="37"/>
      <c r="AT49" s="37"/>
      <c r="AU49" s="37"/>
      <c r="AV49" s="37"/>
      <c r="AW49" s="37"/>
      <c r="AX49" s="37"/>
      <c r="AY49" s="66" t="s">
        <v>431</v>
      </c>
      <c r="AZ49" s="66"/>
      <c r="BA49" s="66" t="s">
        <v>432</v>
      </c>
      <c r="BB49" s="66"/>
      <c r="BC49" s="66"/>
      <c r="BD49" s="66"/>
      <c r="BE49" s="66"/>
      <c r="BF49" s="66" t="s">
        <v>433</v>
      </c>
      <c r="BG49" s="66"/>
      <c r="BH49" s="66" t="s">
        <v>434</v>
      </c>
      <c r="BI49" s="66" t="s">
        <v>435</v>
      </c>
      <c r="BJ49" s="66" t="s">
        <v>436</v>
      </c>
      <c r="BK49" s="66"/>
      <c r="BL49" s="66"/>
      <c r="BM49" s="66"/>
      <c r="BN49" s="66"/>
      <c r="BO49" s="66"/>
    </row>
    <row r="50" ht="29.25" hidden="1" customHeight="1">
      <c r="A50" s="55" t="s">
        <v>128</v>
      </c>
      <c r="B50" s="17" t="s">
        <v>437</v>
      </c>
      <c r="C50" s="107" t="s">
        <v>438</v>
      </c>
      <c r="D50" s="147"/>
      <c r="E50" s="148"/>
      <c r="F50" s="63" t="s">
        <v>76</v>
      </c>
      <c r="G50" s="58">
        <v>100.0</v>
      </c>
      <c r="H50" s="22">
        <f>IF(OR(J50="",K50="",K50&lt;J50),0,NETWORKDAYS(J50,K50,fESTIVOS!$A$2:$A$53))
</f>
        <v>0</v>
      </c>
      <c r="I50" s="81">
        <v>45836.0</v>
      </c>
      <c r="J50" s="60">
        <v>45836.0</v>
      </c>
      <c r="K50" s="60"/>
      <c r="L50" s="60">
        <v>45841.0</v>
      </c>
      <c r="M50" s="27">
        <f>IF(OR(J50="",AND(L50="",TODAY()&lt;J50),AND(L50&lt;&gt;"",L50&lt;J50)),0,
   IF(L50="",
      NETWORKDAYS(J50,TODAY(),fESTIVOS!$A$2:$A$53),
      NETWORKDAYS(J50,L50,fESTIVOS!$A$2:$A$53)
   )
)
</f>
        <v>3</v>
      </c>
      <c r="N50" s="28"/>
      <c r="O50" s="81"/>
      <c r="P50" s="100"/>
      <c r="Q50" s="103"/>
      <c r="R50" s="31" t="s">
        <v>78</v>
      </c>
      <c r="S50" s="58"/>
      <c r="T50" s="58"/>
      <c r="U50" s="102"/>
      <c r="V50" s="103"/>
      <c r="W50" s="103"/>
      <c r="X50" s="103"/>
      <c r="Y50" s="103"/>
      <c r="Z50" s="103"/>
      <c r="AA50" s="103"/>
      <c r="AB50" s="103"/>
      <c r="AC50" s="103"/>
      <c r="AD50" s="103"/>
      <c r="AE50" s="103"/>
      <c r="AF50" s="103"/>
      <c r="AG50" s="103"/>
      <c r="AH50" s="103"/>
      <c r="AI50" s="103"/>
      <c r="AJ50" s="103"/>
      <c r="AK50" s="103"/>
      <c r="AL50" s="37"/>
      <c r="AM50" s="37"/>
      <c r="AN50" s="146"/>
      <c r="AO50" s="146"/>
      <c r="AP50" s="146"/>
      <c r="AQ50" s="146"/>
      <c r="AR50" s="37"/>
      <c r="AS50" s="37"/>
      <c r="AT50" s="37"/>
      <c r="AU50" s="37"/>
      <c r="AV50" s="37"/>
      <c r="AW50" s="37" t="s">
        <v>439</v>
      </c>
      <c r="AX50" s="37" t="s">
        <v>440</v>
      </c>
      <c r="AY50" s="37" t="s">
        <v>441</v>
      </c>
      <c r="AZ50" s="37"/>
      <c r="BA50" s="37"/>
      <c r="BB50" s="37"/>
      <c r="BC50" s="37"/>
      <c r="BD50" s="37"/>
      <c r="BE50" s="37"/>
      <c r="BF50" s="37"/>
      <c r="BG50" s="37"/>
      <c r="BH50" s="37"/>
      <c r="BI50" s="37"/>
      <c r="BJ50" s="37"/>
      <c r="BK50" s="37"/>
      <c r="BL50" s="37"/>
      <c r="BM50" s="37"/>
      <c r="BN50" s="37"/>
      <c r="BO50" s="37"/>
    </row>
    <row r="51" ht="29.25" hidden="1" customHeight="1">
      <c r="A51" s="55" t="s">
        <v>128</v>
      </c>
      <c r="B51" s="17" t="s">
        <v>442</v>
      </c>
      <c r="C51" s="107" t="s">
        <v>443</v>
      </c>
      <c r="D51" s="149"/>
      <c r="E51" s="148" t="s">
        <v>229</v>
      </c>
      <c r="F51" s="63" t="s">
        <v>76</v>
      </c>
      <c r="G51" s="58">
        <v>100.0</v>
      </c>
      <c r="H51" s="22">
        <f>IF(OR(J51="",K51="",K51&lt;J51),0,NETWORKDAYS(J51,K51,fESTIVOS!$A$2:$A$53))
</f>
        <v>0</v>
      </c>
      <c r="I51" s="81">
        <v>45814.0</v>
      </c>
      <c r="J51" s="60">
        <v>45819.0</v>
      </c>
      <c r="K51" s="60"/>
      <c r="L51" s="60">
        <v>45833.0</v>
      </c>
      <c r="M51" s="27">
        <f>IF(OR(J51="",AND(L51="",TODAY()&lt;J51),AND(L51&lt;&gt;"",L51&lt;J51)),0,
   IF(L51="",
      NETWORKDAYS(J51,TODAY(),fESTIVOS!$A$2:$A$53),
      NETWORKDAYS(J51,L51,fESTIVOS!$A$2:$A$53)
   )
)
</f>
        <v>10</v>
      </c>
      <c r="N51" s="28"/>
      <c r="O51" s="81">
        <v>45827.0</v>
      </c>
      <c r="P51" s="100">
        <v>45841.0</v>
      </c>
      <c r="Q51" s="103"/>
      <c r="R51" s="31" t="s">
        <v>78</v>
      </c>
      <c r="S51" s="58"/>
      <c r="T51" s="58" t="s">
        <v>444</v>
      </c>
      <c r="U51" s="122" t="s">
        <v>445</v>
      </c>
      <c r="V51" s="103"/>
      <c r="W51" s="103"/>
      <c r="X51" s="103"/>
      <c r="Y51" s="103"/>
      <c r="Z51" s="103"/>
      <c r="AA51" s="103"/>
      <c r="AB51" s="103"/>
      <c r="AC51" s="103"/>
      <c r="AD51" s="103"/>
      <c r="AE51" s="103"/>
      <c r="AF51" s="103"/>
      <c r="AG51" s="103"/>
      <c r="AH51" s="103"/>
      <c r="AI51" s="103"/>
      <c r="AJ51" s="103"/>
      <c r="AK51" s="103"/>
      <c r="AL51" s="34" t="s">
        <v>446</v>
      </c>
      <c r="AM51" s="37" t="s">
        <v>447</v>
      </c>
      <c r="AN51" s="146" t="s">
        <v>448</v>
      </c>
      <c r="AO51" s="146" t="s">
        <v>449</v>
      </c>
      <c r="AP51" s="146" t="s">
        <v>450</v>
      </c>
      <c r="AQ51" s="146"/>
      <c r="AR51" s="34" t="s">
        <v>451</v>
      </c>
      <c r="AS51" s="37" t="s">
        <v>452</v>
      </c>
      <c r="AT51" s="37" t="s">
        <v>453</v>
      </c>
      <c r="AU51" s="37" t="s">
        <v>454</v>
      </c>
      <c r="AV51" s="37"/>
      <c r="AW51" s="37" t="s">
        <v>455</v>
      </c>
      <c r="AX51" s="37" t="s">
        <v>456</v>
      </c>
      <c r="AY51" s="37"/>
      <c r="AZ51" s="37"/>
      <c r="BA51" s="37"/>
      <c r="BB51" s="37"/>
      <c r="BC51" s="37"/>
      <c r="BD51" s="37"/>
      <c r="BE51" s="37"/>
      <c r="BF51" s="37"/>
      <c r="BG51" s="37"/>
      <c r="BH51" s="37"/>
      <c r="BI51" s="37"/>
      <c r="BJ51" s="37"/>
      <c r="BK51" s="37"/>
      <c r="BL51" s="37"/>
      <c r="BM51" s="37"/>
      <c r="BN51" s="37"/>
      <c r="BO51" s="37"/>
    </row>
    <row r="52" ht="29.25" hidden="1" customHeight="1">
      <c r="A52" s="16" t="s">
        <v>67</v>
      </c>
      <c r="B52" s="17" t="s">
        <v>457</v>
      </c>
      <c r="C52" s="107" t="s">
        <v>458</v>
      </c>
      <c r="D52" s="143"/>
      <c r="E52" s="144"/>
      <c r="F52" s="20" t="s">
        <v>76</v>
      </c>
      <c r="G52" s="58">
        <v>100.0</v>
      </c>
      <c r="H52" s="22">
        <f>IF(OR(J52="",K52="",K52&lt;J52),0,NETWORKDAYS(J52,K52,fESTIVOS!$A$2:$A$53))
</f>
        <v>0</v>
      </c>
      <c r="I52" s="81">
        <v>45818.0</v>
      </c>
      <c r="J52" s="60">
        <v>45818.0</v>
      </c>
      <c r="K52" s="60"/>
      <c r="L52" s="60">
        <v>45820.0</v>
      </c>
      <c r="M52" s="27">
        <f>IF(OR(J52="",AND(L52="",TODAY()&lt;J52),AND(L52&lt;&gt;"",L52&lt;J52)),0,
   IF(L52="",
      NETWORKDAYS(J52,TODAY(),fESTIVOS!$A$2:$A$53),
      NETWORKDAYS(J52,L52,fESTIVOS!$A$2:$A$53)
   )
)
</f>
        <v>3</v>
      </c>
      <c r="N52" s="28"/>
      <c r="O52" s="81"/>
      <c r="P52" s="100"/>
      <c r="Q52" s="34" t="s">
        <v>459</v>
      </c>
      <c r="R52" s="31" t="s">
        <v>78</v>
      </c>
      <c r="S52" s="139"/>
      <c r="T52" s="139"/>
      <c r="U52" s="102"/>
      <c r="V52" s="103"/>
      <c r="W52" s="103"/>
      <c r="X52" s="103"/>
      <c r="Y52" s="103"/>
      <c r="Z52" s="103"/>
      <c r="AA52" s="103"/>
      <c r="AB52" s="103"/>
      <c r="AC52" s="103"/>
      <c r="AD52" s="103"/>
      <c r="AE52" s="103"/>
      <c r="AF52" s="103"/>
      <c r="AG52" s="103"/>
      <c r="AH52" s="103"/>
      <c r="AI52" s="103"/>
      <c r="AJ52" s="103"/>
      <c r="AK52" s="103"/>
      <c r="AL52" s="103"/>
      <c r="AM52" s="103"/>
      <c r="AN52" s="34" t="s">
        <v>460</v>
      </c>
      <c r="AO52" s="37" t="s">
        <v>461</v>
      </c>
      <c r="AP52" s="37"/>
      <c r="AQ52" s="37"/>
      <c r="AR52" s="37"/>
      <c r="AS52" s="37"/>
      <c r="AT52" s="37"/>
      <c r="AU52" s="37" t="s">
        <v>462</v>
      </c>
      <c r="AV52" s="37"/>
      <c r="AW52" s="37"/>
      <c r="AX52" s="37"/>
      <c r="AY52" s="37"/>
      <c r="AZ52" s="37"/>
      <c r="BA52" s="37"/>
      <c r="BB52" s="37"/>
      <c r="BC52" s="37"/>
      <c r="BD52" s="37"/>
      <c r="BE52" s="37"/>
      <c r="BF52" s="37"/>
      <c r="BG52" s="37"/>
      <c r="BH52" s="37"/>
      <c r="BI52" s="37"/>
      <c r="BJ52" s="37"/>
      <c r="BK52" s="37"/>
      <c r="BL52" s="37"/>
      <c r="BM52" s="37"/>
      <c r="BN52" s="37"/>
      <c r="BO52" s="37"/>
    </row>
    <row r="53" ht="29.25" hidden="1" customHeight="1">
      <c r="A53" s="16" t="s">
        <v>67</v>
      </c>
      <c r="B53" s="17" t="s">
        <v>463</v>
      </c>
      <c r="C53" s="107" t="s">
        <v>464</v>
      </c>
      <c r="D53" s="115"/>
      <c r="E53" s="144"/>
      <c r="F53" s="63" t="s">
        <v>76</v>
      </c>
      <c r="G53" s="58">
        <v>100.0</v>
      </c>
      <c r="H53" s="22">
        <f>IF(OR(J53="",K53="",K53&lt;J53),0,NETWORKDAYS(J53,K53,fESTIVOS!$A$2:$A$53))
</f>
        <v>10</v>
      </c>
      <c r="I53" s="81">
        <v>45818.0</v>
      </c>
      <c r="J53" s="60">
        <v>45821.0</v>
      </c>
      <c r="K53" s="60">
        <v>45835.0</v>
      </c>
      <c r="L53" s="60">
        <v>45832.0</v>
      </c>
      <c r="M53" s="27">
        <f>IF(OR(J53="",AND(L53="",TODAY()&lt;J53),AND(L53&lt;&gt;"",L53&lt;J53)),0,
   IF(L53="",
      NETWORKDAYS(J53,TODAY(),fESTIVOS!$A$2:$A$53),
      NETWORKDAYS(J53,L53,fESTIVOS!$A$2:$A$53)
   )
)
</f>
        <v>7</v>
      </c>
      <c r="N53" s="28"/>
      <c r="O53" s="81"/>
      <c r="P53" s="100"/>
      <c r="Q53" s="103"/>
      <c r="R53" s="31" t="s">
        <v>78</v>
      </c>
      <c r="S53" s="139"/>
      <c r="T53" s="139"/>
      <c r="U53" s="102"/>
      <c r="V53" s="103"/>
      <c r="W53" s="103"/>
      <c r="X53" s="103"/>
      <c r="Y53" s="103"/>
      <c r="Z53" s="103"/>
      <c r="AA53" s="103"/>
      <c r="AB53" s="103"/>
      <c r="AC53" s="103"/>
      <c r="AD53" s="103"/>
      <c r="AE53" s="103"/>
      <c r="AF53" s="103"/>
      <c r="AG53" s="103"/>
      <c r="AH53" s="103"/>
      <c r="AI53" s="103"/>
      <c r="AJ53" s="103"/>
      <c r="AK53" s="103"/>
      <c r="AL53" s="103"/>
      <c r="AM53" s="103"/>
      <c r="AN53" s="34" t="s">
        <v>465</v>
      </c>
      <c r="AO53" s="37" t="s">
        <v>466</v>
      </c>
      <c r="AP53" s="37" t="s">
        <v>467</v>
      </c>
      <c r="AQ53" s="37"/>
      <c r="AR53" s="37" t="s">
        <v>468</v>
      </c>
      <c r="AS53" s="37" t="s">
        <v>469</v>
      </c>
      <c r="AT53" s="37"/>
      <c r="AU53" s="37"/>
      <c r="AV53" s="37"/>
      <c r="AW53" s="37"/>
      <c r="AX53" s="37"/>
      <c r="AY53" s="37"/>
      <c r="AZ53" s="37"/>
      <c r="BA53" s="37"/>
      <c r="BB53" s="37"/>
      <c r="BC53" s="37"/>
      <c r="BD53" s="37"/>
      <c r="BE53" s="37"/>
      <c r="BF53" s="37"/>
      <c r="BG53" s="37"/>
      <c r="BH53" s="37"/>
      <c r="BI53" s="37"/>
      <c r="BJ53" s="37"/>
      <c r="BK53" s="37"/>
      <c r="BL53" s="37"/>
      <c r="BM53" s="37"/>
      <c r="BN53" s="37"/>
      <c r="BO53" s="37"/>
    </row>
    <row r="54" ht="29.25" hidden="1" customHeight="1">
      <c r="A54" s="16" t="s">
        <v>67</v>
      </c>
      <c r="B54" s="93" t="s">
        <v>470</v>
      </c>
      <c r="C54" s="107" t="s">
        <v>471</v>
      </c>
      <c r="D54" s="115"/>
      <c r="E54" s="144"/>
      <c r="F54" s="63" t="s">
        <v>76</v>
      </c>
      <c r="G54" s="58">
        <v>100.0</v>
      </c>
      <c r="H54" s="22">
        <f>IF(OR(J54="",K54="",K54&lt;J54),0,NETWORKDAYS(J54,K54,fESTIVOS!$A$2:$A$53))
</f>
        <v>0</v>
      </c>
      <c r="I54" s="81">
        <v>45839.0</v>
      </c>
      <c r="J54" s="60">
        <v>45839.0</v>
      </c>
      <c r="K54" s="60"/>
      <c r="L54" s="60">
        <v>45840.0</v>
      </c>
      <c r="M54" s="27">
        <f>IF(OR(J54="",AND(L54="",TODAY()&lt;J54),AND(L54&lt;&gt;"",L54&lt;J54)),0,
   IF(L54="",
      NETWORKDAYS(J54,TODAY(),fESTIVOS!$A$2:$A$53),
      NETWORKDAYS(J54,L54,fESTIVOS!$A$2:$A$53)
   )
)
</f>
        <v>2</v>
      </c>
      <c r="N54" s="28"/>
      <c r="O54" s="81"/>
      <c r="P54" s="100"/>
      <c r="Q54" s="103"/>
      <c r="R54" s="31" t="s">
        <v>78</v>
      </c>
      <c r="S54" s="139"/>
      <c r="T54" s="139"/>
      <c r="U54" s="102"/>
      <c r="V54" s="103"/>
      <c r="W54" s="103"/>
      <c r="X54" s="103"/>
      <c r="Y54" s="103"/>
      <c r="Z54" s="103"/>
      <c r="AA54" s="103"/>
      <c r="AB54" s="103"/>
      <c r="AC54" s="103"/>
      <c r="AD54" s="103"/>
      <c r="AE54" s="103"/>
      <c r="AF54" s="103"/>
      <c r="AG54" s="103"/>
      <c r="AH54" s="103"/>
      <c r="AI54" s="103"/>
      <c r="AJ54" s="103"/>
      <c r="AK54" s="103"/>
      <c r="AL54" s="103"/>
      <c r="AM54" s="103"/>
      <c r="AN54" s="34"/>
      <c r="AO54" s="104"/>
      <c r="AP54" s="104"/>
      <c r="AQ54" s="37"/>
      <c r="AR54" s="37"/>
      <c r="AS54" s="37"/>
      <c r="AT54" s="37"/>
      <c r="AU54" s="37"/>
      <c r="AV54" s="37"/>
      <c r="AW54" s="37" t="s">
        <v>472</v>
      </c>
      <c r="AX54" s="37" t="s">
        <v>473</v>
      </c>
      <c r="AY54" s="37"/>
      <c r="AZ54" s="37"/>
      <c r="BA54" s="37"/>
      <c r="BB54" s="37"/>
      <c r="BC54" s="37"/>
      <c r="BD54" s="37"/>
      <c r="BE54" s="37"/>
      <c r="BF54" s="37"/>
      <c r="BG54" s="37"/>
      <c r="BH54" s="37"/>
      <c r="BI54" s="37"/>
      <c r="BJ54" s="37"/>
      <c r="BK54" s="37"/>
      <c r="BL54" s="37"/>
      <c r="BM54" s="37"/>
      <c r="BN54" s="37"/>
      <c r="BO54" s="37"/>
    </row>
    <row r="55" ht="29.25" hidden="1" customHeight="1">
      <c r="A55" s="16" t="s">
        <v>67</v>
      </c>
      <c r="B55" s="17" t="s">
        <v>474</v>
      </c>
      <c r="C55" s="107" t="s">
        <v>475</v>
      </c>
      <c r="D55" s="115"/>
      <c r="E55" s="144"/>
      <c r="F55" s="63" t="s">
        <v>76</v>
      </c>
      <c r="G55" s="58">
        <v>100.0</v>
      </c>
      <c r="H55" s="22">
        <f>IF(OR(J55="",K55="",K55&lt;J55),0,NETWORKDAYS(J55,K55,fESTIVOS!$A$2:$A$53))
</f>
        <v>24</v>
      </c>
      <c r="I55" s="81">
        <v>45818.0</v>
      </c>
      <c r="J55" s="60">
        <v>45825.0</v>
      </c>
      <c r="K55" s="60">
        <v>45860.0</v>
      </c>
      <c r="L55" s="60">
        <v>45847.0</v>
      </c>
      <c r="M55" s="27">
        <f>IF(OR(J55="",AND(L55="",TODAY()&lt;J55),AND(L55&lt;&gt;"",L55&lt;J55)),0,
   IF(L55="",
      NETWORKDAYS(J55,TODAY(),fESTIVOS!$A$2:$A$53),
      NETWORKDAYS(J55,L55,fESTIVOS!$A$2:$A$53)
   )
)
</f>
        <v>15</v>
      </c>
      <c r="N55" s="28"/>
      <c r="O55" s="81">
        <v>45847.0</v>
      </c>
      <c r="P55" s="100"/>
      <c r="Q55" s="103"/>
      <c r="R55" s="31" t="s">
        <v>78</v>
      </c>
      <c r="S55" s="139"/>
      <c r="T55" s="139"/>
      <c r="U55" s="102"/>
      <c r="V55" s="103"/>
      <c r="W55" s="103"/>
      <c r="X55" s="103"/>
      <c r="Y55" s="103"/>
      <c r="Z55" s="103"/>
      <c r="AA55" s="103"/>
      <c r="AB55" s="103"/>
      <c r="AC55" s="103"/>
      <c r="AD55" s="103"/>
      <c r="AE55" s="103"/>
      <c r="AF55" s="103"/>
      <c r="AG55" s="103"/>
      <c r="AH55" s="103"/>
      <c r="AI55" s="103"/>
      <c r="AJ55" s="103"/>
      <c r="AK55" s="103"/>
      <c r="AL55" s="103"/>
      <c r="AM55" s="103"/>
      <c r="AN55" s="34" t="s">
        <v>476</v>
      </c>
      <c r="AO55" s="104"/>
      <c r="AP55" s="104"/>
      <c r="AQ55" s="37" t="s">
        <v>477</v>
      </c>
      <c r="AR55" s="37" t="s">
        <v>478</v>
      </c>
      <c r="AS55" s="37" t="s">
        <v>479</v>
      </c>
      <c r="AT55" s="37"/>
      <c r="AU55" s="37" t="s">
        <v>480</v>
      </c>
      <c r="AV55" s="37"/>
      <c r="AW55" s="37" t="s">
        <v>481</v>
      </c>
      <c r="AX55" s="37" t="s">
        <v>482</v>
      </c>
      <c r="AY55" s="37" t="s">
        <v>483</v>
      </c>
      <c r="AZ55" s="37"/>
      <c r="BA55" s="37" t="s">
        <v>484</v>
      </c>
      <c r="BB55" s="37"/>
      <c r="BC55" s="37" t="s">
        <v>485</v>
      </c>
      <c r="BD55" s="37" t="s">
        <v>486</v>
      </c>
      <c r="BE55" s="37" t="s">
        <v>487</v>
      </c>
      <c r="BF55" s="37" t="s">
        <v>488</v>
      </c>
      <c r="BG55" s="37"/>
      <c r="BH55" s="37" t="s">
        <v>489</v>
      </c>
      <c r="BI55" s="37"/>
      <c r="BJ55" s="37"/>
      <c r="BK55" s="37"/>
      <c r="BL55" s="37"/>
      <c r="BM55" s="37"/>
      <c r="BN55" s="37"/>
      <c r="BO55" s="37"/>
    </row>
    <row r="56" ht="29.25" hidden="1" customHeight="1">
      <c r="A56" s="16" t="s">
        <v>67</v>
      </c>
      <c r="B56" s="93" t="s">
        <v>490</v>
      </c>
      <c r="C56" s="107" t="s">
        <v>491</v>
      </c>
      <c r="D56" s="115"/>
      <c r="E56" s="144"/>
      <c r="F56" s="63" t="s">
        <v>76</v>
      </c>
      <c r="G56" s="58">
        <v>100.0</v>
      </c>
      <c r="H56" s="22">
        <f>IF(OR(J56="",K56="",K56&lt;J56),0,NETWORKDAYS(J56,K56,fESTIVOS!$A$2:$A$53))
</f>
        <v>0</v>
      </c>
      <c r="I56" s="81">
        <v>45864.0</v>
      </c>
      <c r="J56" s="60">
        <v>45864.0</v>
      </c>
      <c r="K56" s="60">
        <v>45839.0</v>
      </c>
      <c r="L56" s="60">
        <v>45865.0</v>
      </c>
      <c r="M56" s="27">
        <f>IF(OR(J56="",AND(L56="",TODAY()&lt;J56),AND(L56&lt;&gt;"",L56&lt;J56)),0,
   IF(L56="",
      NETWORKDAYS(J56,TODAY(),fESTIVOS!$A$2:$A$53),
      NETWORKDAYS(J56,L56,fESTIVOS!$A$2:$A$53)
   )
)
</f>
        <v>0</v>
      </c>
      <c r="N56" s="28"/>
      <c r="O56" s="81"/>
      <c r="P56" s="100"/>
      <c r="Q56" s="103"/>
      <c r="R56" s="31" t="s">
        <v>78</v>
      </c>
      <c r="S56" s="139"/>
      <c r="T56" s="139"/>
      <c r="U56" s="102"/>
      <c r="V56" s="103"/>
      <c r="W56" s="103"/>
      <c r="X56" s="103"/>
      <c r="Y56" s="103"/>
      <c r="Z56" s="103"/>
      <c r="AA56" s="103"/>
      <c r="AB56" s="103"/>
      <c r="AC56" s="103"/>
      <c r="AD56" s="103"/>
      <c r="AE56" s="103"/>
      <c r="AF56" s="103"/>
      <c r="AG56" s="103"/>
      <c r="AH56" s="103"/>
      <c r="AI56" s="103"/>
      <c r="AJ56" s="103"/>
      <c r="AK56" s="103"/>
      <c r="AL56" s="103"/>
      <c r="AM56" s="103"/>
      <c r="AN56" s="34"/>
      <c r="AO56" s="104"/>
      <c r="AP56" s="37"/>
      <c r="AQ56" s="37"/>
      <c r="AR56" s="37"/>
      <c r="AS56" s="37"/>
      <c r="AT56" s="37"/>
      <c r="AU56" s="37" t="s">
        <v>492</v>
      </c>
      <c r="AV56" s="37"/>
      <c r="AW56" s="37"/>
      <c r="AX56" s="37"/>
      <c r="AY56" s="37"/>
      <c r="AZ56" s="37"/>
      <c r="BA56" s="37"/>
      <c r="BB56" s="37"/>
      <c r="BC56" s="37"/>
      <c r="BD56" s="37"/>
      <c r="BE56" s="37"/>
      <c r="BF56" s="37"/>
      <c r="BG56" s="37"/>
      <c r="BH56" s="37"/>
      <c r="BI56" s="37"/>
      <c r="BJ56" s="37"/>
      <c r="BK56" s="37"/>
      <c r="BL56" s="37"/>
      <c r="BM56" s="37"/>
      <c r="BN56" s="37"/>
      <c r="BO56" s="37"/>
    </row>
    <row r="57" ht="29.25" hidden="1" customHeight="1">
      <c r="A57" s="16" t="s">
        <v>67</v>
      </c>
      <c r="B57" s="17" t="s">
        <v>493</v>
      </c>
      <c r="C57" s="107" t="s">
        <v>494</v>
      </c>
      <c r="D57" s="115"/>
      <c r="E57" s="144"/>
      <c r="F57" s="63" t="s">
        <v>76</v>
      </c>
      <c r="G57" s="58">
        <v>100.0</v>
      </c>
      <c r="H57" s="22">
        <f>IF(OR(J57="",K57="",K57&lt;J57),0,NETWORKDAYS(J57,K57,fESTIVOS!$A$2:$A$53))
</f>
        <v>15</v>
      </c>
      <c r="I57" s="81">
        <v>45818.0</v>
      </c>
      <c r="J57" s="60">
        <v>45821.0</v>
      </c>
      <c r="K57" s="60">
        <v>45845.0</v>
      </c>
      <c r="L57" s="60">
        <v>45867.0</v>
      </c>
      <c r="M57" s="27">
        <f>IF(OR(J57="",AND(L57="",TODAY()&lt;J57),AND(L57&lt;&gt;"",L57&lt;J57)),0,
   IF(L57="",
      NETWORKDAYS(J57,TODAY(),fESTIVOS!$A$2:$A$53),
      NETWORKDAYS(J57,L57,fESTIVOS!$A$2:$A$53)
   )
)
</f>
        <v>31</v>
      </c>
      <c r="N57" s="28"/>
      <c r="O57" s="81"/>
      <c r="P57" s="100">
        <v>45868.0</v>
      </c>
      <c r="Q57" s="103"/>
      <c r="R57" s="31" t="s">
        <v>78</v>
      </c>
      <c r="S57" s="139"/>
      <c r="T57" s="139"/>
      <c r="U57" s="102"/>
      <c r="V57" s="103"/>
      <c r="W57" s="103"/>
      <c r="X57" s="103"/>
      <c r="Y57" s="103"/>
      <c r="Z57" s="103"/>
      <c r="AA57" s="103"/>
      <c r="AB57" s="103"/>
      <c r="AC57" s="103"/>
      <c r="AD57" s="103"/>
      <c r="AE57" s="103"/>
      <c r="AF57" s="103"/>
      <c r="AG57" s="103"/>
      <c r="AH57" s="103"/>
      <c r="AI57" s="103"/>
      <c r="AJ57" s="103"/>
      <c r="AK57" s="103"/>
      <c r="AL57" s="103"/>
      <c r="AM57" s="103"/>
      <c r="AN57" s="34" t="s">
        <v>495</v>
      </c>
      <c r="AO57" s="104"/>
      <c r="AP57" s="37" t="s">
        <v>496</v>
      </c>
      <c r="AQ57" s="37" t="s">
        <v>497</v>
      </c>
      <c r="AR57" s="37"/>
      <c r="AS57" s="37"/>
      <c r="AT57" s="37"/>
      <c r="AU57" s="37" t="s">
        <v>498</v>
      </c>
      <c r="AV57" s="37"/>
      <c r="AW57" s="37"/>
      <c r="AX57" s="37"/>
      <c r="AY57" s="37" t="s">
        <v>499</v>
      </c>
      <c r="AZ57" s="37" t="s">
        <v>500</v>
      </c>
      <c r="BA57" s="37"/>
      <c r="BB57" s="37"/>
      <c r="BC57" s="37" t="s">
        <v>501</v>
      </c>
      <c r="BD57" s="37" t="s">
        <v>502</v>
      </c>
      <c r="BE57" s="37"/>
      <c r="BF57" s="37" t="s">
        <v>503</v>
      </c>
      <c r="BG57" s="37"/>
      <c r="BH57" s="37"/>
      <c r="BI57" s="37"/>
      <c r="BJ57" s="37"/>
      <c r="BK57" s="37"/>
      <c r="BL57" s="37"/>
      <c r="BM57" s="37" t="s">
        <v>504</v>
      </c>
      <c r="BN57" s="37"/>
      <c r="BO57" s="37"/>
    </row>
    <row r="58" ht="29.25" hidden="1" customHeight="1">
      <c r="A58" s="123" t="s">
        <v>505</v>
      </c>
      <c r="B58" s="93" t="s">
        <v>506</v>
      </c>
      <c r="C58" s="107" t="s">
        <v>507</v>
      </c>
      <c r="D58" s="143" t="s">
        <v>508</v>
      </c>
      <c r="E58" s="144"/>
      <c r="F58" s="20" t="s">
        <v>76</v>
      </c>
      <c r="G58" s="58">
        <v>100.0</v>
      </c>
      <c r="H58" s="22">
        <f>IF(OR(J58="",K58="",K58&lt;J58),0,NETWORKDAYS(J58,K58,fESTIVOS!$A$2:$A$53))
</f>
        <v>10</v>
      </c>
      <c r="I58" s="81">
        <v>45813.0</v>
      </c>
      <c r="J58" s="60">
        <v>45813.0</v>
      </c>
      <c r="K58" s="60">
        <v>45826.0</v>
      </c>
      <c r="L58" s="60">
        <v>45895.0</v>
      </c>
      <c r="M58" s="27">
        <f>IF(OR(J58="",AND(L58="",TODAY()&lt;J58),AND(L58&lt;&gt;"",L58&lt;J58)),0,
   IF(L58="",
      NETWORKDAYS(J58,TODAY(),fESTIVOS!$A$2:$A$53),
      NETWORKDAYS(J58,L58,fESTIVOS!$A$2:$A$53)
   )
)
</f>
        <v>55</v>
      </c>
      <c r="N58" s="28"/>
      <c r="O58" s="81"/>
      <c r="P58" s="100"/>
      <c r="Q58" s="34" t="s">
        <v>509</v>
      </c>
      <c r="R58" s="31" t="s">
        <v>78</v>
      </c>
      <c r="S58" s="139"/>
      <c r="T58" s="139"/>
      <c r="U58" s="102"/>
      <c r="V58" s="103"/>
      <c r="W58" s="103"/>
      <c r="X58" s="103"/>
      <c r="Y58" s="103"/>
      <c r="Z58" s="103"/>
      <c r="AA58" s="103"/>
      <c r="AB58" s="103"/>
      <c r="AC58" s="103"/>
      <c r="AD58" s="103"/>
      <c r="AE58" s="103"/>
      <c r="AF58" s="103"/>
      <c r="AG58" s="103"/>
      <c r="AH58" s="103"/>
      <c r="AI58" s="103"/>
      <c r="AJ58" s="103"/>
      <c r="AK58" s="103"/>
      <c r="AL58" s="103"/>
      <c r="AM58" s="103"/>
      <c r="AN58" s="103"/>
      <c r="AO58" s="103"/>
      <c r="AP58" s="34" t="s">
        <v>510</v>
      </c>
      <c r="AQ58" s="34" t="s">
        <v>511</v>
      </c>
      <c r="AR58" s="37"/>
      <c r="AS58" s="37" t="s">
        <v>512</v>
      </c>
      <c r="AT58" s="37"/>
      <c r="AU58" s="37"/>
      <c r="AV58" s="37"/>
      <c r="AW58" s="37" t="s">
        <v>513</v>
      </c>
      <c r="AX58" s="37"/>
      <c r="AY58" s="37"/>
      <c r="AZ58" s="37"/>
      <c r="BA58" s="37"/>
      <c r="BB58" s="37"/>
      <c r="BC58" s="37"/>
      <c r="BD58" s="37" t="s">
        <v>514</v>
      </c>
      <c r="BE58" s="37"/>
      <c r="BF58" s="37"/>
      <c r="BG58" s="37"/>
      <c r="BH58" s="37"/>
      <c r="BI58" s="37"/>
      <c r="BJ58" s="37"/>
      <c r="BK58" s="37"/>
      <c r="BL58" s="37"/>
      <c r="BM58" s="37"/>
      <c r="BN58" s="37"/>
      <c r="BO58" s="37"/>
    </row>
    <row r="59" ht="29.25" hidden="1" customHeight="1">
      <c r="A59" s="55" t="s">
        <v>128</v>
      </c>
      <c r="B59" s="17" t="s">
        <v>515</v>
      </c>
      <c r="C59" s="107" t="s">
        <v>516</v>
      </c>
      <c r="D59" s="115" t="s">
        <v>516</v>
      </c>
      <c r="E59" s="144"/>
      <c r="F59" s="63" t="s">
        <v>76</v>
      </c>
      <c r="G59" s="58">
        <v>100.0</v>
      </c>
      <c r="H59" s="22">
        <f>IF(OR(J59="",K59="",K59&lt;J59),0,NETWORKDAYS(J59,K59,fESTIVOS!$A$2:$A$53))
</f>
        <v>0</v>
      </c>
      <c r="I59" s="81">
        <v>45825.0</v>
      </c>
      <c r="J59" s="60">
        <v>45832.0</v>
      </c>
      <c r="K59" s="60"/>
      <c r="L59" s="60">
        <v>45833.0</v>
      </c>
      <c r="M59" s="27">
        <f>IF(OR(J59="",AND(L59="",TODAY()&lt;J59),AND(L59&lt;&gt;"",L59&lt;J59)),0,
   IF(L59="",
      NETWORKDAYS(J59,TODAY(),fESTIVOS!$A$2:$A$53),
      NETWORKDAYS(J59,L59,fESTIVOS!$A$2:$A$53)
   )
)
</f>
        <v>2</v>
      </c>
      <c r="N59" s="28"/>
      <c r="O59" s="81"/>
      <c r="P59" s="100"/>
      <c r="Q59" s="34" t="s">
        <v>517</v>
      </c>
      <c r="R59" s="31" t="s">
        <v>78</v>
      </c>
      <c r="S59" s="139"/>
      <c r="T59" s="139"/>
      <c r="U59" s="102"/>
      <c r="V59" s="103"/>
      <c r="W59" s="103"/>
      <c r="X59" s="103"/>
      <c r="Y59" s="103"/>
      <c r="Z59" s="103"/>
      <c r="AA59" s="103"/>
      <c r="AB59" s="103"/>
      <c r="AC59" s="103"/>
      <c r="AD59" s="103"/>
      <c r="AE59" s="103"/>
      <c r="AF59" s="103"/>
      <c r="AG59" s="103"/>
      <c r="AH59" s="103"/>
      <c r="AI59" s="103"/>
      <c r="AJ59" s="103"/>
      <c r="AK59" s="103"/>
      <c r="AL59" s="103"/>
      <c r="AM59" s="103"/>
      <c r="AN59" s="103"/>
      <c r="AO59" s="103"/>
      <c r="AP59" s="103"/>
      <c r="AQ59" s="34" t="s">
        <v>518</v>
      </c>
      <c r="AR59" s="37" t="s">
        <v>519</v>
      </c>
      <c r="AS59" s="37" t="s">
        <v>520</v>
      </c>
      <c r="AT59" s="37"/>
      <c r="AU59" s="37"/>
      <c r="AV59" s="37"/>
      <c r="AW59" s="37"/>
      <c r="AX59" s="37"/>
      <c r="AY59" s="37"/>
      <c r="AZ59" s="37"/>
      <c r="BA59" s="37"/>
      <c r="BB59" s="37"/>
      <c r="BC59" s="37"/>
      <c r="BD59" s="37"/>
      <c r="BE59" s="37"/>
      <c r="BF59" s="37"/>
      <c r="BG59" s="37"/>
      <c r="BH59" s="37"/>
      <c r="BI59" s="37"/>
      <c r="BJ59" s="37"/>
      <c r="BK59" s="37"/>
      <c r="BL59" s="37"/>
      <c r="BM59" s="37"/>
      <c r="BN59" s="37"/>
      <c r="BO59" s="37"/>
    </row>
    <row r="60" ht="29.25" hidden="1" customHeight="1">
      <c r="A60" s="123" t="s">
        <v>251</v>
      </c>
      <c r="B60" s="17" t="s">
        <v>521</v>
      </c>
      <c r="C60" s="107" t="s">
        <v>522</v>
      </c>
      <c r="D60" s="143"/>
      <c r="E60" s="144"/>
      <c r="F60" s="63" t="s">
        <v>76</v>
      </c>
      <c r="G60" s="58">
        <v>100.0</v>
      </c>
      <c r="H60" s="22">
        <f>IF(OR(J60="",K60="",K60&lt;J60),0,NETWORKDAYS(J60,K60,fESTIVOS!$A$2:$A$53))
</f>
        <v>0</v>
      </c>
      <c r="I60" s="81">
        <v>45826.0</v>
      </c>
      <c r="J60" s="60">
        <v>45888.0</v>
      </c>
      <c r="K60" s="60"/>
      <c r="L60" s="60">
        <v>45888.0</v>
      </c>
      <c r="M60" s="27">
        <f>IF(OR(J60="",AND(L60="",TODAY()&lt;J60),AND(L60&lt;&gt;"",L60&lt;J60)),0,
   IF(L60="",
      NETWORKDAYS(J60,TODAY(),fESTIVOS!$A$2:$A$53),
      NETWORKDAYS(J60,L60,fESTIVOS!$A$2:$A$53)
   )
)
</f>
        <v>1</v>
      </c>
      <c r="N60" s="28"/>
      <c r="O60" s="81"/>
      <c r="P60" s="100"/>
      <c r="Q60" s="34" t="s">
        <v>523</v>
      </c>
      <c r="R60" s="31" t="s">
        <v>78</v>
      </c>
      <c r="S60" s="139"/>
      <c r="T60" s="139"/>
      <c r="U60" s="102"/>
      <c r="V60" s="103"/>
      <c r="W60" s="103"/>
      <c r="X60" s="103"/>
      <c r="Y60" s="103"/>
      <c r="Z60" s="103"/>
      <c r="AA60" s="103"/>
      <c r="AB60" s="103"/>
      <c r="AC60" s="103"/>
      <c r="AD60" s="103"/>
      <c r="AE60" s="103"/>
      <c r="AF60" s="103"/>
      <c r="AG60" s="103"/>
      <c r="AH60" s="103"/>
      <c r="AI60" s="103"/>
      <c r="AJ60" s="103"/>
      <c r="AK60" s="103"/>
      <c r="AL60" s="103"/>
      <c r="AM60" s="103"/>
      <c r="AN60" s="103"/>
      <c r="AO60" s="103"/>
      <c r="AP60" s="103"/>
      <c r="AQ60" s="34" t="s">
        <v>524</v>
      </c>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row>
    <row r="61" ht="29.25" hidden="1" customHeight="1">
      <c r="A61" s="123" t="s">
        <v>251</v>
      </c>
      <c r="B61" s="17" t="s">
        <v>444</v>
      </c>
      <c r="C61" s="107" t="s">
        <v>525</v>
      </c>
      <c r="D61" s="95"/>
      <c r="E61" s="96"/>
      <c r="F61" s="122" t="s">
        <v>76</v>
      </c>
      <c r="G61" s="97">
        <v>100.0</v>
      </c>
      <c r="H61" s="22">
        <f>IF(OR(J61="",K61="",K61&lt;J61),0,NETWORKDAYS(J61,K61,fESTIVOS!$A$2:$A$53))
</f>
        <v>0</v>
      </c>
      <c r="I61" s="98">
        <v>45827.0</v>
      </c>
      <c r="J61" s="99">
        <v>45827.0</v>
      </c>
      <c r="K61" s="99"/>
      <c r="L61" s="99">
        <v>45827.0</v>
      </c>
      <c r="M61" s="27">
        <f>IF(OR(J61="",AND(L61="",TODAY()&lt;J61),AND(L61&lt;&gt;"",L61&lt;J61)),0,
   IF(L61="",
      NETWORKDAYS(J61,TODAY(),fESTIVOS!$A$2:$A$53),
      NETWORKDAYS(J61,L61,fESTIVOS!$A$2:$A$53)
   )
)
</f>
        <v>1</v>
      </c>
      <c r="N61" s="28"/>
      <c r="O61" s="98"/>
      <c r="P61" s="100"/>
      <c r="Q61" s="103"/>
      <c r="R61" s="31" t="s">
        <v>78</v>
      </c>
      <c r="S61" s="101"/>
      <c r="T61" s="101"/>
      <c r="U61" s="102"/>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34" t="s">
        <v>526</v>
      </c>
      <c r="AS61" s="37"/>
      <c r="AT61" s="37"/>
      <c r="AU61" s="37"/>
      <c r="AV61" s="37"/>
      <c r="AW61" s="37"/>
      <c r="AX61" s="37"/>
      <c r="AY61" s="37"/>
      <c r="AZ61" s="37"/>
      <c r="BA61" s="37"/>
      <c r="BB61" s="37"/>
      <c r="BC61" s="37"/>
      <c r="BD61" s="37"/>
      <c r="BE61" s="37"/>
      <c r="BF61" s="37"/>
      <c r="BG61" s="37"/>
      <c r="BH61" s="37"/>
      <c r="BI61" s="37"/>
      <c r="BJ61" s="37"/>
      <c r="BK61" s="37"/>
      <c r="BL61" s="37"/>
      <c r="BM61" s="37"/>
      <c r="BN61" s="37"/>
      <c r="BO61" s="37"/>
    </row>
    <row r="62" ht="29.25" hidden="1" customHeight="1">
      <c r="A62" s="123" t="s">
        <v>251</v>
      </c>
      <c r="B62" s="93" t="s">
        <v>527</v>
      </c>
      <c r="C62" s="107" t="s">
        <v>528</v>
      </c>
      <c r="D62" s="95"/>
      <c r="E62" s="96"/>
      <c r="F62" s="122" t="s">
        <v>76</v>
      </c>
      <c r="G62" s="97">
        <v>100.0</v>
      </c>
      <c r="H62" s="22">
        <f>IF(OR(J62="",K62="",K62&lt;J62),0,NETWORKDAYS(J62,K62,fESTIVOS!$A$2:$A$53))
</f>
        <v>0</v>
      </c>
      <c r="I62" s="98">
        <v>45821.0</v>
      </c>
      <c r="J62" s="99">
        <v>45827.0</v>
      </c>
      <c r="K62" s="99"/>
      <c r="L62" s="99">
        <v>45827.0</v>
      </c>
      <c r="M62" s="27">
        <f>IF(OR(J62="",AND(L62="",TODAY()&lt;J62),AND(L62&lt;&gt;"",L62&lt;J62)),0,
   IF(L62="",
      NETWORKDAYS(J62,TODAY(),fESTIVOS!$A$2:$A$53),
      NETWORKDAYS(J62,L62,fESTIVOS!$A$2:$A$53)
   )
)
</f>
        <v>1</v>
      </c>
      <c r="N62" s="28"/>
      <c r="O62" s="98"/>
      <c r="P62" s="100"/>
      <c r="Q62" s="103"/>
      <c r="R62" s="31" t="s">
        <v>78</v>
      </c>
      <c r="S62" s="101"/>
      <c r="T62" s="101"/>
      <c r="U62" s="102"/>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34" t="s">
        <v>529</v>
      </c>
      <c r="AS62" s="37"/>
      <c r="AT62" s="37"/>
      <c r="AU62" s="37"/>
      <c r="AV62" s="37"/>
      <c r="AW62" s="37"/>
      <c r="AX62" s="37"/>
      <c r="AY62" s="37"/>
      <c r="AZ62" s="37"/>
      <c r="BA62" s="37"/>
      <c r="BB62" s="37"/>
      <c r="BC62" s="37"/>
      <c r="BD62" s="37"/>
      <c r="BE62" s="37"/>
      <c r="BF62" s="37"/>
      <c r="BG62" s="37"/>
      <c r="BH62" s="37"/>
      <c r="BI62" s="37"/>
      <c r="BJ62" s="37"/>
      <c r="BK62" s="37"/>
      <c r="BL62" s="37"/>
      <c r="BM62" s="37"/>
      <c r="BN62" s="37"/>
      <c r="BO62" s="37"/>
    </row>
    <row r="63" ht="29.25" hidden="1" customHeight="1">
      <c r="A63" s="123" t="s">
        <v>251</v>
      </c>
      <c r="B63" s="93" t="s">
        <v>530</v>
      </c>
      <c r="C63" s="107" t="s">
        <v>531</v>
      </c>
      <c r="D63" s="150" t="s">
        <v>532</v>
      </c>
      <c r="E63" s="96"/>
      <c r="F63" s="20" t="s">
        <v>76</v>
      </c>
      <c r="G63" s="97">
        <v>100.0</v>
      </c>
      <c r="H63" s="22">
        <f>IF(OR(J63="",K63="",K63&lt;J63),0,NETWORKDAYS(J63,K63,fESTIVOS!$A$2:$A$53))
</f>
        <v>0</v>
      </c>
      <c r="I63" s="98">
        <v>45820.0</v>
      </c>
      <c r="J63" s="99">
        <v>45820.0</v>
      </c>
      <c r="K63" s="99"/>
      <c r="L63" s="99">
        <v>45933.0</v>
      </c>
      <c r="M63" s="27">
        <f>IF(OR(J63="",AND(L63="",TODAY()&lt;J63),AND(L63&lt;&gt;"",L63&lt;J63)),0,
   IF(L63="",
      NETWORKDAYS(J63,TODAY(),fESTIVOS!$A$2:$A$53),
      NETWORKDAYS(J63,L63,fESTIVOS!$A$2:$A$53)
   )
)
</f>
        <v>78</v>
      </c>
      <c r="N63" s="28"/>
      <c r="O63" s="98"/>
      <c r="P63" s="100"/>
      <c r="Q63" s="34" t="s">
        <v>533</v>
      </c>
      <c r="R63" s="31" t="s">
        <v>78</v>
      </c>
      <c r="S63" s="101"/>
      <c r="T63" s="101"/>
      <c r="U63" s="102"/>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34" t="s">
        <v>534</v>
      </c>
      <c r="AS63" s="37" t="s">
        <v>535</v>
      </c>
      <c r="AT63" s="37"/>
      <c r="AU63" s="37"/>
      <c r="AV63" s="37" t="s">
        <v>536</v>
      </c>
      <c r="AW63" s="37"/>
      <c r="AX63" s="37"/>
      <c r="AY63" s="37"/>
      <c r="AZ63" s="37"/>
      <c r="BA63" s="37" t="s">
        <v>537</v>
      </c>
      <c r="BB63" s="37"/>
      <c r="BC63" s="37"/>
      <c r="BD63" s="37"/>
      <c r="BE63" s="37"/>
      <c r="BF63" s="37"/>
      <c r="BG63" s="37"/>
      <c r="BH63" s="37"/>
      <c r="BI63" s="37"/>
      <c r="BJ63" s="37"/>
      <c r="BK63" s="37"/>
      <c r="BL63" s="37"/>
      <c r="BM63" s="37"/>
      <c r="BN63" s="37"/>
      <c r="BO63" s="37"/>
    </row>
    <row r="64" ht="29.25" hidden="1" customHeight="1">
      <c r="A64" s="123" t="s">
        <v>251</v>
      </c>
      <c r="B64" s="93" t="s">
        <v>538</v>
      </c>
      <c r="C64" s="151" t="s">
        <v>539</v>
      </c>
      <c r="D64" s="150" t="s">
        <v>540</v>
      </c>
      <c r="E64" s="96"/>
      <c r="F64" s="20" t="s">
        <v>76</v>
      </c>
      <c r="G64" s="97">
        <v>100.0</v>
      </c>
      <c r="H64" s="22">
        <f>IF(OR(J64="",K64="",K64&lt;J64),0,NETWORKDAYS(J64,K64,fESTIVOS!$A$2:$A$53))
</f>
        <v>0</v>
      </c>
      <c r="I64" s="98">
        <v>45953.0</v>
      </c>
      <c r="J64" s="99">
        <v>46048.0</v>
      </c>
      <c r="K64" s="99"/>
      <c r="L64" s="99">
        <v>46050.0</v>
      </c>
      <c r="M64" s="27">
        <f>IF(OR(J64="",AND(L64="",TODAY()&lt;J64),AND(L64&lt;&gt;"",L64&lt;J64)),0,
   IF(L64="",
      NETWORKDAYS(J64,TODAY(),fESTIVOS!$A$2:$A$53),
      NETWORKDAYS(J64,L64,fESTIVOS!$A$2:$A$53)
   )
)
</f>
        <v>3</v>
      </c>
      <c r="N64" s="28"/>
      <c r="O64" s="98"/>
      <c r="P64" s="100"/>
      <c r="Q64" s="34" t="s">
        <v>541</v>
      </c>
      <c r="R64" s="31" t="s">
        <v>78</v>
      </c>
      <c r="S64" s="101"/>
      <c r="T64" s="101"/>
      <c r="U64" s="102"/>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34"/>
      <c r="AS64" s="37"/>
      <c r="AT64" s="37"/>
      <c r="AU64" s="37"/>
      <c r="AV64" s="37"/>
      <c r="AW64" s="37"/>
      <c r="AX64" s="37"/>
      <c r="AY64" s="37"/>
      <c r="AZ64" s="37"/>
      <c r="BA64" s="37"/>
      <c r="BB64" s="37"/>
      <c r="BC64" s="37"/>
      <c r="BD64" s="37"/>
      <c r="BE64" s="37"/>
      <c r="BF64" s="37"/>
      <c r="BG64" s="37"/>
      <c r="BH64" s="37"/>
      <c r="BI64" s="37"/>
      <c r="BJ64" s="37"/>
      <c r="BK64" s="37"/>
      <c r="BL64" s="37"/>
      <c r="BM64" s="37"/>
      <c r="BN64" s="37"/>
      <c r="BO64" s="37"/>
    </row>
    <row r="65" ht="29.25" hidden="1" customHeight="1">
      <c r="A65" s="123" t="s">
        <v>251</v>
      </c>
      <c r="B65" s="93" t="s">
        <v>542</v>
      </c>
      <c r="C65" s="107" t="s">
        <v>543</v>
      </c>
      <c r="D65" s="152"/>
      <c r="E65" s="148" t="s">
        <v>216</v>
      </c>
      <c r="F65" s="122" t="s">
        <v>76</v>
      </c>
      <c r="G65" s="97">
        <v>100.0</v>
      </c>
      <c r="H65" s="22">
        <f>IF(OR(J65="",K65="",K65&lt;J65),0,NETWORKDAYS(J65,K65,fESTIVOS!$A$2:$A$53))
</f>
        <v>0</v>
      </c>
      <c r="I65" s="98">
        <v>45828.0</v>
      </c>
      <c r="J65" s="99">
        <v>45832.0</v>
      </c>
      <c r="K65" s="99"/>
      <c r="L65" s="99">
        <v>45832.0</v>
      </c>
      <c r="M65" s="27">
        <f>IF(OR(J65="",AND(L65="",TODAY()&lt;J65),AND(L65&lt;&gt;"",L65&lt;J65)),0,
   IF(L65="",
      NETWORKDAYS(J65,TODAY(),fESTIVOS!$A$2:$A$53),
      NETWORKDAYS(J65,L65,fESTIVOS!$A$2:$A$53)
   )
)
</f>
        <v>1</v>
      </c>
      <c r="N65" s="28"/>
      <c r="O65" s="98"/>
      <c r="P65" s="100"/>
      <c r="Q65" s="103"/>
      <c r="R65" s="31" t="s">
        <v>78</v>
      </c>
      <c r="S65" s="101"/>
      <c r="T65" s="101"/>
      <c r="U65" s="102"/>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34" t="s">
        <v>544</v>
      </c>
      <c r="AT65" s="37"/>
      <c r="AU65" s="37"/>
      <c r="AV65" s="37"/>
      <c r="AW65" s="37"/>
      <c r="AX65" s="37"/>
      <c r="AY65" s="37"/>
      <c r="AZ65" s="37"/>
      <c r="BA65" s="37"/>
      <c r="BB65" s="37"/>
      <c r="BC65" s="37"/>
      <c r="BD65" s="37"/>
      <c r="BE65" s="37"/>
      <c r="BF65" s="37"/>
      <c r="BG65" s="37"/>
      <c r="BH65" s="37"/>
      <c r="BI65" s="37"/>
      <c r="BJ65" s="37"/>
      <c r="BK65" s="37"/>
      <c r="BL65" s="37"/>
      <c r="BM65" s="37"/>
      <c r="BN65" s="37"/>
      <c r="BO65" s="37"/>
    </row>
    <row r="66" ht="29.25" hidden="1" customHeight="1">
      <c r="A66" s="123" t="s">
        <v>251</v>
      </c>
      <c r="B66" s="93" t="s">
        <v>545</v>
      </c>
      <c r="C66" s="107" t="s">
        <v>546</v>
      </c>
      <c r="D66" s="95"/>
      <c r="E66" s="96"/>
      <c r="F66" s="122" t="s">
        <v>76</v>
      </c>
      <c r="G66" s="97">
        <v>100.0</v>
      </c>
      <c r="H66" s="22">
        <f>IF(OR(J66="",K66="",K66&lt;J66),0,NETWORKDAYS(J66,K66,fESTIVOS!$A$2:$A$53))
</f>
        <v>0</v>
      </c>
      <c r="I66" s="98">
        <v>45832.0</v>
      </c>
      <c r="J66" s="99">
        <v>45832.0</v>
      </c>
      <c r="K66" s="99"/>
      <c r="L66" s="99">
        <v>45833.0</v>
      </c>
      <c r="M66" s="27">
        <f>IF(OR(J66="",AND(L66="",TODAY()&lt;J66),AND(L66&lt;&gt;"",L66&lt;J66)),0,
   IF(L66="",
      NETWORKDAYS(J66,TODAY(),fESTIVOS!$A$2:$A$53),
      NETWORKDAYS(J66,L66,fESTIVOS!$A$2:$A$53)
   )
)
</f>
        <v>2</v>
      </c>
      <c r="N66" s="28"/>
      <c r="O66" s="98"/>
      <c r="P66" s="100"/>
      <c r="Q66" s="103"/>
      <c r="R66" s="31" t="s">
        <v>78</v>
      </c>
      <c r="S66" s="101"/>
      <c r="T66" s="101"/>
      <c r="U66" s="102"/>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34" t="s">
        <v>547</v>
      </c>
      <c r="AT66" s="37"/>
      <c r="AU66" s="37"/>
      <c r="AV66" s="37"/>
      <c r="AW66" s="37"/>
      <c r="AX66" s="37"/>
      <c r="AY66" s="37"/>
      <c r="AZ66" s="37"/>
      <c r="BA66" s="37"/>
      <c r="BB66" s="37"/>
      <c r="BC66" s="37"/>
      <c r="BD66" s="37"/>
      <c r="BE66" s="37"/>
      <c r="BF66" s="37"/>
      <c r="BG66" s="37"/>
      <c r="BH66" s="37"/>
      <c r="BI66" s="37"/>
      <c r="BJ66" s="37"/>
      <c r="BK66" s="37"/>
      <c r="BL66" s="37"/>
      <c r="BM66" s="37"/>
      <c r="BN66" s="37"/>
      <c r="BO66" s="37"/>
    </row>
    <row r="67" ht="29.25" hidden="1" customHeight="1">
      <c r="A67" s="55" t="s">
        <v>157</v>
      </c>
      <c r="B67" s="17" t="s">
        <v>548</v>
      </c>
      <c r="C67" s="107" t="s">
        <v>549</v>
      </c>
      <c r="D67" s="95"/>
      <c r="E67" s="96"/>
      <c r="F67" s="122" t="s">
        <v>76</v>
      </c>
      <c r="G67" s="97">
        <v>100.0</v>
      </c>
      <c r="H67" s="22">
        <f>IF(OR(J67="",K67="",K67&lt;J67),0,NETWORKDAYS(J67,K67,fESTIVOS!$A$2:$A$53))
</f>
        <v>0</v>
      </c>
      <c r="I67" s="98">
        <v>45833.0</v>
      </c>
      <c r="J67" s="99">
        <v>45833.0</v>
      </c>
      <c r="K67" s="99"/>
      <c r="L67" s="99">
        <v>45833.0</v>
      </c>
      <c r="M67" s="27">
        <f>IF(OR(J67="",AND(L67="",TODAY()&lt;J67),AND(L67&lt;&gt;"",L67&lt;J67)),0,
   IF(L67="",
      NETWORKDAYS(J67,TODAY(),fESTIVOS!$A$2:$A$53),
      NETWORKDAYS(J67,L67,fESTIVOS!$A$2:$A$53)
   )
)
</f>
        <v>1</v>
      </c>
      <c r="N67" s="28"/>
      <c r="O67" s="98"/>
      <c r="P67" s="100"/>
      <c r="Q67" s="103"/>
      <c r="R67" s="31" t="s">
        <v>78</v>
      </c>
      <c r="S67" s="101"/>
      <c r="T67" s="101"/>
      <c r="U67" s="102"/>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34" t="s">
        <v>550</v>
      </c>
      <c r="AT67" s="37"/>
      <c r="AU67" s="37"/>
      <c r="AV67" s="37"/>
      <c r="AW67" s="37"/>
      <c r="AX67" s="37"/>
      <c r="AY67" s="37"/>
      <c r="AZ67" s="37"/>
      <c r="BA67" s="37"/>
      <c r="BB67" s="37"/>
      <c r="BC67" s="37"/>
      <c r="BD67" s="37"/>
      <c r="BE67" s="37"/>
      <c r="BF67" s="37"/>
      <c r="BG67" s="37"/>
      <c r="BH67" s="37"/>
      <c r="BI67" s="37"/>
      <c r="BJ67" s="37"/>
      <c r="BK67" s="37"/>
      <c r="BL67" s="37"/>
      <c r="BM67" s="37"/>
      <c r="BN67" s="37"/>
      <c r="BO67" s="37"/>
    </row>
    <row r="68" ht="29.25" hidden="1" customHeight="1">
      <c r="A68" s="55" t="s">
        <v>157</v>
      </c>
      <c r="B68" s="17" t="s">
        <v>551</v>
      </c>
      <c r="C68" s="107" t="s">
        <v>552</v>
      </c>
      <c r="D68" s="150"/>
      <c r="E68" s="96"/>
      <c r="F68" s="122" t="s">
        <v>76</v>
      </c>
      <c r="G68" s="97">
        <v>100.0</v>
      </c>
      <c r="H68" s="22">
        <f>IF(OR(J68="",K68="",K68&lt;J68),0,NETWORKDAYS(J68,K68,fESTIVOS!$A$2:$A$53))
</f>
        <v>0</v>
      </c>
      <c r="I68" s="98">
        <v>45833.0</v>
      </c>
      <c r="J68" s="99">
        <v>45833.0</v>
      </c>
      <c r="K68" s="99"/>
      <c r="L68" s="99">
        <v>45833.0</v>
      </c>
      <c r="M68" s="27">
        <f>IF(OR(J68="",AND(L68="",TODAY()&lt;J68),AND(L68&lt;&gt;"",L68&lt;J68)),0,
   IF(L68="",
      NETWORKDAYS(J68,TODAY(),fESTIVOS!$A$2:$A$53),
      NETWORKDAYS(J68,L68,fESTIVOS!$A$2:$A$53)
   )
)
</f>
        <v>1</v>
      </c>
      <c r="N68" s="28"/>
      <c r="O68" s="98"/>
      <c r="P68" s="100"/>
      <c r="Q68" s="103"/>
      <c r="R68" s="31" t="s">
        <v>78</v>
      </c>
      <c r="S68" s="101"/>
      <c r="T68" s="101"/>
      <c r="U68" s="102"/>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34" t="s">
        <v>553</v>
      </c>
      <c r="AT68" s="37"/>
      <c r="AU68" s="37"/>
      <c r="AV68" s="37"/>
      <c r="AW68" s="37"/>
      <c r="AX68" s="37"/>
      <c r="AY68" s="37"/>
      <c r="AZ68" s="37"/>
      <c r="BA68" s="37"/>
      <c r="BB68" s="37"/>
      <c r="BC68" s="37"/>
      <c r="BD68" s="37"/>
      <c r="BE68" s="37"/>
      <c r="BF68" s="37"/>
      <c r="BG68" s="37"/>
      <c r="BH68" s="37"/>
      <c r="BI68" s="37"/>
      <c r="BJ68" s="37"/>
      <c r="BK68" s="37"/>
      <c r="BL68" s="37"/>
      <c r="BM68" s="37"/>
      <c r="BN68" s="37"/>
      <c r="BO68" s="37"/>
    </row>
    <row r="69" ht="29.25" hidden="1" customHeight="1">
      <c r="A69" s="123" t="s">
        <v>251</v>
      </c>
      <c r="B69" s="93" t="s">
        <v>554</v>
      </c>
      <c r="C69" s="151" t="s">
        <v>555</v>
      </c>
      <c r="D69" s="153"/>
      <c r="E69" s="96"/>
      <c r="F69" s="122" t="s">
        <v>76</v>
      </c>
      <c r="G69" s="97">
        <v>100.0</v>
      </c>
      <c r="H69" s="22">
        <f>IF(OR(J69="",K69="",K69&lt;J69),0,NETWORKDAYS(J69,K69,fESTIVOS!$A$2:$A$53))
</f>
        <v>2</v>
      </c>
      <c r="I69" s="98">
        <v>46036.0</v>
      </c>
      <c r="J69" s="99">
        <v>46037.0</v>
      </c>
      <c r="K69" s="99">
        <v>46038.0</v>
      </c>
      <c r="L69" s="99">
        <v>46038.0</v>
      </c>
      <c r="M69" s="27">
        <f>IF(OR(J69="",AND(L69="",TODAY()&lt;J69),AND(L69&lt;&gt;"",L69&lt;J69)),0,
   IF(L69="",
      NETWORKDAYS(J69,TODAY(),fESTIVOS!$A$2:$A$53),
      NETWORKDAYS(J69,L69,fESTIVOS!$A$2:$A$53)
   )
)
</f>
        <v>2</v>
      </c>
      <c r="N69" s="28"/>
      <c r="O69" s="98"/>
      <c r="P69" s="100"/>
      <c r="Q69" s="34" t="s">
        <v>556</v>
      </c>
      <c r="R69" s="31" t="s">
        <v>78</v>
      </c>
      <c r="S69" s="101"/>
      <c r="T69" s="101"/>
      <c r="U69" s="102"/>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37"/>
      <c r="AU69" s="37"/>
      <c r="AV69" s="37"/>
      <c r="AW69" s="37"/>
      <c r="AX69" s="37"/>
      <c r="AY69" s="37"/>
      <c r="AZ69" s="37"/>
      <c r="BA69" s="37"/>
      <c r="BB69" s="37"/>
      <c r="BC69" s="37"/>
      <c r="BD69" s="37"/>
      <c r="BE69" s="37"/>
      <c r="BF69" s="37"/>
      <c r="BG69" s="37"/>
      <c r="BH69" s="37"/>
      <c r="BI69" s="37"/>
      <c r="BJ69" s="37"/>
      <c r="BK69" s="37"/>
      <c r="BL69" s="37"/>
      <c r="BM69" s="37"/>
      <c r="BN69" s="37"/>
      <c r="BO69" s="37"/>
    </row>
    <row r="70" ht="29.25" hidden="1" customHeight="1">
      <c r="A70" s="123" t="s">
        <v>251</v>
      </c>
      <c r="B70" s="93" t="s">
        <v>557</v>
      </c>
      <c r="C70" s="154" t="s">
        <v>558</v>
      </c>
      <c r="D70" s="153"/>
      <c r="E70" s="96"/>
      <c r="F70" s="122" t="s">
        <v>76</v>
      </c>
      <c r="G70" s="97">
        <v>100.0</v>
      </c>
      <c r="H70" s="22">
        <f>IF(OR(J70="",K70="",K70&lt;J70),0,NETWORKDAYS(J70,K70,fESTIVOS!$A$2:$A$53))
</f>
        <v>0</v>
      </c>
      <c r="I70" s="98">
        <v>46063.0</v>
      </c>
      <c r="J70" s="99">
        <v>46063.0</v>
      </c>
      <c r="K70" s="99"/>
      <c r="L70" s="99">
        <v>46063.0</v>
      </c>
      <c r="M70" s="27">
        <f>IF(OR(J70="",AND(L70="",TODAY()&lt;J70),AND(L70&lt;&gt;"",L70&lt;J70)),0,
   IF(L70="",
      NETWORKDAYS(J70,TODAY(),fESTIVOS!$A$2:$A$53),
      NETWORKDAYS(J70,L70,fESTIVOS!$A$2:$A$53)
   )
)
</f>
        <v>1</v>
      </c>
      <c r="N70" s="28"/>
      <c r="O70" s="98"/>
      <c r="P70" s="100"/>
      <c r="Q70" s="34" t="s">
        <v>559</v>
      </c>
      <c r="R70" s="113" t="s">
        <v>78</v>
      </c>
      <c r="S70" s="101"/>
      <c r="T70" s="101"/>
      <c r="U70" s="102"/>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37"/>
      <c r="AU70" s="37"/>
      <c r="AV70" s="37"/>
      <c r="AW70" s="37"/>
      <c r="AX70" s="37"/>
      <c r="AY70" s="37"/>
      <c r="AZ70" s="37"/>
      <c r="BA70" s="37"/>
      <c r="BB70" s="37"/>
      <c r="BC70" s="37"/>
      <c r="BD70" s="37"/>
      <c r="BE70" s="37"/>
      <c r="BF70" s="37"/>
      <c r="BG70" s="37"/>
      <c r="BH70" s="37"/>
      <c r="BI70" s="37"/>
      <c r="BJ70" s="37"/>
      <c r="BK70" s="37"/>
      <c r="BL70" s="37"/>
      <c r="BM70" s="37"/>
      <c r="BN70" s="37"/>
      <c r="BO70" s="37"/>
    </row>
    <row r="71" ht="29.25" hidden="1" customHeight="1">
      <c r="A71" s="123" t="s">
        <v>251</v>
      </c>
      <c r="B71" s="93" t="s">
        <v>560</v>
      </c>
      <c r="C71" s="141" t="s">
        <v>561</v>
      </c>
      <c r="D71" s="153"/>
      <c r="E71" s="96"/>
      <c r="F71" s="122" t="s">
        <v>245</v>
      </c>
      <c r="G71" s="97">
        <v>30.0</v>
      </c>
      <c r="H71" s="22">
        <f>IF(OR(J71="",K71="",K71&lt;J71),0,NETWORKDAYS(J71,K71,fESTIVOS!$A$2:$A$53))
</f>
        <v>0</v>
      </c>
      <c r="I71" s="98">
        <v>46070.0</v>
      </c>
      <c r="J71" s="99">
        <v>46070.0</v>
      </c>
      <c r="K71" s="99"/>
      <c r="L71" s="99"/>
      <c r="M71" s="27">
        <f>IF(OR(J71="",AND(L71="",TODAY()&lt;J71),AND(L71&lt;&gt;"",L71&lt;J71)),0,
   IF(L71="",
      NETWORKDAYS(J71,TODAY(),fESTIVOS!$A$2:$A$53),
      NETWORKDAYS(J71,L71,fESTIVOS!$A$2:$A$53)
   )
)
</f>
        <v>79</v>
      </c>
      <c r="N71" s="28"/>
      <c r="O71" s="98"/>
      <c r="P71" s="100"/>
      <c r="Q71" s="34" t="s">
        <v>562</v>
      </c>
      <c r="R71" s="113" t="s">
        <v>208</v>
      </c>
      <c r="S71" s="101"/>
      <c r="T71" s="101"/>
      <c r="U71" s="102"/>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37"/>
      <c r="AU71" s="37"/>
      <c r="AV71" s="37"/>
      <c r="AW71" s="37"/>
      <c r="AX71" s="37"/>
      <c r="AY71" s="37"/>
      <c r="AZ71" s="37"/>
      <c r="BA71" s="37"/>
      <c r="BB71" s="37"/>
      <c r="BC71" s="37"/>
      <c r="BD71" s="37"/>
      <c r="BE71" s="37"/>
      <c r="BF71" s="37"/>
      <c r="BG71" s="37"/>
      <c r="BH71" s="37"/>
      <c r="BI71" s="37"/>
      <c r="BJ71" s="37"/>
      <c r="BK71" s="37"/>
      <c r="BL71" s="37"/>
      <c r="BM71" s="37"/>
      <c r="BN71" s="37"/>
      <c r="BO71" s="37"/>
    </row>
    <row r="72" ht="29.25" hidden="1" customHeight="1">
      <c r="A72" s="123" t="s">
        <v>251</v>
      </c>
      <c r="B72" s="17" t="s">
        <v>445</v>
      </c>
      <c r="C72" s="107" t="s">
        <v>563</v>
      </c>
      <c r="D72" s="95"/>
      <c r="E72" s="96"/>
      <c r="F72" s="122" t="s">
        <v>76</v>
      </c>
      <c r="G72" s="97">
        <v>100.0</v>
      </c>
      <c r="H72" s="22">
        <f>IF(OR(J72="",K72="",K72&lt;J72),0,NETWORKDAYS(J72,K72,fESTIVOS!$A$2:$A$53))
</f>
        <v>0</v>
      </c>
      <c r="I72" s="98">
        <v>45834.0</v>
      </c>
      <c r="J72" s="99">
        <v>45834.0</v>
      </c>
      <c r="K72" s="99"/>
      <c r="L72" s="99">
        <v>45841.0</v>
      </c>
      <c r="M72" s="27">
        <f>IF(OR(J72="",AND(L72="",TODAY()&lt;J72),AND(L72&lt;&gt;"",L72&lt;J72)),0,
   IF(L72="",
      NETWORKDAYS(J72,TODAY(),fESTIVOS!$A$2:$A$53),
      NETWORKDAYS(J72,L72,fESTIVOS!$A$2:$A$53)
   )
)
</f>
        <v>5</v>
      </c>
      <c r="N72" s="28"/>
      <c r="O72" s="98"/>
      <c r="P72" s="100"/>
      <c r="Q72" s="103"/>
      <c r="R72" s="31" t="s">
        <v>78</v>
      </c>
      <c r="S72" s="101"/>
      <c r="T72" s="101"/>
      <c r="U72" s="102"/>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34" t="s">
        <v>564</v>
      </c>
      <c r="AU72" s="37"/>
      <c r="AV72" s="37" t="s">
        <v>565</v>
      </c>
      <c r="AW72" s="37" t="s">
        <v>455</v>
      </c>
      <c r="AX72" s="37" t="s">
        <v>566</v>
      </c>
      <c r="AY72" s="37"/>
      <c r="AZ72" s="37"/>
      <c r="BA72" s="37"/>
      <c r="BB72" s="37"/>
      <c r="BC72" s="37"/>
      <c r="BD72" s="37"/>
      <c r="BE72" s="37"/>
      <c r="BF72" s="37"/>
      <c r="BG72" s="37"/>
      <c r="BH72" s="37"/>
      <c r="BI72" s="37"/>
      <c r="BJ72" s="37"/>
      <c r="BK72" s="37"/>
      <c r="BL72" s="37"/>
      <c r="BM72" s="37"/>
      <c r="BN72" s="37"/>
      <c r="BO72" s="37"/>
    </row>
    <row r="73" ht="29.25" hidden="1" customHeight="1">
      <c r="A73" s="55" t="s">
        <v>157</v>
      </c>
      <c r="B73" s="17" t="s">
        <v>567</v>
      </c>
      <c r="C73" s="107" t="s">
        <v>568</v>
      </c>
      <c r="D73" s="150"/>
      <c r="E73" s="96"/>
      <c r="F73" s="122" t="s">
        <v>76</v>
      </c>
      <c r="G73" s="97">
        <v>100.0</v>
      </c>
      <c r="H73" s="22">
        <f>IF(OR(J73="",K73="",K73&lt;J73),0,NETWORKDAYS(J73,K73,fESTIVOS!$A$2:$A$53))
</f>
        <v>0</v>
      </c>
      <c r="I73" s="98">
        <v>45841.0</v>
      </c>
      <c r="J73" s="99">
        <v>45841.0</v>
      </c>
      <c r="K73" s="99"/>
      <c r="L73" s="99">
        <v>45841.0</v>
      </c>
      <c r="M73" s="27">
        <f>IF(OR(J73="",AND(L73="",TODAY()&lt;J73),AND(L73&lt;&gt;"",L73&lt;J73)),0,
   IF(L73="",
      NETWORKDAYS(J73,TODAY(),fESTIVOS!$A$2:$A$53),
      NETWORKDAYS(J73,L73,fESTIVOS!$A$2:$A$53)
   )
)
</f>
        <v>1</v>
      </c>
      <c r="N73" s="28"/>
      <c r="O73" s="98"/>
      <c r="P73" s="100"/>
      <c r="Q73" s="103"/>
      <c r="R73" s="31" t="s">
        <v>78</v>
      </c>
      <c r="S73" s="101"/>
      <c r="T73" s="101"/>
      <c r="U73" s="102"/>
      <c r="V73" s="103"/>
      <c r="W73" s="103"/>
      <c r="X73" s="103"/>
      <c r="Y73" s="103"/>
      <c r="Z73" s="103"/>
      <c r="AA73" s="103"/>
      <c r="AB73" s="103"/>
      <c r="AC73" s="103"/>
      <c r="AD73" s="103"/>
      <c r="AE73" s="103"/>
      <c r="AF73" s="103"/>
      <c r="AG73" s="103"/>
      <c r="AH73" s="103"/>
      <c r="AI73" s="103"/>
      <c r="AJ73" s="103"/>
      <c r="AK73" s="103"/>
      <c r="AL73" s="103"/>
      <c r="AM73" s="103"/>
      <c r="AN73" s="103"/>
      <c r="AO73" s="103"/>
      <c r="AP73" s="103"/>
      <c r="AQ73" s="103"/>
      <c r="AR73" s="103"/>
      <c r="AS73" s="103"/>
      <c r="AT73" s="103"/>
      <c r="AU73" s="103"/>
      <c r="AV73" s="103"/>
      <c r="AW73" s="103"/>
      <c r="AX73" s="37" t="s">
        <v>569</v>
      </c>
      <c r="AY73" s="37"/>
      <c r="AZ73" s="37"/>
      <c r="BA73" s="37"/>
      <c r="BB73" s="37"/>
      <c r="BC73" s="37"/>
      <c r="BD73" s="37"/>
      <c r="BE73" s="37"/>
      <c r="BF73" s="37"/>
      <c r="BG73" s="37"/>
      <c r="BH73" s="37"/>
      <c r="BI73" s="37"/>
      <c r="BJ73" s="37"/>
      <c r="BK73" s="37"/>
      <c r="BL73" s="37"/>
      <c r="BM73" s="37"/>
      <c r="BN73" s="37"/>
      <c r="BO73" s="37"/>
    </row>
    <row r="74" ht="29.25" hidden="1" customHeight="1">
      <c r="A74" s="55" t="s">
        <v>157</v>
      </c>
      <c r="B74" s="17" t="s">
        <v>570</v>
      </c>
      <c r="C74" s="107" t="s">
        <v>571</v>
      </c>
      <c r="D74" s="95"/>
      <c r="E74" s="96"/>
      <c r="F74" s="122" t="s">
        <v>76</v>
      </c>
      <c r="G74" s="97">
        <v>100.0</v>
      </c>
      <c r="H74" s="22">
        <f>IF(OR(J74="",K74="",K74&lt;J74),0,NETWORKDAYS(J74,K74,fESTIVOS!$A$2:$A$53))
</f>
        <v>0</v>
      </c>
      <c r="I74" s="98">
        <v>45845.0</v>
      </c>
      <c r="J74" s="99">
        <v>45845.0</v>
      </c>
      <c r="K74" s="99"/>
      <c r="L74" s="99">
        <v>45845.0</v>
      </c>
      <c r="M74" s="27">
        <f>IF(OR(J74="",AND(L74="",TODAY()&lt;J74),AND(L74&lt;&gt;"",L74&lt;J74)),0,
   IF(L74="",
      NETWORKDAYS(J74,TODAY(),fESTIVOS!$A$2:$A$53),
      NETWORKDAYS(J74,L74,fESTIVOS!$A$2:$A$53)
   )
)
</f>
        <v>1</v>
      </c>
      <c r="N74" s="28"/>
      <c r="O74" s="98"/>
      <c r="P74" s="100"/>
      <c r="Q74" s="103"/>
      <c r="R74" s="31" t="s">
        <v>78</v>
      </c>
      <c r="S74" s="101"/>
      <c r="T74" s="101"/>
      <c r="U74" s="102"/>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4"/>
      <c r="AY74" s="37" t="s">
        <v>572</v>
      </c>
      <c r="AZ74" s="37"/>
      <c r="BA74" s="37"/>
      <c r="BB74" s="37"/>
      <c r="BC74" s="37"/>
      <c r="BD74" s="37"/>
      <c r="BE74" s="37"/>
      <c r="BF74" s="37"/>
      <c r="BG74" s="37"/>
      <c r="BH74" s="37"/>
      <c r="BI74" s="37"/>
      <c r="BJ74" s="37"/>
      <c r="BK74" s="37"/>
      <c r="BL74" s="37"/>
      <c r="BM74" s="37"/>
      <c r="BN74" s="37"/>
      <c r="BO74" s="37"/>
    </row>
    <row r="75" ht="29.25" hidden="1" customHeight="1">
      <c r="A75" s="55" t="s">
        <v>157</v>
      </c>
      <c r="B75" s="17" t="s">
        <v>573</v>
      </c>
      <c r="C75" s="107" t="s">
        <v>574</v>
      </c>
      <c r="D75" s="95"/>
      <c r="E75" s="96"/>
      <c r="F75" s="122" t="s">
        <v>76</v>
      </c>
      <c r="G75" s="97">
        <v>100.0</v>
      </c>
      <c r="H75" s="22">
        <f>IF(OR(J75="",K75="",K75&lt;J75),0,NETWORKDAYS(J75,K75,fESTIVOS!$A$2:$A$53))
</f>
        <v>0</v>
      </c>
      <c r="I75" s="98">
        <v>45842.0</v>
      </c>
      <c r="J75" s="99">
        <v>45842.0</v>
      </c>
      <c r="K75" s="99"/>
      <c r="L75" s="99">
        <v>45845.0</v>
      </c>
      <c r="M75" s="27">
        <f>IF(OR(J75="",AND(L75="",TODAY()&lt;J75),AND(L75&lt;&gt;"",L75&lt;J75)),0,
   IF(L75="",
      NETWORKDAYS(J75,TODAY(),fESTIVOS!$A$2:$A$53),
      NETWORKDAYS(J75,L75,fESTIVOS!$A$2:$A$53)
   )
)
</f>
        <v>2</v>
      </c>
      <c r="N75" s="28"/>
      <c r="O75" s="98"/>
      <c r="P75" s="100"/>
      <c r="Q75" s="103"/>
      <c r="R75" s="31" t="s">
        <v>78</v>
      </c>
      <c r="S75" s="101"/>
      <c r="T75" s="101"/>
      <c r="U75" s="102"/>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37" t="s">
        <v>575</v>
      </c>
      <c r="AZ75" s="37"/>
      <c r="BA75" s="37"/>
      <c r="BB75" s="37"/>
      <c r="BC75" s="37"/>
      <c r="BD75" s="37"/>
      <c r="BE75" s="37"/>
      <c r="BF75" s="37"/>
      <c r="BG75" s="37"/>
      <c r="BH75" s="37"/>
      <c r="BI75" s="37"/>
      <c r="BJ75" s="37"/>
      <c r="BK75" s="37"/>
      <c r="BL75" s="37"/>
      <c r="BM75" s="37"/>
      <c r="BN75" s="37"/>
      <c r="BO75" s="37"/>
    </row>
    <row r="76" ht="29.25" hidden="1" customHeight="1">
      <c r="A76" s="55" t="s">
        <v>128</v>
      </c>
      <c r="B76" s="17" t="s">
        <v>576</v>
      </c>
      <c r="C76" s="107" t="s">
        <v>577</v>
      </c>
      <c r="D76" s="150"/>
      <c r="E76" s="96"/>
      <c r="F76" s="122" t="s">
        <v>76</v>
      </c>
      <c r="G76" s="97">
        <v>100.0</v>
      </c>
      <c r="H76" s="22">
        <f>IF(OR(J76="",K76="",K76&lt;J76),0,NETWORKDAYS(J76,K76,fESTIVOS!$A$2:$A$53))
</f>
        <v>0</v>
      </c>
      <c r="I76" s="98">
        <v>45846.0</v>
      </c>
      <c r="J76" s="99">
        <v>45846.0</v>
      </c>
      <c r="K76" s="99"/>
      <c r="L76" s="99">
        <v>45847.0</v>
      </c>
      <c r="M76" s="27">
        <f>IF(OR(J76="",AND(L76="",TODAY()&lt;J76),AND(L76&lt;&gt;"",L76&lt;J76)),0,
   IF(L76="",
      NETWORKDAYS(J76,TODAY(),fESTIVOS!$A$2:$A$53),
      NETWORKDAYS(J76,L76,fESTIVOS!$A$2:$A$53)
   )
)
</f>
        <v>2</v>
      </c>
      <c r="N76" s="28"/>
      <c r="O76" s="98"/>
      <c r="P76" s="100"/>
      <c r="Q76" s="103"/>
      <c r="R76" s="31" t="s">
        <v>78</v>
      </c>
      <c r="S76" s="101"/>
      <c r="T76" s="101"/>
      <c r="U76" s="102"/>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4"/>
      <c r="AZ76" s="104"/>
      <c r="BA76" s="37" t="s">
        <v>578</v>
      </c>
      <c r="BB76" s="37"/>
      <c r="BC76" s="37" t="s">
        <v>579</v>
      </c>
      <c r="BD76" s="37"/>
      <c r="BE76" s="37"/>
      <c r="BF76" s="37"/>
      <c r="BG76" s="37"/>
      <c r="BH76" s="37"/>
      <c r="BI76" s="37"/>
      <c r="BJ76" s="37"/>
      <c r="BK76" s="37"/>
      <c r="BL76" s="37"/>
      <c r="BM76" s="37"/>
      <c r="BN76" s="37"/>
      <c r="BO76" s="37"/>
    </row>
    <row r="77" ht="29.25" hidden="1" customHeight="1">
      <c r="A77" s="55" t="s">
        <v>128</v>
      </c>
      <c r="B77" s="17" t="s">
        <v>580</v>
      </c>
      <c r="C77" s="107" t="s">
        <v>581</v>
      </c>
      <c r="D77" s="150"/>
      <c r="E77" s="96"/>
      <c r="F77" s="122" t="s">
        <v>76</v>
      </c>
      <c r="G77" s="97">
        <v>100.0</v>
      </c>
      <c r="H77" s="22">
        <f>IF(OR(J77="",K77="",K77&lt;J77),0,NETWORKDAYS(J77,K77,fESTIVOS!$A$2:$A$53))
</f>
        <v>0</v>
      </c>
      <c r="I77" s="98">
        <v>45845.0</v>
      </c>
      <c r="J77" s="99">
        <v>45846.0</v>
      </c>
      <c r="K77" s="99"/>
      <c r="L77" s="99">
        <v>45846.0</v>
      </c>
      <c r="M77" s="27">
        <f>IF(OR(J77="",AND(L77="",TODAY()&lt;J77),AND(L77&lt;&gt;"",L77&lt;J77)),0,
   IF(L77="",
      NETWORKDAYS(J77,TODAY(),fESTIVOS!$A$2:$A$53),
      NETWORKDAYS(J77,L77,fESTIVOS!$A$2:$A$53)
   )
)
</f>
        <v>1</v>
      </c>
      <c r="N77" s="28"/>
      <c r="O77" s="98"/>
      <c r="P77" s="100"/>
      <c r="Q77" s="103"/>
      <c r="R77" s="31" t="s">
        <v>78</v>
      </c>
      <c r="S77" s="101"/>
      <c r="T77" s="101"/>
      <c r="U77" s="102"/>
      <c r="V77" s="103"/>
      <c r="W77" s="103"/>
      <c r="X77" s="103"/>
      <c r="Y77" s="103"/>
      <c r="Z77" s="103"/>
      <c r="AA77" s="103"/>
      <c r="AB77" s="103"/>
      <c r="AC77" s="103"/>
      <c r="AD77" s="103"/>
      <c r="AE77" s="103"/>
      <c r="AF77" s="103"/>
      <c r="AG77" s="103"/>
      <c r="AH77" s="103"/>
      <c r="AI77" s="103"/>
      <c r="AJ77" s="103"/>
      <c r="AK77" s="103"/>
      <c r="AL77" s="103"/>
      <c r="AM77" s="103"/>
      <c r="AN77" s="103"/>
      <c r="AO77" s="103"/>
      <c r="AP77" s="103"/>
      <c r="AQ77" s="103"/>
      <c r="AR77" s="103"/>
      <c r="AS77" s="103"/>
      <c r="AT77" s="103"/>
      <c r="AU77" s="103"/>
      <c r="AV77" s="103"/>
      <c r="AW77" s="103"/>
      <c r="AX77" s="103"/>
      <c r="AY77" s="103"/>
      <c r="AZ77" s="103"/>
      <c r="BA77" s="37" t="s">
        <v>582</v>
      </c>
      <c r="BB77" s="37"/>
      <c r="BC77" s="37"/>
      <c r="BD77" s="37"/>
      <c r="BE77" s="37"/>
      <c r="BF77" s="37"/>
      <c r="BG77" s="37"/>
      <c r="BH77" s="37"/>
      <c r="BI77" s="37"/>
      <c r="BJ77" s="37"/>
      <c r="BK77" s="37"/>
      <c r="BL77" s="37"/>
      <c r="BM77" s="37"/>
      <c r="BN77" s="37"/>
      <c r="BO77" s="37"/>
    </row>
    <row r="78" ht="29.25" hidden="1" customHeight="1">
      <c r="A78" s="55" t="s">
        <v>128</v>
      </c>
      <c r="B78" s="17" t="s">
        <v>583</v>
      </c>
      <c r="C78" s="107" t="s">
        <v>584</v>
      </c>
      <c r="D78" s="150"/>
      <c r="E78" s="96"/>
      <c r="F78" s="122" t="s">
        <v>76</v>
      </c>
      <c r="G78" s="97">
        <v>100.0</v>
      </c>
      <c r="H78" s="22">
        <f>IF(OR(J78="",K78="",K78&lt;J78),0,NETWORKDAYS(J78,K78,fESTIVOS!$A$2:$A$53))
</f>
        <v>0</v>
      </c>
      <c r="I78" s="98">
        <v>45845.0</v>
      </c>
      <c r="J78" s="99">
        <v>45846.0</v>
      </c>
      <c r="K78" s="99"/>
      <c r="L78" s="99">
        <v>45846.0</v>
      </c>
      <c r="M78" s="27">
        <f>IF(OR(J78="",AND(L78="",TODAY()&lt;J78),AND(L78&lt;&gt;"",L78&lt;J78)),0,
   IF(L78="",
      NETWORKDAYS(J78,TODAY(),fESTIVOS!$A$2:$A$53),
      NETWORKDAYS(J78,L78,fESTIVOS!$A$2:$A$53)
   )
)
</f>
        <v>1</v>
      </c>
      <c r="N78" s="28"/>
      <c r="O78" s="98"/>
      <c r="P78" s="100"/>
      <c r="Q78" s="103"/>
      <c r="R78" s="31" t="s">
        <v>78</v>
      </c>
      <c r="S78" s="101"/>
      <c r="T78" s="101"/>
      <c r="U78" s="102"/>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37" t="s">
        <v>585</v>
      </c>
      <c r="BB78" s="37"/>
      <c r="BC78" s="37"/>
      <c r="BD78" s="37"/>
      <c r="BE78" s="37"/>
      <c r="BF78" s="37"/>
      <c r="BG78" s="37"/>
      <c r="BH78" s="37"/>
      <c r="BI78" s="37"/>
      <c r="BJ78" s="37"/>
      <c r="BK78" s="37"/>
      <c r="BL78" s="37"/>
      <c r="BM78" s="37"/>
      <c r="BN78" s="37"/>
      <c r="BO78" s="37"/>
    </row>
    <row r="79" ht="29.25" hidden="1" customHeight="1">
      <c r="A79" s="92" t="s">
        <v>128</v>
      </c>
      <c r="B79" s="93" t="s">
        <v>586</v>
      </c>
      <c r="C79" s="141" t="s">
        <v>587</v>
      </c>
      <c r="D79" s="95"/>
      <c r="E79" s="96"/>
      <c r="F79" s="122" t="s">
        <v>76</v>
      </c>
      <c r="G79" s="97">
        <v>100.0</v>
      </c>
      <c r="H79" s="22">
        <f>IF(OR(J79="",K79="",K79&lt;J79),0,NETWORKDAYS(J79,K79,fESTIVOS!$A$2:$A$53))
</f>
        <v>0</v>
      </c>
      <c r="I79" s="98">
        <v>45975.0</v>
      </c>
      <c r="J79" s="99">
        <v>45975.0</v>
      </c>
      <c r="K79" s="99"/>
      <c r="L79" s="99">
        <v>45975.0</v>
      </c>
      <c r="M79" s="27">
        <f>IF(OR(J79="",AND(L79="",TODAY()&lt;J79),AND(L79&lt;&gt;"",L79&lt;J79)),0,
   IF(L79="",
      NETWORKDAYS(J79,TODAY(),fESTIVOS!$A$2:$A$53),
      NETWORKDAYS(J79,L79,fESTIVOS!$A$2:$A$53)
   )
)
</f>
        <v>1</v>
      </c>
      <c r="N79" s="28"/>
      <c r="O79" s="98"/>
      <c r="P79" s="100"/>
      <c r="Q79" s="34" t="s">
        <v>588</v>
      </c>
      <c r="R79" s="113" t="s">
        <v>78</v>
      </c>
      <c r="S79" s="155"/>
      <c r="T79" s="97"/>
      <c r="U79" s="102"/>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row>
    <row r="80" ht="29.25" hidden="1" customHeight="1">
      <c r="A80" s="92" t="s">
        <v>128</v>
      </c>
      <c r="B80" s="93" t="s">
        <v>589</v>
      </c>
      <c r="C80" s="141" t="s">
        <v>590</v>
      </c>
      <c r="D80" s="95" t="s">
        <v>591</v>
      </c>
      <c r="E80" s="96"/>
      <c r="F80" s="122" t="s">
        <v>76</v>
      </c>
      <c r="G80" s="97">
        <v>100.0</v>
      </c>
      <c r="H80" s="22">
        <f>IF(OR(J80="",K80="",K80&lt;J80),0,NETWORKDAYS(J80,K80,fESTIVOS!$A$2:$A$53))
</f>
        <v>0</v>
      </c>
      <c r="I80" s="98">
        <v>45975.0</v>
      </c>
      <c r="J80" s="99">
        <v>45975.0</v>
      </c>
      <c r="K80" s="99"/>
      <c r="L80" s="99">
        <v>45985.0</v>
      </c>
      <c r="M80" s="27">
        <f>IF(OR(J80="",AND(L80="",TODAY()&lt;J80),AND(L80&lt;&gt;"",L80&lt;J80)),0,
   IF(L80="",
      NETWORKDAYS(J80,TODAY(),fESTIVOS!$A$2:$A$53),
      NETWORKDAYS(J80,L80,fESTIVOS!$A$2:$A$53)
   )
)
</f>
        <v>6</v>
      </c>
      <c r="N80" s="28"/>
      <c r="O80" s="98"/>
      <c r="P80" s="100"/>
      <c r="Q80" s="34" t="s">
        <v>592</v>
      </c>
      <c r="R80" s="113" t="s">
        <v>78</v>
      </c>
      <c r="S80" s="155"/>
      <c r="T80" s="97"/>
      <c r="U80" s="102"/>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row>
    <row r="81" ht="29.25" hidden="1" customHeight="1">
      <c r="A81" s="92" t="s">
        <v>128</v>
      </c>
      <c r="B81" s="93" t="s">
        <v>593</v>
      </c>
      <c r="C81" s="141" t="s">
        <v>594</v>
      </c>
      <c r="D81" s="95" t="s">
        <v>595</v>
      </c>
      <c r="E81" s="96"/>
      <c r="F81" s="122" t="s">
        <v>76</v>
      </c>
      <c r="G81" s="97">
        <v>100.0</v>
      </c>
      <c r="H81" s="22">
        <f>IF(OR(J81="",K81="",K81&lt;J81),0,NETWORKDAYS(J81,K81,fESTIVOS!$A$2:$A$53))
</f>
        <v>0</v>
      </c>
      <c r="I81" s="98">
        <v>46000.0</v>
      </c>
      <c r="J81" s="99">
        <v>46000.0</v>
      </c>
      <c r="K81" s="99"/>
      <c r="L81" s="99">
        <v>45972.0</v>
      </c>
      <c r="M81" s="27">
        <f>IF(OR(J81="",AND(L81="",TODAY()&lt;J81),AND(L81&lt;&gt;"",L81&lt;J81)),0,
   IF(L81="",
      NETWORKDAYS(J81,TODAY(),fESTIVOS!$A$2:$A$53),
      NETWORKDAYS(J81,L81,fESTIVOS!$A$2:$A$53)
   )
)
</f>
        <v>0</v>
      </c>
      <c r="N81" s="28"/>
      <c r="O81" s="98"/>
      <c r="P81" s="100">
        <v>45972.0</v>
      </c>
      <c r="Q81" s="34" t="s">
        <v>596</v>
      </c>
      <c r="R81" s="113"/>
      <c r="S81" s="155"/>
      <c r="T81" s="97"/>
      <c r="U81" s="102"/>
      <c r="V81" s="103"/>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4"/>
      <c r="BD81" s="104"/>
      <c r="BE81" s="104"/>
      <c r="BF81" s="104"/>
      <c r="BG81" s="104"/>
      <c r="BH81" s="104"/>
      <c r="BI81" s="104"/>
      <c r="BJ81" s="104"/>
      <c r="BK81" s="104"/>
      <c r="BL81" s="104"/>
      <c r="BM81" s="104"/>
      <c r="BN81" s="104"/>
      <c r="BO81" s="104"/>
    </row>
    <row r="82" ht="29.25" hidden="1" customHeight="1">
      <c r="A82" s="123" t="s">
        <v>251</v>
      </c>
      <c r="B82" s="93" t="s">
        <v>597</v>
      </c>
      <c r="C82" s="107" t="s">
        <v>598</v>
      </c>
      <c r="D82" s="76"/>
      <c r="E82" s="96"/>
      <c r="F82" s="122" t="s">
        <v>76</v>
      </c>
      <c r="G82" s="97">
        <v>100.0</v>
      </c>
      <c r="H82" s="22">
        <f>IF(OR(J82="",K82="",K82&lt;J82),0,NETWORKDAYS(J82,K82,fESTIVOS!$A$2:$A$53))
</f>
        <v>0</v>
      </c>
      <c r="I82" s="98">
        <v>45849.0</v>
      </c>
      <c r="J82" s="99">
        <v>45849.0</v>
      </c>
      <c r="K82" s="99"/>
      <c r="L82" s="99">
        <v>45855.0</v>
      </c>
      <c r="M82" s="27">
        <f>IF(OR(J82="",AND(L82="",TODAY()&lt;J82),AND(L82&lt;&gt;"",L82&lt;J82)),0,
   IF(L82="",
      NETWORKDAYS(J82,TODAY(),fESTIVOS!$A$2:$A$53),
      NETWORKDAYS(J82,L82,fESTIVOS!$A$2:$A$53)
   )
)
</f>
        <v>5</v>
      </c>
      <c r="N82" s="28"/>
      <c r="O82" s="98"/>
      <c r="P82" s="100"/>
      <c r="Q82" s="103"/>
      <c r="R82" s="31" t="s">
        <v>78</v>
      </c>
      <c r="S82" s="101"/>
      <c r="T82" s="101"/>
      <c r="U82" s="102"/>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37" t="s">
        <v>599</v>
      </c>
      <c r="BD82" s="37"/>
      <c r="BE82" s="37"/>
      <c r="BF82" s="37" t="s">
        <v>600</v>
      </c>
      <c r="BG82" s="37"/>
      <c r="BH82" s="37" t="s">
        <v>601</v>
      </c>
      <c r="BI82" s="37"/>
      <c r="BJ82" s="37"/>
      <c r="BK82" s="37"/>
      <c r="BL82" s="37"/>
      <c r="BM82" s="37"/>
      <c r="BN82" s="37"/>
      <c r="BO82" s="37"/>
    </row>
    <row r="83" ht="29.25" hidden="1" customHeight="1">
      <c r="A83" s="16" t="s">
        <v>67</v>
      </c>
      <c r="B83" s="17" t="s">
        <v>602</v>
      </c>
      <c r="C83" s="107" t="s">
        <v>603</v>
      </c>
      <c r="D83" s="95"/>
      <c r="E83" s="96"/>
      <c r="F83" s="122" t="s">
        <v>76</v>
      </c>
      <c r="G83" s="97">
        <v>100.0</v>
      </c>
      <c r="H83" s="22">
        <f>IF(OR(J83="",K83="",K83&lt;J83),0,NETWORKDAYS(J83,K83,fESTIVOS!$A$2:$A$53))
</f>
        <v>0</v>
      </c>
      <c r="I83" s="98">
        <v>45852.0</v>
      </c>
      <c r="J83" s="99">
        <v>45852.0</v>
      </c>
      <c r="K83" s="99"/>
      <c r="L83" s="99">
        <v>45852.0</v>
      </c>
      <c r="M83" s="27">
        <f>IF(OR(J83="",AND(L83="",TODAY()&lt;J83),AND(L83&lt;&gt;"",L83&lt;J83)),0,
   IF(L83="",
      NETWORKDAYS(J83,TODAY(),fESTIVOS!$A$2:$A$53),
      NETWORKDAYS(J83,L83,fESTIVOS!$A$2:$A$53)
   )
)
</f>
        <v>1</v>
      </c>
      <c r="N83" s="28"/>
      <c r="O83" s="98"/>
      <c r="P83" s="100"/>
      <c r="Q83" s="103"/>
      <c r="R83" s="31" t="s">
        <v>78</v>
      </c>
      <c r="S83" s="101"/>
      <c r="T83" s="101"/>
      <c r="U83" s="102"/>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34" t="s">
        <v>604</v>
      </c>
      <c r="BE83" s="37"/>
      <c r="BF83" s="37" t="s">
        <v>605</v>
      </c>
      <c r="BG83" s="37"/>
      <c r="BH83" s="37"/>
      <c r="BI83" s="37"/>
      <c r="BJ83" s="37"/>
      <c r="BK83" s="37"/>
      <c r="BL83" s="37"/>
      <c r="BM83" s="37"/>
      <c r="BN83" s="37"/>
      <c r="BO83" s="37"/>
    </row>
    <row r="84" ht="29.25" hidden="1" customHeight="1">
      <c r="A84" s="16" t="s">
        <v>67</v>
      </c>
      <c r="B84" s="17" t="s">
        <v>606</v>
      </c>
      <c r="C84" s="107" t="s">
        <v>607</v>
      </c>
      <c r="D84" s="156"/>
      <c r="E84" s="96"/>
      <c r="F84" s="122" t="s">
        <v>91</v>
      </c>
      <c r="G84" s="97">
        <v>15.0</v>
      </c>
      <c r="H84" s="22">
        <f>IF(OR(J84="",K84="",K84&lt;J84),0,NETWORKDAYS(J84,K84,fESTIVOS!$A$2:$A$53))
</f>
        <v>0</v>
      </c>
      <c r="I84" s="98">
        <v>45852.0</v>
      </c>
      <c r="J84" s="99">
        <v>45856.0</v>
      </c>
      <c r="K84" s="99"/>
      <c r="L84" s="99"/>
      <c r="M84" s="27">
        <f>IF(OR(J84="",AND(L84="",TODAY()&lt;J84),AND(L84&lt;&gt;"",L84&lt;J84)),0,
   IF(L84="",
      NETWORKDAYS(J84,TODAY(),fESTIVOS!$A$2:$A$53),
      NETWORKDAYS(J84,L84,fESTIVOS!$A$2:$A$53)
   )
)
</f>
        <v>222</v>
      </c>
      <c r="N84" s="28"/>
      <c r="O84" s="98"/>
      <c r="P84" s="100"/>
      <c r="Q84" s="34" t="s">
        <v>608</v>
      </c>
      <c r="R84" s="113" t="s">
        <v>93</v>
      </c>
      <c r="S84" s="101"/>
      <c r="T84" s="101"/>
      <c r="U84" s="102"/>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34" t="s">
        <v>609</v>
      </c>
      <c r="BE84" s="37"/>
      <c r="BF84" s="37"/>
      <c r="BG84" s="37"/>
      <c r="BH84" s="37"/>
      <c r="BI84" s="37" t="s">
        <v>610</v>
      </c>
      <c r="BJ84" s="37" t="s">
        <v>611</v>
      </c>
      <c r="BK84" s="37"/>
      <c r="BL84" s="37"/>
      <c r="BM84" s="37"/>
      <c r="BN84" s="37"/>
      <c r="BO84" s="37"/>
    </row>
    <row r="85" ht="29.25" hidden="1" customHeight="1">
      <c r="A85" s="55" t="s">
        <v>128</v>
      </c>
      <c r="B85" s="17" t="s">
        <v>612</v>
      </c>
      <c r="C85" s="107" t="s">
        <v>613</v>
      </c>
      <c r="D85" s="95"/>
      <c r="E85" s="96"/>
      <c r="F85" s="122" t="s">
        <v>76</v>
      </c>
      <c r="G85" s="97">
        <v>100.0</v>
      </c>
      <c r="H85" s="22">
        <f>IF(OR(J85="",K85="",K85&lt;J85),0,NETWORKDAYS(J85,K85,fESTIVOS!$A$2:$A$53))
</f>
        <v>0</v>
      </c>
      <c r="I85" s="98">
        <v>45853.0</v>
      </c>
      <c r="J85" s="99">
        <v>45859.0</v>
      </c>
      <c r="K85" s="99"/>
      <c r="L85" s="99">
        <v>45859.0</v>
      </c>
      <c r="M85" s="27">
        <f>IF(OR(J85="",AND(L85="",TODAY()&lt;J85),AND(L85&lt;&gt;"",L85&lt;J85)),0,
   IF(L85="",
      NETWORKDAYS(J85,TODAY(),fESTIVOS!$A$2:$A$53),
      NETWORKDAYS(J85,L85,fESTIVOS!$A$2:$A$53)
   )
)
</f>
        <v>1</v>
      </c>
      <c r="N85" s="28"/>
      <c r="O85" s="98">
        <v>45859.0</v>
      </c>
      <c r="P85" s="100">
        <v>45860.0</v>
      </c>
      <c r="Q85" s="103"/>
      <c r="R85" s="31" t="s">
        <v>78</v>
      </c>
      <c r="S85" s="101"/>
      <c r="T85" s="101"/>
      <c r="U85" s="102"/>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37" t="s">
        <v>614</v>
      </c>
      <c r="BG85" s="37"/>
      <c r="BH85" s="37"/>
      <c r="BI85" s="37" t="s">
        <v>615</v>
      </c>
      <c r="BJ85" s="37" t="s">
        <v>616</v>
      </c>
      <c r="BK85" s="37"/>
      <c r="BL85" s="37"/>
      <c r="BM85" s="37"/>
      <c r="BN85" s="37"/>
      <c r="BO85" s="37"/>
    </row>
    <row r="86" ht="29.25" hidden="1" customHeight="1">
      <c r="A86" s="55" t="s">
        <v>128</v>
      </c>
      <c r="B86" s="17" t="s">
        <v>617</v>
      </c>
      <c r="C86" s="107" t="s">
        <v>618</v>
      </c>
      <c r="D86" s="150"/>
      <c r="E86" s="96"/>
      <c r="F86" s="20" t="s">
        <v>76</v>
      </c>
      <c r="G86" s="97">
        <v>100.0</v>
      </c>
      <c r="H86" s="22">
        <f>IF(OR(J86="",K86="",K86&lt;J86),0,NETWORKDAYS(J86,K86,fESTIVOS!$A$2:$A$53))
</f>
        <v>3</v>
      </c>
      <c r="I86" s="98">
        <v>45855.0</v>
      </c>
      <c r="J86" s="99">
        <v>45868.0</v>
      </c>
      <c r="K86" s="99">
        <v>45870.0</v>
      </c>
      <c r="L86" s="99">
        <v>45877.0</v>
      </c>
      <c r="M86" s="27">
        <f>IF(OR(J86="",AND(L86="",TODAY()&lt;J86),AND(L86&lt;&gt;"",L86&lt;J86)),0,
   IF(L86="",
      NETWORKDAYS(J86,TODAY(),fESTIVOS!$A$2:$A$53),
      NETWORKDAYS(J86,L86,fESTIVOS!$A$2:$A$53)
   )
)
</f>
        <v>7</v>
      </c>
      <c r="N86" s="28"/>
      <c r="O86" s="98">
        <v>45877.0</v>
      </c>
      <c r="P86" s="100">
        <v>45953.0</v>
      </c>
      <c r="Q86" s="88" t="s">
        <v>619</v>
      </c>
      <c r="R86" s="31" t="s">
        <v>78</v>
      </c>
      <c r="S86" s="157"/>
      <c r="T86" s="158" t="s">
        <v>620</v>
      </c>
      <c r="U86" s="122" t="s">
        <v>621</v>
      </c>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37" t="s">
        <v>622</v>
      </c>
      <c r="BN86" s="37"/>
      <c r="BO86" s="37"/>
    </row>
    <row r="87" ht="29.25" hidden="1" customHeight="1">
      <c r="A87" s="55" t="s">
        <v>251</v>
      </c>
      <c r="B87" s="93" t="s">
        <v>623</v>
      </c>
      <c r="C87" s="151" t="s">
        <v>624</v>
      </c>
      <c r="D87" s="150"/>
      <c r="E87" s="96"/>
      <c r="F87" s="20" t="s">
        <v>76</v>
      </c>
      <c r="G87" s="97">
        <v>100.0</v>
      </c>
      <c r="H87" s="22">
        <f>IF(OR(J87="",K87="",K87&lt;J87),0,NETWORKDAYS(J87,K87,fESTIVOS!$A$2:$A$53))
</f>
        <v>0</v>
      </c>
      <c r="I87" s="98">
        <v>45952.0</v>
      </c>
      <c r="J87" s="99">
        <v>45917.0</v>
      </c>
      <c r="K87" s="99"/>
      <c r="L87" s="99">
        <v>45917.0</v>
      </c>
      <c r="M87" s="27">
        <f>IF(OR(J87="",AND(L87="",TODAY()&lt;J87),AND(L87&lt;&gt;"",L87&lt;J87)),0,
   IF(L87="",
      NETWORKDAYS(J87,TODAY(),fESTIVOS!$A$2:$A$53),
      NETWORKDAYS(J87,L87,fESTIVOS!$A$2:$A$53)
   )
)
</f>
        <v>1</v>
      </c>
      <c r="N87" s="28"/>
      <c r="O87" s="98"/>
      <c r="P87" s="100"/>
      <c r="Q87" s="88" t="s">
        <v>625</v>
      </c>
      <c r="R87" s="31" t="s">
        <v>78</v>
      </c>
      <c r="S87" s="157"/>
      <c r="T87" s="158"/>
      <c r="U87" s="102"/>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37"/>
      <c r="BN87" s="37"/>
      <c r="BO87" s="37"/>
    </row>
    <row r="88" ht="29.25" hidden="1" customHeight="1">
      <c r="A88" s="55" t="s">
        <v>128</v>
      </c>
      <c r="B88" s="93" t="s">
        <v>626</v>
      </c>
      <c r="C88" s="107" t="s">
        <v>627</v>
      </c>
      <c r="D88" s="150"/>
      <c r="E88" s="96"/>
      <c r="F88" s="122" t="s">
        <v>76</v>
      </c>
      <c r="G88" s="97">
        <v>100.0</v>
      </c>
      <c r="H88" s="22">
        <f>IF(OR(J88="",K88="",K88&lt;J88),0,NETWORKDAYS(J88,K88,fESTIVOS!$A$2:$A$53))
</f>
        <v>0</v>
      </c>
      <c r="I88" s="98">
        <v>45877.0</v>
      </c>
      <c r="J88" s="99">
        <v>45917.0</v>
      </c>
      <c r="K88" s="99"/>
      <c r="L88" s="99">
        <v>45917.0</v>
      </c>
      <c r="M88" s="27">
        <f>IF(OR(J88="",AND(L88="",TODAY()&lt;J88),AND(L88&lt;&gt;"",L88&lt;J88)),0,
   IF(L88="",
      NETWORKDAYS(J88,TODAY(),fESTIVOS!$A$2:$A$53),
      NETWORKDAYS(J88,L88,fESTIVOS!$A$2:$A$53)
   )
)
</f>
        <v>1</v>
      </c>
      <c r="N88" s="28"/>
      <c r="O88" s="98"/>
      <c r="P88" s="100"/>
      <c r="Q88" s="88" t="s">
        <v>628</v>
      </c>
      <c r="R88" s="113" t="s">
        <v>78</v>
      </c>
      <c r="S88" s="101"/>
      <c r="T88" s="101"/>
      <c r="U88" s="102"/>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row>
    <row r="89" ht="29.25" hidden="1" customHeight="1">
      <c r="A89" s="92" t="s">
        <v>128</v>
      </c>
      <c r="B89" s="93" t="s">
        <v>629</v>
      </c>
      <c r="C89" s="107" t="s">
        <v>630</v>
      </c>
      <c r="D89" s="95" t="s">
        <v>631</v>
      </c>
      <c r="E89" s="96"/>
      <c r="F89" s="122" t="s">
        <v>76</v>
      </c>
      <c r="G89" s="97">
        <v>100.0</v>
      </c>
      <c r="H89" s="22">
        <f>IF(OR(J89="",K89="",K89&lt;J89),0,NETWORKDAYS(J89,K89,fESTIVOS!$A$2:$A$53))
</f>
        <v>0</v>
      </c>
      <c r="I89" s="98">
        <v>45953.0</v>
      </c>
      <c r="J89" s="99">
        <v>45958.0</v>
      </c>
      <c r="K89" s="99"/>
      <c r="L89" s="99">
        <v>45965.0</v>
      </c>
      <c r="M89" s="27">
        <f>IF(OR(J89="",AND(L89="",TODAY()&lt;J89),AND(L89&lt;&gt;"",L89&lt;J89)),0,
   IF(L89="",
      NETWORKDAYS(J89,TODAY(),fESTIVOS!$A$2:$A$53),
      NETWORKDAYS(J89,L89,fESTIVOS!$A$2:$A$53)
   )
)
</f>
        <v>5</v>
      </c>
      <c r="N89" s="28"/>
      <c r="O89" s="98">
        <v>45965.0</v>
      </c>
      <c r="P89" s="100"/>
      <c r="Q89" s="34" t="s">
        <v>632</v>
      </c>
      <c r="R89" s="113" t="s">
        <v>78</v>
      </c>
      <c r="S89" s="155"/>
      <c r="T89" s="97" t="s">
        <v>633</v>
      </c>
      <c r="U89" s="122" t="s">
        <v>634</v>
      </c>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row>
    <row r="90" ht="29.25" hidden="1" customHeight="1">
      <c r="A90" s="92" t="s">
        <v>128</v>
      </c>
      <c r="B90" s="93" t="s">
        <v>635</v>
      </c>
      <c r="C90" s="120" t="s">
        <v>636</v>
      </c>
      <c r="D90" s="95"/>
      <c r="E90" s="96"/>
      <c r="F90" s="122" t="s">
        <v>76</v>
      </c>
      <c r="G90" s="97">
        <v>100.0</v>
      </c>
      <c r="H90" s="22">
        <f>IF(OR(J90="",K90="",K90&lt;J90),0,NETWORKDAYS(J90,K90,fESTIVOS!$A$2:$A$53))
</f>
        <v>0</v>
      </c>
      <c r="I90" s="98">
        <v>45973.0</v>
      </c>
      <c r="J90" s="99">
        <v>46003.0</v>
      </c>
      <c r="K90" s="99"/>
      <c r="L90" s="99">
        <v>46009.0</v>
      </c>
      <c r="M90" s="27">
        <f>IF(OR(J90="",AND(L90="",TODAY()&lt;J90),AND(L90&lt;&gt;"",L90&lt;J90)),0,
   IF(L90="",
      NETWORKDAYS(J90,TODAY(),fESTIVOS!$A$2:$A$53),
      NETWORKDAYS(J90,L90,fESTIVOS!$A$2:$A$53)
   )
)
</f>
        <v>5</v>
      </c>
      <c r="N90" s="28"/>
      <c r="O90" s="98"/>
      <c r="P90" s="100"/>
      <c r="Q90" s="34" t="s">
        <v>637</v>
      </c>
      <c r="R90" s="113" t="s">
        <v>236</v>
      </c>
      <c r="S90" s="155"/>
      <c r="T90" s="97"/>
      <c r="U90" s="102"/>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row>
    <row r="91" ht="29.25" hidden="1" customHeight="1">
      <c r="A91" s="16" t="s">
        <v>67</v>
      </c>
      <c r="B91" s="17" t="s">
        <v>638</v>
      </c>
      <c r="C91" s="107" t="s">
        <v>639</v>
      </c>
      <c r="D91" s="95"/>
      <c r="E91" s="96"/>
      <c r="F91" s="122" t="s">
        <v>76</v>
      </c>
      <c r="G91" s="97">
        <v>100.0</v>
      </c>
      <c r="H91" s="22">
        <f>IF(OR(J91="",K91="",K91&lt;J91),0,NETWORKDAYS(J91,K91,fESTIVOS!$A$2:$A$53))
</f>
        <v>0</v>
      </c>
      <c r="I91" s="98">
        <v>45856.0</v>
      </c>
      <c r="J91" s="99">
        <v>45862.0</v>
      </c>
      <c r="K91" s="99"/>
      <c r="L91" s="99">
        <v>45862.0</v>
      </c>
      <c r="M91" s="27">
        <f>IF(OR(J91="",AND(L91="",TODAY()&lt;J91),AND(L91&lt;&gt;"",L91&lt;J91)),0,
   IF(L91="",
      NETWORKDAYS(J91,TODAY(),fESTIVOS!$A$2:$A$53),
      NETWORKDAYS(J91,L91,fESTIVOS!$A$2:$A$53)
   )
)
</f>
        <v>1</v>
      </c>
      <c r="N91" s="28"/>
      <c r="O91" s="98"/>
      <c r="P91" s="100"/>
      <c r="Q91" s="34" t="s">
        <v>640</v>
      </c>
      <c r="R91" s="31" t="s">
        <v>78</v>
      </c>
      <c r="S91" s="101"/>
      <c r="T91" s="101"/>
      <c r="U91" s="102"/>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37" t="s">
        <v>641</v>
      </c>
      <c r="BJ91" s="37"/>
      <c r="BK91" s="37"/>
      <c r="BL91" s="37"/>
      <c r="BM91" s="37" t="s">
        <v>642</v>
      </c>
      <c r="BN91" s="37"/>
      <c r="BO91" s="37"/>
    </row>
    <row r="92" ht="29.25" hidden="1" customHeight="1">
      <c r="A92" s="16" t="s">
        <v>67</v>
      </c>
      <c r="B92" s="17" t="s">
        <v>643</v>
      </c>
      <c r="C92" s="107" t="s">
        <v>644</v>
      </c>
      <c r="D92" s="95"/>
      <c r="E92" s="96"/>
      <c r="F92" s="122" t="s">
        <v>76</v>
      </c>
      <c r="G92" s="97">
        <v>100.0</v>
      </c>
      <c r="H92" s="22">
        <f>IF(OR(J92="",K92="",K92&lt;J92),0,NETWORKDAYS(J92,K92,fESTIVOS!$A$2:$A$53))
</f>
        <v>0</v>
      </c>
      <c r="I92" s="98">
        <v>45860.0</v>
      </c>
      <c r="J92" s="99">
        <v>45860.0</v>
      </c>
      <c r="K92" s="99"/>
      <c r="L92" s="99">
        <v>45861.0</v>
      </c>
      <c r="M92" s="27">
        <f>IF(OR(J92="",AND(L92="",TODAY()&lt;J92),AND(L92&lt;&gt;"",L92&lt;J92)),0,
   IF(L92="",
      NETWORKDAYS(J92,TODAY(),fESTIVOS!$A$2:$A$53),
      NETWORKDAYS(J92,L92,fESTIVOS!$A$2:$A$53)
   )
)
</f>
        <v>2</v>
      </c>
      <c r="N92" s="28"/>
      <c r="O92" s="98"/>
      <c r="P92" s="100"/>
      <c r="Q92" s="34" t="s">
        <v>645</v>
      </c>
      <c r="R92" s="31" t="s">
        <v>78</v>
      </c>
      <c r="S92" s="101"/>
      <c r="T92" s="101"/>
      <c r="U92" s="102"/>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37"/>
      <c r="BL92" s="37" t="s">
        <v>646</v>
      </c>
      <c r="BM92" s="37"/>
      <c r="BN92" s="37"/>
      <c r="BO92" s="37"/>
    </row>
    <row r="93" ht="29.25" hidden="1" customHeight="1">
      <c r="A93" s="55" t="s">
        <v>128</v>
      </c>
      <c r="B93" s="17" t="s">
        <v>647</v>
      </c>
      <c r="C93" s="107" t="s">
        <v>648</v>
      </c>
      <c r="D93" s="95"/>
      <c r="E93" s="96"/>
      <c r="F93" s="122" t="s">
        <v>76</v>
      </c>
      <c r="G93" s="97">
        <v>100.0</v>
      </c>
      <c r="H93" s="22">
        <f>IF(OR(J93="",K93="",K93&lt;J93),0,NETWORKDAYS(J93,K93,fESTIVOS!$A$2:$A$53))
</f>
        <v>0</v>
      </c>
      <c r="I93" s="98">
        <v>45860.0</v>
      </c>
      <c r="J93" s="99">
        <v>45860.0</v>
      </c>
      <c r="K93" s="99"/>
      <c r="L93" s="99">
        <v>45863.0</v>
      </c>
      <c r="M93" s="27">
        <f>IF(OR(J93="",AND(L93="",TODAY()&lt;J93),AND(L93&lt;&gt;"",L93&lt;J93)),0,
   IF(L93="",
      NETWORKDAYS(J93,TODAY(),fESTIVOS!$A$2:$A$53),
      NETWORKDAYS(J93,L93,fESTIVOS!$A$2:$A$53)
   )
)
</f>
        <v>4</v>
      </c>
      <c r="N93" s="28"/>
      <c r="O93" s="98"/>
      <c r="P93" s="100">
        <v>45867.0</v>
      </c>
      <c r="Q93" s="34" t="s">
        <v>649</v>
      </c>
      <c r="R93" s="31" t="s">
        <v>78</v>
      </c>
      <c r="S93" s="101"/>
      <c r="T93" s="101"/>
      <c r="U93" s="102"/>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37"/>
      <c r="BL93" s="37"/>
      <c r="BM93" s="37" t="s">
        <v>650</v>
      </c>
      <c r="BN93" s="37"/>
      <c r="BO93" s="37"/>
    </row>
    <row r="94" ht="29.25" hidden="1" customHeight="1">
      <c r="A94" s="55" t="s">
        <v>157</v>
      </c>
      <c r="B94" s="17" t="s">
        <v>651</v>
      </c>
      <c r="C94" s="107" t="s">
        <v>652</v>
      </c>
      <c r="D94" s="95"/>
      <c r="E94" s="96"/>
      <c r="F94" s="122" t="s">
        <v>76</v>
      </c>
      <c r="G94" s="97">
        <v>100.0</v>
      </c>
      <c r="H94" s="22">
        <f>IF(OR(J94="",K94="",K94&lt;J94),0,NETWORKDAYS(J94,K94,fESTIVOS!$A$2:$A$53))
</f>
        <v>0</v>
      </c>
      <c r="I94" s="98">
        <v>45861.0</v>
      </c>
      <c r="J94" s="99">
        <v>45861.0</v>
      </c>
      <c r="K94" s="99"/>
      <c r="L94" s="99">
        <v>45862.0</v>
      </c>
      <c r="M94" s="27">
        <f>IF(OR(J94="",AND(L94="",TODAY()&lt;J94),AND(L94&lt;&gt;"",L94&lt;J94)),0,
   IF(L94="",
      NETWORKDAYS(J94,TODAY(),fESTIVOS!$A$2:$A$53),
      NETWORKDAYS(J94,L94,fESTIVOS!$A$2:$A$53)
   )
)
</f>
        <v>2</v>
      </c>
      <c r="N94" s="28"/>
      <c r="O94" s="98"/>
      <c r="P94" s="100"/>
      <c r="Q94" s="34" t="s">
        <v>653</v>
      </c>
      <c r="R94" s="31" t="s">
        <v>78</v>
      </c>
      <c r="S94" s="101"/>
      <c r="T94" s="101"/>
      <c r="U94" s="102"/>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row>
    <row r="95" ht="29.25" hidden="1" customHeight="1">
      <c r="A95" s="55" t="s">
        <v>157</v>
      </c>
      <c r="B95" s="17" t="s">
        <v>654</v>
      </c>
      <c r="C95" s="107" t="s">
        <v>655</v>
      </c>
      <c r="D95" s="150"/>
      <c r="E95" s="96"/>
      <c r="F95" s="122" t="s">
        <v>76</v>
      </c>
      <c r="G95" s="97">
        <v>100.0</v>
      </c>
      <c r="H95" s="22">
        <f>IF(OR(J95="",K95="",K95&lt;J95),0,NETWORKDAYS(J95,K95,fESTIVOS!$A$2:$A$53))
</f>
        <v>0</v>
      </c>
      <c r="I95" s="98">
        <v>45861.0</v>
      </c>
      <c r="J95" s="99">
        <v>45861.0</v>
      </c>
      <c r="K95" s="99"/>
      <c r="L95" s="99">
        <v>45861.0</v>
      </c>
      <c r="M95" s="27">
        <f>IF(OR(J95="",AND(L95="",TODAY()&lt;J95),AND(L95&lt;&gt;"",L95&lt;J95)),0,
   IF(L95="",
      NETWORKDAYS(J95,TODAY(),fESTIVOS!$A$2:$A$53),
      NETWORKDAYS(J95,L95,fESTIVOS!$A$2:$A$53)
   )
)
</f>
        <v>1</v>
      </c>
      <c r="N95" s="28"/>
      <c r="O95" s="98"/>
      <c r="P95" s="100"/>
      <c r="Q95" s="34" t="s">
        <v>656</v>
      </c>
      <c r="R95" s="31" t="s">
        <v>78</v>
      </c>
      <c r="S95" s="101"/>
      <c r="T95" s="101"/>
      <c r="U95" s="102"/>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row>
    <row r="96" ht="29.25" hidden="1" customHeight="1">
      <c r="A96" s="92" t="s">
        <v>157</v>
      </c>
      <c r="B96" s="110" t="s">
        <v>657</v>
      </c>
      <c r="C96" s="94" t="s">
        <v>658</v>
      </c>
      <c r="D96" s="115" t="s">
        <v>659</v>
      </c>
      <c r="E96" s="116"/>
      <c r="F96" s="117" t="s">
        <v>76</v>
      </c>
      <c r="G96" s="58">
        <v>100.0</v>
      </c>
      <c r="H96" s="22">
        <f>IF(OR(J96="",K96="",K96&lt;J96),0,NETWORKDAYS(J96,K96,fESTIVOS!$A$2:$A$53))
</f>
        <v>0</v>
      </c>
      <c r="I96" s="81">
        <v>46009.0</v>
      </c>
      <c r="J96" s="60">
        <v>46010.0</v>
      </c>
      <c r="K96" s="68"/>
      <c r="L96" s="60">
        <v>46010.0</v>
      </c>
      <c r="M96" s="27">
        <f>IF(OR(J96="",AND(L96="",TODAY()&lt;J96),AND(L96&lt;&gt;"",L96&lt;J96)),0,
   IF(L96="",
      NETWORKDAYS(J96,TODAY(),fESTIVOS!$A$2:$A$53),
      NETWORKDAYS(J96,L96,fESTIVOS!$A$2:$A$53)
   )
)
</f>
        <v>1</v>
      </c>
      <c r="N96" s="28"/>
      <c r="O96" s="81">
        <v>46010.0</v>
      </c>
      <c r="P96" s="61">
        <v>46020.0</v>
      </c>
      <c r="Q96" s="62" t="s">
        <v>660</v>
      </c>
      <c r="R96" s="31" t="s">
        <v>78</v>
      </c>
      <c r="S96" s="71"/>
      <c r="T96" s="71"/>
      <c r="U96" s="72"/>
      <c r="V96" s="159" t="s">
        <v>661</v>
      </c>
      <c r="W96" s="119"/>
      <c r="X96" s="119"/>
      <c r="Y96" s="119"/>
      <c r="Z96" s="119"/>
      <c r="AA96" s="119"/>
      <c r="AB96" s="119"/>
      <c r="AC96" s="119"/>
      <c r="AD96" s="119"/>
      <c r="AE96" s="119"/>
      <c r="AF96" s="119"/>
      <c r="AG96" s="119"/>
      <c r="AH96" s="119"/>
      <c r="AI96" s="119"/>
      <c r="AJ96" s="119"/>
      <c r="AK96" s="119"/>
      <c r="AL96" s="119"/>
      <c r="AM96" s="119"/>
      <c r="AN96" s="119"/>
      <c r="AO96" s="119"/>
      <c r="AP96" s="66"/>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row>
    <row r="97" ht="29.25" hidden="1" customHeight="1">
      <c r="A97" s="92" t="s">
        <v>128</v>
      </c>
      <c r="B97" s="110" t="s">
        <v>662</v>
      </c>
      <c r="C97" s="141" t="s">
        <v>663</v>
      </c>
      <c r="D97" s="95" t="s">
        <v>664</v>
      </c>
      <c r="E97" s="96"/>
      <c r="F97" s="112" t="s">
        <v>76</v>
      </c>
      <c r="G97" s="97">
        <v>100.0</v>
      </c>
      <c r="H97" s="22">
        <f>IF(OR(J97="",K97="",K97&lt;J97),0,NETWORKDAYS(J97,K97,fESTIVOS!$A$2:$A$53))
</f>
        <v>0</v>
      </c>
      <c r="I97" s="98">
        <v>46010.0</v>
      </c>
      <c r="J97" s="99">
        <v>46010.0</v>
      </c>
      <c r="K97" s="99"/>
      <c r="L97" s="99">
        <v>46013.0</v>
      </c>
      <c r="M97" s="27">
        <f>IF(OR(J97="",AND(L97="",TODAY()&lt;J97),AND(L97&lt;&gt;"",L97&lt;J97)),0,
   IF(L97="",
      NETWORKDAYS(J97,TODAY(),fESTIVOS!$A$2:$A$53),
      NETWORKDAYS(J97,L97,fESTIVOS!$A$2:$A$53)
   )
)
</f>
        <v>2</v>
      </c>
      <c r="N97" s="28"/>
      <c r="O97" s="98">
        <v>46013.0</v>
      </c>
      <c r="P97" s="100">
        <v>46044.0</v>
      </c>
      <c r="Q97" s="34" t="s">
        <v>665</v>
      </c>
      <c r="R97" s="113" t="s">
        <v>78</v>
      </c>
      <c r="S97" s="155">
        <v>2.0</v>
      </c>
      <c r="T97" s="58" t="s">
        <v>666</v>
      </c>
      <c r="U97" s="122" t="s">
        <v>667</v>
      </c>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row>
    <row r="98" ht="29.25" hidden="1" customHeight="1">
      <c r="A98" s="123" t="s">
        <v>251</v>
      </c>
      <c r="B98" s="110" t="s">
        <v>668</v>
      </c>
      <c r="C98" s="141" t="s">
        <v>669</v>
      </c>
      <c r="D98" s="95"/>
      <c r="E98" s="96"/>
      <c r="F98" s="112" t="s">
        <v>229</v>
      </c>
      <c r="G98" s="97"/>
      <c r="H98" s="22">
        <f>IF(OR(J98="",K98="",K98&lt;J98),0,NETWORKDAYS(J98,K98,fESTIVOS!$A$2:$A$53))
</f>
        <v>0</v>
      </c>
      <c r="I98" s="98">
        <v>46042.0</v>
      </c>
      <c r="J98" s="99"/>
      <c r="K98" s="99"/>
      <c r="L98" s="99"/>
      <c r="M98" s="27">
        <f>IF(OR(J98="",AND(L98="",TODAY()&lt;J98),AND(L98&lt;&gt;"",L98&lt;J98)),0,
   IF(L98="",
      NETWORKDAYS(J98,TODAY(),fESTIVOS!$A$2:$A$53),
      NETWORKDAYS(J98,L98,fESTIVOS!$A$2:$A$53)
   )
)
</f>
        <v>0</v>
      </c>
      <c r="N98" s="28"/>
      <c r="O98" s="98"/>
      <c r="P98" s="100"/>
      <c r="Q98" s="34" t="s">
        <v>670</v>
      </c>
      <c r="R98" s="113" t="s">
        <v>671</v>
      </c>
      <c r="S98" s="160"/>
      <c r="T98" s="161"/>
      <c r="U98" s="162"/>
      <c r="V98" s="104"/>
      <c r="W98" s="104"/>
      <c r="X98" s="104"/>
      <c r="Y98" s="104"/>
      <c r="Z98" s="104"/>
      <c r="AA98" s="104"/>
      <c r="AB98" s="104"/>
      <c r="AC98" s="104"/>
      <c r="AD98" s="104"/>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row>
    <row r="99" ht="29.25" hidden="1" customHeight="1">
      <c r="A99" s="92" t="s">
        <v>157</v>
      </c>
      <c r="B99" s="93" t="s">
        <v>672</v>
      </c>
      <c r="C99" s="142" t="s">
        <v>673</v>
      </c>
      <c r="D99" s="163" t="s">
        <v>674</v>
      </c>
      <c r="E99" s="96"/>
      <c r="F99" s="122" t="s">
        <v>76</v>
      </c>
      <c r="G99" s="97">
        <v>100.0</v>
      </c>
      <c r="H99" s="22">
        <f>IF(OR(J99="",K99="",K99&lt;J99),0,NETWORKDAYS(J99,K99,fESTIVOS!$A$2:$A$53))
</f>
        <v>0</v>
      </c>
      <c r="I99" s="98">
        <v>45954.0</v>
      </c>
      <c r="J99" s="99">
        <v>45957.0</v>
      </c>
      <c r="K99" s="99"/>
      <c r="L99" s="99">
        <v>45982.0</v>
      </c>
      <c r="M99" s="27">
        <f>IF(OR(J99="",AND(L99="",TODAY()&lt;J99),AND(L99&lt;&gt;"",L99&lt;J99)),0,
   IF(L99="",
      NETWORKDAYS(J99,TODAY(),fESTIVOS!$A$2:$A$53),
      NETWORKDAYS(J99,L99,fESTIVOS!$A$2:$A$53)
   )
)
</f>
        <v>18</v>
      </c>
      <c r="N99" s="28"/>
      <c r="O99" s="98">
        <v>45982.0</v>
      </c>
      <c r="P99" s="100">
        <v>46055.0</v>
      </c>
      <c r="Q99" s="34" t="s">
        <v>675</v>
      </c>
      <c r="R99" s="31" t="s">
        <v>78</v>
      </c>
      <c r="S99" s="164"/>
      <c r="T99" s="165" t="s">
        <v>676</v>
      </c>
      <c r="U99" s="166" t="s">
        <v>677</v>
      </c>
      <c r="V99" s="167" t="s">
        <v>678</v>
      </c>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row>
    <row r="100" ht="29.25" hidden="1" customHeight="1">
      <c r="A100" s="92" t="s">
        <v>157</v>
      </c>
      <c r="B100" s="93" t="s">
        <v>679</v>
      </c>
      <c r="C100" s="141" t="s">
        <v>680</v>
      </c>
      <c r="D100" s="95" t="s">
        <v>681</v>
      </c>
      <c r="E100" s="116"/>
      <c r="F100" s="117" t="s">
        <v>76</v>
      </c>
      <c r="G100" s="58">
        <v>100.0</v>
      </c>
      <c r="H100" s="22">
        <f>IF(OR(J100="",K100="",K100&lt;J100),0,NETWORKDAYS(J100,K100,fESTIVOS!$A$2:$A$53))
</f>
        <v>0</v>
      </c>
      <c r="I100" s="81">
        <v>46038.0</v>
      </c>
      <c r="J100" s="60">
        <v>46038.0</v>
      </c>
      <c r="K100" s="60"/>
      <c r="L100" s="60">
        <v>46038.0</v>
      </c>
      <c r="M100" s="27">
        <f>IF(OR(J100="",AND(L100="",TODAY()&lt;J100),AND(L100&lt;&gt;"",L100&lt;J100)),0,
   IF(L100="",
      NETWORKDAYS(J100,TODAY(),fESTIVOS!$A$2:$A$53),
      NETWORKDAYS(J100,L100,fESTIVOS!$A$2:$A$53)
   )
)
</f>
        <v>1</v>
      </c>
      <c r="N100" s="28"/>
      <c r="O100" s="59"/>
      <c r="P100" s="61">
        <v>46038.0</v>
      </c>
      <c r="Q100" s="62" t="s">
        <v>682</v>
      </c>
      <c r="R100" s="31" t="s">
        <v>208</v>
      </c>
      <c r="S100" s="168"/>
      <c r="U100" s="16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66"/>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row>
    <row r="101" ht="29.25" hidden="1" customHeight="1">
      <c r="A101" s="92" t="s">
        <v>157</v>
      </c>
      <c r="B101" s="110" t="s">
        <v>683</v>
      </c>
      <c r="C101" s="141" t="s">
        <v>684</v>
      </c>
      <c r="D101" s="95" t="s">
        <v>685</v>
      </c>
      <c r="E101" s="116"/>
      <c r="F101" s="117" t="s">
        <v>686</v>
      </c>
      <c r="G101" s="58">
        <v>85.0</v>
      </c>
      <c r="H101" s="22">
        <f>IF(OR(J101="",K101="",K101&lt;J101),0,NETWORKDAYS(J101,K101,fESTIVOS!$A$2:$A$53))
</f>
        <v>9</v>
      </c>
      <c r="I101" s="81">
        <v>46010.0</v>
      </c>
      <c r="J101" s="60">
        <v>46020.0</v>
      </c>
      <c r="K101" s="60">
        <v>46031.0</v>
      </c>
      <c r="L101" s="60">
        <v>46043.0</v>
      </c>
      <c r="M101" s="27">
        <f>IF(OR(J101="",AND(L101="",TODAY()&lt;J101),AND(L101&lt;&gt;"",L101&lt;J101)),0,
   IF(L101="",
      NETWORKDAYS(J101,TODAY(),fESTIVOS!$A$2:$A$53),
      NETWORKDAYS(J101,L101,fESTIVOS!$A$2:$A$53)
   )
)
</f>
        <v>16</v>
      </c>
      <c r="N101" s="170"/>
      <c r="O101" s="59"/>
      <c r="P101" s="69"/>
      <c r="Q101" s="62" t="s">
        <v>687</v>
      </c>
      <c r="R101" s="31" t="s">
        <v>78</v>
      </c>
      <c r="S101" s="71"/>
      <c r="T101" s="146" t="s">
        <v>688</v>
      </c>
      <c r="U101" s="63" t="s">
        <v>689</v>
      </c>
      <c r="V101" s="171" t="s">
        <v>690</v>
      </c>
      <c r="W101" s="119"/>
      <c r="X101" s="119"/>
      <c r="Y101" s="119"/>
      <c r="Z101" s="119"/>
      <c r="AA101" s="119"/>
      <c r="AB101" s="119"/>
      <c r="AC101" s="119"/>
      <c r="AD101" s="119"/>
      <c r="AE101" s="119"/>
      <c r="AF101" s="119"/>
      <c r="AG101" s="119"/>
      <c r="AH101" s="119"/>
      <c r="AI101" s="119"/>
      <c r="AJ101" s="119"/>
      <c r="AK101" s="119"/>
      <c r="AL101" s="119"/>
      <c r="AM101" s="119"/>
      <c r="AN101" s="119"/>
      <c r="AO101" s="119"/>
      <c r="AP101" s="66"/>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row>
    <row r="102" ht="29.25" hidden="1" customHeight="1">
      <c r="A102" s="92" t="s">
        <v>157</v>
      </c>
      <c r="B102" s="110" t="s">
        <v>691</v>
      </c>
      <c r="C102" s="141" t="s">
        <v>692</v>
      </c>
      <c r="D102" s="95"/>
      <c r="E102" s="116"/>
      <c r="F102" s="117" t="s">
        <v>76</v>
      </c>
      <c r="G102" s="58">
        <v>100.0</v>
      </c>
      <c r="H102" s="22">
        <f>IF(OR(J102="",K102="",K102&lt;J102),0,NETWORKDAYS(J102,K102,fESTIVOS!$A$2:$A$53))
</f>
        <v>0</v>
      </c>
      <c r="I102" s="81">
        <v>46083.0</v>
      </c>
      <c r="J102" s="60">
        <v>46083.0</v>
      </c>
      <c r="K102" s="60"/>
      <c r="L102" s="60">
        <v>46084.0</v>
      </c>
      <c r="M102" s="27">
        <f>IF(OR(J102="",AND(L102="",TODAY()&lt;J102),AND(L102&lt;&gt;"",L102&lt;J102)),0,
   IF(L102="",
      NETWORKDAYS(J102,TODAY(),fESTIVOS!$A$2:$A$53),
      NETWORKDAYS(J102,L102,fESTIVOS!$A$2:$A$53)
   )
)
</f>
        <v>2</v>
      </c>
      <c r="N102" s="28"/>
      <c r="O102" s="59"/>
      <c r="P102" s="69"/>
      <c r="Q102" s="62" t="s">
        <v>693</v>
      </c>
      <c r="R102" s="31" t="s">
        <v>275</v>
      </c>
      <c r="S102" s="71"/>
      <c r="T102" s="146"/>
      <c r="U102" s="109"/>
      <c r="V102" s="172"/>
      <c r="W102" s="119"/>
      <c r="X102" s="119"/>
      <c r="Y102" s="119"/>
      <c r="Z102" s="119"/>
      <c r="AA102" s="119"/>
      <c r="AB102" s="119"/>
      <c r="AC102" s="119"/>
      <c r="AD102" s="119"/>
      <c r="AE102" s="119"/>
      <c r="AF102" s="119"/>
      <c r="AG102" s="119"/>
      <c r="AH102" s="119"/>
      <c r="AI102" s="119"/>
      <c r="AJ102" s="119"/>
      <c r="AK102" s="119"/>
      <c r="AL102" s="119"/>
      <c r="AM102" s="119"/>
      <c r="AN102" s="119"/>
      <c r="AO102" s="119"/>
      <c r="AP102" s="66"/>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row>
    <row r="103" ht="29.25" hidden="1" customHeight="1">
      <c r="A103" s="92" t="s">
        <v>157</v>
      </c>
      <c r="B103" s="110" t="s">
        <v>694</v>
      </c>
      <c r="C103" s="141" t="s">
        <v>695</v>
      </c>
      <c r="D103" s="173"/>
      <c r="E103" s="116"/>
      <c r="F103" s="117" t="s">
        <v>76</v>
      </c>
      <c r="G103" s="58">
        <v>100.0</v>
      </c>
      <c r="H103" s="22">
        <f>IF(OR(J103="",K103="",K103&lt;J103),0,NETWORKDAYS(J103,K103,fESTIVOS!$A$2:$A$53))
</f>
        <v>0</v>
      </c>
      <c r="I103" s="81">
        <v>46013.0</v>
      </c>
      <c r="J103" s="60">
        <v>46014.0</v>
      </c>
      <c r="K103" s="68"/>
      <c r="L103" s="60">
        <v>46020.0</v>
      </c>
      <c r="M103" s="27">
        <f>IF(OR(J103="",AND(L103="",TODAY()&lt;J103),AND(L103&lt;&gt;"",L103&lt;J103)),0,
   IF(L103="",
      NETWORKDAYS(J103,TODAY(),fESTIVOS!$A$2:$A$53),
      NETWORKDAYS(J103,L103,fESTIVOS!$A$2:$A$53)
   )
)
</f>
        <v>4</v>
      </c>
      <c r="N103" s="28"/>
      <c r="O103" s="81">
        <v>46020.0</v>
      </c>
      <c r="P103" s="61">
        <v>46020.0</v>
      </c>
      <c r="Q103" s="62" t="s">
        <v>696</v>
      </c>
      <c r="R103" s="31" t="s">
        <v>78</v>
      </c>
      <c r="S103" s="71"/>
      <c r="T103" s="168"/>
      <c r="U103" s="72"/>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66"/>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row>
    <row r="104" ht="29.25" hidden="1" customHeight="1">
      <c r="A104" s="92" t="s">
        <v>157</v>
      </c>
      <c r="B104" s="110" t="s">
        <v>697</v>
      </c>
      <c r="C104" s="141" t="s">
        <v>698</v>
      </c>
      <c r="D104" s="121" t="s">
        <v>699</v>
      </c>
      <c r="E104" s="96"/>
      <c r="F104" s="122" t="s">
        <v>76</v>
      </c>
      <c r="G104" s="97">
        <v>100.0</v>
      </c>
      <c r="H104" s="22">
        <f>IF(OR(J104="",K104="",K104&lt;J104),0,NETWORKDAYS(J104,K104,fESTIVOS!$A$2:$A$53))
</f>
        <v>0</v>
      </c>
      <c r="I104" s="98">
        <v>46020.0</v>
      </c>
      <c r="J104" s="99">
        <v>46022.0</v>
      </c>
      <c r="K104" s="99"/>
      <c r="L104" s="99">
        <v>46022.0</v>
      </c>
      <c r="M104" s="27">
        <f>IF(OR(J104="",AND(L104="",TODAY()&lt;J104),AND(L104&lt;&gt;"",L104&lt;J104)),0,
   IF(L104="",
      NETWORKDAYS(J104,TODAY(),fESTIVOS!$A$2:$A$53),
      NETWORKDAYS(J104,L104,fESTIVOS!$A$2:$A$53)
   )
)
</f>
        <v>1</v>
      </c>
      <c r="N104" s="28"/>
      <c r="O104" s="98">
        <v>46022.0</v>
      </c>
      <c r="P104" s="100"/>
      <c r="Q104" s="34" t="s">
        <v>700</v>
      </c>
      <c r="R104" s="31" t="s">
        <v>78</v>
      </c>
      <c r="S104" s="164"/>
      <c r="T104" s="165"/>
      <c r="U104" s="162"/>
      <c r="V104" s="167" t="s">
        <v>701</v>
      </c>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row>
    <row r="105" ht="29.25" hidden="1" customHeight="1">
      <c r="A105" s="92" t="s">
        <v>157</v>
      </c>
      <c r="B105" s="93" t="s">
        <v>702</v>
      </c>
      <c r="C105" s="141" t="s">
        <v>703</v>
      </c>
      <c r="D105" s="115" t="s">
        <v>704</v>
      </c>
      <c r="E105" s="116"/>
      <c r="F105" s="117" t="s">
        <v>76</v>
      </c>
      <c r="G105" s="58">
        <v>100.0</v>
      </c>
      <c r="H105" s="22">
        <f>IF(OR(J105="",K105="",K105&lt;J105),0,NETWORKDAYS(J105,K105,fESTIVOS!$A$2:$A$53))
</f>
        <v>0</v>
      </c>
      <c r="I105" s="81">
        <v>46028.0</v>
      </c>
      <c r="J105" s="60">
        <v>46028.0</v>
      </c>
      <c r="K105" s="68"/>
      <c r="L105" s="60">
        <v>46035.0</v>
      </c>
      <c r="M105" s="27">
        <f>IF(OR(J105="",AND(L105="",TODAY()&lt;J105),AND(L105&lt;&gt;"",L105&lt;J105)),0,
   IF(L105="",
      NETWORKDAYS(J105,TODAY(),fESTIVOS!$A$2:$A$53),
      NETWORKDAYS(J105,L105,fESTIVOS!$A$2:$A$53)
   )
)
</f>
        <v>5</v>
      </c>
      <c r="N105" s="28"/>
      <c r="O105" s="81">
        <v>46036.0</v>
      </c>
      <c r="P105" s="61">
        <v>46036.0</v>
      </c>
      <c r="Q105" s="62" t="s">
        <v>705</v>
      </c>
      <c r="R105" s="31" t="s">
        <v>208</v>
      </c>
      <c r="S105" s="168"/>
      <c r="T105" s="168"/>
      <c r="U105" s="16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66"/>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row>
    <row r="106" ht="29.25" hidden="1" customHeight="1">
      <c r="A106" s="92" t="s">
        <v>157</v>
      </c>
      <c r="B106" s="110" t="s">
        <v>706</v>
      </c>
      <c r="C106" s="120" t="s">
        <v>707</v>
      </c>
      <c r="D106" s="115" t="s">
        <v>708</v>
      </c>
      <c r="E106" s="116"/>
      <c r="F106" s="117" t="s">
        <v>76</v>
      </c>
      <c r="G106" s="58">
        <v>100.0</v>
      </c>
      <c r="H106" s="22">
        <f>IF(OR(J106="",K106="",K106&lt;J106),0,NETWORKDAYS(J106,K106,fESTIVOS!$A$2:$A$53))
</f>
        <v>0</v>
      </c>
      <c r="I106" s="81">
        <v>46030.0</v>
      </c>
      <c r="J106" s="60">
        <v>46035.0</v>
      </c>
      <c r="K106" s="68"/>
      <c r="L106" s="60">
        <v>46035.0</v>
      </c>
      <c r="M106" s="27">
        <f>IF(OR(J106="",AND(L106="",TODAY()&lt;J106),AND(L106&lt;&gt;"",L106&lt;J106)),0,
   IF(L106="",
      NETWORKDAYS(J106,TODAY(),fESTIVOS!$A$2:$A$53),
      NETWORKDAYS(J106,L106,fESTIVOS!$A$2:$A$53)
   )
)
</f>
        <v>1</v>
      </c>
      <c r="N106" s="28"/>
      <c r="O106" s="81">
        <v>46035.0</v>
      </c>
      <c r="P106" s="61">
        <v>46035.0</v>
      </c>
      <c r="Q106" s="62" t="s">
        <v>709</v>
      </c>
      <c r="R106" s="113" t="s">
        <v>208</v>
      </c>
      <c r="S106" s="168"/>
      <c r="T106" s="168"/>
      <c r="U106" s="16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66"/>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row>
    <row r="107" ht="29.25" hidden="1" customHeight="1">
      <c r="A107" s="92" t="s">
        <v>251</v>
      </c>
      <c r="B107" s="93" t="s">
        <v>710</v>
      </c>
      <c r="C107" s="141" t="s">
        <v>711</v>
      </c>
      <c r="D107" s="115" t="s">
        <v>708</v>
      </c>
      <c r="E107" s="116"/>
      <c r="F107" s="117" t="s">
        <v>76</v>
      </c>
      <c r="G107" s="58">
        <v>100.0</v>
      </c>
      <c r="H107" s="22">
        <f>IF(OR(J107="",K107="",K107&lt;J107),0,NETWORKDAYS(J107,K107,fESTIVOS!$A$2:$A$53))
</f>
        <v>0</v>
      </c>
      <c r="I107" s="81">
        <v>46029.0</v>
      </c>
      <c r="J107" s="60">
        <v>46030.0</v>
      </c>
      <c r="K107" s="68"/>
      <c r="L107" s="60">
        <v>46030.0</v>
      </c>
      <c r="M107" s="27">
        <f>IF(OR(J107="",AND(L107="",TODAY()&lt;J107),AND(L107&lt;&gt;"",L107&lt;J107)),0,
   IF(L107="",
      NETWORKDAYS(J107,TODAY(),fESTIVOS!$A$2:$A$53),
      NETWORKDAYS(J107,L107,fESTIVOS!$A$2:$A$53)
   )
)
</f>
        <v>1</v>
      </c>
      <c r="N107" s="28"/>
      <c r="O107" s="59"/>
      <c r="P107" s="69"/>
      <c r="Q107" s="62" t="s">
        <v>712</v>
      </c>
      <c r="R107" s="113" t="s">
        <v>208</v>
      </c>
      <c r="S107" s="168"/>
      <c r="T107" s="168"/>
      <c r="U107" s="16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66"/>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row>
    <row r="108" ht="29.25" hidden="1" customHeight="1">
      <c r="A108" s="92" t="s">
        <v>157</v>
      </c>
      <c r="B108" s="93" t="s">
        <v>713</v>
      </c>
      <c r="C108" s="141" t="s">
        <v>714</v>
      </c>
      <c r="D108" s="115" t="s">
        <v>715</v>
      </c>
      <c r="E108" s="116"/>
      <c r="F108" s="117" t="s">
        <v>76</v>
      </c>
      <c r="G108" s="58">
        <v>100.0</v>
      </c>
      <c r="H108" s="22">
        <f>IF(OR(J108="",K108="",K108&lt;J108),0,NETWORKDAYS(J108,K108,fESTIVOS!$A$2:$A$53))
</f>
        <v>0</v>
      </c>
      <c r="I108" s="81">
        <v>46045.0</v>
      </c>
      <c r="J108" s="60">
        <v>46045.0</v>
      </c>
      <c r="K108" s="68"/>
      <c r="L108" s="60">
        <v>46045.0</v>
      </c>
      <c r="M108" s="27">
        <f>IF(OR(J108="",AND(L108="",TODAY()&lt;J108),AND(L108&lt;&gt;"",L108&lt;J108)),0,
   IF(L108="",
      NETWORKDAYS(J108,TODAY(),fESTIVOS!$A$2:$A$53),
      NETWORKDAYS(J108,L108,fESTIVOS!$A$2:$A$53)
   )
)
</f>
        <v>1</v>
      </c>
      <c r="N108" s="28"/>
      <c r="O108" s="59"/>
      <c r="P108" s="69"/>
      <c r="Q108" s="62" t="s">
        <v>716</v>
      </c>
      <c r="R108" s="31" t="s">
        <v>208</v>
      </c>
      <c r="S108" s="168"/>
      <c r="T108" s="168"/>
      <c r="U108" s="16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66"/>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row>
    <row r="109" ht="29.25" hidden="1" customHeight="1">
      <c r="A109" s="92" t="s">
        <v>157</v>
      </c>
      <c r="B109" s="110" t="s">
        <v>717</v>
      </c>
      <c r="C109" s="141" t="s">
        <v>718</v>
      </c>
      <c r="D109" s="95" t="s">
        <v>719</v>
      </c>
      <c r="E109" s="96"/>
      <c r="F109" s="122" t="s">
        <v>76</v>
      </c>
      <c r="G109" s="97">
        <v>100.0</v>
      </c>
      <c r="H109" s="22">
        <f>IF(OR(J109="",K109="",K109&lt;J109),0,NETWORKDAYS(J109,K109,fESTIVOS!$A$2:$A$53))
</f>
        <v>0</v>
      </c>
      <c r="I109" s="98">
        <v>46132.0</v>
      </c>
      <c r="J109" s="99">
        <v>46132.0</v>
      </c>
      <c r="K109" s="99"/>
      <c r="L109" s="99">
        <v>46132.0</v>
      </c>
      <c r="M109" s="27">
        <f>IF(OR(J109="",AND(L109="",TODAY()&lt;J109),AND(L109&lt;&gt;"",L109&lt;J109)),0,
   IF(L109="",
      NETWORKDAYS(J109,TODAY(),fESTIVOS!$A$2:$A$53),
      NETWORKDAYS(J109,L109,fESTIVOS!$A$2:$A$53)
   )
)
</f>
        <v>1</v>
      </c>
      <c r="N109" s="28"/>
      <c r="O109" s="98">
        <v>46132.0</v>
      </c>
      <c r="P109" s="100">
        <v>46132.0</v>
      </c>
      <c r="Q109" s="34" t="s">
        <v>720</v>
      </c>
      <c r="R109" s="31"/>
      <c r="S109" s="164"/>
      <c r="T109" s="164"/>
      <c r="U109" s="162"/>
      <c r="V109" s="17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row>
    <row r="110" ht="29.25" hidden="1" customHeight="1">
      <c r="A110" s="92" t="s">
        <v>157</v>
      </c>
      <c r="B110" s="110" t="s">
        <v>721</v>
      </c>
      <c r="C110" s="141" t="s">
        <v>722</v>
      </c>
      <c r="D110" s="95" t="s">
        <v>723</v>
      </c>
      <c r="E110" s="96"/>
      <c r="F110" s="122" t="s">
        <v>76</v>
      </c>
      <c r="G110" s="97">
        <v>100.0</v>
      </c>
      <c r="H110" s="22">
        <f>IF(OR(J110="",K110="",K110&lt;J110),0,NETWORKDAYS(J110,K110,fESTIVOS!$A$2:$A$53))
</f>
        <v>0</v>
      </c>
      <c r="I110" s="98">
        <v>46141.0</v>
      </c>
      <c r="J110" s="99">
        <v>46141.0</v>
      </c>
      <c r="K110" s="99"/>
      <c r="L110" s="99">
        <v>46146.0</v>
      </c>
      <c r="M110" s="27">
        <f>IF(OR(J110="",AND(L110="",TODAY()&lt;J110),AND(L110&lt;&gt;"",L110&lt;J110)),0,
   IF(L110="",
      NETWORKDAYS(J110,TODAY(),fESTIVOS!$A$2:$A$53),
      NETWORKDAYS(J110,L110,fESTIVOS!$A$2:$A$53)
   )
)
</f>
        <v>3</v>
      </c>
      <c r="N110" s="175">
        <v>46154.0</v>
      </c>
      <c r="O110" s="98"/>
      <c r="P110" s="100">
        <v>46148.0</v>
      </c>
      <c r="Q110" s="34" t="s">
        <v>724</v>
      </c>
      <c r="R110" s="31" t="s">
        <v>78</v>
      </c>
      <c r="S110" s="164"/>
      <c r="T110" s="164"/>
      <c r="U110" s="162"/>
      <c r="V110" s="174"/>
      <c r="W110" s="104"/>
      <c r="X110" s="104"/>
      <c r="Y110" s="104"/>
      <c r="Z110" s="104"/>
      <c r="AA110" s="104"/>
      <c r="AB110" s="104"/>
      <c r="AC110" s="104"/>
      <c r="AD110" s="104"/>
      <c r="AE110" s="104"/>
      <c r="AF110" s="104"/>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row>
    <row r="111" ht="29.25" hidden="1" customHeight="1">
      <c r="A111" s="92" t="s">
        <v>157</v>
      </c>
      <c r="B111" s="110" t="s">
        <v>725</v>
      </c>
      <c r="C111" s="141" t="s">
        <v>726</v>
      </c>
      <c r="D111" s="95"/>
      <c r="E111" s="96"/>
      <c r="F111" s="122" t="s">
        <v>76</v>
      </c>
      <c r="G111" s="97">
        <v>100.0</v>
      </c>
      <c r="H111" s="22">
        <f>IF(OR(J111="",K111="",K111&lt;J111),0,NETWORKDAYS(J111,K111,fESTIVOS!$A$2:$A$53))
</f>
        <v>0</v>
      </c>
      <c r="I111" s="98">
        <v>46141.0</v>
      </c>
      <c r="J111" s="99">
        <v>46141.0</v>
      </c>
      <c r="K111" s="99"/>
      <c r="L111" s="99">
        <v>46141.0</v>
      </c>
      <c r="M111" s="27">
        <f>IF(OR(J111="",AND(L111="",TODAY()&lt;J111),AND(L111&lt;&gt;"",L111&lt;J111)),0,
   IF(L111="",
      NETWORKDAYS(J111,TODAY(),fESTIVOS!$A$2:$A$53),
      NETWORKDAYS(J111,L111,fESTIVOS!$A$2:$A$53)
   )
)
</f>
        <v>1</v>
      </c>
      <c r="N111" s="28"/>
      <c r="O111" s="98">
        <v>46141.0</v>
      </c>
      <c r="P111" s="100">
        <v>46141.0</v>
      </c>
      <c r="Q111" s="34" t="s">
        <v>727</v>
      </c>
      <c r="R111" s="31" t="s">
        <v>275</v>
      </c>
      <c r="S111" s="164"/>
      <c r="T111" s="164"/>
      <c r="U111" s="162"/>
      <c r="V111" s="17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row>
    <row r="112" ht="29.25" hidden="1" customHeight="1">
      <c r="A112" s="92" t="s">
        <v>157</v>
      </c>
      <c r="B112" s="110" t="s">
        <v>728</v>
      </c>
      <c r="C112" s="141" t="s">
        <v>729</v>
      </c>
      <c r="D112" s="95" t="s">
        <v>730</v>
      </c>
      <c r="E112" s="96"/>
      <c r="F112" s="122" t="s">
        <v>76</v>
      </c>
      <c r="G112" s="97">
        <v>100.0</v>
      </c>
      <c r="H112" s="22">
        <f>IF(OR(J112="",K112="",K112&lt;J112),0,NETWORKDAYS(J112,K112,fESTIVOS!$A$2:$A$53))
</f>
        <v>0</v>
      </c>
      <c r="I112" s="98">
        <v>46141.0</v>
      </c>
      <c r="J112" s="99">
        <v>46149.0</v>
      </c>
      <c r="K112" s="99"/>
      <c r="L112" s="99">
        <v>46169.0</v>
      </c>
      <c r="M112" s="27">
        <f>IF(OR(J112="",AND(L112="",TODAY()&lt;J112),AND(L112&lt;&gt;"",L112&lt;J112)),0,
   IF(L112="",
      NETWORKDAYS(J112,TODAY(),fESTIVOS!$A$2:$A$53),
      NETWORKDAYS(J112,L112,fESTIVOS!$A$2:$A$53)
   )
)
</f>
        <v>14</v>
      </c>
      <c r="N112" s="28"/>
      <c r="O112" s="98"/>
      <c r="P112" s="100">
        <v>46174.0</v>
      </c>
      <c r="Q112" s="34" t="s">
        <v>731</v>
      </c>
      <c r="R112" s="31" t="s">
        <v>78</v>
      </c>
      <c r="S112" s="164"/>
      <c r="T112" s="164"/>
      <c r="U112" s="162"/>
      <c r="V112" s="174"/>
      <c r="W112" s="104"/>
      <c r="X112" s="104"/>
      <c r="Y112" s="104"/>
      <c r="Z112" s="104"/>
      <c r="AA112" s="104"/>
      <c r="AB112" s="104"/>
      <c r="AC112" s="104"/>
      <c r="AD112" s="104"/>
      <c r="AE112" s="104"/>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row>
    <row r="113" ht="29.25" hidden="1" customHeight="1">
      <c r="A113" s="92" t="s">
        <v>157</v>
      </c>
      <c r="B113" s="110" t="s">
        <v>732</v>
      </c>
      <c r="C113" s="141" t="s">
        <v>733</v>
      </c>
      <c r="D113" s="95" t="s">
        <v>734</v>
      </c>
      <c r="E113" s="96"/>
      <c r="F113" s="122" t="s">
        <v>216</v>
      </c>
      <c r="G113" s="97">
        <v>95.0</v>
      </c>
      <c r="H113" s="22">
        <f>IF(OR(J113="",K113="",K113&lt;J113),0,NETWORKDAYS(J113,K113,fESTIVOS!$A$2:$A$53))
</f>
        <v>0</v>
      </c>
      <c r="I113" s="98">
        <v>46178.0</v>
      </c>
      <c r="J113" s="99">
        <v>46183.0</v>
      </c>
      <c r="K113" s="99"/>
      <c r="L113" s="99">
        <v>46185.0</v>
      </c>
      <c r="M113" s="27">
        <f>IF(OR(J113="",AND(L113="",TODAY()&lt;J113),AND(L113&lt;&gt;"",L113&lt;J113)),0,
   IF(L113="",
      NETWORKDAYS(J113,TODAY(),fESTIVOS!$A$2:$A$53),
      NETWORKDAYS(J113,L113,fESTIVOS!$A$2:$A$53)
   )
)
</f>
        <v>3</v>
      </c>
      <c r="N113" s="105">
        <v>46195.0</v>
      </c>
      <c r="O113" s="98"/>
      <c r="P113" s="100"/>
      <c r="Q113" s="34" t="s">
        <v>735</v>
      </c>
      <c r="R113" s="31" t="s">
        <v>78</v>
      </c>
      <c r="S113" s="164"/>
      <c r="T113" s="164"/>
      <c r="U113" s="162"/>
      <c r="V113" s="17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row>
    <row r="114" ht="29.25" hidden="1" customHeight="1">
      <c r="A114" s="92" t="s">
        <v>157</v>
      </c>
      <c r="B114" s="110" t="s">
        <v>736</v>
      </c>
      <c r="C114" s="141" t="s">
        <v>737</v>
      </c>
      <c r="D114" s="95" t="s">
        <v>738</v>
      </c>
      <c r="E114" s="96"/>
      <c r="F114" s="122" t="s">
        <v>76</v>
      </c>
      <c r="G114" s="97">
        <v>100.0</v>
      </c>
      <c r="H114" s="22">
        <f>IF(OR(J114="",K114="",K114&lt;J114),0,NETWORKDAYS(J114,K114,fESTIVOS!$A$2:$A$53))
</f>
        <v>0</v>
      </c>
      <c r="I114" s="98">
        <v>46178.0</v>
      </c>
      <c r="J114" s="99">
        <v>46178.0</v>
      </c>
      <c r="K114" s="99"/>
      <c r="L114" s="99">
        <v>46183.0</v>
      </c>
      <c r="M114" s="27">
        <f>IF(OR(J114="",AND(L114="",TODAY()&lt;J114),AND(L114&lt;&gt;"",L114&lt;J114)),0,
   IF(L114="",
      NETWORKDAYS(J114,TODAY(),fESTIVOS!$A$2:$A$53),
      NETWORKDAYS(J114,L114,fESTIVOS!$A$2:$A$53)
   )
)
</f>
        <v>3</v>
      </c>
      <c r="N114" s="28"/>
      <c r="O114" s="98"/>
      <c r="P114" s="100">
        <v>46183.0</v>
      </c>
      <c r="Q114" s="34" t="s">
        <v>739</v>
      </c>
      <c r="R114" s="31" t="s">
        <v>78</v>
      </c>
      <c r="S114" s="164"/>
      <c r="T114" s="164"/>
      <c r="U114" s="162"/>
      <c r="V114" s="174"/>
      <c r="W114" s="104"/>
      <c r="X114" s="104"/>
      <c r="Y114" s="104"/>
      <c r="Z114" s="104"/>
      <c r="AA114" s="104"/>
      <c r="AB114" s="104"/>
      <c r="AC114" s="104"/>
      <c r="AD114" s="104"/>
      <c r="AE114" s="104"/>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row>
    <row r="115" ht="29.25" hidden="1" customHeight="1">
      <c r="A115" s="92" t="s">
        <v>157</v>
      </c>
      <c r="B115" s="110" t="s">
        <v>740</v>
      </c>
      <c r="C115" s="141" t="s">
        <v>741</v>
      </c>
      <c r="D115" s="95"/>
      <c r="E115" s="96"/>
      <c r="F115" s="122" t="s">
        <v>245</v>
      </c>
      <c r="G115" s="97">
        <v>80.0</v>
      </c>
      <c r="H115" s="22">
        <f>IF(OR(J115="",K115="",K115&lt;J115),0,NETWORKDAYS(J115,K115,fESTIVOS!$A$2:$A$53))
</f>
        <v>7</v>
      </c>
      <c r="I115" s="98"/>
      <c r="J115" s="99">
        <v>46043.0</v>
      </c>
      <c r="K115" s="99">
        <v>46051.0</v>
      </c>
      <c r="L115" s="99">
        <v>46052.0</v>
      </c>
      <c r="M115" s="27">
        <f>IF(OR(J115="",AND(L115="",TODAY()&lt;J115),AND(L115&lt;&gt;"",L115&lt;J115)),0,
   IF(L115="",
      NETWORKDAYS(J115,TODAY(),fESTIVOS!$A$2:$A$53),
      NETWORKDAYS(J115,L115,fESTIVOS!$A$2:$A$53)
   )
)
</f>
        <v>8</v>
      </c>
      <c r="N115" s="28"/>
      <c r="O115" s="98"/>
      <c r="P115" s="100"/>
      <c r="Q115" s="34"/>
      <c r="R115" s="31" t="s">
        <v>72</v>
      </c>
      <c r="S115" s="164"/>
      <c r="T115" s="164"/>
      <c r="U115" s="162"/>
      <c r="V115" s="174" t="s">
        <v>690</v>
      </c>
      <c r="W115" s="104"/>
      <c r="X115" s="104"/>
      <c r="Y115" s="104"/>
      <c r="Z115" s="104"/>
      <c r="AA115" s="104"/>
      <c r="AB115" s="104"/>
      <c r="AC115" s="104"/>
      <c r="AD115" s="104"/>
      <c r="AE115" s="104"/>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row>
    <row r="116" ht="29.25" hidden="1" customHeight="1">
      <c r="A116" s="92" t="s">
        <v>157</v>
      </c>
      <c r="B116" s="93" t="s">
        <v>742</v>
      </c>
      <c r="C116" s="94" t="s">
        <v>743</v>
      </c>
      <c r="D116" s="95" t="s">
        <v>744</v>
      </c>
      <c r="E116" s="96"/>
      <c r="F116" s="122" t="s">
        <v>76</v>
      </c>
      <c r="G116" s="97">
        <v>100.0</v>
      </c>
      <c r="H116" s="22">
        <f>IF(OR(J116="",K116="",K116&lt;J116),0,NETWORKDAYS(J116,K116,fESTIVOS!$A$2:$A$53))
</f>
        <v>8</v>
      </c>
      <c r="I116" s="98">
        <v>46055.0</v>
      </c>
      <c r="J116" s="99">
        <v>46057.0</v>
      </c>
      <c r="K116" s="99">
        <v>46066.0</v>
      </c>
      <c r="L116" s="99"/>
      <c r="M116" s="27">
        <f>IF(OR(J116="",AND(L116="",TODAY()&lt;J116),AND(L116&lt;&gt;"",L116&lt;J116)),0,
   IF(L116="",
      NETWORKDAYS(J116,TODAY(),fESTIVOS!$A$2:$A$53),
      NETWORKDAYS(J116,L116,fESTIVOS!$A$2:$A$53)
   )
)
</f>
        <v>88</v>
      </c>
      <c r="N116" s="105"/>
      <c r="O116" s="98"/>
      <c r="P116" s="100"/>
      <c r="Q116" s="34" t="s">
        <v>745</v>
      </c>
      <c r="R116" s="31" t="s">
        <v>78</v>
      </c>
      <c r="S116" s="164"/>
      <c r="T116" s="164"/>
      <c r="U116" s="162"/>
      <c r="V116" s="104"/>
      <c r="W116" s="104"/>
      <c r="X116" s="104"/>
      <c r="Y116" s="104"/>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row>
    <row r="117" ht="29.25" hidden="1" customHeight="1">
      <c r="A117" s="92" t="s">
        <v>157</v>
      </c>
      <c r="B117" s="93" t="s">
        <v>746</v>
      </c>
      <c r="C117" s="94" t="s">
        <v>747</v>
      </c>
      <c r="D117" s="95"/>
      <c r="E117" s="96"/>
      <c r="F117" s="122" t="s">
        <v>76</v>
      </c>
      <c r="G117" s="97">
        <v>100.0</v>
      </c>
      <c r="H117" s="22">
        <f>IF(OR(J117="",K117="",K117&lt;J117),0,NETWORKDAYS(J117,K117,fESTIVOS!$A$2:$A$53))
</f>
        <v>1</v>
      </c>
      <c r="I117" s="176">
        <v>46080.0</v>
      </c>
      <c r="J117" s="99">
        <v>46080.0</v>
      </c>
      <c r="K117" s="99">
        <v>46080.0</v>
      </c>
      <c r="L117" s="99">
        <v>46080.0</v>
      </c>
      <c r="M117" s="27">
        <f>IF(OR(J117="",AND(L117="",TODAY()&lt;J117),AND(L117&lt;&gt;"",L117&lt;J117)),0,
   IF(L117="",
      NETWORKDAYS(J117,TODAY(),fESTIVOS!$A$2:$A$53),
      NETWORKDAYS(J117,L117,fESTIVOS!$A$2:$A$53)
   )
)
</f>
        <v>1</v>
      </c>
      <c r="N117" s="28"/>
      <c r="O117" s="98"/>
      <c r="P117" s="100"/>
      <c r="Q117" s="34" t="s">
        <v>748</v>
      </c>
      <c r="R117" s="31" t="s">
        <v>78</v>
      </c>
      <c r="S117" s="164"/>
      <c r="T117" s="164"/>
      <c r="U117" s="162"/>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row>
    <row r="118" ht="29.25" hidden="1" customHeight="1">
      <c r="A118" s="92" t="s">
        <v>157</v>
      </c>
      <c r="B118" s="93" t="s">
        <v>749</v>
      </c>
      <c r="C118" s="94" t="s">
        <v>750</v>
      </c>
      <c r="D118" s="95" t="s">
        <v>751</v>
      </c>
      <c r="E118" s="96"/>
      <c r="F118" s="122" t="s">
        <v>76</v>
      </c>
      <c r="G118" s="97">
        <v>100.0</v>
      </c>
      <c r="H118" s="22">
        <f>IF(OR(J118="",K118="",K118&lt;J118),0,NETWORKDAYS(J118,K118,fESTIVOS!$A$2:$A$53))
</f>
        <v>0</v>
      </c>
      <c r="I118" s="177">
        <v>46085.0</v>
      </c>
      <c r="J118" s="99">
        <v>46084.0</v>
      </c>
      <c r="K118" s="99"/>
      <c r="L118" s="99">
        <v>46090.0</v>
      </c>
      <c r="M118" s="27">
        <f>IF(OR(J118="",AND(L118="",TODAY()&lt;J118),AND(L118&lt;&gt;"",L118&lt;J118)),0,
   IF(L118="",
      NETWORKDAYS(J118,TODAY(),fESTIVOS!$A$2:$A$53),
      NETWORKDAYS(J118,L118,fESTIVOS!$A$2:$A$53)
   )
)
</f>
        <v>5</v>
      </c>
      <c r="N118" s="28"/>
      <c r="O118" s="98"/>
      <c r="P118" s="100"/>
      <c r="Q118" s="34" t="s">
        <v>752</v>
      </c>
      <c r="R118" s="113" t="s">
        <v>275</v>
      </c>
      <c r="S118" s="164"/>
      <c r="T118" s="164"/>
      <c r="U118" s="162"/>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row>
    <row r="119" ht="29.25" hidden="1" customHeight="1">
      <c r="A119" s="92" t="s">
        <v>157</v>
      </c>
      <c r="B119" s="93" t="s">
        <v>753</v>
      </c>
      <c r="C119" s="94" t="s">
        <v>754</v>
      </c>
      <c r="D119" s="95" t="s">
        <v>755</v>
      </c>
      <c r="E119" s="96"/>
      <c r="F119" s="122" t="s">
        <v>76</v>
      </c>
      <c r="G119" s="97">
        <v>100.0</v>
      </c>
      <c r="H119" s="22">
        <f>IF(OR(J119="",K119="",K119&lt;J119),0,NETWORKDAYS(J119,K119,fESTIVOS!$A$2:$A$53))
</f>
        <v>1</v>
      </c>
      <c r="I119" s="98">
        <v>46045.0</v>
      </c>
      <c r="J119" s="99">
        <v>46055.0</v>
      </c>
      <c r="K119" s="99">
        <v>46055.0</v>
      </c>
      <c r="L119" s="99">
        <v>46055.0</v>
      </c>
      <c r="M119" s="27">
        <f>IF(OR(J119="",AND(L119="",TODAY()&lt;J119),AND(L119&lt;&gt;"",L119&lt;J119)),0,
   IF(L119="",
      NETWORKDAYS(J119,TODAY(),fESTIVOS!$A$2:$A$53),
      NETWORKDAYS(J119,L119,fESTIVOS!$A$2:$A$53)
   )
)
</f>
        <v>1</v>
      </c>
      <c r="N119" s="170">
        <v>46058.0</v>
      </c>
      <c r="O119" s="98"/>
      <c r="P119" s="100"/>
      <c r="Q119" s="34" t="s">
        <v>756</v>
      </c>
      <c r="R119" s="31" t="s">
        <v>208</v>
      </c>
      <c r="S119" s="101"/>
      <c r="T119" s="101"/>
      <c r="U119" s="102"/>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row>
    <row r="120" ht="29.25" hidden="1" customHeight="1">
      <c r="A120" s="92" t="s">
        <v>157</v>
      </c>
      <c r="B120" s="93" t="s">
        <v>757</v>
      </c>
      <c r="C120" s="141" t="s">
        <v>758</v>
      </c>
      <c r="D120" s="115" t="s">
        <v>759</v>
      </c>
      <c r="E120" s="116"/>
      <c r="F120" s="117" t="s">
        <v>76</v>
      </c>
      <c r="G120" s="58">
        <v>100.0</v>
      </c>
      <c r="H120" s="22">
        <f>IF(OR(J120="",K120="",K120&lt;J120),0,NETWORKDAYS(J120,K120,fESTIVOS!$A$2:$A$53))
</f>
        <v>0</v>
      </c>
      <c r="I120" s="81">
        <v>46050.0</v>
      </c>
      <c r="J120" s="60">
        <v>46050.0</v>
      </c>
      <c r="K120" s="68"/>
      <c r="L120" s="60">
        <v>46050.0</v>
      </c>
      <c r="M120" s="27">
        <f>IF(OR(J120="",AND(L120="",TODAY()&lt;J120),AND(L120&lt;&gt;"",L120&lt;J120)),0,
   IF(L120="",
      NETWORKDAYS(J120,TODAY(),fESTIVOS!$A$2:$A$53),
      NETWORKDAYS(J120,L120,fESTIVOS!$A$2:$A$53)
   )
)
</f>
        <v>1</v>
      </c>
      <c r="N120" s="28"/>
      <c r="O120" s="59"/>
      <c r="P120" s="69"/>
      <c r="Q120" s="62" t="s">
        <v>760</v>
      </c>
      <c r="R120" s="31" t="s">
        <v>208</v>
      </c>
      <c r="S120" s="71"/>
      <c r="T120" s="71"/>
      <c r="U120" s="72"/>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66"/>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row>
    <row r="121" ht="29.25" hidden="1" customHeight="1">
      <c r="A121" s="55" t="s">
        <v>157</v>
      </c>
      <c r="B121" s="93" t="s">
        <v>761</v>
      </c>
      <c r="C121" s="141" t="s">
        <v>762</v>
      </c>
      <c r="D121" s="115" t="s">
        <v>763</v>
      </c>
      <c r="E121" s="116"/>
      <c r="F121" s="117" t="s">
        <v>76</v>
      </c>
      <c r="G121" s="58">
        <v>100.0</v>
      </c>
      <c r="H121" s="22">
        <f>IF(OR(J121="",K121="",K121&lt;J121),0,NETWORKDAYS(J121,K121,fESTIVOS!$A$2:$A$53))
</f>
        <v>0</v>
      </c>
      <c r="I121" s="81">
        <v>46059.0</v>
      </c>
      <c r="J121" s="60">
        <v>46059.0</v>
      </c>
      <c r="K121" s="68"/>
      <c r="L121" s="60">
        <v>46059.0</v>
      </c>
      <c r="M121" s="27">
        <f>IF(OR(J121="",AND(L121="",TODAY()&lt;J121),AND(L121&lt;&gt;"",L121&lt;J121)),0,
   IF(L121="",
      NETWORKDAYS(J121,TODAY(),fESTIVOS!$A$2:$A$53),
      NETWORKDAYS(J121,L121,fESTIVOS!$A$2:$A$53)
   )
)
</f>
        <v>1</v>
      </c>
      <c r="N121" s="28"/>
      <c r="O121" s="59"/>
      <c r="P121" s="69"/>
      <c r="Q121" s="62" t="s">
        <v>764</v>
      </c>
      <c r="R121" s="113" t="s">
        <v>275</v>
      </c>
      <c r="S121" s="71"/>
      <c r="T121" s="71"/>
      <c r="U121" s="72"/>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66"/>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row>
    <row r="122" ht="29.25" hidden="1" customHeight="1">
      <c r="A122" s="92" t="s">
        <v>157</v>
      </c>
      <c r="B122" s="93" t="s">
        <v>765</v>
      </c>
      <c r="C122" s="141" t="s">
        <v>766</v>
      </c>
      <c r="D122" s="173"/>
      <c r="E122" s="116"/>
      <c r="F122" s="117" t="s">
        <v>76</v>
      </c>
      <c r="G122" s="58">
        <v>100.0</v>
      </c>
      <c r="H122" s="22">
        <f>IF(OR(J122="",K122="",K122&lt;J122),0,NETWORKDAYS(J122,K122,fESTIVOS!$A$2:$A$53))
</f>
        <v>0</v>
      </c>
      <c r="I122" s="98">
        <v>46063.0</v>
      </c>
      <c r="J122" s="60">
        <v>46063.0</v>
      </c>
      <c r="K122" s="68"/>
      <c r="L122" s="60">
        <v>46063.0</v>
      </c>
      <c r="M122" s="27">
        <f>IF(OR(J122="",AND(L122="",TODAY()&lt;J122),AND(L122&lt;&gt;"",L122&lt;J122)),0,
   IF(L122="",
      NETWORKDAYS(J122,TODAY(),fESTIVOS!$A$2:$A$53),
      NETWORKDAYS(J122,L122,fESTIVOS!$A$2:$A$53)
   )
)
</f>
        <v>1</v>
      </c>
      <c r="N122" s="28"/>
      <c r="O122" s="59"/>
      <c r="P122" s="69"/>
      <c r="Q122" s="62" t="s">
        <v>767</v>
      </c>
      <c r="R122" s="113" t="s">
        <v>275</v>
      </c>
      <c r="S122" s="71"/>
      <c r="T122" s="71"/>
      <c r="U122" s="72"/>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66"/>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row>
    <row r="123" ht="29.25" hidden="1" customHeight="1">
      <c r="A123" s="92" t="s">
        <v>157</v>
      </c>
      <c r="B123" s="93" t="s">
        <v>768</v>
      </c>
      <c r="C123" s="141" t="s">
        <v>769</v>
      </c>
      <c r="D123" s="115" t="s">
        <v>770</v>
      </c>
      <c r="E123" s="116"/>
      <c r="F123" s="117" t="s">
        <v>76</v>
      </c>
      <c r="G123" s="58">
        <v>100.0</v>
      </c>
      <c r="H123" s="22">
        <f>IF(OR(J123="",K123="",K123&lt;J123),0,NETWORKDAYS(J123,K123,fESTIVOS!$A$2:$A$53))
</f>
        <v>0</v>
      </c>
      <c r="I123" s="81">
        <v>46063.0</v>
      </c>
      <c r="J123" s="60">
        <v>46064.0</v>
      </c>
      <c r="K123" s="68"/>
      <c r="L123" s="60">
        <v>46064.0</v>
      </c>
      <c r="M123" s="27">
        <f>IF(OR(J123="",AND(L123="",TODAY()&lt;J123),AND(L123&lt;&gt;"",L123&lt;J123)),0,
   IF(L123="",
      NETWORKDAYS(J123,TODAY(),fESTIVOS!$A$2:$A$53),
      NETWORKDAYS(J123,L123,fESTIVOS!$A$2:$A$53)
   )
)
</f>
        <v>1</v>
      </c>
      <c r="N123" s="28"/>
      <c r="O123" s="59"/>
      <c r="P123" s="69"/>
      <c r="Q123" s="62" t="s">
        <v>771</v>
      </c>
      <c r="R123" s="113" t="s">
        <v>275</v>
      </c>
      <c r="S123" s="71"/>
      <c r="T123" s="71"/>
      <c r="U123" s="72"/>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66"/>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row>
    <row r="124" ht="29.25" hidden="1" customHeight="1">
      <c r="A124" s="92" t="s">
        <v>157</v>
      </c>
      <c r="B124" s="93" t="s">
        <v>772</v>
      </c>
      <c r="C124" s="141" t="s">
        <v>773</v>
      </c>
      <c r="D124" s="115" t="s">
        <v>774</v>
      </c>
      <c r="E124" s="116"/>
      <c r="F124" s="117" t="s">
        <v>76</v>
      </c>
      <c r="G124" s="58">
        <v>100.0</v>
      </c>
      <c r="H124" s="22">
        <f>IF(OR(J124="",K124="",K124&lt;J124),0,NETWORKDAYS(J124,K124,fESTIVOS!$A$2:$A$53))
</f>
        <v>0</v>
      </c>
      <c r="I124" s="81">
        <v>46066.0</v>
      </c>
      <c r="J124" s="60">
        <v>46066.0</v>
      </c>
      <c r="K124" s="68"/>
      <c r="L124" s="60">
        <v>46069.0</v>
      </c>
      <c r="M124" s="27">
        <f>IF(OR(J124="",AND(L124="",TODAY()&lt;J124),AND(L124&lt;&gt;"",L124&lt;J124)),0,
   IF(L124="",
      NETWORKDAYS(J124,TODAY(),fESTIVOS!$A$2:$A$53),
      NETWORKDAYS(J124,L124,fESTIVOS!$A$2:$A$53)
   )
)
</f>
        <v>2</v>
      </c>
      <c r="N124" s="28"/>
      <c r="O124" s="59"/>
      <c r="P124" s="61">
        <v>46070.0</v>
      </c>
      <c r="Q124" s="62" t="s">
        <v>775</v>
      </c>
      <c r="R124" s="113" t="s">
        <v>275</v>
      </c>
      <c r="S124" s="71"/>
      <c r="T124" s="71"/>
      <c r="U124" s="72"/>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66"/>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row>
    <row r="125" ht="29.25" hidden="1" customHeight="1">
      <c r="A125" s="92" t="s">
        <v>157</v>
      </c>
      <c r="B125" s="93" t="s">
        <v>776</v>
      </c>
      <c r="C125" s="141" t="s">
        <v>777</v>
      </c>
      <c r="D125" s="115"/>
      <c r="E125" s="116"/>
      <c r="F125" s="117" t="s">
        <v>76</v>
      </c>
      <c r="G125" s="58">
        <v>100.0</v>
      </c>
      <c r="H125" s="22">
        <f>IF(OR(J125="",K125="",K125&lt;J125),0,NETWORKDAYS(J125,K125,fESTIVOS!$A$2:$A$53))
</f>
        <v>0</v>
      </c>
      <c r="I125" s="81">
        <v>46077.0</v>
      </c>
      <c r="J125" s="60">
        <v>46077.0</v>
      </c>
      <c r="K125" s="68"/>
      <c r="L125" s="60">
        <v>46077.0</v>
      </c>
      <c r="M125" s="27">
        <f>IF(OR(J125="",AND(L125="",TODAY()&lt;J125),AND(L125&lt;&gt;"",L125&lt;J125)),0,
   IF(L125="",
      NETWORKDAYS(J125,TODAY(),fESTIVOS!$A$2:$A$53),
      NETWORKDAYS(J125,L125,fESTIVOS!$A$2:$A$53)
   )
)
</f>
        <v>1</v>
      </c>
      <c r="N125" s="28"/>
      <c r="O125" s="59"/>
      <c r="P125" s="61">
        <v>46077.0</v>
      </c>
      <c r="Q125" s="62" t="s">
        <v>778</v>
      </c>
      <c r="R125" s="113" t="s">
        <v>208</v>
      </c>
      <c r="S125" s="71"/>
      <c r="T125" s="71"/>
      <c r="U125" s="72"/>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66"/>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row>
    <row r="126" ht="29.25" hidden="1" customHeight="1">
      <c r="A126" s="92" t="s">
        <v>157</v>
      </c>
      <c r="B126" s="93" t="s">
        <v>779</v>
      </c>
      <c r="C126" s="141" t="s">
        <v>780</v>
      </c>
      <c r="D126" s="115" t="s">
        <v>781</v>
      </c>
      <c r="E126" s="116"/>
      <c r="F126" s="117" t="s">
        <v>76</v>
      </c>
      <c r="G126" s="58">
        <v>100.0</v>
      </c>
      <c r="H126" s="22">
        <f>IF(OR(J126="",K126="",K126&lt;J126),0,NETWORKDAYS(J126,K126,fESTIVOS!$A$2:$A$53))
</f>
        <v>0</v>
      </c>
      <c r="I126" s="81">
        <v>46078.0</v>
      </c>
      <c r="J126" s="60">
        <v>46078.0</v>
      </c>
      <c r="K126" s="68"/>
      <c r="L126" s="68"/>
      <c r="M126" s="27">
        <f>IF(OR(J126="",AND(L126="",TODAY()&lt;J126),AND(L126&lt;&gt;"",L126&lt;J126)),0,
   IF(L126="",
      NETWORKDAYS(J126,TODAY(),fESTIVOS!$A$2:$A$53),
      NETWORKDAYS(J126,L126,fESTIVOS!$A$2:$A$53)
   )
)
</f>
        <v>73</v>
      </c>
      <c r="N126" s="28"/>
      <c r="O126" s="59"/>
      <c r="P126" s="69"/>
      <c r="Q126" s="62" t="s">
        <v>782</v>
      </c>
      <c r="R126" s="113" t="s">
        <v>208</v>
      </c>
      <c r="S126" s="71"/>
      <c r="T126" s="71"/>
      <c r="U126" s="72"/>
      <c r="V126" s="159" t="s">
        <v>783</v>
      </c>
      <c r="W126" s="119"/>
      <c r="X126" s="119"/>
      <c r="Y126" s="119"/>
      <c r="Z126" s="119"/>
      <c r="AA126" s="119"/>
      <c r="AB126" s="119"/>
      <c r="AC126" s="119"/>
      <c r="AD126" s="119"/>
      <c r="AE126" s="119"/>
      <c r="AF126" s="119"/>
      <c r="AG126" s="119"/>
      <c r="AH126" s="119"/>
      <c r="AI126" s="119"/>
      <c r="AJ126" s="119"/>
      <c r="AK126" s="119"/>
      <c r="AL126" s="119"/>
      <c r="AM126" s="119"/>
      <c r="AN126" s="119"/>
      <c r="AO126" s="119"/>
      <c r="AP126" s="66"/>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row>
    <row r="127" ht="29.25" hidden="1" customHeight="1">
      <c r="A127" s="92" t="s">
        <v>67</v>
      </c>
      <c r="B127" s="93" t="s">
        <v>784</v>
      </c>
      <c r="C127" s="141" t="s">
        <v>785</v>
      </c>
      <c r="D127" s="115" t="s">
        <v>786</v>
      </c>
      <c r="E127" s="116"/>
      <c r="F127" s="117" t="s">
        <v>76</v>
      </c>
      <c r="G127" s="58">
        <v>100.0</v>
      </c>
      <c r="H127" s="22">
        <f>IF(OR(J127="",K127="",K127&lt;J127),0,NETWORKDAYS(J127,K127,fESTIVOS!$A$2:$A$53))
</f>
        <v>0</v>
      </c>
      <c r="I127" s="81">
        <v>46070.0</v>
      </c>
      <c r="J127" s="60">
        <v>46090.0</v>
      </c>
      <c r="K127" s="68"/>
      <c r="L127" s="60">
        <v>46090.0</v>
      </c>
      <c r="M127" s="27">
        <f>IF(OR(J127="",AND(L127="",TODAY()&lt;J127),AND(L127&lt;&gt;"",L127&lt;J127)),0,
   IF(L127="",
      NETWORKDAYS(J127,TODAY(),fESTIVOS!$A$2:$A$53),
      NETWORKDAYS(J127,L127,fESTIVOS!$A$2:$A$53)
   )
)
</f>
        <v>1</v>
      </c>
      <c r="N127" s="28"/>
      <c r="O127" s="81">
        <v>46090.0</v>
      </c>
      <c r="P127" s="61">
        <v>46091.0</v>
      </c>
      <c r="Q127" s="62" t="s">
        <v>787</v>
      </c>
      <c r="R127" s="113" t="s">
        <v>208</v>
      </c>
      <c r="S127" s="71"/>
      <c r="T127" s="71"/>
      <c r="U127" s="72"/>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66"/>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row>
    <row r="128" ht="29.25" hidden="1" customHeight="1">
      <c r="A128" s="55" t="s">
        <v>251</v>
      </c>
      <c r="B128" s="93" t="s">
        <v>788</v>
      </c>
      <c r="C128" s="142" t="s">
        <v>789</v>
      </c>
      <c r="D128" s="173"/>
      <c r="E128" s="116"/>
      <c r="F128" s="117" t="s">
        <v>229</v>
      </c>
      <c r="G128" s="139"/>
      <c r="H128" s="22">
        <f>IF(OR(J128="",K128="",K128&lt;J128),0,NETWORKDAYS(J128,K128,fESTIVOS!$A$2:$A$53))
</f>
        <v>0</v>
      </c>
      <c r="I128" s="81">
        <v>45902.0</v>
      </c>
      <c r="J128" s="68"/>
      <c r="K128" s="68"/>
      <c r="L128" s="68"/>
      <c r="M128" s="27">
        <f>IF(OR(J128="",AND(L128="",TODAY()&lt;J128),AND(L128&lt;&gt;"",L128&lt;J128)),0,
   IF(L128="",
      NETWORKDAYS(J128,TODAY(),fESTIVOS!$A$2:$A$53),
      NETWORKDAYS(J128,L128,fESTIVOS!$A$2:$A$53)
   )
)
</f>
        <v>0</v>
      </c>
      <c r="N128" s="28"/>
      <c r="O128" s="59"/>
      <c r="P128" s="69"/>
      <c r="Q128" s="178"/>
      <c r="R128" s="113" t="s">
        <v>93</v>
      </c>
      <c r="S128" s="71"/>
      <c r="T128" s="71"/>
      <c r="U128" s="72"/>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66"/>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row>
    <row r="129" ht="29.25" hidden="1" customHeight="1">
      <c r="A129" s="55" t="s">
        <v>157</v>
      </c>
      <c r="B129" s="17" t="s">
        <v>790</v>
      </c>
      <c r="C129" s="107" t="s">
        <v>791</v>
      </c>
      <c r="D129" s="95"/>
      <c r="E129" s="96"/>
      <c r="F129" s="122" t="s">
        <v>76</v>
      </c>
      <c r="G129" s="97">
        <v>100.0</v>
      </c>
      <c r="H129" s="22">
        <f>IF(OR(J129="",K129="",K129&lt;J129),0,NETWORKDAYS(J129,K129,fESTIVOS!$A$2:$A$53))
</f>
        <v>0</v>
      </c>
      <c r="I129" s="98">
        <v>45862.0</v>
      </c>
      <c r="J129" s="99">
        <v>45863.0</v>
      </c>
      <c r="K129" s="99"/>
      <c r="L129" s="99">
        <v>45863.0</v>
      </c>
      <c r="M129" s="27">
        <f>IF(OR(J129="",AND(L129="",TODAY()&lt;J129),AND(L129&lt;&gt;"",L129&lt;J129)),0,
   IF(L129="",
      NETWORKDAYS(J129,TODAY(),fESTIVOS!$A$2:$A$53),
      NETWORKDAYS(J129,L129,fESTIVOS!$A$2:$A$53)
   )
)
</f>
        <v>1</v>
      </c>
      <c r="N129" s="28"/>
      <c r="O129" s="98"/>
      <c r="P129" s="100"/>
      <c r="Q129" s="34" t="s">
        <v>792</v>
      </c>
      <c r="R129" s="31" t="s">
        <v>78</v>
      </c>
      <c r="S129" s="101"/>
      <c r="T129" s="101"/>
      <c r="U129" s="102"/>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row>
    <row r="130" ht="29.25" hidden="1" customHeight="1">
      <c r="A130" s="55" t="s">
        <v>157</v>
      </c>
      <c r="B130" s="17" t="s">
        <v>793</v>
      </c>
      <c r="C130" s="107" t="s">
        <v>794</v>
      </c>
      <c r="D130" s="95"/>
      <c r="E130" s="96"/>
      <c r="F130" s="122" t="s">
        <v>76</v>
      </c>
      <c r="G130" s="97">
        <v>100.0</v>
      </c>
      <c r="H130" s="22">
        <f>IF(OR(J130="",K130="",K130&lt;J130),0,NETWORKDAYS(J130,K130,fESTIVOS!$A$2:$A$53))
</f>
        <v>0</v>
      </c>
      <c r="I130" s="98">
        <v>45862.0</v>
      </c>
      <c r="J130" s="99">
        <v>45862.0</v>
      </c>
      <c r="K130" s="99"/>
      <c r="L130" s="99"/>
      <c r="M130" s="27">
        <f>IF(OR(J130="",AND(L130="",TODAY()&lt;J130),AND(L130&lt;&gt;"",L130&lt;J130)),0,
   IF(L130="",
      NETWORKDAYS(J130,TODAY(),fESTIVOS!$A$2:$A$53),
      NETWORKDAYS(J130,L130,fESTIVOS!$A$2:$A$53)
   )
)
</f>
        <v>218</v>
      </c>
      <c r="N130" s="28"/>
      <c r="O130" s="98"/>
      <c r="P130" s="100"/>
      <c r="Q130" s="34" t="s">
        <v>795</v>
      </c>
      <c r="R130" s="31" t="s">
        <v>78</v>
      </c>
      <c r="S130" s="101"/>
      <c r="T130" s="101"/>
      <c r="U130" s="102"/>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37" t="s">
        <v>796</v>
      </c>
      <c r="BM130" s="37"/>
      <c r="BN130" s="37"/>
      <c r="BO130" s="37"/>
    </row>
    <row r="131" ht="29.25" hidden="1" customHeight="1">
      <c r="A131" s="123" t="s">
        <v>251</v>
      </c>
      <c r="B131" s="93" t="s">
        <v>797</v>
      </c>
      <c r="C131" s="107" t="s">
        <v>798</v>
      </c>
      <c r="D131" s="179"/>
      <c r="E131" s="180"/>
      <c r="F131" s="166" t="s">
        <v>76</v>
      </c>
      <c r="G131" s="165">
        <v>100.0</v>
      </c>
      <c r="H131" s="22">
        <f>IF(OR(J131="",K131="",K131&lt;J131),0,NETWORKDAYS(J131,K131,fESTIVOS!$A$2:$A$53))
</f>
        <v>0</v>
      </c>
      <c r="I131" s="181">
        <v>45862.0</v>
      </c>
      <c r="J131" s="182">
        <v>45862.0</v>
      </c>
      <c r="K131" s="182"/>
      <c r="L131" s="182">
        <v>45863.0</v>
      </c>
      <c r="M131" s="27">
        <f>IF(OR(J131="",AND(L131="",TODAY()&lt;J131),AND(L131&lt;&gt;"",L131&lt;J131)),0,
   IF(L131="",
      NETWORKDAYS(J131,TODAY(),fESTIVOS!$A$2:$A$53),
      NETWORKDAYS(J131,L131,fESTIVOS!$A$2:$A$53)
   )
)
</f>
        <v>2</v>
      </c>
      <c r="N131" s="28"/>
      <c r="O131" s="181"/>
      <c r="P131" s="183"/>
      <c r="Q131" s="37" t="s">
        <v>799</v>
      </c>
      <c r="R131" s="31" t="s">
        <v>78</v>
      </c>
      <c r="S131" s="164"/>
      <c r="T131" s="164"/>
      <c r="U131" s="162"/>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row>
    <row r="132" ht="29.25" hidden="1" customHeight="1">
      <c r="A132" s="16" t="s">
        <v>67</v>
      </c>
      <c r="B132" s="17" t="s">
        <v>800</v>
      </c>
      <c r="C132" s="107" t="s">
        <v>801</v>
      </c>
      <c r="D132" s="95"/>
      <c r="E132" s="96"/>
      <c r="F132" s="122" t="s">
        <v>76</v>
      </c>
      <c r="G132" s="97">
        <v>100.0</v>
      </c>
      <c r="H132" s="22">
        <f>IF(OR(J132="",K132="",K132&lt;J132),0,NETWORKDAYS(J132,K132,fESTIVOS!$A$2:$A$53))
</f>
        <v>0</v>
      </c>
      <c r="I132" s="98">
        <v>45863.0</v>
      </c>
      <c r="J132" s="99">
        <v>45863.0</v>
      </c>
      <c r="K132" s="99"/>
      <c r="L132" s="99">
        <v>45863.0</v>
      </c>
      <c r="M132" s="27">
        <f>IF(OR(J132="",AND(L132="",TODAY()&lt;J132),AND(L132&lt;&gt;"",L132&lt;J132)),0,
   IF(L132="",
      NETWORKDAYS(J132,TODAY(),fESTIVOS!$A$2:$A$53),
      NETWORKDAYS(J132,L132,fESTIVOS!$A$2:$A$53)
   )
)
</f>
        <v>1</v>
      </c>
      <c r="N132" s="28"/>
      <c r="O132" s="98"/>
      <c r="P132" s="100"/>
      <c r="Q132" s="34" t="s">
        <v>802</v>
      </c>
      <c r="R132" s="31" t="s">
        <v>78</v>
      </c>
      <c r="S132" s="101"/>
      <c r="T132" s="101"/>
      <c r="U132" s="102"/>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row>
    <row r="133" ht="29.25" hidden="1" customHeight="1">
      <c r="A133" s="55" t="s">
        <v>128</v>
      </c>
      <c r="B133" s="17" t="s">
        <v>803</v>
      </c>
      <c r="C133" s="107" t="s">
        <v>804</v>
      </c>
      <c r="D133" s="95"/>
      <c r="E133" s="96"/>
      <c r="F133" s="122" t="s">
        <v>76</v>
      </c>
      <c r="G133" s="97">
        <v>100.0</v>
      </c>
      <c r="H133" s="22">
        <f>IF(OR(J133="",K133="",K133&lt;J133),0,NETWORKDAYS(J133,K133,fESTIVOS!$A$2:$A$53))
</f>
        <v>0</v>
      </c>
      <c r="I133" s="98">
        <v>45863.0</v>
      </c>
      <c r="J133" s="99">
        <v>45863.0</v>
      </c>
      <c r="K133" s="99"/>
      <c r="L133" s="99">
        <v>45863.0</v>
      </c>
      <c r="M133" s="27">
        <f>IF(OR(J133="",AND(L133="",TODAY()&lt;J133),AND(L133&lt;&gt;"",L133&lt;J133)),0,
   IF(L133="",
      NETWORKDAYS(J133,TODAY(),fESTIVOS!$A$2:$A$53),
      NETWORKDAYS(J133,L133,fESTIVOS!$A$2:$A$53)
   )
)
</f>
        <v>1</v>
      </c>
      <c r="N133" s="28"/>
      <c r="O133" s="98"/>
      <c r="P133" s="100"/>
      <c r="Q133" s="34" t="s">
        <v>805</v>
      </c>
      <c r="R133" s="31" t="s">
        <v>78</v>
      </c>
      <c r="S133" s="101"/>
      <c r="T133" s="101"/>
      <c r="U133" s="102"/>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row>
    <row r="134" ht="29.25" hidden="1" customHeight="1">
      <c r="A134" s="55" t="s">
        <v>128</v>
      </c>
      <c r="B134" s="17" t="s">
        <v>806</v>
      </c>
      <c r="C134" s="107" t="s">
        <v>807</v>
      </c>
      <c r="D134" s="95"/>
      <c r="E134" s="96"/>
      <c r="F134" s="122" t="s">
        <v>76</v>
      </c>
      <c r="G134" s="97">
        <v>100.0</v>
      </c>
      <c r="H134" s="22">
        <f>IF(OR(J134="",K134="",K134&lt;J134),0,NETWORKDAYS(J134,K134,fESTIVOS!$A$2:$A$53))
</f>
        <v>0</v>
      </c>
      <c r="I134" s="98">
        <v>45866.0</v>
      </c>
      <c r="J134" s="99">
        <v>45866.0</v>
      </c>
      <c r="K134" s="99"/>
      <c r="L134" s="99">
        <v>45867.0</v>
      </c>
      <c r="M134" s="27">
        <f>IF(OR(J134="",AND(L134="",TODAY()&lt;J134),AND(L134&lt;&gt;"",L134&lt;J134)),0,
   IF(L134="",
      NETWORKDAYS(J134,TODAY(),fESTIVOS!$A$2:$A$53),
      NETWORKDAYS(J134,L134,fESTIVOS!$A$2:$A$53)
   )
)
</f>
        <v>2</v>
      </c>
      <c r="N134" s="28"/>
      <c r="O134" s="98"/>
      <c r="P134" s="100"/>
      <c r="Q134" s="34" t="s">
        <v>808</v>
      </c>
      <c r="R134" s="31" t="s">
        <v>78</v>
      </c>
      <c r="S134" s="101"/>
      <c r="T134" s="101"/>
      <c r="U134" s="102"/>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37"/>
      <c r="BN134" s="37"/>
      <c r="BO134" s="37"/>
    </row>
    <row r="135" ht="29.25" hidden="1" customHeight="1">
      <c r="A135" s="16" t="s">
        <v>67</v>
      </c>
      <c r="B135" s="17" t="s">
        <v>809</v>
      </c>
      <c r="C135" s="107" t="s">
        <v>810</v>
      </c>
      <c r="D135" s="95"/>
      <c r="E135" s="96"/>
      <c r="F135" s="122" t="s">
        <v>76</v>
      </c>
      <c r="G135" s="97">
        <v>100.0</v>
      </c>
      <c r="H135" s="22">
        <f>IF(OR(J135="",K135="",K135&lt;J135),0,NETWORKDAYS(J135,K135,fESTIVOS!$A$2:$A$53))
</f>
        <v>0</v>
      </c>
      <c r="I135" s="98">
        <v>45866.0</v>
      </c>
      <c r="J135" s="99">
        <v>45866.0</v>
      </c>
      <c r="K135" s="99"/>
      <c r="L135" s="99">
        <v>45866.0</v>
      </c>
      <c r="M135" s="27">
        <f>IF(OR(J135="",AND(L135="",TODAY()&lt;J135),AND(L135&lt;&gt;"",L135&lt;J135)),0,
   IF(L135="",
      NETWORKDAYS(J135,TODAY(),fESTIVOS!$A$2:$A$53),
      NETWORKDAYS(J135,L135,fESTIVOS!$A$2:$A$53)
   )
)
</f>
        <v>1</v>
      </c>
      <c r="N135" s="28"/>
      <c r="O135" s="98"/>
      <c r="P135" s="100"/>
      <c r="Q135" s="34" t="s">
        <v>811</v>
      </c>
      <c r="R135" s="31" t="s">
        <v>78</v>
      </c>
      <c r="S135" s="101"/>
      <c r="T135" s="101"/>
      <c r="U135" s="102"/>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37" t="s">
        <v>812</v>
      </c>
      <c r="BN135" s="37"/>
      <c r="BO135" s="37"/>
    </row>
    <row r="136" ht="29.25" hidden="1" customHeight="1">
      <c r="A136" s="55" t="s">
        <v>157</v>
      </c>
      <c r="B136" s="17" t="s">
        <v>813</v>
      </c>
      <c r="C136" s="107" t="s">
        <v>814</v>
      </c>
      <c r="D136" s="95"/>
      <c r="E136" s="96"/>
      <c r="F136" s="122" t="s">
        <v>76</v>
      </c>
      <c r="G136" s="97">
        <v>100.0</v>
      </c>
      <c r="H136" s="22">
        <f>IF(OR(J136="",K136="",K136&lt;J136),0,NETWORKDAYS(J136,K136,fESTIVOS!$A$2:$A$53))
</f>
        <v>0</v>
      </c>
      <c r="I136" s="98">
        <v>45863.0</v>
      </c>
      <c r="J136" s="99">
        <v>45866.0</v>
      </c>
      <c r="K136" s="99"/>
      <c r="L136" s="99">
        <v>45867.0</v>
      </c>
      <c r="M136" s="27">
        <f>IF(OR(J136="",AND(L136="",TODAY()&lt;J136),AND(L136&lt;&gt;"",L136&lt;J136)),0,
   IF(L136="",
      NETWORKDAYS(J136,TODAY(),fESTIVOS!$A$2:$A$53),
      NETWORKDAYS(J136,L136,fESTIVOS!$A$2:$A$53)
   )
)
</f>
        <v>2</v>
      </c>
      <c r="N136" s="28"/>
      <c r="O136" s="98"/>
      <c r="P136" s="100"/>
      <c r="Q136" s="34" t="s">
        <v>815</v>
      </c>
      <c r="R136" s="31" t="s">
        <v>78</v>
      </c>
      <c r="S136" s="101"/>
      <c r="T136" s="101"/>
      <c r="U136" s="102"/>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row>
    <row r="137" ht="29.25" hidden="1" customHeight="1">
      <c r="A137" s="55" t="s">
        <v>157</v>
      </c>
      <c r="B137" s="17" t="s">
        <v>816</v>
      </c>
      <c r="C137" s="107" t="s">
        <v>817</v>
      </c>
      <c r="D137" s="95"/>
      <c r="E137" s="96"/>
      <c r="F137" s="122" t="s">
        <v>76</v>
      </c>
      <c r="G137" s="97">
        <v>100.0</v>
      </c>
      <c r="H137" s="22">
        <f>IF(OR(J137="",K137="",K137&lt;J137),0,NETWORKDAYS(J137,K137,fESTIVOS!$A$2:$A$53))
</f>
        <v>0</v>
      </c>
      <c r="I137" s="98">
        <v>45867.0</v>
      </c>
      <c r="J137" s="99">
        <v>45867.0</v>
      </c>
      <c r="K137" s="99"/>
      <c r="L137" s="99">
        <v>45867.0</v>
      </c>
      <c r="M137" s="27">
        <f>IF(OR(J137="",AND(L137="",TODAY()&lt;J137),AND(L137&lt;&gt;"",L137&lt;J137)),0,
   IF(L137="",
      NETWORKDAYS(J137,TODAY(),fESTIVOS!$A$2:$A$53),
      NETWORKDAYS(J137,L137,fESTIVOS!$A$2:$A$53)
   )
)
</f>
        <v>1</v>
      </c>
      <c r="N137" s="28"/>
      <c r="O137" s="98"/>
      <c r="P137" s="100"/>
      <c r="Q137" s="34" t="s">
        <v>818</v>
      </c>
      <c r="R137" s="31" t="s">
        <v>78</v>
      </c>
      <c r="S137" s="101"/>
      <c r="T137" s="101"/>
      <c r="U137" s="102"/>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row>
    <row r="138" ht="29.25" hidden="1" customHeight="1">
      <c r="A138" s="55" t="s">
        <v>157</v>
      </c>
      <c r="B138" s="17" t="s">
        <v>819</v>
      </c>
      <c r="C138" s="107" t="s">
        <v>820</v>
      </c>
      <c r="D138" s="150"/>
      <c r="E138" s="96"/>
      <c r="F138" s="122" t="s">
        <v>76</v>
      </c>
      <c r="G138" s="97">
        <v>100.0</v>
      </c>
      <c r="H138" s="22">
        <f>IF(OR(J138="",K138="",K138&lt;J138),0,NETWORKDAYS(J138,K138,fESTIVOS!$A$2:$A$53))
</f>
        <v>0</v>
      </c>
      <c r="I138" s="98">
        <v>45867.0</v>
      </c>
      <c r="J138" s="99">
        <v>45867.0</v>
      </c>
      <c r="K138" s="99"/>
      <c r="L138" s="99">
        <v>45867.0</v>
      </c>
      <c r="M138" s="27">
        <f>IF(OR(J138="",AND(L138="",TODAY()&lt;J138),AND(L138&lt;&gt;"",L138&lt;J138)),0,
   IF(L138="",
      NETWORKDAYS(J138,TODAY(),fESTIVOS!$A$2:$A$53),
      NETWORKDAYS(J138,L138,fESTIVOS!$A$2:$A$53)
   )
)
</f>
        <v>1</v>
      </c>
      <c r="N138" s="28"/>
      <c r="O138" s="98"/>
      <c r="P138" s="100"/>
      <c r="Q138" s="34" t="s">
        <v>821</v>
      </c>
      <c r="R138" s="31" t="s">
        <v>78</v>
      </c>
      <c r="S138" s="101"/>
      <c r="T138" s="101"/>
      <c r="U138" s="102"/>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row>
    <row r="139" ht="29.25" hidden="1" customHeight="1">
      <c r="A139" s="55" t="s">
        <v>157</v>
      </c>
      <c r="B139" s="17" t="s">
        <v>822</v>
      </c>
      <c r="C139" s="107" t="s">
        <v>823</v>
      </c>
      <c r="D139" s="150"/>
      <c r="E139" s="96"/>
      <c r="F139" s="122" t="s">
        <v>76</v>
      </c>
      <c r="G139" s="97">
        <v>100.0</v>
      </c>
      <c r="H139" s="22">
        <f>IF(OR(J139="",K139="",K139&lt;J139),0,NETWORKDAYS(J139,K139,fESTIVOS!$A$2:$A$53))
</f>
        <v>0</v>
      </c>
      <c r="I139" s="98">
        <v>45867.0</v>
      </c>
      <c r="J139" s="99">
        <v>45867.0</v>
      </c>
      <c r="K139" s="99"/>
      <c r="L139" s="99">
        <v>45867.0</v>
      </c>
      <c r="M139" s="27">
        <f>IF(OR(J139="",AND(L139="",TODAY()&lt;J139),AND(L139&lt;&gt;"",L139&lt;J139)),0,
   IF(L139="",
      NETWORKDAYS(J139,TODAY(),fESTIVOS!$A$2:$A$53),
      NETWORKDAYS(J139,L139,fESTIVOS!$A$2:$A$53)
   )
)
</f>
        <v>1</v>
      </c>
      <c r="N139" s="28"/>
      <c r="O139" s="98"/>
      <c r="P139" s="100"/>
      <c r="Q139" s="34" t="s">
        <v>824</v>
      </c>
      <c r="R139" s="31" t="s">
        <v>78</v>
      </c>
      <c r="S139" s="101"/>
      <c r="T139" s="101"/>
      <c r="U139" s="102"/>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row>
    <row r="140" ht="29.25" hidden="1" customHeight="1">
      <c r="A140" s="55" t="s">
        <v>157</v>
      </c>
      <c r="B140" s="17" t="s">
        <v>825</v>
      </c>
      <c r="C140" s="107" t="s">
        <v>826</v>
      </c>
      <c r="D140" s="150"/>
      <c r="E140" s="96"/>
      <c r="F140" s="122" t="s">
        <v>76</v>
      </c>
      <c r="G140" s="97">
        <v>100.0</v>
      </c>
      <c r="H140" s="22">
        <f>IF(OR(J140="",K140="",K140&lt;J140),0,NETWORKDAYS(J140,K140,fESTIVOS!$A$2:$A$53))
</f>
        <v>0</v>
      </c>
      <c r="I140" s="98">
        <v>45867.0</v>
      </c>
      <c r="J140" s="99">
        <v>45868.0</v>
      </c>
      <c r="K140" s="99"/>
      <c r="L140" s="99">
        <v>45870.0</v>
      </c>
      <c r="M140" s="27">
        <f>IF(OR(J140="",AND(L140="",TODAY()&lt;J140),AND(L140&lt;&gt;"",L140&lt;J140)),0,
   IF(L140="",
      NETWORKDAYS(J140,TODAY(),fESTIVOS!$A$2:$A$53),
      NETWORKDAYS(J140,L140,fESTIVOS!$A$2:$A$53)
   )
)
</f>
        <v>3</v>
      </c>
      <c r="N140" s="28"/>
      <c r="O140" s="98">
        <v>45870.0</v>
      </c>
      <c r="P140" s="100">
        <v>45881.0</v>
      </c>
      <c r="Q140" s="34" t="s">
        <v>827</v>
      </c>
      <c r="R140" s="31" t="s">
        <v>78</v>
      </c>
      <c r="S140" s="101"/>
      <c r="T140" s="101"/>
      <c r="U140" s="102"/>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37" t="s">
        <v>828</v>
      </c>
    </row>
    <row r="141" ht="29.25" hidden="1" customHeight="1">
      <c r="A141" s="16" t="s">
        <v>67</v>
      </c>
      <c r="B141" s="17" t="s">
        <v>829</v>
      </c>
      <c r="C141" s="107" t="s">
        <v>830</v>
      </c>
      <c r="D141" s="150"/>
      <c r="E141" s="96"/>
      <c r="F141" s="122" t="s">
        <v>76</v>
      </c>
      <c r="G141" s="97">
        <v>100.0</v>
      </c>
      <c r="H141" s="22">
        <f>IF(OR(J141="",K141="",K141&lt;J141),0,NETWORKDAYS(J141,K141,fESTIVOS!$A$2:$A$53))
</f>
        <v>0</v>
      </c>
      <c r="I141" s="98">
        <v>45867.0</v>
      </c>
      <c r="J141" s="99">
        <v>45867.0</v>
      </c>
      <c r="K141" s="99"/>
      <c r="L141" s="99"/>
      <c r="M141" s="27">
        <f>IF(OR(J141="",AND(L141="",TODAY()&lt;J141),AND(L141&lt;&gt;"",L141&lt;J141)),0,
   IF(L141="",
      NETWORKDAYS(J141,TODAY(),fESTIVOS!$A$2:$A$53),
      NETWORKDAYS(J141,L141,fESTIVOS!$A$2:$A$53)
   )
)
</f>
        <v>215</v>
      </c>
      <c r="N141" s="28"/>
      <c r="O141" s="98"/>
      <c r="P141" s="100"/>
      <c r="Q141" s="34" t="s">
        <v>831</v>
      </c>
      <c r="R141" s="31" t="s">
        <v>78</v>
      </c>
      <c r="S141" s="101"/>
      <c r="T141" s="101"/>
      <c r="U141" s="102"/>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row>
    <row r="142" ht="29.25" hidden="1" customHeight="1">
      <c r="A142" s="55" t="s">
        <v>157</v>
      </c>
      <c r="B142" s="17" t="s">
        <v>832</v>
      </c>
      <c r="C142" s="107" t="s">
        <v>833</v>
      </c>
      <c r="D142" s="150"/>
      <c r="E142" s="96"/>
      <c r="F142" s="122" t="s">
        <v>76</v>
      </c>
      <c r="G142" s="97">
        <v>100.0</v>
      </c>
      <c r="H142" s="22">
        <f>IF(OR(J142="",K142="",K142&lt;J142),0,NETWORKDAYS(J142,K142,fESTIVOS!$A$2:$A$53))
</f>
        <v>0</v>
      </c>
      <c r="I142" s="98">
        <v>45866.0</v>
      </c>
      <c r="J142" s="99">
        <v>45867.0</v>
      </c>
      <c r="K142" s="99"/>
      <c r="L142" s="99">
        <v>45868.0</v>
      </c>
      <c r="M142" s="27">
        <f>IF(OR(J142="",AND(L142="",TODAY()&lt;J142),AND(L142&lt;&gt;"",L142&lt;J142)),0,
   IF(L142="",
      NETWORKDAYS(J142,TODAY(),fESTIVOS!$A$2:$A$53),
      NETWORKDAYS(J142,L142,fESTIVOS!$A$2:$A$53)
   )
)
</f>
        <v>2</v>
      </c>
      <c r="N142" s="28"/>
      <c r="O142" s="98"/>
      <c r="P142" s="100"/>
      <c r="Q142" s="34" t="s">
        <v>834</v>
      </c>
      <c r="R142" s="31" t="s">
        <v>78</v>
      </c>
      <c r="S142" s="101"/>
      <c r="T142" s="101"/>
      <c r="U142" s="102"/>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row>
    <row r="143" ht="29.25" hidden="1" customHeight="1">
      <c r="A143" s="16" t="s">
        <v>67</v>
      </c>
      <c r="B143" s="17" t="s">
        <v>835</v>
      </c>
      <c r="C143" s="107" t="s">
        <v>836</v>
      </c>
      <c r="D143" s="150"/>
      <c r="E143" s="96"/>
      <c r="F143" s="122" t="s">
        <v>76</v>
      </c>
      <c r="G143" s="97">
        <v>100.0</v>
      </c>
      <c r="H143" s="22">
        <f>IF(OR(J143="",K143="",K143&lt;J143),0,NETWORKDAYS(J143,K143,fESTIVOS!$A$2:$A$53))
</f>
        <v>0</v>
      </c>
      <c r="I143" s="98">
        <v>45867.0</v>
      </c>
      <c r="J143" s="99">
        <v>45867.0</v>
      </c>
      <c r="K143" s="99"/>
      <c r="L143" s="99">
        <v>45875.0</v>
      </c>
      <c r="M143" s="27">
        <f>IF(OR(J143="",AND(L143="",TODAY()&lt;J143),AND(L143&lt;&gt;"",L143&lt;J143)),0,
   IF(L143="",
      NETWORKDAYS(J143,TODAY(),fESTIVOS!$A$2:$A$53),
      NETWORKDAYS(J143,L143,fESTIVOS!$A$2:$A$53)
   )
)
</f>
        <v>7</v>
      </c>
      <c r="N143" s="28"/>
      <c r="O143" s="98"/>
      <c r="P143" s="100"/>
      <c r="Q143" s="34" t="s">
        <v>837</v>
      </c>
      <c r="R143" s="31" t="s">
        <v>78</v>
      </c>
      <c r="S143" s="101"/>
      <c r="T143" s="101"/>
      <c r="U143" s="102"/>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row>
    <row r="144" ht="29.25" hidden="1" customHeight="1">
      <c r="A144" s="16" t="s">
        <v>67</v>
      </c>
      <c r="B144" s="17" t="s">
        <v>838</v>
      </c>
      <c r="C144" s="107" t="s">
        <v>839</v>
      </c>
      <c r="D144" s="150"/>
      <c r="E144" s="96"/>
      <c r="F144" s="20" t="s">
        <v>91</v>
      </c>
      <c r="G144" s="97">
        <v>20.0</v>
      </c>
      <c r="H144" s="22">
        <f>IF(OR(J144="",K144="",K144&lt;J144),0,NETWORKDAYS(J144,K144,fESTIVOS!$A$2:$A$53))
</f>
        <v>0</v>
      </c>
      <c r="I144" s="98">
        <v>45867.0</v>
      </c>
      <c r="J144" s="99">
        <v>45867.0</v>
      </c>
      <c r="K144" s="99"/>
      <c r="L144" s="99"/>
      <c r="M144" s="27">
        <f>IF(OR(J144="",AND(L144="",TODAY()&lt;J144),AND(L144&lt;&gt;"",L144&lt;J144)),0,
   IF(L144="",
      NETWORKDAYS(J144,TODAY(),fESTIVOS!$A$2:$A$53),
      NETWORKDAYS(J144,L144,fESTIVOS!$A$2:$A$53)
   )
)
</f>
        <v>215</v>
      </c>
      <c r="N144" s="28"/>
      <c r="O144" s="98"/>
      <c r="P144" s="100"/>
      <c r="Q144" s="34" t="s">
        <v>840</v>
      </c>
      <c r="R144" s="31" t="s">
        <v>93</v>
      </c>
      <c r="S144" s="101"/>
      <c r="T144" s="101"/>
      <c r="U144" s="102"/>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row>
    <row r="145" ht="29.25" hidden="1" customHeight="1">
      <c r="A145" s="92" t="s">
        <v>128</v>
      </c>
      <c r="B145" s="93" t="s">
        <v>841</v>
      </c>
      <c r="C145" s="151" t="s">
        <v>842</v>
      </c>
      <c r="D145" s="143" t="s">
        <v>843</v>
      </c>
      <c r="E145" s="145"/>
      <c r="F145" s="20" t="s">
        <v>76</v>
      </c>
      <c r="G145" s="58">
        <v>100.0</v>
      </c>
      <c r="H145" s="22">
        <f>IF(OR(J145="",K145="",K145&lt;J145),0,NETWORKDAYS(J145,K145,fESTIVOS!$A$2:$A$53))
</f>
        <v>0</v>
      </c>
      <c r="I145" s="81">
        <v>46020.0</v>
      </c>
      <c r="J145" s="60">
        <v>46020.0</v>
      </c>
      <c r="K145" s="60"/>
      <c r="L145" s="60">
        <v>46027.0</v>
      </c>
      <c r="M145" s="27">
        <f>IF(OR(J145="",AND(L145="",TODAY()&lt;J145),AND(L145&lt;&gt;"",L145&lt;J145)),0,
   IF(L145="",
      NETWORKDAYS(J145,TODAY(),fESTIVOS!$A$2:$A$53),
      NETWORKDAYS(J145,L145,fESTIVOS!$A$2:$A$53)
   )
)
</f>
        <v>5</v>
      </c>
      <c r="N145" s="28"/>
      <c r="O145" s="81"/>
      <c r="P145" s="61"/>
      <c r="Q145" s="34" t="s">
        <v>844</v>
      </c>
      <c r="R145" s="113" t="s">
        <v>78</v>
      </c>
      <c r="S145" s="139"/>
      <c r="T145" s="139"/>
      <c r="U145" s="102"/>
      <c r="V145" s="104"/>
      <c r="W145" s="104"/>
      <c r="X145" s="104"/>
      <c r="Y145" s="104"/>
      <c r="Z145" s="104"/>
      <c r="AA145" s="104"/>
      <c r="AB145" s="104"/>
      <c r="AC145" s="104"/>
      <c r="AD145" s="104"/>
      <c r="AE145" s="104"/>
      <c r="AF145" s="104"/>
      <c r="AG145" s="104"/>
      <c r="AH145" s="104"/>
      <c r="AI145" s="104"/>
      <c r="AJ145" s="104"/>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row>
    <row r="146" ht="29.25" hidden="1" customHeight="1">
      <c r="A146" s="55" t="s">
        <v>128</v>
      </c>
      <c r="B146" s="17" t="s">
        <v>845</v>
      </c>
      <c r="C146" s="107" t="s">
        <v>846</v>
      </c>
      <c r="D146" s="143" t="s">
        <v>847</v>
      </c>
      <c r="E146" s="145" t="s">
        <v>216</v>
      </c>
      <c r="F146" s="20" t="s">
        <v>76</v>
      </c>
      <c r="G146" s="58">
        <v>100.0</v>
      </c>
      <c r="H146" s="22">
        <f>IF(OR(J146="",K146="",K146&lt;J146),0,NETWORKDAYS(J146,K146,fESTIVOS!$A$2:$A$53))
</f>
        <v>0</v>
      </c>
      <c r="I146" s="81">
        <v>45807.0</v>
      </c>
      <c r="J146" s="60">
        <v>45926.0</v>
      </c>
      <c r="K146" s="60"/>
      <c r="L146" s="60">
        <v>45966.0</v>
      </c>
      <c r="M146" s="27">
        <f>IF(OR(J146="",AND(L146="",TODAY()&lt;J146),AND(L146&lt;&gt;"",L146&lt;J146)),0,
   IF(L146="",
      NETWORKDAYS(J146,TODAY(),fESTIVOS!$A$2:$A$53),
      NETWORKDAYS(J146,L146,fESTIVOS!$A$2:$A$53)
   )
)
</f>
        <v>27</v>
      </c>
      <c r="N146" s="28"/>
      <c r="O146" s="81">
        <v>45966.0</v>
      </c>
      <c r="P146" s="61">
        <v>45966.0</v>
      </c>
      <c r="Q146" s="34" t="s">
        <v>848</v>
      </c>
      <c r="R146" s="31" t="s">
        <v>78</v>
      </c>
      <c r="S146" s="139"/>
      <c r="T146" s="139"/>
      <c r="U146" s="102"/>
      <c r="V146" s="104"/>
      <c r="W146" s="104"/>
      <c r="X146" s="104"/>
      <c r="Y146" s="104"/>
      <c r="Z146" s="104"/>
      <c r="AA146" s="104"/>
      <c r="AB146" s="104"/>
      <c r="AC146" s="104"/>
      <c r="AD146" s="104"/>
      <c r="AE146" s="104"/>
      <c r="AF146" s="104"/>
      <c r="AG146" s="104"/>
      <c r="AH146" s="104"/>
      <c r="AI146" s="104"/>
      <c r="AJ146" s="104"/>
      <c r="AK146" s="37" t="s">
        <v>849</v>
      </c>
      <c r="AL146" s="37" t="s">
        <v>850</v>
      </c>
      <c r="AM146" s="37" t="s">
        <v>851</v>
      </c>
      <c r="AN146" s="37" t="s">
        <v>852</v>
      </c>
      <c r="AO146" s="37"/>
      <c r="AP146" s="37"/>
      <c r="AQ146" s="37"/>
      <c r="AR146" s="37" t="s">
        <v>853</v>
      </c>
      <c r="AS146" s="37" t="s">
        <v>854</v>
      </c>
      <c r="AT146" s="37"/>
      <c r="AU146" s="37"/>
      <c r="AV146" s="37"/>
      <c r="AW146" s="37"/>
      <c r="AX146" s="37" t="s">
        <v>855</v>
      </c>
      <c r="AY146" s="37"/>
      <c r="AZ146" s="37"/>
      <c r="BA146" s="37"/>
      <c r="BB146" s="37"/>
      <c r="BC146" s="37"/>
      <c r="BD146" s="37"/>
      <c r="BE146" s="37"/>
      <c r="BF146" s="37"/>
      <c r="BG146" s="37"/>
      <c r="BH146" s="37" t="s">
        <v>856</v>
      </c>
      <c r="BI146" s="37"/>
      <c r="BJ146" s="37"/>
      <c r="BK146" s="37" t="s">
        <v>857</v>
      </c>
      <c r="BL146" s="37"/>
      <c r="BM146" s="37"/>
      <c r="BN146" s="37"/>
      <c r="BO146" s="37"/>
    </row>
    <row r="147" ht="29.25" hidden="1" customHeight="1">
      <c r="A147" s="55" t="s">
        <v>157</v>
      </c>
      <c r="B147" s="17" t="s">
        <v>858</v>
      </c>
      <c r="C147" s="107" t="s">
        <v>859</v>
      </c>
      <c r="D147" s="150"/>
      <c r="E147" s="96"/>
      <c r="F147" s="122" t="s">
        <v>76</v>
      </c>
      <c r="G147" s="97">
        <v>100.0</v>
      </c>
      <c r="H147" s="22">
        <f>IF(OR(J147="",K147="",K147&lt;J147),0,NETWORKDAYS(J147,K147,fESTIVOS!$A$2:$A$53))
</f>
        <v>0</v>
      </c>
      <c r="I147" s="98">
        <v>45868.0</v>
      </c>
      <c r="J147" s="99">
        <v>45868.0</v>
      </c>
      <c r="K147" s="99"/>
      <c r="L147" s="99">
        <v>45869.0</v>
      </c>
      <c r="M147" s="27">
        <f>IF(OR(J147="",AND(L147="",TODAY()&lt;J147),AND(L147&lt;&gt;"",L147&lt;J147)),0,
   IF(L147="",
      NETWORKDAYS(J147,TODAY(),fESTIVOS!$A$2:$A$53),
      NETWORKDAYS(J147,L147,fESTIVOS!$A$2:$A$53)
   )
)
</f>
        <v>2</v>
      </c>
      <c r="N147" s="28"/>
      <c r="O147" s="98"/>
      <c r="P147" s="100"/>
      <c r="Q147" s="34" t="s">
        <v>860</v>
      </c>
      <c r="R147" s="31" t="s">
        <v>78</v>
      </c>
      <c r="S147" s="101"/>
      <c r="T147" s="101"/>
      <c r="U147" s="102"/>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row>
    <row r="148" ht="29.25" hidden="1" customHeight="1">
      <c r="A148" s="55" t="s">
        <v>128</v>
      </c>
      <c r="B148" s="17" t="s">
        <v>861</v>
      </c>
      <c r="C148" s="107" t="s">
        <v>862</v>
      </c>
      <c r="D148" s="150"/>
      <c r="E148" s="96"/>
      <c r="F148" s="122" t="s">
        <v>76</v>
      </c>
      <c r="G148" s="97">
        <v>100.0</v>
      </c>
      <c r="H148" s="22">
        <f>IF(OR(J148="",K148="",K148&lt;J148),0,NETWORKDAYS(J148,K148,fESTIVOS!$A$2:$A$53))
</f>
        <v>0</v>
      </c>
      <c r="I148" s="98">
        <v>45870.0</v>
      </c>
      <c r="J148" s="99">
        <v>45874.0</v>
      </c>
      <c r="K148" s="99"/>
      <c r="L148" s="99">
        <v>45874.0</v>
      </c>
      <c r="M148" s="27">
        <f>IF(OR(J148="",AND(L148="",TODAY()&lt;J148),AND(L148&lt;&gt;"",L148&lt;J148)),0,
   IF(L148="",
      NETWORKDAYS(J148,TODAY(),fESTIVOS!$A$2:$A$53),
      NETWORKDAYS(J148,L148,fESTIVOS!$A$2:$A$53)
   )
)
</f>
        <v>1</v>
      </c>
      <c r="N148" s="28"/>
      <c r="O148" s="98">
        <v>45874.0</v>
      </c>
      <c r="P148" s="100">
        <v>45874.0</v>
      </c>
      <c r="Q148" s="34" t="s">
        <v>863</v>
      </c>
      <c r="R148" s="31" t="s">
        <v>78</v>
      </c>
      <c r="S148" s="101"/>
      <c r="T148" s="101"/>
      <c r="U148" s="102"/>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row>
    <row r="149" ht="29.25" hidden="1" customHeight="1">
      <c r="A149" s="55" t="s">
        <v>128</v>
      </c>
      <c r="B149" s="93" t="s">
        <v>864</v>
      </c>
      <c r="C149" s="107" t="s">
        <v>865</v>
      </c>
      <c r="D149" s="95"/>
      <c r="E149" s="96"/>
      <c r="F149" s="122" t="s">
        <v>76</v>
      </c>
      <c r="G149" s="97">
        <v>100.0</v>
      </c>
      <c r="H149" s="22">
        <f>IF(OR(J149="",K149="",K149&lt;J149),0,NETWORKDAYS(J149,K149,fESTIVOS!$A$2:$A$53))
</f>
        <v>0</v>
      </c>
      <c r="I149" s="98">
        <v>45917.0</v>
      </c>
      <c r="J149" s="184">
        <v>45917.0</v>
      </c>
      <c r="K149" s="99"/>
      <c r="L149" s="99">
        <v>45917.0</v>
      </c>
      <c r="M149" s="27">
        <f>IF(OR(J149="",AND(L149="",TODAY()&lt;J149),AND(L149&lt;&gt;"",L149&lt;J149)),0,
   IF(L149="",
      NETWORKDAYS(J149,TODAY(),fESTIVOS!$A$2:$A$53),
      NETWORKDAYS(J149,L149,fESTIVOS!$A$2:$A$53)
   )
)
</f>
        <v>1</v>
      </c>
      <c r="N149" s="28"/>
      <c r="O149" s="98"/>
      <c r="P149" s="100"/>
      <c r="Q149" s="88" t="s">
        <v>628</v>
      </c>
      <c r="R149" s="113" t="s">
        <v>78</v>
      </c>
      <c r="S149" s="97"/>
      <c r="T149" s="101"/>
      <c r="U149" s="102"/>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row>
    <row r="150" ht="33.0" hidden="1" customHeight="1">
      <c r="A150" s="55" t="s">
        <v>128</v>
      </c>
      <c r="B150" s="93" t="s">
        <v>866</v>
      </c>
      <c r="C150" s="107" t="s">
        <v>867</v>
      </c>
      <c r="D150" s="95"/>
      <c r="E150" s="96"/>
      <c r="F150" s="122" t="s">
        <v>76</v>
      </c>
      <c r="G150" s="97">
        <v>100.0</v>
      </c>
      <c r="H150" s="22">
        <f>IF(OR(J150="",K150="",K150&lt;J150),0,NETWORKDAYS(J150,K150,fESTIVOS!$A$2:$A$53))
</f>
        <v>0</v>
      </c>
      <c r="I150" s="98">
        <v>45868.0</v>
      </c>
      <c r="J150" s="184">
        <v>45911.0</v>
      </c>
      <c r="K150" s="99"/>
      <c r="L150" s="99">
        <v>45912.0</v>
      </c>
      <c r="M150" s="27">
        <f>IF(OR(J150="",AND(L150="",TODAY()&lt;J150),AND(L150&lt;&gt;"",L150&lt;J150)),0,
   IF(L150="",
      NETWORKDAYS(J150,TODAY(),fESTIVOS!$A$2:$A$53),
      NETWORKDAYS(J150,L150,fESTIVOS!$A$2:$A$53)
   )
)
</f>
        <v>2</v>
      </c>
      <c r="N150" s="28"/>
      <c r="O150" s="98"/>
      <c r="P150" s="100">
        <v>45930.0</v>
      </c>
      <c r="Q150" s="34" t="s">
        <v>868</v>
      </c>
      <c r="R150" s="113" t="s">
        <v>78</v>
      </c>
      <c r="S150" s="97"/>
      <c r="T150" s="101"/>
      <c r="U150" s="122" t="s">
        <v>869</v>
      </c>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row>
    <row r="151" ht="29.25" hidden="1" customHeight="1">
      <c r="A151" s="92" t="s">
        <v>128</v>
      </c>
      <c r="B151" s="93" t="s">
        <v>870</v>
      </c>
      <c r="C151" s="185" t="s">
        <v>871</v>
      </c>
      <c r="D151" s="156" t="s">
        <v>872</v>
      </c>
      <c r="E151" s="96"/>
      <c r="F151" s="20" t="s">
        <v>76</v>
      </c>
      <c r="G151" s="97">
        <v>100.0</v>
      </c>
      <c r="H151" s="22">
        <f>IF(OR(J151="",K151="",K151&lt;J151),0,NETWORKDAYS(J151,K151,fESTIVOS!$A$2:$A$53))
</f>
        <v>0</v>
      </c>
      <c r="I151" s="98">
        <v>46036.0</v>
      </c>
      <c r="J151" s="99">
        <v>46048.0</v>
      </c>
      <c r="K151" s="99"/>
      <c r="L151" s="99">
        <v>46048.0</v>
      </c>
      <c r="M151" s="27">
        <f>IF(OR(J151="",AND(L151="",TODAY()&lt;J151),AND(L151&lt;&gt;"",L151&lt;J151)),0,
   IF(L151="",
      NETWORKDAYS(J151,TODAY(),fESTIVOS!$A$2:$A$53),
      NETWORKDAYS(J151,L151,fESTIVOS!$A$2:$A$53)
   )
)
</f>
        <v>1</v>
      </c>
      <c r="N151" s="28"/>
      <c r="O151" s="98"/>
      <c r="P151" s="100"/>
      <c r="Q151" s="34" t="s">
        <v>873</v>
      </c>
      <c r="R151" s="113" t="s">
        <v>208</v>
      </c>
      <c r="S151" s="101"/>
      <c r="T151" s="101"/>
      <c r="U151" s="102"/>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37"/>
      <c r="BG151" s="37"/>
      <c r="BH151" s="37"/>
      <c r="BI151" s="37"/>
      <c r="BJ151" s="37"/>
      <c r="BK151" s="37"/>
      <c r="BL151" s="37"/>
      <c r="BM151" s="37"/>
      <c r="BN151" s="37"/>
      <c r="BO151" s="37"/>
    </row>
    <row r="152" ht="29.25" hidden="1" customHeight="1">
      <c r="A152" s="92" t="s">
        <v>128</v>
      </c>
      <c r="B152" s="93" t="s">
        <v>874</v>
      </c>
      <c r="C152" s="151" t="s">
        <v>875</v>
      </c>
      <c r="D152" s="95" t="s">
        <v>876</v>
      </c>
      <c r="E152" s="96"/>
      <c r="F152" s="112" t="s">
        <v>76</v>
      </c>
      <c r="G152" s="97">
        <v>100.0</v>
      </c>
      <c r="H152" s="22">
        <f>IF(OR(J152="",K152="",K152&lt;J152),0,NETWORKDAYS(J152,K152,fESTIVOS!$A$2:$A$53))
</f>
        <v>0</v>
      </c>
      <c r="I152" s="98">
        <v>46000.0</v>
      </c>
      <c r="J152" s="99">
        <v>45971.0</v>
      </c>
      <c r="K152" s="99"/>
      <c r="L152" s="99">
        <v>46024.0</v>
      </c>
      <c r="M152" s="27">
        <f>IF(OR(J152="",AND(L152="",TODAY()&lt;J152),AND(L152&lt;&gt;"",L152&lt;J152)),0,
   IF(L152="",
      NETWORKDAYS(J152,TODAY(),fESTIVOS!$A$2:$A$53),
      NETWORKDAYS(J152,L152,fESTIVOS!$A$2:$A$53)
   )
)
</f>
        <v>36</v>
      </c>
      <c r="N152" s="28"/>
      <c r="O152" s="98">
        <v>46024.0</v>
      </c>
      <c r="P152" s="100">
        <v>46044.0</v>
      </c>
      <c r="Q152" s="34" t="s">
        <v>877</v>
      </c>
      <c r="R152" s="113" t="s">
        <v>78</v>
      </c>
      <c r="S152" s="101"/>
      <c r="T152" s="97" t="s">
        <v>878</v>
      </c>
      <c r="U152" s="122" t="s">
        <v>879</v>
      </c>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row>
    <row r="153" ht="29.25" hidden="1" customHeight="1">
      <c r="A153" s="92" t="s">
        <v>128</v>
      </c>
      <c r="B153" s="93" t="s">
        <v>880</v>
      </c>
      <c r="C153" s="151" t="s">
        <v>881</v>
      </c>
      <c r="D153" s="95" t="s">
        <v>882</v>
      </c>
      <c r="E153" s="96"/>
      <c r="F153" s="112" t="s">
        <v>76</v>
      </c>
      <c r="G153" s="97">
        <v>100.0</v>
      </c>
      <c r="H153" s="22">
        <f>IF(OR(J153="",K153="",K153&lt;J153),0,NETWORKDAYS(J153,K153,fESTIVOS!$A$2:$A$53))
</f>
        <v>0</v>
      </c>
      <c r="I153" s="186">
        <v>46048.0</v>
      </c>
      <c r="J153" s="184">
        <v>46048.0</v>
      </c>
      <c r="K153" s="99"/>
      <c r="L153" s="99">
        <v>46049.0</v>
      </c>
      <c r="M153" s="27">
        <f>IF(OR(J153="",AND(L153="",TODAY()&lt;J153),AND(L153&lt;&gt;"",L153&lt;J153)),0,
   IF(L153="",
      NETWORKDAYS(J153,TODAY(),fESTIVOS!$A$2:$A$53),
      NETWORKDAYS(J153,L153,fESTIVOS!$A$2:$A$53)
   )
)
</f>
        <v>2</v>
      </c>
      <c r="N153" s="28"/>
      <c r="O153" s="98"/>
      <c r="P153" s="100">
        <v>46069.0</v>
      </c>
      <c r="Q153" s="34" t="s">
        <v>883</v>
      </c>
      <c r="R153" s="113" t="s">
        <v>208</v>
      </c>
      <c r="S153" s="155"/>
      <c r="T153" s="97" t="s">
        <v>884</v>
      </c>
      <c r="U153" s="122" t="s">
        <v>885</v>
      </c>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row>
    <row r="154" ht="29.25" hidden="1" customHeight="1">
      <c r="A154" s="92" t="s">
        <v>128</v>
      </c>
      <c r="B154" s="93" t="s">
        <v>886</v>
      </c>
      <c r="C154" s="107" t="s">
        <v>887</v>
      </c>
      <c r="D154" s="95" t="s">
        <v>888</v>
      </c>
      <c r="E154" s="96"/>
      <c r="F154" s="112" t="s">
        <v>76</v>
      </c>
      <c r="G154" s="97">
        <v>100.0</v>
      </c>
      <c r="H154" s="22">
        <f>IF(OR(J154="",K154="",K154&lt;J154),0,NETWORKDAYS(J154,K154,fESTIVOS!$A$2:$A$53))
</f>
        <v>0</v>
      </c>
      <c r="I154" s="98">
        <v>45957.0</v>
      </c>
      <c r="J154" s="184">
        <v>46041.0</v>
      </c>
      <c r="K154" s="99"/>
      <c r="L154" s="99">
        <v>46043.0</v>
      </c>
      <c r="M154" s="27">
        <f>IF(OR(J154="",AND(L154="",TODAY()&lt;J154),AND(L154&lt;&gt;"",L154&lt;J154)),0,
   IF(L154="",
      NETWORKDAYS(J154,TODAY(),fESTIVOS!$A$2:$A$53),
      NETWORKDAYS(J154,L154,fESTIVOS!$A$2:$A$53)
   )
)
</f>
        <v>3</v>
      </c>
      <c r="N154" s="28"/>
      <c r="O154" s="98"/>
      <c r="P154" s="100">
        <v>46058.0</v>
      </c>
      <c r="Q154" s="34" t="s">
        <v>889</v>
      </c>
      <c r="R154" s="113" t="s">
        <v>208</v>
      </c>
      <c r="S154" s="155"/>
      <c r="T154" s="97" t="s">
        <v>890</v>
      </c>
      <c r="U154" s="122" t="s">
        <v>891</v>
      </c>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row>
    <row r="155" ht="29.25" hidden="1" customHeight="1">
      <c r="A155" s="92" t="s">
        <v>128</v>
      </c>
      <c r="B155" s="93" t="s">
        <v>892</v>
      </c>
      <c r="C155" s="141" t="s">
        <v>893</v>
      </c>
      <c r="D155" s="187" t="s">
        <v>894</v>
      </c>
      <c r="E155" s="96"/>
      <c r="F155" s="20" t="s">
        <v>76</v>
      </c>
      <c r="G155" s="97">
        <v>100.0</v>
      </c>
      <c r="H155" s="22">
        <f>IF(OR(J155="",K155="",K155&lt;J155),0,NETWORKDAYS(J155,K155,fESTIVOS!$A$2:$A$53))
</f>
        <v>0</v>
      </c>
      <c r="I155" s="98">
        <v>46055.0</v>
      </c>
      <c r="J155" s="99">
        <v>46056.0</v>
      </c>
      <c r="K155" s="99"/>
      <c r="L155" s="99">
        <v>46056.0</v>
      </c>
      <c r="M155" s="27">
        <f>IF(OR(J155="",AND(L155="",TODAY()&lt;J155),AND(L155&lt;&gt;"",L155&lt;J155)),0,
   IF(L155="",
      NETWORKDAYS(J155,TODAY(),fESTIVOS!$A$2:$A$53),
      NETWORKDAYS(J155,L155,fESTIVOS!$A$2:$A$53)
   )
)
</f>
        <v>1</v>
      </c>
      <c r="N155" s="188">
        <v>46056.0</v>
      </c>
      <c r="O155" s="98"/>
      <c r="P155" s="100"/>
      <c r="Q155" s="34" t="s">
        <v>895</v>
      </c>
      <c r="R155" s="113" t="s">
        <v>208</v>
      </c>
      <c r="S155" s="101"/>
      <c r="T155" s="101"/>
      <c r="U155" s="102"/>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37"/>
      <c r="BG155" s="37"/>
      <c r="BH155" s="37"/>
      <c r="BI155" s="37"/>
      <c r="BJ155" s="37"/>
      <c r="BK155" s="37"/>
      <c r="BL155" s="37"/>
      <c r="BM155" s="37"/>
      <c r="BN155" s="37"/>
      <c r="BO155" s="37"/>
    </row>
    <row r="156" ht="29.25" hidden="1" customHeight="1">
      <c r="A156" s="92" t="s">
        <v>128</v>
      </c>
      <c r="B156" s="93" t="s">
        <v>896</v>
      </c>
      <c r="C156" s="141" t="s">
        <v>897</v>
      </c>
      <c r="D156" s="156" t="s">
        <v>898</v>
      </c>
      <c r="E156" s="96"/>
      <c r="F156" s="20" t="s">
        <v>76</v>
      </c>
      <c r="G156" s="97">
        <v>100.0</v>
      </c>
      <c r="H156" s="22">
        <f>IF(OR(J156="",K156="",K156&lt;J156),0,NETWORKDAYS(J156,K156,fESTIVOS!$A$2:$A$53))
</f>
        <v>0</v>
      </c>
      <c r="I156" s="98">
        <v>46058.0</v>
      </c>
      <c r="J156" s="99">
        <v>46058.0</v>
      </c>
      <c r="K156" s="99"/>
      <c r="L156" s="99">
        <v>46058.0</v>
      </c>
      <c r="M156" s="27">
        <f>IF(OR(J156="",AND(L156="",TODAY()&lt;J156),AND(L156&lt;&gt;"",L156&lt;J156)),0,
   IF(L156="",
      NETWORKDAYS(J156,TODAY(),fESTIVOS!$A$2:$A$53),
      NETWORKDAYS(J156,L156,fESTIVOS!$A$2:$A$53)
   )
)
</f>
        <v>1</v>
      </c>
      <c r="N156" s="28"/>
      <c r="O156" s="98"/>
      <c r="P156" s="100">
        <v>46058.0</v>
      </c>
      <c r="Q156" s="34" t="s">
        <v>899</v>
      </c>
      <c r="R156" s="113" t="s">
        <v>275</v>
      </c>
      <c r="S156" s="101"/>
      <c r="T156" s="101"/>
      <c r="U156" s="102"/>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37"/>
      <c r="BG156" s="37"/>
      <c r="BH156" s="37"/>
      <c r="BI156" s="37"/>
      <c r="BJ156" s="37"/>
      <c r="BK156" s="37"/>
      <c r="BL156" s="37"/>
      <c r="BM156" s="37"/>
      <c r="BN156" s="37"/>
      <c r="BO156" s="37"/>
    </row>
    <row r="157" ht="29.25" hidden="1" customHeight="1">
      <c r="A157" s="92" t="s">
        <v>128</v>
      </c>
      <c r="B157" s="93" t="s">
        <v>900</v>
      </c>
      <c r="C157" s="141" t="s">
        <v>901</v>
      </c>
      <c r="D157" s="156"/>
      <c r="E157" s="96"/>
      <c r="F157" s="20" t="s">
        <v>76</v>
      </c>
      <c r="G157" s="97">
        <v>100.0</v>
      </c>
      <c r="H157" s="22">
        <f>IF(OR(J157="",K157="",K157&lt;J157),0,NETWORKDAYS(J157,K157,fESTIVOS!$A$2:$A$53))
</f>
        <v>0</v>
      </c>
      <c r="I157" s="98">
        <v>46058.0</v>
      </c>
      <c r="J157" s="99">
        <v>46058.0</v>
      </c>
      <c r="K157" s="99"/>
      <c r="L157" s="99">
        <v>46058.0</v>
      </c>
      <c r="M157" s="27">
        <f>IF(OR(J157="",AND(L157="",TODAY()&lt;J157),AND(L157&lt;&gt;"",L157&lt;J157)),0,
   IF(L157="",
      NETWORKDAYS(J157,TODAY(),fESTIVOS!$A$2:$A$53),
      NETWORKDAYS(J157,L157,fESTIVOS!$A$2:$A$53)
   )
)
</f>
        <v>1</v>
      </c>
      <c r="N157" s="28"/>
      <c r="O157" s="98"/>
      <c r="P157" s="100">
        <v>46058.0</v>
      </c>
      <c r="Q157" s="34" t="s">
        <v>902</v>
      </c>
      <c r="R157" s="113" t="s">
        <v>208</v>
      </c>
      <c r="S157" s="101"/>
      <c r="T157" s="101"/>
      <c r="U157" s="102"/>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37"/>
      <c r="BG157" s="37"/>
      <c r="BH157" s="37"/>
      <c r="BI157" s="37"/>
      <c r="BJ157" s="37"/>
      <c r="BK157" s="37"/>
      <c r="BL157" s="37"/>
      <c r="BM157" s="37"/>
      <c r="BN157" s="37"/>
      <c r="BO157" s="37"/>
    </row>
    <row r="158" ht="29.25" hidden="1" customHeight="1">
      <c r="A158" s="92" t="s">
        <v>128</v>
      </c>
      <c r="B158" s="93" t="s">
        <v>903</v>
      </c>
      <c r="C158" s="120" t="s">
        <v>904</v>
      </c>
      <c r="D158" s="95" t="s">
        <v>905</v>
      </c>
      <c r="E158" s="96"/>
      <c r="F158" s="112" t="s">
        <v>76</v>
      </c>
      <c r="G158" s="97">
        <v>100.0</v>
      </c>
      <c r="H158" s="22">
        <f>IF(OR(J158="",K158="",K158&lt;J158),0,NETWORKDAYS(J158,K158,fESTIVOS!$A$2:$A$53))
</f>
        <v>2</v>
      </c>
      <c r="I158" s="186">
        <v>46058.0</v>
      </c>
      <c r="J158" s="99">
        <v>46063.0</v>
      </c>
      <c r="K158" s="99">
        <v>46064.0</v>
      </c>
      <c r="L158" s="99">
        <v>46064.0</v>
      </c>
      <c r="M158" s="27">
        <f>IF(OR(J158="",AND(L158="",TODAY()&lt;J158),AND(L158&lt;&gt;"",L158&lt;J158)),0,
   IF(L158="",
      NETWORKDAYS(J158,TODAY(),fESTIVOS!$A$2:$A$53),
      NETWORKDAYS(J158,L158,fESTIVOS!$A$2:$A$53)
   )
)
</f>
        <v>2</v>
      </c>
      <c r="N158" s="105">
        <v>46071.0</v>
      </c>
      <c r="O158" s="98"/>
      <c r="P158" s="100">
        <v>46064.0</v>
      </c>
      <c r="Q158" s="34" t="s">
        <v>906</v>
      </c>
      <c r="R158" s="113" t="s">
        <v>275</v>
      </c>
      <c r="S158" s="155"/>
      <c r="T158" s="97"/>
      <c r="U158" s="102"/>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row>
    <row r="159" ht="29.25" hidden="1" customHeight="1">
      <c r="A159" s="92" t="s">
        <v>128</v>
      </c>
      <c r="B159" s="93" t="s">
        <v>907</v>
      </c>
      <c r="C159" s="120" t="s">
        <v>908</v>
      </c>
      <c r="D159" s="97" t="s">
        <v>909</v>
      </c>
      <c r="E159" s="96"/>
      <c r="F159" s="112" t="s">
        <v>76</v>
      </c>
      <c r="G159" s="97">
        <v>100.0</v>
      </c>
      <c r="H159" s="22">
        <f>IF(OR(J159="",K159="",K159&lt;J159),0,NETWORKDAYS(J159,K159,fESTIVOS!$A$2:$A$53))
</f>
        <v>6</v>
      </c>
      <c r="I159" s="186">
        <v>46121.0</v>
      </c>
      <c r="J159" s="99">
        <v>46121.0</v>
      </c>
      <c r="K159" s="99">
        <v>46128.0</v>
      </c>
      <c r="L159" s="99">
        <v>46132.0</v>
      </c>
      <c r="M159" s="27">
        <f>IF(OR(J159="",AND(L159="",TODAY()&lt;J159),AND(L159&lt;&gt;"",L159&lt;J159)),0,
   IF(L159="",
      NETWORKDAYS(J159,TODAY(),fESTIVOS!$A$2:$A$53),
      NETWORKDAYS(J159,L159,fESTIVOS!$A$2:$A$53)
   )
)
</f>
        <v>8</v>
      </c>
      <c r="N159" s="189"/>
      <c r="O159" s="98"/>
      <c r="P159" s="100">
        <v>46132.0</v>
      </c>
      <c r="Q159" s="34" t="s">
        <v>910</v>
      </c>
      <c r="R159" s="113" t="s">
        <v>275</v>
      </c>
      <c r="S159" s="155"/>
      <c r="T159" s="97"/>
      <c r="U159" s="102"/>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row>
    <row r="160" ht="29.25" hidden="1" customHeight="1">
      <c r="A160" s="92" t="s">
        <v>128</v>
      </c>
      <c r="B160" s="93" t="s">
        <v>911</v>
      </c>
      <c r="C160" s="120" t="s">
        <v>912</v>
      </c>
      <c r="D160" s="95" t="s">
        <v>913</v>
      </c>
      <c r="E160" s="96"/>
      <c r="F160" s="112" t="s">
        <v>76</v>
      </c>
      <c r="G160" s="97">
        <v>100.0</v>
      </c>
      <c r="H160" s="22">
        <f>IF(OR(J160="",K160="",K160&lt;J160),0,NETWORKDAYS(J160,K160,fESTIVOS!$A$2:$A$53))
</f>
        <v>0</v>
      </c>
      <c r="I160" s="186">
        <v>46036.0</v>
      </c>
      <c r="J160" s="99">
        <v>46094.0</v>
      </c>
      <c r="K160" s="99"/>
      <c r="L160" s="99">
        <v>46098.0</v>
      </c>
      <c r="M160" s="27">
        <f>IF(OR(J160="",AND(L160="",TODAY()&lt;J160),AND(L160&lt;&gt;"",L160&lt;J160)),0,
   IF(L160="",
      NETWORKDAYS(J160,TODAY(),fESTIVOS!$A$2:$A$53),
      NETWORKDAYS(J160,L160,fESTIVOS!$A$2:$A$53)
   )
)
</f>
        <v>3</v>
      </c>
      <c r="N160" s="105">
        <v>46101.0</v>
      </c>
      <c r="O160" s="98">
        <v>46098.0</v>
      </c>
      <c r="P160" s="100">
        <v>46121.0</v>
      </c>
      <c r="Q160" s="34" t="s">
        <v>914</v>
      </c>
      <c r="R160" s="113" t="s">
        <v>275</v>
      </c>
      <c r="S160" s="155"/>
      <c r="T160" s="97" t="s">
        <v>915</v>
      </c>
      <c r="U160" s="122" t="s">
        <v>916</v>
      </c>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row>
    <row r="161" ht="29.25" hidden="1" customHeight="1">
      <c r="A161" s="92" t="s">
        <v>128</v>
      </c>
      <c r="B161" s="93" t="s">
        <v>917</v>
      </c>
      <c r="C161" s="94" t="s">
        <v>918</v>
      </c>
      <c r="D161" s="156" t="s">
        <v>919</v>
      </c>
      <c r="E161" s="96"/>
      <c r="F161" s="20" t="s">
        <v>76</v>
      </c>
      <c r="G161" s="97">
        <v>100.0</v>
      </c>
      <c r="H161" s="22">
        <f>IF(OR(J161="",K161="",K161&lt;J161),0,NETWORKDAYS(J161,K161,fESTIVOS!$A$2:$A$53))
</f>
        <v>0</v>
      </c>
      <c r="I161" s="186">
        <v>46064.0</v>
      </c>
      <c r="J161" s="99">
        <v>46064.0</v>
      </c>
      <c r="K161" s="99"/>
      <c r="L161" s="99">
        <v>46093.0</v>
      </c>
      <c r="M161" s="27">
        <f>IF(OR(J161="",AND(L161="",TODAY()&lt;J161),AND(L161&lt;&gt;"",L161&lt;J161)),0,
   IF(L161="",
      NETWORKDAYS(J161,TODAY(),fESTIVOS!$A$2:$A$53),
      NETWORKDAYS(J161,L161,fESTIVOS!$A$2:$A$53)
   )
)
</f>
        <v>22</v>
      </c>
      <c r="N161" s="28"/>
      <c r="O161" s="98"/>
      <c r="P161" s="100">
        <v>46101.0</v>
      </c>
      <c r="Q161" s="34" t="s">
        <v>920</v>
      </c>
      <c r="R161" s="113" t="s">
        <v>275</v>
      </c>
      <c r="S161" s="101"/>
      <c r="T161" s="97" t="s">
        <v>921</v>
      </c>
      <c r="U161" s="122" t="s">
        <v>922</v>
      </c>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37"/>
      <c r="BG161" s="37"/>
      <c r="BH161" s="37"/>
      <c r="BI161" s="37"/>
      <c r="BJ161" s="37"/>
      <c r="BK161" s="37"/>
      <c r="BL161" s="37"/>
      <c r="BM161" s="37"/>
      <c r="BN161" s="37"/>
      <c r="BO161" s="37"/>
    </row>
    <row r="162" ht="29.25" hidden="1" customHeight="1">
      <c r="A162" s="92" t="s">
        <v>128</v>
      </c>
      <c r="B162" s="93" t="s">
        <v>923</v>
      </c>
      <c r="C162" s="141" t="s">
        <v>924</v>
      </c>
      <c r="D162" s="156" t="s">
        <v>925</v>
      </c>
      <c r="E162" s="96"/>
      <c r="F162" s="20" t="s">
        <v>76</v>
      </c>
      <c r="G162" s="97">
        <v>100.0</v>
      </c>
      <c r="H162" s="22">
        <f>IF(OR(J162="",K162="",K162&lt;J162),0,NETWORKDAYS(J162,K162,fESTIVOS!$A$2:$A$53))
</f>
        <v>0</v>
      </c>
      <c r="I162" s="186">
        <v>46064.0</v>
      </c>
      <c r="J162" s="99">
        <v>46066.0</v>
      </c>
      <c r="K162" s="99"/>
      <c r="L162" s="99">
        <v>46066.0</v>
      </c>
      <c r="M162" s="27">
        <f>IF(OR(J162="",AND(L162="",TODAY()&lt;J162),AND(L162&lt;&gt;"",L162&lt;J162)),0,
   IF(L162="",
      NETWORKDAYS(J162,TODAY(),fESTIVOS!$A$2:$A$53),
      NETWORKDAYS(J162,L162,fESTIVOS!$A$2:$A$53)
   )
)
</f>
        <v>1</v>
      </c>
      <c r="N162" s="28"/>
      <c r="O162" s="98"/>
      <c r="P162" s="100"/>
      <c r="Q162" s="34" t="s">
        <v>926</v>
      </c>
      <c r="R162" s="113" t="s">
        <v>275</v>
      </c>
      <c r="S162" s="101"/>
      <c r="T162" s="101"/>
      <c r="U162" s="102"/>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37"/>
      <c r="BG162" s="37"/>
      <c r="BH162" s="37"/>
      <c r="BI162" s="37"/>
      <c r="BJ162" s="37"/>
      <c r="BK162" s="37"/>
      <c r="BL162" s="37"/>
      <c r="BM162" s="37"/>
      <c r="BN162" s="37"/>
      <c r="BO162" s="37"/>
    </row>
    <row r="163" ht="29.25" hidden="1" customHeight="1">
      <c r="A163" s="92" t="s">
        <v>128</v>
      </c>
      <c r="B163" s="93" t="s">
        <v>927</v>
      </c>
      <c r="C163" s="141" t="s">
        <v>928</v>
      </c>
      <c r="D163" s="95" t="s">
        <v>929</v>
      </c>
      <c r="E163" s="96"/>
      <c r="F163" s="112" t="s">
        <v>76</v>
      </c>
      <c r="G163" s="97">
        <v>100.0</v>
      </c>
      <c r="H163" s="22">
        <f>IF(OR(J163="",K163="",K163&lt;J163),0,NETWORKDAYS(J163,K163,fESTIVOS!$A$2:$A$53))
</f>
        <v>2</v>
      </c>
      <c r="I163" s="186">
        <v>46063.0</v>
      </c>
      <c r="J163" s="99">
        <v>46069.0</v>
      </c>
      <c r="K163" s="99">
        <v>46070.0</v>
      </c>
      <c r="L163" s="99">
        <v>46071.0</v>
      </c>
      <c r="M163" s="27">
        <f>IF(OR(J163="",AND(L163="",TODAY()&lt;J163),AND(L163&lt;&gt;"",L163&lt;J163)),0,
   IF(L163="",
      NETWORKDAYS(J163,TODAY(),fESTIVOS!$A$2:$A$53),
      NETWORKDAYS(J163,L163,fESTIVOS!$A$2:$A$53)
   )
)
</f>
        <v>3</v>
      </c>
      <c r="N163" s="105">
        <v>46073.0</v>
      </c>
      <c r="O163" s="98">
        <v>46071.0</v>
      </c>
      <c r="P163" s="100">
        <v>46080.0</v>
      </c>
      <c r="Q163" s="34" t="s">
        <v>930</v>
      </c>
      <c r="R163" s="113" t="s">
        <v>275</v>
      </c>
      <c r="S163" s="155"/>
      <c r="T163" s="97"/>
      <c r="U163" s="102"/>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row>
    <row r="164" ht="29.25" hidden="1" customHeight="1">
      <c r="A164" s="92" t="s">
        <v>128</v>
      </c>
      <c r="B164" s="93" t="s">
        <v>931</v>
      </c>
      <c r="C164" s="141" t="s">
        <v>932</v>
      </c>
      <c r="D164" s="156" t="s">
        <v>933</v>
      </c>
      <c r="E164" s="96"/>
      <c r="F164" s="20" t="s">
        <v>76</v>
      </c>
      <c r="G164" s="97">
        <v>100.0</v>
      </c>
      <c r="H164" s="22">
        <f>IF(OR(J164="",K164="",K164&lt;J164),0,NETWORKDAYS(J164,K164,fESTIVOS!$A$2:$A$53))
</f>
        <v>0</v>
      </c>
      <c r="I164" s="186">
        <v>46069.0</v>
      </c>
      <c r="J164" s="99">
        <v>46069.0</v>
      </c>
      <c r="K164" s="99"/>
      <c r="L164" s="99">
        <v>46069.0</v>
      </c>
      <c r="M164" s="27">
        <f>IF(OR(J164="",AND(L164="",TODAY()&lt;J164),AND(L164&lt;&gt;"",L164&lt;J164)),0,
   IF(L164="",
      NETWORKDAYS(J164,TODAY(),fESTIVOS!$A$2:$A$53),
      NETWORKDAYS(J164,L164,fESTIVOS!$A$2:$A$53)
   )
)
</f>
        <v>1</v>
      </c>
      <c r="N164" s="28"/>
      <c r="O164" s="98"/>
      <c r="P164" s="100">
        <v>46070.0</v>
      </c>
      <c r="Q164" s="34" t="s">
        <v>934</v>
      </c>
      <c r="R164" s="113" t="s">
        <v>275</v>
      </c>
      <c r="S164" s="101"/>
      <c r="T164" s="101"/>
      <c r="U164" s="102"/>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37"/>
      <c r="BG164" s="37"/>
      <c r="BH164" s="37"/>
      <c r="BI164" s="37"/>
      <c r="BJ164" s="37"/>
      <c r="BK164" s="37"/>
      <c r="BL164" s="37"/>
      <c r="BM164" s="37"/>
      <c r="BN164" s="37"/>
      <c r="BO164" s="37"/>
    </row>
    <row r="165" ht="29.25" hidden="1" customHeight="1">
      <c r="A165" s="92" t="s">
        <v>128</v>
      </c>
      <c r="B165" s="93" t="s">
        <v>935</v>
      </c>
      <c r="C165" s="141" t="s">
        <v>936</v>
      </c>
      <c r="D165" s="95" t="s">
        <v>937</v>
      </c>
      <c r="E165" s="96"/>
      <c r="F165" s="112" t="s">
        <v>76</v>
      </c>
      <c r="G165" s="97">
        <v>100.0</v>
      </c>
      <c r="H165" s="22">
        <f>IF(OR(J165="",K165="",K165&lt;J165),0,NETWORKDAYS(J165,K165,fESTIVOS!$A$2:$A$53))
</f>
        <v>0</v>
      </c>
      <c r="I165" s="186">
        <v>46070.0</v>
      </c>
      <c r="J165" s="99">
        <v>46070.0</v>
      </c>
      <c r="K165" s="99"/>
      <c r="L165" s="99">
        <v>46073.0</v>
      </c>
      <c r="M165" s="27">
        <f>IF(OR(J165="",AND(L165="",TODAY()&lt;J165),AND(L165&lt;&gt;"",L165&lt;J165)),0,
   IF(L165="",
      NETWORKDAYS(J165,TODAY(),fESTIVOS!$A$2:$A$53),
      NETWORKDAYS(J165,L165,fESTIVOS!$A$2:$A$53)
   )
)
</f>
        <v>4</v>
      </c>
      <c r="N165" s="28"/>
      <c r="O165" s="98"/>
      <c r="P165" s="100">
        <v>46073.0</v>
      </c>
      <c r="Q165" s="34" t="s">
        <v>938</v>
      </c>
      <c r="R165" s="113" t="s">
        <v>275</v>
      </c>
      <c r="S165" s="155"/>
      <c r="T165" s="97"/>
      <c r="U165" s="102"/>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row>
    <row r="166" ht="29.25" hidden="1" customHeight="1">
      <c r="A166" s="92" t="s">
        <v>128</v>
      </c>
      <c r="B166" s="93" t="s">
        <v>939</v>
      </c>
      <c r="C166" s="120" t="s">
        <v>940</v>
      </c>
      <c r="D166" s="95" t="s">
        <v>941</v>
      </c>
      <c r="E166" s="96"/>
      <c r="F166" s="112" t="s">
        <v>245</v>
      </c>
      <c r="G166" s="97">
        <v>60.0</v>
      </c>
      <c r="H166" s="22">
        <f>IF(OR(J166="",K166="",K166&lt;J166),0,NETWORKDAYS(J166,K166,fESTIVOS!$A$2:$A$53))
</f>
        <v>0</v>
      </c>
      <c r="I166" s="186">
        <v>46069.0</v>
      </c>
      <c r="J166" s="99">
        <v>46076.0</v>
      </c>
      <c r="K166" s="99"/>
      <c r="L166" s="99"/>
      <c r="M166" s="27">
        <f>IF(OR(J166="",AND(L166="",TODAY()&lt;J166),AND(L166&lt;&gt;"",L166&lt;J166)),0,
   IF(L166="",
      NETWORKDAYS(J166,TODAY(),fESTIVOS!$A$2:$A$53),
      NETWORKDAYS(J166,L166,fESTIVOS!$A$2:$A$53)
   )
)
</f>
        <v>75</v>
      </c>
      <c r="N166" s="105"/>
      <c r="O166" s="98"/>
      <c r="P166" s="100"/>
      <c r="Q166" s="34" t="s">
        <v>942</v>
      </c>
      <c r="R166" s="113" t="s">
        <v>275</v>
      </c>
      <c r="S166" s="155"/>
      <c r="T166" s="97"/>
      <c r="U166" s="102"/>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row>
    <row r="167" ht="29.25" hidden="1" customHeight="1">
      <c r="A167" s="92" t="s">
        <v>128</v>
      </c>
      <c r="B167" s="93" t="s">
        <v>943</v>
      </c>
      <c r="C167" s="120" t="s">
        <v>944</v>
      </c>
      <c r="D167" s="95" t="s">
        <v>945</v>
      </c>
      <c r="E167" s="96"/>
      <c r="F167" s="112" t="s">
        <v>76</v>
      </c>
      <c r="G167" s="97">
        <v>100.0</v>
      </c>
      <c r="H167" s="22">
        <f>IF(OR(J167="",K167="",K167&lt;J167),0,NETWORKDAYS(J167,K167,fESTIVOS!$A$2:$A$53))
</f>
        <v>0</v>
      </c>
      <c r="I167" s="186">
        <v>46079.0</v>
      </c>
      <c r="J167" s="99">
        <v>46080.0</v>
      </c>
      <c r="K167" s="99"/>
      <c r="L167" s="99">
        <v>46080.0</v>
      </c>
      <c r="M167" s="27">
        <f>IF(OR(J167="",AND(L167="",TODAY()&lt;J167),AND(L167&lt;&gt;"",L167&lt;J167)),0,
   IF(L167="",
      NETWORKDAYS(J167,TODAY(),fESTIVOS!$A$2:$A$53),
      NETWORKDAYS(J167,L167,fESTIVOS!$A$2:$A$53)
   )
)
</f>
        <v>1</v>
      </c>
      <c r="N167" s="189"/>
      <c r="O167" s="98"/>
      <c r="P167" s="100">
        <v>46080.0</v>
      </c>
      <c r="Q167" s="34" t="s">
        <v>946</v>
      </c>
      <c r="R167" s="113" t="s">
        <v>275</v>
      </c>
      <c r="S167" s="155"/>
      <c r="T167" s="97"/>
      <c r="U167" s="102"/>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row>
    <row r="168" ht="29.25" hidden="1" customHeight="1">
      <c r="A168" s="92" t="s">
        <v>128</v>
      </c>
      <c r="B168" s="93" t="s">
        <v>947</v>
      </c>
      <c r="C168" s="141" t="s">
        <v>948</v>
      </c>
      <c r="D168" s="95" t="s">
        <v>949</v>
      </c>
      <c r="E168" s="96"/>
      <c r="F168" s="112" t="s">
        <v>76</v>
      </c>
      <c r="G168" s="97">
        <v>100.0</v>
      </c>
      <c r="H168" s="22">
        <f>IF(OR(J168="",K168="",K168&lt;J168),0,NETWORKDAYS(J168,K168,fESTIVOS!$A$2:$A$53))
</f>
        <v>0</v>
      </c>
      <c r="I168" s="186">
        <v>46071.0</v>
      </c>
      <c r="J168" s="99">
        <v>46072.0</v>
      </c>
      <c r="K168" s="99"/>
      <c r="L168" s="99">
        <v>46072.0</v>
      </c>
      <c r="M168" s="27">
        <f>IF(OR(J168="",AND(L168="",TODAY()&lt;J168),AND(L168&lt;&gt;"",L168&lt;J168)),0,
   IF(L168="",
      NETWORKDAYS(J168,TODAY(),fESTIVOS!$A$2:$A$53),
      NETWORKDAYS(J168,L168,fESTIVOS!$A$2:$A$53)
   )
)
</f>
        <v>1</v>
      </c>
      <c r="N168" s="28"/>
      <c r="O168" s="98"/>
      <c r="P168" s="100"/>
      <c r="Q168" s="34" t="s">
        <v>950</v>
      </c>
      <c r="R168" s="113" t="s">
        <v>275</v>
      </c>
      <c r="S168" s="155"/>
      <c r="T168" s="97"/>
      <c r="U168" s="102"/>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row>
    <row r="169" ht="29.25" hidden="1" customHeight="1">
      <c r="A169" s="92" t="s">
        <v>128</v>
      </c>
      <c r="B169" s="93" t="s">
        <v>951</v>
      </c>
      <c r="C169" s="141" t="s">
        <v>952</v>
      </c>
      <c r="D169" s="95" t="s">
        <v>953</v>
      </c>
      <c r="E169" s="96"/>
      <c r="F169" s="112" t="s">
        <v>76</v>
      </c>
      <c r="G169" s="97">
        <v>100.0</v>
      </c>
      <c r="H169" s="22">
        <f>IF(OR(J169="",K169="",K169&lt;J169),0,NETWORKDAYS(J169,K169,fESTIVOS!$A$2:$A$53))
</f>
        <v>0</v>
      </c>
      <c r="I169" s="186">
        <v>46080.0</v>
      </c>
      <c r="J169" s="99">
        <v>46080.0</v>
      </c>
      <c r="K169" s="99"/>
      <c r="L169" s="99">
        <v>46083.0</v>
      </c>
      <c r="M169" s="27">
        <f>IF(OR(J169="",AND(L169="",TODAY()&lt;J169),AND(L169&lt;&gt;"",L169&lt;J169)),0,
   IF(L169="",
      NETWORKDAYS(J169,TODAY(),fESTIVOS!$A$2:$A$53),
      NETWORKDAYS(J169,L169,fESTIVOS!$A$2:$A$53)
   )
)
</f>
        <v>2</v>
      </c>
      <c r="N169" s="28"/>
      <c r="O169" s="98"/>
      <c r="P169" s="100"/>
      <c r="Q169" s="34" t="s">
        <v>954</v>
      </c>
      <c r="R169" s="113" t="s">
        <v>275</v>
      </c>
      <c r="S169" s="155"/>
      <c r="T169" s="97"/>
      <c r="U169" s="102"/>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row>
    <row r="170" ht="29.25" hidden="1" customHeight="1">
      <c r="A170" s="92" t="s">
        <v>128</v>
      </c>
      <c r="B170" s="93" t="s">
        <v>955</v>
      </c>
      <c r="C170" s="141" t="s">
        <v>956</v>
      </c>
      <c r="D170" s="95"/>
      <c r="E170" s="96"/>
      <c r="F170" s="112" t="s">
        <v>76</v>
      </c>
      <c r="G170" s="97">
        <v>100.0</v>
      </c>
      <c r="H170" s="22">
        <f>IF(OR(J170="",K170="",K170&lt;J170),0,NETWORKDAYS(J170,K170,fESTIVOS!$A$2:$A$53))
</f>
        <v>0</v>
      </c>
      <c r="I170" s="186">
        <v>46091.0</v>
      </c>
      <c r="J170" s="99">
        <v>46091.0</v>
      </c>
      <c r="K170" s="99"/>
      <c r="L170" s="99">
        <v>46091.0</v>
      </c>
      <c r="M170" s="27">
        <f>IF(OR(J170="",AND(L170="",TODAY()&lt;J170),AND(L170&lt;&gt;"",L170&lt;J170)),0,
   IF(L170="",
      NETWORKDAYS(J170,TODAY(),fESTIVOS!$A$2:$A$53),
      NETWORKDAYS(J170,L170,fESTIVOS!$A$2:$A$53)
   )
)
</f>
        <v>1</v>
      </c>
      <c r="N170" s="28"/>
      <c r="O170" s="98"/>
      <c r="P170" s="100"/>
      <c r="Q170" s="34" t="s">
        <v>957</v>
      </c>
      <c r="R170" s="113" t="s">
        <v>275</v>
      </c>
      <c r="S170" s="155"/>
      <c r="T170" s="97"/>
      <c r="U170" s="102"/>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row>
    <row r="171" ht="29.25" hidden="1" customHeight="1">
      <c r="A171" s="92" t="s">
        <v>128</v>
      </c>
      <c r="B171" s="93" t="s">
        <v>958</v>
      </c>
      <c r="C171" s="141" t="s">
        <v>959</v>
      </c>
      <c r="D171" s="95"/>
      <c r="E171" s="96"/>
      <c r="F171" s="112" t="s">
        <v>76</v>
      </c>
      <c r="G171" s="97">
        <v>100.0</v>
      </c>
      <c r="H171" s="22">
        <f>IF(OR(J171="",K171="",K171&lt;J171),0,NETWORKDAYS(J171,K171,fESTIVOS!$A$2:$A$53))
</f>
        <v>0</v>
      </c>
      <c r="I171" s="98">
        <v>46097.0</v>
      </c>
      <c r="J171" s="99">
        <v>46097.0</v>
      </c>
      <c r="K171" s="99"/>
      <c r="L171" s="99">
        <v>46108.0</v>
      </c>
      <c r="M171" s="27">
        <f>IF(OR(J171="",AND(L171="",TODAY()&lt;J171),AND(L171&lt;&gt;"",L171&lt;J171)),0,
   IF(L171="",
      NETWORKDAYS(J171,TODAY(),fESTIVOS!$A$2:$A$53),
      NETWORKDAYS(J171,L171,fESTIVOS!$A$2:$A$53)
   )
)
</f>
        <v>9</v>
      </c>
      <c r="N171" s="28"/>
      <c r="O171" s="98"/>
      <c r="P171" s="100">
        <v>46108.0</v>
      </c>
      <c r="Q171" s="190" t="s">
        <v>960</v>
      </c>
      <c r="R171" s="113" t="s">
        <v>275</v>
      </c>
      <c r="S171" s="155"/>
      <c r="T171" s="97"/>
      <c r="U171" s="102"/>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row>
    <row r="172" ht="29.25" hidden="1" customHeight="1">
      <c r="A172" s="92" t="s">
        <v>128</v>
      </c>
      <c r="B172" s="93" t="s">
        <v>961</v>
      </c>
      <c r="C172" s="141" t="s">
        <v>962</v>
      </c>
      <c r="D172" s="95" t="s">
        <v>963</v>
      </c>
      <c r="E172" s="96"/>
      <c r="F172" s="112" t="s">
        <v>76</v>
      </c>
      <c r="G172" s="97">
        <v>100.0</v>
      </c>
      <c r="H172" s="22">
        <f>IF(OR(J172="",K172="",K172&lt;J172),0,NETWORKDAYS(J172,K172,fESTIVOS!$A$2:$A$53))
</f>
        <v>0</v>
      </c>
      <c r="I172" s="186">
        <v>46086.0</v>
      </c>
      <c r="J172" s="99">
        <v>46090.0</v>
      </c>
      <c r="K172" s="99"/>
      <c r="L172" s="99">
        <v>46090.0</v>
      </c>
      <c r="M172" s="27">
        <f>IF(OR(J172="",AND(L172="",TODAY()&lt;J172),AND(L172&lt;&gt;"",L172&lt;J172)),0,
   IF(L172="",
      NETWORKDAYS(J172,TODAY(),fESTIVOS!$A$2:$A$53),
      NETWORKDAYS(J172,L172,fESTIVOS!$A$2:$A$53)
   )
)
</f>
        <v>1</v>
      </c>
      <c r="N172" s="28"/>
      <c r="O172" s="98"/>
      <c r="P172" s="100">
        <v>46105.0</v>
      </c>
      <c r="Q172" s="191" t="s">
        <v>964</v>
      </c>
      <c r="R172" s="31" t="s">
        <v>78</v>
      </c>
      <c r="S172" s="155"/>
      <c r="T172" s="97"/>
      <c r="U172" s="102"/>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row>
    <row r="173" ht="29.25" hidden="1" customHeight="1">
      <c r="A173" s="92" t="s">
        <v>128</v>
      </c>
      <c r="B173" s="93" t="s">
        <v>965</v>
      </c>
      <c r="C173" s="141" t="s">
        <v>966</v>
      </c>
      <c r="D173" s="95" t="s">
        <v>967</v>
      </c>
      <c r="E173" s="96"/>
      <c r="F173" s="112" t="s">
        <v>76</v>
      </c>
      <c r="G173" s="97">
        <v>100.0</v>
      </c>
      <c r="H173" s="22">
        <f>IF(OR(J173="",K173="",K173&lt;J173),0,NETWORKDAYS(J173,K173,fESTIVOS!$A$2:$A$53))
</f>
        <v>2</v>
      </c>
      <c r="I173" s="186">
        <v>46112.0</v>
      </c>
      <c r="J173" s="99">
        <v>46121.0</v>
      </c>
      <c r="K173" s="99">
        <v>46122.0</v>
      </c>
      <c r="L173" s="99">
        <v>46122.0</v>
      </c>
      <c r="M173" s="27">
        <f>IF(OR(J173="",AND(L173="",TODAY()&lt;J173),AND(L173&lt;&gt;"",L173&lt;J173)),0,
   IF(L173="",
      NETWORKDAYS(J173,TODAY(),fESTIVOS!$A$2:$A$53),
      NETWORKDAYS(J173,L173,fESTIVOS!$A$2:$A$53)
   )
)
</f>
        <v>2</v>
      </c>
      <c r="N173" s="105">
        <v>46125.0</v>
      </c>
      <c r="O173" s="98">
        <v>46122.0</v>
      </c>
      <c r="P173" s="100">
        <v>46122.0</v>
      </c>
      <c r="Q173" s="34" t="s">
        <v>968</v>
      </c>
      <c r="R173" s="113" t="s">
        <v>275</v>
      </c>
      <c r="S173" s="155"/>
      <c r="T173" s="97"/>
      <c r="U173" s="102"/>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row>
    <row r="174" ht="29.25" hidden="1" customHeight="1">
      <c r="A174" s="92" t="s">
        <v>128</v>
      </c>
      <c r="B174" s="93" t="s">
        <v>969</v>
      </c>
      <c r="C174" s="141" t="s">
        <v>970</v>
      </c>
      <c r="D174" s="95"/>
      <c r="E174" s="96"/>
      <c r="F174" s="112" t="s">
        <v>76</v>
      </c>
      <c r="G174" s="97">
        <v>100.0</v>
      </c>
      <c r="H174" s="22">
        <f>IF(OR(J174="",K174="",K174&lt;J174),0,NETWORKDAYS(J174,K174,fESTIVOS!$A$2:$A$53))
</f>
        <v>0</v>
      </c>
      <c r="I174" s="186">
        <v>46120.0</v>
      </c>
      <c r="J174" s="99">
        <v>46120.0</v>
      </c>
      <c r="K174" s="99"/>
      <c r="L174" s="99">
        <v>46120.0</v>
      </c>
      <c r="M174" s="27">
        <f>IF(OR(J174="",AND(L174="",TODAY()&lt;J174),AND(L174&lt;&gt;"",L174&lt;J174)),0,
   IF(L174="",
      NETWORKDAYS(J174,TODAY(),fESTIVOS!$A$2:$A$53),
      NETWORKDAYS(J174,L174,fESTIVOS!$A$2:$A$53)
   )
)
</f>
        <v>1</v>
      </c>
      <c r="N174" s="28"/>
      <c r="O174" s="98">
        <v>46120.0</v>
      </c>
      <c r="P174" s="100">
        <v>46120.0</v>
      </c>
      <c r="Q174" s="34" t="s">
        <v>971</v>
      </c>
      <c r="R174" s="113"/>
      <c r="S174" s="155"/>
      <c r="T174" s="97"/>
      <c r="U174" s="102"/>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row>
    <row r="175" ht="29.25" hidden="1" customHeight="1">
      <c r="A175" s="92" t="s">
        <v>128</v>
      </c>
      <c r="B175" s="93" t="s">
        <v>972</v>
      </c>
      <c r="C175" s="141" t="s">
        <v>973</v>
      </c>
      <c r="D175" s="95"/>
      <c r="E175" s="96"/>
      <c r="F175" s="112" t="s">
        <v>76</v>
      </c>
      <c r="G175" s="97">
        <v>100.0</v>
      </c>
      <c r="H175" s="22">
        <f>IF(OR(J175="",K175="",K175&lt;J175),0,NETWORKDAYS(J175,K175,fESTIVOS!$A$2:$A$53))
</f>
        <v>0</v>
      </c>
      <c r="I175" s="186">
        <v>46119.0</v>
      </c>
      <c r="J175" s="99">
        <v>46119.0</v>
      </c>
      <c r="K175" s="99"/>
      <c r="L175" s="99">
        <v>46120.0</v>
      </c>
      <c r="M175" s="27">
        <f>IF(OR(J175="",AND(L175="",TODAY()&lt;J175),AND(L175&lt;&gt;"",L175&lt;J175)),0,
   IF(L175="",
      NETWORKDAYS(J175,TODAY(),fESTIVOS!$A$2:$A$53),
      NETWORKDAYS(J175,L175,fESTIVOS!$A$2:$A$53)
   )
)
</f>
        <v>2</v>
      </c>
      <c r="N175" s="28"/>
      <c r="O175" s="98"/>
      <c r="P175" s="100"/>
      <c r="Q175" s="34" t="s">
        <v>974</v>
      </c>
      <c r="R175" s="113"/>
      <c r="S175" s="155"/>
      <c r="T175" s="97"/>
      <c r="U175" s="102"/>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row>
    <row r="176" ht="29.25" hidden="1" customHeight="1">
      <c r="A176" s="92" t="s">
        <v>128</v>
      </c>
      <c r="B176" s="93" t="s">
        <v>975</v>
      </c>
      <c r="C176" s="94" t="s">
        <v>976</v>
      </c>
      <c r="D176" s="95" t="s">
        <v>977</v>
      </c>
      <c r="E176" s="96"/>
      <c r="F176" s="112" t="s">
        <v>76</v>
      </c>
      <c r="G176" s="97">
        <v>100.0</v>
      </c>
      <c r="H176" s="22">
        <f>IF(OR(J176="",K176="",K176&lt;J176),0,NETWORKDAYS(J176,K176,fESTIVOS!$A$2:$A$53))
</f>
        <v>0</v>
      </c>
      <c r="I176" s="186">
        <v>46122.0</v>
      </c>
      <c r="J176" s="99">
        <v>46122.0</v>
      </c>
      <c r="K176" s="99"/>
      <c r="L176" s="99">
        <v>46125.0</v>
      </c>
      <c r="M176" s="27">
        <f>IF(OR(J176="",AND(L176="",TODAY()&lt;J176),AND(L176&lt;&gt;"",L176&lt;J176)),0,
   IF(L176="",
      NETWORKDAYS(J176,TODAY(),fESTIVOS!$A$2:$A$53),
      NETWORKDAYS(J176,L176,fESTIVOS!$A$2:$A$53)
   )
)
</f>
        <v>2</v>
      </c>
      <c r="N176" s="28"/>
      <c r="O176" s="98"/>
      <c r="P176" s="100">
        <v>46125.0</v>
      </c>
      <c r="Q176" s="34" t="s">
        <v>978</v>
      </c>
      <c r="R176" s="113" t="s">
        <v>275</v>
      </c>
      <c r="S176" s="155"/>
      <c r="T176" s="97"/>
      <c r="U176" s="102"/>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row>
    <row r="177" ht="29.25" hidden="1" customHeight="1">
      <c r="A177" s="92" t="s">
        <v>128</v>
      </c>
      <c r="B177" s="93" t="s">
        <v>979</v>
      </c>
      <c r="C177" s="141" t="s">
        <v>980</v>
      </c>
      <c r="D177" s="95" t="s">
        <v>981</v>
      </c>
      <c r="E177" s="96"/>
      <c r="F177" s="112" t="s">
        <v>245</v>
      </c>
      <c r="G177" s="97">
        <v>80.0</v>
      </c>
      <c r="H177" s="22">
        <f>IF(OR(J177="",K177="",K177&lt;J177),0,NETWORKDAYS(J177,K177,fESTIVOS!$A$2:$A$53))
</f>
        <v>0</v>
      </c>
      <c r="I177" s="186">
        <v>46140.0</v>
      </c>
      <c r="J177" s="99">
        <v>46140.0</v>
      </c>
      <c r="K177" s="99"/>
      <c r="L177" s="99"/>
      <c r="M177" s="27">
        <f>IF(OR(J177="",AND(L177="",TODAY()&lt;J177),AND(L177&lt;&gt;"",L177&lt;J177)),0,
   IF(L177="",
      NETWORKDAYS(J177,TODAY(),fESTIVOS!$A$2:$A$53),
      NETWORKDAYS(J177,L177,fESTIVOS!$A$2:$A$53)
   )
)
</f>
        <v>32</v>
      </c>
      <c r="N177" s="28"/>
      <c r="O177" s="98"/>
      <c r="P177" s="100"/>
      <c r="Q177" s="34" t="s">
        <v>982</v>
      </c>
      <c r="R177" s="113" t="s">
        <v>275</v>
      </c>
      <c r="S177" s="155"/>
      <c r="T177" s="97" t="s">
        <v>983</v>
      </c>
      <c r="U177" s="122" t="s">
        <v>984</v>
      </c>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row>
    <row r="178" ht="29.25" hidden="1" customHeight="1">
      <c r="A178" s="92" t="s">
        <v>128</v>
      </c>
      <c r="B178" s="93" t="s">
        <v>985</v>
      </c>
      <c r="C178" s="141" t="s">
        <v>986</v>
      </c>
      <c r="D178" s="95" t="s">
        <v>987</v>
      </c>
      <c r="E178" s="96"/>
      <c r="F178" s="112" t="s">
        <v>76</v>
      </c>
      <c r="G178" s="97">
        <v>100.0</v>
      </c>
      <c r="H178" s="22">
        <f>IF(OR(J178="",K178="",K178&lt;J178),0,NETWORKDAYS(J178,K178,fESTIVOS!$A$2:$A$53))
</f>
        <v>0</v>
      </c>
      <c r="I178" s="186">
        <v>46140.0</v>
      </c>
      <c r="J178" s="99">
        <v>46147.0</v>
      </c>
      <c r="K178" s="99"/>
      <c r="L178" s="99">
        <v>46148.0</v>
      </c>
      <c r="M178" s="27">
        <f>IF(OR(J178="",AND(L178="",TODAY()&lt;J178),AND(L178&lt;&gt;"",L178&lt;J178)),0,
   IF(L178="",
      NETWORKDAYS(J178,TODAY(),fESTIVOS!$A$2:$A$53),
      NETWORKDAYS(J178,L178,fESTIVOS!$A$2:$A$53)
   )
)
</f>
        <v>2</v>
      </c>
      <c r="N178" s="28"/>
      <c r="O178" s="98"/>
      <c r="P178" s="100">
        <v>46148.0</v>
      </c>
      <c r="Q178" s="34" t="s">
        <v>988</v>
      </c>
      <c r="R178" s="113" t="s">
        <v>275</v>
      </c>
      <c r="S178" s="101"/>
      <c r="T178" s="101"/>
      <c r="U178" s="102"/>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row>
    <row r="179" ht="29.25" hidden="1" customHeight="1">
      <c r="A179" s="92" t="s">
        <v>128</v>
      </c>
      <c r="B179" s="93" t="s">
        <v>989</v>
      </c>
      <c r="C179" s="151" t="s">
        <v>990</v>
      </c>
      <c r="D179" s="95" t="s">
        <v>991</v>
      </c>
      <c r="E179" s="96"/>
      <c r="F179" s="112" t="s">
        <v>992</v>
      </c>
      <c r="G179" s="97">
        <v>80.0</v>
      </c>
      <c r="H179" s="22">
        <f>IF(OR(J179="",K179="",K179&lt;J179),0,NETWORKDAYS(J179,K179,fESTIVOS!$A$2:$A$53))
</f>
        <v>0</v>
      </c>
      <c r="I179" s="98">
        <v>46147.0</v>
      </c>
      <c r="J179" s="99">
        <v>46147.0</v>
      </c>
      <c r="K179" s="99"/>
      <c r="L179" s="99">
        <v>46148.0</v>
      </c>
      <c r="M179" s="27">
        <f>IF(OR(J179="",AND(L179="",TODAY()&lt;J179),AND(L179&lt;&gt;"",L179&lt;J179)),0,
   IF(L179="",
      NETWORKDAYS(J179,TODAY(),fESTIVOS!$A$2:$A$53),
      NETWORKDAYS(J179,L179,fESTIVOS!$A$2:$A$53)
   )
)
</f>
        <v>2</v>
      </c>
      <c r="N179" s="28"/>
      <c r="O179" s="98"/>
      <c r="P179" s="100">
        <v>46148.0</v>
      </c>
      <c r="Q179" s="191" t="s">
        <v>993</v>
      </c>
      <c r="R179" s="113" t="s">
        <v>275</v>
      </c>
      <c r="S179" s="155"/>
      <c r="T179" s="97"/>
      <c r="U179" s="102"/>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row>
    <row r="180" ht="29.25" hidden="1" customHeight="1">
      <c r="A180" s="92" t="s">
        <v>128</v>
      </c>
      <c r="B180" s="93" t="s">
        <v>994</v>
      </c>
      <c r="C180" s="151" t="s">
        <v>995</v>
      </c>
      <c r="D180" s="95" t="s">
        <v>996</v>
      </c>
      <c r="E180" s="96"/>
      <c r="F180" s="112" t="s">
        <v>76</v>
      </c>
      <c r="G180" s="97">
        <v>100.0</v>
      </c>
      <c r="H180" s="22">
        <f>IF(OR(J180="",K180="",K180&lt;J180),0,NETWORKDAYS(J180,K180,fESTIVOS!$A$2:$A$53))
</f>
        <v>0</v>
      </c>
      <c r="I180" s="186">
        <v>46136.0</v>
      </c>
      <c r="J180" s="99">
        <v>46136.0</v>
      </c>
      <c r="K180" s="99"/>
      <c r="L180" s="99">
        <v>46147.0</v>
      </c>
      <c r="M180" s="27">
        <f>IF(OR(J180="",AND(L180="",TODAY()&lt;J180),AND(L180&lt;&gt;"",L180&lt;J180)),0,
   IF(L180="",
      NETWORKDAYS(J180,TODAY(),fESTIVOS!$A$2:$A$53),
      NETWORKDAYS(J180,L180,fESTIVOS!$A$2:$A$53)
   )
)
</f>
        <v>7</v>
      </c>
      <c r="N180" s="28"/>
      <c r="O180" s="98"/>
      <c r="P180" s="100">
        <v>46147.0</v>
      </c>
      <c r="Q180" s="34" t="s">
        <v>997</v>
      </c>
      <c r="R180" s="113" t="s">
        <v>275</v>
      </c>
      <c r="S180" s="155"/>
      <c r="T180" s="97"/>
      <c r="U180" s="102"/>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row>
    <row r="181" ht="29.25" hidden="1" customHeight="1">
      <c r="A181" s="92" t="s">
        <v>128</v>
      </c>
      <c r="B181" s="93" t="s">
        <v>998</v>
      </c>
      <c r="C181" s="141" t="s">
        <v>999</v>
      </c>
      <c r="D181" s="95"/>
      <c r="E181" s="96"/>
      <c r="F181" s="112" t="s">
        <v>76</v>
      </c>
      <c r="G181" s="97">
        <v>100.0</v>
      </c>
      <c r="H181" s="22">
        <f>IF(OR(J181="",K181="",K181&lt;J181),0,NETWORKDAYS(J181,K181,fESTIVOS!$A$2:$A$53))
</f>
        <v>0</v>
      </c>
      <c r="I181" s="186">
        <v>46156.0</v>
      </c>
      <c r="J181" s="99">
        <v>46156.0</v>
      </c>
      <c r="K181" s="99"/>
      <c r="L181" s="99">
        <v>46165.0</v>
      </c>
      <c r="M181" s="27">
        <f>IF(OR(J181="",AND(L181="",TODAY()&lt;J181),AND(L181&lt;&gt;"",L181&lt;J181)),0,
   IF(L181="",
      NETWORKDAYS(J181,TODAY(),fESTIVOS!$A$2:$A$53),
      NETWORKDAYS(J181,L181,fESTIVOS!$A$2:$A$53)
   )
)
</f>
        <v>6</v>
      </c>
      <c r="N181" s="28"/>
      <c r="O181" s="98"/>
      <c r="P181" s="100"/>
      <c r="Q181" s="34" t="s">
        <v>1000</v>
      </c>
      <c r="R181" s="113" t="s">
        <v>275</v>
      </c>
      <c r="S181" s="155"/>
      <c r="T181" s="97"/>
      <c r="U181" s="102"/>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row>
    <row r="182" ht="29.25" hidden="1" customHeight="1">
      <c r="A182" s="92" t="s">
        <v>128</v>
      </c>
      <c r="B182" s="93" t="s">
        <v>1001</v>
      </c>
      <c r="C182" s="141" t="s">
        <v>1002</v>
      </c>
      <c r="D182" s="95"/>
      <c r="E182" s="96"/>
      <c r="F182" s="112" t="s">
        <v>216</v>
      </c>
      <c r="G182" s="97">
        <v>90.0</v>
      </c>
      <c r="H182" s="22">
        <f>IF(OR(J182="",K182="",K182&lt;J182),0,NETWORKDAYS(J182,K182,fESTIVOS!$A$2:$A$53))
</f>
        <v>0</v>
      </c>
      <c r="I182" s="186">
        <v>46167.0</v>
      </c>
      <c r="J182" s="99">
        <v>46167.0</v>
      </c>
      <c r="K182" s="99"/>
      <c r="L182" s="99"/>
      <c r="M182" s="27">
        <f>IF(OR(J182="",AND(L182="",TODAY()&lt;J182),AND(L182&lt;&gt;"",L182&lt;J182)),0,
   IF(L182="",
      NETWORKDAYS(J182,TODAY(),fESTIVOS!$A$2:$A$53),
      NETWORKDAYS(J182,L182,fESTIVOS!$A$2:$A$53)
   )
)
</f>
        <v>15</v>
      </c>
      <c r="N182" s="28"/>
      <c r="O182" s="98"/>
      <c r="P182" s="100"/>
      <c r="Q182" s="34" t="s">
        <v>1003</v>
      </c>
      <c r="R182" s="113" t="s">
        <v>275</v>
      </c>
      <c r="S182" s="155"/>
      <c r="T182" s="97"/>
      <c r="U182" s="102"/>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row>
    <row r="183" ht="29.25" hidden="1" customHeight="1">
      <c r="A183" s="92" t="s">
        <v>128</v>
      </c>
      <c r="B183" s="93" t="s">
        <v>1004</v>
      </c>
      <c r="C183" s="141" t="s">
        <v>1005</v>
      </c>
      <c r="D183" s="95"/>
      <c r="E183" s="96"/>
      <c r="F183" s="112" t="s">
        <v>76</v>
      </c>
      <c r="G183" s="97">
        <v>100.0</v>
      </c>
      <c r="H183" s="22">
        <f>IF(OR(J183="",K183="",K183&lt;J183),0,NETWORKDAYS(J183,K183,fESTIVOS!$A$2:$A$53))
</f>
        <v>0</v>
      </c>
      <c r="I183" s="186">
        <v>46157.0</v>
      </c>
      <c r="J183" s="99">
        <v>46157.0</v>
      </c>
      <c r="K183" s="99"/>
      <c r="L183" s="99">
        <v>46162.0</v>
      </c>
      <c r="M183" s="27">
        <f>IF(OR(J183="",AND(L183="",TODAY()&lt;J183),AND(L183&lt;&gt;"",L183&lt;J183)),0,
   IF(L183="",
      NETWORKDAYS(J183,TODAY(),fESTIVOS!$A$2:$A$53),
      NETWORKDAYS(J183,L183,fESTIVOS!$A$2:$A$53)
   )
)
</f>
        <v>3</v>
      </c>
      <c r="N183" s="28"/>
      <c r="O183" s="98"/>
      <c r="P183" s="100"/>
      <c r="Q183" s="34" t="s">
        <v>1006</v>
      </c>
      <c r="R183" s="113" t="s">
        <v>275</v>
      </c>
      <c r="S183" s="155"/>
      <c r="T183" s="97"/>
      <c r="U183" s="102"/>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row>
    <row r="184" ht="29.25" hidden="1" customHeight="1">
      <c r="A184" s="92" t="s">
        <v>128</v>
      </c>
      <c r="B184" s="93" t="s">
        <v>1007</v>
      </c>
      <c r="C184" s="94" t="s">
        <v>1008</v>
      </c>
      <c r="D184" s="95"/>
      <c r="E184" s="96"/>
      <c r="F184" s="112" t="s">
        <v>216</v>
      </c>
      <c r="G184" s="97">
        <v>30.0</v>
      </c>
      <c r="H184" s="22">
        <f>IF(OR(J184="",K184="",K184&lt;J184),0,NETWORKDAYS(J184,K184,fESTIVOS!$A$2:$A$53))
</f>
        <v>0</v>
      </c>
      <c r="I184" s="186">
        <v>46007.0</v>
      </c>
      <c r="J184" s="99">
        <v>46024.0</v>
      </c>
      <c r="K184" s="99"/>
      <c r="L184" s="99"/>
      <c r="M184" s="27">
        <f>IF(OR(J184="",AND(L184="",TODAY()&lt;J184),AND(L184&lt;&gt;"",L184&lt;J184)),0,
   IF(L184="",
      NETWORKDAYS(J184,TODAY(),fESTIVOS!$A$2:$A$53),
      NETWORKDAYS(J184,L184,fESTIVOS!$A$2:$A$53)
   )
)
</f>
        <v>110</v>
      </c>
      <c r="N184" s="28"/>
      <c r="O184" s="98"/>
      <c r="P184" s="100"/>
      <c r="Q184" s="34" t="s">
        <v>1009</v>
      </c>
      <c r="R184" s="113" t="s">
        <v>275</v>
      </c>
      <c r="S184" s="155"/>
      <c r="T184" s="97"/>
      <c r="U184" s="102"/>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row>
    <row r="185" ht="29.25" hidden="1" customHeight="1">
      <c r="A185" s="92" t="s">
        <v>128</v>
      </c>
      <c r="B185" s="93" t="s">
        <v>1010</v>
      </c>
      <c r="C185" s="141" t="s">
        <v>1011</v>
      </c>
      <c r="D185" s="95" t="s">
        <v>1012</v>
      </c>
      <c r="E185" s="96"/>
      <c r="F185" s="112" t="s">
        <v>216</v>
      </c>
      <c r="G185" s="97">
        <v>85.0</v>
      </c>
      <c r="H185" s="22">
        <f>IF(OR(J185="",K185="",K185&lt;J185),0,NETWORKDAYS(J185,K185,fESTIVOS!$A$2:$A$53))
</f>
        <v>0</v>
      </c>
      <c r="I185" s="186">
        <v>46126.0</v>
      </c>
      <c r="J185" s="99">
        <v>46170.0</v>
      </c>
      <c r="K185" s="99"/>
      <c r="L185" s="99">
        <v>46174.0</v>
      </c>
      <c r="M185" s="27">
        <f>IF(OR(J185="",AND(L185="",TODAY()&lt;J185),AND(L185&lt;&gt;"",L185&lt;J185)),0,
   IF(L185="",
      NETWORKDAYS(J185,TODAY(),fESTIVOS!$A$2:$A$53),
      NETWORKDAYS(J185,L185,fESTIVOS!$A$2:$A$53)
   )
)
</f>
        <v>3</v>
      </c>
      <c r="N185" s="105">
        <v>46174.0</v>
      </c>
      <c r="O185" s="98"/>
      <c r="P185" s="100"/>
      <c r="Q185" s="34" t="s">
        <v>1013</v>
      </c>
      <c r="R185" s="31" t="s">
        <v>275</v>
      </c>
      <c r="S185" s="101"/>
      <c r="T185" s="101"/>
      <c r="U185" s="102"/>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row>
    <row r="186" ht="29.25" hidden="1" customHeight="1">
      <c r="A186" s="92" t="s">
        <v>128</v>
      </c>
      <c r="B186" s="93" t="s">
        <v>1014</v>
      </c>
      <c r="C186" s="141" t="s">
        <v>1015</v>
      </c>
      <c r="D186" s="95" t="s">
        <v>1016</v>
      </c>
      <c r="E186" s="96"/>
      <c r="F186" s="112" t="s">
        <v>229</v>
      </c>
      <c r="G186" s="97"/>
      <c r="H186" s="22">
        <f>IF(OR(J186="",K186="",K186&lt;J186),0,NETWORKDAYS(J186,K186,fESTIVOS!$A$2:$A$53))
</f>
        <v>0</v>
      </c>
      <c r="I186" s="186">
        <v>46177.0</v>
      </c>
      <c r="J186" s="99"/>
      <c r="K186" s="99"/>
      <c r="L186" s="99"/>
      <c r="M186" s="27">
        <f>IF(OR(J186="",AND(L186="",TODAY()&lt;J186),AND(L186&lt;&gt;"",L186&lt;J186)),0,
   IF(L186="",
      NETWORKDAYS(J186,TODAY(),fESTIVOS!$A$2:$A$53),
      NETWORKDAYS(J186,L186,fESTIVOS!$A$2:$A$53)
   )
)
</f>
        <v>0</v>
      </c>
      <c r="N186" s="189"/>
      <c r="O186" s="98"/>
      <c r="P186" s="100"/>
      <c r="Q186" s="34" t="s">
        <v>1017</v>
      </c>
      <c r="R186" s="113" t="s">
        <v>93</v>
      </c>
      <c r="S186" s="101"/>
      <c r="T186" s="101"/>
      <c r="U186" s="102"/>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row>
    <row r="187" ht="29.25" hidden="1" customHeight="1">
      <c r="A187" s="92" t="s">
        <v>128</v>
      </c>
      <c r="B187" s="93" t="s">
        <v>1018</v>
      </c>
      <c r="C187" s="141" t="s">
        <v>1019</v>
      </c>
      <c r="D187" s="95" t="s">
        <v>1020</v>
      </c>
      <c r="E187" s="96"/>
      <c r="F187" s="112" t="s">
        <v>992</v>
      </c>
      <c r="G187" s="97">
        <v>90.0</v>
      </c>
      <c r="H187" s="22">
        <f>IF(OR(J187="",K187="",K187&lt;J187),0,NETWORKDAYS(J187,K187,fESTIVOS!$A$2:$A$53))
</f>
        <v>0</v>
      </c>
      <c r="I187" s="186">
        <v>46178.0</v>
      </c>
      <c r="J187" s="99">
        <v>46178.0</v>
      </c>
      <c r="K187" s="99"/>
      <c r="L187" s="99">
        <v>46178.0</v>
      </c>
      <c r="M187" s="27">
        <f>IF(OR(J187="",AND(L187="",TODAY()&lt;J187),AND(L187&lt;&gt;"",L187&lt;J187)),0,
   IF(L187="",
      NETWORKDAYS(J187,TODAY(),fESTIVOS!$A$2:$A$53),
      NETWORKDAYS(J187,L187,fESTIVOS!$A$2:$A$53)
   )
)
</f>
        <v>1</v>
      </c>
      <c r="N187" s="28"/>
      <c r="O187" s="98"/>
      <c r="P187" s="100"/>
      <c r="Q187" s="34" t="s">
        <v>1021</v>
      </c>
      <c r="R187" s="31" t="s">
        <v>275</v>
      </c>
      <c r="S187" s="155"/>
      <c r="T187" s="97"/>
      <c r="U187" s="102"/>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row>
    <row r="188" ht="29.25" hidden="1" customHeight="1">
      <c r="A188" s="92" t="s">
        <v>128</v>
      </c>
      <c r="B188" s="93" t="s">
        <v>1022</v>
      </c>
      <c r="C188" s="141" t="s">
        <v>1023</v>
      </c>
      <c r="D188" s="95" t="s">
        <v>1024</v>
      </c>
      <c r="E188" s="96"/>
      <c r="F188" s="112" t="s">
        <v>686</v>
      </c>
      <c r="G188" s="97"/>
      <c r="H188" s="22">
        <f>IF(OR(J188="",K188="",K188&lt;J188),0,NETWORKDAYS(J188,K188,fESTIVOS!$A$2:$A$53))
</f>
        <v>0</v>
      </c>
      <c r="I188" s="186">
        <v>46066.0</v>
      </c>
      <c r="J188" s="99"/>
      <c r="K188" s="99"/>
      <c r="L188" s="99"/>
      <c r="M188" s="27">
        <f>IF(OR(J188="",AND(L188="",TODAY()&lt;J188),AND(L188&lt;&gt;"",L188&lt;J188)),0,
   IF(L188="",
      NETWORKDAYS(J188,TODAY(),fESTIVOS!$A$2:$A$53),
      NETWORKDAYS(J188,L188,fESTIVOS!$A$2:$A$53)
   )
)
</f>
        <v>0</v>
      </c>
      <c r="N188" s="28"/>
      <c r="O188" s="98"/>
      <c r="P188" s="100"/>
      <c r="Q188" s="34" t="s">
        <v>1025</v>
      </c>
      <c r="R188" s="113" t="s">
        <v>93</v>
      </c>
      <c r="S188" s="155"/>
      <c r="T188" s="97"/>
      <c r="U188" s="102"/>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row>
    <row r="189" ht="29.25" hidden="1" customHeight="1">
      <c r="A189" s="92" t="s">
        <v>128</v>
      </c>
      <c r="B189" s="93" t="s">
        <v>1026</v>
      </c>
      <c r="C189" s="141" t="s">
        <v>1027</v>
      </c>
      <c r="D189" s="95" t="s">
        <v>1028</v>
      </c>
      <c r="E189" s="96"/>
      <c r="F189" s="112" t="s">
        <v>76</v>
      </c>
      <c r="G189" s="97">
        <v>100.0</v>
      </c>
      <c r="H189" s="22">
        <f>IF(OR(J189="",K189="",K189&lt;J189),0,NETWORKDAYS(J189,K189,fESTIVOS!$A$2:$A$53))
</f>
        <v>0</v>
      </c>
      <c r="I189" s="186">
        <v>46163.0</v>
      </c>
      <c r="J189" s="99">
        <v>46177.0</v>
      </c>
      <c r="K189" s="99"/>
      <c r="L189" s="99">
        <v>46182.0</v>
      </c>
      <c r="M189" s="27">
        <f>IF(OR(J189="",AND(L189="",TODAY()&lt;J189),AND(L189&lt;&gt;"",L189&lt;J189)),0,
   IF(L189="",
      NETWORKDAYS(J189,TODAY(),fESTIVOS!$A$2:$A$53),
      NETWORKDAYS(J189,L189,fESTIVOS!$A$2:$A$53)
   )
)
</f>
        <v>3</v>
      </c>
      <c r="N189" s="28"/>
      <c r="O189" s="98"/>
      <c r="P189" s="100"/>
      <c r="Q189" s="34" t="s">
        <v>1029</v>
      </c>
      <c r="R189" s="113" t="s">
        <v>275</v>
      </c>
      <c r="S189" s="101"/>
      <c r="T189" s="101"/>
      <c r="U189" s="102"/>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row>
    <row r="190" ht="29.25" hidden="1" customHeight="1">
      <c r="A190" s="92" t="s">
        <v>128</v>
      </c>
      <c r="B190" s="93" t="s">
        <v>1030</v>
      </c>
      <c r="C190" s="141" t="s">
        <v>1031</v>
      </c>
      <c r="D190" s="95" t="s">
        <v>1032</v>
      </c>
      <c r="E190" s="96"/>
      <c r="F190" s="112" t="s">
        <v>229</v>
      </c>
      <c r="G190" s="192"/>
      <c r="H190" s="22">
        <f>IF(OR(J190="",K190="",K190&lt;J190),0,NETWORKDAYS(J190,K190,fESTIVOS!$A$2:$A$53))
</f>
        <v>0</v>
      </c>
      <c r="I190" s="186">
        <v>46163.0</v>
      </c>
      <c r="J190" s="99"/>
      <c r="K190" s="99"/>
      <c r="L190" s="99"/>
      <c r="M190" s="27">
        <f>IF(OR(J190="",AND(L190="",TODAY()&lt;J190),AND(L190&lt;&gt;"",L190&lt;J190)),0,
   IF(L190="",
      NETWORKDAYS(J190,TODAY(),fESTIVOS!$A$2:$A$53),
      NETWORKDAYS(J190,L190,fESTIVOS!$A$2:$A$53)
   )
)
</f>
        <v>0</v>
      </c>
      <c r="N190" s="28"/>
      <c r="O190" s="98"/>
      <c r="P190" s="100"/>
      <c r="Q190" s="34" t="s">
        <v>1033</v>
      </c>
      <c r="R190" s="113" t="s">
        <v>93</v>
      </c>
      <c r="S190" s="101"/>
      <c r="T190" s="101"/>
      <c r="U190" s="102"/>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row>
    <row r="191" ht="29.25" hidden="1" customHeight="1">
      <c r="A191" s="55" t="s">
        <v>128</v>
      </c>
      <c r="B191" s="17" t="s">
        <v>1034</v>
      </c>
      <c r="C191" s="107" t="s">
        <v>1035</v>
      </c>
      <c r="D191" s="95" t="s">
        <v>1036</v>
      </c>
      <c r="E191" s="96"/>
      <c r="F191" s="122" t="s">
        <v>76</v>
      </c>
      <c r="G191" s="97">
        <v>100.0</v>
      </c>
      <c r="H191" s="22">
        <f>IF(OR(J191="",K191="",K191&lt;J191),0,NETWORKDAYS(J191,K191,fESTIVOS!$A$2:$A$53))
</f>
        <v>4</v>
      </c>
      <c r="I191" s="193">
        <v>45890.0</v>
      </c>
      <c r="J191" s="184">
        <v>45922.0</v>
      </c>
      <c r="K191" s="99">
        <v>45925.0</v>
      </c>
      <c r="L191" s="99">
        <v>45937.0</v>
      </c>
      <c r="M191" s="27">
        <f>IF(OR(J191="",AND(L191="",TODAY()&lt;J191),AND(L191&lt;&gt;"",L191&lt;J191)),0,
   IF(L191="",
      NETWORKDAYS(J191,TODAY(),fESTIVOS!$A$2:$A$53),
      NETWORKDAYS(J191,L191,fESTIVOS!$A$2:$A$53)
   )
)
</f>
        <v>12</v>
      </c>
      <c r="N191" s="28"/>
      <c r="O191" s="98">
        <v>45937.0</v>
      </c>
      <c r="P191" s="100"/>
      <c r="Q191" s="34" t="s">
        <v>1037</v>
      </c>
      <c r="R191" s="113" t="s">
        <v>78</v>
      </c>
      <c r="S191" s="97"/>
      <c r="T191" s="97" t="s">
        <v>1038</v>
      </c>
      <c r="U191" s="122" t="s">
        <v>1039</v>
      </c>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row>
    <row r="192" ht="29.25" hidden="1" customHeight="1">
      <c r="A192" s="55" t="s">
        <v>128</v>
      </c>
      <c r="B192" s="93" t="s">
        <v>1040</v>
      </c>
      <c r="C192" s="107" t="s">
        <v>1041</v>
      </c>
      <c r="D192" s="95" t="s">
        <v>1042</v>
      </c>
      <c r="E192" s="96"/>
      <c r="F192" s="122" t="s">
        <v>76</v>
      </c>
      <c r="G192" s="97">
        <v>100.0</v>
      </c>
      <c r="H192" s="22">
        <f>IF(OR(J192="",K192="",K192&lt;J192),0,NETWORKDAYS(J192,K192,fESTIVOS!$A$2:$A$53))
</f>
        <v>0</v>
      </c>
      <c r="I192" s="193">
        <v>45958.0</v>
      </c>
      <c r="J192" s="194">
        <v>45973.0</v>
      </c>
      <c r="K192" s="99"/>
      <c r="L192" s="99">
        <v>45973.0</v>
      </c>
      <c r="M192" s="27">
        <f>IF(OR(J192="",AND(L192="",TODAY()&lt;J192),AND(L192&lt;&gt;"",L192&lt;J192)),0,
   IF(L192="",
      NETWORKDAYS(J192,TODAY(),fESTIVOS!$A$2:$A$53),
      NETWORKDAYS(J192,L192,fESTIVOS!$A$2:$A$53)
   )
)
</f>
        <v>1</v>
      </c>
      <c r="N192" s="28"/>
      <c r="O192" s="98"/>
      <c r="P192" s="100"/>
      <c r="Q192" s="34" t="s">
        <v>1043</v>
      </c>
      <c r="R192" s="113" t="s">
        <v>78</v>
      </c>
      <c r="S192" s="97"/>
      <c r="T192" s="97"/>
      <c r="U192" s="122" t="s">
        <v>1044</v>
      </c>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row>
    <row r="193" ht="29.25" hidden="1" customHeight="1">
      <c r="A193" s="16" t="s">
        <v>67</v>
      </c>
      <c r="B193" s="17" t="s">
        <v>1045</v>
      </c>
      <c r="C193" s="107" t="s">
        <v>1046</v>
      </c>
      <c r="D193" s="150"/>
      <c r="E193" s="96"/>
      <c r="F193" s="122" t="s">
        <v>76</v>
      </c>
      <c r="G193" s="97">
        <v>100.0</v>
      </c>
      <c r="H193" s="22">
        <f>IF(OR(J193="",K193="",K193&lt;J193),0,NETWORKDAYS(J193,K193,fESTIVOS!$A$2:$A$53))
</f>
        <v>0</v>
      </c>
      <c r="I193" s="98">
        <v>45869.0</v>
      </c>
      <c r="J193" s="99">
        <v>45870.0</v>
      </c>
      <c r="K193" s="99"/>
      <c r="L193" s="99">
        <v>45880.0</v>
      </c>
      <c r="M193" s="27">
        <f>IF(OR(J193="",AND(L193="",TODAY()&lt;J193),AND(L193&lt;&gt;"",L193&lt;J193)),0,
   IF(L193="",
      NETWORKDAYS(J193,TODAY(),fESTIVOS!$A$2:$A$53),
      NETWORKDAYS(J193,L193,fESTIVOS!$A$2:$A$53)
   )
)
</f>
        <v>6</v>
      </c>
      <c r="N193" s="28"/>
      <c r="O193" s="98"/>
      <c r="P193" s="100"/>
      <c r="Q193" s="34" t="s">
        <v>1047</v>
      </c>
      <c r="R193" s="31" t="s">
        <v>78</v>
      </c>
      <c r="S193" s="101"/>
      <c r="T193" s="101"/>
      <c r="U193" s="102"/>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row>
    <row r="194" ht="29.25" hidden="1" customHeight="1">
      <c r="A194" s="123" t="s">
        <v>251</v>
      </c>
      <c r="B194" s="93" t="s">
        <v>1048</v>
      </c>
      <c r="C194" s="151" t="s">
        <v>1049</v>
      </c>
      <c r="D194" s="150"/>
      <c r="E194" s="96"/>
      <c r="F194" s="122" t="s">
        <v>76</v>
      </c>
      <c r="G194" s="97">
        <v>100.0</v>
      </c>
      <c r="H194" s="22">
        <f>IF(OR(J194="",K194="",K194&lt;J194),0,NETWORKDAYS(J194,K194,fESTIVOS!$A$2:$A$53))
</f>
        <v>2</v>
      </c>
      <c r="I194" s="98">
        <v>46084.0</v>
      </c>
      <c r="J194" s="99">
        <v>46084.0</v>
      </c>
      <c r="K194" s="99">
        <v>46085.0</v>
      </c>
      <c r="L194" s="99">
        <v>46085.0</v>
      </c>
      <c r="M194" s="27">
        <f>IF(OR(J194="",AND(L194="",TODAY()&lt;J194),AND(L194&lt;&gt;"",L194&lt;J194)),0,
   IF(L194="",
      NETWORKDAYS(J194,TODAY(),fESTIVOS!$A$2:$A$53),
      NETWORKDAYS(J194,L194,fESTIVOS!$A$2:$A$53)
   )
)
</f>
        <v>2</v>
      </c>
      <c r="N194" s="28"/>
      <c r="O194" s="98"/>
      <c r="P194" s="100"/>
      <c r="Q194" s="34" t="s">
        <v>1050</v>
      </c>
      <c r="R194" s="113" t="s">
        <v>208</v>
      </c>
      <c r="S194" s="101"/>
      <c r="T194" s="101"/>
      <c r="U194" s="102"/>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37"/>
    </row>
    <row r="195" ht="29.25" hidden="1" customHeight="1">
      <c r="A195" s="123" t="s">
        <v>251</v>
      </c>
      <c r="B195" s="17" t="s">
        <v>1051</v>
      </c>
      <c r="C195" s="107" t="s">
        <v>1052</v>
      </c>
      <c r="D195" s="150"/>
      <c r="E195" s="96"/>
      <c r="F195" s="122" t="s">
        <v>1053</v>
      </c>
      <c r="G195" s="97">
        <v>85.0</v>
      </c>
      <c r="H195" s="22">
        <f>IF(OR(J195="",K195="",K195&lt;J195),0,NETWORKDAYS(J195,K195,fESTIVOS!$A$2:$A$53))
</f>
        <v>0</v>
      </c>
      <c r="I195" s="98">
        <v>45870.0</v>
      </c>
      <c r="J195" s="99">
        <v>45870.0</v>
      </c>
      <c r="K195" s="99"/>
      <c r="L195" s="99">
        <v>45881.0</v>
      </c>
      <c r="M195" s="27">
        <f>IF(OR(J195="",AND(L195="",TODAY()&lt;J195),AND(L195&lt;&gt;"",L195&lt;J195)),0,
   IF(L195="",
      NETWORKDAYS(J195,TODAY(),fESTIVOS!$A$2:$A$53),
      NETWORKDAYS(J195,L195,fESTIVOS!$A$2:$A$53)
   )
)
</f>
        <v>7</v>
      </c>
      <c r="N195" s="28"/>
      <c r="O195" s="98">
        <v>45881.0</v>
      </c>
      <c r="P195" s="100"/>
      <c r="Q195" s="34" t="s">
        <v>1054</v>
      </c>
      <c r="R195" s="31" t="s">
        <v>93</v>
      </c>
      <c r="S195" s="101"/>
      <c r="T195" s="101"/>
      <c r="U195" s="102"/>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37" t="s">
        <v>1055</v>
      </c>
    </row>
    <row r="196" ht="29.25" hidden="1" customHeight="1">
      <c r="A196" s="16" t="s">
        <v>251</v>
      </c>
      <c r="B196" s="93" t="s">
        <v>1056</v>
      </c>
      <c r="C196" s="107" t="s">
        <v>1057</v>
      </c>
      <c r="D196" s="150"/>
      <c r="E196" s="96"/>
      <c r="F196" s="122" t="s">
        <v>76</v>
      </c>
      <c r="G196" s="97">
        <v>100.0</v>
      </c>
      <c r="H196" s="22">
        <f>IF(OR(J196="",K196="",K196&lt;J196),0,NETWORKDAYS(J196,K196,fESTIVOS!$A$2:$A$53))
</f>
        <v>0</v>
      </c>
      <c r="I196" s="98">
        <v>45917.0</v>
      </c>
      <c r="J196" s="99">
        <v>45918.0</v>
      </c>
      <c r="K196" s="99"/>
      <c r="L196" s="99">
        <v>45919.0</v>
      </c>
      <c r="M196" s="27">
        <f>IF(OR(J196="",AND(L196="",TODAY()&lt;J196),AND(L196&lt;&gt;"",L196&lt;J196)),0,
   IF(L196="",
      NETWORKDAYS(J196,TODAY(),fESTIVOS!$A$2:$A$53),
      NETWORKDAYS(J196,L196,fESTIVOS!$A$2:$A$53)
   )
)
</f>
        <v>2</v>
      </c>
      <c r="N196" s="28"/>
      <c r="O196" s="98"/>
      <c r="P196" s="100"/>
      <c r="Q196" s="34" t="s">
        <v>1058</v>
      </c>
      <c r="R196" s="31" t="s">
        <v>78</v>
      </c>
      <c r="S196" s="101"/>
      <c r="T196" s="101"/>
      <c r="U196" s="102"/>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37"/>
    </row>
    <row r="197" ht="29.25" hidden="1" customHeight="1">
      <c r="A197" s="16" t="s">
        <v>251</v>
      </c>
      <c r="B197" s="93" t="s">
        <v>1059</v>
      </c>
      <c r="C197" s="107" t="s">
        <v>1060</v>
      </c>
      <c r="D197" s="150"/>
      <c r="E197" s="96"/>
      <c r="F197" s="122" t="s">
        <v>76</v>
      </c>
      <c r="G197" s="97">
        <v>100.0</v>
      </c>
      <c r="H197" s="22">
        <f>IF(OR(J197="",K197="",K197&lt;J197),0,NETWORKDAYS(J197,K197,fESTIVOS!$A$2:$A$53))
</f>
        <v>0</v>
      </c>
      <c r="I197" s="98">
        <v>45912.0</v>
      </c>
      <c r="J197" s="99">
        <v>45925.0</v>
      </c>
      <c r="K197" s="99"/>
      <c r="L197" s="99">
        <v>45992.0</v>
      </c>
      <c r="M197" s="27">
        <f>IF(OR(J197="",AND(L197="",TODAY()&lt;J197),AND(L197&lt;&gt;"",L197&lt;J197)),0,
   IF(L197="",
      NETWORKDAYS(J197,TODAY(),fESTIVOS!$A$2:$A$53),
      NETWORKDAYS(J197,L197,fESTIVOS!$A$2:$A$53)
   )
)
</f>
        <v>45</v>
      </c>
      <c r="N197" s="28"/>
      <c r="O197" s="98"/>
      <c r="P197" s="100">
        <v>45992.0</v>
      </c>
      <c r="Q197" s="34" t="s">
        <v>1061</v>
      </c>
      <c r="R197" s="31" t="s">
        <v>78</v>
      </c>
      <c r="S197" s="101"/>
      <c r="T197" s="101"/>
      <c r="U197" s="102"/>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37"/>
    </row>
    <row r="198" ht="29.25" hidden="1" customHeight="1">
      <c r="A198" s="16" t="s">
        <v>251</v>
      </c>
      <c r="B198" s="93" t="s">
        <v>1062</v>
      </c>
      <c r="C198" s="151" t="s">
        <v>1063</v>
      </c>
      <c r="D198" s="150"/>
      <c r="E198" s="96"/>
      <c r="F198" s="122" t="s">
        <v>76</v>
      </c>
      <c r="G198" s="97">
        <v>100.0</v>
      </c>
      <c r="H198" s="22">
        <f>IF(OR(J198="",K198="",K198&lt;J198),0,NETWORKDAYS(J198,K198,fESTIVOS!$A$2:$A$53))
</f>
        <v>0</v>
      </c>
      <c r="I198" s="98">
        <v>45953.0</v>
      </c>
      <c r="J198" s="99">
        <v>45960.0</v>
      </c>
      <c r="K198" s="99"/>
      <c r="L198" s="99">
        <v>45971.0</v>
      </c>
      <c r="M198" s="27">
        <f>IF(OR(J198="",AND(L198="",TODAY()&lt;J198),AND(L198&lt;&gt;"",L198&lt;J198)),0,
   IF(L198="",
      NETWORKDAYS(J198,TODAY(),fESTIVOS!$A$2:$A$53),
      NETWORKDAYS(J198,L198,fESTIVOS!$A$2:$A$53)
   )
)
</f>
        <v>7</v>
      </c>
      <c r="N198" s="28"/>
      <c r="O198" s="98"/>
      <c r="P198" s="100"/>
      <c r="Q198" s="34" t="s">
        <v>1064</v>
      </c>
      <c r="R198" s="113" t="s">
        <v>78</v>
      </c>
      <c r="S198" s="101"/>
      <c r="T198" s="101"/>
      <c r="U198" s="102"/>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37"/>
    </row>
    <row r="199" ht="29.25" hidden="1" customHeight="1">
      <c r="A199" s="16" t="s">
        <v>251</v>
      </c>
      <c r="B199" s="93" t="s">
        <v>1065</v>
      </c>
      <c r="C199" s="107" t="s">
        <v>1066</v>
      </c>
      <c r="D199" s="150"/>
      <c r="E199" s="96"/>
      <c r="F199" s="122" t="s">
        <v>76</v>
      </c>
      <c r="G199" s="97">
        <v>100.0</v>
      </c>
      <c r="H199" s="22">
        <f>IF(OR(J199="",K199="",K199&lt;J199),0,NETWORKDAYS(J199,K199,fESTIVOS!$A$2:$A$53))
</f>
        <v>0</v>
      </c>
      <c r="I199" s="98">
        <v>45958.0</v>
      </c>
      <c r="J199" s="99">
        <v>45959.0</v>
      </c>
      <c r="K199" s="99"/>
      <c r="L199" s="99">
        <v>45960.0</v>
      </c>
      <c r="M199" s="27">
        <f>IF(OR(J199="",AND(L199="",TODAY()&lt;J199),AND(L199&lt;&gt;"",L199&lt;J199)),0,
   IF(L199="",
      NETWORKDAYS(J199,TODAY(),fESTIVOS!$A$2:$A$53),
      NETWORKDAYS(J199,L199,fESTIVOS!$A$2:$A$53)
   )
)
</f>
        <v>2</v>
      </c>
      <c r="N199" s="28"/>
      <c r="O199" s="98"/>
      <c r="P199" s="100"/>
      <c r="Q199" s="34" t="s">
        <v>1067</v>
      </c>
      <c r="R199" s="113" t="s">
        <v>78</v>
      </c>
      <c r="S199" s="101"/>
      <c r="T199" s="101"/>
      <c r="U199" s="102"/>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37"/>
    </row>
    <row r="200" ht="29.25" hidden="1" customHeight="1">
      <c r="A200" s="16" t="s">
        <v>251</v>
      </c>
      <c r="B200" s="93" t="s">
        <v>1068</v>
      </c>
      <c r="C200" s="151" t="s">
        <v>1069</v>
      </c>
      <c r="D200" s="150"/>
      <c r="E200" s="96"/>
      <c r="F200" s="122" t="s">
        <v>76</v>
      </c>
      <c r="G200" s="97">
        <v>100.0</v>
      </c>
      <c r="H200" s="22">
        <f>IF(OR(J200="",K200="",K200&lt;J200),0,NETWORKDAYS(J200,K200,fESTIVOS!$A$2:$A$53))
</f>
        <v>0</v>
      </c>
      <c r="I200" s="98">
        <v>45954.0</v>
      </c>
      <c r="J200" s="99">
        <v>45992.0</v>
      </c>
      <c r="K200" s="99"/>
      <c r="L200" s="99">
        <v>45992.0</v>
      </c>
      <c r="M200" s="27">
        <f>IF(OR(J200="",AND(L200="",TODAY()&lt;J200),AND(L200&lt;&gt;"",L200&lt;J200)),0,
   IF(L200="",
      NETWORKDAYS(J200,TODAY(),fESTIVOS!$A$2:$A$53),
      NETWORKDAYS(J200,L200,fESTIVOS!$A$2:$A$53)
   )
)
</f>
        <v>1</v>
      </c>
      <c r="N200" s="28"/>
      <c r="O200" s="98"/>
      <c r="P200" s="100"/>
      <c r="Q200" s="34" t="s">
        <v>1070</v>
      </c>
      <c r="R200" s="113" t="s">
        <v>78</v>
      </c>
      <c r="S200" s="101"/>
      <c r="T200" s="101"/>
      <c r="U200" s="102"/>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37"/>
    </row>
    <row r="201" ht="29.25" hidden="1" customHeight="1">
      <c r="A201" s="16" t="s">
        <v>251</v>
      </c>
      <c r="B201" s="93" t="s">
        <v>1071</v>
      </c>
      <c r="C201" s="141" t="s">
        <v>1072</v>
      </c>
      <c r="D201" s="150" t="s">
        <v>1073</v>
      </c>
      <c r="E201" s="96"/>
      <c r="F201" s="122" t="s">
        <v>76</v>
      </c>
      <c r="G201" s="97">
        <v>100.0</v>
      </c>
      <c r="H201" s="22">
        <f>IF(OR(J201="",K201="",K201&lt;J201),0,NETWORKDAYS(J201,K201,fESTIVOS!$A$2:$A$53))
</f>
        <v>0</v>
      </c>
      <c r="I201" s="98">
        <v>45972.0</v>
      </c>
      <c r="J201" s="99">
        <v>45974.0</v>
      </c>
      <c r="K201" s="99"/>
      <c r="L201" s="99">
        <v>45980.0</v>
      </c>
      <c r="M201" s="27">
        <f>IF(OR(J201="",AND(L201="",TODAY()&lt;J201),AND(L201&lt;&gt;"",L201&lt;J201)),0,
   IF(L201="",
      NETWORKDAYS(J201,TODAY(),fESTIVOS!$A$2:$A$53),
      NETWORKDAYS(J201,L201,fESTIVOS!$A$2:$A$53)
   )
)
</f>
        <v>4</v>
      </c>
      <c r="N201" s="28"/>
      <c r="O201" s="98"/>
      <c r="P201" s="100"/>
      <c r="Q201" s="34" t="s">
        <v>1074</v>
      </c>
      <c r="R201" s="113" t="s">
        <v>78</v>
      </c>
      <c r="S201" s="101"/>
      <c r="T201" s="101"/>
      <c r="U201" s="102"/>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37"/>
    </row>
    <row r="202" ht="29.25" hidden="1" customHeight="1">
      <c r="A202" s="16" t="s">
        <v>251</v>
      </c>
      <c r="B202" s="195" t="s">
        <v>1075</v>
      </c>
      <c r="C202" s="107" t="s">
        <v>1076</v>
      </c>
      <c r="D202" s="150"/>
      <c r="E202" s="96"/>
      <c r="F202" s="122" t="s">
        <v>76</v>
      </c>
      <c r="G202" s="97">
        <v>100.0</v>
      </c>
      <c r="H202" s="22">
        <f>IF(OR(J202="",K202="",K202&lt;J202),0,NETWORKDAYS(J202,K202,fESTIVOS!$A$2:$A$53))
</f>
        <v>0</v>
      </c>
      <c r="I202" s="98">
        <v>45937.0</v>
      </c>
      <c r="J202" s="99">
        <v>45937.0</v>
      </c>
      <c r="K202" s="99"/>
      <c r="L202" s="99"/>
      <c r="M202" s="27">
        <f>IF(OR(J202="",AND(L202="",TODAY()&lt;J202),AND(L202&lt;&gt;"",L202&lt;J202)),0,
   IF(L202="",
      NETWORKDAYS(J202,TODAY(),fESTIVOS!$A$2:$A$53),
      NETWORKDAYS(J202,L202,fESTIVOS!$A$2:$A$53)
   )
)
</f>
        <v>167</v>
      </c>
      <c r="N202" s="28"/>
      <c r="O202" s="98"/>
      <c r="P202" s="100"/>
      <c r="Q202" s="34" t="s">
        <v>1077</v>
      </c>
      <c r="R202" s="31" t="s">
        <v>78</v>
      </c>
      <c r="S202" s="101"/>
      <c r="T202" s="101"/>
      <c r="U202" s="102"/>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37"/>
    </row>
    <row r="203" ht="29.25" hidden="1" customHeight="1">
      <c r="A203" s="16" t="s">
        <v>251</v>
      </c>
      <c r="B203" s="195" t="s">
        <v>1078</v>
      </c>
      <c r="C203" s="107" t="s">
        <v>1079</v>
      </c>
      <c r="D203" s="150"/>
      <c r="E203" s="96"/>
      <c r="F203" s="122" t="s">
        <v>76</v>
      </c>
      <c r="G203" s="97">
        <v>100.0</v>
      </c>
      <c r="H203" s="22">
        <f>IF(OR(J203="",K203="",K203&lt;J203),0,NETWORKDAYS(J203,K203,fESTIVOS!$A$2:$A$53))
</f>
        <v>0</v>
      </c>
      <c r="I203" s="98">
        <v>45945.0</v>
      </c>
      <c r="J203" s="99">
        <v>45945.0</v>
      </c>
      <c r="K203" s="99"/>
      <c r="L203" s="99">
        <v>45945.0</v>
      </c>
      <c r="M203" s="27">
        <f>IF(OR(J203="",AND(L203="",TODAY()&lt;J203),AND(L203&lt;&gt;"",L203&lt;J203)),0,
   IF(L203="",
      NETWORKDAYS(J203,TODAY(),fESTIVOS!$A$2:$A$53),
      NETWORKDAYS(J203,L203,fESTIVOS!$A$2:$A$53)
   )
)
</f>
        <v>1</v>
      </c>
      <c r="N203" s="28"/>
      <c r="O203" s="98"/>
      <c r="P203" s="100"/>
      <c r="Q203" s="34"/>
      <c r="R203" s="31" t="s">
        <v>78</v>
      </c>
      <c r="S203" s="101"/>
      <c r="T203" s="101"/>
      <c r="U203" s="102"/>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37"/>
    </row>
    <row r="204" ht="29.25" hidden="1" customHeight="1">
      <c r="A204" s="55" t="s">
        <v>128</v>
      </c>
      <c r="B204" s="17" t="s">
        <v>1080</v>
      </c>
      <c r="C204" s="107" t="s">
        <v>1081</v>
      </c>
      <c r="D204" s="95"/>
      <c r="E204" s="96"/>
      <c r="F204" s="122" t="s">
        <v>76</v>
      </c>
      <c r="G204" s="97">
        <v>100.0</v>
      </c>
      <c r="H204" s="22">
        <f>IF(OR(J204="",K204="",K204&lt;J204),0,NETWORKDAYS(J204,K204,fESTIVOS!$A$2:$A$53))
</f>
        <v>0</v>
      </c>
      <c r="I204" s="98">
        <v>45869.0</v>
      </c>
      <c r="J204" s="99">
        <v>45869.0</v>
      </c>
      <c r="K204" s="99"/>
      <c r="L204" s="99">
        <v>45870.0</v>
      </c>
      <c r="M204" s="27">
        <f>IF(OR(J204="",AND(L204="",TODAY()&lt;J204),AND(L204&lt;&gt;"",L204&lt;J204)),0,
   IF(L204="",
      NETWORKDAYS(J204,TODAY(),fESTIVOS!$A$2:$A$53),
      NETWORKDAYS(J204,L204,fESTIVOS!$A$2:$A$53)
   )
)
</f>
        <v>2</v>
      </c>
      <c r="N204" s="28"/>
      <c r="O204" s="98"/>
      <c r="P204" s="100"/>
      <c r="Q204" s="34" t="s">
        <v>1082</v>
      </c>
      <c r="R204" s="31" t="s">
        <v>78</v>
      </c>
      <c r="S204" s="101"/>
      <c r="T204" s="101"/>
      <c r="U204" s="102"/>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row>
    <row r="205" ht="29.25" hidden="1" customHeight="1">
      <c r="A205" s="55" t="s">
        <v>128</v>
      </c>
      <c r="B205" s="17" t="s">
        <v>1083</v>
      </c>
      <c r="C205" s="107" t="s">
        <v>1084</v>
      </c>
      <c r="D205" s="150"/>
      <c r="E205" s="96"/>
      <c r="F205" s="122" t="s">
        <v>76</v>
      </c>
      <c r="G205" s="97">
        <v>100.0</v>
      </c>
      <c r="H205" s="22">
        <f>IF(OR(J205="",K205="",K205&lt;J205),0,NETWORKDAYS(J205,K205,fESTIVOS!$A$2:$A$53))
</f>
        <v>0</v>
      </c>
      <c r="I205" s="98">
        <v>45870.0</v>
      </c>
      <c r="J205" s="99">
        <v>45873.0</v>
      </c>
      <c r="K205" s="99"/>
      <c r="L205" s="99">
        <v>45873.0</v>
      </c>
      <c r="M205" s="27">
        <f>IF(OR(J205="",AND(L205="",TODAY()&lt;J205),AND(L205&lt;&gt;"",L205&lt;J205)),0,
   IF(L205="",
      NETWORKDAYS(J205,TODAY(),fESTIVOS!$A$2:$A$53),
      NETWORKDAYS(J205,L205,fESTIVOS!$A$2:$A$53)
   )
)
</f>
        <v>1</v>
      </c>
      <c r="N205" s="28"/>
      <c r="O205" s="98">
        <v>45873.0</v>
      </c>
      <c r="P205" s="100">
        <v>45873.0</v>
      </c>
      <c r="Q205" s="34" t="s">
        <v>1085</v>
      </c>
      <c r="R205" s="31" t="s">
        <v>78</v>
      </c>
      <c r="S205" s="101"/>
      <c r="T205" s="101"/>
      <c r="U205" s="102"/>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37" t="s">
        <v>1086</v>
      </c>
    </row>
    <row r="206" ht="29.25" hidden="1" customHeight="1">
      <c r="A206" s="55" t="s">
        <v>128</v>
      </c>
      <c r="B206" s="17" t="s">
        <v>1087</v>
      </c>
      <c r="C206" s="107" t="s">
        <v>1088</v>
      </c>
      <c r="D206" s="95"/>
      <c r="E206" s="96"/>
      <c r="F206" s="122" t="s">
        <v>76</v>
      </c>
      <c r="G206" s="97">
        <v>100.0</v>
      </c>
      <c r="H206" s="22">
        <f>IF(OR(J206="",K206="",K206&lt;J206),0,NETWORKDAYS(J206,K206,fESTIVOS!$A$2:$A$53))
</f>
        <v>0</v>
      </c>
      <c r="I206" s="98">
        <v>45870.0</v>
      </c>
      <c r="J206" s="99">
        <v>45874.0</v>
      </c>
      <c r="K206" s="99"/>
      <c r="L206" s="99">
        <v>45875.0</v>
      </c>
      <c r="M206" s="27">
        <f>IF(OR(J206="",AND(L206="",TODAY()&lt;J206),AND(L206&lt;&gt;"",L206&lt;J206)),0,
   IF(L206="",
      NETWORKDAYS(J206,TODAY(),fESTIVOS!$A$2:$A$53),
      NETWORKDAYS(J206,L206,fESTIVOS!$A$2:$A$53)
   )
)
</f>
        <v>2</v>
      </c>
      <c r="N206" s="28"/>
      <c r="O206" s="177">
        <v>45875.0</v>
      </c>
      <c r="P206" s="100">
        <v>45883.0</v>
      </c>
      <c r="Q206" s="34" t="s">
        <v>1089</v>
      </c>
      <c r="R206" s="31" t="s">
        <v>78</v>
      </c>
      <c r="S206" s="82"/>
      <c r="T206" s="82" t="s">
        <v>1090</v>
      </c>
      <c r="U206" s="122" t="s">
        <v>1091</v>
      </c>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37" t="s">
        <v>1092</v>
      </c>
    </row>
    <row r="207" ht="29.25" hidden="1" customHeight="1">
      <c r="A207" s="55" t="s">
        <v>128</v>
      </c>
      <c r="B207" s="17" t="s">
        <v>1093</v>
      </c>
      <c r="C207" s="107" t="s">
        <v>1094</v>
      </c>
      <c r="D207" s="95" t="s">
        <v>1095</v>
      </c>
      <c r="E207" s="96"/>
      <c r="F207" s="20" t="s">
        <v>76</v>
      </c>
      <c r="G207" s="97">
        <v>100.0</v>
      </c>
      <c r="H207" s="22">
        <f>IF(OR(J207="",K207="",K207&lt;J207),0,NETWORKDAYS(J207,K207,fESTIVOS!$A$2:$A$53))
</f>
        <v>0</v>
      </c>
      <c r="I207" s="98">
        <v>45870.0</v>
      </c>
      <c r="J207" s="99">
        <v>45890.0</v>
      </c>
      <c r="K207" s="99"/>
      <c r="L207" s="99">
        <v>45916.0</v>
      </c>
      <c r="M207" s="27">
        <f>IF(OR(J207="",AND(L207="",TODAY()&lt;J207),AND(L207&lt;&gt;"",L207&lt;J207)),0,
   IF(L207="",
      NETWORKDAYS(J207,TODAY(),fESTIVOS!$A$2:$A$53),
      NETWORKDAYS(J207,L207,fESTIVOS!$A$2:$A$53)
   )
)
</f>
        <v>19</v>
      </c>
      <c r="N207" s="28"/>
      <c r="O207" s="98"/>
      <c r="P207" s="100"/>
      <c r="Q207" s="34" t="s">
        <v>1096</v>
      </c>
      <c r="R207" s="31" t="s">
        <v>78</v>
      </c>
      <c r="S207" s="101"/>
      <c r="T207" s="101"/>
      <c r="U207" s="102"/>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row>
    <row r="208" ht="29.25" hidden="1" customHeight="1">
      <c r="A208" s="55" t="s">
        <v>128</v>
      </c>
      <c r="B208" s="17" t="s">
        <v>1097</v>
      </c>
      <c r="C208" s="107" t="s">
        <v>1098</v>
      </c>
      <c r="D208" s="95"/>
      <c r="E208" s="96"/>
      <c r="F208" s="122" t="s">
        <v>76</v>
      </c>
      <c r="G208" s="97">
        <v>100.0</v>
      </c>
      <c r="H208" s="22">
        <f>IF(OR(J208="",K208="",K208&lt;J208),0,NETWORKDAYS(J208,K208,fESTIVOS!$A$2:$A$53))
</f>
        <v>0</v>
      </c>
      <c r="I208" s="98">
        <v>45870.0</v>
      </c>
      <c r="J208" s="99">
        <v>45917.0</v>
      </c>
      <c r="K208" s="99"/>
      <c r="L208" s="99">
        <v>45918.0</v>
      </c>
      <c r="M208" s="27">
        <f>IF(OR(J208="",AND(L208="",TODAY()&lt;J208),AND(L208&lt;&gt;"",L208&lt;J208)),0,
   IF(L208="",
      NETWORKDAYS(J208,TODAY(),fESTIVOS!$A$2:$A$53),
      NETWORKDAYS(J208,L208,fESTIVOS!$A$2:$A$53)
   )
)
</f>
        <v>2</v>
      </c>
      <c r="N208" s="28"/>
      <c r="O208" s="98">
        <v>45918.0</v>
      </c>
      <c r="P208" s="100"/>
      <c r="Q208" s="34" t="s">
        <v>1099</v>
      </c>
      <c r="R208" s="113" t="s">
        <v>78</v>
      </c>
      <c r="S208" s="101"/>
      <c r="T208" s="101"/>
      <c r="U208" s="102"/>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row>
    <row r="209" ht="29.25" hidden="1" customHeight="1">
      <c r="A209" s="55" t="s">
        <v>128</v>
      </c>
      <c r="B209" s="93" t="s">
        <v>1100</v>
      </c>
      <c r="C209" s="107" t="s">
        <v>1101</v>
      </c>
      <c r="D209" s="95"/>
      <c r="E209" s="96"/>
      <c r="F209" s="122" t="s">
        <v>76</v>
      </c>
      <c r="G209" s="97">
        <v>100.0</v>
      </c>
      <c r="H209" s="22">
        <f>IF(OR(J209="",K209="",K209&lt;J209),0,NETWORKDAYS(J209,K209,fESTIVOS!$A$2:$A$53))
</f>
        <v>0</v>
      </c>
      <c r="I209" s="98">
        <v>45904.0</v>
      </c>
      <c r="J209" s="99">
        <v>45904.0</v>
      </c>
      <c r="K209" s="99"/>
      <c r="L209" s="99">
        <v>45904.0</v>
      </c>
      <c r="M209" s="27">
        <f>IF(OR(J209="",AND(L209="",TODAY()&lt;J209),AND(L209&lt;&gt;"",L209&lt;J209)),0,
   IF(L209="",
      NETWORKDAYS(J209,TODAY(),fESTIVOS!$A$2:$A$53),
      NETWORKDAYS(J209,L209,fESTIVOS!$A$2:$A$53)
   )
)
</f>
        <v>1</v>
      </c>
      <c r="N209" s="28"/>
      <c r="O209" s="98"/>
      <c r="P209" s="100"/>
      <c r="Q209" s="34" t="s">
        <v>1102</v>
      </c>
      <c r="R209" s="113" t="s">
        <v>78</v>
      </c>
      <c r="S209" s="101"/>
      <c r="T209" s="101"/>
      <c r="U209" s="102"/>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row>
    <row r="210" ht="29.25" hidden="1" customHeight="1">
      <c r="A210" s="16" t="s">
        <v>67</v>
      </c>
      <c r="B210" s="17" t="s">
        <v>1103</v>
      </c>
      <c r="C210" s="107" t="s">
        <v>1104</v>
      </c>
      <c r="D210" s="95"/>
      <c r="E210" s="96"/>
      <c r="F210" s="122" t="s">
        <v>76</v>
      </c>
      <c r="G210" s="97">
        <v>100.0</v>
      </c>
      <c r="H210" s="22">
        <f>IF(OR(J210="",K210="",K210&lt;J210),0,NETWORKDAYS(J210,K210,fESTIVOS!$A$2:$A$53))
</f>
        <v>0</v>
      </c>
      <c r="I210" s="98">
        <v>45870.0</v>
      </c>
      <c r="J210" s="99">
        <v>45870.0</v>
      </c>
      <c r="K210" s="99"/>
      <c r="L210" s="99">
        <v>45870.0</v>
      </c>
      <c r="M210" s="27">
        <f>IF(OR(J210="",AND(L210="",TODAY()&lt;J210),AND(L210&lt;&gt;"",L210&lt;J210)),0,
   IF(L210="",
      NETWORKDAYS(J210,TODAY(),fESTIVOS!$A$2:$A$53),
      NETWORKDAYS(J210,L210,fESTIVOS!$A$2:$A$53)
   )
)
</f>
        <v>1</v>
      </c>
      <c r="N210" s="28"/>
      <c r="O210" s="98"/>
      <c r="P210" s="100"/>
      <c r="Q210" s="34" t="s">
        <v>1105</v>
      </c>
      <c r="R210" s="31" t="s">
        <v>78</v>
      </c>
      <c r="S210" s="101"/>
      <c r="T210" s="101"/>
      <c r="U210" s="102"/>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row>
    <row r="211" ht="29.25" hidden="1" customHeight="1">
      <c r="A211" s="16" t="s">
        <v>67</v>
      </c>
      <c r="B211" s="17" t="s">
        <v>1106</v>
      </c>
      <c r="C211" s="107" t="s">
        <v>1107</v>
      </c>
      <c r="D211" s="95"/>
      <c r="E211" s="96"/>
      <c r="F211" s="20" t="s">
        <v>76</v>
      </c>
      <c r="G211" s="97">
        <v>100.0</v>
      </c>
      <c r="H211" s="22">
        <f>IF(OR(J211="",K211="",K211&lt;J211),0,NETWORKDAYS(J211,K211,fESTIVOS!$A$2:$A$53))
</f>
        <v>14</v>
      </c>
      <c r="I211" s="98">
        <v>45870.0</v>
      </c>
      <c r="J211" s="99">
        <v>45870.0</v>
      </c>
      <c r="K211" s="99">
        <v>45891.0</v>
      </c>
      <c r="L211" s="99">
        <v>45898.0</v>
      </c>
      <c r="M211" s="27">
        <f>IF(OR(J211="",AND(L211="",TODAY()&lt;J211),AND(L211&lt;&gt;"",L211&lt;J211)),0,
   IF(L211="",
      NETWORKDAYS(J211,TODAY(),fESTIVOS!$A$2:$A$53),
      NETWORKDAYS(J211,L211,fESTIVOS!$A$2:$A$53)
   )
)
</f>
        <v>19</v>
      </c>
      <c r="N211" s="28"/>
      <c r="O211" s="98"/>
      <c r="P211" s="100">
        <v>45901.0</v>
      </c>
      <c r="Q211" s="34" t="s">
        <v>1108</v>
      </c>
      <c r="R211" s="113" t="s">
        <v>78</v>
      </c>
      <c r="S211" s="101"/>
      <c r="T211" s="101"/>
      <c r="U211" s="102"/>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row>
    <row r="212" ht="29.25" hidden="1" customHeight="1">
      <c r="A212" s="16" t="s">
        <v>67</v>
      </c>
      <c r="B212" s="17" t="s">
        <v>1109</v>
      </c>
      <c r="C212" s="107" t="s">
        <v>1110</v>
      </c>
      <c r="D212" s="95"/>
      <c r="E212" s="96"/>
      <c r="F212" s="122" t="s">
        <v>76</v>
      </c>
      <c r="G212" s="97">
        <v>100.0</v>
      </c>
      <c r="H212" s="22">
        <f>IF(OR(J212="",K212="",K212&lt;J212),0,NETWORKDAYS(J212,K212,fESTIVOS!$A$2:$A$53))
</f>
        <v>0</v>
      </c>
      <c r="I212" s="98">
        <v>45873.0</v>
      </c>
      <c r="J212" s="99">
        <v>45873.0</v>
      </c>
      <c r="K212" s="99"/>
      <c r="L212" s="99">
        <v>45874.0</v>
      </c>
      <c r="M212" s="27">
        <f>IF(OR(J212="",AND(L212="",TODAY()&lt;J212),AND(L212&lt;&gt;"",L212&lt;J212)),0,
   IF(L212="",
      NETWORKDAYS(J212,TODAY(),fESTIVOS!$A$2:$A$53),
      NETWORKDAYS(J212,L212,fESTIVOS!$A$2:$A$53)
   )
)
</f>
        <v>2</v>
      </c>
      <c r="N212" s="28"/>
      <c r="O212" s="98"/>
      <c r="P212" s="100">
        <v>45874.0</v>
      </c>
      <c r="Q212" s="34" t="s">
        <v>1111</v>
      </c>
      <c r="R212" s="31" t="s">
        <v>78</v>
      </c>
      <c r="S212" s="101"/>
      <c r="T212" s="101"/>
      <c r="U212" s="102"/>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row>
    <row r="213" ht="29.25" hidden="1" customHeight="1">
      <c r="A213" s="55" t="s">
        <v>128</v>
      </c>
      <c r="B213" s="17" t="s">
        <v>1112</v>
      </c>
      <c r="C213" s="107" t="s">
        <v>1113</v>
      </c>
      <c r="D213" s="95"/>
      <c r="E213" s="96"/>
      <c r="F213" s="122" t="s">
        <v>76</v>
      </c>
      <c r="G213" s="97">
        <v>100.0</v>
      </c>
      <c r="H213" s="22">
        <f>IF(OR(J213="",K213="",K213&lt;J213),0,NETWORKDAYS(J213,K213,fESTIVOS!$A$2:$A$53))
</f>
        <v>0</v>
      </c>
      <c r="I213" s="98">
        <v>45874.0</v>
      </c>
      <c r="J213" s="99">
        <v>45877.0</v>
      </c>
      <c r="K213" s="99"/>
      <c r="L213" s="99">
        <v>45877.0</v>
      </c>
      <c r="M213" s="27">
        <f>IF(OR(J213="",AND(L213="",TODAY()&lt;J213),AND(L213&lt;&gt;"",L213&lt;J213)),0,
   IF(L213="",
      NETWORKDAYS(J213,TODAY(),fESTIVOS!$A$2:$A$53),
      NETWORKDAYS(J213,L213,fESTIVOS!$A$2:$A$53)
   )
)
</f>
        <v>1</v>
      </c>
      <c r="N213" s="28"/>
      <c r="O213" s="98">
        <v>45877.0</v>
      </c>
      <c r="P213" s="100">
        <v>45891.0</v>
      </c>
      <c r="Q213" s="34" t="s">
        <v>1114</v>
      </c>
      <c r="R213" s="31" t="s">
        <v>78</v>
      </c>
      <c r="S213" s="101"/>
      <c r="T213" s="101"/>
      <c r="U213" s="196"/>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row>
    <row r="214" ht="29.25" hidden="1" customHeight="1">
      <c r="A214" s="55" t="s">
        <v>157</v>
      </c>
      <c r="B214" s="17" t="s">
        <v>1115</v>
      </c>
      <c r="C214" s="107" t="s">
        <v>1116</v>
      </c>
      <c r="D214" s="150"/>
      <c r="E214" s="96"/>
      <c r="F214" s="20" t="s">
        <v>76</v>
      </c>
      <c r="G214" s="97">
        <v>100.0</v>
      </c>
      <c r="H214" s="22">
        <f>IF(OR(J214="",K214="",K214&lt;J214),0,NETWORKDAYS(J214,K214,fESTIVOS!$A$2:$A$53))
</f>
        <v>0</v>
      </c>
      <c r="I214" s="98">
        <v>45874.0</v>
      </c>
      <c r="J214" s="99">
        <v>45875.0</v>
      </c>
      <c r="K214" s="99"/>
      <c r="L214" s="99">
        <v>45880.0</v>
      </c>
      <c r="M214" s="27">
        <f>IF(OR(J214="",AND(L214="",TODAY()&lt;J214),AND(L214&lt;&gt;"",L214&lt;J214)),0,
   IF(L214="",
      NETWORKDAYS(J214,TODAY(),fESTIVOS!$A$2:$A$53),
      NETWORKDAYS(J214,L214,fESTIVOS!$A$2:$A$53)
   )
)
</f>
        <v>3</v>
      </c>
      <c r="N214" s="28"/>
      <c r="O214" s="98"/>
      <c r="P214" s="100"/>
      <c r="Q214" s="34" t="s">
        <v>1117</v>
      </c>
      <c r="R214" s="31" t="s">
        <v>78</v>
      </c>
      <c r="S214" s="101"/>
      <c r="T214" s="101"/>
      <c r="U214" s="102"/>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row>
    <row r="215" ht="29.25" hidden="1" customHeight="1">
      <c r="A215" s="55" t="s">
        <v>157</v>
      </c>
      <c r="B215" s="17" t="s">
        <v>1118</v>
      </c>
      <c r="C215" s="107" t="s">
        <v>1119</v>
      </c>
      <c r="D215" s="95"/>
      <c r="E215" s="96"/>
      <c r="F215" s="122" t="s">
        <v>76</v>
      </c>
      <c r="G215" s="97">
        <v>100.0</v>
      </c>
      <c r="H215" s="22">
        <f>IF(OR(J215="",K215="",K215&lt;J215),0,NETWORKDAYS(J215,K215,fESTIVOS!$A$2:$A$53))
</f>
        <v>0</v>
      </c>
      <c r="I215" s="98">
        <v>45873.0</v>
      </c>
      <c r="J215" s="99">
        <v>45874.0</v>
      </c>
      <c r="K215" s="99"/>
      <c r="L215" s="99">
        <v>45874.0</v>
      </c>
      <c r="M215" s="27">
        <f>IF(OR(J215="",AND(L215="",TODAY()&lt;J215),AND(L215&lt;&gt;"",L215&lt;J215)),0,
   IF(L215="",
      NETWORKDAYS(J215,TODAY(),fESTIVOS!$A$2:$A$53),
      NETWORKDAYS(J215,L215,fESTIVOS!$A$2:$A$53)
   )
)
</f>
        <v>1</v>
      </c>
      <c r="N215" s="28"/>
      <c r="O215" s="98"/>
      <c r="P215" s="100"/>
      <c r="Q215" s="34" t="s">
        <v>1120</v>
      </c>
      <c r="R215" s="31" t="s">
        <v>78</v>
      </c>
      <c r="S215" s="101"/>
      <c r="T215" s="101"/>
      <c r="U215" s="102"/>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row>
    <row r="216" ht="29.25" hidden="1" customHeight="1">
      <c r="A216" s="92" t="s">
        <v>157</v>
      </c>
      <c r="B216" s="93" t="s">
        <v>1121</v>
      </c>
      <c r="C216" s="141" t="s">
        <v>1122</v>
      </c>
      <c r="D216" s="115" t="s">
        <v>1123</v>
      </c>
      <c r="E216" s="116"/>
      <c r="F216" s="117" t="s">
        <v>76</v>
      </c>
      <c r="G216" s="58">
        <v>100.0</v>
      </c>
      <c r="H216" s="22">
        <f>IF(OR(J216="",K216="",K216&lt;J216),0,NETWORKDAYS(J216,K216,fESTIVOS!$A$2:$A$53))
</f>
        <v>1</v>
      </c>
      <c r="I216" s="81">
        <v>46085.0</v>
      </c>
      <c r="J216" s="60">
        <v>46085.0</v>
      </c>
      <c r="K216" s="60">
        <v>46085.0</v>
      </c>
      <c r="L216" s="60">
        <v>46085.0</v>
      </c>
      <c r="M216" s="27">
        <f>IF(OR(J216="",AND(L216="",TODAY()&lt;J216),AND(L216&lt;&gt;"",L216&lt;J216)),0,
   IF(L216="",
      NETWORKDAYS(J216,TODAY(),fESTIVOS!$A$2:$A$53),
      NETWORKDAYS(J216,L216,fESTIVOS!$A$2:$A$53)
   )
)
</f>
        <v>1</v>
      </c>
      <c r="N216" s="28"/>
      <c r="O216" s="59"/>
      <c r="P216" s="69"/>
      <c r="Q216" s="197" t="s">
        <v>1124</v>
      </c>
      <c r="R216" s="113" t="s">
        <v>275</v>
      </c>
      <c r="S216" s="71"/>
      <c r="T216" s="71"/>
      <c r="U216" s="72"/>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66"/>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row>
    <row r="217" ht="29.25" hidden="1" customHeight="1">
      <c r="A217" s="92" t="s">
        <v>157</v>
      </c>
      <c r="B217" s="93" t="s">
        <v>1125</v>
      </c>
      <c r="C217" s="141" t="s">
        <v>1126</v>
      </c>
      <c r="D217" s="115" t="s">
        <v>1127</v>
      </c>
      <c r="E217" s="116"/>
      <c r="F217" s="117" t="s">
        <v>76</v>
      </c>
      <c r="G217" s="58">
        <v>100.0</v>
      </c>
      <c r="H217" s="22">
        <f>IF(OR(J217="",K217="",K217&lt;J217),0,NETWORKDAYS(J217,K217,fESTIVOS!$A$2:$A$53))
</f>
        <v>1</v>
      </c>
      <c r="I217" s="81">
        <v>46087.0</v>
      </c>
      <c r="J217" s="60">
        <v>46090.0</v>
      </c>
      <c r="K217" s="60">
        <v>46090.0</v>
      </c>
      <c r="L217" s="60">
        <v>46093.0</v>
      </c>
      <c r="M217" s="27">
        <f>IF(OR(J217="",AND(L217="",TODAY()&lt;J217),AND(L217&lt;&gt;"",L217&lt;J217)),0,
   IF(L217="",
      NETWORKDAYS(J217,TODAY(),fESTIVOS!$A$2:$A$53),
      NETWORKDAYS(J217,L217,fESTIVOS!$A$2:$A$53)
   )
)
</f>
        <v>4</v>
      </c>
      <c r="N217" s="28"/>
      <c r="O217" s="59"/>
      <c r="P217" s="69"/>
      <c r="Q217" s="62" t="s">
        <v>1128</v>
      </c>
      <c r="R217" s="113" t="s">
        <v>275</v>
      </c>
      <c r="S217" s="71"/>
      <c r="T217" s="71"/>
      <c r="U217" s="72"/>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66"/>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row>
    <row r="218" ht="29.25" hidden="1" customHeight="1">
      <c r="A218" s="92" t="s">
        <v>157</v>
      </c>
      <c r="B218" s="93" t="s">
        <v>1129</v>
      </c>
      <c r="C218" s="141" t="s">
        <v>1130</v>
      </c>
      <c r="D218" s="115" t="s">
        <v>1131</v>
      </c>
      <c r="E218" s="116"/>
      <c r="F218" s="117" t="s">
        <v>76</v>
      </c>
      <c r="G218" s="58">
        <v>100.0</v>
      </c>
      <c r="H218" s="22">
        <f>IF(OR(J218="",L218="",L218&lt;J218),0,NETWORKDAYS(J218,L218,fESTIVOS!$A$2:$A$53))
</f>
        <v>1</v>
      </c>
      <c r="I218" s="81">
        <v>46090.0</v>
      </c>
      <c r="J218" s="60">
        <v>46090.0</v>
      </c>
      <c r="K218" s="198"/>
      <c r="L218" s="60">
        <v>46090.0</v>
      </c>
      <c r="M218" s="27">
        <f>IF(OR(J218="",AND(L218="",TODAY()&lt;J218),AND(L218&lt;&gt;"",L218&lt;J218)),0,
   IF(L218="",
      NETWORKDAYS(J218,TODAY(),fESTIVOS!$A$2:$A$53),
      NETWORKDAYS(J218,L218,fESTIVOS!$A$2:$A$53)
   )
)
</f>
        <v>1</v>
      </c>
      <c r="N218" s="28"/>
      <c r="O218" s="81">
        <v>46090.0</v>
      </c>
      <c r="P218" s="61">
        <v>46090.0</v>
      </c>
      <c r="Q218" s="62" t="s">
        <v>1132</v>
      </c>
      <c r="R218" s="113" t="s">
        <v>275</v>
      </c>
      <c r="S218" s="71"/>
      <c r="T218" s="71"/>
      <c r="U218" s="72"/>
      <c r="V218" s="159" t="s">
        <v>1133</v>
      </c>
      <c r="W218" s="119"/>
      <c r="X218" s="119"/>
      <c r="Y218" s="119"/>
      <c r="Z218" s="119"/>
      <c r="AA218" s="119"/>
      <c r="AB218" s="119"/>
      <c r="AC218" s="119"/>
      <c r="AD218" s="119"/>
      <c r="AE218" s="119"/>
      <c r="AF218" s="119"/>
      <c r="AG218" s="119"/>
      <c r="AH218" s="119"/>
      <c r="AI218" s="119"/>
      <c r="AJ218" s="119"/>
      <c r="AK218" s="119"/>
      <c r="AL218" s="119"/>
      <c r="AM218" s="119"/>
      <c r="AN218" s="119"/>
      <c r="AO218" s="119"/>
      <c r="AP218" s="66"/>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row>
    <row r="219" ht="29.25" hidden="1" customHeight="1">
      <c r="A219" s="92" t="s">
        <v>157</v>
      </c>
      <c r="B219" s="93" t="s">
        <v>1134</v>
      </c>
      <c r="C219" s="141" t="s">
        <v>1135</v>
      </c>
      <c r="D219" s="115"/>
      <c r="E219" s="116"/>
      <c r="F219" s="117" t="s">
        <v>76</v>
      </c>
      <c r="G219" s="58">
        <v>100.0</v>
      </c>
      <c r="H219" s="22">
        <f>IF(OR(J219="",K219="",K219&lt;J219),0,NETWORKDAYS(J219,K219,fESTIVOS!$A$2:$A$53))
</f>
        <v>0</v>
      </c>
      <c r="I219" s="81">
        <v>46091.0</v>
      </c>
      <c r="J219" s="60">
        <v>46091.0</v>
      </c>
      <c r="K219" s="68"/>
      <c r="L219" s="60">
        <v>46093.0</v>
      </c>
      <c r="M219" s="27">
        <f>IF(OR(J219="",AND(L219="",TODAY()&lt;J219),AND(L219&lt;&gt;"",L219&lt;J219)),0,
   IF(L219="",
      NETWORKDAYS(J219,TODAY(),fESTIVOS!$A$2:$A$53),
      NETWORKDAYS(J219,L219,fESTIVOS!$A$2:$A$53)
   )
)
</f>
        <v>3</v>
      </c>
      <c r="N219" s="28"/>
      <c r="O219" s="59"/>
      <c r="P219" s="69"/>
      <c r="Q219" s="62" t="s">
        <v>1136</v>
      </c>
      <c r="R219" s="31" t="s">
        <v>78</v>
      </c>
      <c r="S219" s="71"/>
      <c r="T219" s="71"/>
      <c r="U219" s="72"/>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66"/>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row>
    <row r="220" ht="29.25" hidden="1" customHeight="1">
      <c r="A220" s="92" t="s">
        <v>157</v>
      </c>
      <c r="B220" s="93" t="s">
        <v>1137</v>
      </c>
      <c r="C220" s="141" t="s">
        <v>1138</v>
      </c>
      <c r="D220" s="115" t="s">
        <v>1139</v>
      </c>
      <c r="E220" s="116"/>
      <c r="F220" s="117" t="s">
        <v>76</v>
      </c>
      <c r="G220" s="58">
        <v>100.0</v>
      </c>
      <c r="H220" s="22">
        <f>IF(OR(J220="",K220="",K220&lt;J220),0,NETWORKDAYS(J220,K220,fESTIVOS!$A$2:$A$53))
</f>
        <v>0</v>
      </c>
      <c r="I220" s="81">
        <v>46094.0</v>
      </c>
      <c r="J220" s="60">
        <v>46094.0</v>
      </c>
      <c r="K220" s="199"/>
      <c r="L220" s="60">
        <v>46097.0</v>
      </c>
      <c r="M220" s="27">
        <f>IF(OR(J220="",AND(L220="",TODAY()&lt;J220),AND(L220&lt;&gt;"",L220&lt;J220)),0,
   IF(L220="",
      NETWORKDAYS(J220,TODAY(),fESTIVOS!$A$2:$A$53),
      NETWORKDAYS(J220,L220,fESTIVOS!$A$2:$A$53)
   )
)
</f>
        <v>2</v>
      </c>
      <c r="N220" s="28"/>
      <c r="O220" s="59"/>
      <c r="P220" s="69"/>
      <c r="Q220" s="62" t="s">
        <v>1140</v>
      </c>
      <c r="R220" s="31" t="s">
        <v>78</v>
      </c>
      <c r="S220" s="71"/>
      <c r="T220" s="71"/>
      <c r="U220" s="72"/>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66"/>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row>
    <row r="221" ht="29.25" hidden="1" customHeight="1">
      <c r="A221" s="92" t="s">
        <v>157</v>
      </c>
      <c r="B221" s="93" t="s">
        <v>1141</v>
      </c>
      <c r="C221" s="141" t="s">
        <v>1142</v>
      </c>
      <c r="D221" s="115" t="s">
        <v>1143</v>
      </c>
      <c r="E221" s="116"/>
      <c r="F221" s="117" t="s">
        <v>76</v>
      </c>
      <c r="G221" s="58">
        <v>100.0</v>
      </c>
      <c r="H221" s="22">
        <f>IF(OR(J221="",K221="",K221&lt;J221),0,NETWORKDAYS(J221,K221,fESTIVOS!$A$2:$A$53))
</f>
        <v>0</v>
      </c>
      <c r="I221" s="81">
        <v>46097.0</v>
      </c>
      <c r="J221" s="60">
        <v>46097.0</v>
      </c>
      <c r="K221" s="199"/>
      <c r="L221" s="60">
        <v>46097.0</v>
      </c>
      <c r="M221" s="27">
        <f>IF(OR(J221="",AND(L221="",TODAY()&lt;J221),AND(L221&lt;&gt;"",L221&lt;J221)),0,
   IF(L221="",
      NETWORKDAYS(J221,TODAY(),fESTIVOS!$A$2:$A$53),
      NETWORKDAYS(J221,L221,fESTIVOS!$A$2:$A$53)
   )
)
</f>
        <v>1</v>
      </c>
      <c r="N221" s="28"/>
      <c r="O221" s="59"/>
      <c r="P221" s="69"/>
      <c r="Q221" s="62" t="s">
        <v>1144</v>
      </c>
      <c r="R221" s="31" t="s">
        <v>78</v>
      </c>
      <c r="S221" s="71"/>
      <c r="T221" s="71"/>
      <c r="U221" s="72"/>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66"/>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row>
    <row r="222" ht="29.25" hidden="1" customHeight="1">
      <c r="A222" s="92" t="s">
        <v>157</v>
      </c>
      <c r="B222" s="93" t="s">
        <v>1145</v>
      </c>
      <c r="C222" s="141" t="s">
        <v>1146</v>
      </c>
      <c r="D222" s="115" t="s">
        <v>1147</v>
      </c>
      <c r="E222" s="116"/>
      <c r="F222" s="117" t="s">
        <v>76</v>
      </c>
      <c r="G222" s="58">
        <v>100.0</v>
      </c>
      <c r="H222" s="22">
        <f>IF(OR(J222="",K222="",K222&lt;J222),0,NETWORKDAYS(J222,K222,fESTIVOS!$A$2:$A$53))
</f>
        <v>0</v>
      </c>
      <c r="I222" s="81">
        <v>46132.0</v>
      </c>
      <c r="J222" s="60">
        <v>46133.0</v>
      </c>
      <c r="K222" s="199"/>
      <c r="L222" s="60">
        <v>46133.0</v>
      </c>
      <c r="M222" s="27">
        <f>IF(OR(J222="",AND(L222="",TODAY()&lt;J222),AND(L222&lt;&gt;"",L222&lt;J222)),0,
   IF(L222="",
      NETWORKDAYS(J222,TODAY(),fESTIVOS!$A$2:$A$53),
      NETWORKDAYS(J222,L222,fESTIVOS!$A$2:$A$53)
   )
)
</f>
        <v>1</v>
      </c>
      <c r="N222" s="28"/>
      <c r="O222" s="59"/>
      <c r="P222" s="61">
        <v>46133.0</v>
      </c>
      <c r="Q222" s="62" t="s">
        <v>1148</v>
      </c>
      <c r="R222" s="31" t="s">
        <v>78</v>
      </c>
      <c r="S222" s="71"/>
      <c r="T222" s="71"/>
      <c r="U222" s="72"/>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66"/>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row>
    <row r="223" ht="29.25" hidden="1" customHeight="1">
      <c r="A223" s="92" t="s">
        <v>157</v>
      </c>
      <c r="B223" s="93" t="s">
        <v>1149</v>
      </c>
      <c r="C223" s="141" t="s">
        <v>1150</v>
      </c>
      <c r="D223" s="200" t="s">
        <v>1151</v>
      </c>
      <c r="E223" s="96"/>
      <c r="F223" s="122" t="s">
        <v>76</v>
      </c>
      <c r="G223" s="97">
        <v>100.0</v>
      </c>
      <c r="H223" s="22">
        <f>IF(OR(J223="",K223="",K223&lt;J223),0,NETWORKDAYS(J223,K223,fESTIVOS!$A$2:$A$53))
</f>
        <v>0</v>
      </c>
      <c r="I223" s="98">
        <v>46153.0</v>
      </c>
      <c r="J223" s="99">
        <v>46153.0</v>
      </c>
      <c r="K223" s="182"/>
      <c r="L223" s="99"/>
      <c r="M223" s="27">
        <f>IF(OR(J223="",AND(L223="",TODAY()&lt;J223),AND(L223&lt;&gt;"",L223&lt;J223)),0,
   IF(L223="",
      NETWORKDAYS(J223,TODAY(),fESTIVOS!$A$2:$A$53),
      NETWORKDAYS(J223,L223,fESTIVOS!$A$2:$A$53)
   )
)
</f>
        <v>24</v>
      </c>
      <c r="N223" s="189"/>
      <c r="O223" s="98"/>
      <c r="P223" s="100"/>
      <c r="Q223" s="34" t="s">
        <v>1152</v>
      </c>
      <c r="R223" s="31" t="s">
        <v>78</v>
      </c>
      <c r="S223" s="165"/>
      <c r="T223" s="164"/>
      <c r="U223" s="162"/>
      <c r="V223" s="37"/>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row>
    <row r="224" ht="29.25" hidden="1" customHeight="1">
      <c r="A224" s="92" t="s">
        <v>157</v>
      </c>
      <c r="B224" s="110" t="s">
        <v>1153</v>
      </c>
      <c r="C224" s="141" t="s">
        <v>1154</v>
      </c>
      <c r="D224" s="200" t="s">
        <v>1155</v>
      </c>
      <c r="E224" s="96"/>
      <c r="F224" s="122" t="s">
        <v>229</v>
      </c>
      <c r="G224" s="97"/>
      <c r="H224" s="22">
        <f>IF(OR(J224="",K224="",K224&lt;J224),0,NETWORKDAYS(J224,K224,fESTIVOS!$A$2:$A$53))
</f>
        <v>0</v>
      </c>
      <c r="I224" s="98">
        <v>46185.0</v>
      </c>
      <c r="J224" s="99"/>
      <c r="K224" s="182"/>
      <c r="L224" s="99"/>
      <c r="M224" s="27">
        <f>IF(OR(J224="",AND(L224="",TODAY()&lt;J224),AND(L224&lt;&gt;"",L224&lt;J224)),0,
   IF(L224="",
      NETWORKDAYS(J224,TODAY(),fESTIVOS!$A$2:$A$53),
      NETWORKDAYS(J224,L224,fESTIVOS!$A$2:$A$53)
   )
)
</f>
        <v>0</v>
      </c>
      <c r="N224" s="189"/>
      <c r="O224" s="98"/>
      <c r="P224" s="100"/>
      <c r="Q224" s="34" t="s">
        <v>1156</v>
      </c>
      <c r="R224" s="31" t="s">
        <v>72</v>
      </c>
      <c r="S224" s="165"/>
      <c r="T224" s="164"/>
      <c r="U224" s="162"/>
      <c r="V224" s="37"/>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row>
    <row r="225" ht="29.25" hidden="1" customHeight="1">
      <c r="A225" s="92" t="s">
        <v>157</v>
      </c>
      <c r="B225" s="93" t="s">
        <v>1157</v>
      </c>
      <c r="C225" s="141" t="s">
        <v>1158</v>
      </c>
      <c r="D225" s="200" t="s">
        <v>1159</v>
      </c>
      <c r="E225" s="96"/>
      <c r="F225" s="122" t="s">
        <v>245</v>
      </c>
      <c r="G225" s="97">
        <v>50.0</v>
      </c>
      <c r="H225" s="22">
        <f>IF(OR(J225="",K225="",K225&lt;J225),0,NETWORKDAYS(J225,K225,fESTIVOS!$A$2:$A$53))
</f>
        <v>0</v>
      </c>
      <c r="I225" s="98">
        <v>46134.0</v>
      </c>
      <c r="J225" s="99">
        <v>46135.0</v>
      </c>
      <c r="K225" s="99"/>
      <c r="L225" s="99"/>
      <c r="M225" s="27">
        <f>IF(OR(J225="",AND(L225="",TODAY()&lt;J225),AND(L225&lt;&gt;"",L225&lt;J225)),0,
   IF(L225="",
      NETWORKDAYS(J225,TODAY(),fESTIVOS!$A$2:$A$53),
      NETWORKDAYS(J225,L225,fESTIVOS!$A$2:$A$53)
   )
)
</f>
        <v>35</v>
      </c>
      <c r="N225" s="189"/>
      <c r="O225" s="98"/>
      <c r="P225" s="100"/>
      <c r="Q225" s="34" t="s">
        <v>1160</v>
      </c>
      <c r="R225" s="31" t="s">
        <v>78</v>
      </c>
      <c r="S225" s="165"/>
      <c r="T225" s="164"/>
      <c r="U225" s="162"/>
      <c r="V225" s="37"/>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row>
    <row r="226" ht="29.25" hidden="1" customHeight="1">
      <c r="A226" s="92" t="s">
        <v>157</v>
      </c>
      <c r="B226" s="93" t="s">
        <v>1161</v>
      </c>
      <c r="C226" s="141" t="s">
        <v>1162</v>
      </c>
      <c r="D226" s="200" t="s">
        <v>1163</v>
      </c>
      <c r="E226" s="96"/>
      <c r="F226" s="122" t="s">
        <v>245</v>
      </c>
      <c r="G226" s="97">
        <v>20.0</v>
      </c>
      <c r="H226" s="22">
        <f>IF(OR(J226="",K226="",K226&lt;J226),0,NETWORKDAYS(J226,K226,fESTIVOS!$A$2:$A$53))
</f>
        <v>0</v>
      </c>
      <c r="I226" s="98">
        <v>46134.0</v>
      </c>
      <c r="J226" s="99">
        <v>46136.0</v>
      </c>
      <c r="K226" s="99"/>
      <c r="L226" s="99"/>
      <c r="M226" s="27">
        <f>IF(OR(J226="",AND(L226="",TODAY()&lt;J226),AND(L226&lt;&gt;"",L226&lt;J226)),0,
   IF(L226="",
      NETWORKDAYS(J226,TODAY(),fESTIVOS!$A$2:$A$53),
      NETWORKDAYS(J226,L226,fESTIVOS!$A$2:$A$53)
   )
)
</f>
        <v>34</v>
      </c>
      <c r="N226" s="189"/>
      <c r="O226" s="98"/>
      <c r="P226" s="100"/>
      <c r="Q226" s="34" t="s">
        <v>1164</v>
      </c>
      <c r="R226" s="31" t="s">
        <v>236</v>
      </c>
      <c r="S226" s="165"/>
      <c r="T226" s="164"/>
      <c r="U226" s="162"/>
      <c r="V226" s="37"/>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row>
    <row r="227" ht="29.25" hidden="1" customHeight="1">
      <c r="A227" s="92" t="s">
        <v>255</v>
      </c>
      <c r="B227" s="93" t="s">
        <v>1165</v>
      </c>
      <c r="C227" s="141" t="s">
        <v>1166</v>
      </c>
      <c r="D227" s="115"/>
      <c r="E227" s="116"/>
      <c r="F227" s="117" t="s">
        <v>686</v>
      </c>
      <c r="G227" s="58">
        <v>80.0</v>
      </c>
      <c r="H227" s="22">
        <f>IF(OR(J227="",K227="",K227&lt;J227),0,NETWORKDAYS(J227,K227,fESTIVOS!$A$2:$A$53))
</f>
        <v>0</v>
      </c>
      <c r="I227" s="81">
        <v>46139.0</v>
      </c>
      <c r="J227" s="60">
        <v>46139.0</v>
      </c>
      <c r="K227" s="201"/>
      <c r="L227" s="60">
        <v>46140.0</v>
      </c>
      <c r="M227" s="27">
        <f>IF(OR(J227="",AND(L227="",TODAY()&lt;J227),AND(L227&lt;&gt;"",L227&lt;J227)),0,
   IF(L227="",
      NETWORKDAYS(J227,TODAY(),fESTIVOS!$A$2:$A$53),
      NETWORKDAYS(J227,L227,fESTIVOS!$A$2:$A$53)
   )
)
</f>
        <v>2</v>
      </c>
      <c r="N227" s="189"/>
      <c r="O227" s="81">
        <v>46140.0</v>
      </c>
      <c r="P227" s="69"/>
      <c r="Q227" s="62" t="s">
        <v>1167</v>
      </c>
      <c r="R227" s="31" t="s">
        <v>275</v>
      </c>
      <c r="S227" s="168"/>
      <c r="T227" s="161"/>
      <c r="U227" s="16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66"/>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row>
    <row r="228" ht="29.25" hidden="1" customHeight="1">
      <c r="A228" s="92" t="s">
        <v>157</v>
      </c>
      <c r="B228" s="93" t="s">
        <v>1168</v>
      </c>
      <c r="C228" s="141" t="s">
        <v>1169</v>
      </c>
      <c r="D228" s="115" t="s">
        <v>1170</v>
      </c>
      <c r="E228" s="116"/>
      <c r="F228" s="117" t="s">
        <v>76</v>
      </c>
      <c r="G228" s="58">
        <v>100.0</v>
      </c>
      <c r="H228" s="22">
        <f>IF(OR(J228="",K228="",K228&lt;J228),0,NETWORKDAYS(J228,K228,fESTIVOS!$A$2:$A$53))
</f>
        <v>0</v>
      </c>
      <c r="I228" s="81">
        <v>46135.0</v>
      </c>
      <c r="J228" s="60"/>
      <c r="K228" s="199"/>
      <c r="L228" s="60">
        <v>46140.0</v>
      </c>
      <c r="M228" s="27">
        <f>IF(OR(J228="",AND(L228="",TODAY()&lt;J228),AND(L228&lt;&gt;"",L228&lt;J228)),0,
   IF(L228="",
      NETWORKDAYS(J228,TODAY(),fESTIVOS!$A$2:$A$53),
      NETWORKDAYS(J228,L228,fESTIVOS!$A$2:$A$53)
   )
)
</f>
        <v>0</v>
      </c>
      <c r="N228" s="28"/>
      <c r="O228" s="59"/>
      <c r="P228" s="69"/>
      <c r="Q228" s="62" t="s">
        <v>1171</v>
      </c>
      <c r="R228" s="31" t="s">
        <v>78</v>
      </c>
      <c r="S228" s="71"/>
      <c r="T228" s="71"/>
      <c r="U228" s="72"/>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66"/>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row>
    <row r="229" ht="29.25" hidden="1" customHeight="1">
      <c r="A229" s="92" t="s">
        <v>157</v>
      </c>
      <c r="B229" s="93" t="s">
        <v>1172</v>
      </c>
      <c r="C229" s="141" t="s">
        <v>1173</v>
      </c>
      <c r="D229" s="115"/>
      <c r="E229" s="116"/>
      <c r="F229" s="117" t="s">
        <v>1053</v>
      </c>
      <c r="G229" s="58">
        <v>90.0</v>
      </c>
      <c r="H229" s="22">
        <f>IF(OR(J229="",K229="",K229&lt;J229),0,NETWORKDAYS(J229,K229,fESTIVOS!$A$2:$A$53))
</f>
        <v>0</v>
      </c>
      <c r="I229" s="81">
        <v>46098.0</v>
      </c>
      <c r="J229" s="60">
        <v>46098.0</v>
      </c>
      <c r="K229" s="68"/>
      <c r="L229" s="60">
        <v>46135.0</v>
      </c>
      <c r="M229" s="27">
        <f>IF(OR(J229="",AND(L229="",TODAY()&lt;J229),AND(L229&lt;&gt;"",L229&lt;J229)),0,
   IF(L229="",
      NETWORKDAYS(J229,TODAY(),fESTIVOS!$A$2:$A$53),
      NETWORKDAYS(J229,L229,fESTIVOS!$A$2:$A$53)
   )
)
</f>
        <v>25</v>
      </c>
      <c r="N229" s="28"/>
      <c r="O229" s="59"/>
      <c r="P229" s="69"/>
      <c r="Q229" s="62" t="s">
        <v>1174</v>
      </c>
      <c r="R229" s="31" t="s">
        <v>78</v>
      </c>
      <c r="S229" s="71"/>
      <c r="T229" s="71"/>
      <c r="U229" s="72"/>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66"/>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row>
    <row r="230" ht="29.25" hidden="1" customHeight="1">
      <c r="A230" s="92" t="s">
        <v>157</v>
      </c>
      <c r="B230" s="93" t="s">
        <v>1175</v>
      </c>
      <c r="C230" s="141" t="s">
        <v>1176</v>
      </c>
      <c r="D230" s="115"/>
      <c r="E230" s="116"/>
      <c r="F230" s="117" t="s">
        <v>76</v>
      </c>
      <c r="G230" s="58">
        <v>100.0</v>
      </c>
      <c r="H230" s="22">
        <f>IF(OR(J230="",K230="",K230&lt;J230),0,NETWORKDAYS(J230,K230,fESTIVOS!$A$2:$A$53))
</f>
        <v>0</v>
      </c>
      <c r="I230" s="81">
        <v>46098.0</v>
      </c>
      <c r="J230" s="60">
        <v>46098.0</v>
      </c>
      <c r="K230" s="68"/>
      <c r="L230" s="60">
        <v>46107.0</v>
      </c>
      <c r="M230" s="27">
        <f>IF(OR(J230="",AND(L230="",TODAY()&lt;J230),AND(L230&lt;&gt;"",L230&lt;J230)),0,
   IF(L230="",
      NETWORKDAYS(J230,TODAY(),fESTIVOS!$A$2:$A$53),
      NETWORKDAYS(J230,L230,fESTIVOS!$A$2:$A$53)
   )
)
</f>
        <v>7</v>
      </c>
      <c r="N230" s="28"/>
      <c r="O230" s="59"/>
      <c r="P230" s="69"/>
      <c r="Q230" s="62" t="s">
        <v>1177</v>
      </c>
      <c r="R230" s="31" t="s">
        <v>78</v>
      </c>
      <c r="S230" s="71"/>
      <c r="T230" s="71"/>
      <c r="U230" s="72"/>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66"/>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row>
    <row r="231" ht="29.25" hidden="1" customHeight="1">
      <c r="A231" s="92" t="s">
        <v>157</v>
      </c>
      <c r="B231" s="93" t="s">
        <v>1178</v>
      </c>
      <c r="C231" s="141" t="s">
        <v>1179</v>
      </c>
      <c r="D231" s="111" t="s">
        <v>1180</v>
      </c>
      <c r="E231" s="96"/>
      <c r="F231" s="122" t="s">
        <v>76</v>
      </c>
      <c r="G231" s="97">
        <v>100.0</v>
      </c>
      <c r="H231" s="22">
        <f>IF(OR(J231="",K231="",K231&lt;J231),0,NETWORKDAYS(J231,K231,fESTIVOS!$A$2:$A$53))
</f>
        <v>0</v>
      </c>
      <c r="I231" s="98">
        <v>46106.0</v>
      </c>
      <c r="J231" s="99">
        <v>46111.0</v>
      </c>
      <c r="K231" s="99"/>
      <c r="L231" s="99">
        <v>46125.0</v>
      </c>
      <c r="M231" s="27">
        <f>IF(OR(J231="",AND(L231="",TODAY()&lt;J231),AND(L231&lt;&gt;"",L231&lt;J231)),0,
   IF(L231="",
      NETWORKDAYS(J231,TODAY(),fESTIVOS!$A$2:$A$53),
      NETWORKDAYS(J231,L231,fESTIVOS!$A$2:$A$53)
   )
)
</f>
        <v>9</v>
      </c>
      <c r="N231" s="189"/>
      <c r="O231" s="98">
        <v>46125.0</v>
      </c>
      <c r="P231" s="100">
        <v>46125.0</v>
      </c>
      <c r="Q231" s="34" t="s">
        <v>1181</v>
      </c>
      <c r="R231" s="31" t="s">
        <v>78</v>
      </c>
      <c r="S231" s="165"/>
      <c r="T231" s="164"/>
      <c r="U231" s="162"/>
      <c r="V231" s="37"/>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row>
    <row r="232" ht="29.25" hidden="1" customHeight="1">
      <c r="A232" s="92" t="s">
        <v>157</v>
      </c>
      <c r="B232" s="93" t="s">
        <v>1182</v>
      </c>
      <c r="C232" s="141" t="s">
        <v>1183</v>
      </c>
      <c r="D232" s="111" t="s">
        <v>1184</v>
      </c>
      <c r="E232" s="96"/>
      <c r="F232" s="122" t="s">
        <v>76</v>
      </c>
      <c r="G232" s="97">
        <v>100.0</v>
      </c>
      <c r="H232" s="22">
        <f>IF(OR(J232="",K232="",K232&lt;J232),0,NETWORKDAYS(J232,K232,fESTIVOS!$A$2:$A$53))
</f>
        <v>0</v>
      </c>
      <c r="I232" s="98">
        <v>46125.0</v>
      </c>
      <c r="J232" s="99">
        <v>46125.0</v>
      </c>
      <c r="K232" s="99"/>
      <c r="L232" s="99">
        <v>46127.0</v>
      </c>
      <c r="M232" s="27">
        <f>IF(OR(J232="",AND(L232="",TODAY()&lt;J232),AND(L232&lt;&gt;"",L232&lt;J232)),0,
   IF(L232="",
      NETWORKDAYS(J232,TODAY(),fESTIVOS!$A$2:$A$53),
      NETWORKDAYS(J232,L232,fESTIVOS!$A$2:$A$53)
   )
)
</f>
        <v>3</v>
      </c>
      <c r="N232" s="189"/>
      <c r="O232" s="98"/>
      <c r="P232" s="100"/>
      <c r="Q232" s="34" t="s">
        <v>1185</v>
      </c>
      <c r="R232" s="31" t="s">
        <v>78</v>
      </c>
      <c r="S232" s="165"/>
      <c r="T232" s="164"/>
      <c r="U232" s="162"/>
      <c r="V232" s="37"/>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row>
    <row r="233" ht="29.25" hidden="1" customHeight="1">
      <c r="A233" s="92" t="s">
        <v>157</v>
      </c>
      <c r="B233" s="93" t="s">
        <v>1186</v>
      </c>
      <c r="C233" s="94" t="s">
        <v>1187</v>
      </c>
      <c r="D233" s="111"/>
      <c r="E233" s="96"/>
      <c r="F233" s="122" t="s">
        <v>76</v>
      </c>
      <c r="G233" s="97">
        <v>100.0</v>
      </c>
      <c r="H233" s="22">
        <f>IF(OR(J233="",K233="",K233&lt;J233),0,NETWORKDAYS(J233,K233,fESTIVOS!$A$2:$A$53))
</f>
        <v>0</v>
      </c>
      <c r="I233" s="98">
        <v>46125.0</v>
      </c>
      <c r="J233" s="99">
        <v>46127.0</v>
      </c>
      <c r="K233" s="99"/>
      <c r="L233" s="99">
        <v>46128.0</v>
      </c>
      <c r="M233" s="27">
        <f>IF(OR(J233="",AND(L233="",TODAY()&lt;J233),AND(L233&lt;&gt;"",L233&lt;J233)),0,
   IF(L233="",
      NETWORKDAYS(J233,TODAY(),fESTIVOS!$A$2:$A$53),
      NETWORKDAYS(J233,L233,fESTIVOS!$A$2:$A$53)
   )
)
</f>
        <v>2</v>
      </c>
      <c r="N233" s="189"/>
      <c r="O233" s="98"/>
      <c r="P233" s="100">
        <v>46128.0</v>
      </c>
      <c r="Q233" s="34" t="s">
        <v>1188</v>
      </c>
      <c r="R233" s="31" t="s">
        <v>78</v>
      </c>
      <c r="S233" s="165"/>
      <c r="T233" s="164"/>
      <c r="U233" s="162"/>
      <c r="V233" s="37"/>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row>
    <row r="234" ht="29.25" hidden="1" customHeight="1">
      <c r="A234" s="92" t="s">
        <v>157</v>
      </c>
      <c r="B234" s="93" t="s">
        <v>1189</v>
      </c>
      <c r="C234" s="141" t="s">
        <v>1190</v>
      </c>
      <c r="D234" s="146" t="s">
        <v>1191</v>
      </c>
      <c r="E234" s="96"/>
      <c r="F234" s="122" t="s">
        <v>76</v>
      </c>
      <c r="G234" s="97">
        <v>100.0</v>
      </c>
      <c r="H234" s="22">
        <f>IF(OR(J234="",K234="",K234&lt;J234),0,NETWORKDAYS(J234,K234,fESTIVOS!$A$2:$A$53))
</f>
        <v>2</v>
      </c>
      <c r="I234" s="98">
        <v>46127.0</v>
      </c>
      <c r="J234" s="99">
        <v>46127.0</v>
      </c>
      <c r="K234" s="99">
        <v>46128.0</v>
      </c>
      <c r="L234" s="99">
        <v>46128.0</v>
      </c>
      <c r="M234" s="27">
        <f>IF(OR(J234="",AND(L234="",TODAY()&lt;J234),AND(L234&lt;&gt;"",L234&lt;J234)),0,
   IF(L234="",
      NETWORKDAYS(J234,TODAY(),fESTIVOS!$A$2:$A$53),
      NETWORKDAYS(J234,L234,fESTIVOS!$A$2:$A$53)
   )
)
</f>
        <v>2</v>
      </c>
      <c r="N234" s="189"/>
      <c r="O234" s="98">
        <v>46128.0</v>
      </c>
      <c r="P234" s="100"/>
      <c r="Q234" s="34" t="s">
        <v>1192</v>
      </c>
      <c r="R234" s="31" t="s">
        <v>78</v>
      </c>
      <c r="S234" s="165"/>
      <c r="T234" s="164"/>
      <c r="U234" s="162"/>
      <c r="V234" s="37"/>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row>
    <row r="235" ht="29.25" hidden="1" customHeight="1">
      <c r="A235" s="92" t="s">
        <v>157</v>
      </c>
      <c r="B235" s="93" t="s">
        <v>1193</v>
      </c>
      <c r="C235" s="141" t="s">
        <v>1194</v>
      </c>
      <c r="D235" s="200" t="s">
        <v>1195</v>
      </c>
      <c r="E235" s="96"/>
      <c r="F235" s="122" t="s">
        <v>76</v>
      </c>
      <c r="G235" s="97">
        <v>100.0</v>
      </c>
      <c r="H235" s="22">
        <f>IF(OR(J235="",K235="",K235&lt;J235),0,NETWORKDAYS(J235,K235,fESTIVOS!$A$2:$A$53))
</f>
        <v>0</v>
      </c>
      <c r="I235" s="98">
        <v>46133.0</v>
      </c>
      <c r="J235" s="99">
        <v>46133.0</v>
      </c>
      <c r="K235" s="99"/>
      <c r="L235" s="99">
        <v>46133.0</v>
      </c>
      <c r="M235" s="27">
        <f>IF(OR(J235="",AND(L235="",TODAY()&lt;J235),AND(L235&lt;&gt;"",L235&lt;J235)),0,
   IF(L235="",
      NETWORKDAYS(J235,TODAY(),fESTIVOS!$A$2:$A$53),
      NETWORKDAYS(J235,L235,fESTIVOS!$A$2:$A$53)
   )
)
</f>
        <v>1</v>
      </c>
      <c r="N235" s="189"/>
      <c r="O235" s="98">
        <v>46133.0</v>
      </c>
      <c r="P235" s="100">
        <v>46134.0</v>
      </c>
      <c r="Q235" s="34" t="s">
        <v>1196</v>
      </c>
      <c r="R235" s="31" t="s">
        <v>78</v>
      </c>
      <c r="S235" s="165"/>
      <c r="T235" s="164"/>
      <c r="U235" s="162"/>
      <c r="V235" s="37"/>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row>
    <row r="236" ht="29.25" hidden="1" customHeight="1">
      <c r="A236" s="92" t="s">
        <v>157</v>
      </c>
      <c r="B236" s="93" t="s">
        <v>1197</v>
      </c>
      <c r="C236" s="141" t="s">
        <v>1198</v>
      </c>
      <c r="D236" s="200" t="s">
        <v>1199</v>
      </c>
      <c r="E236" s="96"/>
      <c r="F236" s="122" t="s">
        <v>76</v>
      </c>
      <c r="G236" s="97">
        <v>100.0</v>
      </c>
      <c r="H236" s="22">
        <f>IF(OR(J236="",K236="",K236&lt;J236),0,NETWORKDAYS(J236,K236,fESTIVOS!$A$2:$A$53))
</f>
        <v>0</v>
      </c>
      <c r="I236" s="98">
        <v>46132.0</v>
      </c>
      <c r="J236" s="99">
        <v>46133.0</v>
      </c>
      <c r="K236" s="99"/>
      <c r="L236" s="99">
        <v>46133.0</v>
      </c>
      <c r="M236" s="27">
        <f>IF(OR(J236="",AND(L236="",TODAY()&lt;J236),AND(L236&lt;&gt;"",L236&lt;J236)),0,
   IF(L236="",
      NETWORKDAYS(J236,TODAY(),fESTIVOS!$A$2:$A$53),
      NETWORKDAYS(J236,L236,fESTIVOS!$A$2:$A$53)
   )
)
</f>
        <v>1</v>
      </c>
      <c r="N236" s="189"/>
      <c r="O236" s="98">
        <v>46133.0</v>
      </c>
      <c r="P236" s="100">
        <v>46133.0</v>
      </c>
      <c r="Q236" s="34" t="s">
        <v>1200</v>
      </c>
      <c r="R236" s="31" t="s">
        <v>78</v>
      </c>
      <c r="S236" s="165"/>
      <c r="T236" s="164"/>
      <c r="U236" s="162"/>
      <c r="V236" s="37"/>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row>
    <row r="237" ht="29.25" hidden="1" customHeight="1">
      <c r="A237" s="92" t="s">
        <v>157</v>
      </c>
      <c r="B237" s="93" t="s">
        <v>1201</v>
      </c>
      <c r="C237" s="141" t="s">
        <v>1202</v>
      </c>
      <c r="D237" s="200"/>
      <c r="E237" s="96"/>
      <c r="F237" s="122" t="s">
        <v>76</v>
      </c>
      <c r="G237" s="97">
        <v>100.0</v>
      </c>
      <c r="H237" s="22">
        <f>IF(OR(J237="",K237="",K237&lt;J237),0,NETWORKDAYS(J237,K237,fESTIVOS!$A$2:$A$53))
</f>
        <v>0</v>
      </c>
      <c r="I237" s="98">
        <v>46134.0</v>
      </c>
      <c r="J237" s="99">
        <v>46136.0</v>
      </c>
      <c r="K237" s="99"/>
      <c r="L237" s="99">
        <v>46136.0</v>
      </c>
      <c r="M237" s="27">
        <f>IF(OR(J237="",AND(L237="",TODAY()&lt;J237),AND(L237&lt;&gt;"",L237&lt;J237)),0,
   IF(L237="",
      NETWORKDAYS(J237,TODAY(),fESTIVOS!$A$2:$A$53),
      NETWORKDAYS(J237,L237,fESTIVOS!$A$2:$A$53)
   )
)
</f>
        <v>1</v>
      </c>
      <c r="N237" s="189"/>
      <c r="O237" s="98"/>
      <c r="P237" s="100"/>
      <c r="Q237" s="34" t="s">
        <v>1203</v>
      </c>
      <c r="R237" s="31" t="s">
        <v>78</v>
      </c>
      <c r="S237" s="165"/>
      <c r="T237" s="164"/>
      <c r="U237" s="162"/>
      <c r="V237" s="37"/>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row>
    <row r="238" ht="29.25" hidden="1" customHeight="1">
      <c r="A238" s="92" t="s">
        <v>255</v>
      </c>
      <c r="B238" s="93" t="s">
        <v>1204</v>
      </c>
      <c r="C238" s="141" t="s">
        <v>1205</v>
      </c>
      <c r="D238" s="111"/>
      <c r="E238" s="96"/>
      <c r="F238" s="122" t="s">
        <v>245</v>
      </c>
      <c r="G238" s="97">
        <v>80.0</v>
      </c>
      <c r="H238" s="22">
        <f>IF(OR(J238="",K238="",K238&lt;J238),0,NETWORKDAYS(J238,K238,fESTIVOS!$A$2:$A$53))
</f>
        <v>1</v>
      </c>
      <c r="I238" s="98">
        <v>46101.0</v>
      </c>
      <c r="J238" s="99">
        <v>46101.0</v>
      </c>
      <c r="K238" s="99">
        <v>46104.0</v>
      </c>
      <c r="L238" s="99">
        <v>46101.0</v>
      </c>
      <c r="M238" s="27">
        <f>IF(OR(J238="",AND(L238="",TODAY()&lt;J238),AND(L238&lt;&gt;"",L238&lt;J238)),0,
   IF(L238="",
      NETWORKDAYS(J238,TODAY(),fESTIVOS!$A$2:$A$53),
      NETWORKDAYS(J238,L238,fESTIVOS!$A$2:$A$53)
   )
)
</f>
        <v>1</v>
      </c>
      <c r="N238" s="105">
        <v>46122.0</v>
      </c>
      <c r="O238" s="98"/>
      <c r="P238" s="100"/>
      <c r="Q238" s="34" t="s">
        <v>1206</v>
      </c>
      <c r="R238" s="31" t="s">
        <v>275</v>
      </c>
      <c r="S238" s="165"/>
      <c r="T238" s="164"/>
      <c r="U238" s="162"/>
      <c r="V238" s="37"/>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row>
    <row r="239" ht="29.25" hidden="1" customHeight="1">
      <c r="A239" s="92" t="s">
        <v>255</v>
      </c>
      <c r="B239" s="93" t="s">
        <v>1207</v>
      </c>
      <c r="C239" s="141" t="s">
        <v>1208</v>
      </c>
      <c r="D239" s="111" t="s">
        <v>1209</v>
      </c>
      <c r="E239" s="96"/>
      <c r="F239" s="122" t="s">
        <v>76</v>
      </c>
      <c r="G239" s="97">
        <v>100.0</v>
      </c>
      <c r="H239" s="22">
        <f>IF(OR(J239="",K239="",K239&lt;J239),0,NETWORKDAYS(J239,K239,fESTIVOS!$A$2:$A$53))
</f>
        <v>0</v>
      </c>
      <c r="I239" s="98">
        <v>46139.0</v>
      </c>
      <c r="J239" s="99">
        <v>46139.0</v>
      </c>
      <c r="K239" s="182"/>
      <c r="L239" s="99">
        <v>46139.0</v>
      </c>
      <c r="M239" s="27">
        <f>IF(OR(J239="",AND(L239="",TODAY()&lt;J239),AND(L239&lt;&gt;"",L239&lt;J239)),0,
   IF(L239="",
      NETWORKDAYS(J239,TODAY(),fESTIVOS!$A$2:$A$53),
      NETWORKDAYS(J239,L239,fESTIVOS!$A$2:$A$53)
   )
)
</f>
        <v>1</v>
      </c>
      <c r="N239" s="189"/>
      <c r="O239" s="98">
        <v>46139.0</v>
      </c>
      <c r="P239" s="100"/>
      <c r="Q239" s="34" t="s">
        <v>1210</v>
      </c>
      <c r="R239" s="31" t="s">
        <v>275</v>
      </c>
      <c r="S239" s="165"/>
      <c r="T239" s="164"/>
      <c r="U239" s="162"/>
      <c r="V239" s="37"/>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row>
    <row r="240" ht="29.25" hidden="1" customHeight="1">
      <c r="A240" s="92" t="s">
        <v>255</v>
      </c>
      <c r="B240" s="93" t="s">
        <v>1211</v>
      </c>
      <c r="C240" s="141" t="s">
        <v>1212</v>
      </c>
      <c r="D240" s="115" t="s">
        <v>1213</v>
      </c>
      <c r="E240" s="116"/>
      <c r="F240" s="117" t="s">
        <v>76</v>
      </c>
      <c r="G240" s="58">
        <v>100.0</v>
      </c>
      <c r="H240" s="22">
        <f>IF(OR(J240="",K240="",K240&lt;J240),0,NETWORKDAYS(J240,K240,fESTIVOS!$A$2:$A$53))
</f>
        <v>0</v>
      </c>
      <c r="I240" s="81">
        <v>46129.0</v>
      </c>
      <c r="J240" s="60">
        <v>46129.0</v>
      </c>
      <c r="K240" s="201"/>
      <c r="L240" s="60">
        <v>46129.0</v>
      </c>
      <c r="M240" s="27">
        <f>IF(OR(J240="",AND(L240="",TODAY()&lt;J240),AND(L240&lt;&gt;"",L240&lt;J240)),0,
   IF(L240="",
      NETWORKDAYS(J240,TODAY(),fESTIVOS!$A$2:$A$53),
      NETWORKDAYS(J240,L240,fESTIVOS!$A$2:$A$53)
   )
)
</f>
        <v>1</v>
      </c>
      <c r="N240" s="189"/>
      <c r="O240" s="81"/>
      <c r="P240" s="61">
        <v>46129.0</v>
      </c>
      <c r="Q240" s="62" t="s">
        <v>1214</v>
      </c>
      <c r="R240" s="31" t="s">
        <v>275</v>
      </c>
      <c r="S240" s="168"/>
      <c r="T240" s="161"/>
      <c r="U240" s="16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66"/>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row>
    <row r="241" ht="29.25" hidden="1" customHeight="1">
      <c r="A241" s="92" t="s">
        <v>157</v>
      </c>
      <c r="B241" s="93" t="s">
        <v>1215</v>
      </c>
      <c r="C241" s="141" t="s">
        <v>1216</v>
      </c>
      <c r="D241" s="115" t="s">
        <v>1217</v>
      </c>
      <c r="E241" s="116"/>
      <c r="F241" s="117" t="s">
        <v>70</v>
      </c>
      <c r="G241" s="58">
        <v>80.0</v>
      </c>
      <c r="H241" s="22">
        <f>IF(OR(J241="",K241="",K241&lt;J241),0,NETWORKDAYS(J241,K241,fESTIVOS!$A$2:$A$53))
</f>
        <v>2</v>
      </c>
      <c r="I241" s="81">
        <v>46090.0</v>
      </c>
      <c r="J241" s="60">
        <v>46112.0</v>
      </c>
      <c r="K241" s="201">
        <v>46113.0</v>
      </c>
      <c r="L241" s="68"/>
      <c r="M241" s="27">
        <f>IF(OR(J241="",AND(L241="",TODAY()&lt;J241),AND(L241&lt;&gt;"",L241&lt;J241)),0,
   IF(L241="",
      NETWORKDAYS(J241,TODAY(),fESTIVOS!$A$2:$A$53),
      NETWORKDAYS(J241,L241,fESTIVOS!$A$2:$A$53)
   )
)
</f>
        <v>50</v>
      </c>
      <c r="N241" s="105">
        <v>46122.0</v>
      </c>
      <c r="O241" s="81">
        <v>46125.0</v>
      </c>
      <c r="P241" s="69"/>
      <c r="Q241" s="62" t="s">
        <v>1218</v>
      </c>
      <c r="R241" s="113" t="s">
        <v>275</v>
      </c>
      <c r="S241" s="71"/>
      <c r="T241" s="58" t="s">
        <v>1219</v>
      </c>
      <c r="U241" s="72"/>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66"/>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row>
    <row r="242" ht="29.25" hidden="1" customHeight="1">
      <c r="A242" s="92" t="s">
        <v>157</v>
      </c>
      <c r="B242" s="93" t="s">
        <v>1220</v>
      </c>
      <c r="C242" s="141" t="s">
        <v>1221</v>
      </c>
      <c r="D242" s="115" t="s">
        <v>1222</v>
      </c>
      <c r="E242" s="116"/>
      <c r="F242" s="117" t="s">
        <v>76</v>
      </c>
      <c r="G242" s="58">
        <v>100.0</v>
      </c>
      <c r="H242" s="22">
        <f>IF(OR(J242="",K242="",K242&lt;J242),0,NETWORKDAYS(J242,K242,fESTIVOS!$A$2:$A$53))
</f>
        <v>0</v>
      </c>
      <c r="I242" s="81">
        <v>46100.0</v>
      </c>
      <c r="J242" s="60">
        <v>46101.0</v>
      </c>
      <c r="K242" s="199"/>
      <c r="L242" s="60">
        <v>46105.0</v>
      </c>
      <c r="M242" s="27">
        <f>IF(OR(J242="",AND(L242="",TODAY()&lt;J242),AND(L242&lt;&gt;"",L242&lt;J242)),0,
   IF(L242="",
      NETWORKDAYS(J242,TODAY(),fESTIVOS!$A$2:$A$53),
      NETWORKDAYS(J242,L242,fESTIVOS!$A$2:$A$53)
   )
)
</f>
        <v>2</v>
      </c>
      <c r="N242" s="28"/>
      <c r="O242" s="59"/>
      <c r="P242" s="69"/>
      <c r="Q242" s="62" t="s">
        <v>1223</v>
      </c>
      <c r="R242" s="113" t="s">
        <v>1224</v>
      </c>
      <c r="S242" s="71"/>
      <c r="T242" s="71"/>
      <c r="U242" s="72"/>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66"/>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row>
    <row r="243" ht="29.25" hidden="1" customHeight="1">
      <c r="A243" s="55" t="s">
        <v>157</v>
      </c>
      <c r="B243" s="17" t="s">
        <v>1225</v>
      </c>
      <c r="C243" s="141" t="s">
        <v>1226</v>
      </c>
      <c r="D243" s="173"/>
      <c r="E243" s="116"/>
      <c r="F243" s="117" t="s">
        <v>229</v>
      </c>
      <c r="G243" s="58"/>
      <c r="H243" s="22">
        <f>IF(OR(J243="",K243="",K243&lt;J243),0,NETWORKDAYS(J243,K243,fESTIVOS!$A$2:$A$53))
</f>
        <v>0</v>
      </c>
      <c r="I243" s="59">
        <v>45712.0</v>
      </c>
      <c r="J243" s="68"/>
      <c r="K243" s="68"/>
      <c r="L243" s="68"/>
      <c r="M243" s="27">
        <f>IF(OR(J243="",AND(L243="",TODAY()&lt;J243),AND(L243&lt;&gt;"",L243&lt;J243)),0,
   IF(L243="",
      NETWORKDAYS(J243,TODAY(),fESTIVOS!$A$2:$A$53),
      NETWORKDAYS(J243,L243,fESTIVOS!$A$2:$A$53)
   )
)
</f>
        <v>0</v>
      </c>
      <c r="N243" s="28"/>
      <c r="O243" s="59"/>
      <c r="P243" s="69"/>
      <c r="Q243" s="178" t="s">
        <v>1227</v>
      </c>
      <c r="R243" s="113" t="s">
        <v>93</v>
      </c>
      <c r="S243" s="71"/>
      <c r="T243" s="71"/>
      <c r="U243" s="72"/>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66" t="s">
        <v>1228</v>
      </c>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row>
    <row r="244" ht="29.25" hidden="1" customHeight="1">
      <c r="A244" s="55" t="s">
        <v>157</v>
      </c>
      <c r="B244" s="17" t="s">
        <v>1229</v>
      </c>
      <c r="C244" s="107" t="s">
        <v>1230</v>
      </c>
      <c r="D244" s="95"/>
      <c r="E244" s="96"/>
      <c r="F244" s="122" t="s">
        <v>76</v>
      </c>
      <c r="G244" s="97">
        <v>100.0</v>
      </c>
      <c r="H244" s="22">
        <f>IF(OR(J244="",K244="",K244&lt;J244),0,NETWORKDAYS(J244,K244,fESTIVOS!$A$2:$A$53))
</f>
        <v>0</v>
      </c>
      <c r="I244" s="98">
        <v>45877.0</v>
      </c>
      <c r="J244" s="99">
        <v>45877.0</v>
      </c>
      <c r="K244" s="99"/>
      <c r="L244" s="99">
        <v>45877.0</v>
      </c>
      <c r="M244" s="27">
        <f>IF(OR(J244="",AND(L244="",TODAY()&lt;J244),AND(L244&lt;&gt;"",L244&lt;J244)),0,
   IF(L244="",
      NETWORKDAYS(J244,TODAY(),fESTIVOS!$A$2:$A$53),
      NETWORKDAYS(J244,L244,fESTIVOS!$A$2:$A$53)
   )
)
</f>
        <v>1</v>
      </c>
      <c r="N244" s="28"/>
      <c r="O244" s="98"/>
      <c r="P244" s="100"/>
      <c r="Q244" s="34" t="s">
        <v>1231</v>
      </c>
      <c r="R244" s="31" t="s">
        <v>78</v>
      </c>
      <c r="S244" s="101"/>
      <c r="T244" s="101"/>
      <c r="U244" s="102"/>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row>
    <row r="245" ht="29.25" hidden="1" customHeight="1">
      <c r="A245" s="55" t="s">
        <v>157</v>
      </c>
      <c r="B245" s="17" t="s">
        <v>1232</v>
      </c>
      <c r="C245" s="107" t="s">
        <v>1233</v>
      </c>
      <c r="D245" s="95"/>
      <c r="E245" s="96"/>
      <c r="F245" s="122" t="s">
        <v>76</v>
      </c>
      <c r="G245" s="97">
        <v>100.0</v>
      </c>
      <c r="H245" s="22">
        <f>IF(OR(J245="",K245="",K245&lt;J245),0,NETWORKDAYS(J245,K245,fESTIVOS!$A$2:$A$53))
</f>
        <v>0</v>
      </c>
      <c r="I245" s="98">
        <v>45867.0</v>
      </c>
      <c r="J245" s="99">
        <v>45877.0</v>
      </c>
      <c r="K245" s="99"/>
      <c r="L245" s="99">
        <v>45877.0</v>
      </c>
      <c r="M245" s="27">
        <f>IF(OR(J245="",AND(L245="",TODAY()&lt;J245),AND(L245&lt;&gt;"",L245&lt;J245)),0,
   IF(L245="",
      NETWORKDAYS(J245,TODAY(),fESTIVOS!$A$2:$A$53),
      NETWORKDAYS(J245,L245,fESTIVOS!$A$2:$A$53)
   )
)
</f>
        <v>1</v>
      </c>
      <c r="N245" s="28"/>
      <c r="O245" s="98"/>
      <c r="P245" s="100"/>
      <c r="Q245" s="34" t="s">
        <v>1234</v>
      </c>
      <c r="R245" s="31" t="s">
        <v>78</v>
      </c>
      <c r="S245" s="101"/>
      <c r="T245" s="101"/>
      <c r="U245" s="102"/>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row>
    <row r="246" ht="29.25" hidden="1" customHeight="1">
      <c r="A246" s="55" t="s">
        <v>157</v>
      </c>
      <c r="B246" s="17" t="s">
        <v>1235</v>
      </c>
      <c r="C246" s="107" t="s">
        <v>1236</v>
      </c>
      <c r="D246" s="150"/>
      <c r="E246" s="96"/>
      <c r="F246" s="122" t="s">
        <v>76</v>
      </c>
      <c r="G246" s="97">
        <v>100.0</v>
      </c>
      <c r="H246" s="22">
        <f>IF(OR(J246="",K246="",K246&lt;J246),0,NETWORKDAYS(J246,K246,fESTIVOS!$A$2:$A$53))
</f>
        <v>0</v>
      </c>
      <c r="I246" s="98">
        <v>45877.0</v>
      </c>
      <c r="J246" s="99">
        <v>45877.0</v>
      </c>
      <c r="K246" s="99"/>
      <c r="L246" s="99">
        <v>45880.0</v>
      </c>
      <c r="M246" s="27">
        <f>IF(OR(J246="",AND(L246="",TODAY()&lt;J246),AND(L246&lt;&gt;"",L246&lt;J246)),0,
   IF(L246="",
      NETWORKDAYS(J246,TODAY(),fESTIVOS!$A$2:$A$53),
      NETWORKDAYS(J246,L246,fESTIVOS!$A$2:$A$53)
   )
)
</f>
        <v>2</v>
      </c>
      <c r="N246" s="28"/>
      <c r="O246" s="98"/>
      <c r="P246" s="100"/>
      <c r="Q246" s="34" t="s">
        <v>1237</v>
      </c>
      <c r="R246" s="31" t="s">
        <v>78</v>
      </c>
      <c r="S246" s="101"/>
      <c r="T246" s="101"/>
      <c r="U246" s="102"/>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row>
    <row r="247" ht="29.25" hidden="1" customHeight="1">
      <c r="A247" s="55" t="s">
        <v>157</v>
      </c>
      <c r="B247" s="17" t="s">
        <v>1238</v>
      </c>
      <c r="C247" s="107" t="s">
        <v>1239</v>
      </c>
      <c r="D247" s="150"/>
      <c r="E247" s="96"/>
      <c r="F247" s="20" t="s">
        <v>76</v>
      </c>
      <c r="G247" s="97">
        <v>100.0</v>
      </c>
      <c r="H247" s="22">
        <f>IF(OR(J247="",K247="",K247&lt;J247),0,NETWORKDAYS(J247,K247,fESTIVOS!$A$2:$A$53))
</f>
        <v>0</v>
      </c>
      <c r="I247" s="98">
        <v>45881.0</v>
      </c>
      <c r="J247" s="99">
        <v>45882.0</v>
      </c>
      <c r="K247" s="99"/>
      <c r="L247" s="99">
        <v>45883.0</v>
      </c>
      <c r="M247" s="27">
        <f>IF(OR(J247="",AND(L247="",TODAY()&lt;J247),AND(L247&lt;&gt;"",L247&lt;J247)),0,
   IF(L247="",
      NETWORKDAYS(J247,TODAY(),fESTIVOS!$A$2:$A$53),
      NETWORKDAYS(J247,L247,fESTIVOS!$A$2:$A$53)
   )
)
</f>
        <v>2</v>
      </c>
      <c r="N247" s="28"/>
      <c r="O247" s="98"/>
      <c r="P247" s="100">
        <v>45891.0</v>
      </c>
      <c r="Q247" s="34" t="s">
        <v>1240</v>
      </c>
      <c r="R247" s="31" t="s">
        <v>78</v>
      </c>
      <c r="S247" s="101"/>
      <c r="T247" s="101"/>
      <c r="U247" s="102"/>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row>
    <row r="248" ht="29.25" hidden="1" customHeight="1">
      <c r="A248" s="16" t="s">
        <v>67</v>
      </c>
      <c r="B248" s="17" t="s">
        <v>1241</v>
      </c>
      <c r="C248" s="107" t="s">
        <v>1242</v>
      </c>
      <c r="D248" s="95"/>
      <c r="E248" s="96"/>
      <c r="F248" s="122" t="s">
        <v>76</v>
      </c>
      <c r="G248" s="97">
        <v>100.0</v>
      </c>
      <c r="H248" s="22">
        <f>IF(OR(J248="",K248="",K248&lt;J248),0,NETWORKDAYS(J248,K248,fESTIVOS!$A$2:$A$53))
</f>
        <v>0</v>
      </c>
      <c r="I248" s="98">
        <v>45881.0</v>
      </c>
      <c r="J248" s="99">
        <v>45881.0</v>
      </c>
      <c r="K248" s="99"/>
      <c r="L248" s="99">
        <v>45882.0</v>
      </c>
      <c r="M248" s="27">
        <f>IF(OR(J248="",AND(L248="",TODAY()&lt;J248),AND(L248&lt;&gt;"",L248&lt;J248)),0,
   IF(L248="",
      NETWORKDAYS(J248,TODAY(),fESTIVOS!$A$2:$A$53),
      NETWORKDAYS(J248,L248,fESTIVOS!$A$2:$A$53)
   )
)
</f>
        <v>2</v>
      </c>
      <c r="N248" s="28"/>
      <c r="O248" s="98"/>
      <c r="P248" s="100"/>
      <c r="Q248" s="34" t="s">
        <v>1243</v>
      </c>
      <c r="R248" s="31" t="s">
        <v>78</v>
      </c>
      <c r="S248" s="101"/>
      <c r="T248" s="101"/>
      <c r="U248" s="102"/>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row>
    <row r="249" ht="29.25" hidden="1" customHeight="1">
      <c r="A249" s="55" t="s">
        <v>157</v>
      </c>
      <c r="B249" s="17" t="s">
        <v>1244</v>
      </c>
      <c r="C249" s="107" t="s">
        <v>1245</v>
      </c>
      <c r="D249" s="150"/>
      <c r="E249" s="96"/>
      <c r="F249" s="122" t="s">
        <v>76</v>
      </c>
      <c r="G249" s="97">
        <v>100.0</v>
      </c>
      <c r="H249" s="22">
        <f>IF(OR(J249="",K249="",K249&lt;J249),0,NETWORKDAYS(J249,K249,fESTIVOS!$A$2:$A$53))
</f>
        <v>0</v>
      </c>
      <c r="I249" s="98">
        <v>45882.0</v>
      </c>
      <c r="J249" s="99">
        <v>45883.0</v>
      </c>
      <c r="K249" s="99"/>
      <c r="L249" s="99">
        <v>45883.0</v>
      </c>
      <c r="M249" s="27">
        <f>IF(OR(J249="",AND(L249="",TODAY()&lt;J249),AND(L249&lt;&gt;"",L249&lt;J249)),0,
   IF(L249="",
      NETWORKDAYS(J249,TODAY(),fESTIVOS!$A$2:$A$53),
      NETWORKDAYS(J249,L249,fESTIVOS!$A$2:$A$53)
   )
)
</f>
        <v>1</v>
      </c>
      <c r="N249" s="28"/>
      <c r="O249" s="98"/>
      <c r="P249" s="100"/>
      <c r="Q249" s="34" t="s">
        <v>1246</v>
      </c>
      <c r="R249" s="31" t="s">
        <v>78</v>
      </c>
      <c r="S249" s="101"/>
      <c r="T249" s="101"/>
      <c r="U249" s="102"/>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row>
    <row r="250" ht="29.25" hidden="1" customHeight="1">
      <c r="A250" s="55" t="s">
        <v>157</v>
      </c>
      <c r="B250" s="17" t="s">
        <v>1247</v>
      </c>
      <c r="C250" s="107" t="s">
        <v>1248</v>
      </c>
      <c r="D250" s="150"/>
      <c r="E250" s="96"/>
      <c r="F250" s="122" t="s">
        <v>76</v>
      </c>
      <c r="G250" s="97">
        <v>100.0</v>
      </c>
      <c r="H250" s="22">
        <f>IF(OR(J250="",K250="",K250&lt;J250),0,NETWORKDAYS(J250,K250,fESTIVOS!$A$2:$A$53))
</f>
        <v>0</v>
      </c>
      <c r="I250" s="98">
        <v>45883.0</v>
      </c>
      <c r="J250" s="99">
        <v>45883.0</v>
      </c>
      <c r="K250" s="99"/>
      <c r="L250" s="99">
        <v>45884.0</v>
      </c>
      <c r="M250" s="27">
        <f>IF(OR(J250="",AND(L250="",TODAY()&lt;J250),AND(L250&lt;&gt;"",L250&lt;J250)),0,
   IF(L250="",
      NETWORKDAYS(J250,TODAY(),fESTIVOS!$A$2:$A$53),
      NETWORKDAYS(J250,L250,fESTIVOS!$A$2:$A$53)
   )
)
</f>
        <v>2</v>
      </c>
      <c r="N250" s="28"/>
      <c r="O250" s="98">
        <v>45884.0</v>
      </c>
      <c r="P250" s="100"/>
      <c r="Q250" s="34" t="s">
        <v>1249</v>
      </c>
      <c r="R250" s="31" t="s">
        <v>78</v>
      </c>
      <c r="S250" s="101"/>
      <c r="T250" s="101"/>
      <c r="U250" s="102"/>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row>
    <row r="251" ht="29.25" hidden="1" customHeight="1">
      <c r="A251" s="55" t="s">
        <v>157</v>
      </c>
      <c r="B251" s="17" t="s">
        <v>1250</v>
      </c>
      <c r="C251" s="142" t="s">
        <v>1251</v>
      </c>
      <c r="D251" s="76"/>
      <c r="E251" s="124"/>
      <c r="F251" s="20" t="s">
        <v>76</v>
      </c>
      <c r="G251" s="58">
        <v>100.0</v>
      </c>
      <c r="H251" s="22">
        <f>IF(OR(J251="",K251="",K251&lt;J251),0,NETWORKDAYS(J251,K251,fESTIVOS!$A$2:$A$53))
</f>
        <v>2</v>
      </c>
      <c r="I251" s="81">
        <v>45786.0</v>
      </c>
      <c r="J251" s="60">
        <v>45792.0</v>
      </c>
      <c r="K251" s="60">
        <v>45793.0</v>
      </c>
      <c r="L251" s="60"/>
      <c r="M251" s="27">
        <f>IF(OR(J251="",AND(L251="",TODAY()&lt;J251),AND(L251&lt;&gt;"",L251&lt;J251)),0,
   IF(L251="",
      NETWORKDAYS(J251,TODAY(),fESTIVOS!$A$2:$A$53),
      NETWORKDAYS(J251,L251,fESTIVOS!$A$2:$A$53)
   )
)
</f>
        <v>265</v>
      </c>
      <c r="N251" s="28"/>
      <c r="O251" s="81">
        <v>45793.0</v>
      </c>
      <c r="P251" s="100"/>
      <c r="Q251" s="34" t="s">
        <v>1252</v>
      </c>
      <c r="R251" s="31" t="s">
        <v>93</v>
      </c>
      <c r="S251" s="139"/>
      <c r="T251" s="139"/>
      <c r="U251" s="102"/>
      <c r="V251" s="104"/>
      <c r="W251" s="104"/>
      <c r="X251" s="104"/>
      <c r="Y251" s="104"/>
      <c r="Z251" s="104"/>
      <c r="AA251" s="104"/>
      <c r="AB251" s="104"/>
      <c r="AC251" s="104"/>
      <c r="AD251" s="37" t="s">
        <v>1253</v>
      </c>
      <c r="AE251" s="37" t="s">
        <v>1254</v>
      </c>
      <c r="AF251" s="36"/>
      <c r="AG251" s="37" t="s">
        <v>1255</v>
      </c>
      <c r="AH251" s="37" t="s">
        <v>1256</v>
      </c>
      <c r="AI251" s="37" t="s">
        <v>1257</v>
      </c>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row>
    <row r="252" ht="29.25" hidden="1" customHeight="1">
      <c r="A252" s="55" t="s">
        <v>157</v>
      </c>
      <c r="B252" s="17" t="s">
        <v>1258</v>
      </c>
      <c r="C252" s="107" t="s">
        <v>1259</v>
      </c>
      <c r="D252" s="95"/>
      <c r="E252" s="96"/>
      <c r="F252" s="20" t="s">
        <v>76</v>
      </c>
      <c r="G252" s="97">
        <v>100.0</v>
      </c>
      <c r="H252" s="22">
        <f>IF(OR(J252="",K252="",K252&lt;J252),0,NETWORKDAYS(J252,K252,fESTIVOS!$A$2:$A$53))
</f>
        <v>5</v>
      </c>
      <c r="I252" s="98">
        <v>45884.0</v>
      </c>
      <c r="J252" s="99">
        <v>45884.0</v>
      </c>
      <c r="K252" s="99">
        <v>45891.0</v>
      </c>
      <c r="L252" s="99">
        <v>45897.0</v>
      </c>
      <c r="M252" s="27">
        <f>IF(OR(J252="",AND(L252="",TODAY()&lt;J252),AND(L252&lt;&gt;"",L252&lt;J252)),0,
   IF(L252="",
      NETWORKDAYS(J252,TODAY(),fESTIVOS!$A$2:$A$53),
      NETWORKDAYS(J252,L252,fESTIVOS!$A$2:$A$53)
   )
)
</f>
        <v>9</v>
      </c>
      <c r="N252" s="28"/>
      <c r="O252" s="98">
        <v>45928.0</v>
      </c>
      <c r="P252" s="100"/>
      <c r="Q252" s="34" t="s">
        <v>1260</v>
      </c>
      <c r="R252" s="31" t="s">
        <v>78</v>
      </c>
      <c r="S252" s="97"/>
      <c r="T252" s="97" t="s">
        <v>1261</v>
      </c>
      <c r="U252" s="122" t="s">
        <v>1262</v>
      </c>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row>
    <row r="253" ht="29.25" hidden="1" customHeight="1">
      <c r="A253" s="55" t="s">
        <v>128</v>
      </c>
      <c r="B253" s="93" t="s">
        <v>1263</v>
      </c>
      <c r="C253" s="107" t="s">
        <v>1264</v>
      </c>
      <c r="D253" s="95"/>
      <c r="E253" s="96"/>
      <c r="F253" s="122" t="s">
        <v>76</v>
      </c>
      <c r="G253" s="97">
        <v>100.0</v>
      </c>
      <c r="H253" s="22">
        <f>IF(OR(J253="",K253="",K253&lt;J253),0,NETWORKDAYS(J253,K253,fESTIVOS!$A$2:$A$53))
</f>
        <v>0</v>
      </c>
      <c r="I253" s="98">
        <v>45870.0</v>
      </c>
      <c r="J253" s="99">
        <v>45915.0</v>
      </c>
      <c r="K253" s="99"/>
      <c r="L253" s="99">
        <v>45918.0</v>
      </c>
      <c r="M253" s="27">
        <f>IF(OR(J253="",AND(L253="",TODAY()&lt;J253),AND(L253&lt;&gt;"",L253&lt;J253)),0,
   IF(L253="",
      NETWORKDAYS(J253,TODAY(),fESTIVOS!$A$2:$A$53),
      NETWORKDAYS(J253,L253,fESTIVOS!$A$2:$A$53)
   )
)
</f>
        <v>4</v>
      </c>
      <c r="N253" s="28"/>
      <c r="O253" s="98"/>
      <c r="P253" s="100"/>
      <c r="Q253" s="34" t="s">
        <v>1265</v>
      </c>
      <c r="R253" s="113" t="s">
        <v>78</v>
      </c>
      <c r="S253" s="101"/>
      <c r="T253" s="101"/>
      <c r="U253" s="102"/>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row>
    <row r="254" ht="29.25" hidden="1" customHeight="1">
      <c r="A254" s="92" t="s">
        <v>128</v>
      </c>
      <c r="B254" s="93" t="s">
        <v>1266</v>
      </c>
      <c r="C254" s="94" t="s">
        <v>1267</v>
      </c>
      <c r="D254" s="150" t="s">
        <v>1268</v>
      </c>
      <c r="E254" s="96"/>
      <c r="F254" s="112" t="s">
        <v>229</v>
      </c>
      <c r="G254" s="192"/>
      <c r="H254" s="22">
        <f>IF(OR(J254="",K254="",K254&lt;J254),0,NETWORKDAYS(J254,K254,fESTIVOS!$A$2:$A$53))
</f>
        <v>0</v>
      </c>
      <c r="I254" s="186">
        <v>46163.0</v>
      </c>
      <c r="J254" s="99"/>
      <c r="K254" s="99"/>
      <c r="L254" s="99"/>
      <c r="M254" s="27">
        <f>IF(OR(J254="",AND(L254="",TODAY()&lt;J254),AND(L254&lt;&gt;"",L254&lt;J254)),0,
   IF(L254="",
      NETWORKDAYS(J254,TODAY(),fESTIVOS!$A$2:$A$53),
      NETWORKDAYS(J254,L254,fESTIVOS!$A$2:$A$53)
   )
)
</f>
        <v>0</v>
      </c>
      <c r="N254" s="28"/>
      <c r="O254" s="98"/>
      <c r="P254" s="100"/>
      <c r="Q254" s="88" t="s">
        <v>1269</v>
      </c>
      <c r="R254" s="31" t="s">
        <v>93</v>
      </c>
      <c r="S254" s="101"/>
      <c r="T254" s="101"/>
      <c r="U254" s="102"/>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row>
    <row r="255" ht="29.25" hidden="1" customHeight="1">
      <c r="A255" s="55" t="s">
        <v>128</v>
      </c>
      <c r="B255" s="17" t="s">
        <v>1270</v>
      </c>
      <c r="C255" s="107" t="s">
        <v>1271</v>
      </c>
      <c r="D255" s="150"/>
      <c r="E255" s="96"/>
      <c r="F255" s="112" t="s">
        <v>686</v>
      </c>
      <c r="G255" s="192"/>
      <c r="H255" s="22">
        <f>IF(OR(J255="",K255="",K255&lt;J255),0,NETWORKDAYS(J255,K255,fESTIVOS!$A$2:$A$53))
</f>
        <v>0</v>
      </c>
      <c r="I255" s="186">
        <v>45855.0</v>
      </c>
      <c r="J255" s="99"/>
      <c r="K255" s="99"/>
      <c r="L255" s="99"/>
      <c r="M255" s="27">
        <f>IF(OR(J255="",AND(L255="",TODAY()&lt;J255),AND(L255&lt;&gt;"",L255&lt;J255)),0,
   IF(L255="",
      NETWORKDAYS(J255,TODAY(),fESTIVOS!$A$2:$A$53),
      NETWORKDAYS(J255,L255,fESTIVOS!$A$2:$A$53)
   )
)
</f>
        <v>0</v>
      </c>
      <c r="N255" s="28"/>
      <c r="O255" s="98"/>
      <c r="P255" s="100"/>
      <c r="Q255" s="88" t="s">
        <v>1272</v>
      </c>
      <c r="R255" s="113" t="s">
        <v>93</v>
      </c>
      <c r="S255" s="101"/>
      <c r="T255" s="101"/>
      <c r="U255" s="102"/>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row>
    <row r="256" ht="29.25" hidden="1" customHeight="1">
      <c r="A256" s="55" t="s">
        <v>128</v>
      </c>
      <c r="B256" s="93" t="s">
        <v>1273</v>
      </c>
      <c r="C256" s="107" t="s">
        <v>1274</v>
      </c>
      <c r="D256" s="95" t="s">
        <v>1275</v>
      </c>
      <c r="E256" s="96"/>
      <c r="F256" s="122" t="s">
        <v>76</v>
      </c>
      <c r="G256" s="97">
        <v>100.0</v>
      </c>
      <c r="H256" s="22">
        <f>IF(OR(J256="",K256="",K256&lt;J256),0,NETWORKDAYS(J256,K256,fESTIVOS!$A$2:$A$53))
</f>
        <v>0</v>
      </c>
      <c r="I256" s="193">
        <v>45890.0</v>
      </c>
      <c r="J256" s="99">
        <v>45894.0</v>
      </c>
      <c r="K256" s="99"/>
      <c r="L256" s="99">
        <v>45898.0</v>
      </c>
      <c r="M256" s="27">
        <f>IF(OR(J256="",AND(L256="",TODAY()&lt;J256),AND(L256&lt;&gt;"",L256&lt;J256)),0,
   IF(L256="",
      NETWORKDAYS(J256,TODAY(),fESTIVOS!$A$2:$A$53),
      NETWORKDAYS(J256,L256,fESTIVOS!$A$2:$A$53)
   )
)
</f>
        <v>5</v>
      </c>
      <c r="N256" s="28"/>
      <c r="O256" s="98">
        <v>45898.0</v>
      </c>
      <c r="P256" s="202">
        <v>45902.0</v>
      </c>
      <c r="Q256" s="34" t="s">
        <v>1276</v>
      </c>
      <c r="R256" s="113" t="s">
        <v>78</v>
      </c>
      <c r="S256" s="97"/>
      <c r="T256" s="97" t="s">
        <v>1277</v>
      </c>
      <c r="U256" s="122" t="s">
        <v>1278</v>
      </c>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row>
    <row r="257" ht="29.25" hidden="1" customHeight="1">
      <c r="A257" s="55" t="s">
        <v>251</v>
      </c>
      <c r="B257" s="93" t="s">
        <v>1279</v>
      </c>
      <c r="C257" s="141" t="s">
        <v>1280</v>
      </c>
      <c r="D257" s="95" t="s">
        <v>1281</v>
      </c>
      <c r="E257" s="96"/>
      <c r="F257" s="122" t="s">
        <v>76</v>
      </c>
      <c r="G257" s="97">
        <v>100.0</v>
      </c>
      <c r="H257" s="22">
        <f>IF(OR(J257="",K257="",K257&lt;J257),0,NETWORKDAYS(J257,K257,fESTIVOS!$A$2:$A$53))
</f>
        <v>0</v>
      </c>
      <c r="I257" s="98">
        <v>45973.0</v>
      </c>
      <c r="J257" s="99">
        <v>45973.0</v>
      </c>
      <c r="K257" s="99"/>
      <c r="L257" s="99">
        <v>45973.0</v>
      </c>
      <c r="M257" s="27">
        <f>IF(OR(J257="",AND(L257="",TODAY()&lt;J257),AND(L257&lt;&gt;"",L257&lt;J257)),0,
   IF(L257="",
      NETWORKDAYS(J257,TODAY(),fESTIVOS!$A$2:$A$53),
      NETWORKDAYS(J257,L257,fESTIVOS!$A$2:$A$53)
   )
)
</f>
        <v>1</v>
      </c>
      <c r="N257" s="28"/>
      <c r="O257" s="98"/>
      <c r="P257" s="100"/>
      <c r="Q257" s="34" t="s">
        <v>1282</v>
      </c>
      <c r="R257" s="113" t="s">
        <v>78</v>
      </c>
      <c r="S257" s="101"/>
      <c r="T257" s="101"/>
      <c r="U257" s="102"/>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row>
    <row r="258" ht="29.25" hidden="1" customHeight="1">
      <c r="A258" s="55" t="s">
        <v>251</v>
      </c>
      <c r="B258" s="93" t="s">
        <v>1283</v>
      </c>
      <c r="C258" s="141" t="s">
        <v>1284</v>
      </c>
      <c r="D258" s="95" t="s">
        <v>1285</v>
      </c>
      <c r="E258" s="96"/>
      <c r="F258" s="122" t="s">
        <v>76</v>
      </c>
      <c r="G258" s="97">
        <v>100.0</v>
      </c>
      <c r="H258" s="22">
        <f>IF(OR(J258="",K258="",K258&lt;J258),0,NETWORKDAYS(J258,K258,fESTIVOS!$A$2:$A$53))
</f>
        <v>0</v>
      </c>
      <c r="I258" s="98">
        <v>45973.0</v>
      </c>
      <c r="J258" s="99">
        <v>45974.0</v>
      </c>
      <c r="K258" s="99"/>
      <c r="L258" s="99">
        <v>45974.0</v>
      </c>
      <c r="M258" s="27">
        <f>IF(OR(J258="",AND(L258="",TODAY()&lt;J258),AND(L258&lt;&gt;"",L258&lt;J258)),0,
   IF(L258="",
      NETWORKDAYS(J258,TODAY(),fESTIVOS!$A$2:$A$53),
      NETWORKDAYS(J258,L258,fESTIVOS!$A$2:$A$53)
   )
)
</f>
        <v>1</v>
      </c>
      <c r="N258" s="28"/>
      <c r="O258" s="98"/>
      <c r="P258" s="100"/>
      <c r="Q258" s="34" t="s">
        <v>1286</v>
      </c>
      <c r="R258" s="113" t="s">
        <v>78</v>
      </c>
      <c r="S258" s="101"/>
      <c r="T258" s="101"/>
      <c r="U258" s="102"/>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row>
    <row r="259" ht="29.25" hidden="1" customHeight="1">
      <c r="A259" s="55" t="s">
        <v>128</v>
      </c>
      <c r="B259" s="17" t="s">
        <v>1287</v>
      </c>
      <c r="C259" s="107" t="s">
        <v>1288</v>
      </c>
      <c r="D259" s="150" t="s">
        <v>1289</v>
      </c>
      <c r="E259" s="96"/>
      <c r="F259" s="20" t="s">
        <v>1290</v>
      </c>
      <c r="G259" s="97">
        <v>50.0</v>
      </c>
      <c r="H259" s="22">
        <f>IF(OR(J259="",K259="",K259&lt;J259),0,NETWORKDAYS(J259,K259,fESTIVOS!$A$2:$A$53))
</f>
        <v>0</v>
      </c>
      <c r="I259" s="186">
        <v>45868.0</v>
      </c>
      <c r="J259" s="99">
        <v>45881.0</v>
      </c>
      <c r="K259" s="99"/>
      <c r="L259" s="99">
        <v>45911.0</v>
      </c>
      <c r="M259" s="27">
        <f>IF(OR(J259="",AND(L259="",TODAY()&lt;J259),AND(L259&lt;&gt;"",L259&lt;J259)),0,
   IF(L259="",
      NETWORKDAYS(J259,TODAY(),fESTIVOS!$A$2:$A$53),
      NETWORKDAYS(J259,L259,fESTIVOS!$A$2:$A$53)
   )
)
</f>
        <v>22</v>
      </c>
      <c r="N259" s="28"/>
      <c r="O259" s="98">
        <v>45911.0</v>
      </c>
      <c r="P259" s="100"/>
      <c r="Q259" s="34" t="s">
        <v>1291</v>
      </c>
      <c r="R259" s="113" t="s">
        <v>93</v>
      </c>
      <c r="S259" s="155"/>
      <c r="T259" s="97" t="s">
        <v>1292</v>
      </c>
      <c r="U259" s="122" t="s">
        <v>869</v>
      </c>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row>
    <row r="260" ht="29.25" hidden="1" customHeight="1">
      <c r="A260" s="16" t="s">
        <v>67</v>
      </c>
      <c r="B260" s="93" t="s">
        <v>1293</v>
      </c>
      <c r="C260" s="107" t="s">
        <v>1294</v>
      </c>
      <c r="D260" s="95" t="s">
        <v>1295</v>
      </c>
      <c r="E260" s="96"/>
      <c r="F260" s="20" t="s">
        <v>76</v>
      </c>
      <c r="G260" s="97">
        <v>100.0</v>
      </c>
      <c r="H260" s="22">
        <f>IF(OR(J260="",K260="",K260&lt;J260),0,NETWORKDAYS(J260,K260,fESTIVOS!$A$2:$A$53))
</f>
        <v>0</v>
      </c>
      <c r="I260" s="98">
        <v>45889.0</v>
      </c>
      <c r="J260" s="99">
        <v>45889.0</v>
      </c>
      <c r="K260" s="99"/>
      <c r="L260" s="99">
        <v>45920.0</v>
      </c>
      <c r="M260" s="27">
        <f>IF(OR(J260="",AND(L260="",TODAY()&lt;J260),AND(L260&lt;&gt;"",L260&lt;J260)),0,
   IF(L260="",
      NETWORKDAYS(J260,TODAY(),fESTIVOS!$A$2:$A$53),
      NETWORKDAYS(J260,L260,fESTIVOS!$A$2:$A$53)
   )
)
</f>
        <v>23</v>
      </c>
      <c r="N260" s="28"/>
      <c r="O260" s="98"/>
      <c r="P260" s="100"/>
      <c r="Q260" s="34" t="s">
        <v>1296</v>
      </c>
      <c r="R260" s="31" t="s">
        <v>78</v>
      </c>
      <c r="S260" s="97">
        <v>1.0</v>
      </c>
      <c r="T260" s="101"/>
      <c r="U260" s="102"/>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row>
    <row r="261" ht="29.25" hidden="1" customHeight="1">
      <c r="A261" s="16" t="s">
        <v>67</v>
      </c>
      <c r="B261" s="17" t="s">
        <v>1297</v>
      </c>
      <c r="C261" s="107" t="s">
        <v>1298</v>
      </c>
      <c r="D261" s="150"/>
      <c r="E261" s="96"/>
      <c r="F261" s="122" t="s">
        <v>76</v>
      </c>
      <c r="G261" s="97">
        <v>100.0</v>
      </c>
      <c r="H261" s="22">
        <f>IF(OR(J261="",K261="",K261&lt;J261),0,NETWORKDAYS(J261,K261,fESTIVOS!$A$2:$A$53))
</f>
        <v>0</v>
      </c>
      <c r="I261" s="98">
        <v>45889.0</v>
      </c>
      <c r="J261" s="99">
        <v>45908.0</v>
      </c>
      <c r="K261" s="99"/>
      <c r="L261" s="99">
        <v>45920.0</v>
      </c>
      <c r="M261" s="27">
        <f>IF(OR(J261="",AND(L261="",TODAY()&lt;J261),AND(L261&lt;&gt;"",L261&lt;J261)),0,
   IF(L261="",
      NETWORKDAYS(J261,TODAY(),fESTIVOS!$A$2:$A$53),
      NETWORKDAYS(J261,L261,fESTIVOS!$A$2:$A$53)
   )
)
</f>
        <v>10</v>
      </c>
      <c r="N261" s="28"/>
      <c r="O261" s="98"/>
      <c r="P261" s="100"/>
      <c r="Q261" s="34" t="s">
        <v>1299</v>
      </c>
      <c r="R261" s="113" t="s">
        <v>78</v>
      </c>
      <c r="S261" s="101"/>
      <c r="T261" s="101"/>
      <c r="U261" s="102"/>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row>
    <row r="262" ht="29.25" hidden="1" customHeight="1">
      <c r="A262" s="55" t="s">
        <v>157</v>
      </c>
      <c r="B262" s="17" t="s">
        <v>1300</v>
      </c>
      <c r="C262" s="107" t="s">
        <v>1301</v>
      </c>
      <c r="D262" s="95" t="s">
        <v>1302</v>
      </c>
      <c r="E262" s="96"/>
      <c r="F262" s="122" t="s">
        <v>76</v>
      </c>
      <c r="G262" s="97">
        <v>100.0</v>
      </c>
      <c r="H262" s="22">
        <f>IF(OR(J262="",K262="",K262&lt;J262),0,NETWORKDAYS(J262,K262,fESTIVOS!$A$2:$A$53))
</f>
        <v>2</v>
      </c>
      <c r="I262" s="98">
        <v>45889.0</v>
      </c>
      <c r="J262" s="99">
        <v>45890.0</v>
      </c>
      <c r="K262" s="99">
        <v>45891.0</v>
      </c>
      <c r="L262" s="99">
        <v>45901.0</v>
      </c>
      <c r="M262" s="27">
        <f>IF(OR(J262="",AND(L262="",TODAY()&lt;J262),AND(L262&lt;&gt;"",L262&lt;J262)),0,
   IF(L262="",
      NETWORKDAYS(J262,TODAY(),fESTIVOS!$A$2:$A$53),
      NETWORKDAYS(J262,L262,fESTIVOS!$A$2:$A$53)
   )
)
</f>
        <v>8</v>
      </c>
      <c r="N262" s="28"/>
      <c r="O262" s="98">
        <v>45901.0</v>
      </c>
      <c r="P262" s="100">
        <v>45903.0</v>
      </c>
      <c r="Q262" s="34" t="s">
        <v>1303</v>
      </c>
      <c r="R262" s="113" t="s">
        <v>78</v>
      </c>
      <c r="S262" s="101"/>
      <c r="T262" s="101"/>
      <c r="U262" s="102"/>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row>
    <row r="263" ht="29.25" hidden="1" customHeight="1">
      <c r="A263" s="55" t="s">
        <v>157</v>
      </c>
      <c r="B263" s="17" t="s">
        <v>1304</v>
      </c>
      <c r="C263" s="107" t="s">
        <v>1305</v>
      </c>
      <c r="D263" s="95" t="s">
        <v>1306</v>
      </c>
      <c r="E263" s="96"/>
      <c r="F263" s="122" t="s">
        <v>76</v>
      </c>
      <c r="G263" s="97">
        <v>100.0</v>
      </c>
      <c r="H263" s="22">
        <f>IF(OR(J263="",K263="",K263&lt;J263),0,NETWORKDAYS(J263,K263,fESTIVOS!$A$2:$A$53))
</f>
        <v>0</v>
      </c>
      <c r="I263" s="98">
        <v>45890.0</v>
      </c>
      <c r="J263" s="99">
        <v>45890.0</v>
      </c>
      <c r="K263" s="99"/>
      <c r="L263" s="99">
        <v>45891.0</v>
      </c>
      <c r="M263" s="27">
        <f>IF(OR(J263="",AND(L263="",TODAY()&lt;J263),AND(L263&lt;&gt;"",L263&lt;J263)),0,
   IF(L263="",
      NETWORKDAYS(J263,TODAY(),fESTIVOS!$A$2:$A$53),
      NETWORKDAYS(J263,L263,fESTIVOS!$A$2:$A$53)
   )
)
</f>
        <v>2</v>
      </c>
      <c r="N263" s="28"/>
      <c r="O263" s="98"/>
      <c r="P263" s="100"/>
      <c r="Q263" s="34" t="s">
        <v>1307</v>
      </c>
      <c r="R263" s="31" t="s">
        <v>78</v>
      </c>
      <c r="S263" s="101"/>
      <c r="T263" s="101"/>
      <c r="U263" s="102"/>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row>
    <row r="264" ht="29.25" hidden="1" customHeight="1">
      <c r="A264" s="92" t="s">
        <v>67</v>
      </c>
      <c r="B264" s="93" t="s">
        <v>1308</v>
      </c>
      <c r="C264" s="107" t="s">
        <v>1309</v>
      </c>
      <c r="D264" s="95" t="s">
        <v>1310</v>
      </c>
      <c r="E264" s="96"/>
      <c r="F264" s="20" t="s">
        <v>76</v>
      </c>
      <c r="G264" s="97">
        <v>100.0</v>
      </c>
      <c r="H264" s="22">
        <f>IF(OR(J264="",K264="",K264&lt;J264),0,NETWORKDAYS(J264,K264,fESTIVOS!$A$2:$A$53))
</f>
        <v>0</v>
      </c>
      <c r="I264" s="98">
        <v>45883.0</v>
      </c>
      <c r="J264" s="99">
        <v>45883.0</v>
      </c>
      <c r="K264" s="99"/>
      <c r="L264" s="99">
        <v>45901.0</v>
      </c>
      <c r="M264" s="27">
        <f>IF(OR(J264="",AND(L264="",TODAY()&lt;J264),AND(L264&lt;&gt;"",L264&lt;J264)),0,
   IF(L264="",
      NETWORKDAYS(J264,TODAY(),fESTIVOS!$A$2:$A$53),
      NETWORKDAYS(J264,L264,fESTIVOS!$A$2:$A$53)
   )
)
</f>
        <v>12</v>
      </c>
      <c r="N264" s="28"/>
      <c r="O264" s="98"/>
      <c r="P264" s="100"/>
      <c r="Q264" s="34" t="s">
        <v>1311</v>
      </c>
      <c r="R264" s="31" t="s">
        <v>78</v>
      </c>
      <c r="S264" s="101"/>
      <c r="T264" s="101"/>
      <c r="U264" s="102"/>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row>
    <row r="265" ht="29.25" hidden="1" customHeight="1">
      <c r="A265" s="92" t="s">
        <v>67</v>
      </c>
      <c r="B265" s="93" t="s">
        <v>1312</v>
      </c>
      <c r="C265" s="107" t="s">
        <v>1313</v>
      </c>
      <c r="D265" s="95"/>
      <c r="E265" s="96"/>
      <c r="F265" s="20" t="s">
        <v>76</v>
      </c>
      <c r="G265" s="97">
        <v>100.0</v>
      </c>
      <c r="H265" s="22">
        <f>IF(OR(J265="",K265="",K265&lt;J265),0,NETWORKDAYS(J265,K265,fESTIVOS!$A$2:$A$53))
</f>
        <v>0</v>
      </c>
      <c r="I265" s="98">
        <v>45903.0</v>
      </c>
      <c r="J265" s="99">
        <v>45904.0</v>
      </c>
      <c r="K265" s="99"/>
      <c r="L265" s="99">
        <v>45904.0</v>
      </c>
      <c r="M265" s="27">
        <f>IF(OR(J265="",AND(L265="",TODAY()&lt;J265),AND(L265&lt;&gt;"",L265&lt;J265)),0,
   IF(L265="",
      NETWORKDAYS(J265,TODAY(),fESTIVOS!$A$2:$A$53),
      NETWORKDAYS(J265,L265,fESTIVOS!$A$2:$A$53)
   )
)
</f>
        <v>1</v>
      </c>
      <c r="N265" s="28"/>
      <c r="O265" s="98"/>
      <c r="P265" s="100"/>
      <c r="Q265" s="34" t="s">
        <v>1314</v>
      </c>
      <c r="R265" s="31" t="s">
        <v>78</v>
      </c>
      <c r="S265" s="101"/>
      <c r="T265" s="101"/>
      <c r="U265" s="102"/>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row>
    <row r="266" ht="29.25" hidden="1" customHeight="1">
      <c r="A266" s="92" t="s">
        <v>67</v>
      </c>
      <c r="B266" s="93" t="s">
        <v>1315</v>
      </c>
      <c r="C266" s="107" t="s">
        <v>1316</v>
      </c>
      <c r="D266" s="95" t="s">
        <v>1317</v>
      </c>
      <c r="E266" s="96"/>
      <c r="F266" s="20" t="s">
        <v>76</v>
      </c>
      <c r="G266" s="97">
        <v>100.0</v>
      </c>
      <c r="H266" s="22">
        <f>IF(OR(J266="",K266="",K266&lt;J266),0,NETWORKDAYS(J266,K266,fESTIVOS!$A$2:$A$53))
</f>
        <v>0</v>
      </c>
      <c r="I266" s="98">
        <v>45905.0</v>
      </c>
      <c r="J266" s="99">
        <v>45905.0</v>
      </c>
      <c r="K266" s="99"/>
      <c r="L266" s="99"/>
      <c r="M266" s="27">
        <f>IF(OR(J266="",AND(L266="",TODAY()&lt;J266),AND(L266&lt;&gt;"",L266&lt;J266)),0,
   IF(L266="",
      NETWORKDAYS(J266,TODAY(),fESTIVOS!$A$2:$A$53),
      NETWORKDAYS(J266,L266,fESTIVOS!$A$2:$A$53)
   )
)
</f>
        <v>189</v>
      </c>
      <c r="N266" s="28"/>
      <c r="O266" s="98"/>
      <c r="P266" s="100"/>
      <c r="Q266" s="34" t="s">
        <v>1318</v>
      </c>
      <c r="R266" s="31" t="s">
        <v>78</v>
      </c>
      <c r="S266" s="101"/>
      <c r="T266" s="101"/>
      <c r="U266" s="102"/>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row>
    <row r="267" ht="29.25" hidden="1" customHeight="1">
      <c r="A267" s="92" t="s">
        <v>157</v>
      </c>
      <c r="B267" s="93" t="s">
        <v>1319</v>
      </c>
      <c r="C267" s="107" t="s">
        <v>1320</v>
      </c>
      <c r="D267" s="95" t="s">
        <v>1321</v>
      </c>
      <c r="E267" s="96"/>
      <c r="F267" s="20" t="s">
        <v>76</v>
      </c>
      <c r="G267" s="97">
        <v>100.0</v>
      </c>
      <c r="H267" s="22">
        <f>IF(OR(J267="",K267="",K267&lt;J267),0,NETWORKDAYS(J267,K267,fESTIVOS!$A$2:$A$53))
</f>
        <v>0</v>
      </c>
      <c r="I267" s="98">
        <v>45909.0</v>
      </c>
      <c r="J267" s="99">
        <v>45909.0</v>
      </c>
      <c r="K267" s="99"/>
      <c r="L267" s="99">
        <v>45930.0</v>
      </c>
      <c r="M267" s="27">
        <f>IF(OR(J267="",AND(L267="",TODAY()&lt;J267),AND(L267&lt;&gt;"",L267&lt;J267)),0,
   IF(L267="",
      NETWORKDAYS(J267,TODAY(),fESTIVOS!$A$2:$A$53),
      NETWORKDAYS(J267,L267,fESTIVOS!$A$2:$A$53)
   )
)
</f>
        <v>16</v>
      </c>
      <c r="N267" s="28"/>
      <c r="O267" s="98"/>
      <c r="P267" s="100"/>
      <c r="Q267" s="34" t="s">
        <v>1322</v>
      </c>
      <c r="R267" s="113" t="s">
        <v>78</v>
      </c>
      <c r="S267" s="101"/>
      <c r="T267" s="101"/>
      <c r="U267" s="102"/>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row>
    <row r="268" ht="29.25" hidden="1" customHeight="1">
      <c r="A268" s="92" t="s">
        <v>67</v>
      </c>
      <c r="B268" s="93" t="s">
        <v>1323</v>
      </c>
      <c r="C268" s="107" t="s">
        <v>1324</v>
      </c>
      <c r="D268" s="95"/>
      <c r="E268" s="96"/>
      <c r="F268" s="20" t="s">
        <v>76</v>
      </c>
      <c r="G268" s="97">
        <v>100.0</v>
      </c>
      <c r="H268" s="22">
        <f>IF(OR(J268="",K268="",K268&lt;J268),0,NETWORKDAYS(J268,K268,fESTIVOS!$A$2:$A$53))
</f>
        <v>0</v>
      </c>
      <c r="I268" s="98">
        <v>45905.0</v>
      </c>
      <c r="J268" s="99">
        <v>45916.0</v>
      </c>
      <c r="K268" s="99"/>
      <c r="L268" s="99"/>
      <c r="M268" s="27">
        <f>IF(OR(J268="",AND(L268="",TODAY()&lt;J268),AND(L268&lt;&gt;"",L268&lt;J268)),0,
   IF(L268="",
      NETWORKDAYS(J268,TODAY(),fESTIVOS!$A$2:$A$53),
      NETWORKDAYS(J268,L268,fESTIVOS!$A$2:$A$53)
   )
)
</f>
        <v>182</v>
      </c>
      <c r="N268" s="28"/>
      <c r="O268" s="98">
        <v>45954.0</v>
      </c>
      <c r="P268" s="100">
        <v>46021.0</v>
      </c>
      <c r="Q268" s="191" t="s">
        <v>1325</v>
      </c>
      <c r="R268" s="31" t="s">
        <v>78</v>
      </c>
      <c r="S268" s="101"/>
      <c r="T268" s="101"/>
      <c r="U268" s="102"/>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row>
    <row r="269" ht="29.25" hidden="1" customHeight="1">
      <c r="A269" s="92" t="s">
        <v>157</v>
      </c>
      <c r="B269" s="93" t="s">
        <v>1326</v>
      </c>
      <c r="C269" s="107" t="s">
        <v>1327</v>
      </c>
      <c r="D269" s="95" t="s">
        <v>1328</v>
      </c>
      <c r="E269" s="96"/>
      <c r="F269" s="20" t="s">
        <v>76</v>
      </c>
      <c r="G269" s="97">
        <v>100.0</v>
      </c>
      <c r="H269" s="22">
        <f>IF(OR(J269="",K269="",K269&lt;J269),0,NETWORKDAYS(J269,K269,fESTIVOS!$A$2:$A$53))
</f>
        <v>0</v>
      </c>
      <c r="I269" s="98">
        <v>45929.0</v>
      </c>
      <c r="J269" s="99">
        <v>45929.0</v>
      </c>
      <c r="K269" s="99"/>
      <c r="L269" s="99">
        <v>45930.0</v>
      </c>
      <c r="M269" s="27">
        <f>IF(OR(J269="",AND(L269="",TODAY()&lt;J269),AND(L269&lt;&gt;"",L269&lt;J269)),0,
   IF(L269="",
      NETWORKDAYS(J269,TODAY(),fESTIVOS!$A$2:$A$53),
      NETWORKDAYS(J269,L269,fESTIVOS!$A$2:$A$53)
   )
)
</f>
        <v>2</v>
      </c>
      <c r="N269" s="28"/>
      <c r="O269" s="98">
        <v>45930.0</v>
      </c>
      <c r="P269" s="100">
        <v>45936.0</v>
      </c>
      <c r="Q269" s="34" t="s">
        <v>1329</v>
      </c>
      <c r="R269" s="31" t="s">
        <v>78</v>
      </c>
      <c r="S269" s="101"/>
      <c r="T269" s="101"/>
      <c r="U269" s="102"/>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row>
    <row r="270" ht="29.25" hidden="1" customHeight="1">
      <c r="A270" s="92" t="s">
        <v>251</v>
      </c>
      <c r="B270" s="93" t="s">
        <v>1330</v>
      </c>
      <c r="C270" s="107" t="s">
        <v>1331</v>
      </c>
      <c r="D270" s="95" t="s">
        <v>1332</v>
      </c>
      <c r="E270" s="96"/>
      <c r="F270" s="20" t="s">
        <v>76</v>
      </c>
      <c r="G270" s="97">
        <v>100.0</v>
      </c>
      <c r="H270" s="22">
        <f>IF(OR(J270="",K270="",K270&lt;J270),0,NETWORKDAYS(J270,K270,fESTIVOS!$A$2:$A$53))
</f>
        <v>0</v>
      </c>
      <c r="I270" s="98">
        <v>45931.0</v>
      </c>
      <c r="J270" s="99">
        <v>45931.0</v>
      </c>
      <c r="K270" s="99"/>
      <c r="L270" s="99">
        <v>45932.0</v>
      </c>
      <c r="M270" s="27">
        <f>IF(OR(J270="",AND(L270="",TODAY()&lt;J270),AND(L270&lt;&gt;"",L270&lt;J270)),0,
   IF(L270="",
      NETWORKDAYS(J270,TODAY(),fESTIVOS!$A$2:$A$53),
      NETWORKDAYS(J270,L270,fESTIVOS!$A$2:$A$53)
   )
)
</f>
        <v>2</v>
      </c>
      <c r="N270" s="28"/>
      <c r="O270" s="98"/>
      <c r="P270" s="100"/>
      <c r="Q270" s="34" t="s">
        <v>1333</v>
      </c>
      <c r="R270" s="31" t="s">
        <v>78</v>
      </c>
      <c r="S270" s="101"/>
      <c r="T270" s="101"/>
      <c r="U270" s="102"/>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row>
    <row r="271" ht="29.25" hidden="1" customHeight="1">
      <c r="A271" s="55" t="s">
        <v>157</v>
      </c>
      <c r="B271" s="17" t="s">
        <v>1334</v>
      </c>
      <c r="C271" s="142" t="s">
        <v>1335</v>
      </c>
      <c r="D271" s="203"/>
      <c r="E271" s="124"/>
      <c r="F271" s="85" t="s">
        <v>229</v>
      </c>
      <c r="G271" s="58"/>
      <c r="H271" s="22">
        <f>IF(OR(J271="",K271="",K271&lt;J271),0,NETWORKDAYS(J271,K271,fESTIVOS!$A$2:$A$53))
</f>
        <v>0</v>
      </c>
      <c r="I271" s="81">
        <v>45797.0</v>
      </c>
      <c r="J271" s="60"/>
      <c r="K271" s="60"/>
      <c r="L271" s="60"/>
      <c r="M271" s="27">
        <f>IF(OR(J271="",AND(L271="",TODAY()&lt;J271),AND(L271&lt;&gt;"",L271&lt;J271)),0,
   IF(L271="",
      NETWORKDAYS(J271,TODAY(),fESTIVOS!$A$2:$A$53),
      NETWORKDAYS(J271,L271,fESTIVOS!$A$2:$A$53)
   )
)
</f>
        <v>0</v>
      </c>
      <c r="N271" s="28"/>
      <c r="O271" s="81"/>
      <c r="P271" s="100"/>
      <c r="Q271" s="34" t="s">
        <v>1336</v>
      </c>
      <c r="R271" s="113" t="s">
        <v>93</v>
      </c>
      <c r="S271" s="139"/>
      <c r="T271" s="139"/>
      <c r="U271" s="102"/>
      <c r="V271" s="104"/>
      <c r="W271" s="104"/>
      <c r="X271" s="104"/>
      <c r="Y271" s="104"/>
      <c r="Z271" s="104"/>
      <c r="AA271" s="104"/>
      <c r="AB271" s="104"/>
      <c r="AC271" s="104"/>
      <c r="AD271" s="37"/>
      <c r="AE271" s="37"/>
      <c r="AF271" s="36"/>
      <c r="AG271" s="36"/>
      <c r="AH271" s="36"/>
      <c r="AI271" s="36"/>
      <c r="AJ271" s="37" t="s">
        <v>1337</v>
      </c>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row>
    <row r="272" ht="29.25" hidden="1" customHeight="1">
      <c r="A272" s="123" t="s">
        <v>251</v>
      </c>
      <c r="B272" s="93" t="s">
        <v>1338</v>
      </c>
      <c r="C272" s="141" t="s">
        <v>1339</v>
      </c>
      <c r="D272" s="95"/>
      <c r="E272" s="96"/>
      <c r="F272" s="20" t="s">
        <v>76</v>
      </c>
      <c r="G272" s="97">
        <v>100.0</v>
      </c>
      <c r="H272" s="22">
        <f>IF(OR(J272="",K272="",K272&lt;J272),0,NETWORKDAYS(J272,K272,fESTIVOS!$A$2:$A$53))
</f>
        <v>0</v>
      </c>
      <c r="I272" s="98">
        <v>45995.0</v>
      </c>
      <c r="J272" s="99">
        <v>45996.0</v>
      </c>
      <c r="K272" s="99"/>
      <c r="L272" s="99">
        <v>46107.0</v>
      </c>
      <c r="M272" s="27">
        <f>IF(OR(J272="",AND(L272="",TODAY()&lt;J272),AND(L272&lt;&gt;"",L272&lt;J272)),0,
   IF(L272="",
      NETWORKDAYS(J272,TODAY(),fESTIVOS!$A$2:$A$53),
      NETWORKDAYS(J272,L272,fESTIVOS!$A$2:$A$53)
   )
)
</f>
        <v>75</v>
      </c>
      <c r="N272" s="28"/>
      <c r="O272" s="98"/>
      <c r="P272" s="100"/>
      <c r="Q272" s="34" t="s">
        <v>1340</v>
      </c>
      <c r="R272" s="113" t="s">
        <v>275</v>
      </c>
      <c r="S272" s="101"/>
      <c r="T272" s="101"/>
      <c r="U272" s="102"/>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row>
    <row r="273" ht="29.25" hidden="1" customHeight="1">
      <c r="A273" s="123" t="s">
        <v>251</v>
      </c>
      <c r="B273" s="93" t="s">
        <v>1341</v>
      </c>
      <c r="C273" s="141" t="s">
        <v>1342</v>
      </c>
      <c r="D273" s="95"/>
      <c r="E273" s="96"/>
      <c r="F273" s="20" t="s">
        <v>76</v>
      </c>
      <c r="G273" s="97">
        <v>100.0</v>
      </c>
      <c r="H273" s="22">
        <f>IF(OR(J273="",K273="",K273&lt;J273),0,NETWORKDAYS(J273,K273,fESTIVOS!$A$2:$A$53))
</f>
        <v>0</v>
      </c>
      <c r="I273" s="98">
        <v>46071.0</v>
      </c>
      <c r="J273" s="99">
        <v>46072.0</v>
      </c>
      <c r="K273" s="99"/>
      <c r="L273" s="99">
        <v>46072.0</v>
      </c>
      <c r="M273" s="27">
        <f>IF(OR(J273="",AND(L273="",TODAY()&lt;J273),AND(L273&lt;&gt;"",L273&lt;J273)),0,
   IF(L273="",
      NETWORKDAYS(J273,TODAY(),fESTIVOS!$A$2:$A$53),
      NETWORKDAYS(J273,L273,fESTIVOS!$A$2:$A$53)
   )
)
</f>
        <v>1</v>
      </c>
      <c r="N273" s="28"/>
      <c r="O273" s="98"/>
      <c r="P273" s="100"/>
      <c r="Q273" s="34" t="s">
        <v>1343</v>
      </c>
      <c r="R273" s="113" t="s">
        <v>208</v>
      </c>
      <c r="S273" s="101"/>
      <c r="T273" s="101"/>
      <c r="U273" s="102"/>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row>
    <row r="274" ht="29.25" hidden="1" customHeight="1">
      <c r="A274" s="123" t="s">
        <v>251</v>
      </c>
      <c r="B274" s="93" t="s">
        <v>1344</v>
      </c>
      <c r="C274" s="141" t="s">
        <v>1345</v>
      </c>
      <c r="D274" s="95"/>
      <c r="E274" s="96"/>
      <c r="F274" s="20" t="s">
        <v>245</v>
      </c>
      <c r="G274" s="97">
        <v>95.0</v>
      </c>
      <c r="H274" s="22">
        <f>IF(OR(J274="",K274="",K274&lt;J274),0,NETWORKDAYS(J274,K274,fESTIVOS!$A$2:$A$53))
</f>
        <v>0</v>
      </c>
      <c r="I274" s="98">
        <v>46071.0</v>
      </c>
      <c r="J274" s="99">
        <v>46072.0</v>
      </c>
      <c r="K274" s="99"/>
      <c r="L274" s="99">
        <v>46072.0</v>
      </c>
      <c r="M274" s="27">
        <f>IF(OR(J274="",AND(L274="",TODAY()&lt;J274),AND(L274&lt;&gt;"",L274&lt;J274)),0,
   IF(L274="",
      NETWORKDAYS(J274,TODAY(),fESTIVOS!$A$2:$A$53),
      NETWORKDAYS(J274,L274,fESTIVOS!$A$2:$A$53)
   )
)
</f>
        <v>1</v>
      </c>
      <c r="N274" s="28"/>
      <c r="O274" s="98"/>
      <c r="P274" s="100"/>
      <c r="Q274" s="34" t="s">
        <v>1346</v>
      </c>
      <c r="R274" s="113" t="s">
        <v>72</v>
      </c>
      <c r="S274" s="101"/>
      <c r="T274" s="101"/>
      <c r="U274" s="102"/>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row>
    <row r="275" ht="29.25" hidden="1" customHeight="1">
      <c r="A275" s="123" t="s">
        <v>251</v>
      </c>
      <c r="B275" s="93" t="s">
        <v>1347</v>
      </c>
      <c r="C275" s="141" t="s">
        <v>1348</v>
      </c>
      <c r="D275" s="95"/>
      <c r="E275" s="96"/>
      <c r="F275" s="20" t="s">
        <v>76</v>
      </c>
      <c r="G275" s="97">
        <v>100.0</v>
      </c>
      <c r="H275" s="22">
        <f>IF(OR(J275="",K275="",K275&lt;J275),0,NETWORKDAYS(J275,K275,fESTIVOS!$A$2:$A$53))
</f>
        <v>0</v>
      </c>
      <c r="I275" s="98">
        <v>46073.0</v>
      </c>
      <c r="J275" s="99">
        <v>46076.0</v>
      </c>
      <c r="K275" s="99"/>
      <c r="L275" s="99">
        <v>46076.0</v>
      </c>
      <c r="M275" s="27">
        <f>IF(OR(J275="",AND(L275="",TODAY()&lt;J275),AND(L275&lt;&gt;"",L275&lt;J275)),0,
   IF(L275="",
      NETWORKDAYS(J275,TODAY(),fESTIVOS!$A$2:$A$53),
      NETWORKDAYS(J275,L275,fESTIVOS!$A$2:$A$53)
   )
)
</f>
        <v>1</v>
      </c>
      <c r="N275" s="28"/>
      <c r="O275" s="98"/>
      <c r="P275" s="100"/>
      <c r="Q275" s="34" t="s">
        <v>1349</v>
      </c>
      <c r="R275" s="113" t="s">
        <v>208</v>
      </c>
      <c r="S275" s="101"/>
      <c r="T275" s="101"/>
      <c r="U275" s="102"/>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row>
    <row r="276" ht="29.25" hidden="1" customHeight="1">
      <c r="A276" s="92" t="s">
        <v>128</v>
      </c>
      <c r="B276" s="93" t="s">
        <v>1350</v>
      </c>
      <c r="C276" s="107" t="s">
        <v>1351</v>
      </c>
      <c r="D276" s="95" t="s">
        <v>1352</v>
      </c>
      <c r="E276" s="96"/>
      <c r="F276" s="20" t="s">
        <v>76</v>
      </c>
      <c r="G276" s="97">
        <v>100.0</v>
      </c>
      <c r="H276" s="22">
        <f>IF(OR(J276="",K276="",K276&lt;J276),0,NETWORKDAYS(J276,K276,fESTIVOS!$A$2:$A$53))
</f>
        <v>0</v>
      </c>
      <c r="I276" s="98">
        <v>45958.0</v>
      </c>
      <c r="J276" s="99">
        <v>45958.0</v>
      </c>
      <c r="K276" s="99"/>
      <c r="L276" s="99">
        <v>45958.0</v>
      </c>
      <c r="M276" s="27">
        <f>IF(OR(J276="",AND(L276="",TODAY()&lt;J276),AND(L276&lt;&gt;"",L276&lt;J276)),0,
   IF(L276="",
      NETWORKDAYS(J276,TODAY(),fESTIVOS!$A$2:$A$53),
      NETWORKDAYS(J276,L276,fESTIVOS!$A$2:$A$53)
   )
)
</f>
        <v>1</v>
      </c>
      <c r="N276" s="28"/>
      <c r="O276" s="98"/>
      <c r="P276" s="100"/>
      <c r="Q276" s="34" t="s">
        <v>1353</v>
      </c>
      <c r="R276" s="31" t="s">
        <v>78</v>
      </c>
      <c r="S276" s="101"/>
      <c r="T276" s="101"/>
      <c r="U276" s="102"/>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row>
    <row r="277" ht="29.25" hidden="1" customHeight="1">
      <c r="A277" s="92" t="s">
        <v>157</v>
      </c>
      <c r="B277" s="93" t="s">
        <v>1354</v>
      </c>
      <c r="C277" s="107" t="s">
        <v>1355</v>
      </c>
      <c r="D277" s="95" t="s">
        <v>1356</v>
      </c>
      <c r="E277" s="96"/>
      <c r="F277" s="20" t="s">
        <v>76</v>
      </c>
      <c r="G277" s="97">
        <v>100.0</v>
      </c>
      <c r="H277" s="22">
        <f>IF(OR(J277="",K277="",K277&lt;J277),0,NETWORKDAYS(J277,K277,fESTIVOS!$A$2:$A$53))
</f>
        <v>0</v>
      </c>
      <c r="I277" s="98">
        <v>45960.0</v>
      </c>
      <c r="J277" s="99">
        <v>45961.0</v>
      </c>
      <c r="K277" s="99"/>
      <c r="L277" s="99">
        <v>45961.0</v>
      </c>
      <c r="M277" s="27">
        <f>IF(OR(J277="",AND(L277="",TODAY()&lt;J277),AND(L277&lt;&gt;"",L277&lt;J277)),0,
   IF(L277="",
      NETWORKDAYS(J277,TODAY(),fESTIVOS!$A$2:$A$53),
      NETWORKDAYS(J277,L277,fESTIVOS!$A$2:$A$53)
   )
)
</f>
        <v>1</v>
      </c>
      <c r="N277" s="28"/>
      <c r="O277" s="98">
        <v>45961.0</v>
      </c>
      <c r="P277" s="100">
        <v>45961.0</v>
      </c>
      <c r="Q277" s="34" t="s">
        <v>1357</v>
      </c>
      <c r="R277" s="31" t="s">
        <v>78</v>
      </c>
      <c r="S277" s="101"/>
      <c r="T277" s="101"/>
      <c r="U277" s="102"/>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row>
    <row r="278" ht="29.25" hidden="1" customHeight="1">
      <c r="A278" s="92" t="s">
        <v>67</v>
      </c>
      <c r="B278" s="93" t="s">
        <v>1358</v>
      </c>
      <c r="C278" s="141" t="s">
        <v>1359</v>
      </c>
      <c r="D278" s="95" t="s">
        <v>1360</v>
      </c>
      <c r="E278" s="96"/>
      <c r="F278" s="20" t="s">
        <v>76</v>
      </c>
      <c r="G278" s="97">
        <v>100.0</v>
      </c>
      <c r="H278" s="22">
        <f>IF(OR(J278="",K278="",K278&lt;J278),0,NETWORKDAYS(J278,K278,fESTIVOS!$A$2:$A$53))
</f>
        <v>0</v>
      </c>
      <c r="I278" s="98">
        <v>45975.0</v>
      </c>
      <c r="J278" s="99">
        <v>45975.0</v>
      </c>
      <c r="K278" s="99"/>
      <c r="L278" s="99">
        <v>46021.0</v>
      </c>
      <c r="M278" s="27">
        <f>IF(OR(J278="",AND(L278="",TODAY()&lt;J278),AND(L278&lt;&gt;"",L278&lt;J278)),0,
   IF(L278="",
      NETWORKDAYS(J278,TODAY(),fESTIVOS!$A$2:$A$53),
      NETWORKDAYS(J278,L278,fESTIVOS!$A$2:$A$53)
   )
)
</f>
        <v>30</v>
      </c>
      <c r="N278" s="28"/>
      <c r="O278" s="98"/>
      <c r="P278" s="100"/>
      <c r="Q278" s="34" t="s">
        <v>1361</v>
      </c>
      <c r="R278" s="31" t="s">
        <v>78</v>
      </c>
      <c r="S278" s="101"/>
      <c r="T278" s="101"/>
      <c r="U278" s="102"/>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row>
    <row r="279" ht="29.25" hidden="1" customHeight="1">
      <c r="A279" s="92" t="s">
        <v>67</v>
      </c>
      <c r="B279" s="93" t="s">
        <v>1362</v>
      </c>
      <c r="C279" s="141" t="s">
        <v>1363</v>
      </c>
      <c r="D279" s="95" t="s">
        <v>1364</v>
      </c>
      <c r="E279" s="96"/>
      <c r="F279" s="20" t="s">
        <v>76</v>
      </c>
      <c r="G279" s="97">
        <v>100.0</v>
      </c>
      <c r="H279" s="22">
        <f>IF(OR(J279="",K279="",K279&lt;J279),0,NETWORKDAYS(J279,K279,fESTIVOS!$A$2:$A$53))
</f>
        <v>0</v>
      </c>
      <c r="I279" s="98">
        <v>45967.0</v>
      </c>
      <c r="J279" s="99">
        <v>45967.0</v>
      </c>
      <c r="K279" s="99"/>
      <c r="L279" s="99">
        <v>45989.0</v>
      </c>
      <c r="M279" s="27">
        <f>IF(OR(J279="",AND(L279="",TODAY()&lt;J279),AND(L279&lt;&gt;"",L279&lt;J279)),0,
   IF(L279="",
      NETWORKDAYS(J279,TODAY(),fESTIVOS!$A$2:$A$53),
      NETWORKDAYS(J279,L279,fESTIVOS!$A$2:$A$53)
   )
)
</f>
        <v>16</v>
      </c>
      <c r="N279" s="28"/>
      <c r="O279" s="98">
        <v>45989.0</v>
      </c>
      <c r="P279" s="100"/>
      <c r="Q279" s="34" t="s">
        <v>1365</v>
      </c>
      <c r="R279" s="31" t="s">
        <v>78</v>
      </c>
      <c r="S279" s="101"/>
      <c r="T279" s="101"/>
      <c r="U279" s="102"/>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row>
    <row r="280" ht="29.25" hidden="1" customHeight="1">
      <c r="A280" s="92" t="s">
        <v>67</v>
      </c>
      <c r="B280" s="93" t="s">
        <v>1366</v>
      </c>
      <c r="C280" s="141" t="s">
        <v>1367</v>
      </c>
      <c r="D280" s="95" t="s">
        <v>1368</v>
      </c>
      <c r="E280" s="96"/>
      <c r="F280" s="20" t="s">
        <v>76</v>
      </c>
      <c r="G280" s="97">
        <v>100.0</v>
      </c>
      <c r="H280" s="22">
        <f>IF(OR(J280="",K280="",K280&lt;J280),0,NETWORKDAYS(J280,K280,fESTIVOS!$A$2:$A$53))
</f>
        <v>0</v>
      </c>
      <c r="I280" s="98">
        <v>45975.0</v>
      </c>
      <c r="J280" s="99">
        <v>45975.0</v>
      </c>
      <c r="K280" s="99"/>
      <c r="L280" s="99">
        <v>45979.0</v>
      </c>
      <c r="M280" s="27">
        <f>IF(OR(J280="",AND(L280="",TODAY()&lt;J280),AND(L280&lt;&gt;"",L280&lt;J280)),0,
   IF(L280="",
      NETWORKDAYS(J280,TODAY(),fESTIVOS!$A$2:$A$53),
      NETWORKDAYS(J280,L280,fESTIVOS!$A$2:$A$53)
   )
)
</f>
        <v>2</v>
      </c>
      <c r="N280" s="28"/>
      <c r="O280" s="98"/>
      <c r="P280" s="100"/>
      <c r="Q280" s="34" t="s">
        <v>1369</v>
      </c>
      <c r="R280" s="31" t="s">
        <v>78</v>
      </c>
      <c r="S280" s="101"/>
      <c r="T280" s="101"/>
      <c r="U280" s="102"/>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row>
    <row r="281" ht="29.25" hidden="1" customHeight="1">
      <c r="A281" s="92" t="s">
        <v>67</v>
      </c>
      <c r="B281" s="93" t="s">
        <v>1370</v>
      </c>
      <c r="C281" s="141" t="s">
        <v>1371</v>
      </c>
      <c r="D281" s="95" t="s">
        <v>1372</v>
      </c>
      <c r="E281" s="96"/>
      <c r="F281" s="20" t="s">
        <v>76</v>
      </c>
      <c r="G281" s="97">
        <v>100.0</v>
      </c>
      <c r="H281" s="22">
        <f>IF(OR(J281="",K281="",K281&lt;J281),0,NETWORKDAYS(J281,K281,fESTIVOS!$A$2:$A$53))
</f>
        <v>0</v>
      </c>
      <c r="I281" s="98">
        <v>46021.0</v>
      </c>
      <c r="J281" s="99">
        <v>46022.0</v>
      </c>
      <c r="K281" s="99"/>
      <c r="L281" s="99">
        <v>46022.0</v>
      </c>
      <c r="M281" s="27">
        <f>IF(OR(J281="",AND(L281="",TODAY()&lt;J281),AND(L281&lt;&gt;"",L281&lt;J281)),0,
   IF(L281="",
      NETWORKDAYS(J281,TODAY(),fESTIVOS!$A$2:$A$53),
      NETWORKDAYS(J281,L281,fESTIVOS!$A$2:$A$53)
   )
)
</f>
        <v>1</v>
      </c>
      <c r="N281" s="28"/>
      <c r="O281" s="98"/>
      <c r="P281" s="100"/>
      <c r="Q281" s="34" t="s">
        <v>1373</v>
      </c>
      <c r="R281" s="31" t="s">
        <v>78</v>
      </c>
      <c r="S281" s="101"/>
      <c r="T281" s="101"/>
      <c r="U281" s="102"/>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row>
    <row r="282" ht="29.25" hidden="1" customHeight="1">
      <c r="A282" s="123" t="s">
        <v>251</v>
      </c>
      <c r="B282" s="93" t="s">
        <v>1374</v>
      </c>
      <c r="C282" s="141" t="s">
        <v>1375</v>
      </c>
      <c r="D282" s="95"/>
      <c r="E282" s="96"/>
      <c r="F282" s="20" t="s">
        <v>76</v>
      </c>
      <c r="G282" s="97">
        <v>100.0</v>
      </c>
      <c r="H282" s="22">
        <f>IF(OR(J282="",K282="",K282&lt;J282),0,NETWORKDAYS(J282,K282,fESTIVOS!$A$2:$A$53))
</f>
        <v>0</v>
      </c>
      <c r="I282" s="98">
        <v>46022.0</v>
      </c>
      <c r="J282" s="99">
        <v>46064.0</v>
      </c>
      <c r="K282" s="99"/>
      <c r="L282" s="99">
        <v>46064.0</v>
      </c>
      <c r="M282" s="27">
        <f>IF(OR(J282="",AND(L282="",TODAY()&lt;J282),AND(L282&lt;&gt;"",L282&lt;J282)),0,
   IF(L282="",
      NETWORKDAYS(J282,TODAY(),fESTIVOS!$A$2:$A$53),
      NETWORKDAYS(J282,L282,fESTIVOS!$A$2:$A$53)
   )
)
</f>
        <v>1</v>
      </c>
      <c r="N282" s="28"/>
      <c r="O282" s="98"/>
      <c r="P282" s="100"/>
      <c r="Q282" s="34" t="s">
        <v>1376</v>
      </c>
      <c r="R282" s="31" t="s">
        <v>78</v>
      </c>
      <c r="S282" s="101"/>
      <c r="T282" s="101"/>
      <c r="U282" s="102"/>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row>
    <row r="283" ht="29.25" hidden="1" customHeight="1">
      <c r="A283" s="92" t="s">
        <v>67</v>
      </c>
      <c r="B283" s="93" t="s">
        <v>1377</v>
      </c>
      <c r="C283" s="141" t="s">
        <v>1378</v>
      </c>
      <c r="D283" s="95" t="s">
        <v>1379</v>
      </c>
      <c r="E283" s="96"/>
      <c r="F283" s="20" t="s">
        <v>76</v>
      </c>
      <c r="G283" s="97">
        <v>100.0</v>
      </c>
      <c r="H283" s="22">
        <f>IF(OR(J283="",K283="",K283&lt;J283),0,NETWORKDAYS(J283,K283,fESTIVOS!$A$2:$A$53))
</f>
        <v>0</v>
      </c>
      <c r="I283" s="98">
        <v>46001.0</v>
      </c>
      <c r="J283" s="99">
        <v>46001.0</v>
      </c>
      <c r="K283" s="99"/>
      <c r="L283" s="99">
        <v>46001.0</v>
      </c>
      <c r="M283" s="27">
        <f>IF(OR(J283="",AND(L283="",TODAY()&lt;J283),AND(L283&lt;&gt;"",L283&lt;J283)),0,
   IF(L283="",
      NETWORKDAYS(J283,TODAY(),fESTIVOS!$A$2:$A$53),
      NETWORKDAYS(J283,L283,fESTIVOS!$A$2:$A$53)
   )
)
</f>
        <v>1</v>
      </c>
      <c r="N283" s="28"/>
      <c r="O283" s="98"/>
      <c r="P283" s="100"/>
      <c r="Q283" s="34" t="s">
        <v>1380</v>
      </c>
      <c r="R283" s="31" t="s">
        <v>78</v>
      </c>
      <c r="S283" s="101"/>
      <c r="T283" s="101"/>
      <c r="U283" s="102"/>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row>
    <row r="284" ht="29.25" hidden="1" customHeight="1">
      <c r="A284" s="92" t="s">
        <v>67</v>
      </c>
      <c r="B284" s="93" t="s">
        <v>1381</v>
      </c>
      <c r="C284" s="141" t="s">
        <v>1382</v>
      </c>
      <c r="D284" s="95" t="s">
        <v>1383</v>
      </c>
      <c r="E284" s="96"/>
      <c r="F284" s="20" t="s">
        <v>76</v>
      </c>
      <c r="G284" s="97">
        <v>100.0</v>
      </c>
      <c r="H284" s="22">
        <f>IF(OR(J284="",K284="",K284&lt;J284),0,NETWORKDAYS(J284,K284,fESTIVOS!$A$2:$A$53))
</f>
        <v>0</v>
      </c>
      <c r="I284" s="98">
        <v>46002.0</v>
      </c>
      <c r="J284" s="99">
        <v>46002.0</v>
      </c>
      <c r="K284" s="99"/>
      <c r="L284" s="99">
        <v>46008.0</v>
      </c>
      <c r="M284" s="27">
        <f>IF(OR(J284="",AND(L284="",TODAY()&lt;J284),AND(L284&lt;&gt;"",L284&lt;J284)),0,
   IF(L284="",
      NETWORKDAYS(J284,TODAY(),fESTIVOS!$A$2:$A$53),
      NETWORKDAYS(J284,L284,fESTIVOS!$A$2:$A$53)
   )
)
</f>
        <v>5</v>
      </c>
      <c r="N284" s="28"/>
      <c r="O284" s="98"/>
      <c r="P284" s="100"/>
      <c r="Q284" s="88" t="s">
        <v>1384</v>
      </c>
      <c r="R284" s="31" t="s">
        <v>78</v>
      </c>
      <c r="S284" s="101"/>
      <c r="T284" s="101"/>
      <c r="U284" s="102"/>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row>
    <row r="285" ht="29.25" hidden="1" customHeight="1">
      <c r="A285" s="92" t="s">
        <v>67</v>
      </c>
      <c r="B285" s="93" t="s">
        <v>1385</v>
      </c>
      <c r="C285" s="141" t="s">
        <v>1386</v>
      </c>
      <c r="D285" s="95" t="s">
        <v>1387</v>
      </c>
      <c r="E285" s="96"/>
      <c r="F285" s="20" t="s">
        <v>76</v>
      </c>
      <c r="G285" s="97">
        <v>100.0</v>
      </c>
      <c r="H285" s="22">
        <f>IF(OR(J285="",K285="",K285&lt;J285),0,NETWORKDAYS(J285,K285,fESTIVOS!$A$2:$A$53))
</f>
        <v>0</v>
      </c>
      <c r="I285" s="98">
        <v>46002.0</v>
      </c>
      <c r="J285" s="99">
        <v>46002.0</v>
      </c>
      <c r="K285" s="99"/>
      <c r="L285" s="99">
        <v>46008.0</v>
      </c>
      <c r="M285" s="27">
        <f>IF(OR(J285="",AND(L285="",TODAY()&lt;J285),AND(L285&lt;&gt;"",L285&lt;J285)),0,
   IF(L285="",
      NETWORKDAYS(J285,TODAY(),fESTIVOS!$A$2:$A$53),
      NETWORKDAYS(J285,L285,fESTIVOS!$A$2:$A$53)
   )
)
</f>
        <v>5</v>
      </c>
      <c r="N285" s="28"/>
      <c r="O285" s="98"/>
      <c r="P285" s="100"/>
      <c r="Q285" s="34" t="s">
        <v>1388</v>
      </c>
      <c r="R285" s="31" t="s">
        <v>78</v>
      </c>
      <c r="S285" s="101"/>
      <c r="T285" s="101"/>
      <c r="U285" s="102"/>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row>
    <row r="286" ht="29.25" hidden="1" customHeight="1">
      <c r="A286" s="92" t="s">
        <v>67</v>
      </c>
      <c r="B286" s="93" t="s">
        <v>1389</v>
      </c>
      <c r="C286" s="141" t="s">
        <v>1390</v>
      </c>
      <c r="D286" s="95" t="s">
        <v>1391</v>
      </c>
      <c r="E286" s="96"/>
      <c r="F286" s="20" t="s">
        <v>76</v>
      </c>
      <c r="G286" s="97">
        <v>100.0</v>
      </c>
      <c r="H286" s="22">
        <f>IF(OR(J286="",K286="",K286&lt;J286),0,NETWORKDAYS(J286,K286,fESTIVOS!$A$2:$A$53))
</f>
        <v>0</v>
      </c>
      <c r="I286" s="98">
        <v>46007.0</v>
      </c>
      <c r="J286" s="99">
        <v>46009.0</v>
      </c>
      <c r="K286" s="99"/>
      <c r="L286" s="99">
        <v>46021.0</v>
      </c>
      <c r="M286" s="27">
        <f>IF(OR(J286="",AND(L286="",TODAY()&lt;J286),AND(L286&lt;&gt;"",L286&lt;J286)),0,
   IF(L286="",
      NETWORKDAYS(J286,TODAY(),fESTIVOS!$A$2:$A$53),
      NETWORKDAYS(J286,L286,fESTIVOS!$A$2:$A$53)
   )
)
</f>
        <v>8</v>
      </c>
      <c r="N286" s="28"/>
      <c r="O286" s="98"/>
      <c r="P286" s="100"/>
      <c r="Q286" s="34" t="s">
        <v>1392</v>
      </c>
      <c r="R286" s="31" t="s">
        <v>78</v>
      </c>
      <c r="S286" s="101"/>
      <c r="T286" s="101"/>
      <c r="U286" s="102"/>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row>
    <row r="287" ht="29.25" hidden="1" customHeight="1">
      <c r="A287" s="92" t="s">
        <v>67</v>
      </c>
      <c r="B287" s="93" t="s">
        <v>1393</v>
      </c>
      <c r="C287" s="141" t="s">
        <v>1394</v>
      </c>
      <c r="D287" s="95" t="s">
        <v>1395</v>
      </c>
      <c r="E287" s="96"/>
      <c r="F287" s="20" t="s">
        <v>76</v>
      </c>
      <c r="G287" s="97">
        <v>100.0</v>
      </c>
      <c r="H287" s="22">
        <f>IF(OR(J287="",K287="",K287&lt;J287),0,NETWORKDAYS(J287,K287,fESTIVOS!$A$2:$A$53))
</f>
        <v>0</v>
      </c>
      <c r="I287" s="98">
        <v>46022.0</v>
      </c>
      <c r="J287" s="99">
        <v>45993.0</v>
      </c>
      <c r="K287" s="99"/>
      <c r="L287" s="99">
        <v>46024.0</v>
      </c>
      <c r="M287" s="27">
        <f>IF(OR(J287="",AND(L287="",TODAY()&lt;J287),AND(L287&lt;&gt;"",L287&lt;J287)),0,
   IF(L287="",
      NETWORKDAYS(J287,TODAY(),fESTIVOS!$A$2:$A$53),
      NETWORKDAYS(J287,L287,fESTIVOS!$A$2:$A$53)
   )
)
</f>
        <v>21</v>
      </c>
      <c r="N287" s="28"/>
      <c r="O287" s="98"/>
      <c r="P287" s="100"/>
      <c r="Q287" s="34" t="s">
        <v>1396</v>
      </c>
      <c r="R287" s="31" t="s">
        <v>78</v>
      </c>
      <c r="S287" s="101"/>
      <c r="T287" s="101"/>
      <c r="U287" s="102"/>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row>
    <row r="288" ht="29.25" hidden="1" customHeight="1">
      <c r="A288" s="92" t="s">
        <v>67</v>
      </c>
      <c r="B288" s="93" t="s">
        <v>1397</v>
      </c>
      <c r="C288" s="107" t="s">
        <v>1398</v>
      </c>
      <c r="D288" s="95"/>
      <c r="E288" s="96"/>
      <c r="F288" s="20" t="s">
        <v>76</v>
      </c>
      <c r="G288" s="97">
        <v>100.0</v>
      </c>
      <c r="H288" s="22">
        <f>IF(OR(J288="",K288="",K288&lt;J288),0,NETWORKDAYS(J288,K288,fESTIVOS!$A$2:$A$53))
</f>
        <v>0</v>
      </c>
      <c r="I288" s="98">
        <v>45965.0</v>
      </c>
      <c r="J288" s="99">
        <v>45965.0</v>
      </c>
      <c r="K288" s="99"/>
      <c r="L288" s="99">
        <v>45974.0</v>
      </c>
      <c r="M288" s="27">
        <f>IF(OR(J288="",AND(L288="",TODAY()&lt;J288),AND(L288&lt;&gt;"",L288&lt;J288)),0,
   IF(L288="",
      NETWORKDAYS(J288,TODAY(),fESTIVOS!$A$2:$A$53),
      NETWORKDAYS(J288,L288,fESTIVOS!$A$2:$A$53)
   )
)
</f>
        <v>8</v>
      </c>
      <c r="N288" s="28"/>
      <c r="O288" s="98"/>
      <c r="P288" s="100">
        <v>45974.0</v>
      </c>
      <c r="Q288" s="34" t="s">
        <v>1399</v>
      </c>
      <c r="R288" s="31" t="s">
        <v>78</v>
      </c>
      <c r="S288" s="97">
        <v>1.0</v>
      </c>
      <c r="T288" s="101"/>
      <c r="U288" s="102"/>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row>
    <row r="289" ht="29.25" hidden="1" customHeight="1">
      <c r="A289" s="92" t="s">
        <v>1400</v>
      </c>
      <c r="B289" s="93" t="s">
        <v>1401</v>
      </c>
      <c r="C289" s="107" t="s">
        <v>1402</v>
      </c>
      <c r="D289" s="95" t="s">
        <v>1403</v>
      </c>
      <c r="E289" s="96"/>
      <c r="F289" s="20" t="s">
        <v>229</v>
      </c>
      <c r="G289" s="97">
        <v>50.0</v>
      </c>
      <c r="H289" s="22">
        <f>IF(OR(J289="",K289="",K289&lt;J289),0,NETWORKDAYS(J289,K289,fESTIVOS!$A$2:$A$53))
</f>
        <v>0</v>
      </c>
      <c r="I289" s="98">
        <v>45965.0</v>
      </c>
      <c r="J289" s="99">
        <v>45966.0</v>
      </c>
      <c r="K289" s="99"/>
      <c r="L289" s="99"/>
      <c r="M289" s="27">
        <f>IF(OR(J289="",AND(L289="",TODAY()&lt;J289),AND(L289&lt;&gt;"",L289&lt;J289)),0,
   IF(L289="",
      NETWORKDAYS(J289,TODAY(),fESTIVOS!$A$2:$A$53),
      NETWORKDAYS(J289,L289,fESTIVOS!$A$2:$A$53)
   )
)
</f>
        <v>148</v>
      </c>
      <c r="N289" s="28"/>
      <c r="O289" s="98"/>
      <c r="P289" s="100"/>
      <c r="Q289" s="34" t="s">
        <v>1404</v>
      </c>
      <c r="R289" s="31" t="s">
        <v>671</v>
      </c>
      <c r="S289" s="101"/>
      <c r="T289" s="101"/>
      <c r="U289" s="102"/>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row>
    <row r="290" ht="29.25" hidden="1" customHeight="1">
      <c r="A290" s="92" t="s">
        <v>67</v>
      </c>
      <c r="B290" s="93" t="s">
        <v>1405</v>
      </c>
      <c r="C290" s="107" t="s">
        <v>1406</v>
      </c>
      <c r="D290" s="95"/>
      <c r="E290" s="96"/>
      <c r="F290" s="20" t="s">
        <v>76</v>
      </c>
      <c r="G290" s="97">
        <v>100.0</v>
      </c>
      <c r="H290" s="22">
        <f>IF(OR(J290="",K290="",K290&lt;J290),0,NETWORKDAYS(J290,K290,fESTIVOS!$A$2:$A$53))
</f>
        <v>0</v>
      </c>
      <c r="I290" s="98">
        <v>45967.0</v>
      </c>
      <c r="J290" s="99">
        <v>45979.0</v>
      </c>
      <c r="K290" s="99"/>
      <c r="L290" s="99">
        <v>45979.0</v>
      </c>
      <c r="M290" s="27">
        <f>IF(OR(J290="",AND(L290="",TODAY()&lt;J290),AND(L290&lt;&gt;"",L290&lt;J290)),0,
   IF(L290="",
      NETWORKDAYS(J290,TODAY(),fESTIVOS!$A$2:$A$53),
      NETWORKDAYS(J290,L290,fESTIVOS!$A$2:$A$53)
   )
)
</f>
        <v>1</v>
      </c>
      <c r="N290" s="28"/>
      <c r="O290" s="98"/>
      <c r="P290" s="100"/>
      <c r="Q290" s="34" t="s">
        <v>1407</v>
      </c>
      <c r="R290" s="31" t="s">
        <v>78</v>
      </c>
      <c r="S290" s="101"/>
      <c r="T290" s="101"/>
      <c r="U290" s="102"/>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row>
    <row r="291" ht="29.25" hidden="1" customHeight="1">
      <c r="A291" s="92" t="s">
        <v>67</v>
      </c>
      <c r="B291" s="93" t="s">
        <v>1408</v>
      </c>
      <c r="C291" s="151" t="s">
        <v>1409</v>
      </c>
      <c r="D291" s="95" t="s">
        <v>1410</v>
      </c>
      <c r="E291" s="96"/>
      <c r="F291" s="20" t="s">
        <v>76</v>
      </c>
      <c r="G291" s="97">
        <v>100.0</v>
      </c>
      <c r="H291" s="22">
        <f>IF(OR(J291="",K291="",K291&lt;J291),0,NETWORKDAYS(J291,K291,fESTIVOS!$A$2:$A$53))
</f>
        <v>0</v>
      </c>
      <c r="I291" s="98">
        <v>45972.0</v>
      </c>
      <c r="J291" s="99">
        <v>45974.0</v>
      </c>
      <c r="K291" s="99"/>
      <c r="L291" s="99">
        <v>45974.0</v>
      </c>
      <c r="M291" s="27">
        <f>IF(OR(J291="",AND(L291="",TODAY()&lt;J291),AND(L291&lt;&gt;"",L291&lt;J291)),0,
   IF(L291="",
      NETWORKDAYS(J291,TODAY(),fESTIVOS!$A$2:$A$53),
      NETWORKDAYS(J291,L291,fESTIVOS!$A$2:$A$53)
   )
)
</f>
        <v>1</v>
      </c>
      <c r="N291" s="28"/>
      <c r="O291" s="98"/>
      <c r="P291" s="100"/>
      <c r="Q291" s="34" t="s">
        <v>1411</v>
      </c>
      <c r="R291" s="31" t="s">
        <v>78</v>
      </c>
      <c r="S291" s="101"/>
      <c r="T291" s="101"/>
      <c r="U291" s="102"/>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row>
    <row r="292" ht="29.25" hidden="1" customHeight="1">
      <c r="A292" s="92" t="s">
        <v>67</v>
      </c>
      <c r="B292" s="93" t="s">
        <v>1412</v>
      </c>
      <c r="C292" s="151" t="s">
        <v>1413</v>
      </c>
      <c r="D292" s="204" t="s">
        <v>1414</v>
      </c>
      <c r="E292" s="96"/>
      <c r="F292" s="20" t="s">
        <v>76</v>
      </c>
      <c r="G292" s="97">
        <v>100.0</v>
      </c>
      <c r="H292" s="22">
        <f>IF(OR(J292="",K292="",K292&lt;J292),0,NETWORKDAYS(J292,K292,fESTIVOS!$A$2:$A$53))
</f>
        <v>0</v>
      </c>
      <c r="I292" s="98">
        <v>45972.0</v>
      </c>
      <c r="J292" s="99">
        <v>45979.0</v>
      </c>
      <c r="K292" s="99"/>
      <c r="L292" s="99">
        <v>45979.0</v>
      </c>
      <c r="M292" s="27">
        <f>IF(OR(J292="",AND(L292="",TODAY()&lt;J292),AND(L292&lt;&gt;"",L292&lt;J292)),0,
   IF(L292="",
      NETWORKDAYS(J292,TODAY(),fESTIVOS!$A$2:$A$53),
      NETWORKDAYS(J292,L292,fESTIVOS!$A$2:$A$53)
   )
)
</f>
        <v>1</v>
      </c>
      <c r="N292" s="28"/>
      <c r="O292" s="98"/>
      <c r="P292" s="100"/>
      <c r="Q292" s="34" t="s">
        <v>1415</v>
      </c>
      <c r="R292" s="31" t="s">
        <v>78</v>
      </c>
      <c r="S292" s="101"/>
      <c r="T292" s="101"/>
      <c r="U292" s="102"/>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row>
    <row r="293" ht="29.25" hidden="1" customHeight="1">
      <c r="A293" s="92" t="s">
        <v>1416</v>
      </c>
      <c r="B293" s="93" t="s">
        <v>1417</v>
      </c>
      <c r="C293" s="107" t="s">
        <v>1418</v>
      </c>
      <c r="D293" s="95"/>
      <c r="E293" s="96"/>
      <c r="F293" s="20" t="s">
        <v>229</v>
      </c>
      <c r="G293" s="97"/>
      <c r="H293" s="22">
        <f>IF(OR(J293="",K293="",K293&lt;J293),0,NETWORKDAYS(J293,K293,fESTIVOS!$A$2:$A$53))
</f>
        <v>0</v>
      </c>
      <c r="I293" s="98"/>
      <c r="J293" s="99"/>
      <c r="K293" s="99"/>
      <c r="L293" s="99"/>
      <c r="M293" s="27">
        <f>IF(OR(J293="",AND(L293="",TODAY()&lt;J293),AND(L293&lt;&gt;"",L293&lt;J293)),0,
   IF(L293="",
      NETWORKDAYS(J293,TODAY(),fESTIVOS!$A$2:$A$53),
      NETWORKDAYS(J293,L293,fESTIVOS!$A$2:$A$53)
   )
)
</f>
        <v>0</v>
      </c>
      <c r="N293" s="28"/>
      <c r="O293" s="98"/>
      <c r="P293" s="100"/>
      <c r="Q293" s="34" t="s">
        <v>1419</v>
      </c>
      <c r="R293" s="31" t="s">
        <v>93</v>
      </c>
      <c r="S293" s="101"/>
      <c r="T293" s="101"/>
      <c r="U293" s="102"/>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row>
    <row r="294" ht="29.25" hidden="1" customHeight="1">
      <c r="A294" s="92" t="s">
        <v>67</v>
      </c>
      <c r="B294" s="93" t="s">
        <v>1420</v>
      </c>
      <c r="C294" s="107" t="s">
        <v>1421</v>
      </c>
      <c r="D294" s="95" t="s">
        <v>1422</v>
      </c>
      <c r="E294" s="96"/>
      <c r="F294" s="20" t="s">
        <v>76</v>
      </c>
      <c r="G294" s="97">
        <v>100.0</v>
      </c>
      <c r="H294" s="22">
        <f>IF(OR(J294="",K294="",K294&lt;J294),0,NETWORKDAYS(J294,K294,fESTIVOS!$A$2:$A$53))
</f>
        <v>0</v>
      </c>
      <c r="I294" s="98">
        <v>45940.0</v>
      </c>
      <c r="J294" s="99">
        <v>45945.0</v>
      </c>
      <c r="K294" s="99"/>
      <c r="L294" s="99">
        <v>45947.0</v>
      </c>
      <c r="M294" s="27">
        <f>IF(OR(J294="",AND(L294="",TODAY()&lt;J294),AND(L294&lt;&gt;"",L294&lt;J294)),0,
   IF(L294="",
      NETWORKDAYS(J294,TODAY(),fESTIVOS!$A$2:$A$53),
      NETWORKDAYS(J294,L294,fESTIVOS!$A$2:$A$53)
   )
)
</f>
        <v>3</v>
      </c>
      <c r="N294" s="28"/>
      <c r="O294" s="98"/>
      <c r="P294" s="100"/>
      <c r="Q294" s="34" t="s">
        <v>1423</v>
      </c>
      <c r="R294" s="31" t="s">
        <v>78</v>
      </c>
      <c r="S294" s="101"/>
      <c r="T294" s="101"/>
      <c r="U294" s="102"/>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row>
    <row r="295" ht="29.25" hidden="1" customHeight="1">
      <c r="A295" s="92" t="s">
        <v>67</v>
      </c>
      <c r="B295" s="93" t="s">
        <v>1424</v>
      </c>
      <c r="C295" s="107" t="s">
        <v>1425</v>
      </c>
      <c r="D295" s="95" t="s">
        <v>1426</v>
      </c>
      <c r="E295" s="96"/>
      <c r="F295" s="20" t="s">
        <v>76</v>
      </c>
      <c r="G295" s="97">
        <v>100.0</v>
      </c>
      <c r="H295" s="22">
        <f>IF(OR(J295="",K295="",K295&lt;J295),0,NETWORKDAYS(J295,K295,fESTIVOS!$A$2:$A$53))
</f>
        <v>0</v>
      </c>
      <c r="I295" s="98">
        <v>45947.0</v>
      </c>
      <c r="J295" s="99">
        <v>45947.0</v>
      </c>
      <c r="K295" s="99"/>
      <c r="L295" s="99">
        <v>45947.0</v>
      </c>
      <c r="M295" s="27">
        <f>IF(OR(J295="",AND(L295="",TODAY()&lt;J295),AND(L295&lt;&gt;"",L295&lt;J295)),0,
   IF(L295="",
      NETWORKDAYS(J295,TODAY(),fESTIVOS!$A$2:$A$53),
      NETWORKDAYS(J295,L295,fESTIVOS!$A$2:$A$53)
   )
)
</f>
        <v>1</v>
      </c>
      <c r="N295" s="28"/>
      <c r="O295" s="98"/>
      <c r="P295" s="100"/>
      <c r="Q295" s="34" t="s">
        <v>1427</v>
      </c>
      <c r="R295" s="31" t="s">
        <v>78</v>
      </c>
      <c r="S295" s="101"/>
      <c r="T295" s="101"/>
      <c r="U295" s="102"/>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row>
    <row r="296" ht="29.25" hidden="1" customHeight="1">
      <c r="A296" s="92" t="s">
        <v>67</v>
      </c>
      <c r="B296" s="93" t="s">
        <v>1428</v>
      </c>
      <c r="C296" s="107" t="s">
        <v>1429</v>
      </c>
      <c r="D296" s="95" t="s">
        <v>1430</v>
      </c>
      <c r="E296" s="96"/>
      <c r="F296" s="20" t="s">
        <v>76</v>
      </c>
      <c r="G296" s="97">
        <v>100.0</v>
      </c>
      <c r="H296" s="22">
        <f>IF(OR(J296="",K296="",K296&lt;J296),0,NETWORKDAYS(J296,K296,fESTIVOS!$A$2:$A$53))
</f>
        <v>0</v>
      </c>
      <c r="I296" s="98">
        <v>45940.0</v>
      </c>
      <c r="J296" s="99">
        <v>45945.0</v>
      </c>
      <c r="K296" s="99"/>
      <c r="L296" s="99">
        <v>45945.0</v>
      </c>
      <c r="M296" s="27">
        <f>IF(OR(J296="",AND(L296="",TODAY()&lt;J296),AND(L296&lt;&gt;"",L296&lt;J296)),0,
   IF(L296="",
      NETWORKDAYS(J296,TODAY(),fESTIVOS!$A$2:$A$53),
      NETWORKDAYS(J296,L296,fESTIVOS!$A$2:$A$53)
   )
)
</f>
        <v>1</v>
      </c>
      <c r="N296" s="28"/>
      <c r="O296" s="98"/>
      <c r="P296" s="100"/>
      <c r="Q296" s="34" t="s">
        <v>1431</v>
      </c>
      <c r="R296" s="31" t="s">
        <v>78</v>
      </c>
      <c r="S296" s="101"/>
      <c r="T296" s="101"/>
      <c r="U296" s="102"/>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row>
    <row r="297" ht="29.25" hidden="1" customHeight="1">
      <c r="A297" s="92" t="s">
        <v>67</v>
      </c>
      <c r="B297" s="93" t="s">
        <v>1432</v>
      </c>
      <c r="C297" s="107" t="s">
        <v>1433</v>
      </c>
      <c r="D297" s="95" t="s">
        <v>1434</v>
      </c>
      <c r="E297" s="96"/>
      <c r="F297" s="20" t="s">
        <v>76</v>
      </c>
      <c r="G297" s="97">
        <v>100.0</v>
      </c>
      <c r="H297" s="22">
        <f>IF(OR(J297="",K297="",K297&lt;J297),0,NETWORKDAYS(J297,K297,fESTIVOS!$A$2:$A$53))
</f>
        <v>0</v>
      </c>
      <c r="I297" s="98">
        <v>45940.0</v>
      </c>
      <c r="J297" s="99">
        <v>45945.0</v>
      </c>
      <c r="K297" s="99"/>
      <c r="L297" s="99">
        <v>45945.0</v>
      </c>
      <c r="M297" s="27">
        <f>IF(OR(J297="",AND(L297="",TODAY()&lt;J297),AND(L297&lt;&gt;"",L297&lt;J297)),0,
   IF(L297="",
      NETWORKDAYS(J297,TODAY(),fESTIVOS!$A$2:$A$53),
      NETWORKDAYS(J297,L297,fESTIVOS!$A$2:$A$53)
   )
)
</f>
        <v>1</v>
      </c>
      <c r="N297" s="28"/>
      <c r="O297" s="98"/>
      <c r="P297" s="100"/>
      <c r="Q297" s="34" t="s">
        <v>1435</v>
      </c>
      <c r="R297" s="31" t="s">
        <v>78</v>
      </c>
      <c r="S297" s="101"/>
      <c r="T297" s="101"/>
      <c r="U297" s="102"/>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row>
    <row r="298" ht="29.25" hidden="1" customHeight="1">
      <c r="A298" s="92" t="s">
        <v>67</v>
      </c>
      <c r="B298" s="93" t="s">
        <v>1436</v>
      </c>
      <c r="C298" s="107" t="s">
        <v>1437</v>
      </c>
      <c r="D298" s="95" t="s">
        <v>1438</v>
      </c>
      <c r="E298" s="96"/>
      <c r="F298" s="20" t="s">
        <v>76</v>
      </c>
      <c r="G298" s="97">
        <v>100.0</v>
      </c>
      <c r="H298" s="22">
        <f>IF(OR(J298="",K298="",K298&lt;J298),0,NETWORKDAYS(J298,K298,fESTIVOS!$A$2:$A$53))
</f>
        <v>0</v>
      </c>
      <c r="I298" s="98">
        <v>45930.0</v>
      </c>
      <c r="J298" s="99">
        <v>45930.0</v>
      </c>
      <c r="K298" s="99"/>
      <c r="L298" s="99">
        <v>45930.0</v>
      </c>
      <c r="M298" s="27">
        <f>IF(OR(J298="",AND(L298="",TODAY()&lt;J298),AND(L298&lt;&gt;"",L298&lt;J298)),0,
   IF(L298="",
      NETWORKDAYS(J298,TODAY(),fESTIVOS!$A$2:$A$53),
      NETWORKDAYS(J298,L298,fESTIVOS!$A$2:$A$53)
   )
)
</f>
        <v>1</v>
      </c>
      <c r="N298" s="28"/>
      <c r="O298" s="98"/>
      <c r="P298" s="100"/>
      <c r="Q298" s="34" t="s">
        <v>1439</v>
      </c>
      <c r="R298" s="31" t="s">
        <v>78</v>
      </c>
      <c r="S298" s="101"/>
      <c r="T298" s="101"/>
      <c r="U298" s="102"/>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row>
    <row r="299" ht="29.25" hidden="1" customHeight="1">
      <c r="A299" s="92" t="s">
        <v>67</v>
      </c>
      <c r="B299" s="93" t="s">
        <v>1440</v>
      </c>
      <c r="C299" s="107" t="s">
        <v>1441</v>
      </c>
      <c r="D299" s="95" t="s">
        <v>1442</v>
      </c>
      <c r="E299" s="96"/>
      <c r="F299" s="20" t="s">
        <v>76</v>
      </c>
      <c r="G299" s="97">
        <v>100.0</v>
      </c>
      <c r="H299" s="22">
        <f>IF(OR(J299="",K299="",K299&lt;J299),0,NETWORKDAYS(J299,K299,fESTIVOS!$A$2:$A$53))
</f>
        <v>0</v>
      </c>
      <c r="I299" s="98">
        <v>45916.0</v>
      </c>
      <c r="J299" s="99">
        <v>45916.0</v>
      </c>
      <c r="K299" s="99"/>
      <c r="L299" s="99">
        <v>45916.0</v>
      </c>
      <c r="M299" s="27">
        <f>IF(OR(J299="",AND(L299="",TODAY()&lt;J299),AND(L299&lt;&gt;"",L299&lt;J299)),0,
   IF(L299="",
      NETWORKDAYS(J299,TODAY(),fESTIVOS!$A$2:$A$53),
      NETWORKDAYS(J299,L299,fESTIVOS!$A$2:$A$53)
   )
)
</f>
        <v>1</v>
      </c>
      <c r="N299" s="28"/>
      <c r="O299" s="98"/>
      <c r="P299" s="100">
        <v>45916.0</v>
      </c>
      <c r="Q299" s="34" t="s">
        <v>1443</v>
      </c>
      <c r="R299" s="31" t="s">
        <v>78</v>
      </c>
      <c r="S299" s="101"/>
      <c r="T299" s="101"/>
      <c r="U299" s="102"/>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row>
    <row r="300" ht="29.25" hidden="1" customHeight="1">
      <c r="A300" s="92" t="s">
        <v>67</v>
      </c>
      <c r="B300" s="93" t="s">
        <v>1444</v>
      </c>
      <c r="C300" s="107" t="s">
        <v>1445</v>
      </c>
      <c r="D300" s="95" t="s">
        <v>1446</v>
      </c>
      <c r="E300" s="96"/>
      <c r="F300" s="20" t="s">
        <v>76</v>
      </c>
      <c r="G300" s="97">
        <v>100.0</v>
      </c>
      <c r="H300" s="22">
        <f>IF(OR(J300="",K300="",K300&lt;J300),0,NETWORKDAYS(J300,K300,fESTIVOS!$A$2:$A$53))
</f>
        <v>0</v>
      </c>
      <c r="I300" s="98">
        <v>45910.0</v>
      </c>
      <c r="J300" s="99">
        <v>45910.0</v>
      </c>
      <c r="K300" s="99"/>
      <c r="L300" s="99">
        <v>45910.0</v>
      </c>
      <c r="M300" s="27">
        <f>IF(OR(J300="",AND(L300="",TODAY()&lt;J300),AND(L300&lt;&gt;"",L300&lt;J300)),0,
   IF(L300="",
      NETWORKDAYS(J300,TODAY(),fESTIVOS!$A$2:$A$53),
      NETWORKDAYS(J300,L300,fESTIVOS!$A$2:$A$53)
   )
)
</f>
        <v>1</v>
      </c>
      <c r="N300" s="28"/>
      <c r="O300" s="98"/>
      <c r="P300" s="100"/>
      <c r="Q300" s="34" t="s">
        <v>1447</v>
      </c>
      <c r="R300" s="31" t="s">
        <v>78</v>
      </c>
      <c r="S300" s="101"/>
      <c r="T300" s="101"/>
      <c r="U300" s="102"/>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row>
    <row r="301" ht="29.25" hidden="1" customHeight="1">
      <c r="A301" s="92" t="s">
        <v>157</v>
      </c>
      <c r="B301" s="93" t="s">
        <v>1448</v>
      </c>
      <c r="C301" s="107" t="s">
        <v>1449</v>
      </c>
      <c r="D301" s="95" t="s">
        <v>1450</v>
      </c>
      <c r="E301" s="96"/>
      <c r="F301" s="20" t="s">
        <v>76</v>
      </c>
      <c r="G301" s="97">
        <v>100.0</v>
      </c>
      <c r="H301" s="22">
        <f>IF(OR(J301="",K301="",K301&lt;J301),0,NETWORKDAYS(J301,K301,fESTIVOS!$A$2:$A$53))
</f>
        <v>0</v>
      </c>
      <c r="I301" s="98">
        <v>45908.0</v>
      </c>
      <c r="J301" s="99">
        <v>45909.0</v>
      </c>
      <c r="K301" s="99"/>
      <c r="L301" s="99">
        <v>45909.0</v>
      </c>
      <c r="M301" s="27">
        <f>IF(OR(J301="",AND(L301="",TODAY()&lt;J301),AND(L301&lt;&gt;"",L301&lt;J301)),0,
   IF(L301="",
      NETWORKDAYS(J301,TODAY(),fESTIVOS!$A$2:$A$53),
      NETWORKDAYS(J301,L301,fESTIVOS!$A$2:$A$53)
   )
)
</f>
        <v>1</v>
      </c>
      <c r="N301" s="28"/>
      <c r="O301" s="98">
        <v>45909.0</v>
      </c>
      <c r="P301" s="100">
        <v>45910.0</v>
      </c>
      <c r="Q301" s="34" t="s">
        <v>1451</v>
      </c>
      <c r="R301" s="31" t="s">
        <v>78</v>
      </c>
      <c r="S301" s="101"/>
      <c r="T301" s="101"/>
      <c r="U301" s="102"/>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row>
    <row r="302" ht="29.25" hidden="1" customHeight="1">
      <c r="A302" s="92" t="s">
        <v>128</v>
      </c>
      <c r="B302" s="93" t="s">
        <v>1452</v>
      </c>
      <c r="C302" s="107" t="s">
        <v>1453</v>
      </c>
      <c r="D302" s="95" t="s">
        <v>1454</v>
      </c>
      <c r="E302" s="96"/>
      <c r="F302" s="20" t="s">
        <v>76</v>
      </c>
      <c r="G302" s="97">
        <v>100.0</v>
      </c>
      <c r="H302" s="22">
        <f>IF(OR(J302="",K302="",K302&lt;J302),0,NETWORKDAYS(J302,K302,fESTIVOS!$A$2:$A$53))
</f>
        <v>0</v>
      </c>
      <c r="I302" s="98">
        <v>45905.0</v>
      </c>
      <c r="J302" s="99">
        <v>45905.0</v>
      </c>
      <c r="K302" s="99"/>
      <c r="L302" s="99">
        <v>45908.0</v>
      </c>
      <c r="M302" s="27">
        <f>IF(OR(J302="",AND(L302="",TODAY()&lt;J302),AND(L302&lt;&gt;"",L302&lt;J302)),0,
   IF(L302="",
      NETWORKDAYS(J302,TODAY(),fESTIVOS!$A$2:$A$53),
      NETWORKDAYS(J302,L302,fESTIVOS!$A$2:$A$53)
   )
)
</f>
        <v>2</v>
      </c>
      <c r="N302" s="28"/>
      <c r="O302" s="98"/>
      <c r="P302" s="100"/>
      <c r="Q302" s="34" t="s">
        <v>1455</v>
      </c>
      <c r="R302" s="31" t="s">
        <v>78</v>
      </c>
      <c r="S302" s="101"/>
      <c r="T302" s="101"/>
      <c r="U302" s="102"/>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row>
    <row r="303" ht="29.25" hidden="1" customHeight="1">
      <c r="A303" s="92" t="s">
        <v>67</v>
      </c>
      <c r="B303" s="93" t="s">
        <v>1456</v>
      </c>
      <c r="C303" s="107" t="s">
        <v>1457</v>
      </c>
      <c r="D303" s="95" t="s">
        <v>1458</v>
      </c>
      <c r="E303" s="96"/>
      <c r="F303" s="20" t="s">
        <v>76</v>
      </c>
      <c r="G303" s="97">
        <v>100.0</v>
      </c>
      <c r="H303" s="22">
        <f>IF(OR(J303="",K303="",K303&lt;J303),0,NETWORKDAYS(J303,K303,fESTIVOS!$A$2:$A$53))
</f>
        <v>0</v>
      </c>
      <c r="I303" s="98">
        <v>45890.0</v>
      </c>
      <c r="J303" s="99">
        <v>45890.0</v>
      </c>
      <c r="K303" s="99"/>
      <c r="L303" s="99">
        <v>45898.0</v>
      </c>
      <c r="M303" s="27">
        <f>IF(OR(J303="",AND(L303="",TODAY()&lt;J303),AND(L303&lt;&gt;"",L303&lt;J303)),0,
   IF(L303="",
      NETWORKDAYS(J303,TODAY(),fESTIVOS!$A$2:$A$53),
      NETWORKDAYS(J303,L303,fESTIVOS!$A$2:$A$53)
   )
)
</f>
        <v>7</v>
      </c>
      <c r="N303" s="28"/>
      <c r="O303" s="98"/>
      <c r="P303" s="100"/>
      <c r="Q303" s="34" t="s">
        <v>1459</v>
      </c>
      <c r="R303" s="31" t="s">
        <v>78</v>
      </c>
      <c r="S303" s="101"/>
      <c r="T303" s="101"/>
      <c r="U303" s="102"/>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row>
    <row r="304" ht="29.25" hidden="1" customHeight="1">
      <c r="A304" s="92" t="s">
        <v>128</v>
      </c>
      <c r="B304" s="93" t="s">
        <v>1460</v>
      </c>
      <c r="C304" s="107" t="s">
        <v>1461</v>
      </c>
      <c r="D304" s="95" t="s">
        <v>1462</v>
      </c>
      <c r="E304" s="96"/>
      <c r="F304" s="122" t="s">
        <v>76</v>
      </c>
      <c r="G304" s="97">
        <v>100.0</v>
      </c>
      <c r="H304" s="22">
        <f>IF(OR(J304="",K304="",K304&lt;J304),0,NETWORKDAYS(J304,K304,fESTIVOS!$A$2:$A$53))
</f>
        <v>5</v>
      </c>
      <c r="I304" s="98">
        <v>45895.0</v>
      </c>
      <c r="J304" s="99">
        <v>45904.0</v>
      </c>
      <c r="K304" s="99">
        <v>45910.0</v>
      </c>
      <c r="L304" s="99">
        <v>45905.0</v>
      </c>
      <c r="M304" s="27">
        <f>IF(OR(J304="",AND(L304="",TODAY()&lt;J304),AND(L304&lt;&gt;"",L304&lt;J304)),0,
   IF(L304="",
      NETWORKDAYS(J304,TODAY(),fESTIVOS!$A$2:$A$53),
      NETWORKDAYS(J304,L304,fESTIVOS!$A$2:$A$53)
   )
)
</f>
        <v>2</v>
      </c>
      <c r="N304" s="28"/>
      <c r="O304" s="98">
        <v>45905.0</v>
      </c>
      <c r="P304" s="100">
        <v>45912.0</v>
      </c>
      <c r="Q304" s="34" t="s">
        <v>1463</v>
      </c>
      <c r="R304" s="31" t="s">
        <v>78</v>
      </c>
      <c r="S304" s="205"/>
      <c r="T304" s="101"/>
      <c r="U304" s="102"/>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row>
    <row r="305" ht="29.25" hidden="1" customHeight="1">
      <c r="A305" s="92" t="s">
        <v>128</v>
      </c>
      <c r="B305" s="93" t="s">
        <v>1464</v>
      </c>
      <c r="C305" s="107" t="s">
        <v>1465</v>
      </c>
      <c r="D305" s="95" t="s">
        <v>1466</v>
      </c>
      <c r="E305" s="96"/>
      <c r="F305" s="122" t="s">
        <v>76</v>
      </c>
      <c r="G305" s="97">
        <v>100.0</v>
      </c>
      <c r="H305" s="22">
        <f>IF(OR(J305="",K305="",K305&lt;J305),0,NETWORKDAYS(J305,K305,fESTIVOS!$A$2:$A$53))
</f>
        <v>0</v>
      </c>
      <c r="I305" s="98">
        <v>45902.0</v>
      </c>
      <c r="J305" s="99">
        <v>45902.0</v>
      </c>
      <c r="K305" s="99"/>
      <c r="L305" s="99">
        <v>45902.0</v>
      </c>
      <c r="M305" s="27">
        <f>IF(OR(J305="",AND(L305="",TODAY()&lt;J305),AND(L305&lt;&gt;"",L305&lt;J305)),0,
   IF(L305="",
      NETWORKDAYS(J305,TODAY(),fESTIVOS!$A$2:$A$53),
      NETWORKDAYS(J305,L305,fESTIVOS!$A$2:$A$53)
   )
)
</f>
        <v>1</v>
      </c>
      <c r="N305" s="28"/>
      <c r="O305" s="98"/>
      <c r="P305" s="100"/>
      <c r="Q305" s="34" t="s">
        <v>1467</v>
      </c>
      <c r="R305" s="31" t="s">
        <v>78</v>
      </c>
      <c r="S305" s="101"/>
      <c r="T305" s="101"/>
      <c r="U305" s="102"/>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row>
    <row r="306" ht="29.25" hidden="1" customHeight="1">
      <c r="A306" s="92" t="s">
        <v>128</v>
      </c>
      <c r="B306" s="93" t="s">
        <v>1468</v>
      </c>
      <c r="C306" s="107" t="s">
        <v>1469</v>
      </c>
      <c r="D306" s="95"/>
      <c r="E306" s="96"/>
      <c r="F306" s="122" t="s">
        <v>76</v>
      </c>
      <c r="G306" s="97">
        <v>100.0</v>
      </c>
      <c r="H306" s="22">
        <f>IF(OR(J306="",K306="",K306&lt;J306),0,NETWORKDAYS(J306,K306,fESTIVOS!$A$2:$A$53))
</f>
        <v>0</v>
      </c>
      <c r="I306" s="98">
        <v>45915.0</v>
      </c>
      <c r="J306" s="99">
        <v>45915.0</v>
      </c>
      <c r="K306" s="99"/>
      <c r="L306" s="99">
        <v>45915.0</v>
      </c>
      <c r="M306" s="27">
        <f>IF(OR(J306="",AND(L306="",TODAY()&lt;J306),AND(L306&lt;&gt;"",L306&lt;J306)),0,
   IF(L306="",
      NETWORKDAYS(J306,TODAY(),fESTIVOS!$A$2:$A$53),
      NETWORKDAYS(J306,L306,fESTIVOS!$A$2:$A$53)
   )
)
</f>
        <v>1</v>
      </c>
      <c r="N306" s="28"/>
      <c r="O306" s="98"/>
      <c r="P306" s="100"/>
      <c r="Q306" s="34" t="s">
        <v>1470</v>
      </c>
      <c r="R306" s="31" t="s">
        <v>78</v>
      </c>
      <c r="S306" s="101"/>
      <c r="T306" s="101"/>
      <c r="U306" s="102"/>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row>
    <row r="307" ht="29.25" hidden="1" customHeight="1">
      <c r="A307" s="55" t="s">
        <v>128</v>
      </c>
      <c r="B307" s="17" t="s">
        <v>1471</v>
      </c>
      <c r="C307" s="107" t="s">
        <v>1472</v>
      </c>
      <c r="D307" s="95" t="s">
        <v>1473</v>
      </c>
      <c r="E307" s="96"/>
      <c r="F307" s="112" t="s">
        <v>686</v>
      </c>
      <c r="G307" s="192"/>
      <c r="H307" s="22">
        <f>IF(OR(J307="",K307="",K307&lt;J307),0,NETWORKDAYS(J307,K307,fESTIVOS!$A$2:$A$53))
</f>
        <v>0</v>
      </c>
      <c r="I307" s="186">
        <v>45888.0</v>
      </c>
      <c r="J307" s="99"/>
      <c r="K307" s="99"/>
      <c r="L307" s="99"/>
      <c r="M307" s="27">
        <f>IF(OR(J307="",AND(L307="",TODAY()&lt;J307),AND(L307&lt;&gt;"",L307&lt;J307)),0,
   IF(L307="",
      NETWORKDAYS(J307,TODAY(),fESTIVOS!$A$2:$A$53),
      NETWORKDAYS(J307,L307,fESTIVOS!$A$2:$A$53)
   )
)
</f>
        <v>0</v>
      </c>
      <c r="N307" s="28"/>
      <c r="O307" s="98"/>
      <c r="P307" s="100"/>
      <c r="Q307" s="34" t="s">
        <v>1474</v>
      </c>
      <c r="R307" s="113" t="s">
        <v>93</v>
      </c>
      <c r="S307" s="101"/>
      <c r="T307" s="101"/>
      <c r="U307" s="102"/>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row>
    <row r="308" ht="29.25" hidden="1" customHeight="1">
      <c r="A308" s="55" t="s">
        <v>128</v>
      </c>
      <c r="B308" s="93" t="s">
        <v>1475</v>
      </c>
      <c r="C308" s="151" t="s">
        <v>1476</v>
      </c>
      <c r="D308" s="95" t="s">
        <v>1477</v>
      </c>
      <c r="E308" s="96"/>
      <c r="F308" s="112" t="s">
        <v>76</v>
      </c>
      <c r="G308" s="97">
        <v>100.0</v>
      </c>
      <c r="H308" s="22">
        <f>IF(OR(J308="",K308="",K308&lt;J308),0,NETWORKDAYS(J308,K308,fESTIVOS!$A$2:$A$53))
</f>
        <v>0</v>
      </c>
      <c r="I308" s="193">
        <v>46132.0</v>
      </c>
      <c r="J308" s="184">
        <v>46132.0</v>
      </c>
      <c r="K308" s="99"/>
      <c r="L308" s="99">
        <v>46132.0</v>
      </c>
      <c r="M308" s="27">
        <f>IF(OR(J308="",AND(L308="",TODAY()&lt;J308),AND(L308&lt;&gt;"",L308&lt;J308)),0,
   IF(L308="",
      NETWORKDAYS(J308,TODAY(),fESTIVOS!$A$2:$A$53),
      NETWORKDAYS(J308,L308,fESTIVOS!$A$2:$A$53)
   )
)
</f>
        <v>1</v>
      </c>
      <c r="N308" s="28"/>
      <c r="O308" s="98"/>
      <c r="P308" s="100">
        <v>46132.0</v>
      </c>
      <c r="Q308" s="34" t="s">
        <v>1478</v>
      </c>
      <c r="R308" s="113" t="s">
        <v>78</v>
      </c>
      <c r="S308" s="97"/>
      <c r="T308" s="101"/>
      <c r="U308" s="102"/>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row>
    <row r="309" ht="29.25" hidden="1" customHeight="1">
      <c r="A309" s="55" t="s">
        <v>128</v>
      </c>
      <c r="B309" s="93" t="s">
        <v>1479</v>
      </c>
      <c r="C309" s="107" t="s">
        <v>1480</v>
      </c>
      <c r="D309" s="95"/>
      <c r="E309" s="96"/>
      <c r="F309" s="112" t="s">
        <v>229</v>
      </c>
      <c r="G309" s="97"/>
      <c r="H309" s="22">
        <f>IF(OR(J309="",K309="",K309&lt;J309),0,NETWORKDAYS(J309,K309,fESTIVOS!$A$2:$A$53))
</f>
        <v>0</v>
      </c>
      <c r="I309" s="193">
        <v>45912.0</v>
      </c>
      <c r="J309" s="184"/>
      <c r="K309" s="99"/>
      <c r="L309" s="99"/>
      <c r="M309" s="27">
        <f>IF(OR(J309="",AND(L309="",TODAY()&lt;J309),AND(L309&lt;&gt;"",L309&lt;J309)),0,
   IF(L309="",
      NETWORKDAYS(J309,TODAY(),fESTIVOS!$A$2:$A$53),
      NETWORKDAYS(J309,L309,fESTIVOS!$A$2:$A$53)
   )
)
</f>
        <v>0</v>
      </c>
      <c r="N309" s="28"/>
      <c r="O309" s="98"/>
      <c r="P309" s="100"/>
      <c r="Q309" s="34" t="s">
        <v>1481</v>
      </c>
      <c r="R309" s="113" t="s">
        <v>93</v>
      </c>
      <c r="S309" s="97"/>
      <c r="T309" s="101"/>
      <c r="U309" s="102"/>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row>
    <row r="310" ht="29.25" hidden="1" customHeight="1">
      <c r="A310" s="92" t="s">
        <v>128</v>
      </c>
      <c r="B310" s="93" t="s">
        <v>1482</v>
      </c>
      <c r="C310" s="107" t="s">
        <v>1483</v>
      </c>
      <c r="D310" s="95" t="s">
        <v>1484</v>
      </c>
      <c r="E310" s="96"/>
      <c r="F310" s="122" t="s">
        <v>76</v>
      </c>
      <c r="G310" s="97">
        <v>100.0</v>
      </c>
      <c r="H310" s="22">
        <f>IF(OR(J310="",K310="",K310&lt;J310),0,NETWORKDAYS(J310,K310,fESTIVOS!$A$2:$A$53))
</f>
        <v>0</v>
      </c>
      <c r="I310" s="98">
        <v>45904.0</v>
      </c>
      <c r="J310" s="99">
        <v>45905.0</v>
      </c>
      <c r="K310" s="99"/>
      <c r="L310" s="99">
        <v>45918.0</v>
      </c>
      <c r="M310" s="27">
        <f>IF(OR(J310="",AND(L310="",TODAY()&lt;J310),AND(L310&lt;&gt;"",L310&lt;J310)),0,
   IF(L310="",
      NETWORKDAYS(J310,TODAY(),fESTIVOS!$A$2:$A$53),
      NETWORKDAYS(J310,L310,fESTIVOS!$A$2:$A$53)
   )
)
</f>
        <v>10</v>
      </c>
      <c r="N310" s="28"/>
      <c r="O310" s="98">
        <v>45918.0</v>
      </c>
      <c r="P310" s="100"/>
      <c r="Q310" s="34" t="s">
        <v>1485</v>
      </c>
      <c r="R310" s="31" t="s">
        <v>78</v>
      </c>
      <c r="S310" s="155">
        <v>2.0</v>
      </c>
      <c r="T310" s="101"/>
      <c r="U310" s="102"/>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row>
    <row r="311" ht="29.25" hidden="1" customHeight="1">
      <c r="A311" s="92" t="s">
        <v>128</v>
      </c>
      <c r="B311" s="93" t="s">
        <v>1486</v>
      </c>
      <c r="C311" s="107" t="s">
        <v>1487</v>
      </c>
      <c r="D311" s="95" t="s">
        <v>1488</v>
      </c>
      <c r="E311" s="96"/>
      <c r="F311" s="122" t="s">
        <v>76</v>
      </c>
      <c r="G311" s="97">
        <v>100.0</v>
      </c>
      <c r="H311" s="22">
        <f>IF(OR(J311="",K311="",K311&lt;J311),0,NETWORKDAYS(J311,K311,fESTIVOS!$A$2:$A$53))
</f>
        <v>0</v>
      </c>
      <c r="I311" s="98">
        <v>45916.0</v>
      </c>
      <c r="J311" s="99">
        <v>45919.0</v>
      </c>
      <c r="K311" s="99"/>
      <c r="L311" s="99">
        <v>45920.0</v>
      </c>
      <c r="M311" s="27">
        <f>IF(OR(J311="",AND(L311="",TODAY()&lt;J311),AND(L311&lt;&gt;"",L311&lt;J311)),0,
   IF(L311="",
      NETWORKDAYS(J311,TODAY(),fESTIVOS!$A$2:$A$53),
      NETWORKDAYS(J311,L311,fESTIVOS!$A$2:$A$53)
   )
)
</f>
        <v>1</v>
      </c>
      <c r="N311" s="28"/>
      <c r="O311" s="98"/>
      <c r="P311" s="100"/>
      <c r="Q311" s="34" t="s">
        <v>1489</v>
      </c>
      <c r="R311" s="31" t="s">
        <v>78</v>
      </c>
      <c r="S311" s="155"/>
      <c r="T311" s="101"/>
      <c r="U311" s="102"/>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row>
    <row r="312" ht="29.25" hidden="1" customHeight="1">
      <c r="A312" s="92" t="s">
        <v>128</v>
      </c>
      <c r="B312" s="93" t="s">
        <v>1490</v>
      </c>
      <c r="C312" s="107" t="s">
        <v>1491</v>
      </c>
      <c r="D312" s="95" t="s">
        <v>1492</v>
      </c>
      <c r="E312" s="96"/>
      <c r="F312" s="122" t="s">
        <v>76</v>
      </c>
      <c r="G312" s="97">
        <v>100.0</v>
      </c>
      <c r="H312" s="22">
        <f>IF(OR(J312="",K312="",K312&lt;J312),0,NETWORKDAYS(J312,K312,fESTIVOS!$A$2:$A$53))
</f>
        <v>0</v>
      </c>
      <c r="I312" s="98">
        <v>45924.0</v>
      </c>
      <c r="J312" s="99">
        <v>45925.0</v>
      </c>
      <c r="K312" s="99"/>
      <c r="L312" s="99"/>
      <c r="M312" s="27">
        <f>IF(OR(J312="",AND(L312="",TODAY()&lt;J312),AND(L312&lt;&gt;"",L312&lt;J312)),0,
   IF(L312="",
      NETWORKDAYS(J312,TODAY(),fESTIVOS!$A$2:$A$53),
      NETWORKDAYS(J312,L312,fESTIVOS!$A$2:$A$53)
   )
)
</f>
        <v>175</v>
      </c>
      <c r="N312" s="28"/>
      <c r="O312" s="98"/>
      <c r="P312" s="100"/>
      <c r="Q312" s="34" t="s">
        <v>1493</v>
      </c>
      <c r="R312" s="113" t="s">
        <v>78</v>
      </c>
      <c r="S312" s="155"/>
      <c r="T312" s="97" t="s">
        <v>1494</v>
      </c>
      <c r="U312" s="102"/>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row>
    <row r="313" ht="29.25" hidden="1" customHeight="1">
      <c r="A313" s="92" t="s">
        <v>128</v>
      </c>
      <c r="B313" s="93" t="s">
        <v>1495</v>
      </c>
      <c r="C313" s="107" t="s">
        <v>1496</v>
      </c>
      <c r="D313" s="95" t="s">
        <v>1497</v>
      </c>
      <c r="E313" s="96"/>
      <c r="F313" s="122" t="s">
        <v>76</v>
      </c>
      <c r="G313" s="97">
        <v>100.0</v>
      </c>
      <c r="H313" s="22">
        <f>IF(OR(J313="",K313="",K313&lt;J313),0,NETWORKDAYS(J313,K313,fESTIVOS!$A$2:$A$53))
</f>
        <v>0</v>
      </c>
      <c r="I313" s="98">
        <v>45924.0</v>
      </c>
      <c r="J313" s="99">
        <v>45924.0</v>
      </c>
      <c r="K313" s="99"/>
      <c r="L313" s="99">
        <v>45924.0</v>
      </c>
      <c r="M313" s="27">
        <f>IF(OR(J313="",AND(L313="",TODAY()&lt;J313),AND(L313&lt;&gt;"",L313&lt;J313)),0,
   IF(L313="",
      NETWORKDAYS(J313,TODAY(),fESTIVOS!$A$2:$A$53),
      NETWORKDAYS(J313,L313,fESTIVOS!$A$2:$A$53)
   )
)
</f>
        <v>1</v>
      </c>
      <c r="N313" s="28"/>
      <c r="O313" s="98"/>
      <c r="P313" s="100"/>
      <c r="Q313" s="34" t="s">
        <v>1498</v>
      </c>
      <c r="R313" s="113" t="s">
        <v>78</v>
      </c>
      <c r="S313" s="155"/>
      <c r="T313" s="97"/>
      <c r="U313" s="102"/>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row>
    <row r="314" ht="29.25" hidden="1" customHeight="1">
      <c r="A314" s="92" t="s">
        <v>128</v>
      </c>
      <c r="B314" s="93" t="s">
        <v>1499</v>
      </c>
      <c r="C314" s="107" t="s">
        <v>1500</v>
      </c>
      <c r="D314" s="95" t="s">
        <v>1501</v>
      </c>
      <c r="E314" s="96"/>
      <c r="F314" s="122" t="s">
        <v>76</v>
      </c>
      <c r="G314" s="97">
        <v>100.0</v>
      </c>
      <c r="H314" s="22">
        <f>IF(OR(J314="",K314="",K314&lt;J314),0,NETWORKDAYS(J314,K314,fESTIVOS!$A$2:$A$53))
</f>
        <v>0</v>
      </c>
      <c r="I314" s="98">
        <v>45938.0</v>
      </c>
      <c r="J314" s="99">
        <v>45939.0</v>
      </c>
      <c r="K314" s="99"/>
      <c r="L314" s="99">
        <v>45939.0</v>
      </c>
      <c r="M314" s="27">
        <f>IF(OR(J314="",AND(L314="",TODAY()&lt;J314),AND(L314&lt;&gt;"",L314&lt;J314)),0,
   IF(L314="",
      NETWORKDAYS(J314,TODAY(),fESTIVOS!$A$2:$A$53),
      NETWORKDAYS(J314,L314,fESTIVOS!$A$2:$A$53)
   )
)
</f>
        <v>1</v>
      </c>
      <c r="N314" s="28"/>
      <c r="O314" s="98"/>
      <c r="P314" s="100">
        <v>45939.0</v>
      </c>
      <c r="Q314" s="34" t="s">
        <v>1502</v>
      </c>
      <c r="R314" s="113" t="s">
        <v>78</v>
      </c>
      <c r="S314" s="155"/>
      <c r="T314" s="97"/>
      <c r="U314" s="102"/>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row>
    <row r="315" ht="29.25" hidden="1" customHeight="1">
      <c r="A315" s="92" t="s">
        <v>128</v>
      </c>
      <c r="B315" s="93" t="s">
        <v>1503</v>
      </c>
      <c r="C315" s="107" t="s">
        <v>1504</v>
      </c>
      <c r="D315" s="95"/>
      <c r="E315" s="96"/>
      <c r="F315" s="122" t="s">
        <v>76</v>
      </c>
      <c r="G315" s="97">
        <v>100.0</v>
      </c>
      <c r="H315" s="22">
        <f>IF(OR(J315="",K315="",K315&lt;J315),0,NETWORKDAYS(J315,K315,fESTIVOS!$A$2:$A$53))
</f>
        <v>0</v>
      </c>
      <c r="I315" s="98">
        <v>45939.0</v>
      </c>
      <c r="J315" s="99">
        <v>45939.0</v>
      </c>
      <c r="K315" s="99"/>
      <c r="L315" s="99">
        <v>45939.0</v>
      </c>
      <c r="M315" s="27">
        <f>IF(OR(J315="",AND(L315="",TODAY()&lt;J315),AND(L315&lt;&gt;"",L315&lt;J315)),0,
   IF(L315="",
      NETWORKDAYS(J315,TODAY(),fESTIVOS!$A$2:$A$53),
      NETWORKDAYS(J315,L315,fESTIVOS!$A$2:$A$53)
   )
)
</f>
        <v>1</v>
      </c>
      <c r="N315" s="28"/>
      <c r="O315" s="98"/>
      <c r="P315" s="100"/>
      <c r="Q315" s="34" t="s">
        <v>1505</v>
      </c>
      <c r="R315" s="113" t="s">
        <v>78</v>
      </c>
      <c r="S315" s="155"/>
      <c r="T315" s="97"/>
      <c r="U315" s="102"/>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row>
    <row r="316" ht="29.25" hidden="1" customHeight="1">
      <c r="A316" s="92" t="s">
        <v>157</v>
      </c>
      <c r="B316" s="93" t="s">
        <v>1506</v>
      </c>
      <c r="C316" s="107" t="s">
        <v>1507</v>
      </c>
      <c r="D316" s="95" t="s">
        <v>1501</v>
      </c>
      <c r="E316" s="96"/>
      <c r="F316" s="122" t="s">
        <v>76</v>
      </c>
      <c r="G316" s="97">
        <v>100.0</v>
      </c>
      <c r="H316" s="22">
        <f>IF(OR(J316="",K316="",K316&lt;J316),0,NETWORKDAYS(J316,K316,fESTIVOS!$A$2:$A$53))
</f>
        <v>0</v>
      </c>
      <c r="I316" s="98">
        <v>45938.0</v>
      </c>
      <c r="J316" s="99">
        <v>45958.0</v>
      </c>
      <c r="K316" s="99"/>
      <c r="L316" s="99">
        <v>45961.0</v>
      </c>
      <c r="M316" s="27">
        <f>IF(OR(J316="",AND(L316="",TODAY()&lt;J316),AND(L316&lt;&gt;"",L316&lt;J316)),0,
   IF(L316="",
      NETWORKDAYS(J316,TODAY(),fESTIVOS!$A$2:$A$53),
      NETWORKDAYS(J316,L316,fESTIVOS!$A$2:$A$53)
   )
)
</f>
        <v>4</v>
      </c>
      <c r="N316" s="28"/>
      <c r="O316" s="98">
        <v>45960.0</v>
      </c>
      <c r="P316" s="100">
        <v>45961.0</v>
      </c>
      <c r="Q316" s="34" t="s">
        <v>1508</v>
      </c>
      <c r="R316" s="113" t="s">
        <v>78</v>
      </c>
      <c r="S316" s="155">
        <v>3.0</v>
      </c>
      <c r="T316" s="97"/>
      <c r="U316" s="102"/>
      <c r="V316" s="167" t="s">
        <v>1509</v>
      </c>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row>
    <row r="317" ht="29.25" hidden="1" customHeight="1">
      <c r="A317" s="92" t="s">
        <v>128</v>
      </c>
      <c r="B317" s="93" t="s">
        <v>1510</v>
      </c>
      <c r="C317" s="107" t="s">
        <v>1511</v>
      </c>
      <c r="D317" s="95" t="s">
        <v>1512</v>
      </c>
      <c r="E317" s="96"/>
      <c r="F317" s="122" t="s">
        <v>76</v>
      </c>
      <c r="G317" s="97">
        <v>100.0</v>
      </c>
      <c r="H317" s="22">
        <f>IF(OR(J317="",K317="",K317&lt;J317),0,NETWORKDAYS(J317,K317,fESTIVOS!$A$2:$A$53))
</f>
        <v>0</v>
      </c>
      <c r="I317" s="98">
        <v>45938.0</v>
      </c>
      <c r="J317" s="99">
        <v>45945.0</v>
      </c>
      <c r="K317" s="99"/>
      <c r="L317" s="99">
        <v>45946.0</v>
      </c>
      <c r="M317" s="27">
        <f>IF(OR(J317="",AND(L317="",TODAY()&lt;J317),AND(L317&lt;&gt;"",L317&lt;J317)),0,
   IF(L317="",
      NETWORKDAYS(J317,TODAY(),fESTIVOS!$A$2:$A$53),
      NETWORKDAYS(J317,L317,fESTIVOS!$A$2:$A$53)
   )
)
</f>
        <v>2</v>
      </c>
      <c r="N317" s="28"/>
      <c r="O317" s="98"/>
      <c r="P317" s="100">
        <v>45946.0</v>
      </c>
      <c r="Q317" s="34" t="s">
        <v>1513</v>
      </c>
      <c r="R317" s="113" t="s">
        <v>78</v>
      </c>
      <c r="S317" s="155"/>
      <c r="T317" s="97"/>
      <c r="U317" s="102"/>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row>
    <row r="318" ht="29.25" hidden="1" customHeight="1">
      <c r="A318" s="92" t="s">
        <v>128</v>
      </c>
      <c r="B318" s="93" t="s">
        <v>1514</v>
      </c>
      <c r="C318" s="107" t="s">
        <v>1515</v>
      </c>
      <c r="D318" s="95" t="s">
        <v>1516</v>
      </c>
      <c r="E318" s="96"/>
      <c r="F318" s="122" t="s">
        <v>76</v>
      </c>
      <c r="G318" s="97">
        <v>100.0</v>
      </c>
      <c r="H318" s="22">
        <f>IF(OR(J318="",K318="",K318&lt;J318),0,NETWORKDAYS(J318,K318,fESTIVOS!$A$2:$A$53))
</f>
        <v>0</v>
      </c>
      <c r="I318" s="98">
        <v>45938.0</v>
      </c>
      <c r="J318" s="99">
        <v>45945.0</v>
      </c>
      <c r="K318" s="99"/>
      <c r="L318" s="99">
        <v>45946.0</v>
      </c>
      <c r="M318" s="27">
        <f>IF(OR(J318="",AND(L318="",TODAY()&lt;J318),AND(L318&lt;&gt;"",L318&lt;J318)),0,
   IF(L318="",
      NETWORKDAYS(J318,TODAY(),fESTIVOS!$A$2:$A$53),
      NETWORKDAYS(J318,L318,fESTIVOS!$A$2:$A$53)
   )
)
</f>
        <v>2</v>
      </c>
      <c r="N318" s="28"/>
      <c r="O318" s="98"/>
      <c r="P318" s="100">
        <v>45946.0</v>
      </c>
      <c r="Q318" s="34" t="s">
        <v>1517</v>
      </c>
      <c r="R318" s="113" t="s">
        <v>78</v>
      </c>
      <c r="S318" s="155"/>
      <c r="T318" s="97"/>
      <c r="U318" s="102"/>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row>
    <row r="319" ht="29.25" hidden="1" customHeight="1">
      <c r="A319" s="92" t="s">
        <v>128</v>
      </c>
      <c r="B319" s="93" t="s">
        <v>1518</v>
      </c>
      <c r="C319" s="142" t="s">
        <v>1519</v>
      </c>
      <c r="D319" s="95" t="s">
        <v>1520</v>
      </c>
      <c r="E319" s="96"/>
      <c r="F319" s="122" t="s">
        <v>76</v>
      </c>
      <c r="G319" s="97">
        <v>100.0</v>
      </c>
      <c r="H319" s="22">
        <f>IF(OR(J319="",K319="",K319&lt;J319),0,NETWORKDAYS(J319,K319,fESTIVOS!$A$2:$A$53))
</f>
        <v>0</v>
      </c>
      <c r="I319" s="98">
        <v>45944.0</v>
      </c>
      <c r="J319" s="99">
        <v>45946.0</v>
      </c>
      <c r="K319" s="99"/>
      <c r="L319" s="99">
        <v>45967.0</v>
      </c>
      <c r="M319" s="27">
        <f>IF(OR(J319="",AND(L319="",TODAY()&lt;J319),AND(L319&lt;&gt;"",L319&lt;J319)),0,
   IF(L319="",
      NETWORKDAYS(J319,TODAY(),fESTIVOS!$A$2:$A$53),
      NETWORKDAYS(J319,L319,fESTIVOS!$A$2:$A$53)
   )
)
</f>
        <v>15</v>
      </c>
      <c r="N319" s="28"/>
      <c r="O319" s="98"/>
      <c r="P319" s="100">
        <v>45993.0</v>
      </c>
      <c r="Q319" s="34" t="s">
        <v>1521</v>
      </c>
      <c r="R319" s="113" t="s">
        <v>78</v>
      </c>
      <c r="S319" s="155">
        <v>1.0</v>
      </c>
      <c r="T319" s="97" t="s">
        <v>1522</v>
      </c>
      <c r="U319" s="122" t="s">
        <v>1523</v>
      </c>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row>
    <row r="320" ht="29.25" hidden="1" customHeight="1">
      <c r="A320" s="92" t="s">
        <v>128</v>
      </c>
      <c r="B320" s="93" t="s">
        <v>1524</v>
      </c>
      <c r="C320" s="206" t="s">
        <v>1525</v>
      </c>
      <c r="D320" s="95" t="s">
        <v>1526</v>
      </c>
      <c r="E320" s="96"/>
      <c r="F320" s="112" t="s">
        <v>229</v>
      </c>
      <c r="G320" s="207"/>
      <c r="H320" s="22">
        <f>IF(OR(J320="",K320="",K320&lt;J320),0,NETWORKDAYS(J320,K320,fESTIVOS!$A$2:$A$53))
</f>
        <v>0</v>
      </c>
      <c r="I320" s="186">
        <v>46000.0</v>
      </c>
      <c r="J320" s="99"/>
      <c r="K320" s="99"/>
      <c r="L320" s="99"/>
      <c r="M320" s="27">
        <f>IF(OR(J320="",AND(L320="",TODAY()&lt;J320),AND(L320&lt;&gt;"",L320&lt;J320)),0,
   IF(L320="",
      NETWORKDAYS(J320,TODAY(),fESTIVOS!$A$2:$A$53),
      NETWORKDAYS(J320,L320,fESTIVOS!$A$2:$A$53)
   )
)
</f>
        <v>0</v>
      </c>
      <c r="N320" s="28"/>
      <c r="O320" s="98"/>
      <c r="P320" s="100"/>
      <c r="Q320" s="34"/>
      <c r="R320" s="31" t="s">
        <v>93</v>
      </c>
      <c r="S320" s="155"/>
      <c r="T320" s="101"/>
      <c r="U320" s="102"/>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row>
    <row r="321" ht="29.25" hidden="1" customHeight="1">
      <c r="A321" s="92" t="s">
        <v>128</v>
      </c>
      <c r="B321" s="93" t="s">
        <v>1527</v>
      </c>
      <c r="C321" s="107" t="s">
        <v>1528</v>
      </c>
      <c r="D321" s="95" t="s">
        <v>1529</v>
      </c>
      <c r="E321" s="96"/>
      <c r="F321" s="112" t="s">
        <v>229</v>
      </c>
      <c r="G321" s="207"/>
      <c r="H321" s="22">
        <f>IF(OR(J321="",K321="",K321&lt;J321),0,NETWORKDAYS(J321,K321,fESTIVOS!$A$2:$A$53))
</f>
        <v>0</v>
      </c>
      <c r="I321" s="186">
        <v>45917.0</v>
      </c>
      <c r="J321" s="99"/>
      <c r="K321" s="99"/>
      <c r="L321" s="99"/>
      <c r="M321" s="27">
        <f>IF(OR(J321="",AND(L321="",TODAY()&lt;J321),AND(L321&lt;&gt;"",L321&lt;J321)),0,
   IF(L321="",
      NETWORKDAYS(J321,TODAY(),fESTIVOS!$A$2:$A$53),
      NETWORKDAYS(J321,L321,fESTIVOS!$A$2:$A$53)
   )
)
</f>
        <v>0</v>
      </c>
      <c r="N321" s="28"/>
      <c r="O321" s="98"/>
      <c r="P321" s="100"/>
      <c r="Q321" s="34"/>
      <c r="R321" s="31" t="s">
        <v>93</v>
      </c>
      <c r="S321" s="155"/>
      <c r="T321" s="101"/>
      <c r="U321" s="102"/>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row>
    <row r="322" ht="29.25" hidden="1" customHeight="1">
      <c r="A322" s="55" t="s">
        <v>128</v>
      </c>
      <c r="B322" s="17" t="s">
        <v>1530</v>
      </c>
      <c r="C322" s="107" t="s">
        <v>1531</v>
      </c>
      <c r="D322" s="95" t="s">
        <v>1532</v>
      </c>
      <c r="E322" s="96"/>
      <c r="F322" s="112" t="s">
        <v>245</v>
      </c>
      <c r="G322" s="192"/>
      <c r="H322" s="22">
        <f>IF(OR(J322="",K322="",K322&lt;J322),0,NETWORKDAYS(J322,K322,fESTIVOS!$A$2:$A$53))
</f>
        <v>0</v>
      </c>
      <c r="I322" s="186">
        <v>45888.0</v>
      </c>
      <c r="J322" s="99">
        <v>45894.0</v>
      </c>
      <c r="K322" s="99"/>
      <c r="L322" s="99"/>
      <c r="M322" s="27">
        <f>IF(OR(J322="",AND(L322="",TODAY()&lt;J322),AND(L322&lt;&gt;"",L322&lt;J322)),0,
   IF(L322="",
      NETWORKDAYS(J322,TODAY(),fESTIVOS!$A$2:$A$53),
      NETWORKDAYS(J322,L322,fESTIVOS!$A$2:$A$53)
   )
)
</f>
        <v>198</v>
      </c>
      <c r="N322" s="28"/>
      <c r="O322" s="98"/>
      <c r="P322" s="100"/>
      <c r="Q322" s="34" t="s">
        <v>1533</v>
      </c>
      <c r="R322" s="113" t="s">
        <v>93</v>
      </c>
      <c r="S322" s="101"/>
      <c r="T322" s="101"/>
      <c r="U322" s="102"/>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row>
    <row r="323" ht="29.25" hidden="1" customHeight="1">
      <c r="A323" s="55" t="s">
        <v>128</v>
      </c>
      <c r="B323" s="17" t="s">
        <v>1534</v>
      </c>
      <c r="C323" s="107" t="s">
        <v>1535</v>
      </c>
      <c r="D323" s="156"/>
      <c r="E323" s="96"/>
      <c r="F323" s="20" t="s">
        <v>245</v>
      </c>
      <c r="G323" s="97">
        <v>20.0</v>
      </c>
      <c r="H323" s="22">
        <f>IF(OR(J323="",K323="",K323&lt;J323),0,NETWORKDAYS(J323,K323,fESTIVOS!$A$2:$A$53))
</f>
        <v>0</v>
      </c>
      <c r="I323" s="186">
        <v>45847.0</v>
      </c>
      <c r="J323" s="99">
        <v>45890.0</v>
      </c>
      <c r="K323" s="99"/>
      <c r="L323" s="99"/>
      <c r="M323" s="27">
        <f>IF(OR(J323="",AND(L323="",TODAY()&lt;J323),AND(L323&lt;&gt;"",L323&lt;J323)),0,
   IF(L323="",
      NETWORKDAYS(J323,TODAY(),fESTIVOS!$A$2:$A$53),
      NETWORKDAYS(J323,L323,fESTIVOS!$A$2:$A$53)
   )
)
</f>
        <v>200</v>
      </c>
      <c r="N323" s="28"/>
      <c r="O323" s="98"/>
      <c r="P323" s="100"/>
      <c r="Q323" s="34" t="s">
        <v>1536</v>
      </c>
      <c r="R323" s="113" t="s">
        <v>93</v>
      </c>
      <c r="S323" s="101"/>
      <c r="T323" s="101"/>
      <c r="U323" s="102"/>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37" t="s">
        <v>1537</v>
      </c>
      <c r="BG323" s="37"/>
      <c r="BH323" s="37"/>
      <c r="BI323" s="37"/>
      <c r="BJ323" s="37"/>
      <c r="BK323" s="37"/>
      <c r="BL323" s="37"/>
      <c r="BM323" s="37"/>
      <c r="BN323" s="37"/>
      <c r="BO323" s="37"/>
    </row>
    <row r="324" ht="29.25" hidden="1" customHeight="1">
      <c r="A324" s="92" t="s">
        <v>128</v>
      </c>
      <c r="B324" s="93" t="s">
        <v>1538</v>
      </c>
      <c r="C324" s="208" t="s">
        <v>1539</v>
      </c>
      <c r="D324" s="95" t="s">
        <v>1540</v>
      </c>
      <c r="E324" s="96"/>
      <c r="F324" s="112" t="s">
        <v>245</v>
      </c>
      <c r="G324" s="207">
        <v>20.0</v>
      </c>
      <c r="H324" s="22">
        <f>IF(OR(J324="",K324="",K324&lt;J324),0,NETWORKDAYS(J324,K324,fESTIVOS!$A$2:$A$53))
</f>
        <v>0</v>
      </c>
      <c r="I324" s="186">
        <v>46000.0</v>
      </c>
      <c r="J324" s="99">
        <v>46057.0</v>
      </c>
      <c r="K324" s="99"/>
      <c r="L324" s="99"/>
      <c r="M324" s="27">
        <f>IF(OR(J324="",AND(L324="",TODAY()&lt;J324),AND(L324&lt;&gt;"",L324&lt;J324)),0,
   IF(L324="",
      NETWORKDAYS(J324,TODAY(),fESTIVOS!$A$2:$A$53),
      NETWORKDAYS(J324,L324,fESTIVOS!$A$2:$A$53)
   )
)
</f>
        <v>88</v>
      </c>
      <c r="N324" s="28"/>
      <c r="O324" s="98"/>
      <c r="P324" s="100"/>
      <c r="Q324" s="34" t="s">
        <v>1541</v>
      </c>
      <c r="R324" s="113" t="s">
        <v>93</v>
      </c>
      <c r="S324" s="155"/>
      <c r="T324" s="101"/>
      <c r="U324" s="102"/>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row>
    <row r="325" ht="29.25" hidden="1" customHeight="1">
      <c r="A325" s="92" t="s">
        <v>128</v>
      </c>
      <c r="B325" s="93" t="s">
        <v>1542</v>
      </c>
      <c r="C325" s="151" t="s">
        <v>1543</v>
      </c>
      <c r="D325" s="95" t="s">
        <v>1544</v>
      </c>
      <c r="E325" s="96"/>
      <c r="F325" s="122" t="s">
        <v>76</v>
      </c>
      <c r="G325" s="97">
        <v>100.0</v>
      </c>
      <c r="H325" s="22">
        <f>IF(OR(J325="",K325="",K325&lt;J325),0,NETWORKDAYS(J325,K325,fESTIVOS!$A$2:$A$53))
</f>
        <v>0</v>
      </c>
      <c r="I325" s="98">
        <v>46010.0</v>
      </c>
      <c r="J325" s="99">
        <v>46010.0</v>
      </c>
      <c r="K325" s="99"/>
      <c r="L325" s="99">
        <v>46013.0</v>
      </c>
      <c r="M325" s="27">
        <f>IF(OR(J325="",AND(L325="",TODAY()&lt;J325),AND(L325&lt;&gt;"",L325&lt;J325)),0,
   IF(L325="",
      NETWORKDAYS(J325,TODAY(),fESTIVOS!$A$2:$A$53),
      NETWORKDAYS(J325,L325,fESTIVOS!$A$2:$A$53)
   )
)
</f>
        <v>2</v>
      </c>
      <c r="N325" s="28"/>
      <c r="O325" s="98"/>
      <c r="P325" s="100">
        <v>46013.0</v>
      </c>
      <c r="Q325" s="34" t="s">
        <v>1545</v>
      </c>
      <c r="R325" s="113" t="s">
        <v>78</v>
      </c>
      <c r="S325" s="155"/>
      <c r="T325" s="97"/>
      <c r="U325" s="102"/>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row>
    <row r="326" ht="29.25" hidden="1" customHeight="1">
      <c r="A326" s="92" t="s">
        <v>128</v>
      </c>
      <c r="B326" s="93" t="s">
        <v>1546</v>
      </c>
      <c r="C326" s="107" t="s">
        <v>1547</v>
      </c>
      <c r="D326" s="95" t="s">
        <v>1548</v>
      </c>
      <c r="E326" s="96"/>
      <c r="F326" s="122" t="s">
        <v>76</v>
      </c>
      <c r="G326" s="97">
        <v>100.0</v>
      </c>
      <c r="H326" s="22">
        <f>IF(OR(J326="",K326="",K326&lt;J326),0,NETWORKDAYS(J326,K326,fESTIVOS!$A$2:$A$53))
</f>
        <v>0</v>
      </c>
      <c r="I326" s="98">
        <v>45945.0</v>
      </c>
      <c r="J326" s="99">
        <v>45947.0</v>
      </c>
      <c r="K326" s="99"/>
      <c r="L326" s="99">
        <v>45947.0</v>
      </c>
      <c r="M326" s="27">
        <f>IF(OR(J326="",AND(L326="",TODAY()&lt;J326),AND(L326&lt;&gt;"",L326&lt;J326)),0,
   IF(L326="",
      NETWORKDAYS(J326,TODAY(),fESTIVOS!$A$2:$A$53),
      NETWORKDAYS(J326,L326,fESTIVOS!$A$2:$A$53)
   )
)
</f>
        <v>1</v>
      </c>
      <c r="N326" s="28"/>
      <c r="O326" s="98"/>
      <c r="P326" s="100"/>
      <c r="Q326" s="34" t="s">
        <v>1549</v>
      </c>
      <c r="R326" s="113" t="s">
        <v>78</v>
      </c>
      <c r="S326" s="155"/>
      <c r="T326" s="97"/>
      <c r="U326" s="102"/>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row>
    <row r="327" ht="29.25" hidden="1" customHeight="1">
      <c r="A327" s="92" t="s">
        <v>128</v>
      </c>
      <c r="B327" s="93" t="s">
        <v>1550</v>
      </c>
      <c r="C327" s="209" t="s">
        <v>1551</v>
      </c>
      <c r="D327" s="95" t="s">
        <v>1552</v>
      </c>
      <c r="E327" s="96"/>
      <c r="F327" s="122" t="s">
        <v>76</v>
      </c>
      <c r="G327" s="97">
        <v>100.0</v>
      </c>
      <c r="H327" s="22">
        <f>IF(OR(J327="",K327="",K327&lt;J327),0,NETWORKDAYS(J327,K327,fESTIVOS!$A$2:$A$53))
</f>
        <v>10</v>
      </c>
      <c r="I327" s="98">
        <v>45947.0</v>
      </c>
      <c r="J327" s="99">
        <v>45958.0</v>
      </c>
      <c r="K327" s="99">
        <v>45972.0</v>
      </c>
      <c r="L327" s="99">
        <v>45965.0</v>
      </c>
      <c r="M327" s="27">
        <f>IF(OR(J327="",AND(L327="",TODAY()&lt;J327),AND(L327&lt;&gt;"",L327&lt;J327)),0,
   IF(L327="",
      NETWORKDAYS(J327,TODAY(),fESTIVOS!$A$2:$A$53),
      NETWORKDAYS(J327,L327,fESTIVOS!$A$2:$A$53)
   )
)
</f>
        <v>5</v>
      </c>
      <c r="N327" s="28"/>
      <c r="O327" s="98">
        <v>45965.0</v>
      </c>
      <c r="P327" s="100">
        <v>45995.0</v>
      </c>
      <c r="Q327" s="34" t="s">
        <v>1553</v>
      </c>
      <c r="R327" s="113" t="s">
        <v>78</v>
      </c>
      <c r="S327" s="155"/>
      <c r="T327" s="97"/>
      <c r="U327" s="122" t="s">
        <v>1554</v>
      </c>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row>
    <row r="328" ht="29.25" hidden="1" customHeight="1">
      <c r="A328" s="92" t="s">
        <v>251</v>
      </c>
      <c r="B328" s="93" t="s">
        <v>1555</v>
      </c>
      <c r="C328" s="141" t="s">
        <v>1556</v>
      </c>
      <c r="D328" s="95"/>
      <c r="E328" s="96"/>
      <c r="F328" s="122" t="s">
        <v>76</v>
      </c>
      <c r="G328" s="97">
        <v>100.0</v>
      </c>
      <c r="H328" s="22">
        <f>IF(OR(J328="",K328="",K328&lt;J328),0,NETWORKDAYS(J328,K328,fESTIVOS!$A$2:$A$53))
</f>
        <v>0</v>
      </c>
      <c r="I328" s="98">
        <v>45992.0</v>
      </c>
      <c r="J328" s="99">
        <v>46003.0</v>
      </c>
      <c r="K328" s="99"/>
      <c r="L328" s="99">
        <v>46024.0</v>
      </c>
      <c r="M328" s="27">
        <f>IF(OR(J328="",AND(L328="",TODAY()&lt;J328),AND(L328&lt;&gt;"",L328&lt;J328)),0,
   IF(L328="",
      NETWORKDAYS(J328,TODAY(),fESTIVOS!$A$2:$A$53),
      NETWORKDAYS(J328,L328,fESTIVOS!$A$2:$A$53)
   )
)
</f>
        <v>14</v>
      </c>
      <c r="N328" s="28"/>
      <c r="O328" s="98"/>
      <c r="P328" s="100"/>
      <c r="Q328" s="34" t="s">
        <v>1557</v>
      </c>
      <c r="R328" s="113" t="s">
        <v>78</v>
      </c>
      <c r="S328" s="155"/>
      <c r="T328" s="97"/>
      <c r="U328" s="102"/>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row>
    <row r="329" ht="29.25" hidden="1" customHeight="1">
      <c r="A329" s="92" t="s">
        <v>251</v>
      </c>
      <c r="B329" s="93" t="s">
        <v>1558</v>
      </c>
      <c r="C329" s="185" t="s">
        <v>1559</v>
      </c>
      <c r="D329" s="95"/>
      <c r="E329" s="96"/>
      <c r="F329" s="122" t="s">
        <v>76</v>
      </c>
      <c r="G329" s="97">
        <v>100.0</v>
      </c>
      <c r="H329" s="22">
        <f>IF(OR(J329="",K329="",K329&lt;J329),0,NETWORKDAYS(J329,K329,fESTIVOS!$A$2:$A$53))
</f>
        <v>0</v>
      </c>
      <c r="I329" s="98">
        <v>45996.0</v>
      </c>
      <c r="J329" s="99">
        <v>46003.0</v>
      </c>
      <c r="K329" s="99"/>
      <c r="L329" s="99">
        <v>46024.0</v>
      </c>
      <c r="M329" s="27">
        <f>IF(OR(J329="",AND(L329="",TODAY()&lt;J329),AND(L329&lt;&gt;"",L329&lt;J329)),0,
   IF(L329="",
      NETWORKDAYS(J329,TODAY(),fESTIVOS!$A$2:$A$53),
      NETWORKDAYS(J329,L329,fESTIVOS!$A$2:$A$53)
   )
)
</f>
        <v>14</v>
      </c>
      <c r="N329" s="28"/>
      <c r="O329" s="98"/>
      <c r="P329" s="100"/>
      <c r="Q329" s="34" t="s">
        <v>1560</v>
      </c>
      <c r="R329" s="113" t="s">
        <v>78</v>
      </c>
      <c r="S329" s="155"/>
      <c r="T329" s="97"/>
      <c r="U329" s="102"/>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row>
    <row r="330" ht="29.25" hidden="1" customHeight="1">
      <c r="A330" s="92" t="s">
        <v>157</v>
      </c>
      <c r="B330" s="93" t="s">
        <v>1561</v>
      </c>
      <c r="C330" s="107" t="s">
        <v>1562</v>
      </c>
      <c r="D330" s="95" t="s">
        <v>1563</v>
      </c>
      <c r="E330" s="96"/>
      <c r="F330" s="122" t="s">
        <v>76</v>
      </c>
      <c r="G330" s="97">
        <v>100.0</v>
      </c>
      <c r="H330" s="22">
        <f>IF(OR(J330="",K330="",K330&lt;J330),0,NETWORKDAYS(J330,K330,fESTIVOS!$A$2:$A$53))
</f>
        <v>0</v>
      </c>
      <c r="I330" s="98">
        <v>45953.0</v>
      </c>
      <c r="J330" s="99">
        <v>45958.0</v>
      </c>
      <c r="K330" s="99"/>
      <c r="L330" s="99">
        <v>45958.0</v>
      </c>
      <c r="M330" s="27">
        <f>IF(OR(J330="",AND(L330="",TODAY()&lt;J330),AND(L330&lt;&gt;"",L330&lt;J330)),0,
   IF(L330="",
      NETWORKDAYS(J330,TODAY(),fESTIVOS!$A$2:$A$53),
      NETWORKDAYS(J330,L330,fESTIVOS!$A$2:$A$53)
   )
)
</f>
        <v>1</v>
      </c>
      <c r="N330" s="28"/>
      <c r="O330" s="98"/>
      <c r="P330" s="100"/>
      <c r="Q330" s="34" t="s">
        <v>1564</v>
      </c>
      <c r="R330" s="113" t="s">
        <v>78</v>
      </c>
      <c r="S330" s="155"/>
      <c r="T330" s="97"/>
      <c r="U330" s="102"/>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row>
    <row r="331" ht="29.25" hidden="1" customHeight="1">
      <c r="A331" s="92" t="s">
        <v>128</v>
      </c>
      <c r="B331" s="93" t="s">
        <v>1565</v>
      </c>
      <c r="C331" s="107" t="s">
        <v>1566</v>
      </c>
      <c r="D331" s="95" t="s">
        <v>1567</v>
      </c>
      <c r="E331" s="96"/>
      <c r="F331" s="122" t="s">
        <v>76</v>
      </c>
      <c r="G331" s="97">
        <v>100.0</v>
      </c>
      <c r="H331" s="22">
        <f>IF(OR(J331="",K331="",K331&lt;J331),0,NETWORKDAYS(J331,K331,fESTIVOS!$A$2:$A$53))
</f>
        <v>0</v>
      </c>
      <c r="I331" s="98">
        <v>45953.0</v>
      </c>
      <c r="J331" s="99">
        <v>45957.0</v>
      </c>
      <c r="K331" s="99"/>
      <c r="L331" s="99">
        <v>45958.0</v>
      </c>
      <c r="M331" s="27">
        <f>IF(OR(J331="",AND(L331="",TODAY()&lt;J331),AND(L331&lt;&gt;"",L331&lt;J331)),0,
   IF(L331="",
      NETWORKDAYS(J331,TODAY(),fESTIVOS!$A$2:$A$53),
      NETWORKDAYS(J331,L331,fESTIVOS!$A$2:$A$53)
   )
)
</f>
        <v>2</v>
      </c>
      <c r="N331" s="28"/>
      <c r="O331" s="98"/>
      <c r="P331" s="100">
        <v>45958.0</v>
      </c>
      <c r="Q331" s="34" t="s">
        <v>1568</v>
      </c>
      <c r="R331" s="113" t="s">
        <v>78</v>
      </c>
      <c r="S331" s="155"/>
      <c r="T331" s="97"/>
      <c r="U331" s="102"/>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row>
    <row r="332" ht="29.25" hidden="1" customHeight="1">
      <c r="A332" s="92" t="s">
        <v>128</v>
      </c>
      <c r="B332" s="93" t="s">
        <v>1569</v>
      </c>
      <c r="C332" s="107" t="s">
        <v>1570</v>
      </c>
      <c r="D332" s="95" t="s">
        <v>1571</v>
      </c>
      <c r="E332" s="96"/>
      <c r="F332" s="122" t="s">
        <v>76</v>
      </c>
      <c r="G332" s="97">
        <v>100.0</v>
      </c>
      <c r="H332" s="22">
        <f>IF(OR(J332="",K332="",K332&lt;J332),0,NETWORKDAYS(J332,K332,fESTIVOS!$A$2:$A$53))
</f>
        <v>0</v>
      </c>
      <c r="I332" s="98">
        <v>45957.0</v>
      </c>
      <c r="J332" s="99">
        <v>45957.0</v>
      </c>
      <c r="K332" s="99"/>
      <c r="L332" s="99">
        <v>45957.0</v>
      </c>
      <c r="M332" s="27">
        <f>IF(OR(J332="",AND(L332="",TODAY()&lt;J332),AND(L332&lt;&gt;"",L332&lt;J332)),0,
   IF(L332="",
      NETWORKDAYS(J332,TODAY(),fESTIVOS!$A$2:$A$53),
      NETWORKDAYS(J332,L332,fESTIVOS!$A$2:$A$53)
   )
)
</f>
        <v>1</v>
      </c>
      <c r="N332" s="28"/>
      <c r="O332" s="98"/>
      <c r="P332" s="100"/>
      <c r="Q332" s="34" t="s">
        <v>1572</v>
      </c>
      <c r="R332" s="113" t="s">
        <v>78</v>
      </c>
      <c r="S332" s="155"/>
      <c r="T332" s="97"/>
      <c r="U332" s="102"/>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row>
    <row r="333" ht="29.25" hidden="1" customHeight="1">
      <c r="A333" s="92" t="s">
        <v>128</v>
      </c>
      <c r="B333" s="93" t="s">
        <v>1573</v>
      </c>
      <c r="C333" s="107" t="s">
        <v>1574</v>
      </c>
      <c r="D333" s="95" t="s">
        <v>1575</v>
      </c>
      <c r="E333" s="96"/>
      <c r="F333" s="122" t="s">
        <v>76</v>
      </c>
      <c r="G333" s="97">
        <v>100.0</v>
      </c>
      <c r="H333" s="22">
        <f>IF(OR(J333="",K333="",K333&lt;J333),0,NETWORKDAYS(J333,K333,fESTIVOS!$A$2:$A$53))
</f>
        <v>2</v>
      </c>
      <c r="I333" s="98">
        <v>45958.0</v>
      </c>
      <c r="J333" s="99">
        <v>45960.0</v>
      </c>
      <c r="K333" s="99">
        <v>45961.0</v>
      </c>
      <c r="L333" s="99">
        <v>45965.0</v>
      </c>
      <c r="M333" s="27">
        <f>IF(OR(J333="",AND(L333="",TODAY()&lt;J333),AND(L333&lt;&gt;"",L333&lt;J333)),0,
   IF(L333="",
      NETWORKDAYS(J333,TODAY(),fESTIVOS!$A$2:$A$53),
      NETWORKDAYS(J333,L333,fESTIVOS!$A$2:$A$53)
   )
)
</f>
        <v>3</v>
      </c>
      <c r="N333" s="28"/>
      <c r="O333" s="98"/>
      <c r="P333" s="100">
        <v>45965.0</v>
      </c>
      <c r="Q333" s="34" t="s">
        <v>1576</v>
      </c>
      <c r="R333" s="113" t="s">
        <v>78</v>
      </c>
      <c r="S333" s="155"/>
      <c r="T333" s="97"/>
      <c r="U333" s="102"/>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row>
    <row r="334" ht="29.25" hidden="1" customHeight="1">
      <c r="A334" s="92" t="s">
        <v>128</v>
      </c>
      <c r="B334" s="93" t="s">
        <v>1577</v>
      </c>
      <c r="C334" s="107" t="s">
        <v>1578</v>
      </c>
      <c r="D334" s="95" t="s">
        <v>1579</v>
      </c>
      <c r="E334" s="96"/>
      <c r="F334" s="122" t="s">
        <v>76</v>
      </c>
      <c r="G334" s="97">
        <v>100.0</v>
      </c>
      <c r="H334" s="22">
        <f>IF(OR(J334="",K334="",K334&lt;J334),0,NETWORKDAYS(J334,K334,fESTIVOS!$A$2:$A$53))
</f>
        <v>0</v>
      </c>
      <c r="I334" s="98">
        <v>45958.0</v>
      </c>
      <c r="J334" s="99">
        <v>45966.0</v>
      </c>
      <c r="K334" s="99"/>
      <c r="L334" s="99">
        <v>45981.0</v>
      </c>
      <c r="M334" s="27">
        <f>IF(OR(J334="",AND(L334="",TODAY()&lt;J334),AND(L334&lt;&gt;"",L334&lt;J334)),0,
   IF(L334="",
      NETWORKDAYS(J334,TODAY(),fESTIVOS!$A$2:$A$53),
      NETWORKDAYS(J334,L334,fESTIVOS!$A$2:$A$53)
   )
)
</f>
        <v>11</v>
      </c>
      <c r="N334" s="28"/>
      <c r="O334" s="98">
        <v>45981.0</v>
      </c>
      <c r="P334" s="100">
        <v>45994.0</v>
      </c>
      <c r="Q334" s="34" t="s">
        <v>1580</v>
      </c>
      <c r="R334" s="113" t="s">
        <v>78</v>
      </c>
      <c r="S334" s="155"/>
      <c r="T334" s="97"/>
      <c r="U334" s="102"/>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row>
    <row r="335" ht="29.25" hidden="1" customHeight="1">
      <c r="A335" s="92" t="s">
        <v>251</v>
      </c>
      <c r="B335" s="93" t="s">
        <v>1581</v>
      </c>
      <c r="C335" s="151" t="s">
        <v>1582</v>
      </c>
      <c r="D335" s="95" t="s">
        <v>1583</v>
      </c>
      <c r="E335" s="96"/>
      <c r="F335" s="122" t="s">
        <v>76</v>
      </c>
      <c r="G335" s="97">
        <v>100.0</v>
      </c>
      <c r="H335" s="22">
        <f>IF(OR(J335="",K335="",K335&lt;J335),0,NETWORKDAYS(J335,K335,fESTIVOS!$A$2:$A$53))
</f>
        <v>0</v>
      </c>
      <c r="I335" s="98">
        <v>45994.0</v>
      </c>
      <c r="J335" s="99">
        <v>45994.0</v>
      </c>
      <c r="K335" s="99"/>
      <c r="L335" s="99">
        <v>45994.0</v>
      </c>
      <c r="M335" s="27">
        <f>IF(OR(J335="",AND(L335="",TODAY()&lt;J335),AND(L335&lt;&gt;"",L335&lt;J335)),0,
   IF(L335="",
      NETWORKDAYS(J335,TODAY(),fESTIVOS!$A$2:$A$53),
      NETWORKDAYS(J335,L335,fESTIVOS!$A$2:$A$53)
   )
)
</f>
        <v>1</v>
      </c>
      <c r="N335" s="28"/>
      <c r="O335" s="98"/>
      <c r="P335" s="100"/>
      <c r="Q335" s="34" t="s">
        <v>1584</v>
      </c>
      <c r="R335" s="113" t="s">
        <v>78</v>
      </c>
      <c r="S335" s="155"/>
      <c r="T335" s="97"/>
      <c r="U335" s="102"/>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row>
    <row r="336" ht="29.25" hidden="1" customHeight="1">
      <c r="A336" s="92" t="s">
        <v>128</v>
      </c>
      <c r="B336" s="93" t="s">
        <v>1585</v>
      </c>
      <c r="C336" s="141" t="s">
        <v>1586</v>
      </c>
      <c r="D336" s="95" t="s">
        <v>1587</v>
      </c>
      <c r="E336" s="96"/>
      <c r="F336" s="112" t="s">
        <v>245</v>
      </c>
      <c r="G336" s="97">
        <v>5.0</v>
      </c>
      <c r="H336" s="22">
        <f>IF(OR(J336="",K336="",K336&lt;J336),0,NETWORKDAYS(J336,K336,fESTIVOS!$A$2:$A$53))
</f>
        <v>0</v>
      </c>
      <c r="I336" s="186">
        <v>45968.0</v>
      </c>
      <c r="J336" s="99">
        <v>45981.0</v>
      </c>
      <c r="K336" s="99"/>
      <c r="L336" s="99"/>
      <c r="M336" s="27">
        <f>IF(OR(J336="",AND(L336="",TODAY()&lt;J336),AND(L336&lt;&gt;"",L336&lt;J336)),0,
   IF(L336="",
      NETWORKDAYS(J336,TODAY(),fESTIVOS!$A$2:$A$53),
      NETWORKDAYS(J336,L336,fESTIVOS!$A$2:$A$53)
   )
)
</f>
        <v>138</v>
      </c>
      <c r="N336" s="28"/>
      <c r="O336" s="98"/>
      <c r="P336" s="100"/>
      <c r="Q336" s="34" t="s">
        <v>1588</v>
      </c>
      <c r="R336" s="113" t="s">
        <v>93</v>
      </c>
      <c r="S336" s="155"/>
      <c r="T336" s="97"/>
      <c r="U336" s="102"/>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row>
    <row r="337" ht="29.25" hidden="1" customHeight="1">
      <c r="A337" s="92" t="s">
        <v>128</v>
      </c>
      <c r="B337" s="93" t="s">
        <v>1589</v>
      </c>
      <c r="C337" s="141" t="s">
        <v>1590</v>
      </c>
      <c r="D337" s="95" t="s">
        <v>1591</v>
      </c>
      <c r="E337" s="96"/>
      <c r="F337" s="112" t="s">
        <v>229</v>
      </c>
      <c r="G337" s="97"/>
      <c r="H337" s="22">
        <f>IF(OR(J337="",K337="",K337&lt;J337),0,NETWORKDAYS(J337,K337,fESTIVOS!$A$2:$A$53))
</f>
        <v>0</v>
      </c>
      <c r="I337" s="186">
        <v>46170.0</v>
      </c>
      <c r="J337" s="99"/>
      <c r="K337" s="99"/>
      <c r="L337" s="99"/>
      <c r="M337" s="27">
        <f>IF(OR(J337="",AND(L337="",TODAY()&lt;J337),AND(L337&lt;&gt;"",L337&lt;J337)),0,
   IF(L337="",
      NETWORKDAYS(J337,TODAY(),fESTIVOS!$A$2:$A$53),
      NETWORKDAYS(J337,L337,fESTIVOS!$A$2:$A$53)
   )
)
</f>
        <v>0</v>
      </c>
      <c r="N337" s="28"/>
      <c r="O337" s="98"/>
      <c r="P337" s="100"/>
      <c r="Q337" s="34"/>
      <c r="R337" s="113" t="s">
        <v>93</v>
      </c>
      <c r="S337" s="155"/>
      <c r="T337" s="97"/>
      <c r="U337" s="102"/>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row>
    <row r="338" ht="29.25" hidden="1" customHeight="1">
      <c r="A338" s="92" t="s">
        <v>128</v>
      </c>
      <c r="B338" s="93" t="s">
        <v>1592</v>
      </c>
      <c r="C338" s="141" t="s">
        <v>1593</v>
      </c>
      <c r="D338" s="95" t="s">
        <v>1594</v>
      </c>
      <c r="E338" s="96"/>
      <c r="F338" s="112" t="s">
        <v>229</v>
      </c>
      <c r="G338" s="97"/>
      <c r="H338" s="22">
        <f>IF(OR(J338="",K338="",K338&lt;J338),0,NETWORKDAYS(J338,K338,fESTIVOS!$A$2:$A$53))
</f>
        <v>0</v>
      </c>
      <c r="I338" s="186">
        <v>46170.0</v>
      </c>
      <c r="J338" s="99"/>
      <c r="K338" s="99"/>
      <c r="L338" s="99"/>
      <c r="M338" s="27">
        <f>IF(OR(J338="",AND(L338="",TODAY()&lt;J338),AND(L338&lt;&gt;"",L338&lt;J338)),0,
   IF(L338="",
      NETWORKDAYS(J338,TODAY(),fESTIVOS!$A$2:$A$53),
      NETWORKDAYS(J338,L338,fESTIVOS!$A$2:$A$53)
   )
)
</f>
        <v>0</v>
      </c>
      <c r="N338" s="28"/>
      <c r="O338" s="98"/>
      <c r="P338" s="100"/>
      <c r="Q338" s="34"/>
      <c r="R338" s="113" t="s">
        <v>93</v>
      </c>
      <c r="S338" s="155"/>
      <c r="T338" s="97"/>
      <c r="U338" s="102"/>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row>
    <row r="339" ht="29.25" hidden="1" customHeight="1">
      <c r="A339" s="92" t="s">
        <v>128</v>
      </c>
      <c r="B339" s="93" t="s">
        <v>1595</v>
      </c>
      <c r="C339" s="141" t="s">
        <v>1596</v>
      </c>
      <c r="D339" s="95" t="s">
        <v>1597</v>
      </c>
      <c r="E339" s="96"/>
      <c r="F339" s="112" t="s">
        <v>229</v>
      </c>
      <c r="G339" s="97"/>
      <c r="H339" s="22">
        <f>IF(OR(J339="",K339="",K339&lt;J339),0,NETWORKDAYS(J339,K339,fESTIVOS!$A$2:$A$53))
</f>
        <v>0</v>
      </c>
      <c r="I339" s="186">
        <v>46170.0</v>
      </c>
      <c r="J339" s="99"/>
      <c r="K339" s="99"/>
      <c r="L339" s="99"/>
      <c r="M339" s="27">
        <f>IF(OR(J339="",AND(L339="",TODAY()&lt;J339),AND(L339&lt;&gt;"",L339&lt;J339)),0,
   IF(L339="",
      NETWORKDAYS(J339,TODAY(),fESTIVOS!$A$2:$A$53),
      NETWORKDAYS(J339,L339,fESTIVOS!$A$2:$A$53)
   )
)
</f>
        <v>0</v>
      </c>
      <c r="N339" s="28"/>
      <c r="O339" s="98"/>
      <c r="P339" s="100"/>
      <c r="Q339" s="34"/>
      <c r="R339" s="113" t="s">
        <v>93</v>
      </c>
      <c r="S339" s="155"/>
      <c r="T339" s="97"/>
      <c r="U339" s="102"/>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row>
    <row r="340" ht="29.25" hidden="1" customHeight="1">
      <c r="A340" s="92" t="s">
        <v>128</v>
      </c>
      <c r="B340" s="93" t="s">
        <v>1598</v>
      </c>
      <c r="C340" s="141" t="s">
        <v>1599</v>
      </c>
      <c r="D340" s="95" t="s">
        <v>1600</v>
      </c>
      <c r="E340" s="96"/>
      <c r="F340" s="112" t="s">
        <v>229</v>
      </c>
      <c r="G340" s="97"/>
      <c r="H340" s="22">
        <f>IF(OR(J340="",K340="",K340&lt;J340),0,NETWORKDAYS(J340,K340,fESTIVOS!$A$2:$A$53))
</f>
        <v>0</v>
      </c>
      <c r="I340" s="186">
        <v>46170.0</v>
      </c>
      <c r="J340" s="99"/>
      <c r="K340" s="99"/>
      <c r="L340" s="99"/>
      <c r="M340" s="27">
        <f>IF(OR(J340="",AND(L340="",TODAY()&lt;J340),AND(L340&lt;&gt;"",L340&lt;J340)),0,
   IF(L340="",
      NETWORKDAYS(J340,TODAY(),fESTIVOS!$A$2:$A$53),
      NETWORKDAYS(J340,L340,fESTIVOS!$A$2:$A$53)
   )
)
</f>
        <v>0</v>
      </c>
      <c r="N340" s="28"/>
      <c r="O340" s="98"/>
      <c r="P340" s="100"/>
      <c r="Q340" s="34"/>
      <c r="R340" s="113" t="s">
        <v>93</v>
      </c>
      <c r="S340" s="155"/>
      <c r="T340" s="97"/>
      <c r="U340" s="102"/>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row>
    <row r="341" ht="29.25" hidden="1" customHeight="1">
      <c r="A341" s="92" t="s">
        <v>128</v>
      </c>
      <c r="B341" s="93" t="s">
        <v>1601</v>
      </c>
      <c r="C341" s="141" t="s">
        <v>1602</v>
      </c>
      <c r="D341" s="95" t="s">
        <v>1603</v>
      </c>
      <c r="E341" s="96"/>
      <c r="F341" s="112" t="s">
        <v>76</v>
      </c>
      <c r="G341" s="97">
        <v>100.0</v>
      </c>
      <c r="H341" s="22">
        <f>IF(OR(J341="",K341="",K341&lt;J341),0,NETWORKDAYS(J341,K341,fESTIVOS!$A$2:$A$53))
</f>
        <v>0</v>
      </c>
      <c r="I341" s="98">
        <v>46038.0</v>
      </c>
      <c r="J341" s="99">
        <v>46041.0</v>
      </c>
      <c r="K341" s="99"/>
      <c r="L341" s="99">
        <v>46041.0</v>
      </c>
      <c r="M341" s="27">
        <f>IF(OR(J341="",AND(L341="",TODAY()&lt;J341),AND(L341&lt;&gt;"",L341&lt;J341)),0,
   IF(L341="",
      NETWORKDAYS(J341,TODAY(),fESTIVOS!$A$2:$A$53),
      NETWORKDAYS(J341,L341,fESTIVOS!$A$2:$A$53)
   )
)
</f>
        <v>1</v>
      </c>
      <c r="N341" s="28"/>
      <c r="O341" s="98"/>
      <c r="P341" s="100"/>
      <c r="Q341" s="34" t="s">
        <v>1604</v>
      </c>
      <c r="R341" s="113" t="s">
        <v>208</v>
      </c>
      <c r="S341" s="155"/>
      <c r="T341" s="97"/>
      <c r="U341" s="102"/>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row>
    <row r="342" ht="29.25" hidden="1" customHeight="1">
      <c r="A342" s="92" t="s">
        <v>128</v>
      </c>
      <c r="B342" s="93" t="s">
        <v>1605</v>
      </c>
      <c r="C342" s="141" t="s">
        <v>1606</v>
      </c>
      <c r="D342" s="95" t="s">
        <v>1607</v>
      </c>
      <c r="E342" s="96"/>
      <c r="F342" s="122" t="s">
        <v>76</v>
      </c>
      <c r="G342" s="97">
        <v>100.0</v>
      </c>
      <c r="H342" s="22">
        <f>IF(OR(J342="",K342="",K342&lt;J342),0,NETWORKDAYS(J342,K342,fESTIVOS!$A$2:$A$53))
</f>
        <v>0</v>
      </c>
      <c r="I342" s="98">
        <v>46028.0</v>
      </c>
      <c r="J342" s="99">
        <v>46028.0</v>
      </c>
      <c r="K342" s="99"/>
      <c r="L342" s="99">
        <v>46028.0</v>
      </c>
      <c r="M342" s="27">
        <f>IF(OR(J342="",AND(L342="",TODAY()&lt;J342),AND(L342&lt;&gt;"",L342&lt;J342)),0,
   IF(L342="",
      NETWORKDAYS(J342,TODAY(),fESTIVOS!$A$2:$A$53),
      NETWORKDAYS(J342,L342,fESTIVOS!$A$2:$A$53)
   )
)
</f>
        <v>1</v>
      </c>
      <c r="N342" s="28"/>
      <c r="O342" s="98"/>
      <c r="P342" s="100"/>
      <c r="Q342" s="34" t="s">
        <v>1608</v>
      </c>
      <c r="R342" s="113" t="s">
        <v>208</v>
      </c>
      <c r="S342" s="155"/>
      <c r="T342" s="97"/>
      <c r="U342" s="102"/>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row>
    <row r="343" ht="29.25" hidden="1" customHeight="1">
      <c r="A343" s="92" t="s">
        <v>128</v>
      </c>
      <c r="B343" s="93" t="s">
        <v>1609</v>
      </c>
      <c r="C343" s="141" t="s">
        <v>1610</v>
      </c>
      <c r="D343" s="95" t="s">
        <v>1611</v>
      </c>
      <c r="E343" s="96"/>
      <c r="F343" s="122" t="s">
        <v>76</v>
      </c>
      <c r="G343" s="97">
        <v>100.0</v>
      </c>
      <c r="H343" s="22">
        <f>IF(OR(J343="",K343="",K343&lt;J343),0,NETWORKDAYS(J343,K343,fESTIVOS!$A$2:$A$53))
</f>
        <v>0</v>
      </c>
      <c r="I343" s="98">
        <v>45989.0</v>
      </c>
      <c r="J343" s="99">
        <v>45992.0</v>
      </c>
      <c r="K343" s="99"/>
      <c r="L343" s="99">
        <v>45993.0</v>
      </c>
      <c r="M343" s="27">
        <f>IF(OR(J343="",AND(L343="",TODAY()&lt;J343),AND(L343&lt;&gt;"",L343&lt;J343)),0,
   IF(L343="",
      NETWORKDAYS(J343,TODAY(),fESTIVOS!$A$2:$A$53),
      NETWORKDAYS(J343,L343,fESTIVOS!$A$2:$A$53)
   )
)
</f>
        <v>2</v>
      </c>
      <c r="N343" s="28"/>
      <c r="O343" s="98"/>
      <c r="P343" s="100">
        <v>45993.0</v>
      </c>
      <c r="Q343" s="34" t="s">
        <v>1612</v>
      </c>
      <c r="R343" s="113" t="s">
        <v>78</v>
      </c>
      <c r="S343" s="155"/>
      <c r="T343" s="97"/>
      <c r="U343" s="102"/>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row>
    <row r="344" ht="29.25" hidden="1" customHeight="1">
      <c r="A344" s="92" t="s">
        <v>128</v>
      </c>
      <c r="B344" s="93" t="s">
        <v>1613</v>
      </c>
      <c r="C344" s="141" t="s">
        <v>1614</v>
      </c>
      <c r="D344" s="95"/>
      <c r="E344" s="96"/>
      <c r="F344" s="122" t="s">
        <v>76</v>
      </c>
      <c r="G344" s="97">
        <v>100.0</v>
      </c>
      <c r="H344" s="22">
        <f>IF(OR(J344="",K344="",K344&lt;J344),0,NETWORKDAYS(J344,K344,fESTIVOS!$A$2:$A$53))
</f>
        <v>0</v>
      </c>
      <c r="I344" s="98">
        <v>45973.0</v>
      </c>
      <c r="J344" s="99">
        <v>45973.0</v>
      </c>
      <c r="K344" s="99"/>
      <c r="L344" s="99">
        <v>45973.0</v>
      </c>
      <c r="M344" s="27">
        <f>IF(OR(J344="",AND(L344="",TODAY()&lt;J344),AND(L344&lt;&gt;"",L344&lt;J344)),0,
   IF(L344="",
      NETWORKDAYS(J344,TODAY(),fESTIVOS!$A$2:$A$53),
      NETWORKDAYS(J344,L344,fESTIVOS!$A$2:$A$53)
   )
)
</f>
        <v>1</v>
      </c>
      <c r="N344" s="28"/>
      <c r="O344" s="98"/>
      <c r="P344" s="100"/>
      <c r="Q344" s="34" t="s">
        <v>1615</v>
      </c>
      <c r="R344" s="113" t="s">
        <v>78</v>
      </c>
      <c r="S344" s="155"/>
      <c r="T344" s="97"/>
      <c r="U344" s="102"/>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row>
    <row r="345" ht="29.25" hidden="1" customHeight="1">
      <c r="A345" s="92" t="s">
        <v>128</v>
      </c>
      <c r="B345" s="93" t="s">
        <v>1616</v>
      </c>
      <c r="C345" s="141" t="s">
        <v>1617</v>
      </c>
      <c r="D345" s="95" t="s">
        <v>1618</v>
      </c>
      <c r="E345" s="96"/>
      <c r="F345" s="122" t="s">
        <v>76</v>
      </c>
      <c r="G345" s="97">
        <v>100.0</v>
      </c>
      <c r="H345" s="22">
        <f>IF(OR(J345="",K345="",K345&lt;J345),0,NETWORKDAYS(J345,K345,fESTIVOS!$A$2:$A$53))
</f>
        <v>0</v>
      </c>
      <c r="I345" s="98">
        <v>45974.0</v>
      </c>
      <c r="J345" s="99">
        <v>45974.0</v>
      </c>
      <c r="K345" s="99"/>
      <c r="L345" s="99">
        <v>45974.0</v>
      </c>
      <c r="M345" s="27">
        <f>IF(OR(J345="",AND(L345="",TODAY()&lt;J345),AND(L345&lt;&gt;"",L345&lt;J345)),0,
   IF(L345="",
      NETWORKDAYS(J345,TODAY(),fESTIVOS!$A$2:$A$53),
      NETWORKDAYS(J345,L345,fESTIVOS!$A$2:$A$53)
   )
)
</f>
        <v>1</v>
      </c>
      <c r="N345" s="28"/>
      <c r="O345" s="98"/>
      <c r="P345" s="100"/>
      <c r="Q345" s="34" t="s">
        <v>1619</v>
      </c>
      <c r="R345" s="113" t="s">
        <v>78</v>
      </c>
      <c r="S345" s="155"/>
      <c r="T345" s="97"/>
      <c r="U345" s="102"/>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row>
    <row r="346" ht="29.25" hidden="1" customHeight="1">
      <c r="A346" s="92" t="s">
        <v>128</v>
      </c>
      <c r="B346" s="93" t="s">
        <v>1620</v>
      </c>
      <c r="C346" s="141" t="s">
        <v>1621</v>
      </c>
      <c r="D346" s="95" t="s">
        <v>1622</v>
      </c>
      <c r="E346" s="96"/>
      <c r="F346" s="122" t="s">
        <v>76</v>
      </c>
      <c r="G346" s="97">
        <v>100.0</v>
      </c>
      <c r="H346" s="22">
        <f>IF(OR(J346="",K346="",K346&lt;J346),0,NETWORKDAYS(J346,K346,fESTIVOS!$A$2:$A$53))
</f>
        <v>0</v>
      </c>
      <c r="I346" s="98">
        <v>45974.0</v>
      </c>
      <c r="J346" s="99">
        <v>45974.0</v>
      </c>
      <c r="K346" s="99"/>
      <c r="L346" s="99">
        <v>45974.0</v>
      </c>
      <c r="M346" s="27">
        <f>IF(OR(J346="",AND(L346="",TODAY()&lt;J346),AND(L346&lt;&gt;"",L346&lt;J346)),0,
   IF(L346="",
      NETWORKDAYS(J346,TODAY(),fESTIVOS!$A$2:$A$53),
      NETWORKDAYS(J346,L346,fESTIVOS!$A$2:$A$53)
   )
)
</f>
        <v>1</v>
      </c>
      <c r="N346" s="28"/>
      <c r="O346" s="98"/>
      <c r="P346" s="100">
        <v>45974.0</v>
      </c>
      <c r="Q346" s="34" t="s">
        <v>1623</v>
      </c>
      <c r="R346" s="113" t="s">
        <v>78</v>
      </c>
      <c r="S346" s="155"/>
      <c r="T346" s="97"/>
      <c r="U346" s="102"/>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row>
    <row r="347" ht="29.25" hidden="1" customHeight="1">
      <c r="A347" s="92" t="s">
        <v>128</v>
      </c>
      <c r="B347" s="93" t="s">
        <v>1624</v>
      </c>
      <c r="C347" s="151" t="s">
        <v>1625</v>
      </c>
      <c r="D347" s="95" t="s">
        <v>1626</v>
      </c>
      <c r="E347" s="96"/>
      <c r="F347" s="122" t="s">
        <v>76</v>
      </c>
      <c r="G347" s="97">
        <v>100.0</v>
      </c>
      <c r="H347" s="22">
        <f>IF(OR(J347="",K347="",K347&lt;J347),0,NETWORKDAYS(J347,K347,fESTIVOS!$A$2:$A$53))
</f>
        <v>0</v>
      </c>
      <c r="I347" s="98">
        <v>45974.0</v>
      </c>
      <c r="J347" s="99">
        <v>45974.0</v>
      </c>
      <c r="K347" s="99"/>
      <c r="L347" s="99">
        <v>45974.0</v>
      </c>
      <c r="M347" s="27">
        <f>IF(OR(J347="",AND(L347="",TODAY()&lt;J347),AND(L347&lt;&gt;"",L347&lt;J347)),0,
   IF(L347="",
      NETWORKDAYS(J347,TODAY(),fESTIVOS!$A$2:$A$53),
      NETWORKDAYS(J347,L347,fESTIVOS!$A$2:$A$53)
   )
)
</f>
        <v>1</v>
      </c>
      <c r="N347" s="28"/>
      <c r="O347" s="98"/>
      <c r="P347" s="100"/>
      <c r="Q347" s="34" t="s">
        <v>1627</v>
      </c>
      <c r="R347" s="113" t="s">
        <v>78</v>
      </c>
      <c r="S347" s="155"/>
      <c r="T347" s="97"/>
      <c r="U347" s="102"/>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row>
    <row r="348" ht="29.25" hidden="1" customHeight="1">
      <c r="A348" s="92" t="s">
        <v>128</v>
      </c>
      <c r="B348" s="93" t="s">
        <v>1628</v>
      </c>
      <c r="C348" s="107" t="s">
        <v>1629</v>
      </c>
      <c r="D348" s="95" t="s">
        <v>1630</v>
      </c>
      <c r="E348" s="96"/>
      <c r="F348" s="122" t="s">
        <v>76</v>
      </c>
      <c r="G348" s="97">
        <v>100.0</v>
      </c>
      <c r="H348" s="22">
        <f>IF(OR(J348="",K348="",K348&lt;J348),0,NETWORKDAYS(J348,K348,fESTIVOS!$A$2:$A$53))
</f>
        <v>0</v>
      </c>
      <c r="I348" s="98">
        <v>45931.0</v>
      </c>
      <c r="J348" s="99">
        <v>45932.0</v>
      </c>
      <c r="K348" s="99"/>
      <c r="L348" s="99">
        <v>45932.0</v>
      </c>
      <c r="M348" s="27">
        <f>IF(OR(J348="",AND(L348="",TODAY()&lt;J348),AND(L348&lt;&gt;"",L348&lt;J348)),0,
   IF(L348="",
      NETWORKDAYS(J348,TODAY(),fESTIVOS!$A$2:$A$53),
      NETWORKDAYS(J348,L348,fESTIVOS!$A$2:$A$53)
   )
)
</f>
        <v>1</v>
      </c>
      <c r="N348" s="28"/>
      <c r="O348" s="98"/>
      <c r="P348" s="100"/>
      <c r="Q348" s="34" t="s">
        <v>1631</v>
      </c>
      <c r="R348" s="113" t="s">
        <v>78</v>
      </c>
      <c r="S348" s="155"/>
      <c r="T348" s="97"/>
      <c r="U348" s="102"/>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row>
    <row r="349" ht="29.25" hidden="1" customHeight="1">
      <c r="A349" s="92" t="s">
        <v>128</v>
      </c>
      <c r="B349" s="93" t="s">
        <v>1632</v>
      </c>
      <c r="C349" s="107" t="s">
        <v>1633</v>
      </c>
      <c r="D349" s="95" t="s">
        <v>1634</v>
      </c>
      <c r="E349" s="96"/>
      <c r="F349" s="122" t="s">
        <v>76</v>
      </c>
      <c r="G349" s="97">
        <v>100.0</v>
      </c>
      <c r="H349" s="22">
        <f>IF(OR(J349="",K349="",K349&lt;J349),0,NETWORKDAYS(J349,K349,fESTIVOS!$A$2:$A$53))
</f>
        <v>0</v>
      </c>
      <c r="I349" s="98">
        <v>45929.0</v>
      </c>
      <c r="J349" s="99">
        <v>45930.0</v>
      </c>
      <c r="K349" s="99"/>
      <c r="L349" s="99">
        <v>45930.0</v>
      </c>
      <c r="M349" s="27">
        <f>IF(OR(J349="",AND(L349="",TODAY()&lt;J349),AND(L349&lt;&gt;"",L349&lt;J349)),0,
   IF(L349="",
      NETWORKDAYS(J349,TODAY(),fESTIVOS!$A$2:$A$53),
      NETWORKDAYS(J349,L349,fESTIVOS!$A$2:$A$53)
   )
)
</f>
        <v>1</v>
      </c>
      <c r="N349" s="28"/>
      <c r="O349" s="98"/>
      <c r="P349" s="100"/>
      <c r="Q349" s="34" t="s">
        <v>1635</v>
      </c>
      <c r="R349" s="113" t="s">
        <v>78</v>
      </c>
      <c r="S349" s="155"/>
      <c r="T349" s="97"/>
      <c r="U349" s="102"/>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row>
    <row r="350" ht="29.25" hidden="1" customHeight="1">
      <c r="A350" s="92" t="s">
        <v>128</v>
      </c>
      <c r="B350" s="93" t="s">
        <v>1636</v>
      </c>
      <c r="C350" s="107" t="s">
        <v>1637</v>
      </c>
      <c r="D350" s="95" t="s">
        <v>1638</v>
      </c>
      <c r="E350" s="96"/>
      <c r="F350" s="122" t="s">
        <v>76</v>
      </c>
      <c r="G350" s="97">
        <v>100.0</v>
      </c>
      <c r="H350" s="22">
        <f>IF(OR(J350="",K350="",K350&lt;J350),0,NETWORKDAYS(J350,K350,fESTIVOS!$A$2:$A$53))
</f>
        <v>0</v>
      </c>
      <c r="I350" s="98">
        <v>45908.0</v>
      </c>
      <c r="J350" s="99">
        <v>45909.0</v>
      </c>
      <c r="K350" s="99"/>
      <c r="L350" s="99">
        <v>45909.0</v>
      </c>
      <c r="M350" s="27">
        <f>IF(OR(J350="",AND(L350="",TODAY()&lt;J350),AND(L350&lt;&gt;"",L350&lt;J350)),0,
   IF(L350="",
      NETWORKDAYS(J350,TODAY(),fESTIVOS!$A$2:$A$53),
      NETWORKDAYS(J350,L350,fESTIVOS!$A$2:$A$53)
   )
)
</f>
        <v>1</v>
      </c>
      <c r="N350" s="28"/>
      <c r="O350" s="98">
        <v>45910.0</v>
      </c>
      <c r="P350" s="100">
        <v>45910.0</v>
      </c>
      <c r="Q350" s="34" t="s">
        <v>1639</v>
      </c>
      <c r="R350" s="113" t="s">
        <v>78</v>
      </c>
      <c r="S350" s="101"/>
      <c r="T350" s="101"/>
      <c r="U350" s="102"/>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row>
    <row r="351" ht="29.25" hidden="1" customHeight="1">
      <c r="A351" s="92" t="s">
        <v>157</v>
      </c>
      <c r="B351" s="93" t="s">
        <v>1640</v>
      </c>
      <c r="C351" s="107" t="s">
        <v>1641</v>
      </c>
      <c r="D351" s="95"/>
      <c r="E351" s="96"/>
      <c r="F351" s="122" t="s">
        <v>76</v>
      </c>
      <c r="G351" s="97">
        <v>100.0</v>
      </c>
      <c r="H351" s="22">
        <f>IF(OR(J351="",K351="",K351&lt;J351),0,NETWORKDAYS(J351,K351,fESTIVOS!$A$2:$A$53))
</f>
        <v>0</v>
      </c>
      <c r="I351" s="98">
        <v>45912.0</v>
      </c>
      <c r="J351" s="99">
        <v>45915.0</v>
      </c>
      <c r="K351" s="99"/>
      <c r="L351" s="99">
        <v>45915.0</v>
      </c>
      <c r="M351" s="27">
        <f>IF(OR(J351="",AND(L351="",TODAY()&lt;J351),AND(L351&lt;&gt;"",L351&lt;J351)),0,
   IF(L351="",
      NETWORKDAYS(J351,TODAY(),fESTIVOS!$A$2:$A$53),
      NETWORKDAYS(J351,L351,fESTIVOS!$A$2:$A$53)
   )
)
</f>
        <v>1</v>
      </c>
      <c r="N351" s="28"/>
      <c r="O351" s="98"/>
      <c r="P351" s="100"/>
      <c r="Q351" s="34" t="s">
        <v>1642</v>
      </c>
      <c r="R351" s="113" t="s">
        <v>78</v>
      </c>
      <c r="S351" s="101"/>
      <c r="T351" s="101"/>
      <c r="U351" s="102"/>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row>
    <row r="352" ht="29.25" hidden="1" customHeight="1">
      <c r="A352" s="92" t="s">
        <v>157</v>
      </c>
      <c r="B352" s="93" t="s">
        <v>1643</v>
      </c>
      <c r="C352" s="107" t="s">
        <v>1644</v>
      </c>
      <c r="D352" s="95" t="s">
        <v>1645</v>
      </c>
      <c r="E352" s="96"/>
      <c r="F352" s="122" t="s">
        <v>76</v>
      </c>
      <c r="G352" s="97">
        <v>100.0</v>
      </c>
      <c r="H352" s="22">
        <f>IF(OR(J352="",K352="",K352&lt;J352),0,NETWORKDAYS(J352,K352,fESTIVOS!$A$2:$A$53))
</f>
        <v>0</v>
      </c>
      <c r="I352" s="98">
        <v>45894.0</v>
      </c>
      <c r="J352" s="99">
        <v>45896.0</v>
      </c>
      <c r="K352" s="99"/>
      <c r="L352" s="99">
        <v>45897.0</v>
      </c>
      <c r="M352" s="27">
        <f>IF(OR(J352="",AND(L352="",TODAY()&lt;J352),AND(L352&lt;&gt;"",L352&lt;J352)),0,
   IF(L352="",
      NETWORKDAYS(J352,TODAY(),fESTIVOS!$A$2:$A$53),
      NETWORKDAYS(J352,L352,fESTIVOS!$A$2:$A$53)
   )
)
</f>
        <v>2</v>
      </c>
      <c r="N352" s="28"/>
      <c r="O352" s="98"/>
      <c r="P352" s="100">
        <v>45897.0</v>
      </c>
      <c r="Q352" s="34" t="s">
        <v>1646</v>
      </c>
      <c r="R352" s="31" t="s">
        <v>78</v>
      </c>
      <c r="S352" s="101"/>
      <c r="T352" s="101"/>
      <c r="U352" s="102"/>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row>
    <row r="353" ht="29.25" hidden="1" customHeight="1">
      <c r="A353" s="92" t="s">
        <v>157</v>
      </c>
      <c r="B353" s="93" t="s">
        <v>1647</v>
      </c>
      <c r="C353" s="107" t="s">
        <v>1648</v>
      </c>
      <c r="D353" s="95" t="s">
        <v>1649</v>
      </c>
      <c r="E353" s="96"/>
      <c r="F353" s="122" t="s">
        <v>76</v>
      </c>
      <c r="G353" s="97">
        <v>100.0</v>
      </c>
      <c r="H353" s="22">
        <f>IF(OR(J353="",K353="",K353&lt;J353),0,NETWORKDAYS(J353,K353,fESTIVOS!$A$2:$A$53))
</f>
        <v>0</v>
      </c>
      <c r="I353" s="98">
        <v>45898.0</v>
      </c>
      <c r="J353" s="99">
        <v>45901.0</v>
      </c>
      <c r="K353" s="99"/>
      <c r="L353" s="99">
        <v>45901.0</v>
      </c>
      <c r="M353" s="27">
        <f>IF(OR(J353="",AND(L353="",TODAY()&lt;J353),AND(L353&lt;&gt;"",L353&lt;J353)),0,
   IF(L353="",
      NETWORKDAYS(J353,TODAY(),fESTIVOS!$A$2:$A$53),
      NETWORKDAYS(J353,L353,fESTIVOS!$A$2:$A$53)
   )
)
</f>
        <v>1</v>
      </c>
      <c r="N353" s="28"/>
      <c r="O353" s="98"/>
      <c r="P353" s="100"/>
      <c r="Q353" s="34" t="s">
        <v>1650</v>
      </c>
      <c r="R353" s="113" t="s">
        <v>78</v>
      </c>
      <c r="S353" s="101"/>
      <c r="T353" s="101"/>
      <c r="U353" s="102"/>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row>
    <row r="354" ht="29.25" hidden="1" customHeight="1">
      <c r="A354" s="92" t="s">
        <v>157</v>
      </c>
      <c r="B354" s="93" t="s">
        <v>1651</v>
      </c>
      <c r="C354" s="107" t="s">
        <v>1652</v>
      </c>
      <c r="D354" s="95" t="s">
        <v>1653</v>
      </c>
      <c r="E354" s="96"/>
      <c r="F354" s="122" t="s">
        <v>76</v>
      </c>
      <c r="G354" s="97">
        <v>100.0</v>
      </c>
      <c r="H354" s="22">
        <f>IF(OR(J354="",K354="",K354&lt;J354),0,NETWORKDAYS(J354,K354,fESTIVOS!$A$2:$A$53))
</f>
        <v>0</v>
      </c>
      <c r="I354" s="98">
        <v>45902.0</v>
      </c>
      <c r="J354" s="99">
        <v>45902.0</v>
      </c>
      <c r="K354" s="99"/>
      <c r="L354" s="99">
        <v>45924.0</v>
      </c>
      <c r="M354" s="27">
        <f>IF(OR(J354="",AND(L354="",TODAY()&lt;J354),AND(L354&lt;&gt;"",L354&lt;J354)),0,
   IF(L354="",
      NETWORKDAYS(J354,TODAY(),fESTIVOS!$A$2:$A$53),
      NETWORKDAYS(J354,L354,fESTIVOS!$A$2:$A$53)
   )
)
</f>
        <v>17</v>
      </c>
      <c r="N354" s="28"/>
      <c r="O354" s="98"/>
      <c r="P354" s="100"/>
      <c r="Q354" s="34" t="s">
        <v>1654</v>
      </c>
      <c r="R354" s="31" t="s">
        <v>78</v>
      </c>
      <c r="S354" s="101"/>
      <c r="T354" s="101"/>
      <c r="U354" s="102"/>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row>
    <row r="355" ht="29.25" hidden="1" customHeight="1">
      <c r="A355" s="92" t="s">
        <v>251</v>
      </c>
      <c r="B355" s="93" t="s">
        <v>1655</v>
      </c>
      <c r="C355" s="142" t="s">
        <v>1656</v>
      </c>
      <c r="D355" s="210" t="s">
        <v>1657</v>
      </c>
      <c r="E355" s="96"/>
      <c r="F355" s="122" t="s">
        <v>76</v>
      </c>
      <c r="G355" s="97">
        <v>100.0</v>
      </c>
      <c r="H355" s="22">
        <f>IF(OR(J355="",K355="",K355&lt;J355),0,NETWORKDAYS(J355,K355,fESTIVOS!$A$2:$A$53))
</f>
        <v>0</v>
      </c>
      <c r="I355" s="98">
        <v>45902.0</v>
      </c>
      <c r="J355" s="99">
        <v>45903.0</v>
      </c>
      <c r="K355" s="99"/>
      <c r="L355" s="99">
        <v>45975.0</v>
      </c>
      <c r="M355" s="27">
        <f>IF(OR(J355="",AND(L355="",TODAY()&lt;J355),AND(L355&lt;&gt;"",L355&lt;J355)),0,
   IF(L355="",
      NETWORKDAYS(J355,TODAY(),fESTIVOS!$A$2:$A$53),
      NETWORKDAYS(J355,L355,fESTIVOS!$A$2:$A$53)
   )
)
</f>
        <v>51</v>
      </c>
      <c r="N355" s="28"/>
      <c r="O355" s="98"/>
      <c r="P355" s="100"/>
      <c r="Q355" s="34" t="s">
        <v>1658</v>
      </c>
      <c r="R355" s="31" t="s">
        <v>78</v>
      </c>
      <c r="S355" s="101"/>
      <c r="T355" s="101"/>
      <c r="U355" s="102"/>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row>
    <row r="356" ht="29.25" hidden="1" customHeight="1">
      <c r="A356" s="92" t="s">
        <v>251</v>
      </c>
      <c r="B356" s="93" t="s">
        <v>1659</v>
      </c>
      <c r="C356" s="141" t="s">
        <v>1660</v>
      </c>
      <c r="D356" s="211" t="s">
        <v>1661</v>
      </c>
      <c r="E356" s="96"/>
      <c r="F356" s="122" t="s">
        <v>76</v>
      </c>
      <c r="G356" s="97">
        <v>100.0</v>
      </c>
      <c r="H356" s="22">
        <f>IF(OR(J356="",K356="",K356&lt;J356),0,NETWORKDAYS(J356,K356,fESTIVOS!$A$2:$A$53))
</f>
        <v>0</v>
      </c>
      <c r="I356" s="98">
        <v>45975.0</v>
      </c>
      <c r="J356" s="99">
        <v>45987.0</v>
      </c>
      <c r="K356" s="99"/>
      <c r="L356" s="99">
        <v>45994.0</v>
      </c>
      <c r="M356" s="27">
        <f>IF(OR(J356="",AND(L356="",TODAY()&lt;J356),AND(L356&lt;&gt;"",L356&lt;J356)),0,
   IF(L356="",
      NETWORKDAYS(J356,TODAY(),fESTIVOS!$A$2:$A$53),
      NETWORKDAYS(J356,L356,fESTIVOS!$A$2:$A$53)
   )
)
</f>
        <v>6</v>
      </c>
      <c r="N356" s="28"/>
      <c r="O356" s="98"/>
      <c r="P356" s="100"/>
      <c r="Q356" s="34" t="s">
        <v>1662</v>
      </c>
      <c r="R356" s="31" t="s">
        <v>78</v>
      </c>
      <c r="S356" s="101"/>
      <c r="T356" s="101"/>
      <c r="U356" s="102"/>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row>
    <row r="357" ht="29.25" hidden="1" customHeight="1">
      <c r="A357" s="92" t="s">
        <v>251</v>
      </c>
      <c r="B357" s="93" t="s">
        <v>1663</v>
      </c>
      <c r="C357" s="141" t="s">
        <v>1664</v>
      </c>
      <c r="D357" s="211"/>
      <c r="E357" s="96"/>
      <c r="F357" s="122" t="s">
        <v>76</v>
      </c>
      <c r="G357" s="97">
        <v>100.0</v>
      </c>
      <c r="H357" s="22">
        <f>IF(OR(J357="",K357="",K357&lt;J357),0,NETWORKDAYS(J357,K357,fESTIVOS!$A$2:$A$53))
</f>
        <v>0</v>
      </c>
      <c r="I357" s="98">
        <v>45980.0</v>
      </c>
      <c r="J357" s="99">
        <v>45980.0</v>
      </c>
      <c r="K357" s="99"/>
      <c r="L357" s="99">
        <v>46006.0</v>
      </c>
      <c r="M357" s="27">
        <f>IF(OR(J357="",AND(L357="",TODAY()&lt;J357),AND(L357&lt;&gt;"",L357&lt;J357)),0,
   IF(L357="",
      NETWORKDAYS(J357,TODAY(),fESTIVOS!$A$2:$A$53),
      NETWORKDAYS(J357,L357,fESTIVOS!$A$2:$A$53)
   )
)
</f>
        <v>18</v>
      </c>
      <c r="N357" s="28"/>
      <c r="O357" s="98"/>
      <c r="P357" s="100"/>
      <c r="Q357" s="34" t="s">
        <v>1665</v>
      </c>
      <c r="R357" s="113" t="s">
        <v>78</v>
      </c>
      <c r="S357" s="101"/>
      <c r="T357" s="101"/>
      <c r="U357" s="102"/>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row>
    <row r="358" ht="29.25" hidden="1" customHeight="1">
      <c r="A358" s="92" t="s">
        <v>251</v>
      </c>
      <c r="B358" s="93" t="s">
        <v>1666</v>
      </c>
      <c r="C358" s="141" t="s">
        <v>1667</v>
      </c>
      <c r="D358" s="211"/>
      <c r="E358" s="96"/>
      <c r="F358" s="122" t="s">
        <v>76</v>
      </c>
      <c r="G358" s="97">
        <v>100.0</v>
      </c>
      <c r="H358" s="22">
        <f>IF(OR(J358="",K358="",K358&lt;J358),0,NETWORKDAYS(J358,K358,fESTIVOS!$A$2:$A$53))
</f>
        <v>0</v>
      </c>
      <c r="I358" s="98">
        <v>46006.0</v>
      </c>
      <c r="J358" s="99">
        <v>46006.0</v>
      </c>
      <c r="K358" s="99"/>
      <c r="L358" s="99">
        <v>46007.0</v>
      </c>
      <c r="M358" s="27">
        <f>IF(OR(J358="",AND(L358="",TODAY()&lt;J358),AND(L358&lt;&gt;"",L358&lt;J358)),0,
   IF(L358="",
      NETWORKDAYS(J358,TODAY(),fESTIVOS!$A$2:$A$53),
      NETWORKDAYS(J358,L358,fESTIVOS!$A$2:$A$53)
   )
)
</f>
        <v>2</v>
      </c>
      <c r="N358" s="28"/>
      <c r="O358" s="98"/>
      <c r="P358" s="100"/>
      <c r="Q358" s="34" t="s">
        <v>1668</v>
      </c>
      <c r="R358" s="113" t="s">
        <v>78</v>
      </c>
      <c r="S358" s="101"/>
      <c r="T358" s="101"/>
      <c r="U358" s="102"/>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row>
    <row r="359" ht="29.25" hidden="1" customHeight="1">
      <c r="A359" s="92" t="s">
        <v>251</v>
      </c>
      <c r="B359" s="93" t="s">
        <v>1669</v>
      </c>
      <c r="C359" s="141" t="s">
        <v>1670</v>
      </c>
      <c r="D359" s="211" t="s">
        <v>1671</v>
      </c>
      <c r="E359" s="96"/>
      <c r="F359" s="122" t="s">
        <v>76</v>
      </c>
      <c r="G359" s="97">
        <v>100.0</v>
      </c>
      <c r="H359" s="22">
        <f>IF(OR(J359="",K359="",K359&lt;J359),0,NETWORKDAYS(J359,K359,fESTIVOS!$A$2:$A$53))
</f>
        <v>0</v>
      </c>
      <c r="I359" s="98">
        <v>45982.0</v>
      </c>
      <c r="J359" s="99">
        <v>45982.0</v>
      </c>
      <c r="K359" s="99"/>
      <c r="L359" s="99">
        <v>45986.0</v>
      </c>
      <c r="M359" s="27">
        <f>IF(OR(J359="",AND(L359="",TODAY()&lt;J359),AND(L359&lt;&gt;"",L359&lt;J359)),0,
   IF(L359="",
      NETWORKDAYS(J359,TODAY(),fESTIVOS!$A$2:$A$53),
      NETWORKDAYS(J359,L359,fESTIVOS!$A$2:$A$53)
   )
)
</f>
        <v>3</v>
      </c>
      <c r="N359" s="28"/>
      <c r="O359" s="98"/>
      <c r="P359" s="100"/>
      <c r="Q359" s="34" t="s">
        <v>1672</v>
      </c>
      <c r="R359" s="113" t="s">
        <v>78</v>
      </c>
      <c r="S359" s="101"/>
      <c r="T359" s="101"/>
      <c r="U359" s="102"/>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row>
    <row r="360" ht="29.25" hidden="1" customHeight="1">
      <c r="A360" s="92" t="s">
        <v>251</v>
      </c>
      <c r="B360" s="93" t="s">
        <v>1673</v>
      </c>
      <c r="C360" s="141" t="s">
        <v>1674</v>
      </c>
      <c r="D360" s="211" t="s">
        <v>1675</v>
      </c>
      <c r="E360" s="96"/>
      <c r="F360" s="122" t="s">
        <v>76</v>
      </c>
      <c r="G360" s="97">
        <v>100.0</v>
      </c>
      <c r="H360" s="22">
        <f>IF(OR(J360="",K360="",K360&lt;J360),0,NETWORKDAYS(J360,K360,fESTIVOS!$A$2:$A$53))
</f>
        <v>0</v>
      </c>
      <c r="I360" s="98">
        <v>45989.0</v>
      </c>
      <c r="J360" s="99">
        <v>45989.0</v>
      </c>
      <c r="K360" s="99"/>
      <c r="L360" s="99">
        <v>45989.0</v>
      </c>
      <c r="M360" s="27">
        <f>IF(OR(J360="",AND(L360="",TODAY()&lt;J360),AND(L360&lt;&gt;"",L360&lt;J360)),0,
   IF(L360="",
      NETWORKDAYS(J360,TODAY(),fESTIVOS!$A$2:$A$53),
      NETWORKDAYS(J360,L360,fESTIVOS!$A$2:$A$53)
   )
)
</f>
        <v>1</v>
      </c>
      <c r="N360" s="28"/>
      <c r="O360" s="98"/>
      <c r="P360" s="100"/>
      <c r="Q360" s="34" t="s">
        <v>1676</v>
      </c>
      <c r="R360" s="113" t="s">
        <v>78</v>
      </c>
      <c r="S360" s="101"/>
      <c r="T360" s="101"/>
      <c r="U360" s="102"/>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row>
    <row r="361" ht="29.25" hidden="1" customHeight="1">
      <c r="A361" s="92" t="s">
        <v>251</v>
      </c>
      <c r="B361" s="93" t="s">
        <v>1677</v>
      </c>
      <c r="C361" s="141" t="s">
        <v>1678</v>
      </c>
      <c r="D361" s="211" t="s">
        <v>1679</v>
      </c>
      <c r="E361" s="96"/>
      <c r="F361" s="122" t="s">
        <v>76</v>
      </c>
      <c r="G361" s="97">
        <v>100.0</v>
      </c>
      <c r="H361" s="22">
        <f>IF(OR(J361="",K361="",K361&lt;J361),0,NETWORKDAYS(J361,K361,fESTIVOS!$A$2:$A$53))
</f>
        <v>0</v>
      </c>
      <c r="I361" s="98">
        <v>45987.0</v>
      </c>
      <c r="J361" s="99">
        <v>45987.0</v>
      </c>
      <c r="K361" s="99"/>
      <c r="L361" s="99">
        <v>45987.0</v>
      </c>
      <c r="M361" s="27">
        <f>IF(OR(J361="",AND(L361="",TODAY()&lt;J361),AND(L361&lt;&gt;"",L361&lt;J361)),0,
   IF(L361="",
      NETWORKDAYS(J361,TODAY(),fESTIVOS!$A$2:$A$53),
      NETWORKDAYS(J361,L361,fESTIVOS!$A$2:$A$53)
   )
)
</f>
        <v>1</v>
      </c>
      <c r="N361" s="28"/>
      <c r="O361" s="98"/>
      <c r="P361" s="100"/>
      <c r="Q361" s="34" t="s">
        <v>1680</v>
      </c>
      <c r="R361" s="113" t="s">
        <v>78</v>
      </c>
      <c r="S361" s="101"/>
      <c r="T361" s="101"/>
      <c r="U361" s="102"/>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row>
    <row r="362" ht="29.25" hidden="1" customHeight="1">
      <c r="A362" s="92" t="s">
        <v>251</v>
      </c>
      <c r="B362" s="195" t="s">
        <v>1681</v>
      </c>
      <c r="C362" s="212" t="s">
        <v>1682</v>
      </c>
      <c r="D362" s="211" t="s">
        <v>1683</v>
      </c>
      <c r="E362" s="96"/>
      <c r="F362" s="122" t="s">
        <v>76</v>
      </c>
      <c r="G362" s="97">
        <v>100.0</v>
      </c>
      <c r="H362" s="22">
        <f>IF(OR(J362="",K362="",K362&lt;J362),0,NETWORKDAYS(J362,K362,fESTIVOS!$A$2:$A$53))
</f>
        <v>0</v>
      </c>
      <c r="I362" s="98">
        <v>45985.0</v>
      </c>
      <c r="J362" s="99">
        <v>45985.0</v>
      </c>
      <c r="K362" s="99"/>
      <c r="L362" s="99">
        <v>45985.0</v>
      </c>
      <c r="M362" s="27">
        <f>IF(OR(J362="",AND(L362="",TODAY()&lt;J362),AND(L362&lt;&gt;"",L362&lt;J362)),0,
   IF(L362="",
      NETWORKDAYS(J362,TODAY(),fESTIVOS!$A$2:$A$53),
      NETWORKDAYS(J362,L362,fESTIVOS!$A$2:$A$53)
   )
)
</f>
        <v>1</v>
      </c>
      <c r="N362" s="28"/>
      <c r="O362" s="98"/>
      <c r="P362" s="100"/>
      <c r="Q362" s="34" t="s">
        <v>1684</v>
      </c>
      <c r="R362" s="113" t="s">
        <v>78</v>
      </c>
      <c r="S362" s="101"/>
      <c r="T362" s="101"/>
      <c r="U362" s="102"/>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row>
    <row r="363" ht="29.25" hidden="1" customHeight="1">
      <c r="A363" s="55" t="s">
        <v>157</v>
      </c>
      <c r="B363" s="17" t="s">
        <v>1685</v>
      </c>
      <c r="C363" s="142" t="s">
        <v>1686</v>
      </c>
      <c r="D363" s="213"/>
      <c r="E363" s="96"/>
      <c r="F363" s="20" t="s">
        <v>76</v>
      </c>
      <c r="G363" s="97">
        <v>100.0</v>
      </c>
      <c r="H363" s="22">
        <f>IF(OR(J363="",K363="",K363&lt;J363),0,NETWORKDAYS(J363,K363,fESTIVOS!$A$2:$A$53))
</f>
        <v>0</v>
      </c>
      <c r="I363" s="98">
        <v>45861.0</v>
      </c>
      <c r="J363" s="99">
        <v>45869.0</v>
      </c>
      <c r="K363" s="99"/>
      <c r="L363" s="99">
        <v>46013.0</v>
      </c>
      <c r="M363" s="27">
        <f>IF(OR(J363="",AND(L363="",TODAY()&lt;J363),AND(L363&lt;&gt;"",L363&lt;J363)),0,
   IF(L363="",
      NETWORKDAYS(J363,TODAY(),fESTIVOS!$A$2:$A$53),
      NETWORKDAYS(J363,L363,fESTIVOS!$A$2:$A$53)
   )
)
</f>
        <v>97</v>
      </c>
      <c r="N363" s="28"/>
      <c r="O363" s="98"/>
      <c r="P363" s="100"/>
      <c r="Q363" s="34" t="s">
        <v>1687</v>
      </c>
      <c r="R363" s="31" t="s">
        <v>78</v>
      </c>
      <c r="S363" s="101"/>
      <c r="T363" s="101"/>
      <c r="U363" s="102"/>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row>
    <row r="364" ht="29.25" hidden="1" customHeight="1">
      <c r="A364" s="92" t="s">
        <v>157</v>
      </c>
      <c r="B364" s="93" t="s">
        <v>1688</v>
      </c>
      <c r="C364" s="142" t="s">
        <v>1689</v>
      </c>
      <c r="D364" s="111" t="s">
        <v>1690</v>
      </c>
      <c r="E364" s="96"/>
      <c r="F364" s="214" t="s">
        <v>76</v>
      </c>
      <c r="G364" s="97">
        <v>100.0</v>
      </c>
      <c r="H364" s="22">
        <f>IF(OR(J364="",K364="",K364&lt;J364),0,NETWORKDAYS(J364,K364,fESTIVOS!$A$2:$A$53))
</f>
        <v>0</v>
      </c>
      <c r="I364" s="98">
        <v>45904.0</v>
      </c>
      <c r="J364" s="99">
        <v>45910.0</v>
      </c>
      <c r="K364" s="99"/>
      <c r="L364" s="99">
        <v>45932.0</v>
      </c>
      <c r="M364" s="27">
        <f>IF(OR(J364="",AND(L364="",TODAY()&lt;J364),AND(L364&lt;&gt;"",L364&lt;J364)),0,
   IF(L364="",
      NETWORKDAYS(J364,TODAY(),fESTIVOS!$A$2:$A$53),
      NETWORKDAYS(J364,L364,fESTIVOS!$A$2:$A$53)
   )
)
</f>
        <v>17</v>
      </c>
      <c r="N364" s="28"/>
      <c r="O364" s="98">
        <v>45932.0</v>
      </c>
      <c r="P364" s="100">
        <v>45993.0</v>
      </c>
      <c r="Q364" s="34" t="s">
        <v>1691</v>
      </c>
      <c r="R364" s="31" t="s">
        <v>78</v>
      </c>
      <c r="S364" s="97">
        <v>1.0</v>
      </c>
      <c r="T364" s="97" t="s">
        <v>1692</v>
      </c>
      <c r="U364" s="122" t="s">
        <v>1693</v>
      </c>
      <c r="V364" s="215" t="s">
        <v>1694</v>
      </c>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row>
    <row r="365" ht="29.25" hidden="1" customHeight="1">
      <c r="A365" s="92" t="s">
        <v>251</v>
      </c>
      <c r="B365" s="93" t="s">
        <v>1695</v>
      </c>
      <c r="C365" s="141" t="s">
        <v>1696</v>
      </c>
      <c r="D365" s="111"/>
      <c r="E365" s="96"/>
      <c r="F365" s="112" t="s">
        <v>76</v>
      </c>
      <c r="G365" s="97">
        <v>100.0</v>
      </c>
      <c r="H365" s="22">
        <f>IF(OR(J365="",K365="",K365&lt;J365),0,NETWORKDAYS(J365,K365,fESTIVOS!$A$2:$A$53))
</f>
        <v>0</v>
      </c>
      <c r="I365" s="98">
        <v>45994.0</v>
      </c>
      <c r="J365" s="99">
        <v>45995.0</v>
      </c>
      <c r="K365" s="99"/>
      <c r="L365" s="99">
        <v>45995.0</v>
      </c>
      <c r="M365" s="27">
        <f>IF(OR(J365="",AND(L365="",TODAY()&lt;J365),AND(L365&lt;&gt;"",L365&lt;J365)),0,
   IF(L365="",
      NETWORKDAYS(J365,TODAY(),fESTIVOS!$A$2:$A$53),
      NETWORKDAYS(J365,L365,fESTIVOS!$A$2:$A$53)
   )
)
</f>
        <v>1</v>
      </c>
      <c r="N365" s="28"/>
      <c r="O365" s="98"/>
      <c r="P365" s="100"/>
      <c r="Q365" s="34" t="s">
        <v>1697</v>
      </c>
      <c r="R365" s="113" t="s">
        <v>78</v>
      </c>
      <c r="S365" s="97"/>
      <c r="T365" s="97"/>
      <c r="U365" s="102"/>
      <c r="V365" s="216"/>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row>
    <row r="366" ht="29.25" hidden="1" customHeight="1">
      <c r="A366" s="92" t="s">
        <v>251</v>
      </c>
      <c r="B366" s="93" t="s">
        <v>1698</v>
      </c>
      <c r="C366" s="141" t="s">
        <v>1699</v>
      </c>
      <c r="D366" s="111" t="s">
        <v>1700</v>
      </c>
      <c r="E366" s="96"/>
      <c r="F366" s="112" t="s">
        <v>76</v>
      </c>
      <c r="G366" s="97">
        <v>100.0</v>
      </c>
      <c r="H366" s="22">
        <f>IF(OR(J366="",K366="",K366&lt;J366),0,NETWORKDAYS(J366,K366,fESTIVOS!$A$2:$A$53))
</f>
        <v>0</v>
      </c>
      <c r="I366" s="98">
        <v>45994.0</v>
      </c>
      <c r="J366" s="99">
        <v>45995.0</v>
      </c>
      <c r="K366" s="99"/>
      <c r="L366" s="99">
        <v>45995.0</v>
      </c>
      <c r="M366" s="27">
        <f>IF(OR(J366="",AND(L366="",TODAY()&lt;J366),AND(L366&lt;&gt;"",L366&lt;J366)),0,
   IF(L366="",
      NETWORKDAYS(J366,TODAY(),fESTIVOS!$A$2:$A$53),
      NETWORKDAYS(J366,L366,fESTIVOS!$A$2:$A$53)
   )
)
</f>
        <v>1</v>
      </c>
      <c r="N366" s="28"/>
      <c r="O366" s="98"/>
      <c r="P366" s="100"/>
      <c r="Q366" s="34" t="s">
        <v>1701</v>
      </c>
      <c r="R366" s="113" t="s">
        <v>78</v>
      </c>
      <c r="S366" s="97"/>
      <c r="T366" s="97"/>
      <c r="U366" s="102"/>
      <c r="V366" s="216"/>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row>
    <row r="367" ht="29.25" hidden="1" customHeight="1">
      <c r="A367" s="92" t="s">
        <v>1702</v>
      </c>
      <c r="B367" s="93" t="s">
        <v>1703</v>
      </c>
      <c r="C367" s="141" t="s">
        <v>1704</v>
      </c>
      <c r="D367" s="111"/>
      <c r="E367" s="96"/>
      <c r="F367" s="214" t="s">
        <v>76</v>
      </c>
      <c r="G367" s="97">
        <v>100.0</v>
      </c>
      <c r="H367" s="22">
        <f>IF(OR(J367="",K367="",K367&lt;J367),0,NETWORKDAYS(J367,K367,fESTIVOS!$A$2:$A$53))
</f>
        <v>0</v>
      </c>
      <c r="I367" s="98">
        <v>45994.0</v>
      </c>
      <c r="J367" s="99">
        <v>45994.0</v>
      </c>
      <c r="K367" s="99"/>
      <c r="L367" s="99">
        <v>45994.0</v>
      </c>
      <c r="M367" s="27">
        <f>IF(OR(J367="",AND(L367="",TODAY()&lt;J367),AND(L367&lt;&gt;"",L367&lt;J367)),0,
   IF(L367="",
      NETWORKDAYS(J367,TODAY(),fESTIVOS!$A$2:$A$53),
      NETWORKDAYS(J367,L367,fESTIVOS!$A$2:$A$53)
   )
)
</f>
        <v>1</v>
      </c>
      <c r="N367" s="28"/>
      <c r="O367" s="98"/>
      <c r="P367" s="100"/>
      <c r="Q367" s="34" t="s">
        <v>1705</v>
      </c>
      <c r="R367" s="113" t="s">
        <v>78</v>
      </c>
      <c r="S367" s="97"/>
      <c r="T367" s="97"/>
      <c r="U367" s="102"/>
      <c r="V367" s="37"/>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row>
    <row r="368" ht="29.25" hidden="1" customHeight="1">
      <c r="A368" s="92" t="s">
        <v>157</v>
      </c>
      <c r="B368" s="93" t="s">
        <v>1706</v>
      </c>
      <c r="C368" s="141" t="s">
        <v>1707</v>
      </c>
      <c r="D368" s="111" t="s">
        <v>1708</v>
      </c>
      <c r="E368" s="96"/>
      <c r="F368" s="214" t="s">
        <v>76</v>
      </c>
      <c r="G368" s="97">
        <v>100.0</v>
      </c>
      <c r="H368" s="22">
        <f>IF(OR(J368="",K368="",K368&lt;J368),0,NETWORKDAYS(J368,K368,fESTIVOS!$A$2:$A$53))
</f>
        <v>0</v>
      </c>
      <c r="I368" s="98">
        <v>45986.0</v>
      </c>
      <c r="J368" s="99">
        <v>45987.0</v>
      </c>
      <c r="K368" s="99"/>
      <c r="L368" s="99">
        <v>45987.0</v>
      </c>
      <c r="M368" s="27">
        <f>IF(OR(J368="",AND(L368="",TODAY()&lt;J368),AND(L368&lt;&gt;"",L368&lt;J368)),0,
   IF(L368="",
      NETWORKDAYS(J368,TODAY(),fESTIVOS!$A$2:$A$53),
      NETWORKDAYS(J368,L368,fESTIVOS!$A$2:$A$53)
   )
)
</f>
        <v>1</v>
      </c>
      <c r="N368" s="28"/>
      <c r="O368" s="98">
        <v>45987.0</v>
      </c>
      <c r="P368" s="100">
        <v>45994.0</v>
      </c>
      <c r="Q368" s="34" t="s">
        <v>1709</v>
      </c>
      <c r="R368" s="31" t="s">
        <v>78</v>
      </c>
      <c r="S368" s="97"/>
      <c r="T368" s="97"/>
      <c r="U368" s="102"/>
      <c r="V368" s="37"/>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row>
    <row r="369" ht="29.25" hidden="1" customHeight="1">
      <c r="A369" s="92" t="s">
        <v>157</v>
      </c>
      <c r="B369" s="93" t="s">
        <v>1710</v>
      </c>
      <c r="C369" s="107" t="s">
        <v>1711</v>
      </c>
      <c r="D369" s="111" t="s">
        <v>1712</v>
      </c>
      <c r="E369" s="96"/>
      <c r="F369" s="122" t="s">
        <v>76</v>
      </c>
      <c r="G369" s="97">
        <v>100.0</v>
      </c>
      <c r="H369" s="22">
        <f>IF(OR(J369="",K369="",K369&lt;J369),0,NETWORKDAYS(J369,K369,fESTIVOS!$A$2:$A$53))
</f>
        <v>0</v>
      </c>
      <c r="I369" s="98">
        <v>45932.0</v>
      </c>
      <c r="J369" s="99">
        <v>45933.0</v>
      </c>
      <c r="K369" s="99"/>
      <c r="L369" s="99">
        <v>45933.0</v>
      </c>
      <c r="M369" s="27">
        <f>IF(OR(J369="",AND(L369="",TODAY()&lt;J369),AND(L369&lt;&gt;"",L369&lt;J369)),0,
   IF(L369="",
      NETWORKDAYS(J369,TODAY(),fESTIVOS!$A$2:$A$53),
      NETWORKDAYS(J369,L369,fESTIVOS!$A$2:$A$53)
   )
)
</f>
        <v>1</v>
      </c>
      <c r="N369" s="28"/>
      <c r="O369" s="98"/>
      <c r="P369" s="100"/>
      <c r="Q369" s="34" t="s">
        <v>1713</v>
      </c>
      <c r="R369" s="31" t="s">
        <v>78</v>
      </c>
      <c r="S369" s="97"/>
      <c r="T369" s="101"/>
      <c r="U369" s="102"/>
      <c r="V369" s="37"/>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row>
    <row r="370" ht="29.25" hidden="1" customHeight="1">
      <c r="A370" s="92" t="s">
        <v>157</v>
      </c>
      <c r="B370" s="93" t="s">
        <v>1714</v>
      </c>
      <c r="C370" s="107" t="s">
        <v>1715</v>
      </c>
      <c r="D370" s="111" t="s">
        <v>1716</v>
      </c>
      <c r="E370" s="96"/>
      <c r="F370" s="122" t="s">
        <v>76</v>
      </c>
      <c r="G370" s="97">
        <v>100.0</v>
      </c>
      <c r="H370" s="22">
        <f>IF(OR(J370="",K370="",K370&lt;J370),0,NETWORKDAYS(J370,K370,fESTIVOS!$A$2:$A$53))
</f>
        <v>2</v>
      </c>
      <c r="I370" s="98">
        <v>45917.0</v>
      </c>
      <c r="J370" s="99">
        <v>45922.0</v>
      </c>
      <c r="K370" s="99">
        <v>45923.0</v>
      </c>
      <c r="L370" s="99">
        <v>45929.0</v>
      </c>
      <c r="M370" s="27">
        <f>IF(OR(J370="",AND(L370="",TODAY()&lt;J370),AND(L370&lt;&gt;"",L370&lt;J370)),0,
   IF(L370="",
      NETWORKDAYS(J370,TODAY(),fESTIVOS!$A$2:$A$53),
      NETWORKDAYS(J370,L370,fESTIVOS!$A$2:$A$53)
   )
)
</f>
        <v>6</v>
      </c>
      <c r="N370" s="28"/>
      <c r="O370" s="98">
        <v>45929.0</v>
      </c>
      <c r="P370" s="100">
        <v>45930.0</v>
      </c>
      <c r="Q370" s="34" t="s">
        <v>1717</v>
      </c>
      <c r="R370" s="31" t="s">
        <v>78</v>
      </c>
      <c r="S370" s="97"/>
      <c r="T370" s="101"/>
      <c r="U370" s="102"/>
      <c r="V370" s="37"/>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row>
    <row r="371" ht="29.25" hidden="1" customHeight="1">
      <c r="A371" s="92" t="s">
        <v>157</v>
      </c>
      <c r="B371" s="93" t="s">
        <v>1718</v>
      </c>
      <c r="C371" s="107" t="s">
        <v>1719</v>
      </c>
      <c r="D371" s="111" t="s">
        <v>1720</v>
      </c>
      <c r="E371" s="96"/>
      <c r="F371" s="122" t="s">
        <v>76</v>
      </c>
      <c r="G371" s="97">
        <v>100.0</v>
      </c>
      <c r="H371" s="22">
        <f>IF(OR(J371="",K371="",K371&lt;J371),0,NETWORKDAYS(J371,K371,fESTIVOS!$A$2:$A$53))
</f>
        <v>0</v>
      </c>
      <c r="I371" s="98">
        <v>45926.0</v>
      </c>
      <c r="J371" s="99">
        <v>45929.0</v>
      </c>
      <c r="K371" s="99"/>
      <c r="L371" s="99">
        <v>45929.0</v>
      </c>
      <c r="M371" s="27">
        <f>IF(OR(J371="",AND(L371="",TODAY()&lt;J371),AND(L371&lt;&gt;"",L371&lt;J371)),0,
   IF(L371="",
      NETWORKDAYS(J371,TODAY(),fESTIVOS!$A$2:$A$53),
      NETWORKDAYS(J371,L371,fESTIVOS!$A$2:$A$53)
   )
)
</f>
        <v>1</v>
      </c>
      <c r="N371" s="28"/>
      <c r="O371" s="98"/>
      <c r="P371" s="100"/>
      <c r="Q371" s="34" t="s">
        <v>1721</v>
      </c>
      <c r="R371" s="31" t="s">
        <v>78</v>
      </c>
      <c r="S371" s="97"/>
      <c r="T371" s="101"/>
      <c r="U371" s="102"/>
      <c r="V371" s="37"/>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row>
    <row r="372" ht="29.25" hidden="1" customHeight="1">
      <c r="A372" s="92" t="s">
        <v>157</v>
      </c>
      <c r="B372" s="93" t="s">
        <v>1722</v>
      </c>
      <c r="C372" s="107" t="s">
        <v>1723</v>
      </c>
      <c r="D372" s="111" t="s">
        <v>1724</v>
      </c>
      <c r="E372" s="96"/>
      <c r="F372" s="122" t="s">
        <v>76</v>
      </c>
      <c r="G372" s="97">
        <v>100.0</v>
      </c>
      <c r="H372" s="22">
        <f>IF(OR(J372="",K372="",K372&lt;J372),0,NETWORKDAYS(J372,K372,fESTIVOS!$A$2:$A$53))
</f>
        <v>0</v>
      </c>
      <c r="I372" s="98">
        <v>45922.0</v>
      </c>
      <c r="J372" s="99">
        <v>45924.0</v>
      </c>
      <c r="K372" s="99"/>
      <c r="L372" s="99">
        <v>45925.0</v>
      </c>
      <c r="M372" s="27">
        <f>IF(OR(J372="",AND(L372="",TODAY()&lt;J372),AND(L372&lt;&gt;"",L372&lt;J372)),0,
   IF(L372="",
      NETWORKDAYS(J372,TODAY(),fESTIVOS!$A$2:$A$53),
      NETWORKDAYS(J372,L372,fESTIVOS!$A$2:$A$53)
   )
)
</f>
        <v>2</v>
      </c>
      <c r="N372" s="28"/>
      <c r="O372" s="98"/>
      <c r="P372" s="100"/>
      <c r="Q372" s="34" t="s">
        <v>1725</v>
      </c>
      <c r="R372" s="31" t="s">
        <v>78</v>
      </c>
      <c r="S372" s="97"/>
      <c r="T372" s="101"/>
      <c r="U372" s="102"/>
      <c r="V372" s="37"/>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row>
    <row r="373" ht="29.25" hidden="1" customHeight="1">
      <c r="A373" s="92" t="s">
        <v>157</v>
      </c>
      <c r="B373" s="93" t="s">
        <v>1726</v>
      </c>
      <c r="C373" s="107" t="s">
        <v>1727</v>
      </c>
      <c r="D373" s="111" t="s">
        <v>1728</v>
      </c>
      <c r="E373" s="96"/>
      <c r="F373" s="122" t="s">
        <v>76</v>
      </c>
      <c r="G373" s="97">
        <v>100.0</v>
      </c>
      <c r="H373" s="22">
        <f>IF(OR(J373="",K373="",K373&lt;J373),0,NETWORKDAYS(J373,K373,fESTIVOS!$A$2:$A$53))
</f>
        <v>0</v>
      </c>
      <c r="I373" s="98">
        <v>45915.0</v>
      </c>
      <c r="J373" s="99">
        <v>45916.0</v>
      </c>
      <c r="K373" s="99"/>
      <c r="L373" s="99">
        <v>45919.0</v>
      </c>
      <c r="M373" s="27">
        <f>IF(OR(J373="",AND(L373="",TODAY()&lt;J373),AND(L373&lt;&gt;"",L373&lt;J373)),0,
   IF(L373="",
      NETWORKDAYS(J373,TODAY(),fESTIVOS!$A$2:$A$53),
      NETWORKDAYS(J373,L373,fESTIVOS!$A$2:$A$53)
   )
)
</f>
        <v>4</v>
      </c>
      <c r="N373" s="28"/>
      <c r="O373" s="98"/>
      <c r="P373" s="100"/>
      <c r="Q373" s="34" t="s">
        <v>1729</v>
      </c>
      <c r="R373" s="31" t="s">
        <v>78</v>
      </c>
      <c r="S373" s="97"/>
      <c r="T373" s="101"/>
      <c r="U373" s="102"/>
      <c r="V373" s="37"/>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row>
    <row r="374" ht="29.25" hidden="1" customHeight="1">
      <c r="A374" s="92" t="s">
        <v>157</v>
      </c>
      <c r="B374" s="93" t="s">
        <v>1730</v>
      </c>
      <c r="C374" s="107" t="s">
        <v>1731</v>
      </c>
      <c r="D374" s="111" t="s">
        <v>1732</v>
      </c>
      <c r="E374" s="96"/>
      <c r="F374" s="122" t="s">
        <v>76</v>
      </c>
      <c r="G374" s="97">
        <v>100.0</v>
      </c>
      <c r="H374" s="22">
        <f>IF(OR(J374="",K374="",K374&lt;J374),0,NETWORKDAYS(J374,K374,fESTIVOS!$A$2:$A$53))
</f>
        <v>0</v>
      </c>
      <c r="I374" s="98">
        <v>45904.0</v>
      </c>
      <c r="J374" s="99">
        <v>45905.0</v>
      </c>
      <c r="K374" s="99"/>
      <c r="L374" s="99">
        <v>45905.0</v>
      </c>
      <c r="M374" s="27">
        <f>IF(OR(J374="",AND(L374="",TODAY()&lt;J374),AND(L374&lt;&gt;"",L374&lt;J374)),0,
   IF(L374="",
      NETWORKDAYS(J374,TODAY(),fESTIVOS!$A$2:$A$53),
      NETWORKDAYS(J374,L374,fESTIVOS!$A$2:$A$53)
   )
)
</f>
        <v>1</v>
      </c>
      <c r="N374" s="28"/>
      <c r="O374" s="98">
        <v>45910.0</v>
      </c>
      <c r="P374" s="100">
        <v>45905.0</v>
      </c>
      <c r="Q374" s="34" t="s">
        <v>1733</v>
      </c>
      <c r="R374" s="31" t="s">
        <v>78</v>
      </c>
      <c r="S374" s="97"/>
      <c r="T374" s="101"/>
      <c r="U374" s="102"/>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row>
    <row r="375" ht="29.25" hidden="1" customHeight="1">
      <c r="A375" s="92" t="s">
        <v>128</v>
      </c>
      <c r="B375" s="93" t="s">
        <v>1734</v>
      </c>
      <c r="C375" s="107" t="s">
        <v>1735</v>
      </c>
      <c r="D375" s="95" t="s">
        <v>1736</v>
      </c>
      <c r="E375" s="96"/>
      <c r="F375" s="122" t="s">
        <v>76</v>
      </c>
      <c r="G375" s="97">
        <v>100.0</v>
      </c>
      <c r="H375" s="22">
        <f>IF(OR(J375="",K375="",K375&lt;J375),0,NETWORKDAYS(J375,K375,fESTIVOS!$A$2:$A$53))
</f>
        <v>0</v>
      </c>
      <c r="I375" s="98">
        <v>45896.0</v>
      </c>
      <c r="J375" s="99">
        <v>45898.0</v>
      </c>
      <c r="K375" s="99"/>
      <c r="L375" s="99">
        <v>45898.0</v>
      </c>
      <c r="M375" s="27">
        <f>IF(OR(J375="",AND(L375="",TODAY()&lt;J375),AND(L375&lt;&gt;"",L375&lt;J375)),0,
   IF(L375="",
      NETWORKDAYS(J375,TODAY(),fESTIVOS!$A$2:$A$53),
      NETWORKDAYS(J375,L375,fESTIVOS!$A$2:$A$53)
   )
)
</f>
        <v>1</v>
      </c>
      <c r="N375" s="28"/>
      <c r="O375" s="98"/>
      <c r="P375" s="100">
        <v>45898.0</v>
      </c>
      <c r="Q375" s="34" t="s">
        <v>1737</v>
      </c>
      <c r="R375" s="31" t="s">
        <v>78</v>
      </c>
      <c r="S375" s="101"/>
      <c r="T375" s="101"/>
      <c r="U375" s="102"/>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row>
    <row r="376" ht="29.25" hidden="1" customHeight="1">
      <c r="A376" s="92" t="s">
        <v>505</v>
      </c>
      <c r="B376" s="93" t="s">
        <v>1738</v>
      </c>
      <c r="C376" s="107" t="s">
        <v>1739</v>
      </c>
      <c r="D376" s="95" t="s">
        <v>1740</v>
      </c>
      <c r="E376" s="96"/>
      <c r="F376" s="122" t="s">
        <v>76</v>
      </c>
      <c r="G376" s="97">
        <v>100.0</v>
      </c>
      <c r="H376" s="22">
        <f>IF(OR(J376="",K376="",K376&lt;J376),0,NETWORKDAYS(J376,K376,fESTIVOS!$A$2:$A$53))
</f>
        <v>0</v>
      </c>
      <c r="I376" s="98">
        <v>45945.0</v>
      </c>
      <c r="J376" s="99">
        <v>45946.0</v>
      </c>
      <c r="K376" s="99"/>
      <c r="L376" s="99">
        <v>45954.0</v>
      </c>
      <c r="M376" s="27">
        <f>IF(OR(J376="",AND(L376="",TODAY()&lt;J376),AND(L376&lt;&gt;"",L376&lt;J376)),0,
   IF(L376="",
      NETWORKDAYS(J376,TODAY(),fESTIVOS!$A$2:$A$53),
      NETWORKDAYS(J376,L376,fESTIVOS!$A$2:$A$53)
   )
)
</f>
        <v>7</v>
      </c>
      <c r="N376" s="28"/>
      <c r="O376" s="98">
        <v>45954.0</v>
      </c>
      <c r="P376" s="100">
        <v>45954.0</v>
      </c>
      <c r="Q376" s="34" t="s">
        <v>1741</v>
      </c>
      <c r="R376" s="31" t="s">
        <v>78</v>
      </c>
      <c r="S376" s="101"/>
      <c r="T376" s="101"/>
      <c r="U376" s="102"/>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row>
    <row r="377" ht="29.25" hidden="1" customHeight="1">
      <c r="A377" s="92" t="s">
        <v>157</v>
      </c>
      <c r="B377" s="93" t="s">
        <v>1742</v>
      </c>
      <c r="C377" s="141" t="s">
        <v>1743</v>
      </c>
      <c r="D377" s="163"/>
      <c r="E377" s="96"/>
      <c r="F377" s="122" t="s">
        <v>76</v>
      </c>
      <c r="G377" s="97">
        <v>100.0</v>
      </c>
      <c r="H377" s="22">
        <f>IF(OR(J377="",K377="",K377&lt;J377),0,NETWORKDAYS(J377,K377,fESTIVOS!$A$2:$A$53))
</f>
        <v>0</v>
      </c>
      <c r="I377" s="98">
        <v>45993.0</v>
      </c>
      <c r="J377" s="99">
        <v>45994.0</v>
      </c>
      <c r="K377" s="99"/>
      <c r="L377" s="99">
        <v>45995.0</v>
      </c>
      <c r="M377" s="27">
        <f>IF(OR(J377="",AND(L377="",TODAY()&lt;J377),AND(L377&lt;&gt;"",L377&lt;J377)),0,
   IF(L377="",
      NETWORKDAYS(J377,TODAY(),fESTIVOS!$A$2:$A$53),
      NETWORKDAYS(J377,L377,fESTIVOS!$A$2:$A$53)
   )
)
</f>
        <v>2</v>
      </c>
      <c r="N377" s="28"/>
      <c r="O377" s="98"/>
      <c r="P377" s="100"/>
      <c r="Q377" s="34" t="s">
        <v>1744</v>
      </c>
      <c r="R377" s="31" t="s">
        <v>78</v>
      </c>
      <c r="S377" s="164"/>
      <c r="T377" s="165"/>
      <c r="U377" s="162"/>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row>
    <row r="378" ht="29.25" hidden="1" customHeight="1">
      <c r="A378" s="92" t="s">
        <v>157</v>
      </c>
      <c r="B378" s="93" t="s">
        <v>1745</v>
      </c>
      <c r="C378" s="142" t="s">
        <v>1746</v>
      </c>
      <c r="D378" s="217" t="s">
        <v>1747</v>
      </c>
      <c r="E378" s="96"/>
      <c r="F378" s="122" t="s">
        <v>229</v>
      </c>
      <c r="G378" s="192"/>
      <c r="H378" s="22">
        <f>IF(OR(J378="",K378="",K378&lt;J378),0,NETWORKDAYS(J378,K378,fESTIVOS!$A$2:$A$53))
</f>
        <v>0</v>
      </c>
      <c r="I378" s="98">
        <v>45903.0</v>
      </c>
      <c r="J378" s="99"/>
      <c r="K378" s="99"/>
      <c r="L378" s="99"/>
      <c r="M378" s="27">
        <f>IF(OR(J378="",AND(L378="",TODAY()&lt;J378),AND(L378&lt;&gt;"",L378&lt;J378)),0,
   IF(L378="",
      NETWORKDAYS(J378,TODAY(),fESTIVOS!$A$2:$A$53),
      NETWORKDAYS(J378,L378,fESTIVOS!$A$2:$A$53)
   )
)
</f>
        <v>0</v>
      </c>
      <c r="N378" s="28"/>
      <c r="O378" s="98"/>
      <c r="P378" s="100"/>
      <c r="Q378" s="34"/>
      <c r="R378" s="31" t="s">
        <v>93</v>
      </c>
      <c r="S378" s="164"/>
      <c r="T378" s="164"/>
      <c r="U378" s="162"/>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row>
    <row r="379" ht="29.25" hidden="1" customHeight="1">
      <c r="A379" s="92" t="s">
        <v>1702</v>
      </c>
      <c r="B379" s="93" t="s">
        <v>1748</v>
      </c>
      <c r="C379" s="120" t="s">
        <v>1749</v>
      </c>
      <c r="D379" s="111"/>
      <c r="E379" s="96"/>
      <c r="F379" s="112" t="s">
        <v>229</v>
      </c>
      <c r="G379" s="97"/>
      <c r="H379" s="22">
        <f>IF(OR(J379="",K379="",K379&lt;J379),0,NETWORKDAYS(J379,K379,fESTIVOS!$A$2:$A$53))
</f>
        <v>0</v>
      </c>
      <c r="I379" s="98">
        <v>45994.0</v>
      </c>
      <c r="J379" s="99"/>
      <c r="K379" s="99"/>
      <c r="L379" s="99"/>
      <c r="M379" s="27">
        <f>IF(OR(J379="",AND(L379="",TODAY()&lt;J379),AND(L379&lt;&gt;"",L379&lt;J379)),0,
   IF(L379="",
      NETWORKDAYS(J379,TODAY(),fESTIVOS!$A$2:$A$53),
      NETWORKDAYS(J379,L379,fESTIVOS!$A$2:$A$53)
   )
)
</f>
        <v>0</v>
      </c>
      <c r="N379" s="28"/>
      <c r="O379" s="98"/>
      <c r="P379" s="100"/>
      <c r="Q379" s="34"/>
      <c r="R379" s="31" t="s">
        <v>236</v>
      </c>
      <c r="S379" s="165"/>
      <c r="T379" s="165"/>
      <c r="U379" s="162"/>
      <c r="V379" s="216"/>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row>
    <row r="380" ht="29.25" hidden="1" customHeight="1">
      <c r="A380" s="92" t="s">
        <v>157</v>
      </c>
      <c r="B380" s="93" t="s">
        <v>1750</v>
      </c>
      <c r="C380" s="142" t="s">
        <v>1751</v>
      </c>
      <c r="D380" s="111" t="s">
        <v>1752</v>
      </c>
      <c r="E380" s="96"/>
      <c r="F380" s="122" t="s">
        <v>229</v>
      </c>
      <c r="G380" s="97"/>
      <c r="H380" s="22">
        <f>IF(OR(J380="",K380="",K380&lt;J380),0,NETWORKDAYS(J380,K380,fESTIVOS!$A$2:$A$53))
</f>
        <v>0</v>
      </c>
      <c r="I380" s="98">
        <v>45931.0</v>
      </c>
      <c r="J380" s="99">
        <v>46119.0</v>
      </c>
      <c r="K380" s="99"/>
      <c r="L380" s="99"/>
      <c r="M380" s="27">
        <f>IF(OR(J380="",AND(L380="",TODAY()&lt;J380),AND(L380&lt;&gt;"",L380&lt;J380)),0,
   IF(L380="",
      NETWORKDAYS(J380,TODAY(),fESTIVOS!$A$2:$A$53),
      NETWORKDAYS(J380,L380,fESTIVOS!$A$2:$A$53)
   )
)
</f>
        <v>47</v>
      </c>
      <c r="N380" s="28"/>
      <c r="O380" s="98"/>
      <c r="P380" s="100"/>
      <c r="Q380" s="34" t="s">
        <v>1753</v>
      </c>
      <c r="R380" s="31" t="s">
        <v>93</v>
      </c>
      <c r="S380" s="165"/>
      <c r="T380" s="164"/>
      <c r="U380" s="162"/>
      <c r="V380" s="37"/>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row>
    <row r="381" ht="29.25" hidden="1" customHeight="1">
      <c r="A381" s="92" t="s">
        <v>1400</v>
      </c>
      <c r="B381" s="93" t="s">
        <v>1754</v>
      </c>
      <c r="C381" s="141" t="s">
        <v>1755</v>
      </c>
      <c r="D381" s="121" t="s">
        <v>1756</v>
      </c>
      <c r="E381" s="96"/>
      <c r="F381" s="122" t="s">
        <v>76</v>
      </c>
      <c r="G381" s="97">
        <v>100.0</v>
      </c>
      <c r="H381" s="22">
        <f>IF(OR(J381="",K381="",K381&lt;J381),0,NETWORKDAYS(J381,K381,fESTIVOS!$A$2:$A$53))
</f>
        <v>0</v>
      </c>
      <c r="I381" s="98">
        <v>45988.0</v>
      </c>
      <c r="J381" s="99">
        <v>45992.0</v>
      </c>
      <c r="K381" s="99"/>
      <c r="L381" s="99">
        <v>46009.0</v>
      </c>
      <c r="M381" s="27">
        <f>IF(OR(J381="",AND(L381="",TODAY()&lt;J381),AND(L381&lt;&gt;"",L381&lt;J381)),0,
   IF(L381="",
      NETWORKDAYS(J381,TODAY(),fESTIVOS!$A$2:$A$53),
      NETWORKDAYS(J381,L381,fESTIVOS!$A$2:$A$53)
   )
)
</f>
        <v>13</v>
      </c>
      <c r="N381" s="28"/>
      <c r="O381" s="98"/>
      <c r="P381" s="100"/>
      <c r="Q381" s="34" t="s">
        <v>1757</v>
      </c>
      <c r="R381" s="31" t="s">
        <v>78</v>
      </c>
      <c r="S381" s="164"/>
      <c r="T381" s="165"/>
      <c r="U381" s="162"/>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row>
    <row r="382" ht="29.25" hidden="1" customHeight="1">
      <c r="A382" s="92" t="s">
        <v>157</v>
      </c>
      <c r="B382" s="93" t="s">
        <v>1758</v>
      </c>
      <c r="C382" s="141" t="s">
        <v>1759</v>
      </c>
      <c r="D382" s="121" t="s">
        <v>1760</v>
      </c>
      <c r="E382" s="96"/>
      <c r="F382" s="122" t="s">
        <v>76</v>
      </c>
      <c r="G382" s="97">
        <v>100.0</v>
      </c>
      <c r="H382" s="22">
        <f>IF(OR(J382="",K382="",K382&lt;J382),0,NETWORKDAYS(J382,K382,fESTIVOS!$A$2:$A$53))
</f>
        <v>0</v>
      </c>
      <c r="I382" s="98">
        <v>45994.0</v>
      </c>
      <c r="J382" s="99">
        <v>45994.0</v>
      </c>
      <c r="K382" s="99"/>
      <c r="L382" s="99">
        <v>45994.0</v>
      </c>
      <c r="M382" s="27">
        <f>IF(OR(J382="",AND(L382="",TODAY()&lt;J382),AND(L382&lt;&gt;"",L382&lt;J382)),0,
   IF(L382="",
      NETWORKDAYS(J382,TODAY(),fESTIVOS!$A$2:$A$53),
      NETWORKDAYS(J382,L382,fESTIVOS!$A$2:$A$53)
   )
)
</f>
        <v>1</v>
      </c>
      <c r="N382" s="28"/>
      <c r="O382" s="98"/>
      <c r="P382" s="100"/>
      <c r="Q382" s="34" t="s">
        <v>1761</v>
      </c>
      <c r="R382" s="31" t="s">
        <v>78</v>
      </c>
      <c r="S382" s="164"/>
      <c r="T382" s="165"/>
      <c r="U382" s="162"/>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row>
    <row r="383" ht="29.25" hidden="1" customHeight="1">
      <c r="A383" s="92" t="s">
        <v>157</v>
      </c>
      <c r="B383" s="93" t="s">
        <v>1762</v>
      </c>
      <c r="C383" s="141" t="s">
        <v>1763</v>
      </c>
      <c r="D383" s="121" t="s">
        <v>1764</v>
      </c>
      <c r="E383" s="96"/>
      <c r="F383" s="122" t="s">
        <v>76</v>
      </c>
      <c r="G383" s="97">
        <v>100.0</v>
      </c>
      <c r="H383" s="22">
        <f>IF(OR(J383="",K383="",K383&lt;J383),0,NETWORKDAYS(J383,K383,fESTIVOS!$A$2:$A$53))
</f>
        <v>0</v>
      </c>
      <c r="I383" s="98">
        <v>45986.0</v>
      </c>
      <c r="J383" s="99">
        <v>45987.0</v>
      </c>
      <c r="K383" s="99"/>
      <c r="L383" s="99">
        <v>45987.0</v>
      </c>
      <c r="M383" s="27">
        <f>IF(OR(J383="",AND(L383="",TODAY()&lt;J383),AND(L383&lt;&gt;"",L383&lt;J383)),0,
   IF(L383="",
      NETWORKDAYS(J383,TODAY(),fESTIVOS!$A$2:$A$53),
      NETWORKDAYS(J383,L383,fESTIVOS!$A$2:$A$53)
   )
)
</f>
        <v>1</v>
      </c>
      <c r="N383" s="28"/>
      <c r="O383" s="98">
        <v>45987.0</v>
      </c>
      <c r="P383" s="100">
        <v>45987.0</v>
      </c>
      <c r="Q383" s="34" t="s">
        <v>1765</v>
      </c>
      <c r="R383" s="31" t="s">
        <v>78</v>
      </c>
      <c r="S383" s="164"/>
      <c r="T383" s="165"/>
      <c r="U383" s="162"/>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row>
    <row r="384" ht="29.25" hidden="1" customHeight="1">
      <c r="A384" s="92" t="s">
        <v>157</v>
      </c>
      <c r="B384" s="93" t="s">
        <v>1766</v>
      </c>
      <c r="C384" s="141" t="s">
        <v>1767</v>
      </c>
      <c r="D384" s="163" t="s">
        <v>1768</v>
      </c>
      <c r="E384" s="96"/>
      <c r="F384" s="122" t="s">
        <v>76</v>
      </c>
      <c r="G384" s="97">
        <v>100.0</v>
      </c>
      <c r="H384" s="22">
        <f>IF(OR(J384="",K384="",K384&lt;J384),0,NETWORKDAYS(J384,K384,fESTIVOS!$A$2:$A$53))
</f>
        <v>0</v>
      </c>
      <c r="I384" s="98">
        <v>45986.0</v>
      </c>
      <c r="J384" s="99">
        <v>45986.0</v>
      </c>
      <c r="K384" s="99"/>
      <c r="L384" s="99">
        <v>45986.0</v>
      </c>
      <c r="M384" s="27">
        <f>IF(OR(J384="",AND(L384="",TODAY()&lt;J384),AND(L384&lt;&gt;"",L384&lt;J384)),0,
   IF(L384="",
      NETWORKDAYS(J384,TODAY(),fESTIVOS!$A$2:$A$53),
      NETWORKDAYS(J384,L384,fESTIVOS!$A$2:$A$53)
   )
)
</f>
        <v>1</v>
      </c>
      <c r="N384" s="28"/>
      <c r="O384" s="98"/>
      <c r="P384" s="100"/>
      <c r="Q384" s="34" t="s">
        <v>1769</v>
      </c>
      <c r="R384" s="31" t="s">
        <v>78</v>
      </c>
      <c r="S384" s="164"/>
      <c r="T384" s="165"/>
      <c r="U384" s="162"/>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row>
    <row r="385" ht="29.25" hidden="1" customHeight="1">
      <c r="A385" s="92" t="s">
        <v>157</v>
      </c>
      <c r="B385" s="93" t="s">
        <v>1770</v>
      </c>
      <c r="C385" s="141" t="s">
        <v>1771</v>
      </c>
      <c r="D385" s="121" t="s">
        <v>1772</v>
      </c>
      <c r="E385" s="96"/>
      <c r="F385" s="122" t="s">
        <v>76</v>
      </c>
      <c r="G385" s="97">
        <v>100.0</v>
      </c>
      <c r="H385" s="22">
        <f>IF(OR(J385="",K385="",K385&lt;J385),0,NETWORKDAYS(J385,K385,fESTIVOS!$A$2:$A$53))
</f>
        <v>0</v>
      </c>
      <c r="I385" s="98">
        <v>45981.0</v>
      </c>
      <c r="J385" s="99">
        <v>45981.0</v>
      </c>
      <c r="K385" s="99"/>
      <c r="L385" s="99">
        <v>45981.0</v>
      </c>
      <c r="M385" s="27">
        <f>IF(OR(J385="",AND(L385="",TODAY()&lt;J385),AND(L385&lt;&gt;"",L385&lt;J385)),0,
   IF(L385="",
      NETWORKDAYS(J385,TODAY(),fESTIVOS!$A$2:$A$53),
      NETWORKDAYS(J385,L385,fESTIVOS!$A$2:$A$53)
   )
)
</f>
        <v>1</v>
      </c>
      <c r="N385" s="28"/>
      <c r="O385" s="98"/>
      <c r="P385" s="100"/>
      <c r="Q385" s="34" t="s">
        <v>1773</v>
      </c>
      <c r="R385" s="31" t="s">
        <v>78</v>
      </c>
      <c r="S385" s="164"/>
      <c r="T385" s="165"/>
      <c r="U385" s="162"/>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row>
    <row r="386" ht="29.25" hidden="1" customHeight="1">
      <c r="A386" s="92" t="s">
        <v>128</v>
      </c>
      <c r="B386" s="218" t="s">
        <v>1774</v>
      </c>
      <c r="C386" s="142" t="s">
        <v>1775</v>
      </c>
      <c r="D386" s="95"/>
      <c r="E386" s="96"/>
      <c r="F386" s="122" t="s">
        <v>76</v>
      </c>
      <c r="G386" s="97">
        <v>100.0</v>
      </c>
      <c r="H386" s="22">
        <f>IF(OR(J386="",K386="",K386&lt;J386),0,NETWORKDAYS(J386,K386,fESTIVOS!$A$2:$A$53))
</f>
        <v>0</v>
      </c>
      <c r="I386" s="98">
        <v>45664.0</v>
      </c>
      <c r="J386" s="219">
        <v>45664.0</v>
      </c>
      <c r="K386" s="99"/>
      <c r="L386" s="99">
        <v>45665.0</v>
      </c>
      <c r="M386" s="27">
        <f>IF(OR(J386="",AND(L386="",TODAY()&lt;J386),AND(L386&lt;&gt;"",L386&lt;J386)),0,
   IF(L386="",
      NETWORKDAYS(J386,TODAY(),fESTIVOS!$A$2:$A$53),
      NETWORKDAYS(J386,L386,fESTIVOS!$A$2:$A$53)
   )
)
</f>
        <v>2</v>
      </c>
      <c r="N386" s="28"/>
      <c r="O386" s="98"/>
      <c r="P386" s="100">
        <v>45665.0</v>
      </c>
      <c r="Q386" s="34" t="s">
        <v>1776</v>
      </c>
      <c r="R386" s="31" t="s">
        <v>78</v>
      </c>
      <c r="S386" s="101"/>
      <c r="T386" s="101"/>
      <c r="U386" s="102"/>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row>
    <row r="387" ht="29.25" hidden="1" customHeight="1">
      <c r="A387" s="92" t="s">
        <v>128</v>
      </c>
      <c r="B387" s="218" t="s">
        <v>1777</v>
      </c>
      <c r="C387" s="142" t="s">
        <v>1778</v>
      </c>
      <c r="D387" s="126"/>
      <c r="E387" s="126"/>
      <c r="F387" s="117" t="s">
        <v>76</v>
      </c>
      <c r="G387" s="58">
        <v>100.0</v>
      </c>
      <c r="H387" s="22">
        <f>IF(OR(J387="",K387="",K387&lt;J387),0,NETWORKDAYS(J387,K387,fESTIVOS!$A$2:$A$53))
</f>
        <v>33</v>
      </c>
      <c r="I387" s="59">
        <v>45726.0</v>
      </c>
      <c r="J387" s="68">
        <v>45726.0</v>
      </c>
      <c r="K387" s="60">
        <v>45775.0</v>
      </c>
      <c r="L387" s="60">
        <v>45758.0</v>
      </c>
      <c r="M387" s="27">
        <f>IF(OR(J387="",AND(L387="",TODAY()&lt;J387),AND(L387&lt;&gt;"",L387&lt;J387)),0,
   IF(L387="",
      NETWORKDAYS(J387,TODAY(),fESTIVOS!$A$2:$A$53),
      NETWORKDAYS(J387,L387,fESTIVOS!$A$2:$A$53)
   )
)
</f>
        <v>24</v>
      </c>
      <c r="N387" s="28"/>
      <c r="O387" s="220"/>
      <c r="P387" s="69">
        <v>45757.0</v>
      </c>
      <c r="Q387" s="221" t="s">
        <v>1779</v>
      </c>
      <c r="R387" s="31" t="s">
        <v>78</v>
      </c>
      <c r="S387" s="101"/>
      <c r="T387" s="101"/>
      <c r="U387" s="122" t="s">
        <v>1780</v>
      </c>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row>
    <row r="388" ht="29.25" hidden="1" customHeight="1">
      <c r="A388" s="92" t="s">
        <v>128</v>
      </c>
      <c r="B388" s="218" t="s">
        <v>1781</v>
      </c>
      <c r="C388" s="142" t="s">
        <v>1782</v>
      </c>
      <c r="D388" s="95"/>
      <c r="E388" s="96"/>
      <c r="F388" s="122" t="s">
        <v>76</v>
      </c>
      <c r="G388" s="97">
        <v>100.0</v>
      </c>
      <c r="H388" s="22">
        <f>IF(OR(J388="",K388="",K388&lt;J388),0,NETWORKDAYS(J388,K388,fESTIVOS!$A$2:$A$53))
</f>
        <v>0</v>
      </c>
      <c r="I388" s="222">
        <v>45307.0</v>
      </c>
      <c r="J388" s="223">
        <v>45677.0</v>
      </c>
      <c r="K388" s="223"/>
      <c r="L388" s="223">
        <v>45678.0</v>
      </c>
      <c r="M388" s="27">
        <f>IF(OR(J388="",AND(L388="",TODAY()&lt;J388),AND(L388&lt;&gt;"",L388&lt;J388)),0,
   IF(L388="",
      NETWORKDAYS(J388,TODAY(),fESTIVOS!$A$2:$A$53),
      NETWORKDAYS(J388,L388,fESTIVOS!$A$2:$A$53)
   )
)
</f>
        <v>2</v>
      </c>
      <c r="N388" s="28"/>
      <c r="O388" s="98"/>
      <c r="P388" s="100">
        <v>45678.0</v>
      </c>
      <c r="Q388" s="34" t="s">
        <v>1783</v>
      </c>
      <c r="R388" s="31" t="s">
        <v>78</v>
      </c>
      <c r="S388" s="101"/>
      <c r="T388" s="101"/>
      <c r="U388" s="102"/>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row>
    <row r="389" ht="29.25" hidden="1" customHeight="1">
      <c r="A389" s="92" t="s">
        <v>128</v>
      </c>
      <c r="B389" s="218" t="s">
        <v>1784</v>
      </c>
      <c r="C389" s="142" t="s">
        <v>1785</v>
      </c>
      <c r="D389" s="95"/>
      <c r="E389" s="96"/>
      <c r="F389" s="122" t="s">
        <v>76</v>
      </c>
      <c r="G389" s="97">
        <v>100.0</v>
      </c>
      <c r="H389" s="22">
        <f>IF(OR(J389="",K389="",K389&lt;J389),0,NETWORKDAYS(J389,K389,fESTIVOS!$A$2:$A$53))
</f>
        <v>0</v>
      </c>
      <c r="I389" s="224">
        <v>45678.0</v>
      </c>
      <c r="J389" s="223">
        <v>45678.0</v>
      </c>
      <c r="K389" s="99"/>
      <c r="L389" s="225">
        <v>45680.0</v>
      </c>
      <c r="M389" s="27">
        <f>IF(OR(J389="",AND(L389="",TODAY()&lt;J389),AND(L389&lt;&gt;"",L389&lt;J389)),0,
   IF(L389="",
      NETWORKDAYS(J389,TODAY(),fESTIVOS!$A$2:$A$53),
      NETWORKDAYS(J389,L389,fESTIVOS!$A$2:$A$53)
   )
)
</f>
        <v>3</v>
      </c>
      <c r="N389" s="28"/>
      <c r="O389" s="98"/>
      <c r="P389" s="226">
        <v>45680.0</v>
      </c>
      <c r="Q389" s="34" t="s">
        <v>1786</v>
      </c>
      <c r="R389" s="31" t="s">
        <v>78</v>
      </c>
      <c r="S389" s="101"/>
      <c r="T389" s="101"/>
      <c r="U389" s="102"/>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row>
    <row r="390" ht="29.25" hidden="1" customHeight="1">
      <c r="A390" s="92" t="s">
        <v>128</v>
      </c>
      <c r="B390" s="218" t="s">
        <v>1787</v>
      </c>
      <c r="C390" s="142" t="s">
        <v>1788</v>
      </c>
      <c r="D390" s="95"/>
      <c r="E390" s="96"/>
      <c r="F390" s="122" t="s">
        <v>76</v>
      </c>
      <c r="G390" s="97">
        <v>100.0</v>
      </c>
      <c r="H390" s="22">
        <f>IF(OR(J390="",K390="",K390&lt;J390),0,NETWORKDAYS(J390,K390,fESTIVOS!$A$2:$A$53))
</f>
        <v>0</v>
      </c>
      <c r="I390" s="98">
        <v>45678.0</v>
      </c>
      <c r="J390" s="99">
        <v>45678.0</v>
      </c>
      <c r="K390" s="99"/>
      <c r="L390" s="99">
        <v>45680.0</v>
      </c>
      <c r="M390" s="27">
        <f>IF(OR(J390="",AND(L390="",TODAY()&lt;J390),AND(L390&lt;&gt;"",L390&lt;J390)),0,
   IF(L390="",
      NETWORKDAYS(J390,TODAY(),fESTIVOS!$A$2:$A$53),
      NETWORKDAYS(J390,L390,fESTIVOS!$A$2:$A$53)
   )
)
</f>
        <v>3</v>
      </c>
      <c r="N390" s="28"/>
      <c r="O390" s="98"/>
      <c r="P390" s="226">
        <v>45680.0</v>
      </c>
      <c r="Q390" s="34" t="s">
        <v>1786</v>
      </c>
      <c r="R390" s="31" t="s">
        <v>78</v>
      </c>
      <c r="S390" s="101"/>
      <c r="T390" s="101"/>
      <c r="U390" s="102"/>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row>
    <row r="391" ht="29.25" hidden="1" customHeight="1">
      <c r="A391" s="92" t="s">
        <v>128</v>
      </c>
      <c r="B391" s="218" t="s">
        <v>1789</v>
      </c>
      <c r="C391" s="142" t="s">
        <v>1790</v>
      </c>
      <c r="D391" s="95" t="s">
        <v>1791</v>
      </c>
      <c r="E391" s="96"/>
      <c r="F391" s="122" t="s">
        <v>76</v>
      </c>
      <c r="G391" s="97">
        <v>100.0</v>
      </c>
      <c r="H391" s="22">
        <f>IF(OR(J391="",K391="",K391&lt;J391),0,NETWORKDAYS(J391,K391,fESTIVOS!$A$2:$A$53))
</f>
        <v>0</v>
      </c>
      <c r="I391" s="98">
        <v>45678.0</v>
      </c>
      <c r="J391" s="99">
        <v>45678.0</v>
      </c>
      <c r="K391" s="99"/>
      <c r="L391" s="99">
        <v>45680.0</v>
      </c>
      <c r="M391" s="27">
        <f>IF(OR(J391="",AND(L391="",TODAY()&lt;J391),AND(L391&lt;&gt;"",L391&lt;J391)),0,
   IF(L391="",
      NETWORKDAYS(J391,TODAY(),fESTIVOS!$A$2:$A$53),
      NETWORKDAYS(J391,L391,fESTIVOS!$A$2:$A$53)
   )
)
</f>
        <v>3</v>
      </c>
      <c r="N391" s="28"/>
      <c r="O391" s="98"/>
      <c r="P391" s="226">
        <v>45680.0</v>
      </c>
      <c r="Q391" s="34" t="s">
        <v>1786</v>
      </c>
      <c r="R391" s="31" t="s">
        <v>78</v>
      </c>
      <c r="S391" s="101"/>
      <c r="T391" s="101"/>
      <c r="U391" s="102"/>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row>
    <row r="392" ht="29.25" hidden="1" customHeight="1">
      <c r="A392" s="92" t="s">
        <v>128</v>
      </c>
      <c r="B392" s="218" t="s">
        <v>1792</v>
      </c>
      <c r="C392" s="142" t="s">
        <v>1793</v>
      </c>
      <c r="D392" s="95"/>
      <c r="E392" s="96"/>
      <c r="F392" s="122" t="s">
        <v>76</v>
      </c>
      <c r="G392" s="97">
        <v>100.0</v>
      </c>
      <c r="H392" s="22">
        <f>IF(OR(J392="",K392="",K392&lt;J392),0,NETWORKDAYS(J392,K392,fESTIVOS!$A$2:$A$53))
</f>
        <v>0</v>
      </c>
      <c r="I392" s="98">
        <v>45694.0</v>
      </c>
      <c r="J392" s="99">
        <v>45695.0</v>
      </c>
      <c r="K392" s="99"/>
      <c r="L392" s="99">
        <v>45729.0</v>
      </c>
      <c r="M392" s="27">
        <f>IF(OR(J392="",AND(L392="",TODAY()&lt;J392),AND(L392&lt;&gt;"",L392&lt;J392)),0,
   IF(L392="",
      NETWORKDAYS(J392,TODAY(),fESTIVOS!$A$2:$A$53),
      NETWORKDAYS(J392,L392,fESTIVOS!$A$2:$A$53)
   )
)
</f>
        <v>25</v>
      </c>
      <c r="N392" s="28"/>
      <c r="O392" s="98"/>
      <c r="P392" s="100">
        <v>45729.0</v>
      </c>
      <c r="Q392" s="34" t="s">
        <v>1794</v>
      </c>
      <c r="R392" s="31" t="s">
        <v>78</v>
      </c>
      <c r="S392" s="101"/>
      <c r="T392" s="101"/>
      <c r="U392" s="102"/>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row>
    <row r="393" ht="29.25" hidden="1" customHeight="1">
      <c r="A393" s="92" t="s">
        <v>157</v>
      </c>
      <c r="B393" s="218" t="s">
        <v>1795</v>
      </c>
      <c r="C393" s="142" t="s">
        <v>1796</v>
      </c>
      <c r="D393" s="95"/>
      <c r="E393" s="96"/>
      <c r="F393" s="122" t="s">
        <v>76</v>
      </c>
      <c r="G393" s="97">
        <v>100.0</v>
      </c>
      <c r="H393" s="22">
        <f>IF(OR(J393="",K393="",K393&lt;J393),0,NETWORKDAYS(J393,K393,fESTIVOS!$A$2:$A$53))
</f>
        <v>0</v>
      </c>
      <c r="I393" s="98">
        <v>45736.0</v>
      </c>
      <c r="J393" s="99">
        <v>45736.0</v>
      </c>
      <c r="K393" s="99"/>
      <c r="L393" s="99">
        <v>45749.0</v>
      </c>
      <c r="M393" s="27">
        <f>IF(OR(J393="",AND(L393="",TODAY()&lt;J393),AND(L393&lt;&gt;"",L393&lt;J393)),0,
   IF(L393="",
      NETWORKDAYS(J393,TODAY(),fESTIVOS!$A$2:$A$53),
      NETWORKDAYS(J393,L393,fESTIVOS!$A$2:$A$53)
   )
)
</f>
        <v>9</v>
      </c>
      <c r="N393" s="28"/>
      <c r="O393" s="98">
        <v>45749.0</v>
      </c>
      <c r="P393" s="100">
        <v>45755.0</v>
      </c>
      <c r="Q393" s="34" t="s">
        <v>1797</v>
      </c>
      <c r="R393" s="31" t="s">
        <v>78</v>
      </c>
      <c r="S393" s="101"/>
      <c r="T393" s="101"/>
      <c r="U393" s="102"/>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row>
    <row r="394" ht="29.25" hidden="1" customHeight="1">
      <c r="A394" s="92" t="s">
        <v>128</v>
      </c>
      <c r="B394" s="218" t="s">
        <v>1798</v>
      </c>
      <c r="C394" s="142" t="s">
        <v>1799</v>
      </c>
      <c r="D394" s="95" t="s">
        <v>1800</v>
      </c>
      <c r="E394" s="96"/>
      <c r="F394" s="122" t="s">
        <v>76</v>
      </c>
      <c r="G394" s="97">
        <v>100.0</v>
      </c>
      <c r="H394" s="22">
        <f>IF(OR(J394="",K394="",K394&lt;J394),0,NETWORKDAYS(J394,K394,fESTIVOS!$A$2:$A$53))
</f>
        <v>0</v>
      </c>
      <c r="I394" s="98">
        <v>45736.0</v>
      </c>
      <c r="J394" s="99">
        <v>45736.0</v>
      </c>
      <c r="K394" s="99"/>
      <c r="L394" s="99">
        <v>45757.0</v>
      </c>
      <c r="M394" s="27">
        <f>IF(OR(J394="",AND(L394="",TODAY()&lt;J394),AND(L394&lt;&gt;"",L394&lt;J394)),0,
   IF(L394="",
      NETWORKDAYS(J394,TODAY(),fESTIVOS!$A$2:$A$53),
      NETWORKDAYS(J394,L394,fESTIVOS!$A$2:$A$53)
   )
)
</f>
        <v>15</v>
      </c>
      <c r="N394" s="28"/>
      <c r="O394" s="98"/>
      <c r="P394" s="100">
        <v>45757.0</v>
      </c>
      <c r="Q394" s="34" t="s">
        <v>1801</v>
      </c>
      <c r="R394" s="31" t="s">
        <v>78</v>
      </c>
      <c r="S394" s="101"/>
      <c r="T394" s="101"/>
      <c r="U394" s="102"/>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row>
    <row r="395" ht="29.25" hidden="1" customHeight="1">
      <c r="A395" s="92" t="s">
        <v>67</v>
      </c>
      <c r="B395" s="218" t="s">
        <v>1802</v>
      </c>
      <c r="C395" s="142" t="s">
        <v>1803</v>
      </c>
      <c r="D395" s="95" t="s">
        <v>1804</v>
      </c>
      <c r="E395" s="96"/>
      <c r="F395" s="122" t="s">
        <v>76</v>
      </c>
      <c r="G395" s="97">
        <v>100.0</v>
      </c>
      <c r="H395" s="22">
        <f>IF(OR(J395="",K395="",K395&lt;J395),0,NETWORKDAYS(J395,K395,fESTIVOS!$A$2:$A$53))
</f>
        <v>3</v>
      </c>
      <c r="I395" s="98">
        <v>45751.0</v>
      </c>
      <c r="J395" s="99">
        <v>45756.0</v>
      </c>
      <c r="K395" s="52">
        <v>45760.0</v>
      </c>
      <c r="L395" s="26">
        <v>45759.0</v>
      </c>
      <c r="M395" s="27">
        <f>IF(OR(J395="",AND(L395="",TODAY()&lt;J395),AND(L395&lt;&gt;"",L395&lt;J395)),0,
   IF(L395="",
      NETWORKDAYS(J395,TODAY(),fESTIVOS!$A$2:$A$53),
      NETWORKDAYS(J395,L395,fESTIVOS!$A$2:$A$53)
   )
)
</f>
        <v>3</v>
      </c>
      <c r="N395" s="28"/>
      <c r="O395" s="98"/>
      <c r="P395" s="227">
        <v>45759.0</v>
      </c>
      <c r="Q395" s="34" t="s">
        <v>1805</v>
      </c>
      <c r="R395" s="31" t="s">
        <v>78</v>
      </c>
      <c r="S395" s="97" t="s">
        <v>1806</v>
      </c>
      <c r="T395" s="101"/>
      <c r="U395" s="102"/>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row>
    <row r="396" ht="29.25" hidden="1" customHeight="1">
      <c r="A396" s="92" t="s">
        <v>157</v>
      </c>
      <c r="B396" s="218" t="s">
        <v>1807</v>
      </c>
      <c r="C396" s="142" t="s">
        <v>1808</v>
      </c>
      <c r="D396" s="95" t="s">
        <v>1809</v>
      </c>
      <c r="E396" s="96"/>
      <c r="F396" s="122" t="s">
        <v>76</v>
      </c>
      <c r="G396" s="97">
        <v>100.0</v>
      </c>
      <c r="H396" s="22">
        <f>IF(OR(J396="",K396="",K396&lt;J396),0,NETWORKDAYS(J396,K396,fESTIVOS!$A$2:$A$53))
</f>
        <v>1</v>
      </c>
      <c r="I396" s="81">
        <v>45779.0</v>
      </c>
      <c r="J396" s="60">
        <v>45779.0</v>
      </c>
      <c r="K396" s="60">
        <v>45779.0</v>
      </c>
      <c r="L396" s="60">
        <v>45779.0</v>
      </c>
      <c r="M396" s="27">
        <f>IF(OR(J396="",AND(L396="",TODAY()&lt;J396),AND(L396&lt;&gt;"",L396&lt;J396)),0,
   IF(L396="",
      NETWORKDAYS(J396,TODAY(),fESTIVOS!$A$2:$A$53),
      NETWORKDAYS(J396,L396,fESTIVOS!$A$2:$A$53)
   )
)
</f>
        <v>1</v>
      </c>
      <c r="N396" s="28"/>
      <c r="O396" s="81">
        <v>45779.0</v>
      </c>
      <c r="P396" s="61">
        <v>45782.0</v>
      </c>
      <c r="Q396" s="34" t="s">
        <v>1810</v>
      </c>
      <c r="R396" s="31" t="s">
        <v>78</v>
      </c>
      <c r="S396" s="101"/>
      <c r="T396" s="101"/>
      <c r="U396" s="102"/>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row>
    <row r="397" ht="29.25" hidden="1" customHeight="1">
      <c r="A397" s="92" t="s">
        <v>128</v>
      </c>
      <c r="B397" s="218" t="s">
        <v>1811</v>
      </c>
      <c r="C397" s="142" t="s">
        <v>1812</v>
      </c>
      <c r="D397" s="95" t="s">
        <v>1813</v>
      </c>
      <c r="E397" s="96"/>
      <c r="F397" s="122" t="s">
        <v>76</v>
      </c>
      <c r="G397" s="97">
        <v>100.0</v>
      </c>
      <c r="H397" s="22">
        <f>IF(OR(J397="",K397="",K397&lt;J397),0,NETWORKDAYS(J397,K397,fESTIVOS!$A$2:$A$53))
</f>
        <v>0</v>
      </c>
      <c r="I397" s="98">
        <v>45776.0</v>
      </c>
      <c r="J397" s="99">
        <v>45784.0</v>
      </c>
      <c r="K397" s="99"/>
      <c r="L397" s="99">
        <v>45784.0</v>
      </c>
      <c r="M397" s="27">
        <f>IF(OR(J397="",AND(L397="",TODAY()&lt;J397),AND(L397&lt;&gt;"",L397&lt;J397)),0,
   IF(L397="",
      NETWORKDAYS(J397,TODAY(),fESTIVOS!$A$2:$A$53),
      NETWORKDAYS(J397,L397,fESTIVOS!$A$2:$A$53)
   )
)
</f>
        <v>1</v>
      </c>
      <c r="N397" s="28"/>
      <c r="O397" s="98"/>
      <c r="P397" s="100">
        <v>45784.0</v>
      </c>
      <c r="Q397" s="34" t="s">
        <v>1814</v>
      </c>
      <c r="R397" s="31" t="s">
        <v>78</v>
      </c>
      <c r="S397" s="101"/>
      <c r="T397" s="101"/>
      <c r="U397" s="102"/>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row>
    <row r="398" ht="29.25" hidden="1" customHeight="1">
      <c r="A398" s="92" t="s">
        <v>128</v>
      </c>
      <c r="B398" s="218" t="s">
        <v>1815</v>
      </c>
      <c r="C398" s="142" t="s">
        <v>1816</v>
      </c>
      <c r="D398" s="95" t="s">
        <v>1817</v>
      </c>
      <c r="E398" s="96"/>
      <c r="F398" s="122" t="s">
        <v>76</v>
      </c>
      <c r="G398" s="97">
        <v>100.0</v>
      </c>
      <c r="H398" s="22">
        <f>IF(OR(J398="",K398="",K398&lt;J398),0,NETWORKDAYS(J398,K398,fESTIVOS!$A$2:$A$53))
</f>
        <v>0</v>
      </c>
      <c r="I398" s="98">
        <v>45811.0</v>
      </c>
      <c r="J398" s="99">
        <v>45811.0</v>
      </c>
      <c r="K398" s="99"/>
      <c r="L398" s="99">
        <v>45813.0</v>
      </c>
      <c r="M398" s="27">
        <f>IF(OR(J398="",AND(L398="",TODAY()&lt;J398),AND(L398&lt;&gt;"",L398&lt;J398)),0,
   IF(L398="",
      NETWORKDAYS(J398,TODAY(),fESTIVOS!$A$2:$A$53),
      NETWORKDAYS(J398,L398,fESTIVOS!$A$2:$A$53)
   )
)
</f>
        <v>3</v>
      </c>
      <c r="N398" s="28"/>
      <c r="O398" s="98"/>
      <c r="P398" s="100">
        <v>45813.0</v>
      </c>
      <c r="Q398" s="34" t="s">
        <v>1818</v>
      </c>
      <c r="R398" s="31" t="s">
        <v>78</v>
      </c>
      <c r="S398" s="101"/>
      <c r="T398" s="101"/>
      <c r="U398" s="102"/>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row>
    <row r="399" ht="29.25" hidden="1" customHeight="1">
      <c r="A399" s="92" t="s">
        <v>67</v>
      </c>
      <c r="B399" s="93" t="s">
        <v>1819</v>
      </c>
      <c r="C399" s="94" t="s">
        <v>1820</v>
      </c>
      <c r="D399" s="95" t="s">
        <v>1821</v>
      </c>
      <c r="E399" s="96"/>
      <c r="F399" s="122" t="s">
        <v>76</v>
      </c>
      <c r="G399" s="97">
        <v>100.0</v>
      </c>
      <c r="H399" s="22">
        <f>IF(OR(J399="",K399="",K399&lt;J399),0,NETWORKDAYS(J399,K399,fESTIVOS!$A$2:$A$53))
</f>
        <v>5</v>
      </c>
      <c r="I399" s="98">
        <v>46058.0</v>
      </c>
      <c r="J399" s="99">
        <v>46058.0</v>
      </c>
      <c r="K399" s="99">
        <v>46064.0</v>
      </c>
      <c r="L399" s="99">
        <v>46070.0</v>
      </c>
      <c r="M399" s="27">
        <f>IF(OR(J399="",AND(L399="",TODAY()&lt;J399),AND(L399&lt;&gt;"",L399&lt;J399)),0,
   IF(L399="",
      NETWORKDAYS(J399,TODAY(),fESTIVOS!$A$2:$A$53),
      NETWORKDAYS(J399,L399,fESTIVOS!$A$2:$A$53)
   )
)
</f>
        <v>9</v>
      </c>
      <c r="N399" s="28"/>
      <c r="O399" s="98"/>
      <c r="P399" s="100"/>
      <c r="Q399" s="34" t="s">
        <v>1822</v>
      </c>
      <c r="R399" s="31" t="s">
        <v>275</v>
      </c>
      <c r="S399" s="101"/>
      <c r="T399" s="101"/>
      <c r="U399" s="102"/>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row>
    <row r="400" ht="29.25" hidden="1" customHeight="1">
      <c r="A400" s="92" t="s">
        <v>67</v>
      </c>
      <c r="B400" s="93" t="s">
        <v>1823</v>
      </c>
      <c r="C400" s="94" t="s">
        <v>1824</v>
      </c>
      <c r="D400" s="95" t="s">
        <v>1825</v>
      </c>
      <c r="E400" s="96"/>
      <c r="F400" s="122" t="s">
        <v>76</v>
      </c>
      <c r="G400" s="97">
        <v>100.0</v>
      </c>
      <c r="H400" s="22">
        <f>IF(OR(J400="",K400="",K400&lt;J400),0,NETWORKDAYS(J400,K400,fESTIVOS!$A$2:$A$53))
</f>
        <v>4</v>
      </c>
      <c r="I400" s="98">
        <v>46055.0</v>
      </c>
      <c r="J400" s="99">
        <v>46056.0</v>
      </c>
      <c r="K400" s="99">
        <v>46059.0</v>
      </c>
      <c r="L400" s="99">
        <v>46058.0</v>
      </c>
      <c r="M400" s="27">
        <f>IF(OR(J400="",AND(L400="",TODAY()&lt;J400),AND(L400&lt;&gt;"",L400&lt;J400)),0,
   IF(L400="",
      NETWORKDAYS(J400,TODAY(),fESTIVOS!$A$2:$A$53),
      NETWORKDAYS(J400,L400,fESTIVOS!$A$2:$A$53)
   )
)
</f>
        <v>3</v>
      </c>
      <c r="N400" s="28"/>
      <c r="O400" s="98"/>
      <c r="P400" s="100"/>
      <c r="Q400" s="34" t="s">
        <v>1826</v>
      </c>
      <c r="R400" s="31" t="s">
        <v>78</v>
      </c>
      <c r="S400" s="101"/>
      <c r="T400" s="101"/>
      <c r="U400" s="102"/>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row>
    <row r="401" ht="29.25" hidden="1" customHeight="1">
      <c r="A401" s="92" t="s">
        <v>251</v>
      </c>
      <c r="B401" s="93" t="s">
        <v>1827</v>
      </c>
      <c r="C401" s="94" t="s">
        <v>1828</v>
      </c>
      <c r="D401" s="95"/>
      <c r="E401" s="96"/>
      <c r="F401" s="122" t="s">
        <v>229</v>
      </c>
      <c r="G401" s="97"/>
      <c r="H401" s="22">
        <f>IF(OR(J401="",K401="",K401&lt;J401),0,NETWORKDAYS(J401,K401,fESTIVOS!$A$2:$A$53))
</f>
        <v>0</v>
      </c>
      <c r="I401" s="98">
        <v>46136.0</v>
      </c>
      <c r="J401" s="99"/>
      <c r="K401" s="99"/>
      <c r="L401" s="99"/>
      <c r="M401" s="27">
        <f>IF(OR(J401="",AND(L401="",TODAY()&lt;J401),AND(L401&lt;&gt;"",L401&lt;J401)),0,
   IF(L401="",
      NETWORKDAYS(J401,TODAY(),fESTIVOS!$A$2:$A$53),
      NETWORKDAYS(J401,L401,fESTIVOS!$A$2:$A$53)
   )
)
</f>
        <v>0</v>
      </c>
      <c r="N401" s="189"/>
      <c r="O401" s="98"/>
      <c r="P401" s="100"/>
      <c r="Q401" s="34"/>
      <c r="R401" s="113" t="s">
        <v>72</v>
      </c>
      <c r="S401" s="101"/>
      <c r="T401" s="97"/>
      <c r="U401" s="102"/>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row>
    <row r="402" ht="29.25" hidden="1" customHeight="1">
      <c r="A402" s="92" t="s">
        <v>67</v>
      </c>
      <c r="B402" s="93" t="s">
        <v>1829</v>
      </c>
      <c r="C402" s="94" t="s">
        <v>1830</v>
      </c>
      <c r="D402" s="95" t="s">
        <v>1831</v>
      </c>
      <c r="E402" s="96"/>
      <c r="F402" s="122" t="s">
        <v>76</v>
      </c>
      <c r="G402" s="97">
        <v>100.0</v>
      </c>
      <c r="H402" s="22">
        <f>IF(OR(J402="",K402="",K402&lt;J402),0,NETWORKDAYS(J402,K402,fESTIVOS!$A$2:$A$53))
</f>
        <v>4</v>
      </c>
      <c r="I402" s="98">
        <v>46064.0</v>
      </c>
      <c r="J402" s="99">
        <v>46085.0</v>
      </c>
      <c r="K402" s="99">
        <v>46090.0</v>
      </c>
      <c r="L402" s="99">
        <v>46093.0</v>
      </c>
      <c r="M402" s="27">
        <f>IF(OR(J402="",AND(L402="",TODAY()&lt;J402),AND(L402&lt;&gt;"",L402&lt;J402)),0,
   IF(L402="",
      NETWORKDAYS(J402,TODAY(),fESTIVOS!$A$2:$A$53),
      NETWORKDAYS(J402,L402,fESTIVOS!$A$2:$A$53)
   )
)
</f>
        <v>7</v>
      </c>
      <c r="N402" s="105">
        <v>46091.0</v>
      </c>
      <c r="O402" s="98">
        <v>46093.0</v>
      </c>
      <c r="P402" s="100">
        <v>46135.0</v>
      </c>
      <c r="Q402" s="34" t="s">
        <v>1832</v>
      </c>
      <c r="R402" s="31" t="s">
        <v>208</v>
      </c>
      <c r="S402" s="101"/>
      <c r="T402" s="97" t="s">
        <v>1833</v>
      </c>
      <c r="U402" s="122" t="s">
        <v>1834</v>
      </c>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row>
    <row r="403" ht="29.25" hidden="1" customHeight="1">
      <c r="A403" s="92" t="s">
        <v>67</v>
      </c>
      <c r="B403" s="93" t="s">
        <v>1835</v>
      </c>
      <c r="C403" s="94" t="s">
        <v>1836</v>
      </c>
      <c r="D403" s="95" t="s">
        <v>1837</v>
      </c>
      <c r="E403" s="96"/>
      <c r="F403" s="122" t="s">
        <v>76</v>
      </c>
      <c r="G403" s="97">
        <v>100.0</v>
      </c>
      <c r="H403" s="22">
        <f>IF(OR(J403="",K403="",K403&lt;J403),0,NETWORKDAYS(J403,K403,fESTIVOS!$A$2:$A$53))
</f>
        <v>0</v>
      </c>
      <c r="I403" s="98">
        <v>46065.0</v>
      </c>
      <c r="J403" s="99">
        <v>46065.0</v>
      </c>
      <c r="K403" s="99"/>
      <c r="L403" s="99">
        <v>46079.0</v>
      </c>
      <c r="M403" s="27">
        <f>IF(OR(J403="",AND(L403="",TODAY()&lt;J403),AND(L403&lt;&gt;"",L403&lt;J403)),0,
   IF(L403="",
      NETWORKDAYS(J403,TODAY(),fESTIVOS!$A$2:$A$53),
      NETWORKDAYS(J403,L403,fESTIVOS!$A$2:$A$53)
   )
)
</f>
        <v>11</v>
      </c>
      <c r="N403" s="28"/>
      <c r="O403" s="98"/>
      <c r="P403" s="100"/>
      <c r="Q403" s="34" t="s">
        <v>1838</v>
      </c>
      <c r="R403" s="31" t="s">
        <v>208</v>
      </c>
      <c r="S403" s="101"/>
      <c r="T403" s="101"/>
      <c r="U403" s="102"/>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row>
    <row r="404" ht="29.25" hidden="1" customHeight="1">
      <c r="A404" s="92" t="s">
        <v>67</v>
      </c>
      <c r="B404" s="93" t="s">
        <v>1839</v>
      </c>
      <c r="C404" s="141" t="s">
        <v>1840</v>
      </c>
      <c r="D404" s="95"/>
      <c r="E404" s="96"/>
      <c r="F404" s="20" t="s">
        <v>76</v>
      </c>
      <c r="G404" s="97">
        <v>100.0</v>
      </c>
      <c r="H404" s="22">
        <f>IF(OR(J404="",K404="",K404&lt;J404),0,NETWORKDAYS(J404,K404,fESTIVOS!$A$2:$A$53))
</f>
        <v>0</v>
      </c>
      <c r="I404" s="98">
        <v>46077.0</v>
      </c>
      <c r="J404" s="99">
        <v>46084.0</v>
      </c>
      <c r="K404" s="99"/>
      <c r="L404" s="99">
        <v>46084.0</v>
      </c>
      <c r="M404" s="27">
        <f>IF(OR(J404="",AND(L404="",TODAY()&lt;J404),AND(L404&lt;&gt;"",L404&lt;J404)),0,
   IF(L404="",
      NETWORKDAYS(J404,TODAY(),fESTIVOS!$A$2:$A$53),
      NETWORKDAYS(J404,L404,fESTIVOS!$A$2:$A$53)
   )
)
</f>
        <v>1</v>
      </c>
      <c r="N404" s="28"/>
      <c r="O404" s="98"/>
      <c r="P404" s="100"/>
      <c r="Q404" s="34" t="s">
        <v>1841</v>
      </c>
      <c r="R404" s="31" t="s">
        <v>275</v>
      </c>
      <c r="S404" s="101"/>
      <c r="T404" s="101"/>
      <c r="U404" s="102"/>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row>
    <row r="405" ht="29.25" hidden="1" customHeight="1">
      <c r="A405" s="92" t="s">
        <v>67</v>
      </c>
      <c r="B405" s="93" t="s">
        <v>1842</v>
      </c>
      <c r="C405" s="141" t="s">
        <v>1843</v>
      </c>
      <c r="D405" s="95" t="s">
        <v>1844</v>
      </c>
      <c r="E405" s="96"/>
      <c r="F405" s="20" t="s">
        <v>76</v>
      </c>
      <c r="G405" s="97">
        <v>100.0</v>
      </c>
      <c r="H405" s="22">
        <f>IF(OR(J405="",K405="",K405&lt;J405),0,NETWORKDAYS(J405,K405,fESTIVOS!$A$2:$A$53))
</f>
        <v>2</v>
      </c>
      <c r="I405" s="98">
        <v>46085.0</v>
      </c>
      <c r="J405" s="99">
        <v>46084.0</v>
      </c>
      <c r="K405" s="99">
        <v>46085.0</v>
      </c>
      <c r="L405" s="99">
        <v>46085.0</v>
      </c>
      <c r="M405" s="27">
        <f>IF(OR(J405="",AND(L405="",TODAY()&lt;J405),AND(L405&lt;&gt;"",L405&lt;J405)),0,
   IF(L405="",
      NETWORKDAYS(J405,TODAY(),fESTIVOS!$A$2:$A$53),
      NETWORKDAYS(J405,L405,fESTIVOS!$A$2:$A$53)
   )
)
</f>
        <v>2</v>
      </c>
      <c r="N405" s="28"/>
      <c r="O405" s="98"/>
      <c r="P405" s="100"/>
      <c r="Q405" s="34" t="s">
        <v>1845</v>
      </c>
      <c r="R405" s="31" t="s">
        <v>275</v>
      </c>
      <c r="S405" s="101"/>
      <c r="T405" s="101"/>
      <c r="U405" s="102"/>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row>
    <row r="406" ht="29.25" hidden="1" customHeight="1">
      <c r="A406" s="92" t="s">
        <v>67</v>
      </c>
      <c r="B406" s="93" t="s">
        <v>1846</v>
      </c>
      <c r="C406" s="141" t="s">
        <v>1847</v>
      </c>
      <c r="D406" s="95" t="s">
        <v>1848</v>
      </c>
      <c r="E406" s="96"/>
      <c r="F406" s="20" t="s">
        <v>76</v>
      </c>
      <c r="G406" s="97">
        <v>100.0</v>
      </c>
      <c r="H406" s="22">
        <f>IF(OR(J406="",K406="",K406&lt;J406),0,NETWORKDAYS(J406,K406,fESTIVOS!$A$2:$A$53))
</f>
        <v>0</v>
      </c>
      <c r="I406" s="98">
        <v>46087.0</v>
      </c>
      <c r="J406" s="99">
        <v>46087.0</v>
      </c>
      <c r="K406" s="99"/>
      <c r="L406" s="99">
        <v>46087.0</v>
      </c>
      <c r="M406" s="27">
        <f>IF(OR(J406="",AND(L406="",TODAY()&lt;J406),AND(L406&lt;&gt;"",L406&lt;J406)),0,
   IF(L406="",
      NETWORKDAYS(J406,TODAY(),fESTIVOS!$A$2:$A$53),
      NETWORKDAYS(J406,L406,fESTIVOS!$A$2:$A$53)
   )
)
</f>
        <v>1</v>
      </c>
      <c r="N406" s="28"/>
      <c r="O406" s="98"/>
      <c r="P406" s="100"/>
      <c r="Q406" s="34" t="s">
        <v>1849</v>
      </c>
      <c r="R406" s="31" t="s">
        <v>208</v>
      </c>
      <c r="S406" s="101"/>
      <c r="T406" s="101"/>
      <c r="U406" s="102"/>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row>
    <row r="407" ht="29.25" hidden="1" customHeight="1">
      <c r="A407" s="92" t="s">
        <v>67</v>
      </c>
      <c r="B407" s="93" t="s">
        <v>1850</v>
      </c>
      <c r="C407" s="141" t="s">
        <v>1851</v>
      </c>
      <c r="D407" s="95" t="s">
        <v>1852</v>
      </c>
      <c r="E407" s="96"/>
      <c r="F407" s="20" t="s">
        <v>76</v>
      </c>
      <c r="G407" s="97">
        <v>100.0</v>
      </c>
      <c r="H407" s="22">
        <f>IF(OR(J407="",K407="",K407&lt;J407),0,NETWORKDAYS(J407,K407,fESTIVOS!$A$2:$A$53))
</f>
        <v>0</v>
      </c>
      <c r="I407" s="98">
        <v>46086.0</v>
      </c>
      <c r="J407" s="99">
        <v>46092.0</v>
      </c>
      <c r="K407" s="99"/>
      <c r="L407" s="99">
        <v>46097.0</v>
      </c>
      <c r="M407" s="27">
        <f>IF(OR(J407="",AND(L407="",TODAY()&lt;J407),AND(L407&lt;&gt;"",L407&lt;J407)),0,
   IF(L407="",
      NETWORKDAYS(J407,TODAY(),fESTIVOS!$A$2:$A$53),
      NETWORKDAYS(J407,L407,fESTIVOS!$A$2:$A$53)
   )
)
</f>
        <v>4</v>
      </c>
      <c r="N407" s="28"/>
      <c r="O407" s="98"/>
      <c r="P407" s="100"/>
      <c r="Q407" s="34" t="s">
        <v>1853</v>
      </c>
      <c r="R407" s="31" t="s">
        <v>208</v>
      </c>
      <c r="S407" s="101"/>
      <c r="T407" s="101"/>
      <c r="U407" s="102"/>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row>
    <row r="408" ht="29.25" hidden="1" customHeight="1">
      <c r="A408" s="92" t="s">
        <v>67</v>
      </c>
      <c r="B408" s="93" t="s">
        <v>1854</v>
      </c>
      <c r="C408" s="141" t="s">
        <v>1855</v>
      </c>
      <c r="D408" s="95"/>
      <c r="E408" s="96"/>
      <c r="F408" s="20" t="s">
        <v>76</v>
      </c>
      <c r="G408" s="97">
        <v>100.0</v>
      </c>
      <c r="H408" s="22">
        <f>IF(OR(J408="",K408="",K408&lt;J408),0,NETWORKDAYS(J408,K408,fESTIVOS!$A$2:$A$53))
</f>
        <v>2</v>
      </c>
      <c r="I408" s="98">
        <v>46076.0</v>
      </c>
      <c r="J408" s="99">
        <v>46080.0</v>
      </c>
      <c r="K408" s="99">
        <v>46083.0</v>
      </c>
      <c r="L408" s="99">
        <v>46086.0</v>
      </c>
      <c r="M408" s="27">
        <f>IF(OR(J408="",AND(L408="",TODAY()&lt;J408),AND(L408&lt;&gt;"",L408&lt;J408)),0,
   IF(L408="",
      NETWORKDAYS(J408,TODAY(),fESTIVOS!$A$2:$A$53),
      NETWORKDAYS(J408,L408,fESTIVOS!$A$2:$A$53)
   )
)
</f>
        <v>5</v>
      </c>
      <c r="N408" s="28"/>
      <c r="O408" s="98"/>
      <c r="P408" s="100"/>
      <c r="Q408" s="34" t="s">
        <v>1856</v>
      </c>
      <c r="R408" s="31" t="s">
        <v>275</v>
      </c>
      <c r="S408" s="101"/>
      <c r="T408" s="101"/>
      <c r="U408" s="102"/>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row>
    <row r="409" ht="29.25" hidden="1" customHeight="1">
      <c r="A409" s="92" t="s">
        <v>67</v>
      </c>
      <c r="B409" s="93" t="s">
        <v>1857</v>
      </c>
      <c r="C409" s="142" t="s">
        <v>1858</v>
      </c>
      <c r="D409" s="95" t="s">
        <v>1859</v>
      </c>
      <c r="E409" s="96"/>
      <c r="F409" s="20" t="s">
        <v>76</v>
      </c>
      <c r="G409" s="97">
        <v>100.0</v>
      </c>
      <c r="H409" s="22">
        <f>IF(OR(J409="",K409="",K409&lt;J409),0,NETWORKDAYS(J409,K409,fESTIVOS!$A$2:$A$53))
</f>
        <v>0</v>
      </c>
      <c r="I409" s="98">
        <v>45961.0</v>
      </c>
      <c r="J409" s="99">
        <v>45961.0</v>
      </c>
      <c r="K409" s="99"/>
      <c r="L409" s="99"/>
      <c r="M409" s="27">
        <f>IF(OR(J409="",AND(L409="",TODAY()&lt;J409),AND(L409&lt;&gt;"",L409&lt;J409)),0,
   IF(L409="",
      NETWORKDAYS(J409,TODAY(),fESTIVOS!$A$2:$A$53),
      NETWORKDAYS(J409,L409,fESTIVOS!$A$2:$A$53)
   )
)
</f>
        <v>150</v>
      </c>
      <c r="N409" s="28"/>
      <c r="O409" s="98"/>
      <c r="P409" s="100"/>
      <c r="Q409" s="34" t="s">
        <v>1860</v>
      </c>
      <c r="R409" s="31" t="s">
        <v>208</v>
      </c>
      <c r="S409" s="101"/>
      <c r="T409" s="101"/>
      <c r="U409" s="102"/>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row>
    <row r="410" ht="29.25" hidden="1" customHeight="1">
      <c r="A410" s="92" t="s">
        <v>67</v>
      </c>
      <c r="B410" s="93" t="s">
        <v>1861</v>
      </c>
      <c r="C410" s="94" t="s">
        <v>1862</v>
      </c>
      <c r="D410" s="95" t="s">
        <v>1863</v>
      </c>
      <c r="E410" s="96"/>
      <c r="F410" s="122" t="s">
        <v>76</v>
      </c>
      <c r="G410" s="97">
        <v>100.0</v>
      </c>
      <c r="H410" s="22">
        <f>IF(OR(J410="",K410="",K410&lt;J410),0,NETWORKDAYS(J410,K410,fESTIVOS!$A$2:$A$53))
</f>
        <v>0</v>
      </c>
      <c r="I410" s="98">
        <v>46065.0</v>
      </c>
      <c r="J410" s="99">
        <v>46065.0</v>
      </c>
      <c r="K410" s="99"/>
      <c r="L410" s="99">
        <v>46070.0</v>
      </c>
      <c r="M410" s="27">
        <f>IF(OR(J410="",AND(L410="",TODAY()&lt;J410),AND(L410&lt;&gt;"",L410&lt;J410)),0,
   IF(L410="",
      NETWORKDAYS(J410,TODAY(),fESTIVOS!$A$2:$A$53),
      NETWORKDAYS(J410,L410,fESTIVOS!$A$2:$A$53)
   )
)
</f>
        <v>4</v>
      </c>
      <c r="N410" s="28"/>
      <c r="O410" s="98"/>
      <c r="P410" s="100"/>
      <c r="Q410" s="34" t="s">
        <v>1864</v>
      </c>
      <c r="R410" s="31" t="s">
        <v>208</v>
      </c>
      <c r="S410" s="101"/>
      <c r="T410" s="101"/>
      <c r="U410" s="102"/>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row>
    <row r="411" ht="29.25" hidden="1" customHeight="1">
      <c r="A411" s="92" t="s">
        <v>67</v>
      </c>
      <c r="B411" s="93" t="s">
        <v>1865</v>
      </c>
      <c r="C411" s="94" t="s">
        <v>1866</v>
      </c>
      <c r="D411" s="95"/>
      <c r="E411" s="96"/>
      <c r="F411" s="122" t="s">
        <v>76</v>
      </c>
      <c r="G411" s="97">
        <v>100.0</v>
      </c>
      <c r="H411" s="22">
        <f>IF(OR(J411="",K411="",K411&lt;J411),0,NETWORKDAYS(J411,K411,fESTIVOS!$A$2:$A$53))
</f>
        <v>0</v>
      </c>
      <c r="I411" s="98">
        <v>46070.0</v>
      </c>
      <c r="J411" s="99">
        <v>46070.0</v>
      </c>
      <c r="K411" s="99"/>
      <c r="L411" s="99">
        <v>46070.0</v>
      </c>
      <c r="M411" s="27">
        <f>IF(OR(J411="",AND(L411="",TODAY()&lt;J411),AND(L411&lt;&gt;"",L411&lt;J411)),0,
   IF(L411="",
      NETWORKDAYS(J411,TODAY(),fESTIVOS!$A$2:$A$53),
      NETWORKDAYS(J411,L411,fESTIVOS!$A$2:$A$53)
   )
)
</f>
        <v>1</v>
      </c>
      <c r="N411" s="28"/>
      <c r="O411" s="98"/>
      <c r="P411" s="100"/>
      <c r="Q411" s="34" t="s">
        <v>1867</v>
      </c>
      <c r="R411" s="31"/>
      <c r="S411" s="101"/>
      <c r="T411" s="101"/>
      <c r="U411" s="102"/>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row>
    <row r="412" ht="29.25" hidden="1" customHeight="1">
      <c r="A412" s="92" t="s">
        <v>67</v>
      </c>
      <c r="B412" s="93" t="s">
        <v>1868</v>
      </c>
      <c r="C412" s="228" t="s">
        <v>1869</v>
      </c>
      <c r="D412" s="95" t="s">
        <v>1870</v>
      </c>
      <c r="E412" s="96"/>
      <c r="F412" s="122" t="s">
        <v>76</v>
      </c>
      <c r="G412" s="97">
        <v>100.0</v>
      </c>
      <c r="H412" s="22">
        <f>IF(OR(J412="",K412="",K412&lt;J412),0,NETWORKDAYS(J412,K412,fESTIVOS!$A$2:$A$53))
</f>
        <v>0</v>
      </c>
      <c r="I412" s="98">
        <v>46083.0</v>
      </c>
      <c r="J412" s="99">
        <v>46084.0</v>
      </c>
      <c r="K412" s="99"/>
      <c r="L412" s="99">
        <v>46084.0</v>
      </c>
      <c r="M412" s="27">
        <f>IF(OR(J412="",AND(L412="",TODAY()&lt;J412),AND(L412&lt;&gt;"",L412&lt;J412)),0,
   IF(L412="",
      NETWORKDAYS(J412,TODAY(),fESTIVOS!$A$2:$A$53),
      NETWORKDAYS(J412,L412,fESTIVOS!$A$2:$A$53)
   )
)
</f>
        <v>1</v>
      </c>
      <c r="N412" s="28"/>
      <c r="O412" s="98"/>
      <c r="P412" s="100"/>
      <c r="Q412" s="34" t="s">
        <v>1871</v>
      </c>
      <c r="R412" s="31" t="s">
        <v>275</v>
      </c>
      <c r="S412" s="101"/>
      <c r="T412" s="101"/>
      <c r="U412" s="102"/>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row>
    <row r="413" ht="29.25" hidden="1" customHeight="1">
      <c r="A413" s="92" t="s">
        <v>67</v>
      </c>
      <c r="B413" s="93" t="s">
        <v>1872</v>
      </c>
      <c r="C413" s="94" t="s">
        <v>1873</v>
      </c>
      <c r="D413" s="95" t="s">
        <v>1874</v>
      </c>
      <c r="E413" s="96"/>
      <c r="F413" s="122" t="s">
        <v>76</v>
      </c>
      <c r="G413" s="97">
        <v>100.0</v>
      </c>
      <c r="H413" s="22">
        <f>IF(OR(J413="",K413="",K413&lt;J413),0,NETWORKDAYS(J413,K413,fESTIVOS!$A$2:$A$53))
</f>
        <v>2</v>
      </c>
      <c r="I413" s="98">
        <v>46080.0</v>
      </c>
      <c r="J413" s="99">
        <v>46086.0</v>
      </c>
      <c r="K413" s="99">
        <v>46087.0</v>
      </c>
      <c r="L413" s="99">
        <v>46087.0</v>
      </c>
      <c r="M413" s="27">
        <f>IF(OR(J413="",AND(L413="",TODAY()&lt;J413),AND(L413&lt;&gt;"",L413&lt;J413)),0,
   IF(L413="",
      NETWORKDAYS(J413,TODAY(),fESTIVOS!$A$2:$A$53),
      NETWORKDAYS(J413,L413,fESTIVOS!$A$2:$A$53)
   )
)
</f>
        <v>2</v>
      </c>
      <c r="N413" s="28"/>
      <c r="O413" s="98"/>
      <c r="P413" s="100"/>
      <c r="Q413" s="34" t="s">
        <v>1875</v>
      </c>
      <c r="R413" s="31" t="s">
        <v>275</v>
      </c>
      <c r="S413" s="101"/>
      <c r="T413" s="101"/>
      <c r="U413" s="102"/>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row>
    <row r="414" ht="29.25" hidden="1" customHeight="1">
      <c r="A414" s="92" t="s">
        <v>67</v>
      </c>
      <c r="B414" s="93" t="s">
        <v>1876</v>
      </c>
      <c r="C414" s="94" t="s">
        <v>1877</v>
      </c>
      <c r="D414" s="95" t="s">
        <v>1878</v>
      </c>
      <c r="E414" s="96"/>
      <c r="F414" s="122" t="s">
        <v>76</v>
      </c>
      <c r="G414" s="97">
        <v>100.0</v>
      </c>
      <c r="H414" s="22">
        <f>IF(OR(J414="",K414="",K414&lt;J414),0,NETWORKDAYS(J414,K414,fESTIVOS!$A$2:$A$53))
</f>
        <v>0</v>
      </c>
      <c r="I414" s="98">
        <v>45782.0</v>
      </c>
      <c r="J414" s="99">
        <v>46098.0</v>
      </c>
      <c r="K414" s="99"/>
      <c r="L414" s="99">
        <v>46111.0</v>
      </c>
      <c r="M414" s="27">
        <f>IF(OR(J414="",AND(L414="",TODAY()&lt;J414),AND(L414&lt;&gt;"",L414&lt;J414)),0,
   IF(L414="",
      NETWORKDAYS(J414,TODAY(),fESTIVOS!$A$2:$A$53),
      NETWORKDAYS(J414,L414,fESTIVOS!$A$2:$A$53)
   )
)
</f>
        <v>9</v>
      </c>
      <c r="N414" s="28"/>
      <c r="O414" s="98"/>
      <c r="P414" s="100"/>
      <c r="Q414" s="34" t="s">
        <v>1879</v>
      </c>
      <c r="R414" s="31" t="s">
        <v>275</v>
      </c>
      <c r="S414" s="101"/>
      <c r="T414" s="101"/>
      <c r="U414" s="102"/>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row>
    <row r="415" ht="29.25" hidden="1" customHeight="1">
      <c r="A415" s="92" t="s">
        <v>67</v>
      </c>
      <c r="B415" s="93" t="s">
        <v>1880</v>
      </c>
      <c r="C415" s="94" t="s">
        <v>1881</v>
      </c>
      <c r="D415" s="95" t="s">
        <v>1882</v>
      </c>
      <c r="E415" s="96"/>
      <c r="F415" s="122" t="s">
        <v>76</v>
      </c>
      <c r="G415" s="97">
        <v>100.0</v>
      </c>
      <c r="H415" s="22">
        <f>IF(OR(J415="",K415="",K415&lt;J415),0,NETWORKDAYS(J415,K415,fESTIVOS!$A$2:$A$53))
</f>
        <v>0</v>
      </c>
      <c r="I415" s="98">
        <v>46100.0</v>
      </c>
      <c r="J415" s="99">
        <v>46105.0</v>
      </c>
      <c r="K415" s="99"/>
      <c r="L415" s="99">
        <v>46105.0</v>
      </c>
      <c r="M415" s="27">
        <f>IF(OR(J415="",AND(L415="",TODAY()&lt;J415),AND(L415&lt;&gt;"",L415&lt;J415)),0,
   IF(L415="",
      NETWORKDAYS(J415,TODAY(),fESTIVOS!$A$2:$A$53),
      NETWORKDAYS(J415,L415,fESTIVOS!$A$2:$A$53)
   )
)
</f>
        <v>1</v>
      </c>
      <c r="N415" s="28"/>
      <c r="O415" s="98"/>
      <c r="P415" s="100"/>
      <c r="Q415" s="34" t="s">
        <v>1883</v>
      </c>
      <c r="R415" s="31" t="s">
        <v>275</v>
      </c>
      <c r="S415" s="101"/>
      <c r="T415" s="101"/>
      <c r="U415" s="102"/>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row>
    <row r="416" ht="29.25" hidden="1" customHeight="1">
      <c r="A416" s="92" t="s">
        <v>67</v>
      </c>
      <c r="B416" s="93" t="s">
        <v>1884</v>
      </c>
      <c r="C416" s="94" t="s">
        <v>1885</v>
      </c>
      <c r="D416" s="95" t="s">
        <v>1886</v>
      </c>
      <c r="E416" s="96"/>
      <c r="F416" s="122" t="s">
        <v>76</v>
      </c>
      <c r="G416" s="97">
        <v>100.0</v>
      </c>
      <c r="H416" s="22">
        <f>IF(OR(J416="",K416="",K416&lt;J416),0,NETWORKDAYS(J416,K416,fESTIVOS!$A$2:$A$53))
</f>
        <v>0</v>
      </c>
      <c r="I416" s="98">
        <v>46100.0</v>
      </c>
      <c r="J416" s="99">
        <v>46101.0</v>
      </c>
      <c r="K416" s="99"/>
      <c r="L416" s="99">
        <v>46101.0</v>
      </c>
      <c r="M416" s="27">
        <f>IF(OR(J416="",AND(L416="",TODAY()&lt;J416),AND(L416&lt;&gt;"",L416&lt;J416)),0,
   IF(L416="",
      NETWORKDAYS(J416,TODAY(),fESTIVOS!$A$2:$A$53),
      NETWORKDAYS(J416,L416,fESTIVOS!$A$2:$A$53)
   )
)
</f>
        <v>1</v>
      </c>
      <c r="N416" s="28"/>
      <c r="O416" s="98"/>
      <c r="P416" s="100"/>
      <c r="Q416" s="34" t="s">
        <v>1887</v>
      </c>
      <c r="R416" s="31" t="s">
        <v>275</v>
      </c>
      <c r="S416" s="101"/>
      <c r="T416" s="101"/>
      <c r="U416" s="102"/>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row>
    <row r="417" ht="29.25" hidden="1" customHeight="1">
      <c r="A417" s="92" t="s">
        <v>67</v>
      </c>
      <c r="B417" s="93" t="s">
        <v>1888</v>
      </c>
      <c r="C417" s="94" t="s">
        <v>1889</v>
      </c>
      <c r="D417" s="95"/>
      <c r="E417" s="96"/>
      <c r="F417" s="122" t="s">
        <v>76</v>
      </c>
      <c r="G417" s="97">
        <v>100.0</v>
      </c>
      <c r="H417" s="22">
        <f>IF(OR(J417="",K417="",K417&lt;J417),0,NETWORKDAYS(J417,K417,fESTIVOS!$A$2:$A$53))
</f>
        <v>0</v>
      </c>
      <c r="I417" s="98">
        <v>46105.0</v>
      </c>
      <c r="J417" s="99">
        <v>46106.0</v>
      </c>
      <c r="K417" s="99"/>
      <c r="L417" s="99">
        <v>46106.0</v>
      </c>
      <c r="M417" s="27">
        <f>IF(OR(J417="",AND(L417="",TODAY()&lt;J417),AND(L417&lt;&gt;"",L417&lt;J417)),0,
   IF(L417="",
      NETWORKDAYS(J417,TODAY(),fESTIVOS!$A$2:$A$53),
      NETWORKDAYS(J417,L417,fESTIVOS!$A$2:$A$53)
   )
)
</f>
        <v>1</v>
      </c>
      <c r="N417" s="28"/>
      <c r="O417" s="98"/>
      <c r="P417" s="100"/>
      <c r="Q417" s="34" t="s">
        <v>1890</v>
      </c>
      <c r="R417" s="31" t="s">
        <v>275</v>
      </c>
      <c r="S417" s="101"/>
      <c r="T417" s="101"/>
      <c r="U417" s="102"/>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row>
    <row r="418" ht="29.25" hidden="1" customHeight="1">
      <c r="A418" s="92" t="s">
        <v>67</v>
      </c>
      <c r="B418" s="93" t="s">
        <v>1891</v>
      </c>
      <c r="C418" s="94" t="s">
        <v>1892</v>
      </c>
      <c r="D418" s="95"/>
      <c r="E418" s="96"/>
      <c r="F418" s="122" t="s">
        <v>76</v>
      </c>
      <c r="G418" s="97">
        <v>100.0</v>
      </c>
      <c r="H418" s="22">
        <f>IF(OR(J418="",K418="",K418&lt;J418),0,NETWORKDAYS(J418,K418,fESTIVOS!$A$2:$A$53))
</f>
        <v>0</v>
      </c>
      <c r="I418" s="98">
        <v>46105.0</v>
      </c>
      <c r="J418" s="99">
        <v>46105.0</v>
      </c>
      <c r="K418" s="99"/>
      <c r="L418" s="99">
        <v>46105.0</v>
      </c>
      <c r="M418" s="27">
        <f>IF(OR(J418="",AND(L418="",TODAY()&lt;J418),AND(L418&lt;&gt;"",L418&lt;J418)),0,
   IF(L418="",
      NETWORKDAYS(J418,TODAY(),fESTIVOS!$A$2:$A$53),
      NETWORKDAYS(J418,L418,fESTIVOS!$A$2:$A$53)
   )
)
</f>
        <v>1</v>
      </c>
      <c r="N418" s="28"/>
      <c r="O418" s="98"/>
      <c r="P418" s="100">
        <v>46105.0</v>
      </c>
      <c r="Q418" s="34" t="s">
        <v>1893</v>
      </c>
      <c r="R418" s="31" t="s">
        <v>78</v>
      </c>
      <c r="S418" s="101"/>
      <c r="T418" s="101"/>
      <c r="U418" s="102"/>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row>
    <row r="419" ht="29.25" hidden="1" customHeight="1">
      <c r="A419" s="92" t="s">
        <v>67</v>
      </c>
      <c r="B419" s="93" t="s">
        <v>1894</v>
      </c>
      <c r="C419" s="228" t="s">
        <v>1895</v>
      </c>
      <c r="D419" s="95" t="s">
        <v>1896</v>
      </c>
      <c r="E419" s="96"/>
      <c r="F419" s="122" t="s">
        <v>76</v>
      </c>
      <c r="G419" s="97">
        <v>100.0</v>
      </c>
      <c r="H419" s="22">
        <f>IF(OR(J419="",K419="",K419&lt;J419),0,NETWORKDAYS(J419,K419,fESTIVOS!$A$2:$A$53))
</f>
        <v>0</v>
      </c>
      <c r="I419" s="98">
        <v>46108.0</v>
      </c>
      <c r="J419" s="99">
        <v>46108.0</v>
      </c>
      <c r="K419" s="99"/>
      <c r="L419" s="99">
        <v>46149.0</v>
      </c>
      <c r="M419" s="27">
        <f>IF(OR(J419="",AND(L419="",TODAY()&lt;J419),AND(L419&lt;&gt;"",L419&lt;J419)),0,
   IF(L419="",
      NETWORKDAYS(J419,TODAY(),fESTIVOS!$A$2:$A$53),
      NETWORKDAYS(J419,L419,fESTIVOS!$A$2:$A$53)
   )
)
</f>
        <v>27</v>
      </c>
      <c r="N419" s="28"/>
      <c r="O419" s="98"/>
      <c r="P419" s="100"/>
      <c r="Q419" s="34" t="s">
        <v>1897</v>
      </c>
      <c r="R419" s="31" t="s">
        <v>275</v>
      </c>
      <c r="S419" s="101"/>
      <c r="T419" s="101"/>
      <c r="U419" s="102"/>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row>
    <row r="420" ht="29.25" hidden="1" customHeight="1">
      <c r="A420" s="92" t="s">
        <v>67</v>
      </c>
      <c r="B420" s="93" t="s">
        <v>1898</v>
      </c>
      <c r="C420" s="94" t="s">
        <v>1899</v>
      </c>
      <c r="D420" s="95" t="s">
        <v>1900</v>
      </c>
      <c r="E420" s="96"/>
      <c r="F420" s="122" t="s">
        <v>76</v>
      </c>
      <c r="G420" s="97">
        <v>100.0</v>
      </c>
      <c r="H420" s="22">
        <f>IF(OR(J420="",K420="",K420&lt;J420),0,NETWORKDAYS(J420,K420,fESTIVOS!$A$2:$A$53))
</f>
        <v>0</v>
      </c>
      <c r="I420" s="98">
        <v>46112.0</v>
      </c>
      <c r="J420" s="99">
        <v>46112.0</v>
      </c>
      <c r="K420" s="99"/>
      <c r="L420" s="99">
        <v>46112.0</v>
      </c>
      <c r="M420" s="27">
        <f>IF(OR(J420="",AND(L420="",TODAY()&lt;J420),AND(L420&lt;&gt;"",L420&lt;J420)),0,
   IF(L420="",
      NETWORKDAYS(J420,TODAY(),fESTIVOS!$A$2:$A$53),
      NETWORKDAYS(J420,L420,fESTIVOS!$A$2:$A$53)
   )
)
</f>
        <v>1</v>
      </c>
      <c r="N420" s="28"/>
      <c r="O420" s="98"/>
      <c r="P420" s="100"/>
      <c r="Q420" s="34" t="s">
        <v>1901</v>
      </c>
      <c r="R420" s="31" t="s">
        <v>275</v>
      </c>
      <c r="S420" s="101"/>
      <c r="T420" s="101"/>
      <c r="U420" s="102"/>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row>
    <row r="421" ht="29.25" hidden="1" customHeight="1">
      <c r="A421" s="92" t="s">
        <v>67</v>
      </c>
      <c r="B421" s="93" t="s">
        <v>1902</v>
      </c>
      <c r="C421" s="94" t="s">
        <v>1903</v>
      </c>
      <c r="D421" s="95" t="s">
        <v>1904</v>
      </c>
      <c r="E421" s="96"/>
      <c r="F421" s="122" t="s">
        <v>76</v>
      </c>
      <c r="G421" s="97">
        <v>100.0</v>
      </c>
      <c r="H421" s="22">
        <f>IF(OR(J421="",K421="",K421&lt;J421),0,NETWORKDAYS(J421,K421,fESTIVOS!$A$2:$A$53))
</f>
        <v>4</v>
      </c>
      <c r="I421" s="98">
        <v>46118.0</v>
      </c>
      <c r="J421" s="99">
        <v>46118.0</v>
      </c>
      <c r="K421" s="99">
        <v>46121.0</v>
      </c>
      <c r="L421" s="99">
        <v>46122.0</v>
      </c>
      <c r="M421" s="27">
        <f>IF(OR(J421="",AND(L421="",TODAY()&lt;J421),AND(L421&lt;&gt;"",L421&lt;J421)),0,
   IF(L421="",
      NETWORKDAYS(J421,TODAY(),fESTIVOS!$A$2:$A$53),
      NETWORKDAYS(J421,L421,fESTIVOS!$A$2:$A$53)
   )
)
</f>
        <v>5</v>
      </c>
      <c r="N421" s="28"/>
      <c r="O421" s="98"/>
      <c r="P421" s="100"/>
      <c r="Q421" s="34" t="s">
        <v>1905</v>
      </c>
      <c r="R421" s="31" t="s">
        <v>275</v>
      </c>
      <c r="S421" s="101"/>
      <c r="T421" s="101"/>
      <c r="U421" s="102"/>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row>
    <row r="422" ht="29.25" hidden="1" customHeight="1">
      <c r="A422" s="92" t="s">
        <v>67</v>
      </c>
      <c r="B422" s="93" t="s">
        <v>1906</v>
      </c>
      <c r="C422" s="94" t="s">
        <v>1907</v>
      </c>
      <c r="D422" s="95" t="s">
        <v>1908</v>
      </c>
      <c r="E422" s="96"/>
      <c r="F422" s="122" t="s">
        <v>76</v>
      </c>
      <c r="G422" s="97">
        <v>100.0</v>
      </c>
      <c r="H422" s="22">
        <f>IF(OR(J422="",K422="",K422&lt;J422),0,NETWORKDAYS(J422,K422,fESTIVOS!$A$2:$A$53))
</f>
        <v>1</v>
      </c>
      <c r="I422" s="98">
        <v>46121.0</v>
      </c>
      <c r="J422" s="99">
        <v>46121.0</v>
      </c>
      <c r="K422" s="99">
        <v>46121.0</v>
      </c>
      <c r="L422" s="99">
        <v>46125.0</v>
      </c>
      <c r="M422" s="27">
        <f>IF(OR(J422="",AND(L422="",TODAY()&lt;J422),AND(L422&lt;&gt;"",L422&lt;J422)),0,
   IF(L422="",
      NETWORKDAYS(J422,TODAY(),fESTIVOS!$A$2:$A$53),
      NETWORKDAYS(J422,L422,fESTIVOS!$A$2:$A$53)
   )
)
</f>
        <v>3</v>
      </c>
      <c r="N422" s="28"/>
      <c r="O422" s="98"/>
      <c r="P422" s="100">
        <v>46125.0</v>
      </c>
      <c r="Q422" s="34" t="s">
        <v>1909</v>
      </c>
      <c r="R422" s="31" t="s">
        <v>275</v>
      </c>
      <c r="S422" s="101"/>
      <c r="T422" s="101"/>
      <c r="U422" s="102"/>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row>
    <row r="423" ht="29.25" hidden="1" customHeight="1">
      <c r="A423" s="92" t="s">
        <v>67</v>
      </c>
      <c r="B423" s="93" t="s">
        <v>1910</v>
      </c>
      <c r="C423" s="94" t="s">
        <v>1911</v>
      </c>
      <c r="D423" s="95" t="s">
        <v>1912</v>
      </c>
      <c r="E423" s="96"/>
      <c r="F423" s="122" t="s">
        <v>76</v>
      </c>
      <c r="G423" s="97">
        <v>100.0</v>
      </c>
      <c r="H423" s="22">
        <f>IF(OR(J423="",K423="",K423&lt;J423),0,NETWORKDAYS(J423,K423,fESTIVOS!$A$2:$A$53))
</f>
        <v>0</v>
      </c>
      <c r="I423" s="98">
        <v>46113.0</v>
      </c>
      <c r="J423" s="99">
        <v>46118.0</v>
      </c>
      <c r="K423" s="99"/>
      <c r="L423" s="99">
        <v>46118.0</v>
      </c>
      <c r="M423" s="27">
        <f>IF(OR(J423="",AND(L423="",TODAY()&lt;J423),AND(L423&lt;&gt;"",L423&lt;J423)),0,
   IF(L423="",
      NETWORKDAYS(J423,TODAY(),fESTIVOS!$A$2:$A$53),
      NETWORKDAYS(J423,L423,fESTIVOS!$A$2:$A$53)
   )
)
</f>
        <v>1</v>
      </c>
      <c r="N423" s="28"/>
      <c r="O423" s="98">
        <v>46118.0</v>
      </c>
      <c r="P423" s="100">
        <v>46119.0</v>
      </c>
      <c r="Q423" s="34" t="s">
        <v>1913</v>
      </c>
      <c r="R423" s="31" t="s">
        <v>275</v>
      </c>
      <c r="S423" s="101"/>
      <c r="T423" s="101"/>
      <c r="U423" s="102"/>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row>
    <row r="424" ht="29.25" hidden="1" customHeight="1">
      <c r="A424" s="92" t="s">
        <v>67</v>
      </c>
      <c r="B424" s="93" t="s">
        <v>1914</v>
      </c>
      <c r="C424" s="94" t="s">
        <v>1915</v>
      </c>
      <c r="D424" s="95" t="s">
        <v>1916</v>
      </c>
      <c r="E424" s="96"/>
      <c r="F424" s="122" t="s">
        <v>76</v>
      </c>
      <c r="G424" s="97">
        <v>100.0</v>
      </c>
      <c r="H424" s="22">
        <f>IF(OR(J424="",K424="",K424&lt;J424),0,NETWORKDAYS(J424,K424,fESTIVOS!$A$2:$A$53))
</f>
        <v>0</v>
      </c>
      <c r="I424" s="98">
        <v>46120.0</v>
      </c>
      <c r="J424" s="99">
        <v>46120.0</v>
      </c>
      <c r="K424" s="99"/>
      <c r="L424" s="99">
        <v>46126.0</v>
      </c>
      <c r="M424" s="27">
        <f>IF(OR(J424="",AND(L424="",TODAY()&lt;J424),AND(L424&lt;&gt;"",L424&lt;J424)),0,
   IF(L424="",
      NETWORKDAYS(J424,TODAY(),fESTIVOS!$A$2:$A$53),
      NETWORKDAYS(J424,L424,fESTIVOS!$A$2:$A$53)
   )
)
</f>
        <v>5</v>
      </c>
      <c r="N424" s="28"/>
      <c r="O424" s="98"/>
      <c r="P424" s="100"/>
      <c r="Q424" s="34" t="s">
        <v>1917</v>
      </c>
      <c r="R424" s="31" t="s">
        <v>275</v>
      </c>
      <c r="S424" s="101"/>
      <c r="T424" s="101"/>
      <c r="U424" s="102"/>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row>
    <row r="425" ht="29.25" hidden="1" customHeight="1">
      <c r="A425" s="92" t="s">
        <v>67</v>
      </c>
      <c r="B425" s="93" t="s">
        <v>1918</v>
      </c>
      <c r="C425" s="94" t="s">
        <v>1919</v>
      </c>
      <c r="D425" s="95" t="s">
        <v>1920</v>
      </c>
      <c r="E425" s="96"/>
      <c r="F425" s="122" t="s">
        <v>76</v>
      </c>
      <c r="G425" s="97">
        <v>100.0</v>
      </c>
      <c r="H425" s="22">
        <f>IF(OR(J425="",K425="",K425&lt;J425),0,NETWORKDAYS(J425,K425,fESTIVOS!$A$2:$A$53))
</f>
        <v>0</v>
      </c>
      <c r="I425" s="98">
        <v>46121.0</v>
      </c>
      <c r="J425" s="99">
        <v>46121.0</v>
      </c>
      <c r="K425" s="99"/>
      <c r="L425" s="99">
        <v>46121.0</v>
      </c>
      <c r="M425" s="27">
        <f>IF(OR(J425="",AND(L425="",TODAY()&lt;J425),AND(L425&lt;&gt;"",L425&lt;J425)),0,
   IF(L425="",
      NETWORKDAYS(J425,TODAY(),fESTIVOS!$A$2:$A$53),
      NETWORKDAYS(J425,L425,fESTIVOS!$A$2:$A$53)
   )
)
</f>
        <v>1</v>
      </c>
      <c r="N425" s="28"/>
      <c r="O425" s="98"/>
      <c r="P425" s="100">
        <v>46121.0</v>
      </c>
      <c r="Q425" s="34" t="s">
        <v>1921</v>
      </c>
      <c r="R425" s="31"/>
      <c r="S425" s="101"/>
      <c r="T425" s="101"/>
      <c r="U425" s="102"/>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row>
    <row r="426" ht="29.25" customHeight="1">
      <c r="A426" s="92" t="s">
        <v>67</v>
      </c>
      <c r="B426" s="93" t="s">
        <v>1922</v>
      </c>
      <c r="C426" s="228" t="s">
        <v>1923</v>
      </c>
      <c r="D426" s="95" t="s">
        <v>1924</v>
      </c>
      <c r="E426" s="96"/>
      <c r="F426" s="122" t="s">
        <v>70</v>
      </c>
      <c r="G426" s="97">
        <v>80.0</v>
      </c>
      <c r="H426" s="22">
        <f>IF(OR(J426="",K426="",K426&lt;J426),0,NETWORKDAYS(J426,K426,fESTIVOS!$A$2:$A$53))
</f>
        <v>2</v>
      </c>
      <c r="I426" s="98">
        <v>46121.0</v>
      </c>
      <c r="J426" s="99">
        <v>46127.0</v>
      </c>
      <c r="K426" s="99">
        <v>46128.0</v>
      </c>
      <c r="L426" s="99">
        <v>46128.0</v>
      </c>
      <c r="M426" s="27">
        <f>IF(OR(J426="",AND(L426="",TODAY()&lt;J426),AND(L426&lt;&gt;"",L426&lt;J426)),0,
   IF(L426="",
      NETWORKDAYS(J426,TODAY(),fESTIVOS!$A$2:$A$53),
      NETWORKDAYS(J426,L426,fESTIVOS!$A$2:$A$53)
   )
)
</f>
        <v>2</v>
      </c>
      <c r="N426" s="28"/>
      <c r="O426" s="98">
        <v>46158.0</v>
      </c>
      <c r="P426" s="100"/>
      <c r="Q426" s="34" t="s">
        <v>1925</v>
      </c>
      <c r="R426" s="31" t="s">
        <v>275</v>
      </c>
      <c r="S426" s="101"/>
      <c r="T426" s="101"/>
      <c r="U426" s="102"/>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row>
    <row r="427" ht="41.25" hidden="1" customHeight="1">
      <c r="A427" s="92" t="s">
        <v>67</v>
      </c>
      <c r="B427" s="93" t="s">
        <v>1926</v>
      </c>
      <c r="C427" s="94" t="s">
        <v>1927</v>
      </c>
      <c r="D427" s="95" t="s">
        <v>1928</v>
      </c>
      <c r="E427" s="96"/>
      <c r="F427" s="122" t="s">
        <v>76</v>
      </c>
      <c r="G427" s="97">
        <v>100.0</v>
      </c>
      <c r="H427" s="22">
        <f>IF(OR(J427="",K427="",K427&lt;J427),0,NETWORKDAYS(J427,K427,fESTIVOS!$A$2:$A$53))
</f>
        <v>0</v>
      </c>
      <c r="I427" s="98">
        <v>46142.0</v>
      </c>
      <c r="J427" s="99">
        <v>46142.0</v>
      </c>
      <c r="K427" s="99"/>
      <c r="L427" s="99">
        <v>46142.0</v>
      </c>
      <c r="M427" s="27">
        <f>IF(OR(J427="",AND(L427="",TODAY()&lt;J427),AND(L427&lt;&gt;"",L427&lt;J427)),0,
   IF(L427="",
      NETWORKDAYS(J427,TODAY(),fESTIVOS!$A$2:$A$53),
      NETWORKDAYS(J427,L427,fESTIVOS!$A$2:$A$53)
   )
)
</f>
        <v>1</v>
      </c>
      <c r="N427" s="28"/>
      <c r="O427" s="98"/>
      <c r="P427" s="100"/>
      <c r="Q427" s="34"/>
      <c r="R427" s="31" t="s">
        <v>275</v>
      </c>
      <c r="S427" s="101"/>
      <c r="T427" s="101"/>
      <c r="U427" s="102"/>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row>
    <row r="428" ht="41.25" hidden="1" customHeight="1">
      <c r="A428" s="92" t="s">
        <v>67</v>
      </c>
      <c r="B428" s="93" t="s">
        <v>1929</v>
      </c>
      <c r="C428" s="94" t="s">
        <v>1930</v>
      </c>
      <c r="D428" s="95" t="s">
        <v>1931</v>
      </c>
      <c r="E428" s="96"/>
      <c r="F428" s="122" t="s">
        <v>76</v>
      </c>
      <c r="G428" s="97">
        <v>100.0</v>
      </c>
      <c r="H428" s="22">
        <f>IF(OR(J428="",K428="",K428&lt;J428),0,NETWORKDAYS(J428,K428,fESTIVOS!$A$2:$A$53))
</f>
        <v>0</v>
      </c>
      <c r="I428" s="98">
        <v>46136.0</v>
      </c>
      <c r="J428" s="99">
        <v>46141.0</v>
      </c>
      <c r="K428" s="99"/>
      <c r="L428" s="99">
        <v>46142.0</v>
      </c>
      <c r="M428" s="27">
        <f>IF(OR(J428="",AND(L428="",TODAY()&lt;J428),AND(L428&lt;&gt;"",L428&lt;J428)),0,
   IF(L428="",
      NETWORKDAYS(J428,TODAY(),fESTIVOS!$A$2:$A$53),
      NETWORKDAYS(J428,L428,fESTIVOS!$A$2:$A$53)
   )
)
</f>
        <v>2</v>
      </c>
      <c r="N428" s="28"/>
      <c r="O428" s="98">
        <v>46142.0</v>
      </c>
      <c r="P428" s="100">
        <v>46142.0</v>
      </c>
      <c r="Q428" s="34" t="s">
        <v>1932</v>
      </c>
      <c r="R428" s="31" t="s">
        <v>275</v>
      </c>
      <c r="S428" s="101"/>
      <c r="T428" s="101"/>
      <c r="U428" s="102"/>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row>
    <row r="429" ht="29.25" hidden="1" customHeight="1">
      <c r="A429" s="92" t="s">
        <v>67</v>
      </c>
      <c r="B429" s="93" t="s">
        <v>1933</v>
      </c>
      <c r="C429" s="94" t="s">
        <v>1934</v>
      </c>
      <c r="D429" s="95" t="s">
        <v>1935</v>
      </c>
      <c r="E429" s="96"/>
      <c r="F429" s="122" t="s">
        <v>76</v>
      </c>
      <c r="G429" s="97">
        <v>100.0</v>
      </c>
      <c r="H429" s="22">
        <f>IF(OR(J429="",K429="",K429&lt;J429),0,NETWORKDAYS(J429,K429,fESTIVOS!$A$2:$A$53))
</f>
        <v>2</v>
      </c>
      <c r="I429" s="98">
        <v>46132.0</v>
      </c>
      <c r="J429" s="99">
        <v>46140.0</v>
      </c>
      <c r="K429" s="99">
        <v>46141.0</v>
      </c>
      <c r="L429" s="99">
        <v>46141.0</v>
      </c>
      <c r="M429" s="27">
        <f>IF(OR(J429="",AND(L429="",TODAY()&lt;J429),AND(L429&lt;&gt;"",L429&lt;J429)),0,
   IF(L429="",
      NETWORKDAYS(J429,TODAY(),fESTIVOS!$A$2:$A$53),
      NETWORKDAYS(J429,L429,fESTIVOS!$A$2:$A$53)
   )
)
</f>
        <v>2</v>
      </c>
      <c r="N429" s="28"/>
      <c r="O429" s="98">
        <v>46141.0</v>
      </c>
      <c r="P429" s="100">
        <v>46141.0</v>
      </c>
      <c r="Q429" s="34" t="s">
        <v>1936</v>
      </c>
      <c r="R429" s="31" t="s">
        <v>208</v>
      </c>
      <c r="S429" s="101"/>
      <c r="T429" s="101"/>
      <c r="U429" s="102"/>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row>
    <row r="430" ht="41.25" hidden="1" customHeight="1">
      <c r="A430" s="92" t="s">
        <v>67</v>
      </c>
      <c r="B430" s="93" t="s">
        <v>1937</v>
      </c>
      <c r="C430" s="94" t="s">
        <v>1938</v>
      </c>
      <c r="D430" s="95"/>
      <c r="E430" s="96"/>
      <c r="F430" s="122" t="s">
        <v>76</v>
      </c>
      <c r="G430" s="97">
        <v>100.0</v>
      </c>
      <c r="H430" s="22">
        <f>IF(OR(J430="",K430="",K430&lt;J430),0,NETWORKDAYS(J430,K430,fESTIVOS!$A$2:$A$53))
</f>
        <v>0</v>
      </c>
      <c r="I430" s="98">
        <v>46175.0</v>
      </c>
      <c r="J430" s="99">
        <v>46175.0</v>
      </c>
      <c r="K430" s="99"/>
      <c r="L430" s="99">
        <v>46175.0</v>
      </c>
      <c r="M430" s="27">
        <f>IF(OR(J430="",AND(L430="",TODAY()&lt;J430),AND(L430&lt;&gt;"",L430&lt;J430)),0,
   IF(L430="",
      NETWORKDAYS(J430,TODAY(),fESTIVOS!$A$2:$A$53),
      NETWORKDAYS(J430,L430,fESTIVOS!$A$2:$A$53)
   )
)
</f>
        <v>1</v>
      </c>
      <c r="N430" s="28"/>
      <c r="O430" s="98"/>
      <c r="P430" s="100"/>
      <c r="Q430" s="34" t="s">
        <v>1939</v>
      </c>
      <c r="R430" s="31" t="s">
        <v>275</v>
      </c>
      <c r="S430" s="101"/>
      <c r="T430" s="101"/>
      <c r="U430" s="102"/>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row>
    <row r="431" ht="41.25" hidden="1" customHeight="1">
      <c r="A431" s="92" t="s">
        <v>67</v>
      </c>
      <c r="B431" s="93" t="s">
        <v>1940</v>
      </c>
      <c r="C431" s="94" t="s">
        <v>1941</v>
      </c>
      <c r="D431" s="95"/>
      <c r="E431" s="96"/>
      <c r="F431" s="122" t="s">
        <v>76</v>
      </c>
      <c r="G431" s="97">
        <v>100.0</v>
      </c>
      <c r="H431" s="22">
        <f>IF(OR(J431="",K431="",K431&lt;J431),0,NETWORKDAYS(J431,K431,fESTIVOS!$A$2:$A$53))
</f>
        <v>0</v>
      </c>
      <c r="I431" s="98">
        <v>46178.0</v>
      </c>
      <c r="J431" s="99">
        <v>46178.0</v>
      </c>
      <c r="K431" s="99"/>
      <c r="L431" s="99">
        <v>46178.0</v>
      </c>
      <c r="M431" s="27">
        <f>IF(OR(J431="",AND(L431="",TODAY()&lt;J431),AND(L431&lt;&gt;"",L431&lt;J431)),0,
   IF(L431="",
      NETWORKDAYS(J431,TODAY(),fESTIVOS!$A$2:$A$53),
      NETWORKDAYS(J431,L431,fESTIVOS!$A$2:$A$53)
   )
)
</f>
        <v>1</v>
      </c>
      <c r="N431" s="162"/>
      <c r="O431" s="98"/>
      <c r="P431" s="100"/>
      <c r="Q431" s="34" t="s">
        <v>1942</v>
      </c>
      <c r="R431" s="31" t="s">
        <v>275</v>
      </c>
      <c r="S431" s="101"/>
      <c r="T431" s="101"/>
      <c r="U431" s="102"/>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row>
    <row r="432" ht="41.25" hidden="1" customHeight="1">
      <c r="A432" s="92" t="s">
        <v>67</v>
      </c>
      <c r="B432" s="93" t="s">
        <v>1943</v>
      </c>
      <c r="C432" s="94" t="s">
        <v>1944</v>
      </c>
      <c r="D432" s="95" t="s">
        <v>1945</v>
      </c>
      <c r="E432" s="96"/>
      <c r="F432" s="122" t="s">
        <v>76</v>
      </c>
      <c r="G432" s="97">
        <v>100.0</v>
      </c>
      <c r="H432" s="22">
        <f>IF(OR(J432="",K432="",K432&lt;J432),0,NETWORKDAYS(J432,K432,fESTIVOS!$A$2:$A$53))
</f>
        <v>0</v>
      </c>
      <c r="I432" s="98">
        <v>46182.0</v>
      </c>
      <c r="J432" s="99">
        <v>46182.0</v>
      </c>
      <c r="K432" s="99"/>
      <c r="L432" s="99">
        <v>46183.0</v>
      </c>
      <c r="M432" s="27">
        <f>IF(OR(J432="",AND(L432="",TODAY()&lt;J432),AND(L432&lt;&gt;"",L432&lt;J432)),0,
   IF(L432="",
      NETWORKDAYS(J432,TODAY(),fESTIVOS!$A$2:$A$53),
      NETWORKDAYS(J432,L432,fESTIVOS!$A$2:$A$53)
   )
)
</f>
        <v>2</v>
      </c>
      <c r="N432" s="175">
        <v>46183.0</v>
      </c>
      <c r="O432" s="98"/>
      <c r="P432" s="100"/>
      <c r="Q432" s="34" t="s">
        <v>1946</v>
      </c>
      <c r="R432" s="31" t="s">
        <v>275</v>
      </c>
      <c r="S432" s="101"/>
      <c r="T432" s="101"/>
      <c r="U432" s="102"/>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row>
    <row r="433" ht="41.25" customHeight="1">
      <c r="A433" s="92" t="s">
        <v>67</v>
      </c>
      <c r="B433" s="93" t="s">
        <v>1947</v>
      </c>
      <c r="C433" s="94" t="s">
        <v>1948</v>
      </c>
      <c r="D433" s="95" t="s">
        <v>1949</v>
      </c>
      <c r="E433" s="96"/>
      <c r="F433" s="122" t="s">
        <v>76</v>
      </c>
      <c r="G433" s="97">
        <v>100.0</v>
      </c>
      <c r="H433" s="22">
        <f>IF(OR(J433="",K433="",K433&lt;J433),0,NETWORKDAYS(J433,K433,fESTIVOS!$A$2:$A$53))
</f>
        <v>0</v>
      </c>
      <c r="I433" s="98">
        <v>46189.0</v>
      </c>
      <c r="J433" s="99">
        <v>46189.0</v>
      </c>
      <c r="K433" s="99"/>
      <c r="L433" s="99">
        <v>46189.0</v>
      </c>
      <c r="M433" s="27">
        <f>IF(OR(J433="",AND(L433="",TODAY()&lt;J433),AND(L433&lt;&gt;"",L433&lt;J433)),0,
   IF(L433="",
      NETWORKDAYS(J433,TODAY(),fESTIVOS!$A$2:$A$53),
      NETWORKDAYS(J433,L433,fESTIVOS!$A$2:$A$53)
   )
)
</f>
        <v>1</v>
      </c>
      <c r="N433" s="102"/>
      <c r="O433" s="98"/>
      <c r="P433" s="100"/>
      <c r="Q433" s="34" t="s">
        <v>1950</v>
      </c>
      <c r="R433" s="31" t="s">
        <v>275</v>
      </c>
      <c r="S433" s="101"/>
      <c r="T433" s="101"/>
      <c r="U433" s="102"/>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row>
    <row r="434" ht="41.25" customHeight="1">
      <c r="A434" s="92" t="s">
        <v>67</v>
      </c>
      <c r="B434" s="93" t="s">
        <v>1951</v>
      </c>
      <c r="C434" s="94" t="s">
        <v>1952</v>
      </c>
      <c r="D434" s="95" t="s">
        <v>1953</v>
      </c>
      <c r="E434" s="96"/>
      <c r="F434" s="122" t="s">
        <v>216</v>
      </c>
      <c r="G434" s="97">
        <v>90.0</v>
      </c>
      <c r="H434" s="22">
        <f>IF(OR(J434="",K434="",K434&lt;J434),0,NETWORKDAYS(J434,K434,fESTIVOS!$A$2:$A$53))
</f>
        <v>0</v>
      </c>
      <c r="I434" s="98">
        <v>46182.0</v>
      </c>
      <c r="J434" s="99">
        <v>46185.0</v>
      </c>
      <c r="K434" s="99"/>
      <c r="L434" s="99">
        <v>46185.0</v>
      </c>
      <c r="M434" s="27">
        <f>IF(OR(J434="",AND(L434="",TODAY()&lt;J434),AND(L434&lt;&gt;"",L434&lt;J434)),0,
   IF(L434="",
      NETWORKDAYS(J434,TODAY(),fESTIVOS!$A$2:$A$53),
      NETWORKDAYS(J434,L434,fESTIVOS!$A$2:$A$53)
   )
)
</f>
        <v>1</v>
      </c>
      <c r="N434" s="175">
        <v>46185.0</v>
      </c>
      <c r="O434" s="98"/>
      <c r="P434" s="100"/>
      <c r="Q434" s="34" t="s">
        <v>1954</v>
      </c>
      <c r="R434" s="31" t="s">
        <v>275</v>
      </c>
      <c r="S434" s="101"/>
      <c r="T434" s="101"/>
      <c r="U434" s="102"/>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row>
    <row r="435" ht="41.25" customHeight="1">
      <c r="A435" s="92" t="s">
        <v>67</v>
      </c>
      <c r="B435" s="93" t="s">
        <v>1955</v>
      </c>
      <c r="C435" s="94" t="s">
        <v>1956</v>
      </c>
      <c r="D435" s="95" t="s">
        <v>1957</v>
      </c>
      <c r="E435" s="96"/>
      <c r="F435" s="122" t="s">
        <v>216</v>
      </c>
      <c r="G435" s="97">
        <v>25.0</v>
      </c>
      <c r="H435" s="22">
        <f>IF(OR(J435="",K435="",K435&lt;J435),0,NETWORKDAYS(J435,K435,fESTIVOS!$A$2:$A$53))
</f>
        <v>0</v>
      </c>
      <c r="I435" s="98">
        <v>46170.0</v>
      </c>
      <c r="J435" s="99">
        <v>46170.0</v>
      </c>
      <c r="K435" s="99"/>
      <c r="L435" s="99"/>
      <c r="M435" s="27">
        <f>IF(OR(J435="",AND(L435="",TODAY()&lt;J435),AND(L435&lt;&gt;"",L435&lt;J435)),0,
   IF(L435="",
      NETWORKDAYS(J435,TODAY(),fESTIVOS!$A$2:$A$53),
      NETWORKDAYS(J435,L435,fESTIVOS!$A$2:$A$53)
   )
)
</f>
        <v>12</v>
      </c>
      <c r="N435" s="28"/>
      <c r="O435" s="98"/>
      <c r="P435" s="100"/>
      <c r="Q435" s="34" t="s">
        <v>1958</v>
      </c>
      <c r="R435" s="31" t="s">
        <v>275</v>
      </c>
      <c r="S435" s="101"/>
      <c r="T435" s="101"/>
      <c r="U435" s="102"/>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row>
    <row r="436" ht="41.25" hidden="1" customHeight="1">
      <c r="A436" s="92" t="s">
        <v>67</v>
      </c>
      <c r="B436" s="93" t="s">
        <v>1959</v>
      </c>
      <c r="C436" s="94" t="s">
        <v>1960</v>
      </c>
      <c r="D436" s="95" t="s">
        <v>1961</v>
      </c>
      <c r="E436" s="96"/>
      <c r="F436" s="122" t="s">
        <v>76</v>
      </c>
      <c r="G436" s="97">
        <v>100.0</v>
      </c>
      <c r="H436" s="22">
        <f>IF(OR(J436="",K436="",K436&lt;J436),0,NETWORKDAYS(J436,K436,fESTIVOS!$A$2:$A$53))
</f>
        <v>0</v>
      </c>
      <c r="I436" s="98">
        <v>46177.0</v>
      </c>
      <c r="J436" s="99">
        <v>46182.0</v>
      </c>
      <c r="K436" s="99"/>
      <c r="L436" s="99">
        <v>46183.0</v>
      </c>
      <c r="M436" s="27">
        <f>IF(OR(J436="",AND(L436="",TODAY()&lt;J436),AND(L436&lt;&gt;"",L436&lt;J436)),0,
   IF(L436="",
      NETWORKDAYS(J436,TODAY(),fESTIVOS!$A$2:$A$53),
      NETWORKDAYS(J436,L436,fESTIVOS!$A$2:$A$53)
   )
)
</f>
        <v>2</v>
      </c>
      <c r="N436" s="28"/>
      <c r="O436" s="98"/>
      <c r="P436" s="100"/>
      <c r="Q436" s="34" t="s">
        <v>1962</v>
      </c>
      <c r="R436" s="31" t="s">
        <v>275</v>
      </c>
      <c r="S436" s="101"/>
      <c r="T436" s="101"/>
      <c r="U436" s="102"/>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row>
    <row r="437" ht="41.25" hidden="1" customHeight="1">
      <c r="A437" s="92" t="s">
        <v>67</v>
      </c>
      <c r="B437" s="93" t="s">
        <v>1963</v>
      </c>
      <c r="C437" s="94" t="s">
        <v>1964</v>
      </c>
      <c r="D437" s="95" t="s">
        <v>1965</v>
      </c>
      <c r="E437" s="96"/>
      <c r="F437" s="122" t="s">
        <v>76</v>
      </c>
      <c r="G437" s="97">
        <v>100.0</v>
      </c>
      <c r="H437" s="22">
        <f>IF(OR(J437="",K437="",K437&lt;J437),0,NETWORKDAYS(J437,K437,fESTIVOS!$A$2:$A$53))
</f>
        <v>0</v>
      </c>
      <c r="I437" s="98">
        <v>46147.0</v>
      </c>
      <c r="J437" s="99">
        <v>46147.0</v>
      </c>
      <c r="K437" s="99"/>
      <c r="L437" s="99">
        <v>46171.0</v>
      </c>
      <c r="M437" s="27">
        <f>IF(OR(J437="",AND(L437="",TODAY()&lt;J437),AND(L437&lt;&gt;"",L437&lt;J437)),0,
   IF(L437="",
      NETWORKDAYS(J437,TODAY(),fESTIVOS!$A$2:$A$53),
      NETWORKDAYS(J437,L437,fESTIVOS!$A$2:$A$53)
   )
)
</f>
        <v>18</v>
      </c>
      <c r="N437" s="28"/>
      <c r="O437" s="98"/>
      <c r="P437" s="100"/>
      <c r="Q437" s="34" t="s">
        <v>1966</v>
      </c>
      <c r="R437" s="31" t="s">
        <v>208</v>
      </c>
      <c r="S437" s="101"/>
      <c r="T437" s="101"/>
      <c r="U437" s="102"/>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row>
    <row r="438" ht="41.25" customHeight="1">
      <c r="A438" s="92" t="s">
        <v>67</v>
      </c>
      <c r="B438" s="93" t="s">
        <v>1967</v>
      </c>
      <c r="C438" s="94" t="s">
        <v>1968</v>
      </c>
      <c r="D438" s="95"/>
      <c r="E438" s="96"/>
      <c r="F438" s="122" t="s">
        <v>686</v>
      </c>
      <c r="G438" s="97"/>
      <c r="H438" s="22">
        <f>IF(OR(J438="",K438="",K438&lt;J438),0,NETWORKDAYS(J438,K438,fESTIVOS!$A$2:$A$53))
</f>
        <v>0</v>
      </c>
      <c r="I438" s="98">
        <v>46176.0</v>
      </c>
      <c r="J438" s="99">
        <v>46176.0</v>
      </c>
      <c r="K438" s="99"/>
      <c r="L438" s="99"/>
      <c r="M438" s="27">
        <f>IF(OR(J438="",AND(L438="",TODAY()&lt;J438),AND(L438&lt;&gt;"",L438&lt;J438)),0,
   IF(L438="",
      NETWORKDAYS(J438,TODAY(),fESTIVOS!$A$2:$A$53),
      NETWORKDAYS(J438,L438,fESTIVOS!$A$2:$A$53)
   )
)
</f>
        <v>8</v>
      </c>
      <c r="N438" s="28"/>
      <c r="O438" s="98"/>
      <c r="P438" s="100"/>
      <c r="Q438" s="34" t="s">
        <v>1969</v>
      </c>
      <c r="R438" s="31" t="s">
        <v>208</v>
      </c>
      <c r="S438" s="101"/>
      <c r="T438" s="101"/>
      <c r="U438" s="102"/>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row>
    <row r="439" ht="41.25" customHeight="1">
      <c r="A439" s="92" t="s">
        <v>67</v>
      </c>
      <c r="B439" s="93" t="s">
        <v>1970</v>
      </c>
      <c r="C439" s="94" t="s">
        <v>1971</v>
      </c>
      <c r="D439" s="95"/>
      <c r="E439" s="96"/>
      <c r="F439" s="122" t="s">
        <v>216</v>
      </c>
      <c r="G439" s="97">
        <v>90.0</v>
      </c>
      <c r="H439" s="22">
        <f>IF(OR(J439="",K439="",K439&lt;J439),0,NETWORKDAYS(J439,K439,fESTIVOS!$A$2:$A$53))
</f>
        <v>0</v>
      </c>
      <c r="I439" s="98">
        <v>46150.0</v>
      </c>
      <c r="J439" s="99">
        <v>46150.0</v>
      </c>
      <c r="K439" s="99"/>
      <c r="L439" s="99"/>
      <c r="M439" s="27">
        <f>IF(OR(J439="",AND(L439="",TODAY()&lt;J439),AND(L439&lt;&gt;"",L439&lt;J439)),0,
   IF(L439="",
      NETWORKDAYS(J439,TODAY(),fESTIVOS!$A$2:$A$53),
      NETWORKDAYS(J439,L439,fESTIVOS!$A$2:$A$53)
   )
)
</f>
        <v>25</v>
      </c>
      <c r="N439" s="28"/>
      <c r="O439" s="98"/>
      <c r="P439" s="100"/>
      <c r="Q439" s="34" t="s">
        <v>1972</v>
      </c>
      <c r="R439" s="31" t="s">
        <v>275</v>
      </c>
      <c r="S439" s="101"/>
      <c r="T439" s="101"/>
      <c r="U439" s="102"/>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row>
    <row r="440" ht="41.25" hidden="1" customHeight="1">
      <c r="A440" s="92" t="s">
        <v>67</v>
      </c>
      <c r="B440" s="93" t="s">
        <v>1973</v>
      </c>
      <c r="C440" s="94" t="s">
        <v>1974</v>
      </c>
      <c r="D440" s="95"/>
      <c r="E440" s="96"/>
      <c r="F440" s="122" t="s">
        <v>76</v>
      </c>
      <c r="G440" s="97">
        <v>100.0</v>
      </c>
      <c r="H440" s="22">
        <f>IF(OR(J440="",K440="",K440&lt;J440),0,NETWORKDAYS(J440,K440,fESTIVOS!$A$2:$A$53))
</f>
        <v>3</v>
      </c>
      <c r="I440" s="98">
        <v>46156.0</v>
      </c>
      <c r="J440" s="99">
        <v>46156.0</v>
      </c>
      <c r="K440" s="99">
        <v>46161.0</v>
      </c>
      <c r="L440" s="99">
        <v>46164.0</v>
      </c>
      <c r="M440" s="27">
        <f>IF(OR(J440="",AND(L440="",TODAY()&lt;J440),AND(L440&lt;&gt;"",L440&lt;J440)),0,
   IF(L440="",
      NETWORKDAYS(J440,TODAY(),fESTIVOS!$A$2:$A$53),
      NETWORKDAYS(J440,L440,fESTIVOS!$A$2:$A$53)
   )
)
</f>
        <v>6</v>
      </c>
      <c r="N440" s="28"/>
      <c r="O440" s="98"/>
      <c r="P440" s="100"/>
      <c r="Q440" s="34" t="s">
        <v>1975</v>
      </c>
      <c r="R440" s="31" t="s">
        <v>275</v>
      </c>
      <c r="S440" s="101"/>
      <c r="T440" s="101"/>
      <c r="U440" s="102"/>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row>
    <row r="441" ht="41.25" hidden="1" customHeight="1">
      <c r="A441" s="92" t="s">
        <v>67</v>
      </c>
      <c r="B441" s="93" t="s">
        <v>1976</v>
      </c>
      <c r="C441" s="94" t="s">
        <v>1977</v>
      </c>
      <c r="D441" s="95"/>
      <c r="E441" s="96"/>
      <c r="F441" s="122" t="s">
        <v>76</v>
      </c>
      <c r="G441" s="97">
        <v>100.0</v>
      </c>
      <c r="H441" s="22">
        <f>IF(OR(J441="",K441="",K441&lt;J441),0,NETWORKDAYS(J441,K441,fESTIVOS!$A$2:$A$53))
</f>
        <v>0</v>
      </c>
      <c r="I441" s="98">
        <v>46156.0</v>
      </c>
      <c r="J441" s="99">
        <v>46161.0</v>
      </c>
      <c r="K441" s="99"/>
      <c r="L441" s="99">
        <v>46167.0</v>
      </c>
      <c r="M441" s="27">
        <f>IF(OR(J441="",AND(L441="",TODAY()&lt;J441),AND(L441&lt;&gt;"",L441&lt;J441)),0,
   IF(L441="",
      NETWORKDAYS(J441,TODAY(),fESTIVOS!$A$2:$A$53),
      NETWORKDAYS(J441,L441,fESTIVOS!$A$2:$A$53)
   )
)
</f>
        <v>5</v>
      </c>
      <c r="N441" s="28"/>
      <c r="O441" s="98"/>
      <c r="P441" s="100"/>
      <c r="Q441" s="34" t="s">
        <v>1978</v>
      </c>
      <c r="R441" s="31" t="s">
        <v>275</v>
      </c>
      <c r="S441" s="101"/>
      <c r="T441" s="101"/>
      <c r="U441" s="102"/>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row>
    <row r="442" ht="41.25" hidden="1" customHeight="1">
      <c r="A442" s="92" t="s">
        <v>67</v>
      </c>
      <c r="B442" s="93" t="s">
        <v>1979</v>
      </c>
      <c r="C442" s="94" t="s">
        <v>1980</v>
      </c>
      <c r="D442" s="95"/>
      <c r="E442" s="96"/>
      <c r="F442" s="122" t="s">
        <v>76</v>
      </c>
      <c r="G442" s="97">
        <v>100.0</v>
      </c>
      <c r="H442" s="22">
        <f>IF(OR(J442="",K442="",K442&lt;J442),0,NETWORKDAYS(J442,K442,fESTIVOS!$A$2:$A$53))
</f>
        <v>0</v>
      </c>
      <c r="I442" s="98">
        <v>46156.0</v>
      </c>
      <c r="J442" s="99">
        <v>46157.0</v>
      </c>
      <c r="K442" s="99"/>
      <c r="L442" s="99">
        <v>46157.0</v>
      </c>
      <c r="M442" s="27">
        <f>IF(OR(J442="",AND(L442="",TODAY()&lt;J442),AND(L442&lt;&gt;"",L442&lt;J442)),0,
   IF(L442="",
      NETWORKDAYS(J442,TODAY(),fESTIVOS!$A$2:$A$53),
      NETWORKDAYS(J442,L442,fESTIVOS!$A$2:$A$53)
   )
)
</f>
        <v>1</v>
      </c>
      <c r="N442" s="28"/>
      <c r="O442" s="98"/>
      <c r="P442" s="100"/>
      <c r="Q442" s="34" t="s">
        <v>1981</v>
      </c>
      <c r="R442" s="31" t="s">
        <v>275</v>
      </c>
      <c r="S442" s="101"/>
      <c r="T442" s="101"/>
      <c r="U442" s="102"/>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row>
    <row r="443" ht="41.25" customHeight="1">
      <c r="A443" s="92" t="s">
        <v>67</v>
      </c>
      <c r="B443" s="93" t="s">
        <v>1982</v>
      </c>
      <c r="C443" s="94" t="s">
        <v>1983</v>
      </c>
      <c r="D443" s="95"/>
      <c r="E443" s="96"/>
      <c r="F443" s="122" t="s">
        <v>245</v>
      </c>
      <c r="G443" s="97">
        <v>98.0</v>
      </c>
      <c r="H443" s="22">
        <f>IF(OR(J443="",K443="",K443&lt;J443),0,NETWORKDAYS(J443,K443,fESTIVOS!$A$2:$A$53))
</f>
        <v>2</v>
      </c>
      <c r="I443" s="98">
        <v>46161.0</v>
      </c>
      <c r="J443" s="99">
        <v>46161.0</v>
      </c>
      <c r="K443" s="99">
        <v>46162.0</v>
      </c>
      <c r="L443" s="99"/>
      <c r="M443" s="27">
        <f>IF(OR(J443="",AND(L443="",TODAY()&lt;J443),AND(L443&lt;&gt;"",L443&lt;J443)),0,
   IF(L443="",
      NETWORKDAYS(J443,TODAY(),fESTIVOS!$A$2:$A$53),
      NETWORKDAYS(J443,L443,fESTIVOS!$A$2:$A$53)
   )
)
</f>
        <v>19</v>
      </c>
      <c r="N443" s="28"/>
      <c r="O443" s="98"/>
      <c r="P443" s="100"/>
      <c r="Q443" s="34" t="s">
        <v>1984</v>
      </c>
      <c r="R443" s="31" t="s">
        <v>275</v>
      </c>
      <c r="S443" s="101"/>
      <c r="T443" s="101"/>
      <c r="U443" s="102"/>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row>
    <row r="444" ht="41.25" customHeight="1">
      <c r="A444" s="92" t="s">
        <v>67</v>
      </c>
      <c r="B444" s="93" t="s">
        <v>1985</v>
      </c>
      <c r="C444" s="94" t="s">
        <v>1986</v>
      </c>
      <c r="D444" s="95"/>
      <c r="E444" s="96"/>
      <c r="F444" s="122" t="s">
        <v>245</v>
      </c>
      <c r="G444" s="97">
        <v>98.0</v>
      </c>
      <c r="H444" s="22">
        <f>IF(OR(J444="",K444="",K444&lt;J444),0,NETWORKDAYS(J444,K444,fESTIVOS!$A$2:$A$53))
</f>
        <v>0</v>
      </c>
      <c r="I444" s="98">
        <v>46163.0</v>
      </c>
      <c r="J444" s="99">
        <v>46163.0</v>
      </c>
      <c r="K444" s="99"/>
      <c r="L444" s="99"/>
      <c r="M444" s="27">
        <f>IF(OR(J444="",AND(L444="",TODAY()&lt;J444),AND(L444&lt;&gt;"",L444&lt;J444)),0,
   IF(L444="",
      NETWORKDAYS(J444,TODAY(),fESTIVOS!$A$2:$A$53),
      NETWORKDAYS(J444,L444,fESTIVOS!$A$2:$A$53)
   )
)
</f>
        <v>17</v>
      </c>
      <c r="N444" s="28"/>
      <c r="O444" s="98"/>
      <c r="P444" s="100"/>
      <c r="Q444" s="34" t="s">
        <v>1987</v>
      </c>
      <c r="R444" s="31" t="s">
        <v>275</v>
      </c>
      <c r="S444" s="101"/>
      <c r="T444" s="101"/>
      <c r="U444" s="102"/>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row>
    <row r="445" ht="41.25" hidden="1" customHeight="1">
      <c r="A445" s="92" t="s">
        <v>67</v>
      </c>
      <c r="B445" s="93" t="s">
        <v>1988</v>
      </c>
      <c r="C445" s="94" t="s">
        <v>1989</v>
      </c>
      <c r="D445" s="95" t="s">
        <v>1990</v>
      </c>
      <c r="E445" s="96"/>
      <c r="F445" s="122" t="s">
        <v>76</v>
      </c>
      <c r="G445" s="97">
        <v>100.0</v>
      </c>
      <c r="H445" s="22">
        <f>IF(OR(J445="",K445="",K445&lt;J445),0,NETWORKDAYS(J445,K445,fESTIVOS!$A$2:$A$53))
</f>
        <v>0</v>
      </c>
      <c r="I445" s="98">
        <v>46169.0</v>
      </c>
      <c r="J445" s="99">
        <v>46169.0</v>
      </c>
      <c r="K445" s="99"/>
      <c r="L445" s="99">
        <v>46169.0</v>
      </c>
      <c r="M445" s="27">
        <f>IF(OR(J445="",AND(L445="",TODAY()&lt;J445),AND(L445&lt;&gt;"",L445&lt;J445)),0,
   IF(L445="",
      NETWORKDAYS(J445,TODAY(),fESTIVOS!$A$2:$A$53),
      NETWORKDAYS(J445,L445,fESTIVOS!$A$2:$A$53)
   )
)
</f>
        <v>1</v>
      </c>
      <c r="N445" s="28"/>
      <c r="O445" s="98"/>
      <c r="P445" s="100">
        <v>46169.0</v>
      </c>
      <c r="Q445" s="34" t="s">
        <v>1991</v>
      </c>
      <c r="R445" s="31" t="s">
        <v>275</v>
      </c>
      <c r="S445" s="101"/>
      <c r="T445" s="101"/>
      <c r="U445" s="102"/>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row>
    <row r="446" ht="41.25" hidden="1" customHeight="1">
      <c r="A446" s="92" t="s">
        <v>67</v>
      </c>
      <c r="B446" s="93" t="s">
        <v>1992</v>
      </c>
      <c r="C446" s="94" t="s">
        <v>1993</v>
      </c>
      <c r="D446" s="95" t="s">
        <v>1994</v>
      </c>
      <c r="E446" s="96"/>
      <c r="F446" s="122" t="s">
        <v>76</v>
      </c>
      <c r="G446" s="97">
        <v>100.0</v>
      </c>
      <c r="H446" s="22">
        <f>IF(OR(J446="",K446="",K446&lt;J446),0,NETWORKDAYS(J446,K446,fESTIVOS!$A$2:$A$53))
</f>
        <v>0</v>
      </c>
      <c r="I446" s="98">
        <v>46163.0</v>
      </c>
      <c r="J446" s="99">
        <v>46171.0</v>
      </c>
      <c r="K446" s="99"/>
      <c r="L446" s="99">
        <v>46171.0</v>
      </c>
      <c r="M446" s="27">
        <f>IF(OR(J446="",AND(L446="",TODAY()&lt;J446),AND(L446&lt;&gt;"",L446&lt;J446)),0,
   IF(L446="",
      NETWORKDAYS(J446,TODAY(),fESTIVOS!$A$2:$A$53),
      NETWORKDAYS(J446,L446,fESTIVOS!$A$2:$A$53)
   )
)
</f>
        <v>1</v>
      </c>
      <c r="N446" s="105">
        <v>46174.0</v>
      </c>
      <c r="O446" s="98"/>
      <c r="P446" s="100"/>
      <c r="Q446" s="34" t="s">
        <v>1995</v>
      </c>
      <c r="R446" s="31" t="s">
        <v>208</v>
      </c>
      <c r="S446" s="101"/>
      <c r="T446" s="101"/>
      <c r="U446" s="102"/>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row>
    <row r="447" ht="41.25" customHeight="1">
      <c r="A447" s="92" t="s">
        <v>67</v>
      </c>
      <c r="B447" s="93" t="s">
        <v>1996</v>
      </c>
      <c r="C447" s="94" t="s">
        <v>1997</v>
      </c>
      <c r="D447" s="95" t="s">
        <v>1998</v>
      </c>
      <c r="E447" s="96"/>
      <c r="F447" s="122" t="s">
        <v>245</v>
      </c>
      <c r="G447" s="97">
        <v>30.0</v>
      </c>
      <c r="H447" s="22">
        <f>IF(OR(J447="",K447="",K447&lt;J447),0,NETWORKDAYS(J447,K447,fESTIVOS!$A$2:$A$53))
</f>
        <v>0</v>
      </c>
      <c r="I447" s="98">
        <v>46127.0</v>
      </c>
      <c r="J447" s="99">
        <v>46128.0</v>
      </c>
      <c r="K447" s="99"/>
      <c r="L447" s="99"/>
      <c r="M447" s="27">
        <f>IF(OR(J447="",AND(L447="",TODAY()&lt;J447),AND(L447&lt;&gt;"",L447&lt;J447)),0,
   IF(L447="",
      NETWORKDAYS(J447,TODAY(),fESTIVOS!$A$2:$A$53),
      NETWORKDAYS(J447,L447,fESTIVOS!$A$2:$A$53)
   )
)
</f>
        <v>40</v>
      </c>
      <c r="N447" s="28"/>
      <c r="O447" s="98"/>
      <c r="P447" s="100"/>
      <c r="Q447" s="34" t="s">
        <v>1999</v>
      </c>
      <c r="R447" s="31" t="s">
        <v>78</v>
      </c>
      <c r="S447" s="101"/>
      <c r="T447" s="101"/>
      <c r="U447" s="102"/>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row>
    <row r="448" ht="29.25" hidden="1" customHeight="1">
      <c r="A448" s="92" t="s">
        <v>67</v>
      </c>
      <c r="B448" s="93" t="s">
        <v>2000</v>
      </c>
      <c r="C448" s="94" t="s">
        <v>2001</v>
      </c>
      <c r="D448" s="95"/>
      <c r="E448" s="96"/>
      <c r="F448" s="122" t="s">
        <v>76</v>
      </c>
      <c r="G448" s="97">
        <v>100.0</v>
      </c>
      <c r="H448" s="22">
        <f>IF(OR(J448="",K448="",K448&lt;J448),0,NETWORKDAYS(J448,K448,fESTIVOS!$A$2:$A$53))
</f>
        <v>0</v>
      </c>
      <c r="I448" s="98">
        <v>46136.0</v>
      </c>
      <c r="J448" s="99">
        <v>46136.0</v>
      </c>
      <c r="K448" s="99"/>
      <c r="L448" s="99">
        <v>46136.0</v>
      </c>
      <c r="M448" s="27">
        <f>IF(OR(J448="",AND(L448="",TODAY()&lt;J448),AND(L448&lt;&gt;"",L448&lt;J448)),0,
   IF(L448="",
      NETWORKDAYS(J448,TODAY(),fESTIVOS!$A$2:$A$53),
      NETWORKDAYS(J448,L448,fESTIVOS!$A$2:$A$53)
   )
)
</f>
        <v>1</v>
      </c>
      <c r="N448" s="28"/>
      <c r="O448" s="98"/>
      <c r="P448" s="100"/>
      <c r="Q448" s="34" t="s">
        <v>2002</v>
      </c>
      <c r="R448" s="31" t="s">
        <v>275</v>
      </c>
      <c r="S448" s="101"/>
      <c r="T448" s="101"/>
      <c r="U448" s="102"/>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row>
    <row r="449" ht="29.25" customHeight="1">
      <c r="A449" s="92" t="s">
        <v>67</v>
      </c>
      <c r="B449" s="93" t="s">
        <v>2003</v>
      </c>
      <c r="C449" s="94" t="s">
        <v>2004</v>
      </c>
      <c r="D449" s="95"/>
      <c r="E449" s="96"/>
      <c r="F449" s="122" t="s">
        <v>229</v>
      </c>
      <c r="G449" s="97"/>
      <c r="H449" s="22">
        <f>IF(OR(J449="",K449="",K449&lt;J449),0,NETWORKDAYS(J449,K449,fESTIVOS!$A$2:$A$53))
</f>
        <v>0</v>
      </c>
      <c r="I449" s="98">
        <v>46147.0</v>
      </c>
      <c r="J449" s="99"/>
      <c r="K449" s="99"/>
      <c r="L449" s="99"/>
      <c r="M449" s="27">
        <f>IF(OR(J449="",AND(L449="",TODAY()&lt;J449),AND(L449&lt;&gt;"",L449&lt;J449)),0,
   IF(L449="",
      NETWORKDAYS(J449,TODAY(),fESTIVOS!$A$2:$A$53),
      NETWORKDAYS(J449,L449,fESTIVOS!$A$2:$A$53)
   )
)
</f>
        <v>0</v>
      </c>
      <c r="N449" s="28"/>
      <c r="O449" s="98"/>
      <c r="P449" s="100"/>
      <c r="Q449" s="34" t="s">
        <v>2005</v>
      </c>
      <c r="R449" s="31" t="s">
        <v>671</v>
      </c>
      <c r="S449" s="101"/>
      <c r="T449" s="101"/>
      <c r="U449" s="102"/>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row>
    <row r="450" ht="29.25" hidden="1" customHeight="1">
      <c r="A450" s="92" t="s">
        <v>67</v>
      </c>
      <c r="B450" s="93" t="s">
        <v>2006</v>
      </c>
      <c r="C450" s="94" t="s">
        <v>2007</v>
      </c>
      <c r="D450" s="95" t="s">
        <v>2008</v>
      </c>
      <c r="E450" s="96"/>
      <c r="F450" s="122" t="s">
        <v>76</v>
      </c>
      <c r="G450" s="97">
        <v>100.0</v>
      </c>
      <c r="H450" s="22">
        <f>IF(OR(J450="",K450="",K450&lt;J450),0,NETWORKDAYS(J450,K450,fESTIVOS!$A$2:$A$53))
</f>
        <v>0</v>
      </c>
      <c r="I450" s="98">
        <v>46184.0</v>
      </c>
      <c r="J450" s="99">
        <v>46184.0</v>
      </c>
      <c r="K450" s="99"/>
      <c r="L450" s="99">
        <v>46184.0</v>
      </c>
      <c r="M450" s="27">
        <f>IF(OR(J450="",AND(L450="",TODAY()&lt;J450),AND(L450&lt;&gt;"",L450&lt;J450)),0,
   IF(L450="",
      NETWORKDAYS(J450,TODAY(),fESTIVOS!$A$2:$A$53),
      NETWORKDAYS(J450,L450,fESTIVOS!$A$2:$A$53)
   )
)
</f>
        <v>1</v>
      </c>
      <c r="N450" s="28"/>
      <c r="O450" s="98"/>
      <c r="P450" s="100"/>
      <c r="Q450" s="34" t="s">
        <v>2009</v>
      </c>
      <c r="R450" s="31" t="s">
        <v>275</v>
      </c>
      <c r="S450" s="101"/>
      <c r="T450" s="101"/>
      <c r="U450" s="102"/>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row>
    <row r="451" ht="29.25" customHeight="1">
      <c r="A451" s="92" t="s">
        <v>67</v>
      </c>
      <c r="B451" s="93" t="s">
        <v>2010</v>
      </c>
      <c r="C451" s="94" t="s">
        <v>2011</v>
      </c>
      <c r="D451" s="95" t="s">
        <v>2012</v>
      </c>
      <c r="E451" s="96"/>
      <c r="F451" s="122" t="s">
        <v>245</v>
      </c>
      <c r="G451" s="97">
        <v>50.0</v>
      </c>
      <c r="H451" s="22">
        <f>IF(OR(J451="",K451="",K451&lt;J451),0,NETWORKDAYS(J451,K451,fESTIVOS!$A$2:$A$53))
</f>
        <v>0</v>
      </c>
      <c r="I451" s="98">
        <v>46132.0</v>
      </c>
      <c r="J451" s="99">
        <v>46132.0</v>
      </c>
      <c r="K451" s="99"/>
      <c r="L451" s="99">
        <v>46136.0</v>
      </c>
      <c r="M451" s="27">
        <f>IF(OR(J451="",AND(L451="",TODAY()&lt;J451),AND(L451&lt;&gt;"",L451&lt;J451)),0,
   IF(L451="",
      NETWORKDAYS(J451,TODAY(),fESTIVOS!$A$2:$A$53),
      NETWORKDAYS(J451,L451,fESTIVOS!$A$2:$A$53)
   )
)
</f>
        <v>5</v>
      </c>
      <c r="N451" s="28"/>
      <c r="O451" s="98"/>
      <c r="P451" s="100"/>
      <c r="Q451" s="34" t="s">
        <v>2013</v>
      </c>
      <c r="R451" s="31" t="s">
        <v>275</v>
      </c>
      <c r="S451" s="101"/>
      <c r="T451" s="101"/>
      <c r="U451" s="102"/>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row>
    <row r="452" ht="29.25" customHeight="1">
      <c r="A452" s="92" t="s">
        <v>67</v>
      </c>
      <c r="B452" s="93" t="s">
        <v>2014</v>
      </c>
      <c r="C452" s="94" t="s">
        <v>2015</v>
      </c>
      <c r="D452" s="95" t="s">
        <v>2016</v>
      </c>
      <c r="E452" s="96"/>
      <c r="F452" s="122" t="s">
        <v>686</v>
      </c>
      <c r="G452" s="97">
        <v>70.0</v>
      </c>
      <c r="H452" s="22">
        <f>IF(OR(J452="",K452="",K452&lt;J452),0,NETWORKDAYS(J452,K452,fESTIVOS!$A$2:$A$53))
</f>
        <v>0</v>
      </c>
      <c r="I452" s="98">
        <v>46132.0</v>
      </c>
      <c r="J452" s="99">
        <v>46133.0</v>
      </c>
      <c r="K452" s="99"/>
      <c r="L452" s="99"/>
      <c r="M452" s="27">
        <f>IF(OR(J452="",AND(L452="",TODAY()&lt;J452),AND(L452&lt;&gt;"",L452&lt;J452)),0,
   IF(L452="",
      NETWORKDAYS(J452,TODAY(),fESTIVOS!$A$2:$A$53),
      NETWORKDAYS(J452,L452,fESTIVOS!$A$2:$A$53)
   )
)
</f>
        <v>37</v>
      </c>
      <c r="N452" s="28"/>
      <c r="O452" s="98"/>
      <c r="P452" s="100"/>
      <c r="Q452" s="34" t="s">
        <v>2017</v>
      </c>
      <c r="R452" s="31" t="s">
        <v>72</v>
      </c>
      <c r="S452" s="101"/>
      <c r="T452" s="101"/>
      <c r="U452" s="102"/>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row>
    <row r="453" ht="29.25" hidden="1" customHeight="1">
      <c r="A453" s="92" t="s">
        <v>67</v>
      </c>
      <c r="B453" s="93" t="s">
        <v>2018</v>
      </c>
      <c r="C453" s="94" t="s">
        <v>2019</v>
      </c>
      <c r="D453" s="95" t="s">
        <v>2020</v>
      </c>
      <c r="E453" s="96"/>
      <c r="F453" s="122" t="s">
        <v>76</v>
      </c>
      <c r="G453" s="97">
        <v>100.0</v>
      </c>
      <c r="H453" s="22">
        <f>IF(OR(J453="",K453="",K453&lt;J453),0,NETWORKDAYS(J453,K453,fESTIVOS!$A$2:$A$53))
</f>
        <v>0</v>
      </c>
      <c r="I453" s="98">
        <v>46132.0</v>
      </c>
      <c r="J453" s="99">
        <v>46133.0</v>
      </c>
      <c r="K453" s="99"/>
      <c r="L453" s="99">
        <v>46133.0</v>
      </c>
      <c r="M453" s="27">
        <f>IF(OR(J453="",AND(L453="",TODAY()&lt;J453),AND(L453&lt;&gt;"",L453&lt;J453)),0,
   IF(L453="",
      NETWORKDAYS(J453,TODAY(),fESTIVOS!$A$2:$A$53),
      NETWORKDAYS(J453,L453,fESTIVOS!$A$2:$A$53)
   )
)
</f>
        <v>1</v>
      </c>
      <c r="N453" s="28"/>
      <c r="O453" s="98"/>
      <c r="P453" s="100">
        <v>46133.0</v>
      </c>
      <c r="Q453" s="34" t="s">
        <v>2021</v>
      </c>
      <c r="R453" s="31" t="s">
        <v>78</v>
      </c>
      <c r="S453" s="101"/>
      <c r="T453" s="101"/>
      <c r="U453" s="102"/>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row>
    <row r="454" ht="29.25" hidden="1" customHeight="1">
      <c r="A454" s="92" t="s">
        <v>67</v>
      </c>
      <c r="B454" s="93" t="s">
        <v>2022</v>
      </c>
      <c r="C454" s="94" t="s">
        <v>2023</v>
      </c>
      <c r="D454" s="95" t="s">
        <v>2024</v>
      </c>
      <c r="E454" s="96"/>
      <c r="F454" s="122" t="s">
        <v>76</v>
      </c>
      <c r="G454" s="97">
        <v>100.0</v>
      </c>
      <c r="H454" s="22">
        <f>IF(OR(J454="",K454="",K454&lt;J454),0,NETWORKDAYS(J454,K454,fESTIVOS!$A$2:$A$53))
</f>
        <v>0</v>
      </c>
      <c r="I454" s="98">
        <v>46133.0</v>
      </c>
      <c r="J454" s="99">
        <v>46133.0</v>
      </c>
      <c r="K454" s="99"/>
      <c r="L454" s="99">
        <v>46134.0</v>
      </c>
      <c r="M454" s="27">
        <f>IF(OR(J454="",AND(L454="",TODAY()&lt;J454),AND(L454&lt;&gt;"",L454&lt;J454)),0,
   IF(L454="",
      NETWORKDAYS(J454,TODAY(),fESTIVOS!$A$2:$A$53),
      NETWORKDAYS(J454,L454,fESTIVOS!$A$2:$A$53)
   )
)
</f>
        <v>2</v>
      </c>
      <c r="N454" s="28"/>
      <c r="O454" s="98"/>
      <c r="P454" s="100">
        <v>46134.0</v>
      </c>
      <c r="Q454" s="34" t="s">
        <v>2025</v>
      </c>
      <c r="R454" s="31" t="s">
        <v>78</v>
      </c>
      <c r="S454" s="101"/>
      <c r="T454" s="101"/>
      <c r="U454" s="102"/>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row>
    <row r="455" ht="29.25" hidden="1" customHeight="1">
      <c r="A455" s="92" t="s">
        <v>67</v>
      </c>
      <c r="B455" s="93" t="s">
        <v>2026</v>
      </c>
      <c r="C455" s="94" t="s">
        <v>2027</v>
      </c>
      <c r="D455" s="95"/>
      <c r="E455" s="96"/>
      <c r="F455" s="122" t="s">
        <v>76</v>
      </c>
      <c r="G455" s="97">
        <v>100.0</v>
      </c>
      <c r="H455" s="22">
        <f>IF(OR(J455="",K455="",K455&lt;J455),0,NETWORKDAYS(J455,K455,fESTIVOS!$A$2:$A$53))
</f>
        <v>0</v>
      </c>
      <c r="I455" s="98">
        <v>46134.0</v>
      </c>
      <c r="J455" s="99">
        <v>46134.0</v>
      </c>
      <c r="K455" s="99"/>
      <c r="L455" s="99">
        <v>46134.0</v>
      </c>
      <c r="M455" s="27">
        <f>IF(OR(J455="",AND(L455="",TODAY()&lt;J455),AND(L455&lt;&gt;"",L455&lt;J455)),0,
   IF(L455="",
      NETWORKDAYS(J455,TODAY(),fESTIVOS!$A$2:$A$53),
      NETWORKDAYS(J455,L455,fESTIVOS!$A$2:$A$53)
   )
)
</f>
        <v>1</v>
      </c>
      <c r="N455" s="28"/>
      <c r="O455" s="98"/>
      <c r="P455" s="100"/>
      <c r="Q455" s="34" t="s">
        <v>2028</v>
      </c>
      <c r="R455" s="31" t="s">
        <v>78</v>
      </c>
      <c r="S455" s="101"/>
      <c r="T455" s="101"/>
      <c r="U455" s="102"/>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row>
    <row r="456" ht="29.25" customHeight="1">
      <c r="A456" s="92" t="s">
        <v>67</v>
      </c>
      <c r="B456" s="93" t="s">
        <v>2029</v>
      </c>
      <c r="C456" s="94" t="s">
        <v>2030</v>
      </c>
      <c r="D456" s="95" t="s">
        <v>2031</v>
      </c>
      <c r="E456" s="96"/>
      <c r="F456" s="122" t="s">
        <v>245</v>
      </c>
      <c r="G456" s="97">
        <v>15.0</v>
      </c>
      <c r="H456" s="22">
        <f>IF(OR(J456="",K456="",K456&lt;J456),0,NETWORKDAYS(J456,K456,fESTIVOS!$A$2:$A$53))
</f>
        <v>0</v>
      </c>
      <c r="I456" s="98">
        <v>46056.0</v>
      </c>
      <c r="J456" s="99">
        <v>46056.0</v>
      </c>
      <c r="K456" s="99"/>
      <c r="L456" s="99"/>
      <c r="M456" s="27">
        <f>IF(OR(J456="",AND(L456="",TODAY()&lt;J456),AND(L456&lt;&gt;"",L456&lt;J456)),0,
   IF(L456="",
      NETWORKDAYS(J456,TODAY(),fESTIVOS!$A$2:$A$53),
      NETWORKDAYS(J456,L456,fESTIVOS!$A$2:$A$53)
   )
)
</f>
        <v>89</v>
      </c>
      <c r="N456" s="28"/>
      <c r="O456" s="98"/>
      <c r="P456" s="100"/>
      <c r="Q456" s="34" t="s">
        <v>2032</v>
      </c>
      <c r="R456" s="31" t="s">
        <v>93</v>
      </c>
      <c r="S456" s="101"/>
      <c r="T456" s="101"/>
      <c r="U456" s="102"/>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row>
    <row r="457" ht="29.25" hidden="1" customHeight="1">
      <c r="A457" s="92" t="s">
        <v>67</v>
      </c>
      <c r="B457" s="93" t="s">
        <v>2033</v>
      </c>
      <c r="C457" s="94" t="s">
        <v>2034</v>
      </c>
      <c r="D457" s="95"/>
      <c r="E457" s="96"/>
      <c r="F457" s="122" t="s">
        <v>76</v>
      </c>
      <c r="G457" s="97">
        <v>100.0</v>
      </c>
      <c r="H457" s="22">
        <f>IF(OR(J457="",K457="",K457&lt;J457),0,NETWORKDAYS(J457,K457,fESTIVOS!$A$2:$A$53))
</f>
        <v>0</v>
      </c>
      <c r="I457" s="98">
        <v>46072.0</v>
      </c>
      <c r="J457" s="99">
        <v>46072.0</v>
      </c>
      <c r="K457" s="99"/>
      <c r="L457" s="99">
        <v>46072.0</v>
      </c>
      <c r="M457" s="27">
        <f>IF(OR(J457="",AND(L457="",TODAY()&lt;J457),AND(L457&lt;&gt;"",L457&lt;J457)),0,
   IF(L457="",
      NETWORKDAYS(J457,TODAY(),fESTIVOS!$A$2:$A$53),
      NETWORKDAYS(J457,L457,fESTIVOS!$A$2:$A$53)
   )
)
</f>
        <v>1</v>
      </c>
      <c r="N457" s="28"/>
      <c r="O457" s="98"/>
      <c r="P457" s="100"/>
      <c r="Q457" s="34" t="s">
        <v>2035</v>
      </c>
      <c r="R457" s="31" t="s">
        <v>78</v>
      </c>
      <c r="S457" s="101"/>
      <c r="T457" s="101"/>
      <c r="U457" s="102"/>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row>
    <row r="458" ht="29.25" customHeight="1">
      <c r="A458" s="92" t="s">
        <v>67</v>
      </c>
      <c r="B458" s="93" t="s">
        <v>2036</v>
      </c>
      <c r="C458" s="94" t="s">
        <v>2037</v>
      </c>
      <c r="D458" s="95"/>
      <c r="E458" s="96"/>
      <c r="F458" s="122" t="s">
        <v>245</v>
      </c>
      <c r="G458" s="97">
        <v>70.0</v>
      </c>
      <c r="H458" s="22">
        <f>IF(OR(J458="",K458="",K458&lt;J458),0,NETWORKDAYS(J458,K458,fESTIVOS!$A$2:$A$53))
</f>
        <v>0</v>
      </c>
      <c r="I458" s="98">
        <v>46007.0</v>
      </c>
      <c r="J458" s="99">
        <v>46024.0</v>
      </c>
      <c r="K458" s="99"/>
      <c r="L458" s="99"/>
      <c r="M458" s="27">
        <f>IF(OR(J458="",AND(L458="",TODAY()&lt;J458),AND(L458&lt;&gt;"",L458&lt;J458)),0,
   IF(L458="",
      NETWORKDAYS(J458,TODAY(),fESTIVOS!$A$2:$A$53),
      NETWORKDAYS(J458,L458,fESTIVOS!$A$2:$A$53)
   )
)
</f>
        <v>110</v>
      </c>
      <c r="N458" s="28"/>
      <c r="O458" s="98"/>
      <c r="P458" s="100"/>
      <c r="Q458" s="34" t="s">
        <v>2038</v>
      </c>
      <c r="R458" s="31" t="s">
        <v>93</v>
      </c>
      <c r="S458" s="101"/>
      <c r="T458" s="101"/>
      <c r="U458" s="102"/>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row>
    <row r="459" ht="29.25" customHeight="1">
      <c r="A459" s="16" t="s">
        <v>67</v>
      </c>
      <c r="B459" s="17" t="s">
        <v>2039</v>
      </c>
      <c r="C459" s="107" t="s">
        <v>2040</v>
      </c>
      <c r="D459" s="76"/>
      <c r="E459" s="124"/>
      <c r="F459" s="20" t="s">
        <v>245</v>
      </c>
      <c r="G459" s="58">
        <v>5.0</v>
      </c>
      <c r="H459" s="22">
        <f>IF(OR(J459="",K459="",K459&lt;J459),0,NETWORKDAYS(J459,K459,fESTIVOS!$A$2:$A$53))
</f>
        <v>0</v>
      </c>
      <c r="I459" s="81">
        <v>45782.0</v>
      </c>
      <c r="J459" s="60">
        <v>45782.0</v>
      </c>
      <c r="K459" s="60"/>
      <c r="L459" s="60"/>
      <c r="M459" s="27">
        <f>IF(OR(J459="",AND(L459="",TODAY()&lt;J459),AND(L459&lt;&gt;"",L459&lt;J459)),0,
   IF(L459="",
      NETWORKDAYS(J459,TODAY(),fESTIVOS!$A$2:$A$53),
      NETWORKDAYS(J459,L459,fESTIVOS!$A$2:$A$53)
   )
)
</f>
        <v>273</v>
      </c>
      <c r="N459" s="28"/>
      <c r="O459" s="81"/>
      <c r="P459" s="100"/>
      <c r="Q459" s="103"/>
      <c r="R459" s="31" t="s">
        <v>93</v>
      </c>
      <c r="S459" s="139"/>
      <c r="T459" s="139"/>
      <c r="U459" s="102"/>
      <c r="V459" s="103"/>
      <c r="W459" s="103"/>
      <c r="X459" s="34" t="s">
        <v>2041</v>
      </c>
      <c r="Y459" s="35"/>
      <c r="Z459" s="35"/>
      <c r="AA459" s="34" t="s">
        <v>2042</v>
      </c>
      <c r="AB459" s="35"/>
      <c r="AC459" s="35"/>
      <c r="AD459" s="35"/>
      <c r="AE459" s="35"/>
      <c r="AF459" s="35"/>
      <c r="AG459" s="35"/>
      <c r="AH459" s="35"/>
      <c r="AI459" s="37" t="s">
        <v>2043</v>
      </c>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row>
    <row r="460" ht="29.25" customHeight="1">
      <c r="A460" s="92" t="s">
        <v>67</v>
      </c>
      <c r="B460" s="93" t="s">
        <v>2044</v>
      </c>
      <c r="C460" s="107" t="s">
        <v>2045</v>
      </c>
      <c r="D460" s="95" t="s">
        <v>2046</v>
      </c>
      <c r="E460" s="96"/>
      <c r="F460" s="20" t="s">
        <v>1290</v>
      </c>
      <c r="G460" s="97">
        <v>70.0</v>
      </c>
      <c r="H460" s="22">
        <f>IF(OR(J460="",K460="",K460&lt;J460),0,NETWORKDAYS(J460,K460,fESTIVOS!$A$2:$A$53))
</f>
        <v>0</v>
      </c>
      <c r="I460" s="98">
        <v>45902.0</v>
      </c>
      <c r="J460" s="99">
        <v>45902.0</v>
      </c>
      <c r="K460" s="99"/>
      <c r="L460" s="99">
        <v>45915.0</v>
      </c>
      <c r="M460" s="27">
        <f>IF(OR(J460="",AND(L460="",TODAY()&lt;J460),AND(L460&lt;&gt;"",L460&lt;J460)),0,
   IF(L460="",
      NETWORKDAYS(J460,TODAY(),fESTIVOS!$A$2:$A$53),
      NETWORKDAYS(J460,L460,fESTIVOS!$A$2:$A$53)
   )
)
</f>
        <v>10</v>
      </c>
      <c r="N460" s="28"/>
      <c r="O460" s="98">
        <v>45915.0</v>
      </c>
      <c r="P460" s="100"/>
      <c r="Q460" s="34" t="s">
        <v>2047</v>
      </c>
      <c r="R460" s="31" t="s">
        <v>93</v>
      </c>
      <c r="S460" s="101"/>
      <c r="T460" s="101"/>
      <c r="U460" s="102"/>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row>
    <row r="461" ht="29.25" hidden="1" customHeight="1">
      <c r="A461" s="92" t="s">
        <v>1416</v>
      </c>
      <c r="B461" s="218" t="s">
        <v>2048</v>
      </c>
      <c r="C461" s="142" t="s">
        <v>2049</v>
      </c>
      <c r="D461" s="95"/>
      <c r="E461" s="96"/>
      <c r="F461" s="122" t="s">
        <v>229</v>
      </c>
      <c r="G461" s="192"/>
      <c r="H461" s="22">
        <f>IF(OR(J461="",K461="",K461&lt;J461),0,NETWORKDAYS(J461,K461,fESTIVOS!$A$2:$A$53))
</f>
        <v>0</v>
      </c>
      <c r="I461" s="98"/>
      <c r="J461" s="99"/>
      <c r="K461" s="99"/>
      <c r="L461" s="99"/>
      <c r="M461" s="27">
        <f>IF(OR(J461="",AND(L461="",TODAY()&lt;J461),AND(L461&lt;&gt;"",L461&lt;J461)),0,
   IF(L461="",
      NETWORKDAYS(J461,TODAY(),fESTIVOS!$A$2:$A$53),
      NETWORKDAYS(J461,L461,fESTIVOS!$A$2:$A$53)
   )
)
</f>
        <v>0</v>
      </c>
      <c r="N461" s="28"/>
      <c r="O461" s="98"/>
      <c r="P461" s="100"/>
      <c r="Q461" s="103"/>
      <c r="R461" s="31" t="s">
        <v>93</v>
      </c>
      <c r="S461" s="101"/>
      <c r="T461" s="101"/>
      <c r="U461" s="102"/>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row>
    <row r="462" ht="29.25" hidden="1" customHeight="1">
      <c r="A462" s="92" t="s">
        <v>157</v>
      </c>
      <c r="B462" s="93" t="s">
        <v>2050</v>
      </c>
      <c r="C462" s="229" t="s">
        <v>2051</v>
      </c>
      <c r="D462" s="95" t="s">
        <v>2052</v>
      </c>
      <c r="E462" s="96"/>
      <c r="F462" s="122" t="s">
        <v>76</v>
      </c>
      <c r="G462" s="97">
        <v>100.0</v>
      </c>
      <c r="H462" s="22">
        <f>IF(OR(J462="",K462="",K462&lt;J462),0,NETWORKDAYS(J462,K462,fESTIVOS!$A$2:$A$53))
</f>
        <v>0</v>
      </c>
      <c r="I462" s="98">
        <v>46071.0</v>
      </c>
      <c r="J462" s="99">
        <v>46071.0</v>
      </c>
      <c r="K462" s="99"/>
      <c r="L462" s="99">
        <v>46071.0</v>
      </c>
      <c r="M462" s="27">
        <f>IF(OR(J462="",AND(L462="",TODAY()&lt;J462),AND(L462&lt;&gt;"",L462&lt;J462)),0,
   IF(L462="",
      NETWORKDAYS(J462,TODAY(),fESTIVOS!$A$2:$A$53),
      NETWORKDAYS(J462,L462,fESTIVOS!$A$2:$A$53)
   )
)
</f>
        <v>1</v>
      </c>
      <c r="N462" s="28"/>
      <c r="O462" s="98"/>
      <c r="P462" s="100"/>
      <c r="Q462" s="34" t="s">
        <v>2053</v>
      </c>
      <c r="R462" s="31" t="s">
        <v>78</v>
      </c>
      <c r="S462" s="101"/>
      <c r="T462" s="101"/>
      <c r="U462" s="102"/>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row>
    <row r="463" ht="29.25" hidden="1" customHeight="1">
      <c r="A463" s="92" t="s">
        <v>157</v>
      </c>
      <c r="B463" s="93" t="s">
        <v>2054</v>
      </c>
      <c r="C463" s="229" t="s">
        <v>2055</v>
      </c>
      <c r="D463" s="95" t="s">
        <v>2056</v>
      </c>
      <c r="E463" s="96"/>
      <c r="F463" s="122" t="s">
        <v>76</v>
      </c>
      <c r="G463" s="97">
        <v>98.0</v>
      </c>
      <c r="H463" s="22">
        <f>IF(OR(J463="",K463="",K463&lt;J463),0,NETWORKDAYS(J463,K463,fESTIVOS!$A$2:$A$53))
</f>
        <v>1</v>
      </c>
      <c r="I463" s="98">
        <v>46076.0</v>
      </c>
      <c r="J463" s="99">
        <v>46076.0</v>
      </c>
      <c r="K463" s="99">
        <v>46076.0</v>
      </c>
      <c r="L463" s="99">
        <v>46076.0</v>
      </c>
      <c r="M463" s="27">
        <f>IF(OR(J463="",AND(L463="",TODAY()&lt;J463),AND(L463&lt;&gt;"",L463&lt;J463)),0,
   IF(L463="",
      NETWORKDAYS(J463,TODAY(),fESTIVOS!$A$2:$A$53),
      NETWORKDAYS(J463,L463,fESTIVOS!$A$2:$A$53)
   )
)
</f>
        <v>1</v>
      </c>
      <c r="N463" s="28"/>
      <c r="O463" s="98"/>
      <c r="P463" s="100">
        <v>46076.0</v>
      </c>
      <c r="Q463" s="34" t="s">
        <v>2057</v>
      </c>
      <c r="R463" s="31" t="s">
        <v>78</v>
      </c>
      <c r="S463" s="101"/>
      <c r="T463" s="101"/>
      <c r="U463" s="102"/>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row>
    <row r="464" ht="29.25" hidden="1" customHeight="1">
      <c r="A464" s="92" t="s">
        <v>1416</v>
      </c>
      <c r="B464" s="93" t="s">
        <v>2058</v>
      </c>
      <c r="C464" s="141" t="s">
        <v>2059</v>
      </c>
      <c r="D464" s="95" t="s">
        <v>2060</v>
      </c>
      <c r="E464" s="96"/>
      <c r="F464" s="122" t="s">
        <v>2061</v>
      </c>
      <c r="G464" s="192"/>
      <c r="H464" s="22">
        <f>IF(OR(J464="",K464="",K464&lt;J464),0,NETWORKDAYS(J464,K464,fESTIVOS!$A$2:$A$53))
</f>
        <v>0</v>
      </c>
      <c r="I464" s="98"/>
      <c r="J464" s="99"/>
      <c r="K464" s="99"/>
      <c r="L464" s="99"/>
      <c r="M464" s="27">
        <f>IF(OR(J464="",AND(L464="",TODAY()&lt;J464),AND(L464&lt;&gt;"",L464&lt;J464)),0,
   IF(L464="",
      NETWORKDAYS(J464,TODAY(),fESTIVOS!$A$2:$A$53),
      NETWORKDAYS(J464,L464,fESTIVOS!$A$2:$A$53)
   )
)
</f>
        <v>0</v>
      </c>
      <c r="N464" s="28"/>
      <c r="O464" s="98"/>
      <c r="P464" s="100"/>
      <c r="Q464" s="34" t="s">
        <v>2062</v>
      </c>
      <c r="R464" s="31" t="s">
        <v>72</v>
      </c>
      <c r="S464" s="101"/>
      <c r="T464" s="101"/>
      <c r="U464" s="102"/>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row>
    <row r="465" ht="29.25" hidden="1" customHeight="1">
      <c r="A465" s="92" t="s">
        <v>1416</v>
      </c>
      <c r="B465" s="93" t="s">
        <v>2063</v>
      </c>
      <c r="C465" s="141" t="s">
        <v>2064</v>
      </c>
      <c r="D465" s="95"/>
      <c r="E465" s="96"/>
      <c r="F465" s="122" t="s">
        <v>229</v>
      </c>
      <c r="G465" s="192"/>
      <c r="H465" s="22">
        <f>IF(OR(J465="",K465="",K465&lt;J465),0,NETWORKDAYS(J465,K465,fESTIVOS!$A$2:$A$53))
</f>
        <v>0</v>
      </c>
      <c r="I465" s="98"/>
      <c r="J465" s="99"/>
      <c r="K465" s="99"/>
      <c r="L465" s="99"/>
      <c r="M465" s="27">
        <f>IF(OR(J465="",AND(L465="",TODAY()&lt;J465),AND(L465&lt;&gt;"",L465&lt;J465)),0,
   IF(L465="",
      NETWORKDAYS(J465,TODAY(),fESTIVOS!$A$2:$A$53),
      NETWORKDAYS(J465,L465,fESTIVOS!$A$2:$A$53)
   )
)
</f>
        <v>0</v>
      </c>
      <c r="N465" s="28"/>
      <c r="O465" s="98"/>
      <c r="P465" s="100"/>
      <c r="Q465" s="34" t="s">
        <v>2065</v>
      </c>
      <c r="R465" s="31" t="s">
        <v>72</v>
      </c>
      <c r="S465" s="101"/>
      <c r="T465" s="101"/>
      <c r="U465" s="102"/>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row>
    <row r="466" ht="29.25" hidden="1" customHeight="1">
      <c r="A466" s="92" t="s">
        <v>1416</v>
      </c>
      <c r="B466" s="93" t="s">
        <v>2066</v>
      </c>
      <c r="C466" s="141" t="s">
        <v>2067</v>
      </c>
      <c r="D466" s="95"/>
      <c r="E466" s="96"/>
      <c r="F466" s="122" t="s">
        <v>229</v>
      </c>
      <c r="G466" s="192"/>
      <c r="H466" s="22">
        <f>IF(OR(J466="",K466="",K466&lt;J466),0,NETWORKDAYS(J466,K466,fESTIVOS!$A$2:$A$53))
</f>
        <v>0</v>
      </c>
      <c r="I466" s="98"/>
      <c r="J466" s="99"/>
      <c r="K466" s="99"/>
      <c r="L466" s="99"/>
      <c r="M466" s="27">
        <f>IF(OR(J466="",AND(L466="",TODAY()&lt;J466),AND(L466&lt;&gt;"",L466&lt;J466)),0,
   IF(L466="",
      NETWORKDAYS(J466,TODAY(),fESTIVOS!$A$2:$A$53),
      NETWORKDAYS(J466,L466,fESTIVOS!$A$2:$A$53)
   )
)
</f>
        <v>0</v>
      </c>
      <c r="N466" s="28"/>
      <c r="O466" s="98"/>
      <c r="P466" s="100"/>
      <c r="Q466" s="34" t="s">
        <v>2068</v>
      </c>
      <c r="R466" s="31" t="s">
        <v>72</v>
      </c>
      <c r="S466" s="101"/>
      <c r="T466" s="101"/>
      <c r="U466" s="102"/>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row>
    <row r="467" ht="29.25" hidden="1" customHeight="1">
      <c r="A467" s="92" t="s">
        <v>1416</v>
      </c>
      <c r="B467" s="93" t="s">
        <v>2069</v>
      </c>
      <c r="C467" s="141" t="s">
        <v>2070</v>
      </c>
      <c r="D467" s="95"/>
      <c r="E467" s="96"/>
      <c r="F467" s="122" t="s">
        <v>229</v>
      </c>
      <c r="G467" s="192"/>
      <c r="H467" s="22">
        <f>IF(OR(J467="",K467="",K467&lt;J467),0,NETWORKDAYS(J467,K467,fESTIVOS!$A$2:$A$53))
</f>
        <v>0</v>
      </c>
      <c r="I467" s="98"/>
      <c r="J467" s="99"/>
      <c r="K467" s="99"/>
      <c r="L467" s="99"/>
      <c r="M467" s="27">
        <f>IF(OR(J467="",AND(L467="",TODAY()&lt;J467),AND(L467&lt;&gt;"",L467&lt;J467)),0,
   IF(L467="",
      NETWORKDAYS(J467,TODAY(),fESTIVOS!$A$2:$A$53),
      NETWORKDAYS(J467,L467,fESTIVOS!$A$2:$A$53)
   )
)
</f>
        <v>0</v>
      </c>
      <c r="N467" s="28"/>
      <c r="O467" s="98"/>
      <c r="P467" s="100"/>
      <c r="Q467" s="34" t="s">
        <v>2071</v>
      </c>
      <c r="R467" s="31" t="s">
        <v>72</v>
      </c>
      <c r="S467" s="101"/>
      <c r="T467" s="101"/>
      <c r="U467" s="102"/>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row>
    <row r="468" ht="29.25" hidden="1" customHeight="1">
      <c r="A468" s="92" t="s">
        <v>67</v>
      </c>
      <c r="B468" s="93" t="s">
        <v>2072</v>
      </c>
      <c r="C468" s="229" t="s">
        <v>2073</v>
      </c>
      <c r="D468" s="95" t="s">
        <v>2074</v>
      </c>
      <c r="E468" s="96"/>
      <c r="F468" s="122" t="s">
        <v>76</v>
      </c>
      <c r="G468" s="97">
        <v>100.0</v>
      </c>
      <c r="H468" s="22">
        <f>IF(OR(J468="",K468="",K468&lt;J468),0,NETWORKDAYS(J468,K468,fESTIVOS!$A$2:$A$53))
</f>
        <v>0</v>
      </c>
      <c r="I468" s="98">
        <v>46001.0</v>
      </c>
      <c r="J468" s="99">
        <v>46009.0</v>
      </c>
      <c r="K468" s="99"/>
      <c r="L468" s="99"/>
      <c r="M468" s="27">
        <f>IF(OR(J468="",AND(L468="",TODAY()&lt;J468),AND(L468&lt;&gt;"",L468&lt;J468)),0,
   IF(L468="",
      NETWORKDAYS(J468,TODAY(),fESTIVOS!$A$2:$A$53),
      NETWORKDAYS(J468,L468,fESTIVOS!$A$2:$A$53)
   )
)
</f>
        <v>119</v>
      </c>
      <c r="N468" s="28"/>
      <c r="O468" s="98"/>
      <c r="P468" s="100"/>
      <c r="Q468" s="34" t="s">
        <v>2075</v>
      </c>
      <c r="R468" s="31" t="s">
        <v>78</v>
      </c>
      <c r="S468" s="101"/>
      <c r="T468" s="101"/>
      <c r="U468" s="102"/>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row>
    <row r="469" ht="29.25" hidden="1" customHeight="1">
      <c r="A469" s="92" t="s">
        <v>67</v>
      </c>
      <c r="B469" s="93" t="s">
        <v>2076</v>
      </c>
      <c r="C469" s="229" t="s">
        <v>2077</v>
      </c>
      <c r="D469" s="95" t="s">
        <v>2078</v>
      </c>
      <c r="E469" s="96"/>
      <c r="F469" s="122" t="s">
        <v>76</v>
      </c>
      <c r="G469" s="97">
        <v>100.0</v>
      </c>
      <c r="H469" s="22">
        <f>IF(OR(J469="",K469="",K469&lt;J469),0,NETWORKDAYS(J469,K469,fESTIVOS!$A$2:$A$53))
</f>
        <v>0</v>
      </c>
      <c r="I469" s="98">
        <v>45985.0</v>
      </c>
      <c r="J469" s="99">
        <v>45985.0</v>
      </c>
      <c r="K469" s="99"/>
      <c r="L469" s="99">
        <v>45985.0</v>
      </c>
      <c r="M469" s="27">
        <f>IF(OR(J469="",AND(L469="",TODAY()&lt;J469),AND(L469&lt;&gt;"",L469&lt;J469)),0,
   IF(L469="",
      NETWORKDAYS(J469,TODAY(),fESTIVOS!$A$2:$A$53),
      NETWORKDAYS(J469,L469,fESTIVOS!$A$2:$A$53)
   )
)
</f>
        <v>1</v>
      </c>
      <c r="N469" s="28"/>
      <c r="O469" s="98"/>
      <c r="P469" s="100"/>
      <c r="Q469" s="88" t="s">
        <v>2079</v>
      </c>
      <c r="R469" s="31" t="s">
        <v>78</v>
      </c>
      <c r="S469" s="101"/>
      <c r="T469" s="101"/>
      <c r="U469" s="102"/>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row>
    <row r="470" ht="29.25" hidden="1" customHeight="1">
      <c r="A470" s="92" t="s">
        <v>67</v>
      </c>
      <c r="B470" s="93" t="s">
        <v>2080</v>
      </c>
      <c r="C470" s="120" t="s">
        <v>2081</v>
      </c>
      <c r="D470" s="95" t="s">
        <v>2082</v>
      </c>
      <c r="E470" s="96"/>
      <c r="F470" s="122" t="s">
        <v>76</v>
      </c>
      <c r="G470" s="97">
        <v>100.0</v>
      </c>
      <c r="H470" s="22">
        <f>IF(OR(J470="",K470="",K470&lt;J470),0,NETWORKDAYS(J470,K470,fESTIVOS!$A$2:$A$53))
</f>
        <v>2</v>
      </c>
      <c r="I470" s="98">
        <v>45973.0</v>
      </c>
      <c r="J470" s="99">
        <v>45975.0</v>
      </c>
      <c r="K470" s="99">
        <v>45979.0</v>
      </c>
      <c r="L470" s="99">
        <v>45979.0</v>
      </c>
      <c r="M470" s="27">
        <f>IF(OR(J470="",AND(L470="",TODAY()&lt;J470),AND(L470&lt;&gt;"",L470&lt;J470)),0,
   IF(L470="",
      NETWORKDAYS(J470,TODAY(),fESTIVOS!$A$2:$A$53),
      NETWORKDAYS(J470,L470,fESTIVOS!$A$2:$A$53)
   )
)
</f>
        <v>2</v>
      </c>
      <c r="N470" s="28"/>
      <c r="O470" s="98"/>
      <c r="P470" s="100"/>
      <c r="Q470" s="34" t="s">
        <v>2083</v>
      </c>
      <c r="R470" s="31" t="s">
        <v>78</v>
      </c>
      <c r="S470" s="101"/>
      <c r="T470" s="101"/>
      <c r="U470" s="102"/>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row>
    <row r="471" ht="29.25" hidden="1" customHeight="1">
      <c r="A471" s="92" t="s">
        <v>67</v>
      </c>
      <c r="B471" s="93" t="s">
        <v>2084</v>
      </c>
      <c r="C471" s="141" t="s">
        <v>2085</v>
      </c>
      <c r="D471" s="95"/>
      <c r="E471" s="96"/>
      <c r="F471" s="122" t="s">
        <v>76</v>
      </c>
      <c r="G471" s="97">
        <v>100.0</v>
      </c>
      <c r="H471" s="22">
        <f>IF(OR(J471="",K471="",K471&lt;J471),0,NETWORKDAYS(J471,K471,fESTIVOS!$A$2:$A$53))
</f>
        <v>0</v>
      </c>
      <c r="I471" s="98">
        <v>45972.0</v>
      </c>
      <c r="J471" s="99">
        <v>45972.0</v>
      </c>
      <c r="K471" s="99"/>
      <c r="L471" s="99">
        <v>45972.0</v>
      </c>
      <c r="M471" s="27">
        <f>IF(OR(J471="",AND(L471="",TODAY()&lt;J471),AND(L471&lt;&gt;"",L471&lt;J471)),0,
   IF(L471="",
      NETWORKDAYS(J471,TODAY(),fESTIVOS!$A$2:$A$53),
      NETWORKDAYS(J471,L471,fESTIVOS!$A$2:$A$53)
   )
)
</f>
        <v>1</v>
      </c>
      <c r="N471" s="28"/>
      <c r="O471" s="98"/>
      <c r="P471" s="100"/>
      <c r="Q471" s="34" t="s">
        <v>2086</v>
      </c>
      <c r="R471" s="31" t="s">
        <v>78</v>
      </c>
      <c r="S471" s="101"/>
      <c r="T471" s="101"/>
      <c r="U471" s="102"/>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row>
    <row r="472" ht="29.25" hidden="1" customHeight="1">
      <c r="A472" s="92" t="s">
        <v>67</v>
      </c>
      <c r="B472" s="218" t="s">
        <v>2087</v>
      </c>
      <c r="C472" s="142" t="s">
        <v>2088</v>
      </c>
      <c r="D472" s="95"/>
      <c r="E472" s="96"/>
      <c r="F472" s="122" t="s">
        <v>76</v>
      </c>
      <c r="G472" s="97">
        <v>100.0</v>
      </c>
      <c r="H472" s="22">
        <f>IF(OR(J472="",K472="",K472&lt;J472),0,NETWORKDAYS(J472,K472,fESTIVOS!$A$2:$A$53))
</f>
        <v>0</v>
      </c>
      <c r="I472" s="98">
        <v>45946.0</v>
      </c>
      <c r="J472" s="99">
        <v>45946.0</v>
      </c>
      <c r="K472" s="99"/>
      <c r="L472" s="99">
        <v>45947.0</v>
      </c>
      <c r="M472" s="27">
        <f>IF(OR(J472="",AND(L472="",TODAY()&lt;J472),AND(L472&lt;&gt;"",L472&lt;J472)),0,
   IF(L472="",
      NETWORKDAYS(J472,TODAY(),fESTIVOS!$A$2:$A$53),
      NETWORKDAYS(J472,L472,fESTIVOS!$A$2:$A$53)
   )
)
</f>
        <v>2</v>
      </c>
      <c r="N472" s="28"/>
      <c r="O472" s="98"/>
      <c r="P472" s="100">
        <v>45947.0</v>
      </c>
      <c r="Q472" s="34" t="s">
        <v>2089</v>
      </c>
      <c r="R472" s="31" t="s">
        <v>78</v>
      </c>
      <c r="S472" s="101"/>
      <c r="T472" s="101"/>
      <c r="U472" s="102"/>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row>
    <row r="473" ht="29.25" hidden="1" customHeight="1">
      <c r="A473" s="92" t="s">
        <v>67</v>
      </c>
      <c r="B473" s="93" t="s">
        <v>2090</v>
      </c>
      <c r="C473" s="141" t="s">
        <v>2091</v>
      </c>
      <c r="D473" s="95" t="s">
        <v>2092</v>
      </c>
      <c r="E473" s="96"/>
      <c r="F473" s="122" t="s">
        <v>76</v>
      </c>
      <c r="G473" s="97">
        <v>100.0</v>
      </c>
      <c r="H473" s="22">
        <f>IF(OR(J473="",K473="",K473&lt;J473),0,NETWORKDAYS(J473,K473,fESTIVOS!$A$2:$A$53))
</f>
        <v>0</v>
      </c>
      <c r="I473" s="98">
        <v>46010.0</v>
      </c>
      <c r="J473" s="99">
        <v>46010.0</v>
      </c>
      <c r="K473" s="99"/>
      <c r="L473" s="99">
        <v>46020.0</v>
      </c>
      <c r="M473" s="27">
        <f>IF(OR(J473="",AND(L473="",TODAY()&lt;J473),AND(L473&lt;&gt;"",L473&lt;J473)),0,
   IF(L473="",
      NETWORKDAYS(J473,TODAY(),fESTIVOS!$A$2:$A$53),
      NETWORKDAYS(J473,L473,fESTIVOS!$A$2:$A$53)
   )
)
</f>
        <v>6</v>
      </c>
      <c r="N473" s="28"/>
      <c r="O473" s="98"/>
      <c r="P473" s="100"/>
      <c r="Q473" s="34" t="s">
        <v>2093</v>
      </c>
      <c r="R473" s="31" t="s">
        <v>78</v>
      </c>
      <c r="S473" s="164"/>
      <c r="T473" s="164"/>
      <c r="U473" s="162"/>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row>
    <row r="474" ht="29.25" hidden="1" customHeight="1">
      <c r="A474" s="92" t="s">
        <v>67</v>
      </c>
      <c r="B474" s="93" t="s">
        <v>2094</v>
      </c>
      <c r="C474" s="94" t="s">
        <v>2095</v>
      </c>
      <c r="D474" s="95" t="s">
        <v>2096</v>
      </c>
      <c r="E474" s="96"/>
      <c r="F474" s="122" t="s">
        <v>76</v>
      </c>
      <c r="G474" s="97">
        <v>100.0</v>
      </c>
      <c r="H474" s="22">
        <f>IF(OR(J474="",K474="",K474&lt;J474),0,NETWORKDAYS(J474,K474,fESTIVOS!$A$2:$A$53))
</f>
        <v>5</v>
      </c>
      <c r="I474" s="98">
        <v>46020.0</v>
      </c>
      <c r="J474" s="99">
        <v>46027.0</v>
      </c>
      <c r="K474" s="99">
        <v>46031.0</v>
      </c>
      <c r="L474" s="99">
        <v>46041.0</v>
      </c>
      <c r="M474" s="27">
        <f>IF(OR(J474="",AND(L474="",TODAY()&lt;J474),AND(L474&lt;&gt;"",L474&lt;J474)),0,
   IF(L474="",
      NETWORKDAYS(J474,TODAY(),fESTIVOS!$A$2:$A$53),
      NETWORKDAYS(J474,L474,fESTIVOS!$A$2:$A$53)
   )
)
</f>
        <v>10</v>
      </c>
      <c r="N474" s="28"/>
      <c r="O474" s="98"/>
      <c r="P474" s="100"/>
      <c r="Q474" s="34" t="s">
        <v>2097</v>
      </c>
      <c r="R474" s="31" t="s">
        <v>78</v>
      </c>
      <c r="S474" s="164"/>
      <c r="T474" s="164"/>
      <c r="U474" s="162"/>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row>
    <row r="475" ht="29.25" hidden="1" customHeight="1">
      <c r="A475" s="92" t="s">
        <v>67</v>
      </c>
      <c r="B475" s="93" t="s">
        <v>2098</v>
      </c>
      <c r="C475" s="141" t="s">
        <v>2099</v>
      </c>
      <c r="D475" s="95"/>
      <c r="E475" s="96"/>
      <c r="F475" s="122" t="s">
        <v>76</v>
      </c>
      <c r="G475" s="97">
        <v>100.0</v>
      </c>
      <c r="H475" s="22">
        <f>IF(OR(J475="",K475="",K475&lt;J475),0,NETWORKDAYS(J475,K475,fESTIVOS!$A$2:$A$53))
</f>
        <v>0</v>
      </c>
      <c r="I475" s="98">
        <v>46022.0</v>
      </c>
      <c r="J475" s="99">
        <v>46022.0</v>
      </c>
      <c r="K475" s="99"/>
      <c r="L475" s="99">
        <v>46030.0</v>
      </c>
      <c r="M475" s="27">
        <f>IF(OR(J475="",AND(L475="",TODAY()&lt;J475),AND(L475&lt;&gt;"",L475&lt;J475)),0,
   IF(L475="",
      NETWORKDAYS(J475,TODAY(),fESTIVOS!$A$2:$A$53),
      NETWORKDAYS(J475,L475,fESTIVOS!$A$2:$A$53)
   )
)
</f>
        <v>6</v>
      </c>
      <c r="N475" s="28"/>
      <c r="O475" s="98"/>
      <c r="P475" s="100"/>
      <c r="Q475" s="34" t="s">
        <v>2100</v>
      </c>
      <c r="R475" s="31" t="s">
        <v>78</v>
      </c>
      <c r="S475" s="164"/>
      <c r="T475" s="164"/>
      <c r="U475" s="162"/>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row>
    <row r="476" ht="29.25" hidden="1" customHeight="1">
      <c r="A476" s="92" t="s">
        <v>67</v>
      </c>
      <c r="B476" s="93" t="s">
        <v>2101</v>
      </c>
      <c r="C476" s="141" t="s">
        <v>2102</v>
      </c>
      <c r="D476" s="95" t="s">
        <v>2103</v>
      </c>
      <c r="E476" s="96"/>
      <c r="F476" s="122" t="s">
        <v>76</v>
      </c>
      <c r="G476" s="97">
        <v>100.0</v>
      </c>
      <c r="H476" s="22">
        <f>IF(OR(J476="",K476="",K476&lt;J476),0,NETWORKDAYS(J476,K476,fESTIVOS!$A$2:$A$53))
</f>
        <v>0</v>
      </c>
      <c r="I476" s="98">
        <v>46030.0</v>
      </c>
      <c r="J476" s="99">
        <v>46030.0</v>
      </c>
      <c r="K476" s="99"/>
      <c r="L476" s="99">
        <v>46031.0</v>
      </c>
      <c r="M476" s="27">
        <f>IF(OR(J476="",AND(L476="",TODAY()&lt;J476),AND(L476&lt;&gt;"",L476&lt;J476)),0,
   IF(L476="",
      NETWORKDAYS(J476,TODAY(),fESTIVOS!$A$2:$A$53),
      NETWORKDAYS(J476,L476,fESTIVOS!$A$2:$A$53)
   )
)
</f>
        <v>2</v>
      </c>
      <c r="N476" s="28"/>
      <c r="O476" s="98"/>
      <c r="P476" s="100"/>
      <c r="Q476" s="34" t="s">
        <v>2104</v>
      </c>
      <c r="R476" s="31" t="s">
        <v>78</v>
      </c>
      <c r="S476" s="164"/>
      <c r="T476" s="164"/>
      <c r="U476" s="162"/>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row>
    <row r="477" ht="29.25" hidden="1" customHeight="1">
      <c r="A477" s="92" t="s">
        <v>67</v>
      </c>
      <c r="B477" s="93" t="s">
        <v>2105</v>
      </c>
      <c r="C477" s="141" t="s">
        <v>2106</v>
      </c>
      <c r="D477" s="95"/>
      <c r="E477" s="96"/>
      <c r="F477" s="122" t="s">
        <v>76</v>
      </c>
      <c r="G477" s="97">
        <v>100.0</v>
      </c>
      <c r="H477" s="22">
        <f>IF(OR(J477="",K477="",K477&lt;J477),0,NETWORKDAYS(J477,K477,fESTIVOS!$A$2:$A$53))
</f>
        <v>0</v>
      </c>
      <c r="I477" s="98">
        <v>46031.0</v>
      </c>
      <c r="J477" s="99">
        <v>46043.0</v>
      </c>
      <c r="K477" s="99"/>
      <c r="L477" s="99">
        <v>46049.0</v>
      </c>
      <c r="M477" s="27">
        <f>IF(OR(J477="",AND(L477="",TODAY()&lt;J477),AND(L477&lt;&gt;"",L477&lt;J477)),0,
   IF(L477="",
      NETWORKDAYS(J477,TODAY(),fESTIVOS!$A$2:$A$53),
      NETWORKDAYS(J477,L477,fESTIVOS!$A$2:$A$53)
   )
)
</f>
        <v>5</v>
      </c>
      <c r="N477" s="28"/>
      <c r="O477" s="98"/>
      <c r="P477" s="100"/>
      <c r="Q477" s="34" t="s">
        <v>2107</v>
      </c>
      <c r="R477" s="31" t="s">
        <v>208</v>
      </c>
      <c r="S477" s="164"/>
      <c r="T477" s="164"/>
      <c r="U477" s="162"/>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row>
    <row r="478" ht="29.25" hidden="1" customHeight="1">
      <c r="A478" s="92" t="s">
        <v>67</v>
      </c>
      <c r="B478" s="93" t="s">
        <v>2108</v>
      </c>
      <c r="C478" s="141" t="s">
        <v>2109</v>
      </c>
      <c r="D478" s="95" t="s">
        <v>2110</v>
      </c>
      <c r="E478" s="96"/>
      <c r="F478" s="122" t="s">
        <v>76</v>
      </c>
      <c r="G478" s="97">
        <v>100.0</v>
      </c>
      <c r="H478" s="22">
        <f>IF(OR(J478="",K478="",K478&lt;J478),0,NETWORKDAYS(J478,K478,fESTIVOS!$A$2:$A$53))
</f>
        <v>0</v>
      </c>
      <c r="I478" s="98">
        <v>46041.0</v>
      </c>
      <c r="J478" s="99">
        <v>46041.0</v>
      </c>
      <c r="K478" s="99"/>
      <c r="L478" s="99">
        <v>46041.0</v>
      </c>
      <c r="M478" s="27">
        <f>IF(OR(J478="",AND(L478="",TODAY()&lt;J478),AND(L478&lt;&gt;"",L478&lt;J478)),0,
   IF(L478="",
      NETWORKDAYS(J478,TODAY(),fESTIVOS!$A$2:$A$53),
      NETWORKDAYS(J478,L478,fESTIVOS!$A$2:$A$53)
   )
)
</f>
        <v>1</v>
      </c>
      <c r="N478" s="28"/>
      <c r="O478" s="98"/>
      <c r="P478" s="100"/>
      <c r="Q478" s="34" t="s">
        <v>2111</v>
      </c>
      <c r="R478" s="31" t="s">
        <v>208</v>
      </c>
      <c r="S478" s="164"/>
      <c r="T478" s="164"/>
      <c r="U478" s="162"/>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row>
    <row r="479" ht="29.25" hidden="1" customHeight="1">
      <c r="A479" s="92" t="s">
        <v>67</v>
      </c>
      <c r="B479" s="93" t="s">
        <v>2112</v>
      </c>
      <c r="C479" s="141" t="s">
        <v>2113</v>
      </c>
      <c r="D479" s="95" t="s">
        <v>2114</v>
      </c>
      <c r="E479" s="96"/>
      <c r="F479" s="122" t="s">
        <v>76</v>
      </c>
      <c r="G479" s="97">
        <v>100.0</v>
      </c>
      <c r="H479" s="22">
        <f>IF(OR(J479="",K479="",K479&lt;J479),0,NETWORKDAYS(J479,K479,fESTIVOS!$A$2:$A$53))
</f>
        <v>0</v>
      </c>
      <c r="I479" s="98">
        <v>46036.0</v>
      </c>
      <c r="J479" s="99">
        <v>46041.0</v>
      </c>
      <c r="K479" s="99"/>
      <c r="L479" s="99">
        <v>46041.0</v>
      </c>
      <c r="M479" s="27">
        <f>IF(OR(J479="",AND(L479="",TODAY()&lt;J479),AND(L479&lt;&gt;"",L479&lt;J479)),0,
   IF(L479="",
      NETWORKDAYS(J479,TODAY(),fESTIVOS!$A$2:$A$53),
      NETWORKDAYS(J479,L479,fESTIVOS!$A$2:$A$53)
   )
)
</f>
        <v>1</v>
      </c>
      <c r="N479" s="28"/>
      <c r="O479" s="98"/>
      <c r="P479" s="100"/>
      <c r="Q479" s="34" t="s">
        <v>2115</v>
      </c>
      <c r="R479" s="31" t="s">
        <v>78</v>
      </c>
      <c r="S479" s="164"/>
      <c r="T479" s="164"/>
      <c r="U479" s="162"/>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row>
    <row r="480" ht="29.25" hidden="1" customHeight="1">
      <c r="A480" s="92" t="s">
        <v>67</v>
      </c>
      <c r="B480" s="93" t="s">
        <v>2116</v>
      </c>
      <c r="C480" s="141" t="s">
        <v>2117</v>
      </c>
      <c r="D480" s="95" t="s">
        <v>2118</v>
      </c>
      <c r="E480" s="96"/>
      <c r="F480" s="122" t="s">
        <v>76</v>
      </c>
      <c r="G480" s="97">
        <v>100.0</v>
      </c>
      <c r="H480" s="22">
        <f>IF(OR(J480="",K480="",K480&lt;J480),0,NETWORKDAYS(J480,K480,fESTIVOS!$A$2:$A$53))
</f>
        <v>0</v>
      </c>
      <c r="I480" s="98">
        <v>46035.0</v>
      </c>
      <c r="J480" s="99">
        <v>46035.0</v>
      </c>
      <c r="K480" s="99"/>
      <c r="L480" s="99">
        <v>46035.0</v>
      </c>
      <c r="M480" s="27">
        <f>IF(OR(J480="",AND(L480="",TODAY()&lt;J480),AND(L480&lt;&gt;"",L480&lt;J480)),0,
   IF(L480="",
      NETWORKDAYS(J480,TODAY(),fESTIVOS!$A$2:$A$53),
      NETWORKDAYS(J480,L480,fESTIVOS!$A$2:$A$53)
   )
)
</f>
        <v>1</v>
      </c>
      <c r="N480" s="28"/>
      <c r="O480" s="98">
        <v>46035.0</v>
      </c>
      <c r="P480" s="100">
        <v>46035.0</v>
      </c>
      <c r="Q480" s="34" t="s">
        <v>2119</v>
      </c>
      <c r="R480" s="31" t="s">
        <v>78</v>
      </c>
      <c r="S480" s="164"/>
      <c r="T480" s="164"/>
      <c r="U480" s="162"/>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row>
    <row r="481" ht="29.25" hidden="1" customHeight="1">
      <c r="A481" s="230"/>
      <c r="B481" s="231"/>
      <c r="C481" s="179"/>
      <c r="D481" s="179"/>
      <c r="E481" s="180"/>
      <c r="F481" s="162"/>
      <c r="G481" s="232"/>
      <c r="H481" s="22"/>
      <c r="I481" s="181"/>
      <c r="J481" s="182"/>
      <c r="K481" s="182"/>
      <c r="L481" s="182"/>
      <c r="M481" s="27"/>
      <c r="N481" s="28"/>
      <c r="O481" s="181"/>
      <c r="P481" s="183"/>
      <c r="Q481" s="104"/>
      <c r="R481" s="233"/>
      <c r="S481" s="164"/>
      <c r="T481" s="164"/>
      <c r="U481" s="162"/>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row>
    <row r="482" ht="29.25" hidden="1" customHeight="1">
      <c r="A482" s="230"/>
      <c r="B482" s="231"/>
      <c r="C482" s="179"/>
      <c r="D482" s="179"/>
      <c r="E482" s="180"/>
      <c r="F482" s="162"/>
      <c r="G482" s="232"/>
      <c r="H482" s="22"/>
      <c r="I482" s="181"/>
      <c r="J482" s="182"/>
      <c r="K482" s="182"/>
      <c r="L482" s="182"/>
      <c r="M482" s="234"/>
      <c r="N482" s="28"/>
      <c r="O482" s="181"/>
      <c r="P482" s="183"/>
      <c r="Q482" s="104"/>
      <c r="R482" s="233"/>
      <c r="S482" s="164"/>
      <c r="T482" s="164"/>
      <c r="U482" s="162"/>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row>
    <row r="483" ht="29.25" hidden="1" customHeight="1">
      <c r="A483" s="230"/>
      <c r="B483" s="231"/>
      <c r="C483" s="179"/>
      <c r="D483" s="179"/>
      <c r="E483" s="180"/>
      <c r="F483" s="162"/>
      <c r="G483" s="232"/>
      <c r="H483" s="22"/>
      <c r="I483" s="181"/>
      <c r="J483" s="182"/>
      <c r="K483" s="182"/>
      <c r="L483" s="182"/>
      <c r="M483" s="234"/>
      <c r="N483" s="28"/>
      <c r="O483" s="181"/>
      <c r="P483" s="183"/>
      <c r="Q483" s="104"/>
      <c r="R483" s="233"/>
      <c r="S483" s="164"/>
      <c r="T483" s="164"/>
      <c r="U483" s="162"/>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row>
    <row r="484" ht="29.25" hidden="1" customHeight="1">
      <c r="A484" s="230"/>
      <c r="B484" s="231"/>
      <c r="C484" s="179"/>
      <c r="D484" s="179"/>
      <c r="E484" s="180"/>
      <c r="F484" s="162"/>
      <c r="G484" s="232"/>
      <c r="H484" s="22"/>
      <c r="I484" s="181"/>
      <c r="J484" s="182"/>
      <c r="K484" s="182"/>
      <c r="L484" s="182"/>
      <c r="M484" s="234"/>
      <c r="N484" s="28"/>
      <c r="O484" s="181"/>
      <c r="P484" s="183"/>
      <c r="Q484" s="104"/>
      <c r="R484" s="233"/>
      <c r="S484" s="164"/>
      <c r="T484" s="164"/>
      <c r="U484" s="162"/>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row>
    <row r="485" ht="29.25" hidden="1" customHeight="1">
      <c r="A485" s="230"/>
      <c r="B485" s="231"/>
      <c r="C485" s="179"/>
      <c r="D485" s="179"/>
      <c r="E485" s="180"/>
      <c r="F485" s="162"/>
      <c r="G485" s="232"/>
      <c r="H485" s="22"/>
      <c r="I485" s="181"/>
      <c r="J485" s="182"/>
      <c r="K485" s="182"/>
      <c r="L485" s="182"/>
      <c r="M485" s="234"/>
      <c r="N485" s="28"/>
      <c r="O485" s="181"/>
      <c r="P485" s="183"/>
      <c r="Q485" s="104"/>
      <c r="R485" s="233"/>
      <c r="S485" s="164"/>
      <c r="T485" s="164"/>
      <c r="U485" s="162"/>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row>
    <row r="486" ht="29.25" hidden="1" customHeight="1">
      <c r="A486" s="230"/>
      <c r="B486" s="231"/>
      <c r="C486" s="179"/>
      <c r="D486" s="179"/>
      <c r="E486" s="180"/>
      <c r="F486" s="162"/>
      <c r="G486" s="232"/>
      <c r="H486" s="22"/>
      <c r="I486" s="181"/>
      <c r="J486" s="182"/>
      <c r="K486" s="182"/>
      <c r="L486" s="182"/>
      <c r="M486" s="234"/>
      <c r="N486" s="28"/>
      <c r="O486" s="181"/>
      <c r="P486" s="183"/>
      <c r="Q486" s="104"/>
      <c r="R486" s="233"/>
      <c r="S486" s="164"/>
      <c r="T486" s="164"/>
      <c r="U486" s="162"/>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row>
    <row r="487" ht="29.25" hidden="1" customHeight="1">
      <c r="A487" s="230"/>
      <c r="B487" s="231"/>
      <c r="C487" s="179"/>
      <c r="D487" s="179"/>
      <c r="E487" s="180"/>
      <c r="F487" s="162"/>
      <c r="G487" s="232"/>
      <c r="H487" s="22"/>
      <c r="I487" s="181"/>
      <c r="J487" s="182"/>
      <c r="K487" s="182"/>
      <c r="L487" s="182"/>
      <c r="M487" s="234"/>
      <c r="N487" s="28"/>
      <c r="O487" s="181"/>
      <c r="P487" s="183"/>
      <c r="Q487" s="104"/>
      <c r="R487" s="233"/>
      <c r="S487" s="164"/>
      <c r="T487" s="164"/>
      <c r="U487" s="162"/>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row>
    <row r="488" ht="29.25" hidden="1" customHeight="1">
      <c r="A488" s="230"/>
      <c r="B488" s="231"/>
      <c r="C488" s="179"/>
      <c r="D488" s="179"/>
      <c r="E488" s="180"/>
      <c r="F488" s="162"/>
      <c r="G488" s="232"/>
      <c r="H488" s="22"/>
      <c r="I488" s="181"/>
      <c r="J488" s="182"/>
      <c r="K488" s="182"/>
      <c r="L488" s="182"/>
      <c r="M488" s="234"/>
      <c r="N488" s="28"/>
      <c r="O488" s="181"/>
      <c r="P488" s="183"/>
      <c r="Q488" s="104"/>
      <c r="R488" s="233"/>
      <c r="S488" s="164"/>
      <c r="T488" s="164"/>
      <c r="U488" s="162"/>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row>
    <row r="489" ht="29.25" hidden="1" customHeight="1">
      <c r="A489" s="230"/>
      <c r="B489" s="231"/>
      <c r="C489" s="179"/>
      <c r="D489" s="179"/>
      <c r="E489" s="180"/>
      <c r="F489" s="162"/>
      <c r="G489" s="232"/>
      <c r="H489" s="22"/>
      <c r="I489" s="181"/>
      <c r="J489" s="182"/>
      <c r="K489" s="182"/>
      <c r="L489" s="182"/>
      <c r="M489" s="234"/>
      <c r="N489" s="28"/>
      <c r="O489" s="181"/>
      <c r="P489" s="183"/>
      <c r="Q489" s="104"/>
      <c r="R489" s="233"/>
      <c r="S489" s="164"/>
      <c r="T489" s="164"/>
      <c r="U489" s="162"/>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row>
    <row r="490" ht="29.25" hidden="1" customHeight="1">
      <c r="A490" s="230"/>
      <c r="B490" s="231"/>
      <c r="C490" s="179"/>
      <c r="D490" s="179"/>
      <c r="E490" s="180"/>
      <c r="F490" s="162"/>
      <c r="G490" s="232"/>
      <c r="H490" s="22"/>
      <c r="I490" s="181"/>
      <c r="J490" s="182"/>
      <c r="K490" s="182"/>
      <c r="L490" s="182"/>
      <c r="M490" s="234"/>
      <c r="N490" s="28"/>
      <c r="O490" s="181"/>
      <c r="P490" s="183"/>
      <c r="Q490" s="104"/>
      <c r="R490" s="233"/>
      <c r="S490" s="164"/>
      <c r="T490" s="164"/>
      <c r="U490" s="162"/>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row>
    <row r="491" ht="29.25" hidden="1" customHeight="1">
      <c r="A491" s="230"/>
      <c r="B491" s="231"/>
      <c r="C491" s="179"/>
      <c r="D491" s="179"/>
      <c r="E491" s="180"/>
      <c r="F491" s="162"/>
      <c r="G491" s="232"/>
      <c r="H491" s="22"/>
      <c r="I491" s="181"/>
      <c r="J491" s="182"/>
      <c r="K491" s="182"/>
      <c r="L491" s="182"/>
      <c r="M491" s="234"/>
      <c r="N491" s="28"/>
      <c r="O491" s="181"/>
      <c r="P491" s="183"/>
      <c r="Q491" s="104"/>
      <c r="R491" s="233"/>
      <c r="S491" s="164"/>
      <c r="T491" s="164"/>
      <c r="U491" s="162"/>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row>
    <row r="492" ht="29.25" hidden="1" customHeight="1">
      <c r="A492" s="230"/>
      <c r="B492" s="231"/>
      <c r="C492" s="179"/>
      <c r="D492" s="179"/>
      <c r="E492" s="180"/>
      <c r="F492" s="162"/>
      <c r="G492" s="232"/>
      <c r="H492" s="22"/>
      <c r="I492" s="181"/>
      <c r="J492" s="182"/>
      <c r="K492" s="182"/>
      <c r="L492" s="182"/>
      <c r="M492" s="234"/>
      <c r="N492" s="28"/>
      <c r="O492" s="181"/>
      <c r="P492" s="183"/>
      <c r="Q492" s="104"/>
      <c r="R492" s="233"/>
      <c r="S492" s="164"/>
      <c r="T492" s="164"/>
      <c r="U492" s="162"/>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row>
    <row r="493" ht="29.25" hidden="1" customHeight="1">
      <c r="A493" s="230"/>
      <c r="B493" s="231"/>
      <c r="C493" s="179"/>
      <c r="D493" s="179"/>
      <c r="E493" s="180"/>
      <c r="F493" s="162"/>
      <c r="G493" s="232"/>
      <c r="H493" s="22"/>
      <c r="I493" s="181"/>
      <c r="J493" s="182"/>
      <c r="K493" s="182"/>
      <c r="L493" s="182"/>
      <c r="M493" s="234"/>
      <c r="N493" s="28"/>
      <c r="O493" s="181"/>
      <c r="P493" s="183"/>
      <c r="Q493" s="104"/>
      <c r="R493" s="233"/>
      <c r="S493" s="164"/>
      <c r="T493" s="164"/>
      <c r="U493" s="162"/>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row>
    <row r="494" ht="29.25" hidden="1" customHeight="1">
      <c r="A494" s="230"/>
      <c r="B494" s="231"/>
      <c r="C494" s="179"/>
      <c r="D494" s="179"/>
      <c r="E494" s="180"/>
      <c r="F494" s="162"/>
      <c r="G494" s="232"/>
      <c r="H494" s="22"/>
      <c r="I494" s="181"/>
      <c r="J494" s="182"/>
      <c r="K494" s="182"/>
      <c r="L494" s="182"/>
      <c r="M494" s="234"/>
      <c r="N494" s="28"/>
      <c r="O494" s="181"/>
      <c r="P494" s="183"/>
      <c r="Q494" s="104"/>
      <c r="R494" s="233"/>
      <c r="S494" s="164"/>
      <c r="T494" s="164"/>
      <c r="U494" s="162"/>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row>
    <row r="495" ht="29.25" hidden="1" customHeight="1">
      <c r="A495" s="230"/>
      <c r="B495" s="231"/>
      <c r="C495" s="179"/>
      <c r="D495" s="179"/>
      <c r="E495" s="180"/>
      <c r="F495" s="162"/>
      <c r="G495" s="232"/>
      <c r="H495" s="22"/>
      <c r="I495" s="181"/>
      <c r="J495" s="182"/>
      <c r="K495" s="182"/>
      <c r="L495" s="182"/>
      <c r="M495" s="234"/>
      <c r="N495" s="28"/>
      <c r="O495" s="181"/>
      <c r="P495" s="183"/>
      <c r="Q495" s="104"/>
      <c r="R495" s="233"/>
      <c r="S495" s="164"/>
      <c r="T495" s="164"/>
      <c r="U495" s="162"/>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row>
    <row r="496" ht="29.25" hidden="1" customHeight="1">
      <c r="A496" s="230"/>
      <c r="B496" s="231"/>
      <c r="C496" s="179"/>
      <c r="D496" s="179"/>
      <c r="E496" s="180"/>
      <c r="F496" s="162"/>
      <c r="G496" s="232"/>
      <c r="H496" s="22"/>
      <c r="I496" s="181"/>
      <c r="J496" s="182"/>
      <c r="K496" s="182"/>
      <c r="L496" s="182"/>
      <c r="M496" s="234"/>
      <c r="N496" s="28"/>
      <c r="O496" s="181"/>
      <c r="P496" s="183"/>
      <c r="Q496" s="104"/>
      <c r="R496" s="233"/>
      <c r="S496" s="164"/>
      <c r="T496" s="164"/>
      <c r="U496" s="162"/>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row>
    <row r="497" ht="29.25" hidden="1" customHeight="1">
      <c r="A497" s="230"/>
      <c r="B497" s="231"/>
      <c r="C497" s="179"/>
      <c r="D497" s="179"/>
      <c r="E497" s="180"/>
      <c r="F497" s="162"/>
      <c r="G497" s="232"/>
      <c r="H497" s="22"/>
      <c r="I497" s="181"/>
      <c r="J497" s="182"/>
      <c r="K497" s="182"/>
      <c r="L497" s="182"/>
      <c r="M497" s="234"/>
      <c r="N497" s="28"/>
      <c r="O497" s="181"/>
      <c r="P497" s="183"/>
      <c r="Q497" s="104"/>
      <c r="R497" s="233"/>
      <c r="S497" s="164"/>
      <c r="T497" s="164"/>
      <c r="U497" s="162"/>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row>
    <row r="498" ht="29.25" hidden="1" customHeight="1">
      <c r="A498" s="230"/>
      <c r="B498" s="231"/>
      <c r="C498" s="179"/>
      <c r="D498" s="179"/>
      <c r="E498" s="180"/>
      <c r="F498" s="162"/>
      <c r="G498" s="232"/>
      <c r="H498" s="22"/>
      <c r="I498" s="181"/>
      <c r="J498" s="182"/>
      <c r="K498" s="182"/>
      <c r="L498" s="182"/>
      <c r="M498" s="234"/>
      <c r="N498" s="28"/>
      <c r="O498" s="181"/>
      <c r="P498" s="183"/>
      <c r="Q498" s="104"/>
      <c r="R498" s="233"/>
      <c r="S498" s="164"/>
      <c r="T498" s="164"/>
      <c r="U498" s="162"/>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row>
    <row r="499" ht="29.25" hidden="1" customHeight="1">
      <c r="A499" s="230"/>
      <c r="B499" s="231"/>
      <c r="C499" s="179"/>
      <c r="D499" s="179"/>
      <c r="E499" s="180"/>
      <c r="F499" s="162"/>
      <c r="G499" s="232"/>
      <c r="H499" s="22"/>
      <c r="I499" s="181"/>
      <c r="J499" s="182"/>
      <c r="K499" s="182"/>
      <c r="L499" s="182"/>
      <c r="M499" s="234"/>
      <c r="N499" s="28"/>
      <c r="O499" s="181"/>
      <c r="P499" s="183"/>
      <c r="Q499" s="104"/>
      <c r="R499" s="233"/>
      <c r="S499" s="164"/>
      <c r="T499" s="164"/>
      <c r="U499" s="162"/>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row>
    <row r="500" ht="29.25" hidden="1" customHeight="1">
      <c r="A500" s="230"/>
      <c r="B500" s="231"/>
      <c r="C500" s="179"/>
      <c r="D500" s="179"/>
      <c r="E500" s="180"/>
      <c r="F500" s="162"/>
      <c r="G500" s="232"/>
      <c r="H500" s="22"/>
      <c r="I500" s="181"/>
      <c r="J500" s="182"/>
      <c r="K500" s="182"/>
      <c r="L500" s="182"/>
      <c r="M500" s="234"/>
      <c r="N500" s="28"/>
      <c r="O500" s="181"/>
      <c r="P500" s="183"/>
      <c r="Q500" s="104"/>
      <c r="R500" s="233"/>
      <c r="S500" s="164"/>
      <c r="T500" s="164"/>
      <c r="U500" s="162"/>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row>
    <row r="501" ht="29.25" hidden="1" customHeight="1">
      <c r="A501" s="230"/>
      <c r="B501" s="231"/>
      <c r="C501" s="179"/>
      <c r="D501" s="179"/>
      <c r="E501" s="180"/>
      <c r="F501" s="162"/>
      <c r="G501" s="232"/>
      <c r="H501" s="22"/>
      <c r="I501" s="181"/>
      <c r="J501" s="182"/>
      <c r="K501" s="182"/>
      <c r="L501" s="182"/>
      <c r="M501" s="234"/>
      <c r="N501" s="28"/>
      <c r="O501" s="181"/>
      <c r="P501" s="183"/>
      <c r="Q501" s="104"/>
      <c r="R501" s="233"/>
      <c r="S501" s="164"/>
      <c r="T501" s="164"/>
      <c r="U501" s="162"/>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row>
    <row r="502" ht="29.25" hidden="1" customHeight="1">
      <c r="A502" s="230"/>
      <c r="B502" s="231"/>
      <c r="C502" s="179"/>
      <c r="D502" s="179"/>
      <c r="E502" s="180"/>
      <c r="F502" s="162"/>
      <c r="G502" s="232"/>
      <c r="H502" s="22"/>
      <c r="I502" s="181"/>
      <c r="J502" s="182"/>
      <c r="K502" s="182"/>
      <c r="L502" s="182"/>
      <c r="M502" s="234"/>
      <c r="N502" s="28"/>
      <c r="O502" s="181"/>
      <c r="P502" s="183"/>
      <c r="Q502" s="104"/>
      <c r="R502" s="233"/>
      <c r="S502" s="164"/>
      <c r="T502" s="164"/>
      <c r="U502" s="162"/>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row>
    <row r="503" ht="29.25" hidden="1" customHeight="1">
      <c r="A503" s="230"/>
      <c r="B503" s="231"/>
      <c r="C503" s="179"/>
      <c r="D503" s="179"/>
      <c r="E503" s="180"/>
      <c r="F503" s="162"/>
      <c r="G503" s="232"/>
      <c r="H503" s="22"/>
      <c r="I503" s="181"/>
      <c r="J503" s="182"/>
      <c r="K503" s="182"/>
      <c r="L503" s="182"/>
      <c r="M503" s="234"/>
      <c r="N503" s="28"/>
      <c r="O503" s="181"/>
      <c r="P503" s="183"/>
      <c r="Q503" s="104"/>
      <c r="R503" s="233"/>
      <c r="S503" s="164"/>
      <c r="T503" s="164"/>
      <c r="U503" s="162"/>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row>
    <row r="504" ht="29.25" hidden="1" customHeight="1">
      <c r="A504" s="230"/>
      <c r="B504" s="231"/>
      <c r="C504" s="179"/>
      <c r="D504" s="179"/>
      <c r="E504" s="180"/>
      <c r="F504" s="162"/>
      <c r="G504" s="232"/>
      <c r="H504" s="22"/>
      <c r="I504" s="181"/>
      <c r="J504" s="182"/>
      <c r="K504" s="182"/>
      <c r="L504" s="182"/>
      <c r="M504" s="234"/>
      <c r="N504" s="28"/>
      <c r="O504" s="181"/>
      <c r="P504" s="183"/>
      <c r="Q504" s="104"/>
      <c r="R504" s="233"/>
      <c r="S504" s="164"/>
      <c r="T504" s="164"/>
      <c r="U504" s="162"/>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row>
    <row r="505" ht="29.25" hidden="1" customHeight="1">
      <c r="A505" s="230"/>
      <c r="B505" s="231"/>
      <c r="C505" s="179"/>
      <c r="D505" s="179"/>
      <c r="E505" s="180"/>
      <c r="F505" s="162"/>
      <c r="G505" s="232"/>
      <c r="H505" s="22"/>
      <c r="I505" s="181"/>
      <c r="J505" s="182"/>
      <c r="K505" s="182"/>
      <c r="L505" s="182"/>
      <c r="M505" s="234"/>
      <c r="N505" s="28"/>
      <c r="O505" s="181"/>
      <c r="P505" s="183"/>
      <c r="Q505" s="104"/>
      <c r="R505" s="233"/>
      <c r="S505" s="164"/>
      <c r="T505" s="164"/>
      <c r="U505" s="162"/>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row>
    <row r="506" ht="29.25" hidden="1" customHeight="1">
      <c r="A506" s="230"/>
      <c r="B506" s="231"/>
      <c r="C506" s="179"/>
      <c r="D506" s="179"/>
      <c r="E506" s="180"/>
      <c r="F506" s="162"/>
      <c r="G506" s="232"/>
      <c r="H506" s="22"/>
      <c r="I506" s="181"/>
      <c r="J506" s="182"/>
      <c r="K506" s="182"/>
      <c r="L506" s="182"/>
      <c r="M506" s="234"/>
      <c r="N506" s="28"/>
      <c r="O506" s="181"/>
      <c r="P506" s="183"/>
      <c r="Q506" s="104"/>
      <c r="R506" s="233"/>
      <c r="S506" s="164"/>
      <c r="T506" s="164"/>
      <c r="U506" s="162"/>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row>
    <row r="507" ht="29.25" hidden="1" customHeight="1">
      <c r="A507" s="230"/>
      <c r="B507" s="231"/>
      <c r="C507" s="179"/>
      <c r="D507" s="179"/>
      <c r="E507" s="180"/>
      <c r="F507" s="162"/>
      <c r="G507" s="232"/>
      <c r="H507" s="22"/>
      <c r="I507" s="181"/>
      <c r="J507" s="182"/>
      <c r="K507" s="182"/>
      <c r="L507" s="182"/>
      <c r="M507" s="234"/>
      <c r="N507" s="28"/>
      <c r="O507" s="181"/>
      <c r="P507" s="183"/>
      <c r="Q507" s="104"/>
      <c r="R507" s="233"/>
      <c r="S507" s="164"/>
      <c r="T507" s="164"/>
      <c r="U507" s="162"/>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row>
    <row r="508" ht="29.25" hidden="1" customHeight="1">
      <c r="A508" s="230"/>
      <c r="B508" s="231"/>
      <c r="C508" s="179"/>
      <c r="D508" s="179"/>
      <c r="E508" s="180"/>
      <c r="F508" s="162"/>
      <c r="G508" s="232"/>
      <c r="H508" s="22"/>
      <c r="I508" s="181"/>
      <c r="J508" s="182"/>
      <c r="K508" s="182"/>
      <c r="L508" s="182"/>
      <c r="M508" s="234"/>
      <c r="N508" s="28"/>
      <c r="O508" s="181"/>
      <c r="P508" s="183"/>
      <c r="Q508" s="104"/>
      <c r="R508" s="233"/>
      <c r="S508" s="164"/>
      <c r="T508" s="164"/>
      <c r="U508" s="162"/>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row>
    <row r="509" ht="29.25" hidden="1" customHeight="1">
      <c r="A509" s="230"/>
      <c r="B509" s="231"/>
      <c r="C509" s="179"/>
      <c r="D509" s="179"/>
      <c r="E509" s="180"/>
      <c r="F509" s="162"/>
      <c r="G509" s="232"/>
      <c r="H509" s="22"/>
      <c r="I509" s="181"/>
      <c r="J509" s="182"/>
      <c r="K509" s="182"/>
      <c r="L509" s="182"/>
      <c r="M509" s="234"/>
      <c r="N509" s="28"/>
      <c r="O509" s="181"/>
      <c r="P509" s="183"/>
      <c r="Q509" s="104"/>
      <c r="R509" s="233"/>
      <c r="S509" s="164"/>
      <c r="T509" s="164"/>
      <c r="U509" s="162"/>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row>
    <row r="510" ht="29.25" hidden="1" customHeight="1">
      <c r="A510" s="230"/>
      <c r="B510" s="231"/>
      <c r="C510" s="179"/>
      <c r="D510" s="179"/>
      <c r="E510" s="180"/>
      <c r="F510" s="162"/>
      <c r="G510" s="232"/>
      <c r="H510" s="22"/>
      <c r="I510" s="181"/>
      <c r="J510" s="182"/>
      <c r="K510" s="182"/>
      <c r="L510" s="182"/>
      <c r="M510" s="234"/>
      <c r="N510" s="28"/>
      <c r="O510" s="181"/>
      <c r="P510" s="183"/>
      <c r="Q510" s="104"/>
      <c r="R510" s="233"/>
      <c r="S510" s="164"/>
      <c r="T510" s="164"/>
      <c r="U510" s="162"/>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row>
    <row r="511" ht="29.25" hidden="1" customHeight="1">
      <c r="A511" s="230"/>
      <c r="B511" s="231"/>
      <c r="C511" s="179"/>
      <c r="D511" s="179"/>
      <c r="E511" s="180"/>
      <c r="F511" s="162"/>
      <c r="G511" s="232"/>
      <c r="H511" s="22"/>
      <c r="I511" s="181"/>
      <c r="J511" s="182"/>
      <c r="K511" s="182"/>
      <c r="L511" s="182"/>
      <c r="M511" s="234"/>
      <c r="N511" s="28"/>
      <c r="O511" s="181"/>
      <c r="P511" s="183"/>
      <c r="Q511" s="104"/>
      <c r="R511" s="233"/>
      <c r="S511" s="164"/>
      <c r="T511" s="164"/>
      <c r="U511" s="162"/>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row>
    <row r="512" ht="29.25" hidden="1" customHeight="1">
      <c r="A512" s="230"/>
      <c r="B512" s="231"/>
      <c r="C512" s="179"/>
      <c r="D512" s="179"/>
      <c r="E512" s="180"/>
      <c r="F512" s="162"/>
      <c r="G512" s="232"/>
      <c r="H512" s="22"/>
      <c r="I512" s="181"/>
      <c r="J512" s="182"/>
      <c r="K512" s="182"/>
      <c r="L512" s="182"/>
      <c r="M512" s="234"/>
      <c r="N512" s="28"/>
      <c r="O512" s="181"/>
      <c r="P512" s="183"/>
      <c r="Q512" s="104"/>
      <c r="R512" s="233"/>
      <c r="S512" s="164"/>
      <c r="T512" s="164"/>
      <c r="U512" s="162"/>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row>
    <row r="513" ht="29.25" hidden="1" customHeight="1">
      <c r="A513" s="230"/>
      <c r="B513" s="231"/>
      <c r="C513" s="179"/>
      <c r="D513" s="179"/>
      <c r="E513" s="180"/>
      <c r="F513" s="162"/>
      <c r="G513" s="232"/>
      <c r="H513" s="22"/>
      <c r="I513" s="181"/>
      <c r="J513" s="182"/>
      <c r="K513" s="182"/>
      <c r="L513" s="182"/>
      <c r="M513" s="234"/>
      <c r="N513" s="28"/>
      <c r="O513" s="181"/>
      <c r="P513" s="183"/>
      <c r="Q513" s="104"/>
      <c r="R513" s="233"/>
      <c r="S513" s="164"/>
      <c r="T513" s="164"/>
      <c r="U513" s="162"/>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row>
    <row r="514" ht="29.25" hidden="1" customHeight="1">
      <c r="A514" s="230"/>
      <c r="B514" s="231"/>
      <c r="C514" s="179"/>
      <c r="D514" s="179"/>
      <c r="E514" s="180"/>
      <c r="F514" s="162"/>
      <c r="G514" s="232"/>
      <c r="H514" s="22"/>
      <c r="I514" s="181"/>
      <c r="J514" s="182"/>
      <c r="K514" s="182"/>
      <c r="L514" s="182"/>
      <c r="M514" s="234"/>
      <c r="N514" s="28"/>
      <c r="O514" s="181"/>
      <c r="P514" s="183"/>
      <c r="Q514" s="104"/>
      <c r="R514" s="233"/>
      <c r="S514" s="164"/>
      <c r="T514" s="164"/>
      <c r="U514" s="162"/>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row>
    <row r="515" ht="29.25" hidden="1" customHeight="1">
      <c r="A515" s="230"/>
      <c r="B515" s="231"/>
      <c r="C515" s="179"/>
      <c r="D515" s="179"/>
      <c r="E515" s="180"/>
      <c r="F515" s="162"/>
      <c r="G515" s="232"/>
      <c r="H515" s="22"/>
      <c r="I515" s="181"/>
      <c r="J515" s="182"/>
      <c r="K515" s="182"/>
      <c r="L515" s="182"/>
      <c r="M515" s="234"/>
      <c r="N515" s="28"/>
      <c r="O515" s="181"/>
      <c r="P515" s="183"/>
      <c r="Q515" s="104"/>
      <c r="R515" s="233"/>
      <c r="S515" s="164"/>
      <c r="T515" s="164"/>
      <c r="U515" s="162"/>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row>
    <row r="516" ht="29.25" hidden="1" customHeight="1">
      <c r="A516" s="230"/>
      <c r="B516" s="231"/>
      <c r="C516" s="179"/>
      <c r="D516" s="179"/>
      <c r="E516" s="180"/>
      <c r="F516" s="162"/>
      <c r="G516" s="232"/>
      <c r="H516" s="22"/>
      <c r="I516" s="181"/>
      <c r="J516" s="182"/>
      <c r="K516" s="182"/>
      <c r="L516" s="182"/>
      <c r="M516" s="234"/>
      <c r="N516" s="28"/>
      <c r="O516" s="181"/>
      <c r="P516" s="183"/>
      <c r="Q516" s="104"/>
      <c r="R516" s="233"/>
      <c r="S516" s="164"/>
      <c r="T516" s="164"/>
      <c r="U516" s="162"/>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row>
    <row r="517" ht="29.25" hidden="1" customHeight="1">
      <c r="A517" s="230"/>
      <c r="B517" s="231"/>
      <c r="C517" s="179"/>
      <c r="D517" s="179"/>
      <c r="E517" s="180"/>
      <c r="F517" s="162"/>
      <c r="G517" s="232"/>
      <c r="H517" s="22"/>
      <c r="I517" s="181"/>
      <c r="J517" s="182"/>
      <c r="K517" s="182"/>
      <c r="L517" s="182"/>
      <c r="M517" s="234"/>
      <c r="N517" s="28"/>
      <c r="O517" s="181"/>
      <c r="P517" s="183"/>
      <c r="Q517" s="104"/>
      <c r="R517" s="233"/>
      <c r="S517" s="164"/>
      <c r="T517" s="164"/>
      <c r="U517" s="162"/>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row>
    <row r="518" ht="29.25" hidden="1" customHeight="1">
      <c r="A518" s="230"/>
      <c r="B518" s="231"/>
      <c r="C518" s="179"/>
      <c r="D518" s="179"/>
      <c r="E518" s="180"/>
      <c r="F518" s="162"/>
      <c r="G518" s="232"/>
      <c r="H518" s="22"/>
      <c r="I518" s="181"/>
      <c r="J518" s="182"/>
      <c r="K518" s="182"/>
      <c r="L518" s="182"/>
      <c r="M518" s="234"/>
      <c r="N518" s="28"/>
      <c r="O518" s="181"/>
      <c r="P518" s="183"/>
      <c r="Q518" s="104"/>
      <c r="R518" s="233"/>
      <c r="S518" s="164"/>
      <c r="T518" s="164"/>
      <c r="U518" s="162"/>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row>
    <row r="519" ht="29.25" hidden="1" customHeight="1">
      <c r="A519" s="230"/>
      <c r="B519" s="231"/>
      <c r="C519" s="179"/>
      <c r="D519" s="179"/>
      <c r="E519" s="180"/>
      <c r="F519" s="162"/>
      <c r="G519" s="232"/>
      <c r="H519" s="22"/>
      <c r="I519" s="181"/>
      <c r="J519" s="182"/>
      <c r="K519" s="182"/>
      <c r="L519" s="182"/>
      <c r="M519" s="234"/>
      <c r="N519" s="28"/>
      <c r="O519" s="181"/>
      <c r="P519" s="183"/>
      <c r="Q519" s="104"/>
      <c r="R519" s="233"/>
      <c r="S519" s="164"/>
      <c r="T519" s="164"/>
      <c r="U519" s="162"/>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row>
    <row r="520" ht="29.25" hidden="1" customHeight="1">
      <c r="A520" s="230"/>
      <c r="B520" s="231"/>
      <c r="C520" s="179"/>
      <c r="D520" s="179"/>
      <c r="E520" s="180"/>
      <c r="F520" s="162"/>
      <c r="G520" s="232"/>
      <c r="H520" s="22"/>
      <c r="I520" s="181"/>
      <c r="J520" s="182"/>
      <c r="K520" s="182"/>
      <c r="L520" s="182"/>
      <c r="M520" s="234"/>
      <c r="N520" s="28"/>
      <c r="O520" s="181"/>
      <c r="P520" s="183"/>
      <c r="Q520" s="104"/>
      <c r="R520" s="233"/>
      <c r="S520" s="164"/>
      <c r="T520" s="164"/>
      <c r="U520" s="162"/>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row>
    <row r="521" ht="29.25" hidden="1" customHeight="1">
      <c r="A521" s="230"/>
      <c r="B521" s="231"/>
      <c r="C521" s="179"/>
      <c r="D521" s="179"/>
      <c r="E521" s="180"/>
      <c r="F521" s="162"/>
      <c r="G521" s="232"/>
      <c r="H521" s="22"/>
      <c r="I521" s="181"/>
      <c r="J521" s="182"/>
      <c r="K521" s="182"/>
      <c r="L521" s="182"/>
      <c r="M521" s="234"/>
      <c r="N521" s="28"/>
      <c r="O521" s="181"/>
      <c r="P521" s="183"/>
      <c r="Q521" s="104"/>
      <c r="R521" s="233"/>
      <c r="S521" s="164"/>
      <c r="T521" s="164"/>
      <c r="U521" s="162"/>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row>
    <row r="522" ht="29.25" hidden="1" customHeight="1">
      <c r="A522" s="230"/>
      <c r="B522" s="231"/>
      <c r="C522" s="179"/>
      <c r="D522" s="179"/>
      <c r="E522" s="180"/>
      <c r="F522" s="162"/>
      <c r="G522" s="232"/>
      <c r="H522" s="22"/>
      <c r="I522" s="181"/>
      <c r="J522" s="182"/>
      <c r="K522" s="182"/>
      <c r="L522" s="182"/>
      <c r="M522" s="234"/>
      <c r="N522" s="28"/>
      <c r="O522" s="181"/>
      <c r="P522" s="183"/>
      <c r="Q522" s="104"/>
      <c r="R522" s="233"/>
      <c r="S522" s="164"/>
      <c r="T522" s="164"/>
      <c r="U522" s="162"/>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row>
    <row r="523" ht="29.25" hidden="1" customHeight="1">
      <c r="A523" s="230"/>
      <c r="B523" s="231"/>
      <c r="C523" s="179"/>
      <c r="D523" s="179"/>
      <c r="E523" s="180"/>
      <c r="F523" s="162"/>
      <c r="G523" s="232"/>
      <c r="H523" s="22"/>
      <c r="I523" s="181"/>
      <c r="J523" s="182"/>
      <c r="K523" s="182"/>
      <c r="L523" s="182"/>
      <c r="M523" s="234"/>
      <c r="N523" s="28"/>
      <c r="O523" s="181"/>
      <c r="P523" s="183"/>
      <c r="Q523" s="104"/>
      <c r="R523" s="233"/>
      <c r="S523" s="164"/>
      <c r="T523" s="164"/>
      <c r="U523" s="162"/>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row>
    <row r="524" ht="29.25" hidden="1" customHeight="1">
      <c r="A524" s="230"/>
      <c r="B524" s="231"/>
      <c r="C524" s="179"/>
      <c r="D524" s="179"/>
      <c r="E524" s="180"/>
      <c r="F524" s="162"/>
      <c r="G524" s="232"/>
      <c r="H524" s="22"/>
      <c r="I524" s="181"/>
      <c r="J524" s="182"/>
      <c r="K524" s="182"/>
      <c r="L524" s="182"/>
      <c r="M524" s="234"/>
      <c r="N524" s="28"/>
      <c r="O524" s="181"/>
      <c r="P524" s="183"/>
      <c r="Q524" s="104"/>
      <c r="R524" s="233"/>
      <c r="S524" s="164"/>
      <c r="T524" s="164"/>
      <c r="U524" s="162"/>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row>
    <row r="525" ht="29.25" hidden="1" customHeight="1">
      <c r="A525" s="230"/>
      <c r="B525" s="231"/>
      <c r="C525" s="179"/>
      <c r="D525" s="179"/>
      <c r="E525" s="180"/>
      <c r="F525" s="162"/>
      <c r="G525" s="232"/>
      <c r="H525" s="22"/>
      <c r="I525" s="181"/>
      <c r="J525" s="182"/>
      <c r="K525" s="182"/>
      <c r="L525" s="182"/>
      <c r="M525" s="234"/>
      <c r="N525" s="28"/>
      <c r="O525" s="181"/>
      <c r="P525" s="183"/>
      <c r="Q525" s="104"/>
      <c r="R525" s="233"/>
      <c r="S525" s="164"/>
      <c r="T525" s="164"/>
      <c r="U525" s="162"/>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row>
    <row r="526" ht="29.25" hidden="1" customHeight="1">
      <c r="A526" s="230"/>
      <c r="B526" s="231"/>
      <c r="C526" s="179"/>
      <c r="D526" s="179"/>
      <c r="E526" s="180"/>
      <c r="F526" s="162"/>
      <c r="G526" s="232"/>
      <c r="H526" s="22"/>
      <c r="I526" s="181"/>
      <c r="J526" s="182"/>
      <c r="K526" s="182"/>
      <c r="L526" s="182"/>
      <c r="M526" s="234"/>
      <c r="N526" s="28"/>
      <c r="O526" s="181"/>
      <c r="P526" s="183"/>
      <c r="Q526" s="104"/>
      <c r="R526" s="233"/>
      <c r="S526" s="164"/>
      <c r="T526" s="164"/>
      <c r="U526" s="162"/>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row>
    <row r="527" ht="29.25" hidden="1" customHeight="1">
      <c r="A527" s="230"/>
      <c r="B527" s="231"/>
      <c r="C527" s="179"/>
      <c r="D527" s="179"/>
      <c r="E527" s="180"/>
      <c r="F527" s="162"/>
      <c r="G527" s="232"/>
      <c r="H527" s="22"/>
      <c r="I527" s="181"/>
      <c r="J527" s="182"/>
      <c r="K527" s="182"/>
      <c r="L527" s="182"/>
      <c r="M527" s="234"/>
      <c r="N527" s="28"/>
      <c r="O527" s="181"/>
      <c r="P527" s="183"/>
      <c r="Q527" s="104"/>
      <c r="R527" s="233"/>
      <c r="S527" s="164"/>
      <c r="T527" s="164"/>
      <c r="U527" s="162"/>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row>
    <row r="528" ht="29.25" hidden="1" customHeight="1">
      <c r="A528" s="230"/>
      <c r="B528" s="231"/>
      <c r="C528" s="179"/>
      <c r="D528" s="179"/>
      <c r="E528" s="180"/>
      <c r="F528" s="162"/>
      <c r="G528" s="232"/>
      <c r="H528" s="22"/>
      <c r="I528" s="181"/>
      <c r="J528" s="182"/>
      <c r="K528" s="182"/>
      <c r="L528" s="182"/>
      <c r="M528" s="234"/>
      <c r="N528" s="28"/>
      <c r="O528" s="181"/>
      <c r="P528" s="183"/>
      <c r="Q528" s="104"/>
      <c r="R528" s="233"/>
      <c r="S528" s="164"/>
      <c r="T528" s="164"/>
      <c r="U528" s="162"/>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row>
    <row r="529" ht="29.25" hidden="1" customHeight="1">
      <c r="A529" s="230"/>
      <c r="B529" s="231"/>
      <c r="C529" s="179"/>
      <c r="D529" s="179"/>
      <c r="E529" s="180"/>
      <c r="F529" s="162"/>
      <c r="G529" s="232"/>
      <c r="H529" s="22"/>
      <c r="I529" s="181"/>
      <c r="J529" s="182"/>
      <c r="K529" s="182"/>
      <c r="L529" s="182"/>
      <c r="M529" s="234"/>
      <c r="N529" s="28"/>
      <c r="O529" s="181"/>
      <c r="P529" s="183"/>
      <c r="Q529" s="104"/>
      <c r="R529" s="233"/>
      <c r="S529" s="164"/>
      <c r="T529" s="164"/>
      <c r="U529" s="162"/>
      <c r="V529" s="235"/>
      <c r="W529" s="235"/>
      <c r="X529" s="235"/>
      <c r="Y529" s="235"/>
      <c r="Z529" s="235"/>
      <c r="AA529" s="235"/>
      <c r="AB529" s="235"/>
      <c r="AC529" s="235"/>
      <c r="AD529" s="235"/>
      <c r="AE529" s="235"/>
      <c r="AF529" s="235"/>
      <c r="AG529" s="235"/>
      <c r="AH529" s="235"/>
      <c r="AI529" s="235"/>
      <c r="AJ529" s="235"/>
      <c r="AK529" s="235"/>
      <c r="AL529" s="235"/>
      <c r="AM529" s="235"/>
      <c r="AN529" s="235"/>
      <c r="AO529" s="235"/>
      <c r="AP529" s="235"/>
      <c r="AQ529" s="235"/>
      <c r="AR529" s="235"/>
      <c r="AS529" s="235"/>
      <c r="AT529" s="235"/>
      <c r="AU529" s="235"/>
      <c r="AV529" s="235"/>
      <c r="AW529" s="235"/>
      <c r="AX529" s="235"/>
      <c r="AY529" s="235"/>
      <c r="AZ529" s="235"/>
      <c r="BA529" s="235"/>
      <c r="BB529" s="235"/>
      <c r="BC529" s="235"/>
      <c r="BD529" s="235"/>
      <c r="BE529" s="235"/>
      <c r="BF529" s="235"/>
      <c r="BG529" s="235"/>
      <c r="BH529" s="235"/>
      <c r="BI529" s="235"/>
      <c r="BJ529" s="235"/>
      <c r="BK529" s="235"/>
      <c r="BL529" s="235"/>
      <c r="BM529" s="235"/>
      <c r="BN529" s="235"/>
      <c r="BO529" s="235"/>
    </row>
    <row r="530" ht="29.25" hidden="1" customHeight="1">
      <c r="A530" s="230"/>
      <c r="B530" s="231"/>
      <c r="C530" s="179"/>
      <c r="D530" s="179"/>
      <c r="E530" s="180"/>
      <c r="F530" s="162"/>
      <c r="G530" s="232"/>
      <c r="H530" s="22"/>
      <c r="I530" s="181"/>
      <c r="J530" s="182"/>
      <c r="K530" s="182"/>
      <c r="L530" s="182"/>
      <c r="M530" s="234"/>
      <c r="N530" s="28"/>
      <c r="O530" s="181"/>
      <c r="P530" s="183"/>
      <c r="Q530" s="104"/>
      <c r="R530" s="233"/>
      <c r="S530" s="164"/>
      <c r="T530" s="164"/>
      <c r="U530" s="162"/>
      <c r="V530" s="235"/>
      <c r="W530" s="235"/>
      <c r="X530" s="235"/>
      <c r="Y530" s="235"/>
      <c r="Z530" s="235"/>
      <c r="AA530" s="235"/>
      <c r="AB530" s="235"/>
      <c r="AC530" s="235"/>
      <c r="AD530" s="235"/>
      <c r="AE530" s="235"/>
      <c r="AF530" s="235"/>
      <c r="AG530" s="235"/>
      <c r="AH530" s="235"/>
      <c r="AI530" s="235"/>
      <c r="AJ530" s="235"/>
      <c r="AK530" s="235"/>
      <c r="AL530" s="235"/>
      <c r="AM530" s="235"/>
      <c r="AN530" s="235"/>
      <c r="AO530" s="235"/>
      <c r="AP530" s="235"/>
      <c r="AQ530" s="235"/>
      <c r="AR530" s="235"/>
      <c r="AS530" s="235"/>
      <c r="AT530" s="235"/>
      <c r="AU530" s="235"/>
      <c r="AV530" s="235"/>
      <c r="AW530" s="235"/>
      <c r="AX530" s="235"/>
      <c r="AY530" s="235"/>
      <c r="AZ530" s="235"/>
      <c r="BA530" s="235"/>
      <c r="BB530" s="235"/>
      <c r="BC530" s="235"/>
      <c r="BD530" s="235"/>
      <c r="BE530" s="235"/>
      <c r="BF530" s="235"/>
      <c r="BG530" s="235"/>
      <c r="BH530" s="235"/>
      <c r="BI530" s="235"/>
      <c r="BJ530" s="235"/>
      <c r="BK530" s="235"/>
      <c r="BL530" s="235"/>
      <c r="BM530" s="235"/>
      <c r="BN530" s="235"/>
      <c r="BO530" s="235"/>
    </row>
    <row r="531" ht="29.25" hidden="1" customHeight="1">
      <c r="A531" s="230"/>
      <c r="B531" s="231"/>
      <c r="C531" s="179"/>
      <c r="D531" s="179"/>
      <c r="E531" s="180"/>
      <c r="F531" s="162"/>
      <c r="G531" s="232"/>
      <c r="H531" s="22"/>
      <c r="I531" s="181"/>
      <c r="J531" s="182"/>
      <c r="K531" s="182"/>
      <c r="L531" s="182"/>
      <c r="M531" s="234"/>
      <c r="N531" s="28"/>
      <c r="O531" s="181"/>
      <c r="P531" s="183"/>
      <c r="Q531" s="104"/>
      <c r="R531" s="233"/>
      <c r="S531" s="164"/>
      <c r="T531" s="164"/>
      <c r="U531" s="162"/>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c r="BD531" s="235"/>
      <c r="BE531" s="235"/>
      <c r="BF531" s="235"/>
      <c r="BG531" s="235"/>
      <c r="BH531" s="235"/>
      <c r="BI531" s="235"/>
      <c r="BJ531" s="235"/>
      <c r="BK531" s="235"/>
      <c r="BL531" s="235"/>
      <c r="BM531" s="235"/>
      <c r="BN531" s="235"/>
      <c r="BO531" s="235"/>
    </row>
    <row r="532" ht="29.25" hidden="1" customHeight="1">
      <c r="A532" s="230"/>
      <c r="B532" s="231"/>
      <c r="C532" s="179"/>
      <c r="D532" s="179"/>
      <c r="E532" s="180"/>
      <c r="F532" s="162"/>
      <c r="G532" s="232"/>
      <c r="H532" s="22"/>
      <c r="I532" s="181"/>
      <c r="J532" s="182"/>
      <c r="K532" s="182"/>
      <c r="L532" s="182"/>
      <c r="M532" s="234"/>
      <c r="N532" s="28"/>
      <c r="O532" s="181"/>
      <c r="P532" s="183"/>
      <c r="Q532" s="104"/>
      <c r="R532" s="233"/>
      <c r="S532" s="164"/>
      <c r="T532" s="164"/>
      <c r="U532" s="162"/>
      <c r="V532" s="235"/>
      <c r="W532" s="235"/>
      <c r="X532" s="235"/>
      <c r="Y532" s="235"/>
      <c r="Z532" s="235"/>
      <c r="AA532" s="235"/>
      <c r="AB532" s="235"/>
      <c r="AC532" s="235"/>
      <c r="AD532" s="235"/>
      <c r="AE532" s="235"/>
      <c r="AF532" s="235"/>
      <c r="AG532" s="235"/>
      <c r="AH532" s="235"/>
      <c r="AI532" s="235"/>
      <c r="AJ532" s="235"/>
      <c r="AK532" s="235"/>
      <c r="AL532" s="235"/>
      <c r="AM532" s="235"/>
      <c r="AN532" s="235"/>
      <c r="AO532" s="235"/>
      <c r="AP532" s="235"/>
      <c r="AQ532" s="235"/>
      <c r="AR532" s="235"/>
      <c r="AS532" s="235"/>
      <c r="AT532" s="235"/>
      <c r="AU532" s="235"/>
      <c r="AV532" s="235"/>
      <c r="AW532" s="235"/>
      <c r="AX532" s="235"/>
      <c r="AY532" s="235"/>
      <c r="AZ532" s="235"/>
      <c r="BA532" s="235"/>
      <c r="BB532" s="235"/>
      <c r="BC532" s="235"/>
      <c r="BD532" s="235"/>
      <c r="BE532" s="235"/>
      <c r="BF532" s="235"/>
      <c r="BG532" s="235"/>
      <c r="BH532" s="235"/>
      <c r="BI532" s="235"/>
      <c r="BJ532" s="235"/>
      <c r="BK532" s="235"/>
      <c r="BL532" s="235"/>
      <c r="BM532" s="235"/>
      <c r="BN532" s="235"/>
      <c r="BO532" s="235"/>
    </row>
    <row r="533" ht="29.25" hidden="1" customHeight="1">
      <c r="A533" s="230"/>
      <c r="B533" s="231"/>
      <c r="C533" s="179"/>
      <c r="D533" s="179"/>
      <c r="E533" s="180"/>
      <c r="F533" s="162"/>
      <c r="G533" s="232"/>
      <c r="H533" s="22"/>
      <c r="I533" s="181"/>
      <c r="J533" s="182"/>
      <c r="K533" s="182"/>
      <c r="L533" s="182"/>
      <c r="M533" s="234"/>
      <c r="N533" s="28"/>
      <c r="O533" s="181"/>
      <c r="P533" s="183"/>
      <c r="Q533" s="104"/>
      <c r="R533" s="233"/>
      <c r="S533" s="164"/>
      <c r="T533" s="164"/>
      <c r="U533" s="162"/>
      <c r="V533" s="235"/>
      <c r="W533" s="235"/>
      <c r="X533" s="235"/>
      <c r="Y533" s="235"/>
      <c r="Z533" s="235"/>
      <c r="AA533" s="235"/>
      <c r="AB533" s="235"/>
      <c r="AC533" s="235"/>
      <c r="AD533" s="235"/>
      <c r="AE533" s="235"/>
      <c r="AF533" s="235"/>
      <c r="AG533" s="235"/>
      <c r="AH533" s="235"/>
      <c r="AI533" s="235"/>
      <c r="AJ533" s="235"/>
      <c r="AK533" s="235"/>
      <c r="AL533" s="235"/>
      <c r="AM533" s="235"/>
      <c r="AN533" s="235"/>
      <c r="AO533" s="235"/>
      <c r="AP533" s="235"/>
      <c r="AQ533" s="235"/>
      <c r="AR533" s="235"/>
      <c r="AS533" s="235"/>
      <c r="AT533" s="235"/>
      <c r="AU533" s="235"/>
      <c r="AV533" s="235"/>
      <c r="AW533" s="235"/>
      <c r="AX533" s="235"/>
      <c r="AY533" s="235"/>
      <c r="AZ533" s="235"/>
      <c r="BA533" s="235"/>
      <c r="BB533" s="235"/>
      <c r="BC533" s="235"/>
      <c r="BD533" s="235"/>
      <c r="BE533" s="235"/>
      <c r="BF533" s="235"/>
      <c r="BG533" s="235"/>
      <c r="BH533" s="235"/>
      <c r="BI533" s="235"/>
      <c r="BJ533" s="235"/>
      <c r="BK533" s="235"/>
      <c r="BL533" s="235"/>
      <c r="BM533" s="235"/>
      <c r="BN533" s="235"/>
      <c r="BO533" s="235"/>
    </row>
    <row r="534" ht="29.25" hidden="1" customHeight="1">
      <c r="A534" s="230"/>
      <c r="B534" s="231"/>
      <c r="C534" s="179"/>
      <c r="D534" s="179"/>
      <c r="E534" s="180"/>
      <c r="F534" s="162"/>
      <c r="G534" s="232"/>
      <c r="H534" s="22"/>
      <c r="I534" s="181"/>
      <c r="J534" s="182"/>
      <c r="K534" s="182"/>
      <c r="L534" s="182"/>
      <c r="M534" s="234"/>
      <c r="N534" s="28"/>
      <c r="O534" s="181"/>
      <c r="P534" s="183"/>
      <c r="Q534" s="104"/>
      <c r="R534" s="233"/>
      <c r="S534" s="164"/>
      <c r="T534" s="164"/>
      <c r="U534" s="162"/>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c r="AW534" s="235"/>
      <c r="AX534" s="235"/>
      <c r="AY534" s="235"/>
      <c r="AZ534" s="235"/>
      <c r="BA534" s="235"/>
      <c r="BB534" s="235"/>
      <c r="BC534" s="235"/>
      <c r="BD534" s="235"/>
      <c r="BE534" s="235"/>
      <c r="BF534" s="235"/>
      <c r="BG534" s="235"/>
      <c r="BH534" s="235"/>
      <c r="BI534" s="235"/>
      <c r="BJ534" s="235"/>
      <c r="BK534" s="235"/>
      <c r="BL534" s="235"/>
      <c r="BM534" s="235"/>
      <c r="BN534" s="235"/>
      <c r="BO534" s="235"/>
    </row>
    <row r="535" ht="29.25" hidden="1" customHeight="1">
      <c r="A535" s="230"/>
      <c r="B535" s="231"/>
      <c r="C535" s="179"/>
      <c r="D535" s="179"/>
      <c r="E535" s="180"/>
      <c r="F535" s="162"/>
      <c r="G535" s="232"/>
      <c r="H535" s="22"/>
      <c r="I535" s="181"/>
      <c r="J535" s="182"/>
      <c r="K535" s="182"/>
      <c r="L535" s="182"/>
      <c r="M535" s="234"/>
      <c r="N535" s="28"/>
      <c r="O535" s="181"/>
      <c r="P535" s="183"/>
      <c r="Q535" s="104"/>
      <c r="R535" s="233"/>
      <c r="S535" s="164"/>
      <c r="T535" s="164"/>
      <c r="U535" s="162"/>
      <c r="V535" s="235"/>
      <c r="W535" s="235"/>
      <c r="X535" s="235"/>
      <c r="Y535" s="235"/>
      <c r="Z535" s="235"/>
      <c r="AA535" s="235"/>
      <c r="AB535" s="235"/>
      <c r="AC535" s="235"/>
      <c r="AD535" s="235"/>
      <c r="AE535" s="235"/>
      <c r="AF535" s="235"/>
      <c r="AG535" s="235"/>
      <c r="AH535" s="235"/>
      <c r="AI535" s="235"/>
      <c r="AJ535" s="235"/>
      <c r="AK535" s="235"/>
      <c r="AL535" s="235"/>
      <c r="AM535" s="235"/>
      <c r="AN535" s="235"/>
      <c r="AO535" s="235"/>
      <c r="AP535" s="235"/>
      <c r="AQ535" s="235"/>
      <c r="AR535" s="235"/>
      <c r="AS535" s="235"/>
      <c r="AT535" s="235"/>
      <c r="AU535" s="235"/>
      <c r="AV535" s="235"/>
      <c r="AW535" s="235"/>
      <c r="AX535" s="235"/>
      <c r="AY535" s="235"/>
      <c r="AZ535" s="235"/>
      <c r="BA535" s="235"/>
      <c r="BB535" s="235"/>
      <c r="BC535" s="235"/>
      <c r="BD535" s="235"/>
      <c r="BE535" s="235"/>
      <c r="BF535" s="235"/>
      <c r="BG535" s="235"/>
      <c r="BH535" s="235"/>
      <c r="BI535" s="235"/>
      <c r="BJ535" s="235"/>
      <c r="BK535" s="235"/>
      <c r="BL535" s="235"/>
      <c r="BM535" s="235"/>
      <c r="BN535" s="235"/>
      <c r="BO535" s="235"/>
    </row>
    <row r="536" ht="29.25" hidden="1" customHeight="1">
      <c r="A536" s="230"/>
      <c r="B536" s="231"/>
      <c r="C536" s="179"/>
      <c r="D536" s="179"/>
      <c r="E536" s="180"/>
      <c r="F536" s="162"/>
      <c r="G536" s="232"/>
      <c r="H536" s="22"/>
      <c r="I536" s="181"/>
      <c r="J536" s="182"/>
      <c r="K536" s="182"/>
      <c r="L536" s="182"/>
      <c r="M536" s="234"/>
      <c r="N536" s="28"/>
      <c r="O536" s="181"/>
      <c r="P536" s="183"/>
      <c r="Q536" s="104"/>
      <c r="R536" s="233"/>
      <c r="S536" s="164"/>
      <c r="T536" s="164"/>
      <c r="U536" s="162"/>
      <c r="V536" s="235"/>
      <c r="W536" s="235"/>
      <c r="X536" s="235"/>
      <c r="Y536" s="235"/>
      <c r="Z536" s="235"/>
      <c r="AA536" s="235"/>
      <c r="AB536" s="235"/>
      <c r="AC536" s="235"/>
      <c r="AD536" s="235"/>
      <c r="AE536" s="235"/>
      <c r="AF536" s="235"/>
      <c r="AG536" s="235"/>
      <c r="AH536" s="235"/>
      <c r="AI536" s="235"/>
      <c r="AJ536" s="235"/>
      <c r="AK536" s="235"/>
      <c r="AL536" s="235"/>
      <c r="AM536" s="235"/>
      <c r="AN536" s="235"/>
      <c r="AO536" s="235"/>
      <c r="AP536" s="235"/>
      <c r="AQ536" s="235"/>
      <c r="AR536" s="235"/>
      <c r="AS536" s="235"/>
      <c r="AT536" s="235"/>
      <c r="AU536" s="235"/>
      <c r="AV536" s="235"/>
      <c r="AW536" s="235"/>
      <c r="AX536" s="235"/>
      <c r="AY536" s="235"/>
      <c r="AZ536" s="235"/>
      <c r="BA536" s="235"/>
      <c r="BB536" s="235"/>
      <c r="BC536" s="235"/>
      <c r="BD536" s="235"/>
      <c r="BE536" s="235"/>
      <c r="BF536" s="235"/>
      <c r="BG536" s="235"/>
      <c r="BH536" s="235"/>
      <c r="BI536" s="235"/>
      <c r="BJ536" s="235"/>
      <c r="BK536" s="235"/>
      <c r="BL536" s="235"/>
      <c r="BM536" s="235"/>
      <c r="BN536" s="235"/>
      <c r="BO536" s="235"/>
    </row>
    <row r="537" ht="29.25" hidden="1" customHeight="1">
      <c r="A537" s="230"/>
      <c r="B537" s="231"/>
      <c r="C537" s="179"/>
      <c r="D537" s="179"/>
      <c r="E537" s="180"/>
      <c r="F537" s="162"/>
      <c r="G537" s="232"/>
      <c r="H537" s="22"/>
      <c r="I537" s="181"/>
      <c r="J537" s="182"/>
      <c r="K537" s="182"/>
      <c r="L537" s="182"/>
      <c r="M537" s="234"/>
      <c r="N537" s="28"/>
      <c r="O537" s="181"/>
      <c r="P537" s="183"/>
      <c r="Q537" s="104"/>
      <c r="R537" s="233"/>
      <c r="S537" s="164"/>
      <c r="T537" s="164"/>
      <c r="U537" s="162"/>
      <c r="V537" s="235"/>
      <c r="W537" s="235"/>
      <c r="X537" s="235"/>
      <c r="Y537" s="235"/>
      <c r="Z537" s="235"/>
      <c r="AA537" s="235"/>
      <c r="AB537" s="235"/>
      <c r="AC537" s="235"/>
      <c r="AD537" s="235"/>
      <c r="AE537" s="235"/>
      <c r="AF537" s="235"/>
      <c r="AG537" s="235"/>
      <c r="AH537" s="235"/>
      <c r="AI537" s="235"/>
      <c r="AJ537" s="235"/>
      <c r="AK537" s="235"/>
      <c r="AL537" s="235"/>
      <c r="AM537" s="235"/>
      <c r="AN537" s="235"/>
      <c r="AO537" s="235"/>
      <c r="AP537" s="235"/>
      <c r="AQ537" s="235"/>
      <c r="AR537" s="235"/>
      <c r="AS537" s="235"/>
      <c r="AT537" s="235"/>
      <c r="AU537" s="235"/>
      <c r="AV537" s="235"/>
      <c r="AW537" s="235"/>
      <c r="AX537" s="235"/>
      <c r="AY537" s="235"/>
      <c r="AZ537" s="235"/>
      <c r="BA537" s="235"/>
      <c r="BB537" s="235"/>
      <c r="BC537" s="235"/>
      <c r="BD537" s="235"/>
      <c r="BE537" s="235"/>
      <c r="BF537" s="235"/>
      <c r="BG537" s="235"/>
      <c r="BH537" s="235"/>
      <c r="BI537" s="235"/>
      <c r="BJ537" s="235"/>
      <c r="BK537" s="235"/>
      <c r="BL537" s="235"/>
      <c r="BM537" s="235"/>
      <c r="BN537" s="235"/>
      <c r="BO537" s="235"/>
    </row>
    <row r="538" ht="29.25" hidden="1" customHeight="1">
      <c r="A538" s="230"/>
      <c r="B538" s="231"/>
      <c r="C538" s="179"/>
      <c r="D538" s="179"/>
      <c r="E538" s="180"/>
      <c r="F538" s="162"/>
      <c r="G538" s="232"/>
      <c r="H538" s="22"/>
      <c r="I538" s="181"/>
      <c r="J538" s="182"/>
      <c r="K538" s="182"/>
      <c r="L538" s="182"/>
      <c r="M538" s="234"/>
      <c r="N538" s="28"/>
      <c r="O538" s="181"/>
      <c r="P538" s="183"/>
      <c r="Q538" s="104"/>
      <c r="R538" s="233"/>
      <c r="S538" s="164"/>
      <c r="T538" s="164"/>
      <c r="U538" s="162"/>
      <c r="V538" s="235"/>
      <c r="W538" s="235"/>
      <c r="X538" s="235"/>
      <c r="Y538" s="235"/>
      <c r="Z538" s="235"/>
      <c r="AA538" s="235"/>
      <c r="AB538" s="235"/>
      <c r="AC538" s="235"/>
      <c r="AD538" s="235"/>
      <c r="AE538" s="235"/>
      <c r="AF538" s="235"/>
      <c r="AG538" s="235"/>
      <c r="AH538" s="235"/>
      <c r="AI538" s="235"/>
      <c r="AJ538" s="235"/>
      <c r="AK538" s="235"/>
      <c r="AL538" s="235"/>
      <c r="AM538" s="235"/>
      <c r="AN538" s="235"/>
      <c r="AO538" s="235"/>
      <c r="AP538" s="235"/>
      <c r="AQ538" s="235"/>
      <c r="AR538" s="235"/>
      <c r="AS538" s="235"/>
      <c r="AT538" s="235"/>
      <c r="AU538" s="235"/>
      <c r="AV538" s="235"/>
      <c r="AW538" s="235"/>
      <c r="AX538" s="235"/>
      <c r="AY538" s="235"/>
      <c r="AZ538" s="235"/>
      <c r="BA538" s="235"/>
      <c r="BB538" s="235"/>
      <c r="BC538" s="235"/>
      <c r="BD538" s="235"/>
      <c r="BE538" s="235"/>
      <c r="BF538" s="235"/>
      <c r="BG538" s="235"/>
      <c r="BH538" s="235"/>
      <c r="BI538" s="235"/>
      <c r="BJ538" s="235"/>
      <c r="BK538" s="235"/>
      <c r="BL538" s="235"/>
      <c r="BM538" s="235"/>
      <c r="BN538" s="235"/>
      <c r="BO538" s="235"/>
    </row>
    <row r="539" ht="29.25" hidden="1" customHeight="1">
      <c r="A539" s="230"/>
      <c r="B539" s="231"/>
      <c r="C539" s="179"/>
      <c r="D539" s="179"/>
      <c r="E539" s="180"/>
      <c r="F539" s="162"/>
      <c r="G539" s="232"/>
      <c r="H539" s="22"/>
      <c r="I539" s="181"/>
      <c r="J539" s="182"/>
      <c r="K539" s="182"/>
      <c r="L539" s="182"/>
      <c r="M539" s="234"/>
      <c r="N539" s="28"/>
      <c r="O539" s="181"/>
      <c r="P539" s="183"/>
      <c r="Q539" s="104"/>
      <c r="R539" s="233"/>
      <c r="S539" s="164"/>
      <c r="T539" s="164"/>
      <c r="U539" s="162"/>
      <c r="V539" s="235"/>
      <c r="W539" s="235"/>
      <c r="X539" s="235"/>
      <c r="Y539" s="235"/>
      <c r="Z539" s="235"/>
      <c r="AA539" s="235"/>
      <c r="AB539" s="235"/>
      <c r="AC539" s="235"/>
      <c r="AD539" s="235"/>
      <c r="AE539" s="235"/>
      <c r="AF539" s="235"/>
      <c r="AG539" s="235"/>
      <c r="AH539" s="235"/>
      <c r="AI539" s="235"/>
      <c r="AJ539" s="235"/>
      <c r="AK539" s="235"/>
      <c r="AL539" s="235"/>
      <c r="AM539" s="235"/>
      <c r="AN539" s="235"/>
      <c r="AO539" s="235"/>
      <c r="AP539" s="235"/>
      <c r="AQ539" s="235"/>
      <c r="AR539" s="235"/>
      <c r="AS539" s="235"/>
      <c r="AT539" s="235"/>
      <c r="AU539" s="235"/>
      <c r="AV539" s="235"/>
      <c r="AW539" s="235"/>
      <c r="AX539" s="235"/>
      <c r="AY539" s="235"/>
      <c r="AZ539" s="235"/>
      <c r="BA539" s="235"/>
      <c r="BB539" s="235"/>
      <c r="BC539" s="235"/>
      <c r="BD539" s="235"/>
      <c r="BE539" s="235"/>
      <c r="BF539" s="235"/>
      <c r="BG539" s="235"/>
      <c r="BH539" s="235"/>
      <c r="BI539" s="235"/>
      <c r="BJ539" s="235"/>
      <c r="BK539" s="235"/>
      <c r="BL539" s="235"/>
      <c r="BM539" s="235"/>
      <c r="BN539" s="235"/>
      <c r="BO539" s="235"/>
    </row>
    <row r="540" ht="29.25" hidden="1" customHeight="1">
      <c r="A540" s="230"/>
      <c r="B540" s="231"/>
      <c r="C540" s="179"/>
      <c r="D540" s="179"/>
      <c r="E540" s="180"/>
      <c r="F540" s="162"/>
      <c r="G540" s="232"/>
      <c r="H540" s="22"/>
      <c r="I540" s="181"/>
      <c r="J540" s="182"/>
      <c r="K540" s="182"/>
      <c r="L540" s="182"/>
      <c r="M540" s="234"/>
      <c r="N540" s="28"/>
      <c r="O540" s="181"/>
      <c r="P540" s="183"/>
      <c r="Q540" s="104"/>
      <c r="R540" s="233"/>
      <c r="S540" s="164"/>
      <c r="T540" s="164"/>
      <c r="U540" s="162"/>
      <c r="V540" s="235"/>
      <c r="W540" s="235"/>
      <c r="X540" s="235"/>
      <c r="Y540" s="235"/>
      <c r="Z540" s="235"/>
      <c r="AA540" s="235"/>
      <c r="AB540" s="235"/>
      <c r="AC540" s="235"/>
      <c r="AD540" s="235"/>
      <c r="AE540" s="235"/>
      <c r="AF540" s="235"/>
      <c r="AG540" s="235"/>
      <c r="AH540" s="235"/>
      <c r="AI540" s="235"/>
      <c r="AJ540" s="235"/>
      <c r="AK540" s="235"/>
      <c r="AL540" s="235"/>
      <c r="AM540" s="235"/>
      <c r="AN540" s="235"/>
      <c r="AO540" s="235"/>
      <c r="AP540" s="235"/>
      <c r="AQ540" s="235"/>
      <c r="AR540" s="235"/>
      <c r="AS540" s="235"/>
      <c r="AT540" s="235"/>
      <c r="AU540" s="235"/>
      <c r="AV540" s="235"/>
      <c r="AW540" s="235"/>
      <c r="AX540" s="235"/>
      <c r="AY540" s="235"/>
      <c r="AZ540" s="235"/>
      <c r="BA540" s="235"/>
      <c r="BB540" s="235"/>
      <c r="BC540" s="235"/>
      <c r="BD540" s="235"/>
      <c r="BE540" s="235"/>
      <c r="BF540" s="235"/>
      <c r="BG540" s="235"/>
      <c r="BH540" s="235"/>
      <c r="BI540" s="235"/>
      <c r="BJ540" s="235"/>
      <c r="BK540" s="235"/>
      <c r="BL540" s="235"/>
      <c r="BM540" s="235"/>
      <c r="BN540" s="235"/>
      <c r="BO540" s="235"/>
    </row>
    <row r="541" ht="29.25" hidden="1" customHeight="1">
      <c r="A541" s="230"/>
      <c r="B541" s="231"/>
      <c r="C541" s="179"/>
      <c r="D541" s="179"/>
      <c r="E541" s="180"/>
      <c r="F541" s="162"/>
      <c r="G541" s="232"/>
      <c r="H541" s="22"/>
      <c r="I541" s="181"/>
      <c r="J541" s="182"/>
      <c r="K541" s="182"/>
      <c r="L541" s="182"/>
      <c r="M541" s="234"/>
      <c r="N541" s="28"/>
      <c r="O541" s="181"/>
      <c r="P541" s="183"/>
      <c r="Q541" s="104"/>
      <c r="R541" s="233"/>
      <c r="S541" s="164"/>
      <c r="T541" s="164"/>
      <c r="U541" s="162"/>
      <c r="V541" s="235"/>
      <c r="W541" s="235"/>
      <c r="X541" s="235"/>
      <c r="Y541" s="235"/>
      <c r="Z541" s="235"/>
      <c r="AA541" s="235"/>
      <c r="AB541" s="235"/>
      <c r="AC541" s="235"/>
      <c r="AD541" s="235"/>
      <c r="AE541" s="235"/>
      <c r="AF541" s="235"/>
      <c r="AG541" s="235"/>
      <c r="AH541" s="235"/>
      <c r="AI541" s="235"/>
      <c r="AJ541" s="235"/>
      <c r="AK541" s="235"/>
      <c r="AL541" s="235"/>
      <c r="AM541" s="235"/>
      <c r="AN541" s="235"/>
      <c r="AO541" s="235"/>
      <c r="AP541" s="235"/>
      <c r="AQ541" s="235"/>
      <c r="AR541" s="235"/>
      <c r="AS541" s="235"/>
      <c r="AT541" s="235"/>
      <c r="AU541" s="235"/>
      <c r="AV541" s="235"/>
      <c r="AW541" s="235"/>
      <c r="AX541" s="235"/>
      <c r="AY541" s="235"/>
      <c r="AZ541" s="235"/>
      <c r="BA541" s="235"/>
      <c r="BB541" s="235"/>
      <c r="BC541" s="235"/>
      <c r="BD541" s="235"/>
      <c r="BE541" s="235"/>
      <c r="BF541" s="235"/>
      <c r="BG541" s="235"/>
      <c r="BH541" s="235"/>
      <c r="BI541" s="235"/>
      <c r="BJ541" s="235"/>
      <c r="BK541" s="235"/>
      <c r="BL541" s="235"/>
      <c r="BM541" s="235"/>
      <c r="BN541" s="235"/>
      <c r="BO541" s="235"/>
    </row>
    <row r="542" ht="29.25" hidden="1" customHeight="1">
      <c r="A542" s="230"/>
      <c r="B542" s="231"/>
      <c r="C542" s="179"/>
      <c r="D542" s="179"/>
      <c r="E542" s="180"/>
      <c r="F542" s="162"/>
      <c r="G542" s="232"/>
      <c r="H542" s="22"/>
      <c r="I542" s="181"/>
      <c r="J542" s="182"/>
      <c r="K542" s="182"/>
      <c r="L542" s="182"/>
      <c r="M542" s="234"/>
      <c r="N542" s="28"/>
      <c r="O542" s="181"/>
      <c r="P542" s="183"/>
      <c r="Q542" s="104"/>
      <c r="R542" s="233"/>
      <c r="S542" s="164"/>
      <c r="T542" s="164"/>
      <c r="U542" s="162"/>
      <c r="V542" s="235"/>
      <c r="W542" s="235"/>
      <c r="X542" s="235"/>
      <c r="Y542" s="235"/>
      <c r="Z542" s="235"/>
      <c r="AA542" s="235"/>
      <c r="AB542" s="235"/>
      <c r="AC542" s="235"/>
      <c r="AD542" s="235"/>
      <c r="AE542" s="235"/>
      <c r="AF542" s="235"/>
      <c r="AG542" s="235"/>
      <c r="AH542" s="235"/>
      <c r="AI542" s="235"/>
      <c r="AJ542" s="235"/>
      <c r="AK542" s="235"/>
      <c r="AL542" s="235"/>
      <c r="AM542" s="235"/>
      <c r="AN542" s="235"/>
      <c r="AO542" s="235"/>
      <c r="AP542" s="235"/>
      <c r="AQ542" s="235"/>
      <c r="AR542" s="235"/>
      <c r="AS542" s="235"/>
      <c r="AT542" s="235"/>
      <c r="AU542" s="235"/>
      <c r="AV542" s="235"/>
      <c r="AW542" s="235"/>
      <c r="AX542" s="235"/>
      <c r="AY542" s="235"/>
      <c r="AZ542" s="235"/>
      <c r="BA542" s="235"/>
      <c r="BB542" s="235"/>
      <c r="BC542" s="235"/>
      <c r="BD542" s="235"/>
      <c r="BE542" s="235"/>
      <c r="BF542" s="235"/>
      <c r="BG542" s="235"/>
      <c r="BH542" s="235"/>
      <c r="BI542" s="235"/>
      <c r="BJ542" s="235"/>
      <c r="BK542" s="235"/>
      <c r="BL542" s="235"/>
      <c r="BM542" s="235"/>
      <c r="BN542" s="235"/>
      <c r="BO542" s="235"/>
    </row>
    <row r="543" ht="29.25" hidden="1" customHeight="1">
      <c r="A543" s="230"/>
      <c r="B543" s="231"/>
      <c r="C543" s="179"/>
      <c r="D543" s="179"/>
      <c r="E543" s="180"/>
      <c r="F543" s="162"/>
      <c r="G543" s="232"/>
      <c r="H543" s="22"/>
      <c r="I543" s="181"/>
      <c r="J543" s="182"/>
      <c r="K543" s="182"/>
      <c r="L543" s="182"/>
      <c r="M543" s="234"/>
      <c r="N543" s="28"/>
      <c r="O543" s="181"/>
      <c r="P543" s="183"/>
      <c r="Q543" s="104"/>
      <c r="R543" s="233"/>
      <c r="S543" s="164"/>
      <c r="T543" s="164"/>
      <c r="U543" s="162"/>
      <c r="V543" s="235"/>
      <c r="W543" s="235"/>
      <c r="X543" s="235"/>
      <c r="Y543" s="235"/>
      <c r="Z543" s="235"/>
      <c r="AA543" s="235"/>
      <c r="AB543" s="235"/>
      <c r="AC543" s="235"/>
      <c r="AD543" s="235"/>
      <c r="AE543" s="235"/>
      <c r="AF543" s="235"/>
      <c r="AG543" s="235"/>
      <c r="AH543" s="235"/>
      <c r="AI543" s="235"/>
      <c r="AJ543" s="235"/>
      <c r="AK543" s="235"/>
      <c r="AL543" s="235"/>
      <c r="AM543" s="235"/>
      <c r="AN543" s="235"/>
      <c r="AO543" s="235"/>
      <c r="AP543" s="235"/>
      <c r="AQ543" s="235"/>
      <c r="AR543" s="235"/>
      <c r="AS543" s="235"/>
      <c r="AT543" s="235"/>
      <c r="AU543" s="235"/>
      <c r="AV543" s="235"/>
      <c r="AW543" s="235"/>
      <c r="AX543" s="235"/>
      <c r="AY543" s="235"/>
      <c r="AZ543" s="235"/>
      <c r="BA543" s="235"/>
      <c r="BB543" s="235"/>
      <c r="BC543" s="235"/>
      <c r="BD543" s="235"/>
      <c r="BE543" s="235"/>
      <c r="BF543" s="235"/>
      <c r="BG543" s="235"/>
      <c r="BH543" s="235"/>
      <c r="BI543" s="235"/>
      <c r="BJ543" s="235"/>
      <c r="BK543" s="235"/>
      <c r="BL543" s="235"/>
      <c r="BM543" s="235"/>
      <c r="BN543" s="235"/>
      <c r="BO543" s="235"/>
    </row>
    <row r="544" ht="29.25" hidden="1" customHeight="1">
      <c r="A544" s="230"/>
      <c r="B544" s="231"/>
      <c r="C544" s="179"/>
      <c r="D544" s="179"/>
      <c r="E544" s="180"/>
      <c r="F544" s="162"/>
      <c r="G544" s="232"/>
      <c r="H544" s="22"/>
      <c r="I544" s="181"/>
      <c r="J544" s="182"/>
      <c r="K544" s="182"/>
      <c r="L544" s="182"/>
      <c r="M544" s="234"/>
      <c r="N544" s="28"/>
      <c r="O544" s="181"/>
      <c r="P544" s="183"/>
      <c r="Q544" s="104"/>
      <c r="R544" s="233"/>
      <c r="S544" s="164"/>
      <c r="T544" s="164"/>
      <c r="U544" s="162"/>
      <c r="V544" s="235"/>
      <c r="W544" s="235"/>
      <c r="X544" s="235"/>
      <c r="Y544" s="235"/>
      <c r="Z544" s="235"/>
      <c r="AA544" s="235"/>
      <c r="AB544" s="235"/>
      <c r="AC544" s="235"/>
      <c r="AD544" s="235"/>
      <c r="AE544" s="235"/>
      <c r="AF544" s="235"/>
      <c r="AG544" s="235"/>
      <c r="AH544" s="235"/>
      <c r="AI544" s="235"/>
      <c r="AJ544" s="235"/>
      <c r="AK544" s="235"/>
      <c r="AL544" s="235"/>
      <c r="AM544" s="235"/>
      <c r="AN544" s="235"/>
      <c r="AO544" s="235"/>
      <c r="AP544" s="235"/>
      <c r="AQ544" s="235"/>
      <c r="AR544" s="235"/>
      <c r="AS544" s="235"/>
      <c r="AT544" s="235"/>
      <c r="AU544" s="235"/>
      <c r="AV544" s="235"/>
      <c r="AW544" s="235"/>
      <c r="AX544" s="235"/>
      <c r="AY544" s="235"/>
      <c r="AZ544" s="235"/>
      <c r="BA544" s="235"/>
      <c r="BB544" s="235"/>
      <c r="BC544" s="235"/>
      <c r="BD544" s="235"/>
      <c r="BE544" s="235"/>
      <c r="BF544" s="235"/>
      <c r="BG544" s="235"/>
      <c r="BH544" s="235"/>
      <c r="BI544" s="235"/>
      <c r="BJ544" s="235"/>
      <c r="BK544" s="235"/>
      <c r="BL544" s="235"/>
      <c r="BM544" s="235"/>
      <c r="BN544" s="235"/>
      <c r="BO544" s="235"/>
    </row>
    <row r="545" ht="29.25" hidden="1" customHeight="1">
      <c r="A545" s="230"/>
      <c r="B545" s="231"/>
      <c r="C545" s="179"/>
      <c r="D545" s="179"/>
      <c r="E545" s="180"/>
      <c r="F545" s="162"/>
      <c r="G545" s="232"/>
      <c r="H545" s="22"/>
      <c r="I545" s="181"/>
      <c r="J545" s="182"/>
      <c r="K545" s="182"/>
      <c r="L545" s="182"/>
      <c r="M545" s="234"/>
      <c r="N545" s="28"/>
      <c r="O545" s="181"/>
      <c r="P545" s="183"/>
      <c r="Q545" s="104"/>
      <c r="R545" s="233"/>
      <c r="S545" s="164"/>
      <c r="T545" s="164"/>
      <c r="U545" s="162"/>
      <c r="V545" s="235"/>
      <c r="W545" s="235"/>
      <c r="X545" s="235"/>
      <c r="Y545" s="235"/>
      <c r="Z545" s="235"/>
      <c r="AA545" s="235"/>
      <c r="AB545" s="235"/>
      <c r="AC545" s="235"/>
      <c r="AD545" s="235"/>
      <c r="AE545" s="235"/>
      <c r="AF545" s="235"/>
      <c r="AG545" s="235"/>
      <c r="AH545" s="235"/>
      <c r="AI545" s="235"/>
      <c r="AJ545" s="235"/>
      <c r="AK545" s="235"/>
      <c r="AL545" s="235"/>
      <c r="AM545" s="235"/>
      <c r="AN545" s="235"/>
      <c r="AO545" s="235"/>
      <c r="AP545" s="235"/>
      <c r="AQ545" s="235"/>
      <c r="AR545" s="235"/>
      <c r="AS545" s="235"/>
      <c r="AT545" s="235"/>
      <c r="AU545" s="235"/>
      <c r="AV545" s="235"/>
      <c r="AW545" s="235"/>
      <c r="AX545" s="235"/>
      <c r="AY545" s="235"/>
      <c r="AZ545" s="235"/>
      <c r="BA545" s="235"/>
      <c r="BB545" s="235"/>
      <c r="BC545" s="235"/>
      <c r="BD545" s="235"/>
      <c r="BE545" s="235"/>
      <c r="BF545" s="235"/>
      <c r="BG545" s="235"/>
      <c r="BH545" s="235"/>
      <c r="BI545" s="235"/>
      <c r="BJ545" s="235"/>
      <c r="BK545" s="235"/>
      <c r="BL545" s="235"/>
      <c r="BM545" s="235"/>
      <c r="BN545" s="235"/>
      <c r="BO545" s="235"/>
    </row>
    <row r="546" ht="29.25" hidden="1" customHeight="1">
      <c r="A546" s="230"/>
      <c r="B546" s="231"/>
      <c r="C546" s="179"/>
      <c r="D546" s="179"/>
      <c r="E546" s="180"/>
      <c r="F546" s="162"/>
      <c r="G546" s="232"/>
      <c r="H546" s="22"/>
      <c r="I546" s="181"/>
      <c r="J546" s="182"/>
      <c r="K546" s="182"/>
      <c r="L546" s="182"/>
      <c r="M546" s="234"/>
      <c r="N546" s="28"/>
      <c r="O546" s="181"/>
      <c r="P546" s="183"/>
      <c r="Q546" s="104"/>
      <c r="R546" s="233"/>
      <c r="S546" s="164"/>
      <c r="T546" s="164"/>
      <c r="U546" s="162"/>
      <c r="V546" s="235"/>
      <c r="W546" s="235"/>
      <c r="X546" s="235"/>
      <c r="Y546" s="235"/>
      <c r="Z546" s="235"/>
      <c r="AA546" s="235"/>
      <c r="AB546" s="235"/>
      <c r="AC546" s="235"/>
      <c r="AD546" s="235"/>
      <c r="AE546" s="235"/>
      <c r="AF546" s="235"/>
      <c r="AG546" s="235"/>
      <c r="AH546" s="235"/>
      <c r="AI546" s="235"/>
      <c r="AJ546" s="235"/>
      <c r="AK546" s="235"/>
      <c r="AL546" s="235"/>
      <c r="AM546" s="235"/>
      <c r="AN546" s="235"/>
      <c r="AO546" s="235"/>
      <c r="AP546" s="235"/>
      <c r="AQ546" s="235"/>
      <c r="AR546" s="235"/>
      <c r="AS546" s="235"/>
      <c r="AT546" s="235"/>
      <c r="AU546" s="235"/>
      <c r="AV546" s="235"/>
      <c r="AW546" s="235"/>
      <c r="AX546" s="235"/>
      <c r="AY546" s="235"/>
      <c r="AZ546" s="235"/>
      <c r="BA546" s="235"/>
      <c r="BB546" s="235"/>
      <c r="BC546" s="235"/>
      <c r="BD546" s="235"/>
      <c r="BE546" s="235"/>
      <c r="BF546" s="235"/>
      <c r="BG546" s="235"/>
      <c r="BH546" s="235"/>
      <c r="BI546" s="235"/>
      <c r="BJ546" s="235"/>
      <c r="BK546" s="235"/>
      <c r="BL546" s="235"/>
      <c r="BM546" s="235"/>
      <c r="BN546" s="235"/>
      <c r="BO546" s="235"/>
    </row>
    <row r="547" ht="29.25" hidden="1" customHeight="1">
      <c r="A547" s="230"/>
      <c r="B547" s="231"/>
      <c r="C547" s="179"/>
      <c r="D547" s="179"/>
      <c r="E547" s="180"/>
      <c r="F547" s="162"/>
      <c r="G547" s="232"/>
      <c r="H547" s="22"/>
      <c r="I547" s="181"/>
      <c r="J547" s="182"/>
      <c r="K547" s="182"/>
      <c r="L547" s="182"/>
      <c r="M547" s="234"/>
      <c r="N547" s="28"/>
      <c r="O547" s="181"/>
      <c r="P547" s="183"/>
      <c r="Q547" s="104"/>
      <c r="R547" s="233"/>
      <c r="S547" s="164"/>
      <c r="T547" s="164"/>
      <c r="U547" s="162"/>
      <c r="V547" s="235"/>
      <c r="W547" s="235"/>
      <c r="X547" s="235"/>
      <c r="Y547" s="235"/>
      <c r="Z547" s="235"/>
      <c r="AA547" s="235"/>
      <c r="AB547" s="235"/>
      <c r="AC547" s="235"/>
      <c r="AD547" s="235"/>
      <c r="AE547" s="235"/>
      <c r="AF547" s="235"/>
      <c r="AG547" s="235"/>
      <c r="AH547" s="235"/>
      <c r="AI547" s="235"/>
      <c r="AJ547" s="235"/>
      <c r="AK547" s="235"/>
      <c r="AL547" s="235"/>
      <c r="AM547" s="235"/>
      <c r="AN547" s="235"/>
      <c r="AO547" s="235"/>
      <c r="AP547" s="235"/>
      <c r="AQ547" s="235"/>
      <c r="AR547" s="235"/>
      <c r="AS547" s="235"/>
      <c r="AT547" s="235"/>
      <c r="AU547" s="235"/>
      <c r="AV547" s="235"/>
      <c r="AW547" s="235"/>
      <c r="AX547" s="235"/>
      <c r="AY547" s="235"/>
      <c r="AZ547" s="235"/>
      <c r="BA547" s="235"/>
      <c r="BB547" s="235"/>
      <c r="BC547" s="235"/>
      <c r="BD547" s="235"/>
      <c r="BE547" s="235"/>
      <c r="BF547" s="235"/>
      <c r="BG547" s="235"/>
      <c r="BH547" s="235"/>
      <c r="BI547" s="235"/>
      <c r="BJ547" s="235"/>
      <c r="BK547" s="235"/>
      <c r="BL547" s="235"/>
      <c r="BM547" s="235"/>
      <c r="BN547" s="235"/>
      <c r="BO547" s="235"/>
    </row>
    <row r="548" ht="29.25" hidden="1" customHeight="1">
      <c r="A548" s="230"/>
      <c r="B548" s="231"/>
      <c r="C548" s="179"/>
      <c r="D548" s="179"/>
      <c r="E548" s="180"/>
      <c r="F548" s="162"/>
      <c r="G548" s="232"/>
      <c r="H548" s="22"/>
      <c r="I548" s="181"/>
      <c r="J548" s="182"/>
      <c r="K548" s="182"/>
      <c r="L548" s="182"/>
      <c r="M548" s="234"/>
      <c r="N548" s="28"/>
      <c r="O548" s="181"/>
      <c r="P548" s="183"/>
      <c r="Q548" s="104"/>
      <c r="R548" s="233"/>
      <c r="S548" s="164"/>
      <c r="T548" s="164"/>
      <c r="U548" s="162"/>
      <c r="V548" s="235"/>
      <c r="W548" s="235"/>
      <c r="X548" s="235"/>
      <c r="Y548" s="235"/>
      <c r="Z548" s="235"/>
      <c r="AA548" s="235"/>
      <c r="AB548" s="235"/>
      <c r="AC548" s="235"/>
      <c r="AD548" s="235"/>
      <c r="AE548" s="235"/>
      <c r="AF548" s="235"/>
      <c r="AG548" s="235"/>
      <c r="AH548" s="235"/>
      <c r="AI548" s="235"/>
      <c r="AJ548" s="235"/>
      <c r="AK548" s="235"/>
      <c r="AL548" s="235"/>
      <c r="AM548" s="235"/>
      <c r="AN548" s="235"/>
      <c r="AO548" s="235"/>
      <c r="AP548" s="235"/>
      <c r="AQ548" s="235"/>
      <c r="AR548" s="235"/>
      <c r="AS548" s="235"/>
      <c r="AT548" s="235"/>
      <c r="AU548" s="235"/>
      <c r="AV548" s="235"/>
      <c r="AW548" s="235"/>
      <c r="AX548" s="235"/>
      <c r="AY548" s="235"/>
      <c r="AZ548" s="235"/>
      <c r="BA548" s="235"/>
      <c r="BB548" s="235"/>
      <c r="BC548" s="235"/>
      <c r="BD548" s="235"/>
      <c r="BE548" s="235"/>
      <c r="BF548" s="235"/>
      <c r="BG548" s="235"/>
      <c r="BH548" s="235"/>
      <c r="BI548" s="235"/>
      <c r="BJ548" s="235"/>
      <c r="BK548" s="235"/>
      <c r="BL548" s="235"/>
      <c r="BM548" s="235"/>
      <c r="BN548" s="235"/>
      <c r="BO548" s="235"/>
    </row>
    <row r="549" ht="29.25" hidden="1" customHeight="1">
      <c r="A549" s="230"/>
      <c r="B549" s="231"/>
      <c r="C549" s="179"/>
      <c r="D549" s="179"/>
      <c r="E549" s="180"/>
      <c r="F549" s="162"/>
      <c r="G549" s="232"/>
      <c r="H549" s="22"/>
      <c r="I549" s="181"/>
      <c r="J549" s="182"/>
      <c r="K549" s="182"/>
      <c r="L549" s="182"/>
      <c r="M549" s="234"/>
      <c r="N549" s="28"/>
      <c r="O549" s="181"/>
      <c r="P549" s="183"/>
      <c r="Q549" s="104"/>
      <c r="R549" s="233"/>
      <c r="S549" s="164"/>
      <c r="T549" s="164"/>
      <c r="U549" s="162"/>
      <c r="V549" s="235"/>
      <c r="W549" s="235"/>
      <c r="X549" s="235"/>
      <c r="Y549" s="235"/>
      <c r="Z549" s="235"/>
      <c r="AA549" s="235"/>
      <c r="AB549" s="235"/>
      <c r="AC549" s="235"/>
      <c r="AD549" s="235"/>
      <c r="AE549" s="235"/>
      <c r="AF549" s="235"/>
      <c r="AG549" s="235"/>
      <c r="AH549" s="235"/>
      <c r="AI549" s="235"/>
      <c r="AJ549" s="235"/>
      <c r="AK549" s="235"/>
      <c r="AL549" s="235"/>
      <c r="AM549" s="235"/>
      <c r="AN549" s="235"/>
      <c r="AO549" s="235"/>
      <c r="AP549" s="235"/>
      <c r="AQ549" s="235"/>
      <c r="AR549" s="235"/>
      <c r="AS549" s="235"/>
      <c r="AT549" s="235"/>
      <c r="AU549" s="235"/>
      <c r="AV549" s="235"/>
      <c r="AW549" s="235"/>
      <c r="AX549" s="235"/>
      <c r="AY549" s="235"/>
      <c r="AZ549" s="235"/>
      <c r="BA549" s="235"/>
      <c r="BB549" s="235"/>
      <c r="BC549" s="235"/>
      <c r="BD549" s="235"/>
      <c r="BE549" s="235"/>
      <c r="BF549" s="235"/>
      <c r="BG549" s="235"/>
      <c r="BH549" s="235"/>
      <c r="BI549" s="235"/>
      <c r="BJ549" s="235"/>
      <c r="BK549" s="235"/>
      <c r="BL549" s="235"/>
      <c r="BM549" s="235"/>
      <c r="BN549" s="235"/>
      <c r="BO549" s="235"/>
    </row>
    <row r="550" ht="29.25" hidden="1" customHeight="1">
      <c r="A550" s="230"/>
      <c r="B550" s="231"/>
      <c r="C550" s="179"/>
      <c r="D550" s="179"/>
      <c r="E550" s="180"/>
      <c r="F550" s="162"/>
      <c r="G550" s="232"/>
      <c r="H550" s="22"/>
      <c r="I550" s="181"/>
      <c r="J550" s="182"/>
      <c r="K550" s="182"/>
      <c r="L550" s="182"/>
      <c r="M550" s="234"/>
      <c r="N550" s="28"/>
      <c r="O550" s="181"/>
      <c r="P550" s="183"/>
      <c r="Q550" s="104"/>
      <c r="R550" s="233"/>
      <c r="S550" s="164"/>
      <c r="T550" s="164"/>
      <c r="U550" s="162"/>
      <c r="V550" s="235"/>
      <c r="W550" s="235"/>
      <c r="X550" s="235"/>
      <c r="Y550" s="235"/>
      <c r="Z550" s="235"/>
      <c r="AA550" s="235"/>
      <c r="AB550" s="235"/>
      <c r="AC550" s="235"/>
      <c r="AD550" s="235"/>
      <c r="AE550" s="235"/>
      <c r="AF550" s="235"/>
      <c r="AG550" s="235"/>
      <c r="AH550" s="235"/>
      <c r="AI550" s="235"/>
      <c r="AJ550" s="235"/>
      <c r="AK550" s="235"/>
      <c r="AL550" s="235"/>
      <c r="AM550" s="235"/>
      <c r="AN550" s="235"/>
      <c r="AO550" s="235"/>
      <c r="AP550" s="235"/>
      <c r="AQ550" s="235"/>
      <c r="AR550" s="235"/>
      <c r="AS550" s="235"/>
      <c r="AT550" s="235"/>
      <c r="AU550" s="235"/>
      <c r="AV550" s="235"/>
      <c r="AW550" s="235"/>
      <c r="AX550" s="235"/>
      <c r="AY550" s="235"/>
      <c r="AZ550" s="235"/>
      <c r="BA550" s="235"/>
      <c r="BB550" s="235"/>
      <c r="BC550" s="235"/>
      <c r="BD550" s="235"/>
      <c r="BE550" s="235"/>
      <c r="BF550" s="235"/>
      <c r="BG550" s="235"/>
      <c r="BH550" s="235"/>
      <c r="BI550" s="235"/>
      <c r="BJ550" s="235"/>
      <c r="BK550" s="235"/>
      <c r="BL550" s="235"/>
      <c r="BM550" s="235"/>
      <c r="BN550" s="235"/>
      <c r="BO550" s="235"/>
    </row>
    <row r="551" ht="29.25" hidden="1" customHeight="1">
      <c r="A551" s="230"/>
      <c r="B551" s="231"/>
      <c r="C551" s="179"/>
      <c r="D551" s="179"/>
      <c r="E551" s="180"/>
      <c r="F551" s="162"/>
      <c r="G551" s="232"/>
      <c r="H551" s="22"/>
      <c r="I551" s="181"/>
      <c r="J551" s="182"/>
      <c r="K551" s="182"/>
      <c r="L551" s="182"/>
      <c r="M551" s="234"/>
      <c r="N551" s="28"/>
      <c r="O551" s="181"/>
      <c r="P551" s="183"/>
      <c r="Q551" s="104"/>
      <c r="R551" s="233"/>
      <c r="S551" s="164"/>
      <c r="T551" s="164"/>
      <c r="U551" s="162"/>
      <c r="V551" s="235"/>
      <c r="W551" s="235"/>
      <c r="X551" s="235"/>
      <c r="Y551" s="235"/>
      <c r="Z551" s="235"/>
      <c r="AA551" s="235"/>
      <c r="AB551" s="235"/>
      <c r="AC551" s="235"/>
      <c r="AD551" s="235"/>
      <c r="AE551" s="235"/>
      <c r="AF551" s="235"/>
      <c r="AG551" s="235"/>
      <c r="AH551" s="235"/>
      <c r="AI551" s="235"/>
      <c r="AJ551" s="235"/>
      <c r="AK551" s="235"/>
      <c r="AL551" s="235"/>
      <c r="AM551" s="235"/>
      <c r="AN551" s="235"/>
      <c r="AO551" s="235"/>
      <c r="AP551" s="235"/>
      <c r="AQ551" s="235"/>
      <c r="AR551" s="235"/>
      <c r="AS551" s="235"/>
      <c r="AT551" s="235"/>
      <c r="AU551" s="235"/>
      <c r="AV551" s="235"/>
      <c r="AW551" s="235"/>
      <c r="AX551" s="235"/>
      <c r="AY551" s="235"/>
      <c r="AZ551" s="235"/>
      <c r="BA551" s="235"/>
      <c r="BB551" s="235"/>
      <c r="BC551" s="235"/>
      <c r="BD551" s="235"/>
      <c r="BE551" s="235"/>
      <c r="BF551" s="235"/>
      <c r="BG551" s="235"/>
      <c r="BH551" s="235"/>
      <c r="BI551" s="235"/>
      <c r="BJ551" s="235"/>
      <c r="BK551" s="235"/>
      <c r="BL551" s="235"/>
      <c r="BM551" s="235"/>
      <c r="BN551" s="235"/>
      <c r="BO551" s="235"/>
    </row>
    <row r="552" ht="29.25" hidden="1" customHeight="1">
      <c r="A552" s="230"/>
      <c r="B552" s="231"/>
      <c r="C552" s="179"/>
      <c r="D552" s="179"/>
      <c r="E552" s="180"/>
      <c r="F552" s="162"/>
      <c r="G552" s="232"/>
      <c r="H552" s="22"/>
      <c r="I552" s="181"/>
      <c r="J552" s="182"/>
      <c r="K552" s="182"/>
      <c r="L552" s="182"/>
      <c r="M552" s="234"/>
      <c r="N552" s="28"/>
      <c r="O552" s="181"/>
      <c r="P552" s="183"/>
      <c r="Q552" s="104"/>
      <c r="R552" s="233"/>
      <c r="S552" s="164"/>
      <c r="T552" s="164"/>
      <c r="U552" s="162"/>
      <c r="V552" s="235"/>
      <c r="W552" s="235"/>
      <c r="X552" s="235"/>
      <c r="Y552" s="235"/>
      <c r="Z552" s="235"/>
      <c r="AA552" s="235"/>
      <c r="AB552" s="235"/>
      <c r="AC552" s="235"/>
      <c r="AD552" s="235"/>
      <c r="AE552" s="235"/>
      <c r="AF552" s="235"/>
      <c r="AG552" s="235"/>
      <c r="AH552" s="235"/>
      <c r="AI552" s="235"/>
      <c r="AJ552" s="235"/>
      <c r="AK552" s="235"/>
      <c r="AL552" s="235"/>
      <c r="AM552" s="235"/>
      <c r="AN552" s="235"/>
      <c r="AO552" s="235"/>
      <c r="AP552" s="235"/>
      <c r="AQ552" s="235"/>
      <c r="AR552" s="235"/>
      <c r="AS552" s="235"/>
      <c r="AT552" s="235"/>
      <c r="AU552" s="235"/>
      <c r="AV552" s="235"/>
      <c r="AW552" s="235"/>
      <c r="AX552" s="235"/>
      <c r="AY552" s="235"/>
      <c r="AZ552" s="235"/>
      <c r="BA552" s="235"/>
      <c r="BB552" s="235"/>
      <c r="BC552" s="235"/>
      <c r="BD552" s="235"/>
      <c r="BE552" s="235"/>
      <c r="BF552" s="235"/>
      <c r="BG552" s="235"/>
      <c r="BH552" s="235"/>
      <c r="BI552" s="235"/>
      <c r="BJ552" s="235"/>
      <c r="BK552" s="235"/>
      <c r="BL552" s="235"/>
      <c r="BM552" s="235"/>
      <c r="BN552" s="235"/>
      <c r="BO552" s="235"/>
    </row>
    <row r="553" ht="29.25" hidden="1" customHeight="1">
      <c r="A553" s="230"/>
      <c r="B553" s="231"/>
      <c r="C553" s="179"/>
      <c r="D553" s="179"/>
      <c r="E553" s="180"/>
      <c r="F553" s="162"/>
      <c r="G553" s="232"/>
      <c r="H553" s="22"/>
      <c r="I553" s="181"/>
      <c r="J553" s="182"/>
      <c r="K553" s="182"/>
      <c r="L553" s="182"/>
      <c r="M553" s="234"/>
      <c r="N553" s="28"/>
      <c r="O553" s="181"/>
      <c r="P553" s="183"/>
      <c r="Q553" s="104"/>
      <c r="R553" s="233"/>
      <c r="S553" s="164"/>
      <c r="T553" s="164"/>
      <c r="U553" s="162"/>
      <c r="V553" s="235"/>
      <c r="W553" s="235"/>
      <c r="X553" s="235"/>
      <c r="Y553" s="235"/>
      <c r="Z553" s="235"/>
      <c r="AA553" s="235"/>
      <c r="AB553" s="235"/>
      <c r="AC553" s="235"/>
      <c r="AD553" s="235"/>
      <c r="AE553" s="235"/>
      <c r="AF553" s="235"/>
      <c r="AG553" s="235"/>
      <c r="AH553" s="235"/>
      <c r="AI553" s="235"/>
      <c r="AJ553" s="235"/>
      <c r="AK553" s="235"/>
      <c r="AL553" s="235"/>
      <c r="AM553" s="235"/>
      <c r="AN553" s="235"/>
      <c r="AO553" s="235"/>
      <c r="AP553" s="235"/>
      <c r="AQ553" s="235"/>
      <c r="AR553" s="235"/>
      <c r="AS553" s="235"/>
      <c r="AT553" s="235"/>
      <c r="AU553" s="235"/>
      <c r="AV553" s="235"/>
      <c r="AW553" s="235"/>
      <c r="AX553" s="235"/>
      <c r="AY553" s="235"/>
      <c r="AZ553" s="235"/>
      <c r="BA553" s="235"/>
      <c r="BB553" s="235"/>
      <c r="BC553" s="235"/>
      <c r="BD553" s="235"/>
      <c r="BE553" s="235"/>
      <c r="BF553" s="235"/>
      <c r="BG553" s="235"/>
      <c r="BH553" s="235"/>
      <c r="BI553" s="235"/>
      <c r="BJ553" s="235"/>
      <c r="BK553" s="235"/>
      <c r="BL553" s="235"/>
      <c r="BM553" s="235"/>
      <c r="BN553" s="235"/>
      <c r="BO553" s="235"/>
    </row>
    <row r="554" ht="29.25" hidden="1" customHeight="1">
      <c r="A554" s="230"/>
      <c r="B554" s="231"/>
      <c r="C554" s="179"/>
      <c r="D554" s="179"/>
      <c r="E554" s="180"/>
      <c r="F554" s="162"/>
      <c r="G554" s="232"/>
      <c r="H554" s="22"/>
      <c r="I554" s="181"/>
      <c r="J554" s="182"/>
      <c r="K554" s="182"/>
      <c r="L554" s="182"/>
      <c r="M554" s="234"/>
      <c r="N554" s="28"/>
      <c r="O554" s="181"/>
      <c r="P554" s="183"/>
      <c r="Q554" s="104"/>
      <c r="R554" s="233"/>
      <c r="S554" s="164"/>
      <c r="T554" s="164"/>
      <c r="U554" s="162"/>
      <c r="V554" s="235"/>
      <c r="W554" s="235"/>
      <c r="X554" s="235"/>
      <c r="Y554" s="235"/>
      <c r="Z554" s="235"/>
      <c r="AA554" s="235"/>
      <c r="AB554" s="235"/>
      <c r="AC554" s="235"/>
      <c r="AD554" s="235"/>
      <c r="AE554" s="235"/>
      <c r="AF554" s="235"/>
      <c r="AG554" s="235"/>
      <c r="AH554" s="235"/>
      <c r="AI554" s="235"/>
      <c r="AJ554" s="235"/>
      <c r="AK554" s="235"/>
      <c r="AL554" s="235"/>
      <c r="AM554" s="235"/>
      <c r="AN554" s="235"/>
      <c r="AO554" s="235"/>
      <c r="AP554" s="235"/>
      <c r="AQ554" s="235"/>
      <c r="AR554" s="235"/>
      <c r="AS554" s="235"/>
      <c r="AT554" s="235"/>
      <c r="AU554" s="235"/>
      <c r="AV554" s="235"/>
      <c r="AW554" s="235"/>
      <c r="AX554" s="235"/>
      <c r="AY554" s="235"/>
      <c r="AZ554" s="235"/>
      <c r="BA554" s="235"/>
      <c r="BB554" s="235"/>
      <c r="BC554" s="235"/>
      <c r="BD554" s="235"/>
      <c r="BE554" s="235"/>
      <c r="BF554" s="235"/>
      <c r="BG554" s="235"/>
      <c r="BH554" s="235"/>
      <c r="BI554" s="235"/>
      <c r="BJ554" s="235"/>
      <c r="BK554" s="235"/>
      <c r="BL554" s="235"/>
      <c r="BM554" s="235"/>
      <c r="BN554" s="235"/>
      <c r="BO554" s="235"/>
    </row>
    <row r="555" ht="29.25" hidden="1" customHeight="1">
      <c r="A555" s="230"/>
      <c r="B555" s="231"/>
      <c r="C555" s="179"/>
      <c r="D555" s="179"/>
      <c r="E555" s="180"/>
      <c r="F555" s="162"/>
      <c r="G555" s="232"/>
      <c r="H555" s="22"/>
      <c r="I555" s="181"/>
      <c r="J555" s="182"/>
      <c r="K555" s="182"/>
      <c r="L555" s="182"/>
      <c r="M555" s="234"/>
      <c r="N555" s="28"/>
      <c r="O555" s="181"/>
      <c r="P555" s="183"/>
      <c r="Q555" s="104"/>
      <c r="R555" s="233"/>
      <c r="S555" s="164"/>
      <c r="T555" s="164"/>
      <c r="U555" s="162"/>
      <c r="V555" s="235"/>
      <c r="W555" s="235"/>
      <c r="X555" s="235"/>
      <c r="Y555" s="235"/>
      <c r="Z555" s="235"/>
      <c r="AA555" s="235"/>
      <c r="AB555" s="235"/>
      <c r="AC555" s="235"/>
      <c r="AD555" s="235"/>
      <c r="AE555" s="235"/>
      <c r="AF555" s="235"/>
      <c r="AG555" s="235"/>
      <c r="AH555" s="235"/>
      <c r="AI555" s="235"/>
      <c r="AJ555" s="235"/>
      <c r="AK555" s="235"/>
      <c r="AL555" s="235"/>
      <c r="AM555" s="235"/>
      <c r="AN555" s="235"/>
      <c r="AO555" s="235"/>
      <c r="AP555" s="235"/>
      <c r="AQ555" s="235"/>
      <c r="AR555" s="235"/>
      <c r="AS555" s="235"/>
      <c r="AT555" s="235"/>
      <c r="AU555" s="235"/>
      <c r="AV555" s="235"/>
      <c r="AW555" s="235"/>
      <c r="AX555" s="235"/>
      <c r="AY555" s="235"/>
      <c r="AZ555" s="235"/>
      <c r="BA555" s="235"/>
      <c r="BB555" s="235"/>
      <c r="BC555" s="235"/>
      <c r="BD555" s="235"/>
      <c r="BE555" s="235"/>
      <c r="BF555" s="235"/>
      <c r="BG555" s="235"/>
      <c r="BH555" s="235"/>
      <c r="BI555" s="235"/>
      <c r="BJ555" s="235"/>
      <c r="BK555" s="235"/>
      <c r="BL555" s="235"/>
      <c r="BM555" s="235"/>
      <c r="BN555" s="235"/>
      <c r="BO555" s="235"/>
    </row>
    <row r="556" ht="29.25" hidden="1" customHeight="1">
      <c r="A556" s="230"/>
      <c r="B556" s="231"/>
      <c r="C556" s="179"/>
      <c r="D556" s="179"/>
      <c r="E556" s="180"/>
      <c r="F556" s="162"/>
      <c r="G556" s="232"/>
      <c r="H556" s="22"/>
      <c r="I556" s="181"/>
      <c r="J556" s="182"/>
      <c r="K556" s="182"/>
      <c r="L556" s="182"/>
      <c r="M556" s="234"/>
      <c r="N556" s="28"/>
      <c r="O556" s="181"/>
      <c r="P556" s="183"/>
      <c r="Q556" s="104"/>
      <c r="R556" s="233"/>
      <c r="S556" s="164"/>
      <c r="T556" s="164"/>
      <c r="U556" s="162"/>
      <c r="V556" s="235"/>
      <c r="W556" s="235"/>
      <c r="X556" s="235"/>
      <c r="Y556" s="235"/>
      <c r="Z556" s="235"/>
      <c r="AA556" s="235"/>
      <c r="AB556" s="235"/>
      <c r="AC556" s="235"/>
      <c r="AD556" s="235"/>
      <c r="AE556" s="235"/>
      <c r="AF556" s="235"/>
      <c r="AG556" s="235"/>
      <c r="AH556" s="235"/>
      <c r="AI556" s="235"/>
      <c r="AJ556" s="235"/>
      <c r="AK556" s="235"/>
      <c r="AL556" s="235"/>
      <c r="AM556" s="235"/>
      <c r="AN556" s="235"/>
      <c r="AO556" s="235"/>
      <c r="AP556" s="235"/>
      <c r="AQ556" s="235"/>
      <c r="AR556" s="235"/>
      <c r="AS556" s="235"/>
      <c r="AT556" s="235"/>
      <c r="AU556" s="235"/>
      <c r="AV556" s="235"/>
      <c r="AW556" s="235"/>
      <c r="AX556" s="235"/>
      <c r="AY556" s="235"/>
      <c r="AZ556" s="235"/>
      <c r="BA556" s="235"/>
      <c r="BB556" s="235"/>
      <c r="BC556" s="235"/>
      <c r="BD556" s="235"/>
      <c r="BE556" s="235"/>
      <c r="BF556" s="235"/>
      <c r="BG556" s="235"/>
      <c r="BH556" s="235"/>
      <c r="BI556" s="235"/>
      <c r="BJ556" s="235"/>
      <c r="BK556" s="235"/>
      <c r="BL556" s="235"/>
      <c r="BM556" s="235"/>
      <c r="BN556" s="235"/>
      <c r="BO556" s="235"/>
    </row>
    <row r="557" ht="29.25" hidden="1" customHeight="1">
      <c r="A557" s="230"/>
      <c r="B557" s="231"/>
      <c r="C557" s="179"/>
      <c r="D557" s="179"/>
      <c r="E557" s="180"/>
      <c r="F557" s="162"/>
      <c r="G557" s="232"/>
      <c r="H557" s="22"/>
      <c r="I557" s="181"/>
      <c r="J557" s="182"/>
      <c r="K557" s="182"/>
      <c r="L557" s="182"/>
      <c r="M557" s="234"/>
      <c r="N557" s="28"/>
      <c r="O557" s="181"/>
      <c r="P557" s="183"/>
      <c r="Q557" s="104"/>
      <c r="R557" s="233"/>
      <c r="S557" s="164"/>
      <c r="T557" s="164"/>
      <c r="U557" s="162"/>
      <c r="V557" s="235"/>
      <c r="W557" s="235"/>
      <c r="X557" s="235"/>
      <c r="Y557" s="235"/>
      <c r="Z557" s="235"/>
      <c r="AA557" s="235"/>
      <c r="AB557" s="235"/>
      <c r="AC557" s="235"/>
      <c r="AD557" s="235"/>
      <c r="AE557" s="235"/>
      <c r="AF557" s="235"/>
      <c r="AG557" s="235"/>
      <c r="AH557" s="235"/>
      <c r="AI557" s="235"/>
      <c r="AJ557" s="235"/>
      <c r="AK557" s="235"/>
      <c r="AL557" s="235"/>
      <c r="AM557" s="235"/>
      <c r="AN557" s="235"/>
      <c r="AO557" s="235"/>
      <c r="AP557" s="235"/>
      <c r="AQ557" s="235"/>
      <c r="AR557" s="235"/>
      <c r="AS557" s="235"/>
      <c r="AT557" s="235"/>
      <c r="AU557" s="235"/>
      <c r="AV557" s="235"/>
      <c r="AW557" s="235"/>
      <c r="AX557" s="235"/>
      <c r="AY557" s="235"/>
      <c r="AZ557" s="235"/>
      <c r="BA557" s="235"/>
      <c r="BB557" s="235"/>
      <c r="BC557" s="235"/>
      <c r="BD557" s="235"/>
      <c r="BE557" s="235"/>
      <c r="BF557" s="235"/>
      <c r="BG557" s="235"/>
      <c r="BH557" s="235"/>
      <c r="BI557" s="235"/>
      <c r="BJ557" s="235"/>
      <c r="BK557" s="235"/>
      <c r="BL557" s="235"/>
      <c r="BM557" s="235"/>
      <c r="BN557" s="235"/>
      <c r="BO557" s="235"/>
    </row>
    <row r="558" ht="29.25" hidden="1" customHeight="1">
      <c r="A558" s="230"/>
      <c r="B558" s="231"/>
      <c r="C558" s="179"/>
      <c r="D558" s="179"/>
      <c r="E558" s="180"/>
      <c r="F558" s="162"/>
      <c r="G558" s="232"/>
      <c r="H558" s="22"/>
      <c r="I558" s="181"/>
      <c r="J558" s="182"/>
      <c r="K558" s="182"/>
      <c r="L558" s="182"/>
      <c r="M558" s="234"/>
      <c r="N558" s="28"/>
      <c r="O558" s="181"/>
      <c r="P558" s="183"/>
      <c r="Q558" s="104"/>
      <c r="R558" s="233"/>
      <c r="S558" s="164"/>
      <c r="T558" s="164"/>
      <c r="U558" s="162"/>
      <c r="V558" s="235"/>
      <c r="W558" s="235"/>
      <c r="X558" s="235"/>
      <c r="Y558" s="235"/>
      <c r="Z558" s="235"/>
      <c r="AA558" s="235"/>
      <c r="AB558" s="235"/>
      <c r="AC558" s="235"/>
      <c r="AD558" s="235"/>
      <c r="AE558" s="235"/>
      <c r="AF558" s="235"/>
      <c r="AG558" s="235"/>
      <c r="AH558" s="235"/>
      <c r="AI558" s="235"/>
      <c r="AJ558" s="235"/>
      <c r="AK558" s="235"/>
      <c r="AL558" s="235"/>
      <c r="AM558" s="235"/>
      <c r="AN558" s="235"/>
      <c r="AO558" s="235"/>
      <c r="AP558" s="235"/>
      <c r="AQ558" s="235"/>
      <c r="AR558" s="235"/>
      <c r="AS558" s="235"/>
      <c r="AT558" s="235"/>
      <c r="AU558" s="235"/>
      <c r="AV558" s="235"/>
      <c r="AW558" s="235"/>
      <c r="AX558" s="235"/>
      <c r="AY558" s="235"/>
      <c r="AZ558" s="235"/>
      <c r="BA558" s="235"/>
      <c r="BB558" s="235"/>
      <c r="BC558" s="235"/>
      <c r="BD558" s="235"/>
      <c r="BE558" s="235"/>
      <c r="BF558" s="235"/>
      <c r="BG558" s="235"/>
      <c r="BH558" s="235"/>
      <c r="BI558" s="235"/>
      <c r="BJ558" s="235"/>
      <c r="BK558" s="235"/>
      <c r="BL558" s="235"/>
      <c r="BM558" s="235"/>
      <c r="BN558" s="235"/>
      <c r="BO558" s="235"/>
    </row>
    <row r="559" ht="29.25" hidden="1" customHeight="1">
      <c r="A559" s="230"/>
      <c r="B559" s="231"/>
      <c r="C559" s="179"/>
      <c r="D559" s="179"/>
      <c r="E559" s="180"/>
      <c r="F559" s="162"/>
      <c r="G559" s="232"/>
      <c r="H559" s="22"/>
      <c r="I559" s="181"/>
      <c r="J559" s="182"/>
      <c r="K559" s="182"/>
      <c r="L559" s="182"/>
      <c r="M559" s="234"/>
      <c r="N559" s="28"/>
      <c r="O559" s="181"/>
      <c r="P559" s="183"/>
      <c r="Q559" s="104"/>
      <c r="R559" s="233"/>
      <c r="S559" s="164"/>
      <c r="T559" s="164"/>
      <c r="U559" s="162"/>
      <c r="V559" s="235"/>
      <c r="W559" s="235"/>
      <c r="X559" s="235"/>
      <c r="Y559" s="235"/>
      <c r="Z559" s="235"/>
      <c r="AA559" s="235"/>
      <c r="AB559" s="235"/>
      <c r="AC559" s="235"/>
      <c r="AD559" s="235"/>
      <c r="AE559" s="235"/>
      <c r="AF559" s="235"/>
      <c r="AG559" s="235"/>
      <c r="AH559" s="235"/>
      <c r="AI559" s="235"/>
      <c r="AJ559" s="235"/>
      <c r="AK559" s="235"/>
      <c r="AL559" s="235"/>
      <c r="AM559" s="235"/>
      <c r="AN559" s="235"/>
      <c r="AO559" s="235"/>
      <c r="AP559" s="235"/>
      <c r="AQ559" s="235"/>
      <c r="AR559" s="235"/>
      <c r="AS559" s="235"/>
      <c r="AT559" s="235"/>
      <c r="AU559" s="235"/>
      <c r="AV559" s="235"/>
      <c r="AW559" s="235"/>
      <c r="AX559" s="235"/>
      <c r="AY559" s="235"/>
      <c r="AZ559" s="235"/>
      <c r="BA559" s="235"/>
      <c r="BB559" s="235"/>
      <c r="BC559" s="235"/>
      <c r="BD559" s="235"/>
      <c r="BE559" s="235"/>
      <c r="BF559" s="235"/>
      <c r="BG559" s="235"/>
      <c r="BH559" s="235"/>
      <c r="BI559" s="235"/>
      <c r="BJ559" s="235"/>
      <c r="BK559" s="235"/>
      <c r="BL559" s="235"/>
      <c r="BM559" s="235"/>
      <c r="BN559" s="235"/>
      <c r="BO559" s="235"/>
    </row>
    <row r="560" ht="29.25" hidden="1" customHeight="1">
      <c r="A560" s="230"/>
      <c r="B560" s="231"/>
      <c r="C560" s="179"/>
      <c r="D560" s="179"/>
      <c r="E560" s="180"/>
      <c r="F560" s="162"/>
      <c r="G560" s="232"/>
      <c r="H560" s="22"/>
      <c r="I560" s="181"/>
      <c r="J560" s="182"/>
      <c r="K560" s="182"/>
      <c r="L560" s="182"/>
      <c r="M560" s="234"/>
      <c r="N560" s="28"/>
      <c r="O560" s="181"/>
      <c r="P560" s="183"/>
      <c r="Q560" s="104"/>
      <c r="R560" s="233"/>
      <c r="S560" s="164"/>
      <c r="T560" s="164"/>
      <c r="U560" s="162"/>
      <c r="V560" s="235"/>
      <c r="W560" s="235"/>
      <c r="X560" s="235"/>
      <c r="Y560" s="235"/>
      <c r="Z560" s="235"/>
      <c r="AA560" s="235"/>
      <c r="AB560" s="235"/>
      <c r="AC560" s="235"/>
      <c r="AD560" s="235"/>
      <c r="AE560" s="235"/>
      <c r="AF560" s="235"/>
      <c r="AG560" s="235"/>
      <c r="AH560" s="235"/>
      <c r="AI560" s="235"/>
      <c r="AJ560" s="235"/>
      <c r="AK560" s="235"/>
      <c r="AL560" s="235"/>
      <c r="AM560" s="235"/>
      <c r="AN560" s="235"/>
      <c r="AO560" s="235"/>
      <c r="AP560" s="235"/>
      <c r="AQ560" s="235"/>
      <c r="AR560" s="235"/>
      <c r="AS560" s="235"/>
      <c r="AT560" s="235"/>
      <c r="AU560" s="235"/>
      <c r="AV560" s="235"/>
      <c r="AW560" s="235"/>
      <c r="AX560" s="235"/>
      <c r="AY560" s="235"/>
      <c r="AZ560" s="235"/>
      <c r="BA560" s="235"/>
      <c r="BB560" s="235"/>
      <c r="BC560" s="235"/>
      <c r="BD560" s="235"/>
      <c r="BE560" s="235"/>
      <c r="BF560" s="235"/>
      <c r="BG560" s="235"/>
      <c r="BH560" s="235"/>
      <c r="BI560" s="235"/>
      <c r="BJ560" s="235"/>
      <c r="BK560" s="235"/>
      <c r="BL560" s="235"/>
      <c r="BM560" s="235"/>
      <c r="BN560" s="235"/>
      <c r="BO560" s="235"/>
    </row>
    <row r="561" ht="29.25" hidden="1" customHeight="1">
      <c r="A561" s="230"/>
      <c r="B561" s="231"/>
      <c r="C561" s="179"/>
      <c r="D561" s="179"/>
      <c r="E561" s="180"/>
      <c r="F561" s="162"/>
      <c r="G561" s="232"/>
      <c r="H561" s="22"/>
      <c r="I561" s="181"/>
      <c r="J561" s="182"/>
      <c r="K561" s="182"/>
      <c r="L561" s="182"/>
      <c r="M561" s="234"/>
      <c r="N561" s="28"/>
      <c r="O561" s="181"/>
      <c r="P561" s="183"/>
      <c r="Q561" s="104"/>
      <c r="R561" s="233"/>
      <c r="S561" s="164"/>
      <c r="T561" s="164"/>
      <c r="U561" s="162"/>
      <c r="V561" s="235"/>
      <c r="W561" s="235"/>
      <c r="X561" s="235"/>
      <c r="Y561" s="235"/>
      <c r="Z561" s="235"/>
      <c r="AA561" s="235"/>
      <c r="AB561" s="235"/>
      <c r="AC561" s="235"/>
      <c r="AD561" s="235"/>
      <c r="AE561" s="235"/>
      <c r="AF561" s="235"/>
      <c r="AG561" s="235"/>
      <c r="AH561" s="235"/>
      <c r="AI561" s="235"/>
      <c r="AJ561" s="235"/>
      <c r="AK561" s="235"/>
      <c r="AL561" s="235"/>
      <c r="AM561" s="235"/>
      <c r="AN561" s="235"/>
      <c r="AO561" s="235"/>
      <c r="AP561" s="235"/>
      <c r="AQ561" s="235"/>
      <c r="AR561" s="235"/>
      <c r="AS561" s="235"/>
      <c r="AT561" s="235"/>
      <c r="AU561" s="235"/>
      <c r="AV561" s="235"/>
      <c r="AW561" s="235"/>
      <c r="AX561" s="235"/>
      <c r="AY561" s="235"/>
      <c r="AZ561" s="235"/>
      <c r="BA561" s="235"/>
      <c r="BB561" s="235"/>
      <c r="BC561" s="235"/>
      <c r="BD561" s="235"/>
      <c r="BE561" s="235"/>
      <c r="BF561" s="235"/>
      <c r="BG561" s="235"/>
      <c r="BH561" s="235"/>
      <c r="BI561" s="235"/>
      <c r="BJ561" s="235"/>
      <c r="BK561" s="235"/>
      <c r="BL561" s="235"/>
      <c r="BM561" s="235"/>
      <c r="BN561" s="235"/>
      <c r="BO561" s="235"/>
    </row>
    <row r="562" ht="29.25" hidden="1" customHeight="1">
      <c r="A562" s="230"/>
      <c r="B562" s="231"/>
      <c r="C562" s="179"/>
      <c r="D562" s="179"/>
      <c r="E562" s="180"/>
      <c r="F562" s="162"/>
      <c r="G562" s="232"/>
      <c r="H562" s="22"/>
      <c r="I562" s="181"/>
      <c r="J562" s="182"/>
      <c r="K562" s="182"/>
      <c r="L562" s="182"/>
      <c r="M562" s="234"/>
      <c r="N562" s="28"/>
      <c r="O562" s="181"/>
      <c r="P562" s="183"/>
      <c r="Q562" s="104"/>
      <c r="R562" s="233"/>
      <c r="S562" s="164"/>
      <c r="T562" s="164"/>
      <c r="U562" s="162"/>
      <c r="V562" s="235"/>
      <c r="W562" s="235"/>
      <c r="X562" s="235"/>
      <c r="Y562" s="235"/>
      <c r="Z562" s="235"/>
      <c r="AA562" s="235"/>
      <c r="AB562" s="235"/>
      <c r="AC562" s="235"/>
      <c r="AD562" s="235"/>
      <c r="AE562" s="235"/>
      <c r="AF562" s="235"/>
      <c r="AG562" s="235"/>
      <c r="AH562" s="235"/>
      <c r="AI562" s="235"/>
      <c r="AJ562" s="235"/>
      <c r="AK562" s="235"/>
      <c r="AL562" s="235"/>
      <c r="AM562" s="235"/>
      <c r="AN562" s="235"/>
      <c r="AO562" s="235"/>
      <c r="AP562" s="235"/>
      <c r="AQ562" s="235"/>
      <c r="AR562" s="235"/>
      <c r="AS562" s="235"/>
      <c r="AT562" s="235"/>
      <c r="AU562" s="235"/>
      <c r="AV562" s="235"/>
      <c r="AW562" s="235"/>
      <c r="AX562" s="235"/>
      <c r="AY562" s="235"/>
      <c r="AZ562" s="235"/>
      <c r="BA562" s="235"/>
      <c r="BB562" s="235"/>
      <c r="BC562" s="235"/>
      <c r="BD562" s="235"/>
      <c r="BE562" s="235"/>
      <c r="BF562" s="235"/>
      <c r="BG562" s="235"/>
      <c r="BH562" s="235"/>
      <c r="BI562" s="235"/>
      <c r="BJ562" s="235"/>
      <c r="BK562" s="235"/>
      <c r="BL562" s="235"/>
      <c r="BM562" s="235"/>
      <c r="BN562" s="235"/>
      <c r="BO562" s="235"/>
    </row>
    <row r="563" ht="29.25" hidden="1" customHeight="1">
      <c r="A563" s="230"/>
      <c r="B563" s="231"/>
      <c r="C563" s="179"/>
      <c r="D563" s="179"/>
      <c r="E563" s="180"/>
      <c r="F563" s="162"/>
      <c r="G563" s="232"/>
      <c r="H563" s="22"/>
      <c r="I563" s="181"/>
      <c r="J563" s="182"/>
      <c r="K563" s="182"/>
      <c r="L563" s="182"/>
      <c r="M563" s="234"/>
      <c r="N563" s="28"/>
      <c r="O563" s="181"/>
      <c r="P563" s="183"/>
      <c r="Q563" s="104"/>
      <c r="R563" s="233"/>
      <c r="S563" s="164"/>
      <c r="T563" s="164"/>
      <c r="U563" s="162"/>
      <c r="V563" s="235"/>
      <c r="W563" s="235"/>
      <c r="X563" s="235"/>
      <c r="Y563" s="235"/>
      <c r="Z563" s="235"/>
      <c r="AA563" s="235"/>
      <c r="AB563" s="235"/>
      <c r="AC563" s="235"/>
      <c r="AD563" s="235"/>
      <c r="AE563" s="235"/>
      <c r="AF563" s="235"/>
      <c r="AG563" s="235"/>
      <c r="AH563" s="235"/>
      <c r="AI563" s="235"/>
      <c r="AJ563" s="235"/>
      <c r="AK563" s="235"/>
      <c r="AL563" s="235"/>
      <c r="AM563" s="235"/>
      <c r="AN563" s="235"/>
      <c r="AO563" s="235"/>
      <c r="AP563" s="235"/>
      <c r="AQ563" s="235"/>
      <c r="AR563" s="235"/>
      <c r="AS563" s="235"/>
      <c r="AT563" s="235"/>
      <c r="AU563" s="235"/>
      <c r="AV563" s="235"/>
      <c r="AW563" s="235"/>
      <c r="AX563" s="235"/>
      <c r="AY563" s="235"/>
      <c r="AZ563" s="235"/>
      <c r="BA563" s="235"/>
      <c r="BB563" s="235"/>
      <c r="BC563" s="235"/>
      <c r="BD563" s="235"/>
      <c r="BE563" s="235"/>
      <c r="BF563" s="235"/>
      <c r="BG563" s="235"/>
      <c r="BH563" s="235"/>
      <c r="BI563" s="235"/>
      <c r="BJ563" s="235"/>
      <c r="BK563" s="235"/>
      <c r="BL563" s="235"/>
      <c r="BM563" s="235"/>
      <c r="BN563" s="235"/>
      <c r="BO563" s="235"/>
    </row>
    <row r="564" ht="29.25" hidden="1" customHeight="1">
      <c r="A564" s="230"/>
      <c r="B564" s="231"/>
      <c r="C564" s="179"/>
      <c r="D564" s="179"/>
      <c r="E564" s="180"/>
      <c r="F564" s="162"/>
      <c r="G564" s="232"/>
      <c r="H564" s="22"/>
      <c r="I564" s="181"/>
      <c r="J564" s="182"/>
      <c r="K564" s="182"/>
      <c r="L564" s="182"/>
      <c r="M564" s="234"/>
      <c r="N564" s="28"/>
      <c r="O564" s="181"/>
      <c r="P564" s="183"/>
      <c r="Q564" s="104"/>
      <c r="R564" s="233"/>
      <c r="S564" s="164"/>
      <c r="T564" s="164"/>
      <c r="U564" s="162"/>
      <c r="V564" s="235"/>
      <c r="W564" s="235"/>
      <c r="X564" s="235"/>
      <c r="Y564" s="235"/>
      <c r="Z564" s="235"/>
      <c r="AA564" s="235"/>
      <c r="AB564" s="235"/>
      <c r="AC564" s="235"/>
      <c r="AD564" s="235"/>
      <c r="AE564" s="235"/>
      <c r="AF564" s="235"/>
      <c r="AG564" s="235"/>
      <c r="AH564" s="235"/>
      <c r="AI564" s="235"/>
      <c r="AJ564" s="235"/>
      <c r="AK564" s="235"/>
      <c r="AL564" s="235"/>
      <c r="AM564" s="235"/>
      <c r="AN564" s="235"/>
      <c r="AO564" s="235"/>
      <c r="AP564" s="235"/>
      <c r="AQ564" s="235"/>
      <c r="AR564" s="235"/>
      <c r="AS564" s="235"/>
      <c r="AT564" s="235"/>
      <c r="AU564" s="235"/>
      <c r="AV564" s="235"/>
      <c r="AW564" s="235"/>
      <c r="AX564" s="235"/>
      <c r="AY564" s="235"/>
      <c r="AZ564" s="235"/>
      <c r="BA564" s="235"/>
      <c r="BB564" s="235"/>
      <c r="BC564" s="235"/>
      <c r="BD564" s="235"/>
      <c r="BE564" s="235"/>
      <c r="BF564" s="235"/>
      <c r="BG564" s="235"/>
      <c r="BH564" s="235"/>
      <c r="BI564" s="235"/>
      <c r="BJ564" s="235"/>
      <c r="BK564" s="235"/>
      <c r="BL564" s="235"/>
      <c r="BM564" s="235"/>
      <c r="BN564" s="235"/>
      <c r="BO564" s="235"/>
    </row>
    <row r="565" ht="29.25" hidden="1" customHeight="1">
      <c r="A565" s="230"/>
      <c r="B565" s="231"/>
      <c r="C565" s="179"/>
      <c r="D565" s="179"/>
      <c r="E565" s="180"/>
      <c r="F565" s="162"/>
      <c r="G565" s="232"/>
      <c r="H565" s="22"/>
      <c r="I565" s="181"/>
      <c r="J565" s="182"/>
      <c r="K565" s="182"/>
      <c r="L565" s="182"/>
      <c r="M565" s="234"/>
      <c r="N565" s="28"/>
      <c r="O565" s="181"/>
      <c r="P565" s="183"/>
      <c r="Q565" s="104"/>
      <c r="R565" s="233"/>
      <c r="S565" s="164"/>
      <c r="T565" s="164"/>
      <c r="U565" s="162"/>
      <c r="V565" s="235"/>
      <c r="W565" s="235"/>
      <c r="X565" s="235"/>
      <c r="Y565" s="235"/>
      <c r="Z565" s="235"/>
      <c r="AA565" s="235"/>
      <c r="AB565" s="235"/>
      <c r="AC565" s="235"/>
      <c r="AD565" s="235"/>
      <c r="AE565" s="235"/>
      <c r="AF565" s="235"/>
      <c r="AG565" s="235"/>
      <c r="AH565" s="235"/>
      <c r="AI565" s="235"/>
      <c r="AJ565" s="235"/>
      <c r="AK565" s="235"/>
      <c r="AL565" s="235"/>
      <c r="AM565" s="235"/>
      <c r="AN565" s="235"/>
      <c r="AO565" s="235"/>
      <c r="AP565" s="235"/>
      <c r="AQ565" s="235"/>
      <c r="AR565" s="235"/>
      <c r="AS565" s="235"/>
      <c r="AT565" s="235"/>
      <c r="AU565" s="235"/>
      <c r="AV565" s="235"/>
      <c r="AW565" s="235"/>
      <c r="AX565" s="235"/>
      <c r="AY565" s="235"/>
      <c r="AZ565" s="235"/>
      <c r="BA565" s="235"/>
      <c r="BB565" s="235"/>
      <c r="BC565" s="235"/>
      <c r="BD565" s="235"/>
      <c r="BE565" s="235"/>
      <c r="BF565" s="235"/>
      <c r="BG565" s="235"/>
      <c r="BH565" s="235"/>
      <c r="BI565" s="235"/>
      <c r="BJ565" s="235"/>
      <c r="BK565" s="235"/>
      <c r="BL565" s="235"/>
      <c r="BM565" s="235"/>
      <c r="BN565" s="235"/>
      <c r="BO565" s="235"/>
    </row>
    <row r="566" ht="29.25" hidden="1" customHeight="1">
      <c r="A566" s="230"/>
      <c r="B566" s="231"/>
      <c r="C566" s="179"/>
      <c r="D566" s="179"/>
      <c r="E566" s="180"/>
      <c r="F566" s="162"/>
      <c r="G566" s="232"/>
      <c r="H566" s="22"/>
      <c r="I566" s="181"/>
      <c r="J566" s="182"/>
      <c r="K566" s="182"/>
      <c r="L566" s="182"/>
      <c r="M566" s="234"/>
      <c r="N566" s="28"/>
      <c r="O566" s="181"/>
      <c r="P566" s="183"/>
      <c r="Q566" s="104"/>
      <c r="R566" s="233"/>
      <c r="S566" s="164"/>
      <c r="T566" s="164"/>
      <c r="U566" s="162"/>
      <c r="V566" s="235"/>
      <c r="W566" s="235"/>
      <c r="X566" s="235"/>
      <c r="Y566" s="235"/>
      <c r="Z566" s="235"/>
      <c r="AA566" s="235"/>
      <c r="AB566" s="235"/>
      <c r="AC566" s="235"/>
      <c r="AD566" s="235"/>
      <c r="AE566" s="235"/>
      <c r="AF566" s="235"/>
      <c r="AG566" s="235"/>
      <c r="AH566" s="235"/>
      <c r="AI566" s="235"/>
      <c r="AJ566" s="235"/>
      <c r="AK566" s="235"/>
      <c r="AL566" s="235"/>
      <c r="AM566" s="235"/>
      <c r="AN566" s="235"/>
      <c r="AO566" s="235"/>
      <c r="AP566" s="235"/>
      <c r="AQ566" s="235"/>
      <c r="AR566" s="235"/>
      <c r="AS566" s="235"/>
      <c r="AT566" s="235"/>
      <c r="AU566" s="235"/>
      <c r="AV566" s="235"/>
      <c r="AW566" s="235"/>
      <c r="AX566" s="235"/>
      <c r="AY566" s="235"/>
      <c r="AZ566" s="235"/>
      <c r="BA566" s="235"/>
      <c r="BB566" s="235"/>
      <c r="BC566" s="235"/>
      <c r="BD566" s="235"/>
      <c r="BE566" s="235"/>
      <c r="BF566" s="235"/>
      <c r="BG566" s="235"/>
      <c r="BH566" s="235"/>
      <c r="BI566" s="235"/>
      <c r="BJ566" s="235"/>
      <c r="BK566" s="235"/>
      <c r="BL566" s="235"/>
      <c r="BM566" s="235"/>
      <c r="BN566" s="235"/>
      <c r="BO566" s="235"/>
    </row>
    <row r="567" ht="29.25" hidden="1" customHeight="1">
      <c r="A567" s="230"/>
      <c r="B567" s="231"/>
      <c r="C567" s="179"/>
      <c r="D567" s="179"/>
      <c r="E567" s="180"/>
      <c r="F567" s="162"/>
      <c r="G567" s="232"/>
      <c r="H567" s="22"/>
      <c r="I567" s="181"/>
      <c r="J567" s="182"/>
      <c r="K567" s="182"/>
      <c r="L567" s="182"/>
      <c r="M567" s="234"/>
      <c r="N567" s="28"/>
      <c r="O567" s="181"/>
      <c r="P567" s="183"/>
      <c r="Q567" s="104"/>
      <c r="R567" s="233"/>
      <c r="S567" s="164"/>
      <c r="T567" s="164"/>
      <c r="U567" s="162"/>
      <c r="V567" s="235"/>
      <c r="W567" s="235"/>
      <c r="X567" s="235"/>
      <c r="Y567" s="235"/>
      <c r="Z567" s="235"/>
      <c r="AA567" s="235"/>
      <c r="AB567" s="235"/>
      <c r="AC567" s="235"/>
      <c r="AD567" s="235"/>
      <c r="AE567" s="235"/>
      <c r="AF567" s="235"/>
      <c r="AG567" s="235"/>
      <c r="AH567" s="235"/>
      <c r="AI567" s="235"/>
      <c r="AJ567" s="235"/>
      <c r="AK567" s="235"/>
      <c r="AL567" s="235"/>
      <c r="AM567" s="235"/>
      <c r="AN567" s="235"/>
      <c r="AO567" s="235"/>
      <c r="AP567" s="235"/>
      <c r="AQ567" s="235"/>
      <c r="AR567" s="235"/>
      <c r="AS567" s="235"/>
      <c r="AT567" s="235"/>
      <c r="AU567" s="235"/>
      <c r="AV567" s="235"/>
      <c r="AW567" s="235"/>
      <c r="AX567" s="235"/>
      <c r="AY567" s="235"/>
      <c r="AZ567" s="235"/>
      <c r="BA567" s="235"/>
      <c r="BB567" s="235"/>
      <c r="BC567" s="235"/>
      <c r="BD567" s="235"/>
      <c r="BE567" s="235"/>
      <c r="BF567" s="235"/>
      <c r="BG567" s="235"/>
      <c r="BH567" s="235"/>
      <c r="BI567" s="235"/>
      <c r="BJ567" s="235"/>
      <c r="BK567" s="235"/>
      <c r="BL567" s="235"/>
      <c r="BM567" s="235"/>
      <c r="BN567" s="235"/>
      <c r="BO567" s="235"/>
    </row>
    <row r="568" ht="29.25" hidden="1" customHeight="1">
      <c r="A568" s="230"/>
      <c r="B568" s="231"/>
      <c r="C568" s="179"/>
      <c r="D568" s="179"/>
      <c r="E568" s="180"/>
      <c r="F568" s="162"/>
      <c r="G568" s="232"/>
      <c r="H568" s="22"/>
      <c r="I568" s="181"/>
      <c r="J568" s="182"/>
      <c r="K568" s="182"/>
      <c r="L568" s="182"/>
      <c r="M568" s="234"/>
      <c r="N568" s="28"/>
      <c r="O568" s="181"/>
      <c r="P568" s="183"/>
      <c r="Q568" s="104"/>
      <c r="R568" s="233"/>
      <c r="S568" s="164"/>
      <c r="T568" s="164"/>
      <c r="U568" s="162"/>
      <c r="V568" s="235"/>
      <c r="W568" s="235"/>
      <c r="X568" s="235"/>
      <c r="Y568" s="235"/>
      <c r="Z568" s="235"/>
      <c r="AA568" s="235"/>
      <c r="AB568" s="235"/>
      <c r="AC568" s="235"/>
      <c r="AD568" s="235"/>
      <c r="AE568" s="235"/>
      <c r="AF568" s="235"/>
      <c r="AG568" s="235"/>
      <c r="AH568" s="235"/>
      <c r="AI568" s="235"/>
      <c r="AJ568" s="235"/>
      <c r="AK568" s="235"/>
      <c r="AL568" s="235"/>
      <c r="AM568" s="235"/>
      <c r="AN568" s="235"/>
      <c r="AO568" s="235"/>
      <c r="AP568" s="235"/>
      <c r="AQ568" s="235"/>
      <c r="AR568" s="235"/>
      <c r="AS568" s="235"/>
      <c r="AT568" s="235"/>
      <c r="AU568" s="235"/>
      <c r="AV568" s="235"/>
      <c r="AW568" s="235"/>
      <c r="AX568" s="235"/>
      <c r="AY568" s="235"/>
      <c r="AZ568" s="235"/>
      <c r="BA568" s="235"/>
      <c r="BB568" s="235"/>
      <c r="BC568" s="235"/>
      <c r="BD568" s="235"/>
      <c r="BE568" s="235"/>
      <c r="BF568" s="235"/>
      <c r="BG568" s="235"/>
      <c r="BH568" s="235"/>
      <c r="BI568" s="235"/>
      <c r="BJ568" s="235"/>
      <c r="BK568" s="235"/>
      <c r="BL568" s="235"/>
      <c r="BM568" s="235"/>
      <c r="BN568" s="235"/>
      <c r="BO568" s="235"/>
    </row>
    <row r="569" ht="29.25" hidden="1" customHeight="1">
      <c r="A569" s="230"/>
      <c r="B569" s="231"/>
      <c r="C569" s="179"/>
      <c r="D569" s="179"/>
      <c r="E569" s="180"/>
      <c r="F569" s="162"/>
      <c r="G569" s="232"/>
      <c r="H569" s="22"/>
      <c r="I569" s="181"/>
      <c r="J569" s="182"/>
      <c r="K569" s="182"/>
      <c r="L569" s="182"/>
      <c r="M569" s="234"/>
      <c r="N569" s="28"/>
      <c r="O569" s="181"/>
      <c r="P569" s="183"/>
      <c r="Q569" s="104"/>
      <c r="R569" s="233"/>
      <c r="S569" s="164"/>
      <c r="T569" s="164"/>
      <c r="U569" s="162"/>
      <c r="V569" s="235"/>
      <c r="W569" s="235"/>
      <c r="X569" s="235"/>
      <c r="Y569" s="235"/>
      <c r="Z569" s="235"/>
      <c r="AA569" s="235"/>
      <c r="AB569" s="235"/>
      <c r="AC569" s="235"/>
      <c r="AD569" s="235"/>
      <c r="AE569" s="235"/>
      <c r="AF569" s="235"/>
      <c r="AG569" s="235"/>
      <c r="AH569" s="235"/>
      <c r="AI569" s="235"/>
      <c r="AJ569" s="235"/>
      <c r="AK569" s="235"/>
      <c r="AL569" s="235"/>
      <c r="AM569" s="235"/>
      <c r="AN569" s="235"/>
      <c r="AO569" s="235"/>
      <c r="AP569" s="235"/>
      <c r="AQ569" s="235"/>
      <c r="AR569" s="235"/>
      <c r="AS569" s="235"/>
      <c r="AT569" s="235"/>
      <c r="AU569" s="235"/>
      <c r="AV569" s="235"/>
      <c r="AW569" s="235"/>
      <c r="AX569" s="235"/>
      <c r="AY569" s="235"/>
      <c r="AZ569" s="235"/>
      <c r="BA569" s="235"/>
      <c r="BB569" s="235"/>
      <c r="BC569" s="235"/>
      <c r="BD569" s="235"/>
      <c r="BE569" s="235"/>
      <c r="BF569" s="235"/>
      <c r="BG569" s="235"/>
      <c r="BH569" s="235"/>
      <c r="BI569" s="235"/>
      <c r="BJ569" s="235"/>
      <c r="BK569" s="235"/>
      <c r="BL569" s="235"/>
      <c r="BM569" s="235"/>
      <c r="BN569" s="235"/>
      <c r="BO569" s="235"/>
    </row>
    <row r="570" ht="29.25" hidden="1" customHeight="1">
      <c r="A570" s="230"/>
      <c r="B570" s="231"/>
      <c r="C570" s="179"/>
      <c r="D570" s="179"/>
      <c r="E570" s="180"/>
      <c r="F570" s="162"/>
      <c r="G570" s="232"/>
      <c r="H570" s="22"/>
      <c r="I570" s="181"/>
      <c r="J570" s="182"/>
      <c r="K570" s="182"/>
      <c r="L570" s="182"/>
      <c r="M570" s="234"/>
      <c r="N570" s="28"/>
      <c r="O570" s="181"/>
      <c r="P570" s="183"/>
      <c r="Q570" s="104"/>
      <c r="R570" s="233"/>
      <c r="S570" s="164"/>
      <c r="T570" s="164"/>
      <c r="U570" s="162"/>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c r="AW570" s="235"/>
      <c r="AX570" s="235"/>
      <c r="AY570" s="235"/>
      <c r="AZ570" s="235"/>
      <c r="BA570" s="235"/>
      <c r="BB570" s="235"/>
      <c r="BC570" s="235"/>
      <c r="BD570" s="235"/>
      <c r="BE570" s="235"/>
      <c r="BF570" s="235"/>
      <c r="BG570" s="235"/>
      <c r="BH570" s="235"/>
      <c r="BI570" s="235"/>
      <c r="BJ570" s="235"/>
      <c r="BK570" s="235"/>
      <c r="BL570" s="235"/>
      <c r="BM570" s="235"/>
      <c r="BN570" s="235"/>
      <c r="BO570" s="235"/>
    </row>
    <row r="571" ht="29.25" hidden="1" customHeight="1">
      <c r="A571" s="230"/>
      <c r="B571" s="231"/>
      <c r="C571" s="179"/>
      <c r="D571" s="179"/>
      <c r="E571" s="180"/>
      <c r="F571" s="162"/>
      <c r="G571" s="232"/>
      <c r="H571" s="22"/>
      <c r="I571" s="181"/>
      <c r="J571" s="182"/>
      <c r="K571" s="182"/>
      <c r="L571" s="182"/>
      <c r="M571" s="234"/>
      <c r="N571" s="28"/>
      <c r="O571" s="181"/>
      <c r="P571" s="183"/>
      <c r="Q571" s="104"/>
      <c r="R571" s="233"/>
      <c r="S571" s="164"/>
      <c r="T571" s="164"/>
      <c r="U571" s="162"/>
      <c r="V571" s="235"/>
      <c r="W571" s="235"/>
      <c r="X571" s="235"/>
      <c r="Y571" s="235"/>
      <c r="Z571" s="235"/>
      <c r="AA571" s="235"/>
      <c r="AB571" s="235"/>
      <c r="AC571" s="235"/>
      <c r="AD571" s="235"/>
      <c r="AE571" s="235"/>
      <c r="AF571" s="235"/>
      <c r="AG571" s="235"/>
      <c r="AH571" s="235"/>
      <c r="AI571" s="235"/>
      <c r="AJ571" s="235"/>
      <c r="AK571" s="235"/>
      <c r="AL571" s="235"/>
      <c r="AM571" s="235"/>
      <c r="AN571" s="235"/>
      <c r="AO571" s="235"/>
      <c r="AP571" s="235"/>
      <c r="AQ571" s="235"/>
      <c r="AR571" s="235"/>
      <c r="AS571" s="235"/>
      <c r="AT571" s="235"/>
      <c r="AU571" s="235"/>
      <c r="AV571" s="235"/>
      <c r="AW571" s="235"/>
      <c r="AX571" s="235"/>
      <c r="AY571" s="235"/>
      <c r="AZ571" s="235"/>
      <c r="BA571" s="235"/>
      <c r="BB571" s="235"/>
      <c r="BC571" s="235"/>
      <c r="BD571" s="235"/>
      <c r="BE571" s="235"/>
      <c r="BF571" s="235"/>
      <c r="BG571" s="235"/>
      <c r="BH571" s="235"/>
      <c r="BI571" s="235"/>
      <c r="BJ571" s="235"/>
      <c r="BK571" s="235"/>
      <c r="BL571" s="235"/>
      <c r="BM571" s="235"/>
      <c r="BN571" s="235"/>
      <c r="BO571" s="235"/>
    </row>
    <row r="572" ht="29.25" hidden="1" customHeight="1">
      <c r="A572" s="230"/>
      <c r="B572" s="231"/>
      <c r="C572" s="179"/>
      <c r="D572" s="179"/>
      <c r="E572" s="180"/>
      <c r="F572" s="162"/>
      <c r="G572" s="232"/>
      <c r="H572" s="22"/>
      <c r="I572" s="181"/>
      <c r="J572" s="182"/>
      <c r="K572" s="182"/>
      <c r="L572" s="182"/>
      <c r="M572" s="234"/>
      <c r="N572" s="28"/>
      <c r="O572" s="181"/>
      <c r="P572" s="183"/>
      <c r="Q572" s="104"/>
      <c r="R572" s="233"/>
      <c r="S572" s="164"/>
      <c r="T572" s="164"/>
      <c r="U572" s="162"/>
      <c r="V572" s="235"/>
      <c r="W572" s="235"/>
      <c r="X572" s="235"/>
      <c r="Y572" s="235"/>
      <c r="Z572" s="235"/>
      <c r="AA572" s="235"/>
      <c r="AB572" s="235"/>
      <c r="AC572" s="235"/>
      <c r="AD572" s="235"/>
      <c r="AE572" s="235"/>
      <c r="AF572" s="235"/>
      <c r="AG572" s="235"/>
      <c r="AH572" s="235"/>
      <c r="AI572" s="235"/>
      <c r="AJ572" s="235"/>
      <c r="AK572" s="235"/>
      <c r="AL572" s="235"/>
      <c r="AM572" s="235"/>
      <c r="AN572" s="235"/>
      <c r="AO572" s="235"/>
      <c r="AP572" s="235"/>
      <c r="AQ572" s="235"/>
      <c r="AR572" s="235"/>
      <c r="AS572" s="235"/>
      <c r="AT572" s="235"/>
      <c r="AU572" s="235"/>
      <c r="AV572" s="235"/>
      <c r="AW572" s="235"/>
      <c r="AX572" s="235"/>
      <c r="AY572" s="235"/>
      <c r="AZ572" s="235"/>
      <c r="BA572" s="235"/>
      <c r="BB572" s="235"/>
      <c r="BC572" s="235"/>
      <c r="BD572" s="235"/>
      <c r="BE572" s="235"/>
      <c r="BF572" s="235"/>
      <c r="BG572" s="235"/>
      <c r="BH572" s="235"/>
      <c r="BI572" s="235"/>
      <c r="BJ572" s="235"/>
      <c r="BK572" s="235"/>
      <c r="BL572" s="235"/>
      <c r="BM572" s="235"/>
      <c r="BN572" s="235"/>
      <c r="BO572" s="235"/>
    </row>
    <row r="573" ht="29.25" hidden="1" customHeight="1">
      <c r="A573" s="230"/>
      <c r="B573" s="231"/>
      <c r="C573" s="179"/>
      <c r="D573" s="179"/>
      <c r="E573" s="180"/>
      <c r="F573" s="162"/>
      <c r="G573" s="232"/>
      <c r="H573" s="22"/>
      <c r="I573" s="181"/>
      <c r="J573" s="182"/>
      <c r="K573" s="182"/>
      <c r="L573" s="182"/>
      <c r="M573" s="234"/>
      <c r="N573" s="28"/>
      <c r="O573" s="181"/>
      <c r="P573" s="183"/>
      <c r="Q573" s="104"/>
      <c r="R573" s="233"/>
      <c r="S573" s="164"/>
      <c r="T573" s="164"/>
      <c r="U573" s="162"/>
      <c r="V573" s="235"/>
      <c r="W573" s="235"/>
      <c r="X573" s="235"/>
      <c r="Y573" s="235"/>
      <c r="Z573" s="235"/>
      <c r="AA573" s="235"/>
      <c r="AB573" s="235"/>
      <c r="AC573" s="235"/>
      <c r="AD573" s="235"/>
      <c r="AE573" s="235"/>
      <c r="AF573" s="235"/>
      <c r="AG573" s="235"/>
      <c r="AH573" s="235"/>
      <c r="AI573" s="235"/>
      <c r="AJ573" s="235"/>
      <c r="AK573" s="235"/>
      <c r="AL573" s="235"/>
      <c r="AM573" s="235"/>
      <c r="AN573" s="235"/>
      <c r="AO573" s="235"/>
      <c r="AP573" s="235"/>
      <c r="AQ573" s="235"/>
      <c r="AR573" s="235"/>
      <c r="AS573" s="235"/>
      <c r="AT573" s="235"/>
      <c r="AU573" s="235"/>
      <c r="AV573" s="235"/>
      <c r="AW573" s="235"/>
      <c r="AX573" s="235"/>
      <c r="AY573" s="235"/>
      <c r="AZ573" s="235"/>
      <c r="BA573" s="235"/>
      <c r="BB573" s="235"/>
      <c r="BC573" s="235"/>
      <c r="BD573" s="235"/>
      <c r="BE573" s="235"/>
      <c r="BF573" s="235"/>
      <c r="BG573" s="235"/>
      <c r="BH573" s="235"/>
      <c r="BI573" s="235"/>
      <c r="BJ573" s="235"/>
      <c r="BK573" s="235"/>
      <c r="BL573" s="235"/>
      <c r="BM573" s="235"/>
      <c r="BN573" s="235"/>
      <c r="BO573" s="235"/>
    </row>
    <row r="574" ht="29.25" hidden="1" customHeight="1">
      <c r="A574" s="230"/>
      <c r="B574" s="231"/>
      <c r="C574" s="179"/>
      <c r="D574" s="179"/>
      <c r="E574" s="180"/>
      <c r="F574" s="162"/>
      <c r="G574" s="232"/>
      <c r="H574" s="22"/>
      <c r="I574" s="181"/>
      <c r="J574" s="182"/>
      <c r="K574" s="182"/>
      <c r="L574" s="182"/>
      <c r="M574" s="234"/>
      <c r="N574" s="28"/>
      <c r="O574" s="181"/>
      <c r="P574" s="183"/>
      <c r="Q574" s="104"/>
      <c r="R574" s="233"/>
      <c r="S574" s="164"/>
      <c r="T574" s="164"/>
      <c r="U574" s="162"/>
      <c r="V574" s="235"/>
      <c r="W574" s="235"/>
      <c r="X574" s="235"/>
      <c r="Y574" s="235"/>
      <c r="Z574" s="235"/>
      <c r="AA574" s="235"/>
      <c r="AB574" s="235"/>
      <c r="AC574" s="235"/>
      <c r="AD574" s="235"/>
      <c r="AE574" s="235"/>
      <c r="AF574" s="235"/>
      <c r="AG574" s="235"/>
      <c r="AH574" s="235"/>
      <c r="AI574" s="235"/>
      <c r="AJ574" s="235"/>
      <c r="AK574" s="235"/>
      <c r="AL574" s="235"/>
      <c r="AM574" s="235"/>
      <c r="AN574" s="235"/>
      <c r="AO574" s="235"/>
      <c r="AP574" s="235"/>
      <c r="AQ574" s="235"/>
      <c r="AR574" s="235"/>
      <c r="AS574" s="235"/>
      <c r="AT574" s="235"/>
      <c r="AU574" s="235"/>
      <c r="AV574" s="235"/>
      <c r="AW574" s="235"/>
      <c r="AX574" s="235"/>
      <c r="AY574" s="235"/>
      <c r="AZ574" s="235"/>
      <c r="BA574" s="235"/>
      <c r="BB574" s="235"/>
      <c r="BC574" s="235"/>
      <c r="BD574" s="235"/>
      <c r="BE574" s="235"/>
      <c r="BF574" s="235"/>
      <c r="BG574" s="235"/>
      <c r="BH574" s="235"/>
      <c r="BI574" s="235"/>
      <c r="BJ574" s="235"/>
      <c r="BK574" s="235"/>
      <c r="BL574" s="235"/>
      <c r="BM574" s="235"/>
      <c r="BN574" s="235"/>
      <c r="BO574" s="235"/>
    </row>
    <row r="575" ht="29.25" hidden="1" customHeight="1">
      <c r="A575" s="230"/>
      <c r="B575" s="231"/>
      <c r="C575" s="179"/>
      <c r="D575" s="179"/>
      <c r="E575" s="180"/>
      <c r="F575" s="162"/>
      <c r="G575" s="232"/>
      <c r="H575" s="22"/>
      <c r="I575" s="181"/>
      <c r="J575" s="182"/>
      <c r="K575" s="182"/>
      <c r="L575" s="182"/>
      <c r="M575" s="234"/>
      <c r="N575" s="28"/>
      <c r="O575" s="181"/>
      <c r="P575" s="183"/>
      <c r="Q575" s="104"/>
      <c r="R575" s="233"/>
      <c r="S575" s="164"/>
      <c r="T575" s="164"/>
      <c r="U575" s="162"/>
      <c r="V575" s="235"/>
      <c r="W575" s="235"/>
      <c r="X575" s="235"/>
      <c r="Y575" s="235"/>
      <c r="Z575" s="235"/>
      <c r="AA575" s="235"/>
      <c r="AB575" s="235"/>
      <c r="AC575" s="235"/>
      <c r="AD575" s="235"/>
      <c r="AE575" s="235"/>
      <c r="AF575" s="235"/>
      <c r="AG575" s="235"/>
      <c r="AH575" s="235"/>
      <c r="AI575" s="235"/>
      <c r="AJ575" s="235"/>
      <c r="AK575" s="235"/>
      <c r="AL575" s="235"/>
      <c r="AM575" s="235"/>
      <c r="AN575" s="235"/>
      <c r="AO575" s="235"/>
      <c r="AP575" s="235"/>
      <c r="AQ575" s="235"/>
      <c r="AR575" s="235"/>
      <c r="AS575" s="235"/>
      <c r="AT575" s="235"/>
      <c r="AU575" s="235"/>
      <c r="AV575" s="235"/>
      <c r="AW575" s="235"/>
      <c r="AX575" s="235"/>
      <c r="AY575" s="235"/>
      <c r="AZ575" s="235"/>
      <c r="BA575" s="235"/>
      <c r="BB575" s="235"/>
      <c r="BC575" s="235"/>
      <c r="BD575" s="235"/>
      <c r="BE575" s="235"/>
      <c r="BF575" s="235"/>
      <c r="BG575" s="235"/>
      <c r="BH575" s="235"/>
      <c r="BI575" s="235"/>
      <c r="BJ575" s="235"/>
      <c r="BK575" s="235"/>
      <c r="BL575" s="235"/>
      <c r="BM575" s="235"/>
      <c r="BN575" s="235"/>
      <c r="BO575" s="235"/>
    </row>
    <row r="576" ht="29.25" hidden="1" customHeight="1">
      <c r="A576" s="230"/>
      <c r="B576" s="231"/>
      <c r="C576" s="179"/>
      <c r="D576" s="179"/>
      <c r="E576" s="180"/>
      <c r="F576" s="162"/>
      <c r="G576" s="232"/>
      <c r="H576" s="22"/>
      <c r="I576" s="181"/>
      <c r="J576" s="182"/>
      <c r="K576" s="182"/>
      <c r="L576" s="182"/>
      <c r="M576" s="234"/>
      <c r="N576" s="28"/>
      <c r="O576" s="181"/>
      <c r="P576" s="183"/>
      <c r="Q576" s="104"/>
      <c r="R576" s="233"/>
      <c r="S576" s="164"/>
      <c r="T576" s="164"/>
      <c r="U576" s="162"/>
      <c r="V576" s="235"/>
      <c r="W576" s="235"/>
      <c r="X576" s="235"/>
      <c r="Y576" s="235"/>
      <c r="Z576" s="235"/>
      <c r="AA576" s="235"/>
      <c r="AB576" s="235"/>
      <c r="AC576" s="235"/>
      <c r="AD576" s="235"/>
      <c r="AE576" s="235"/>
      <c r="AF576" s="235"/>
      <c r="AG576" s="235"/>
      <c r="AH576" s="235"/>
      <c r="AI576" s="235"/>
      <c r="AJ576" s="235"/>
      <c r="AK576" s="235"/>
      <c r="AL576" s="235"/>
      <c r="AM576" s="235"/>
      <c r="AN576" s="235"/>
      <c r="AO576" s="235"/>
      <c r="AP576" s="235"/>
      <c r="AQ576" s="235"/>
      <c r="AR576" s="235"/>
      <c r="AS576" s="235"/>
      <c r="AT576" s="235"/>
      <c r="AU576" s="235"/>
      <c r="AV576" s="235"/>
      <c r="AW576" s="235"/>
      <c r="AX576" s="235"/>
      <c r="AY576" s="235"/>
      <c r="AZ576" s="235"/>
      <c r="BA576" s="235"/>
      <c r="BB576" s="235"/>
      <c r="BC576" s="235"/>
      <c r="BD576" s="235"/>
      <c r="BE576" s="235"/>
      <c r="BF576" s="235"/>
      <c r="BG576" s="235"/>
      <c r="BH576" s="235"/>
      <c r="BI576" s="235"/>
      <c r="BJ576" s="235"/>
      <c r="BK576" s="235"/>
      <c r="BL576" s="235"/>
      <c r="BM576" s="235"/>
      <c r="BN576" s="235"/>
      <c r="BO576" s="235"/>
    </row>
    <row r="577" ht="29.25" hidden="1" customHeight="1">
      <c r="A577" s="230"/>
      <c r="B577" s="231"/>
      <c r="C577" s="179"/>
      <c r="D577" s="179"/>
      <c r="E577" s="180"/>
      <c r="F577" s="162"/>
      <c r="G577" s="232"/>
      <c r="H577" s="22"/>
      <c r="I577" s="181"/>
      <c r="J577" s="182"/>
      <c r="K577" s="182"/>
      <c r="L577" s="182"/>
      <c r="M577" s="234"/>
      <c r="N577" s="28"/>
      <c r="O577" s="181"/>
      <c r="P577" s="183"/>
      <c r="Q577" s="104"/>
      <c r="R577" s="233"/>
      <c r="S577" s="164"/>
      <c r="T577" s="164"/>
      <c r="U577" s="162"/>
      <c r="V577" s="235"/>
      <c r="W577" s="235"/>
      <c r="X577" s="235"/>
      <c r="Y577" s="235"/>
      <c r="Z577" s="235"/>
      <c r="AA577" s="235"/>
      <c r="AB577" s="235"/>
      <c r="AC577" s="235"/>
      <c r="AD577" s="235"/>
      <c r="AE577" s="235"/>
      <c r="AF577" s="235"/>
      <c r="AG577" s="235"/>
      <c r="AH577" s="235"/>
      <c r="AI577" s="235"/>
      <c r="AJ577" s="235"/>
      <c r="AK577" s="235"/>
      <c r="AL577" s="235"/>
      <c r="AM577" s="235"/>
      <c r="AN577" s="235"/>
      <c r="AO577" s="235"/>
      <c r="AP577" s="235"/>
      <c r="AQ577" s="235"/>
      <c r="AR577" s="235"/>
      <c r="AS577" s="235"/>
      <c r="AT577" s="235"/>
      <c r="AU577" s="235"/>
      <c r="AV577" s="235"/>
      <c r="AW577" s="235"/>
      <c r="AX577" s="235"/>
      <c r="AY577" s="235"/>
      <c r="AZ577" s="235"/>
      <c r="BA577" s="235"/>
      <c r="BB577" s="235"/>
      <c r="BC577" s="235"/>
      <c r="BD577" s="235"/>
      <c r="BE577" s="235"/>
      <c r="BF577" s="235"/>
      <c r="BG577" s="235"/>
      <c r="BH577" s="235"/>
      <c r="BI577" s="235"/>
      <c r="BJ577" s="235"/>
      <c r="BK577" s="235"/>
      <c r="BL577" s="235"/>
      <c r="BM577" s="235"/>
      <c r="BN577" s="235"/>
      <c r="BO577" s="235"/>
    </row>
    <row r="578" ht="29.25" hidden="1" customHeight="1">
      <c r="A578" s="230"/>
      <c r="B578" s="231"/>
      <c r="C578" s="179"/>
      <c r="D578" s="179"/>
      <c r="E578" s="180"/>
      <c r="F578" s="162"/>
      <c r="G578" s="232"/>
      <c r="H578" s="22"/>
      <c r="I578" s="181"/>
      <c r="J578" s="182"/>
      <c r="K578" s="182"/>
      <c r="L578" s="182"/>
      <c r="M578" s="234"/>
      <c r="N578" s="28"/>
      <c r="O578" s="181"/>
      <c r="P578" s="183"/>
      <c r="Q578" s="104"/>
      <c r="R578" s="233"/>
      <c r="S578" s="164"/>
      <c r="T578" s="164"/>
      <c r="U578" s="162"/>
      <c r="V578" s="235"/>
      <c r="W578" s="235"/>
      <c r="X578" s="235"/>
      <c r="Y578" s="235"/>
      <c r="Z578" s="235"/>
      <c r="AA578" s="235"/>
      <c r="AB578" s="235"/>
      <c r="AC578" s="235"/>
      <c r="AD578" s="235"/>
      <c r="AE578" s="235"/>
      <c r="AF578" s="235"/>
      <c r="AG578" s="235"/>
      <c r="AH578" s="235"/>
      <c r="AI578" s="235"/>
      <c r="AJ578" s="235"/>
      <c r="AK578" s="235"/>
      <c r="AL578" s="235"/>
      <c r="AM578" s="235"/>
      <c r="AN578" s="235"/>
      <c r="AO578" s="235"/>
      <c r="AP578" s="235"/>
      <c r="AQ578" s="235"/>
      <c r="AR578" s="235"/>
      <c r="AS578" s="235"/>
      <c r="AT578" s="235"/>
      <c r="AU578" s="235"/>
      <c r="AV578" s="235"/>
      <c r="AW578" s="235"/>
      <c r="AX578" s="235"/>
      <c r="AY578" s="235"/>
      <c r="AZ578" s="235"/>
      <c r="BA578" s="235"/>
      <c r="BB578" s="235"/>
      <c r="BC578" s="235"/>
      <c r="BD578" s="235"/>
      <c r="BE578" s="235"/>
      <c r="BF578" s="235"/>
      <c r="BG578" s="235"/>
      <c r="BH578" s="235"/>
      <c r="BI578" s="235"/>
      <c r="BJ578" s="235"/>
      <c r="BK578" s="235"/>
      <c r="BL578" s="235"/>
      <c r="BM578" s="235"/>
      <c r="BN578" s="235"/>
      <c r="BO578" s="235"/>
    </row>
    <row r="579" ht="29.25" hidden="1" customHeight="1">
      <c r="A579" s="230"/>
      <c r="B579" s="231"/>
      <c r="C579" s="179"/>
      <c r="D579" s="179"/>
      <c r="E579" s="180"/>
      <c r="F579" s="162"/>
      <c r="G579" s="232"/>
      <c r="H579" s="22"/>
      <c r="I579" s="181"/>
      <c r="J579" s="182"/>
      <c r="K579" s="182"/>
      <c r="L579" s="182"/>
      <c r="M579" s="234"/>
      <c r="N579" s="28"/>
      <c r="O579" s="181"/>
      <c r="P579" s="183"/>
      <c r="Q579" s="104"/>
      <c r="R579" s="233"/>
      <c r="S579" s="164"/>
      <c r="T579" s="164"/>
      <c r="U579" s="162"/>
      <c r="V579" s="235"/>
      <c r="W579" s="235"/>
      <c r="X579" s="235"/>
      <c r="Y579" s="235"/>
      <c r="Z579" s="235"/>
      <c r="AA579" s="235"/>
      <c r="AB579" s="235"/>
      <c r="AC579" s="235"/>
      <c r="AD579" s="235"/>
      <c r="AE579" s="235"/>
      <c r="AF579" s="235"/>
      <c r="AG579" s="235"/>
      <c r="AH579" s="235"/>
      <c r="AI579" s="235"/>
      <c r="AJ579" s="235"/>
      <c r="AK579" s="235"/>
      <c r="AL579" s="235"/>
      <c r="AM579" s="235"/>
      <c r="AN579" s="235"/>
      <c r="AO579" s="235"/>
      <c r="AP579" s="235"/>
      <c r="AQ579" s="235"/>
      <c r="AR579" s="235"/>
      <c r="AS579" s="235"/>
      <c r="AT579" s="235"/>
      <c r="AU579" s="235"/>
      <c r="AV579" s="235"/>
      <c r="AW579" s="235"/>
      <c r="AX579" s="235"/>
      <c r="AY579" s="235"/>
      <c r="AZ579" s="235"/>
      <c r="BA579" s="235"/>
      <c r="BB579" s="235"/>
      <c r="BC579" s="235"/>
      <c r="BD579" s="235"/>
      <c r="BE579" s="235"/>
      <c r="BF579" s="235"/>
      <c r="BG579" s="235"/>
      <c r="BH579" s="235"/>
      <c r="BI579" s="235"/>
      <c r="BJ579" s="235"/>
      <c r="BK579" s="235"/>
      <c r="BL579" s="235"/>
      <c r="BM579" s="235"/>
      <c r="BN579" s="235"/>
      <c r="BO579" s="235"/>
    </row>
    <row r="580" ht="29.25" hidden="1" customHeight="1">
      <c r="A580" s="230"/>
      <c r="B580" s="231"/>
      <c r="C580" s="179"/>
      <c r="D580" s="179"/>
      <c r="E580" s="180"/>
      <c r="F580" s="162"/>
      <c r="G580" s="232"/>
      <c r="H580" s="22"/>
      <c r="I580" s="181"/>
      <c r="J580" s="182"/>
      <c r="K580" s="182"/>
      <c r="L580" s="182"/>
      <c r="M580" s="234"/>
      <c r="N580" s="28"/>
      <c r="O580" s="181"/>
      <c r="P580" s="183"/>
      <c r="Q580" s="104"/>
      <c r="R580" s="233"/>
      <c r="S580" s="164"/>
      <c r="T580" s="164"/>
      <c r="U580" s="162"/>
      <c r="V580" s="235"/>
      <c r="W580" s="235"/>
      <c r="X580" s="235"/>
      <c r="Y580" s="235"/>
      <c r="Z580" s="235"/>
      <c r="AA580" s="235"/>
      <c r="AB580" s="235"/>
      <c r="AC580" s="235"/>
      <c r="AD580" s="235"/>
      <c r="AE580" s="235"/>
      <c r="AF580" s="235"/>
      <c r="AG580" s="235"/>
      <c r="AH580" s="235"/>
      <c r="AI580" s="235"/>
      <c r="AJ580" s="235"/>
      <c r="AK580" s="235"/>
      <c r="AL580" s="235"/>
      <c r="AM580" s="235"/>
      <c r="AN580" s="235"/>
      <c r="AO580" s="235"/>
      <c r="AP580" s="235"/>
      <c r="AQ580" s="235"/>
      <c r="AR580" s="235"/>
      <c r="AS580" s="235"/>
      <c r="AT580" s="235"/>
      <c r="AU580" s="235"/>
      <c r="AV580" s="235"/>
      <c r="AW580" s="235"/>
      <c r="AX580" s="235"/>
      <c r="AY580" s="235"/>
      <c r="AZ580" s="235"/>
      <c r="BA580" s="235"/>
      <c r="BB580" s="235"/>
      <c r="BC580" s="235"/>
      <c r="BD580" s="235"/>
      <c r="BE580" s="235"/>
      <c r="BF580" s="235"/>
      <c r="BG580" s="235"/>
      <c r="BH580" s="235"/>
      <c r="BI580" s="235"/>
      <c r="BJ580" s="235"/>
      <c r="BK580" s="235"/>
      <c r="BL580" s="235"/>
      <c r="BM580" s="235"/>
      <c r="BN580" s="235"/>
      <c r="BO580" s="235"/>
    </row>
    <row r="581" ht="29.25" hidden="1" customHeight="1">
      <c r="A581" s="230"/>
      <c r="B581" s="231"/>
      <c r="C581" s="179"/>
      <c r="D581" s="179"/>
      <c r="E581" s="180"/>
      <c r="F581" s="162"/>
      <c r="G581" s="232"/>
      <c r="H581" s="22"/>
      <c r="I581" s="181"/>
      <c r="J581" s="182"/>
      <c r="K581" s="182"/>
      <c r="L581" s="182"/>
      <c r="M581" s="234"/>
      <c r="N581" s="28"/>
      <c r="O581" s="181"/>
      <c r="P581" s="183"/>
      <c r="Q581" s="104"/>
      <c r="R581" s="233"/>
      <c r="S581" s="164"/>
      <c r="T581" s="164"/>
      <c r="U581" s="162"/>
      <c r="V581" s="235"/>
      <c r="W581" s="235"/>
      <c r="X581" s="235"/>
      <c r="Y581" s="235"/>
      <c r="Z581" s="235"/>
      <c r="AA581" s="235"/>
      <c r="AB581" s="235"/>
      <c r="AC581" s="235"/>
      <c r="AD581" s="235"/>
      <c r="AE581" s="235"/>
      <c r="AF581" s="235"/>
      <c r="AG581" s="235"/>
      <c r="AH581" s="235"/>
      <c r="AI581" s="235"/>
      <c r="AJ581" s="235"/>
      <c r="AK581" s="235"/>
      <c r="AL581" s="235"/>
      <c r="AM581" s="235"/>
      <c r="AN581" s="235"/>
      <c r="AO581" s="235"/>
      <c r="AP581" s="235"/>
      <c r="AQ581" s="235"/>
      <c r="AR581" s="235"/>
      <c r="AS581" s="235"/>
      <c r="AT581" s="235"/>
      <c r="AU581" s="235"/>
      <c r="AV581" s="235"/>
      <c r="AW581" s="235"/>
      <c r="AX581" s="235"/>
      <c r="AY581" s="235"/>
      <c r="AZ581" s="235"/>
      <c r="BA581" s="235"/>
      <c r="BB581" s="235"/>
      <c r="BC581" s="235"/>
      <c r="BD581" s="235"/>
      <c r="BE581" s="235"/>
      <c r="BF581" s="235"/>
      <c r="BG581" s="235"/>
      <c r="BH581" s="235"/>
      <c r="BI581" s="235"/>
      <c r="BJ581" s="235"/>
      <c r="BK581" s="235"/>
      <c r="BL581" s="235"/>
      <c r="BM581" s="235"/>
      <c r="BN581" s="235"/>
      <c r="BO581" s="235"/>
    </row>
    <row r="582" ht="29.25" hidden="1" customHeight="1">
      <c r="A582" s="230"/>
      <c r="B582" s="231"/>
      <c r="C582" s="179"/>
      <c r="D582" s="179"/>
      <c r="E582" s="180"/>
      <c r="F582" s="162"/>
      <c r="G582" s="232"/>
      <c r="H582" s="22"/>
      <c r="I582" s="181"/>
      <c r="J582" s="182"/>
      <c r="K582" s="182"/>
      <c r="L582" s="182"/>
      <c r="M582" s="234"/>
      <c r="N582" s="28"/>
      <c r="O582" s="181"/>
      <c r="P582" s="183"/>
      <c r="Q582" s="104"/>
      <c r="R582" s="233"/>
      <c r="S582" s="164"/>
      <c r="T582" s="164"/>
      <c r="U582" s="162"/>
      <c r="V582" s="235"/>
      <c r="W582" s="235"/>
      <c r="X582" s="235"/>
      <c r="Y582" s="235"/>
      <c r="Z582" s="235"/>
      <c r="AA582" s="235"/>
      <c r="AB582" s="235"/>
      <c r="AC582" s="235"/>
      <c r="AD582" s="235"/>
      <c r="AE582" s="235"/>
      <c r="AF582" s="235"/>
      <c r="AG582" s="235"/>
      <c r="AH582" s="235"/>
      <c r="AI582" s="235"/>
      <c r="AJ582" s="235"/>
      <c r="AK582" s="235"/>
      <c r="AL582" s="235"/>
      <c r="AM582" s="235"/>
      <c r="AN582" s="235"/>
      <c r="AO582" s="235"/>
      <c r="AP582" s="235"/>
      <c r="AQ582" s="235"/>
      <c r="AR582" s="235"/>
      <c r="AS582" s="235"/>
      <c r="AT582" s="235"/>
      <c r="AU582" s="235"/>
      <c r="AV582" s="235"/>
      <c r="AW582" s="235"/>
      <c r="AX582" s="235"/>
      <c r="AY582" s="235"/>
      <c r="AZ582" s="235"/>
      <c r="BA582" s="235"/>
      <c r="BB582" s="235"/>
      <c r="BC582" s="235"/>
      <c r="BD582" s="235"/>
      <c r="BE582" s="235"/>
      <c r="BF582" s="235"/>
      <c r="BG582" s="235"/>
      <c r="BH582" s="235"/>
      <c r="BI582" s="235"/>
      <c r="BJ582" s="235"/>
      <c r="BK582" s="235"/>
      <c r="BL582" s="235"/>
      <c r="BM582" s="235"/>
      <c r="BN582" s="235"/>
      <c r="BO582" s="235"/>
    </row>
    <row r="583" ht="29.25" hidden="1" customHeight="1">
      <c r="A583" s="230"/>
      <c r="B583" s="231"/>
      <c r="C583" s="179"/>
      <c r="D583" s="179"/>
      <c r="E583" s="180"/>
      <c r="F583" s="162"/>
      <c r="G583" s="232"/>
      <c r="H583" s="22"/>
      <c r="I583" s="181"/>
      <c r="J583" s="182"/>
      <c r="K583" s="182"/>
      <c r="L583" s="182"/>
      <c r="M583" s="234"/>
      <c r="N583" s="28"/>
      <c r="O583" s="181"/>
      <c r="P583" s="183"/>
      <c r="Q583" s="104"/>
      <c r="R583" s="233"/>
      <c r="S583" s="164"/>
      <c r="T583" s="164"/>
      <c r="U583" s="162"/>
      <c r="V583" s="235"/>
      <c r="W583" s="235"/>
      <c r="X583" s="235"/>
      <c r="Y583" s="235"/>
      <c r="Z583" s="235"/>
      <c r="AA583" s="235"/>
      <c r="AB583" s="235"/>
      <c r="AC583" s="235"/>
      <c r="AD583" s="235"/>
      <c r="AE583" s="235"/>
      <c r="AF583" s="235"/>
      <c r="AG583" s="235"/>
      <c r="AH583" s="235"/>
      <c r="AI583" s="235"/>
      <c r="AJ583" s="235"/>
      <c r="AK583" s="235"/>
      <c r="AL583" s="235"/>
      <c r="AM583" s="235"/>
      <c r="AN583" s="235"/>
      <c r="AO583" s="235"/>
      <c r="AP583" s="235"/>
      <c r="AQ583" s="235"/>
      <c r="AR583" s="235"/>
      <c r="AS583" s="235"/>
      <c r="AT583" s="235"/>
      <c r="AU583" s="235"/>
      <c r="AV583" s="235"/>
      <c r="AW583" s="235"/>
      <c r="AX583" s="235"/>
      <c r="AY583" s="235"/>
      <c r="AZ583" s="235"/>
      <c r="BA583" s="235"/>
      <c r="BB583" s="235"/>
      <c r="BC583" s="235"/>
      <c r="BD583" s="235"/>
      <c r="BE583" s="235"/>
      <c r="BF583" s="235"/>
      <c r="BG583" s="235"/>
      <c r="BH583" s="235"/>
      <c r="BI583" s="235"/>
      <c r="BJ583" s="235"/>
      <c r="BK583" s="235"/>
      <c r="BL583" s="235"/>
      <c r="BM583" s="235"/>
      <c r="BN583" s="235"/>
      <c r="BO583" s="235"/>
    </row>
    <row r="584" ht="29.25" hidden="1" customHeight="1">
      <c r="A584" s="230"/>
      <c r="B584" s="231"/>
      <c r="C584" s="179"/>
      <c r="D584" s="179"/>
      <c r="E584" s="180"/>
      <c r="F584" s="162"/>
      <c r="G584" s="232"/>
      <c r="H584" s="22"/>
      <c r="I584" s="181"/>
      <c r="J584" s="182"/>
      <c r="K584" s="182"/>
      <c r="L584" s="182"/>
      <c r="M584" s="234"/>
      <c r="N584" s="28"/>
      <c r="O584" s="181"/>
      <c r="P584" s="183"/>
      <c r="Q584" s="104"/>
      <c r="R584" s="233"/>
      <c r="S584" s="164"/>
      <c r="T584" s="164"/>
      <c r="U584" s="162"/>
      <c r="V584" s="235"/>
      <c r="W584" s="235"/>
      <c r="X584" s="235"/>
      <c r="Y584" s="235"/>
      <c r="Z584" s="235"/>
      <c r="AA584" s="235"/>
      <c r="AB584" s="235"/>
      <c r="AC584" s="235"/>
      <c r="AD584" s="235"/>
      <c r="AE584" s="235"/>
      <c r="AF584" s="235"/>
      <c r="AG584" s="235"/>
      <c r="AH584" s="235"/>
      <c r="AI584" s="235"/>
      <c r="AJ584" s="235"/>
      <c r="AK584" s="235"/>
      <c r="AL584" s="235"/>
      <c r="AM584" s="235"/>
      <c r="AN584" s="235"/>
      <c r="AO584" s="235"/>
      <c r="AP584" s="235"/>
      <c r="AQ584" s="235"/>
      <c r="AR584" s="235"/>
      <c r="AS584" s="235"/>
      <c r="AT584" s="235"/>
      <c r="AU584" s="235"/>
      <c r="AV584" s="235"/>
      <c r="AW584" s="235"/>
      <c r="AX584" s="235"/>
      <c r="AY584" s="235"/>
      <c r="AZ584" s="235"/>
      <c r="BA584" s="235"/>
      <c r="BB584" s="235"/>
      <c r="BC584" s="235"/>
      <c r="BD584" s="235"/>
      <c r="BE584" s="235"/>
      <c r="BF584" s="235"/>
      <c r="BG584" s="235"/>
      <c r="BH584" s="235"/>
      <c r="BI584" s="235"/>
      <c r="BJ584" s="235"/>
      <c r="BK584" s="235"/>
      <c r="BL584" s="235"/>
      <c r="BM584" s="235"/>
      <c r="BN584" s="235"/>
      <c r="BO584" s="235"/>
    </row>
    <row r="585" ht="29.25" hidden="1" customHeight="1">
      <c r="A585" s="230"/>
      <c r="B585" s="231"/>
      <c r="C585" s="179"/>
      <c r="D585" s="179"/>
      <c r="E585" s="180"/>
      <c r="F585" s="162"/>
      <c r="G585" s="232"/>
      <c r="H585" s="22"/>
      <c r="I585" s="181"/>
      <c r="J585" s="182"/>
      <c r="K585" s="182"/>
      <c r="L585" s="182"/>
      <c r="M585" s="234"/>
      <c r="N585" s="28"/>
      <c r="O585" s="181"/>
      <c r="P585" s="183"/>
      <c r="Q585" s="104"/>
      <c r="R585" s="233"/>
      <c r="S585" s="164"/>
      <c r="T585" s="164"/>
      <c r="U585" s="162"/>
      <c r="V585" s="235"/>
      <c r="W585" s="235"/>
      <c r="X585" s="235"/>
      <c r="Y585" s="235"/>
      <c r="Z585" s="235"/>
      <c r="AA585" s="235"/>
      <c r="AB585" s="235"/>
      <c r="AC585" s="235"/>
      <c r="AD585" s="235"/>
      <c r="AE585" s="235"/>
      <c r="AF585" s="235"/>
      <c r="AG585" s="235"/>
      <c r="AH585" s="235"/>
      <c r="AI585" s="235"/>
      <c r="AJ585" s="235"/>
      <c r="AK585" s="235"/>
      <c r="AL585" s="235"/>
      <c r="AM585" s="235"/>
      <c r="AN585" s="235"/>
      <c r="AO585" s="235"/>
      <c r="AP585" s="235"/>
      <c r="AQ585" s="235"/>
      <c r="AR585" s="235"/>
      <c r="AS585" s="235"/>
      <c r="AT585" s="235"/>
      <c r="AU585" s="235"/>
      <c r="AV585" s="235"/>
      <c r="AW585" s="235"/>
      <c r="AX585" s="235"/>
      <c r="AY585" s="235"/>
      <c r="AZ585" s="235"/>
      <c r="BA585" s="235"/>
      <c r="BB585" s="235"/>
      <c r="BC585" s="235"/>
      <c r="BD585" s="235"/>
      <c r="BE585" s="235"/>
      <c r="BF585" s="235"/>
      <c r="BG585" s="235"/>
      <c r="BH585" s="235"/>
      <c r="BI585" s="235"/>
      <c r="BJ585" s="235"/>
      <c r="BK585" s="235"/>
      <c r="BL585" s="235"/>
      <c r="BM585" s="235"/>
      <c r="BN585" s="235"/>
      <c r="BO585" s="235"/>
    </row>
    <row r="586" ht="29.25" hidden="1" customHeight="1">
      <c r="A586" s="230"/>
      <c r="B586" s="231"/>
      <c r="C586" s="179"/>
      <c r="D586" s="179"/>
      <c r="E586" s="180"/>
      <c r="F586" s="162"/>
      <c r="G586" s="232"/>
      <c r="H586" s="22"/>
      <c r="I586" s="181"/>
      <c r="J586" s="182"/>
      <c r="K586" s="182"/>
      <c r="L586" s="182"/>
      <c r="M586" s="234"/>
      <c r="N586" s="28"/>
      <c r="O586" s="181"/>
      <c r="P586" s="183"/>
      <c r="Q586" s="104"/>
      <c r="R586" s="233"/>
      <c r="S586" s="164"/>
      <c r="T586" s="164"/>
      <c r="U586" s="162"/>
      <c r="V586" s="235"/>
      <c r="W586" s="235"/>
      <c r="X586" s="235"/>
      <c r="Y586" s="235"/>
      <c r="Z586" s="235"/>
      <c r="AA586" s="235"/>
      <c r="AB586" s="235"/>
      <c r="AC586" s="235"/>
      <c r="AD586" s="235"/>
      <c r="AE586" s="235"/>
      <c r="AF586" s="235"/>
      <c r="AG586" s="235"/>
      <c r="AH586" s="235"/>
      <c r="AI586" s="235"/>
      <c r="AJ586" s="235"/>
      <c r="AK586" s="235"/>
      <c r="AL586" s="235"/>
      <c r="AM586" s="235"/>
      <c r="AN586" s="235"/>
      <c r="AO586" s="235"/>
      <c r="AP586" s="235"/>
      <c r="AQ586" s="235"/>
      <c r="AR586" s="235"/>
      <c r="AS586" s="235"/>
      <c r="AT586" s="235"/>
      <c r="AU586" s="235"/>
      <c r="AV586" s="235"/>
      <c r="AW586" s="235"/>
      <c r="AX586" s="235"/>
      <c r="AY586" s="235"/>
      <c r="AZ586" s="235"/>
      <c r="BA586" s="235"/>
      <c r="BB586" s="235"/>
      <c r="BC586" s="235"/>
      <c r="BD586" s="235"/>
      <c r="BE586" s="235"/>
      <c r="BF586" s="235"/>
      <c r="BG586" s="235"/>
      <c r="BH586" s="235"/>
      <c r="BI586" s="235"/>
      <c r="BJ586" s="235"/>
      <c r="BK586" s="235"/>
      <c r="BL586" s="235"/>
      <c r="BM586" s="235"/>
      <c r="BN586" s="235"/>
      <c r="BO586" s="235"/>
    </row>
    <row r="587" ht="29.25" hidden="1" customHeight="1">
      <c r="A587" s="230"/>
      <c r="B587" s="231"/>
      <c r="C587" s="179"/>
      <c r="D587" s="179"/>
      <c r="E587" s="180"/>
      <c r="F587" s="162"/>
      <c r="G587" s="232"/>
      <c r="H587" s="22"/>
      <c r="I587" s="181"/>
      <c r="J587" s="182"/>
      <c r="K587" s="182"/>
      <c r="L587" s="182"/>
      <c r="M587" s="234"/>
      <c r="N587" s="28"/>
      <c r="O587" s="181"/>
      <c r="P587" s="183"/>
      <c r="Q587" s="104"/>
      <c r="R587" s="233"/>
      <c r="S587" s="164"/>
      <c r="T587" s="164"/>
      <c r="U587" s="162"/>
      <c r="V587" s="235"/>
      <c r="W587" s="235"/>
      <c r="X587" s="235"/>
      <c r="Y587" s="235"/>
      <c r="Z587" s="235"/>
      <c r="AA587" s="235"/>
      <c r="AB587" s="235"/>
      <c r="AC587" s="235"/>
      <c r="AD587" s="235"/>
      <c r="AE587" s="235"/>
      <c r="AF587" s="235"/>
      <c r="AG587" s="235"/>
      <c r="AH587" s="235"/>
      <c r="AI587" s="235"/>
      <c r="AJ587" s="235"/>
      <c r="AK587" s="235"/>
      <c r="AL587" s="235"/>
      <c r="AM587" s="235"/>
      <c r="AN587" s="235"/>
      <c r="AO587" s="235"/>
      <c r="AP587" s="235"/>
      <c r="AQ587" s="235"/>
      <c r="AR587" s="235"/>
      <c r="AS587" s="235"/>
      <c r="AT587" s="235"/>
      <c r="AU587" s="235"/>
      <c r="AV587" s="235"/>
      <c r="AW587" s="235"/>
      <c r="AX587" s="235"/>
      <c r="AY587" s="235"/>
      <c r="AZ587" s="235"/>
      <c r="BA587" s="235"/>
      <c r="BB587" s="235"/>
      <c r="BC587" s="235"/>
      <c r="BD587" s="235"/>
      <c r="BE587" s="235"/>
      <c r="BF587" s="235"/>
      <c r="BG587" s="235"/>
      <c r="BH587" s="235"/>
      <c r="BI587" s="235"/>
      <c r="BJ587" s="235"/>
      <c r="BK587" s="235"/>
      <c r="BL587" s="235"/>
      <c r="BM587" s="235"/>
      <c r="BN587" s="235"/>
      <c r="BO587" s="235"/>
    </row>
    <row r="588" ht="29.25" hidden="1" customHeight="1">
      <c r="A588" s="230"/>
      <c r="B588" s="231"/>
      <c r="C588" s="179"/>
      <c r="D588" s="179"/>
      <c r="E588" s="180"/>
      <c r="F588" s="162"/>
      <c r="G588" s="232"/>
      <c r="H588" s="22"/>
      <c r="I588" s="181"/>
      <c r="J588" s="182"/>
      <c r="K588" s="182"/>
      <c r="L588" s="182"/>
      <c r="M588" s="234"/>
      <c r="N588" s="28"/>
      <c r="O588" s="181"/>
      <c r="P588" s="183"/>
      <c r="Q588" s="104"/>
      <c r="R588" s="233"/>
      <c r="S588" s="164"/>
      <c r="T588" s="164"/>
      <c r="U588" s="162"/>
      <c r="V588" s="235"/>
      <c r="W588" s="235"/>
      <c r="X588" s="235"/>
      <c r="Y588" s="235"/>
      <c r="Z588" s="235"/>
      <c r="AA588" s="235"/>
      <c r="AB588" s="235"/>
      <c r="AC588" s="235"/>
      <c r="AD588" s="235"/>
      <c r="AE588" s="235"/>
      <c r="AF588" s="235"/>
      <c r="AG588" s="235"/>
      <c r="AH588" s="235"/>
      <c r="AI588" s="235"/>
      <c r="AJ588" s="235"/>
      <c r="AK588" s="235"/>
      <c r="AL588" s="235"/>
      <c r="AM588" s="235"/>
      <c r="AN588" s="235"/>
      <c r="AO588" s="235"/>
      <c r="AP588" s="235"/>
      <c r="AQ588" s="235"/>
      <c r="AR588" s="235"/>
      <c r="AS588" s="235"/>
      <c r="AT588" s="235"/>
      <c r="AU588" s="235"/>
      <c r="AV588" s="235"/>
      <c r="AW588" s="235"/>
      <c r="AX588" s="235"/>
      <c r="AY588" s="235"/>
      <c r="AZ588" s="235"/>
      <c r="BA588" s="235"/>
      <c r="BB588" s="235"/>
      <c r="BC588" s="235"/>
      <c r="BD588" s="235"/>
      <c r="BE588" s="235"/>
      <c r="BF588" s="235"/>
      <c r="BG588" s="235"/>
      <c r="BH588" s="235"/>
      <c r="BI588" s="235"/>
      <c r="BJ588" s="235"/>
      <c r="BK588" s="235"/>
      <c r="BL588" s="235"/>
      <c r="BM588" s="235"/>
      <c r="BN588" s="235"/>
      <c r="BO588" s="235"/>
    </row>
    <row r="589" ht="29.25" hidden="1" customHeight="1">
      <c r="A589" s="230"/>
      <c r="B589" s="231"/>
      <c r="C589" s="179"/>
      <c r="D589" s="179"/>
      <c r="E589" s="180"/>
      <c r="F589" s="162"/>
      <c r="G589" s="232"/>
      <c r="H589" s="22"/>
      <c r="I589" s="181"/>
      <c r="J589" s="182"/>
      <c r="K589" s="182"/>
      <c r="L589" s="182"/>
      <c r="M589" s="234"/>
      <c r="N589" s="28"/>
      <c r="O589" s="181"/>
      <c r="P589" s="183"/>
      <c r="Q589" s="104"/>
      <c r="R589" s="233"/>
      <c r="S589" s="164"/>
      <c r="T589" s="164"/>
      <c r="U589" s="162"/>
      <c r="V589" s="235"/>
      <c r="W589" s="235"/>
      <c r="X589" s="235"/>
      <c r="Y589" s="235"/>
      <c r="Z589" s="235"/>
      <c r="AA589" s="235"/>
      <c r="AB589" s="235"/>
      <c r="AC589" s="235"/>
      <c r="AD589" s="235"/>
      <c r="AE589" s="235"/>
      <c r="AF589" s="235"/>
      <c r="AG589" s="235"/>
      <c r="AH589" s="235"/>
      <c r="AI589" s="235"/>
      <c r="AJ589" s="235"/>
      <c r="AK589" s="235"/>
      <c r="AL589" s="235"/>
      <c r="AM589" s="235"/>
      <c r="AN589" s="235"/>
      <c r="AO589" s="235"/>
      <c r="AP589" s="235"/>
      <c r="AQ589" s="235"/>
      <c r="AR589" s="235"/>
      <c r="AS589" s="235"/>
      <c r="AT589" s="235"/>
      <c r="AU589" s="235"/>
      <c r="AV589" s="235"/>
      <c r="AW589" s="235"/>
      <c r="AX589" s="235"/>
      <c r="AY589" s="235"/>
      <c r="AZ589" s="235"/>
      <c r="BA589" s="235"/>
      <c r="BB589" s="235"/>
      <c r="BC589" s="235"/>
      <c r="BD589" s="235"/>
      <c r="BE589" s="235"/>
      <c r="BF589" s="235"/>
      <c r="BG589" s="235"/>
      <c r="BH589" s="235"/>
      <c r="BI589" s="235"/>
      <c r="BJ589" s="235"/>
      <c r="BK589" s="235"/>
      <c r="BL589" s="235"/>
      <c r="BM589" s="235"/>
      <c r="BN589" s="235"/>
      <c r="BO589" s="235"/>
    </row>
    <row r="590" ht="29.25" hidden="1" customHeight="1">
      <c r="A590" s="230"/>
      <c r="B590" s="231"/>
      <c r="C590" s="179"/>
      <c r="D590" s="179"/>
      <c r="E590" s="180"/>
      <c r="F590" s="162"/>
      <c r="G590" s="232"/>
      <c r="H590" s="22"/>
      <c r="I590" s="181"/>
      <c r="J590" s="182"/>
      <c r="K590" s="182"/>
      <c r="L590" s="182"/>
      <c r="M590" s="234"/>
      <c r="N590" s="28"/>
      <c r="O590" s="181"/>
      <c r="P590" s="183"/>
      <c r="Q590" s="104"/>
      <c r="R590" s="233"/>
      <c r="S590" s="164"/>
      <c r="T590" s="164"/>
      <c r="U590" s="162"/>
      <c r="V590" s="235"/>
      <c r="W590" s="235"/>
      <c r="X590" s="235"/>
      <c r="Y590" s="235"/>
      <c r="Z590" s="235"/>
      <c r="AA590" s="235"/>
      <c r="AB590" s="235"/>
      <c r="AC590" s="235"/>
      <c r="AD590" s="235"/>
      <c r="AE590" s="235"/>
      <c r="AF590" s="235"/>
      <c r="AG590" s="235"/>
      <c r="AH590" s="235"/>
      <c r="AI590" s="235"/>
      <c r="AJ590" s="235"/>
      <c r="AK590" s="235"/>
      <c r="AL590" s="235"/>
      <c r="AM590" s="235"/>
      <c r="AN590" s="235"/>
      <c r="AO590" s="235"/>
      <c r="AP590" s="235"/>
      <c r="AQ590" s="235"/>
      <c r="AR590" s="235"/>
      <c r="AS590" s="235"/>
      <c r="AT590" s="235"/>
      <c r="AU590" s="235"/>
      <c r="AV590" s="235"/>
      <c r="AW590" s="235"/>
      <c r="AX590" s="235"/>
      <c r="AY590" s="235"/>
      <c r="AZ590" s="235"/>
      <c r="BA590" s="235"/>
      <c r="BB590" s="235"/>
      <c r="BC590" s="235"/>
      <c r="BD590" s="235"/>
      <c r="BE590" s="235"/>
      <c r="BF590" s="235"/>
      <c r="BG590" s="235"/>
      <c r="BH590" s="235"/>
      <c r="BI590" s="235"/>
      <c r="BJ590" s="235"/>
      <c r="BK590" s="235"/>
      <c r="BL590" s="235"/>
      <c r="BM590" s="235"/>
      <c r="BN590" s="235"/>
      <c r="BO590" s="235"/>
    </row>
    <row r="591" ht="29.25" hidden="1" customHeight="1">
      <c r="A591" s="230"/>
      <c r="B591" s="231"/>
      <c r="C591" s="179"/>
      <c r="D591" s="179"/>
      <c r="E591" s="180"/>
      <c r="F591" s="162"/>
      <c r="G591" s="232"/>
      <c r="H591" s="22"/>
      <c r="I591" s="181"/>
      <c r="J591" s="182"/>
      <c r="K591" s="182"/>
      <c r="L591" s="182"/>
      <c r="M591" s="234"/>
      <c r="N591" s="28"/>
      <c r="O591" s="181"/>
      <c r="P591" s="183"/>
      <c r="Q591" s="104"/>
      <c r="R591" s="233"/>
      <c r="S591" s="164"/>
      <c r="T591" s="164"/>
      <c r="U591" s="162"/>
      <c r="V591" s="235"/>
      <c r="W591" s="235"/>
      <c r="X591" s="235"/>
      <c r="Y591" s="235"/>
      <c r="Z591" s="235"/>
      <c r="AA591" s="235"/>
      <c r="AB591" s="235"/>
      <c r="AC591" s="235"/>
      <c r="AD591" s="235"/>
      <c r="AE591" s="235"/>
      <c r="AF591" s="235"/>
      <c r="AG591" s="235"/>
      <c r="AH591" s="235"/>
      <c r="AI591" s="235"/>
      <c r="AJ591" s="235"/>
      <c r="AK591" s="235"/>
      <c r="AL591" s="235"/>
      <c r="AM591" s="235"/>
      <c r="AN591" s="235"/>
      <c r="AO591" s="235"/>
      <c r="AP591" s="235"/>
      <c r="AQ591" s="235"/>
      <c r="AR591" s="235"/>
      <c r="AS591" s="235"/>
      <c r="AT591" s="235"/>
      <c r="AU591" s="235"/>
      <c r="AV591" s="235"/>
      <c r="AW591" s="235"/>
      <c r="AX591" s="235"/>
      <c r="AY591" s="235"/>
      <c r="AZ591" s="235"/>
      <c r="BA591" s="235"/>
      <c r="BB591" s="235"/>
      <c r="BC591" s="235"/>
      <c r="BD591" s="235"/>
      <c r="BE591" s="235"/>
      <c r="BF591" s="235"/>
      <c r="BG591" s="235"/>
      <c r="BH591" s="235"/>
      <c r="BI591" s="235"/>
      <c r="BJ591" s="235"/>
      <c r="BK591" s="235"/>
      <c r="BL591" s="235"/>
      <c r="BM591" s="235"/>
      <c r="BN591" s="235"/>
      <c r="BO591" s="235"/>
    </row>
    <row r="592" ht="29.25" hidden="1" customHeight="1">
      <c r="A592" s="230"/>
      <c r="B592" s="231"/>
      <c r="C592" s="179"/>
      <c r="D592" s="179"/>
      <c r="E592" s="180"/>
      <c r="F592" s="162"/>
      <c r="G592" s="232"/>
      <c r="H592" s="22"/>
      <c r="I592" s="181"/>
      <c r="J592" s="182"/>
      <c r="K592" s="182"/>
      <c r="L592" s="182"/>
      <c r="M592" s="234"/>
      <c r="N592" s="28"/>
      <c r="O592" s="181"/>
      <c r="P592" s="183"/>
      <c r="Q592" s="104"/>
      <c r="R592" s="233"/>
      <c r="S592" s="164"/>
      <c r="T592" s="164"/>
      <c r="U592" s="162"/>
      <c r="V592" s="235"/>
      <c r="W592" s="235"/>
      <c r="X592" s="235"/>
      <c r="Y592" s="235"/>
      <c r="Z592" s="235"/>
      <c r="AA592" s="235"/>
      <c r="AB592" s="235"/>
      <c r="AC592" s="235"/>
      <c r="AD592" s="235"/>
      <c r="AE592" s="235"/>
      <c r="AF592" s="235"/>
      <c r="AG592" s="235"/>
      <c r="AH592" s="235"/>
      <c r="AI592" s="235"/>
      <c r="AJ592" s="235"/>
      <c r="AK592" s="235"/>
      <c r="AL592" s="235"/>
      <c r="AM592" s="235"/>
      <c r="AN592" s="235"/>
      <c r="AO592" s="235"/>
      <c r="AP592" s="235"/>
      <c r="AQ592" s="235"/>
      <c r="AR592" s="235"/>
      <c r="AS592" s="235"/>
      <c r="AT592" s="235"/>
      <c r="AU592" s="235"/>
      <c r="AV592" s="235"/>
      <c r="AW592" s="235"/>
      <c r="AX592" s="235"/>
      <c r="AY592" s="235"/>
      <c r="AZ592" s="235"/>
      <c r="BA592" s="235"/>
      <c r="BB592" s="235"/>
      <c r="BC592" s="235"/>
      <c r="BD592" s="235"/>
      <c r="BE592" s="235"/>
      <c r="BF592" s="235"/>
      <c r="BG592" s="235"/>
      <c r="BH592" s="235"/>
      <c r="BI592" s="235"/>
      <c r="BJ592" s="235"/>
      <c r="BK592" s="235"/>
      <c r="BL592" s="235"/>
      <c r="BM592" s="235"/>
      <c r="BN592" s="235"/>
      <c r="BO592" s="235"/>
    </row>
    <row r="593" ht="29.25" hidden="1" customHeight="1">
      <c r="A593" s="230"/>
      <c r="B593" s="231"/>
      <c r="C593" s="179"/>
      <c r="D593" s="179"/>
      <c r="E593" s="180"/>
      <c r="F593" s="162"/>
      <c r="G593" s="232"/>
      <c r="H593" s="22"/>
      <c r="I593" s="181"/>
      <c r="J593" s="182"/>
      <c r="K593" s="182"/>
      <c r="L593" s="182"/>
      <c r="M593" s="234"/>
      <c r="N593" s="28"/>
      <c r="O593" s="181"/>
      <c r="P593" s="183"/>
      <c r="Q593" s="104"/>
      <c r="R593" s="233"/>
      <c r="S593" s="164"/>
      <c r="T593" s="164"/>
      <c r="U593" s="162"/>
      <c r="V593" s="235"/>
      <c r="W593" s="235"/>
      <c r="X593" s="235"/>
      <c r="Y593" s="235"/>
      <c r="Z593" s="235"/>
      <c r="AA593" s="235"/>
      <c r="AB593" s="235"/>
      <c r="AC593" s="235"/>
      <c r="AD593" s="235"/>
      <c r="AE593" s="235"/>
      <c r="AF593" s="235"/>
      <c r="AG593" s="235"/>
      <c r="AH593" s="235"/>
      <c r="AI593" s="235"/>
      <c r="AJ593" s="235"/>
      <c r="AK593" s="235"/>
      <c r="AL593" s="235"/>
      <c r="AM593" s="235"/>
      <c r="AN593" s="235"/>
      <c r="AO593" s="235"/>
      <c r="AP593" s="235"/>
      <c r="AQ593" s="235"/>
      <c r="AR593" s="235"/>
      <c r="AS593" s="235"/>
      <c r="AT593" s="235"/>
      <c r="AU593" s="235"/>
      <c r="AV593" s="235"/>
      <c r="AW593" s="235"/>
      <c r="AX593" s="235"/>
      <c r="AY593" s="235"/>
      <c r="AZ593" s="235"/>
      <c r="BA593" s="235"/>
      <c r="BB593" s="235"/>
      <c r="BC593" s="235"/>
      <c r="BD593" s="235"/>
      <c r="BE593" s="235"/>
      <c r="BF593" s="235"/>
      <c r="BG593" s="235"/>
      <c r="BH593" s="235"/>
      <c r="BI593" s="235"/>
      <c r="BJ593" s="235"/>
      <c r="BK593" s="235"/>
      <c r="BL593" s="235"/>
      <c r="BM593" s="235"/>
      <c r="BN593" s="235"/>
      <c r="BO593" s="235"/>
    </row>
    <row r="594" ht="29.25" hidden="1" customHeight="1">
      <c r="A594" s="230"/>
      <c r="B594" s="231"/>
      <c r="C594" s="179"/>
      <c r="D594" s="179"/>
      <c r="E594" s="180"/>
      <c r="F594" s="162"/>
      <c r="G594" s="232"/>
      <c r="H594" s="22"/>
      <c r="I594" s="181"/>
      <c r="J594" s="182"/>
      <c r="K594" s="182"/>
      <c r="L594" s="182"/>
      <c r="M594" s="234"/>
      <c r="N594" s="28"/>
      <c r="O594" s="181"/>
      <c r="P594" s="183"/>
      <c r="Q594" s="104"/>
      <c r="R594" s="233"/>
      <c r="S594" s="164"/>
      <c r="T594" s="164"/>
      <c r="U594" s="162"/>
      <c r="V594" s="235"/>
      <c r="W594" s="235"/>
      <c r="X594" s="235"/>
      <c r="Y594" s="235"/>
      <c r="Z594" s="235"/>
      <c r="AA594" s="235"/>
      <c r="AB594" s="235"/>
      <c r="AC594" s="235"/>
      <c r="AD594" s="235"/>
      <c r="AE594" s="235"/>
      <c r="AF594" s="235"/>
      <c r="AG594" s="235"/>
      <c r="AH594" s="235"/>
      <c r="AI594" s="235"/>
      <c r="AJ594" s="235"/>
      <c r="AK594" s="235"/>
      <c r="AL594" s="235"/>
      <c r="AM594" s="235"/>
      <c r="AN594" s="235"/>
      <c r="AO594" s="235"/>
      <c r="AP594" s="235"/>
      <c r="AQ594" s="235"/>
      <c r="AR594" s="235"/>
      <c r="AS594" s="235"/>
      <c r="AT594" s="235"/>
      <c r="AU594" s="235"/>
      <c r="AV594" s="235"/>
      <c r="AW594" s="235"/>
      <c r="AX594" s="235"/>
      <c r="AY594" s="235"/>
      <c r="AZ594" s="235"/>
      <c r="BA594" s="235"/>
      <c r="BB594" s="235"/>
      <c r="BC594" s="235"/>
      <c r="BD594" s="235"/>
      <c r="BE594" s="235"/>
      <c r="BF594" s="235"/>
      <c r="BG594" s="235"/>
      <c r="BH594" s="235"/>
      <c r="BI594" s="235"/>
      <c r="BJ594" s="235"/>
      <c r="BK594" s="235"/>
      <c r="BL594" s="235"/>
      <c r="BM594" s="235"/>
      <c r="BN594" s="235"/>
      <c r="BO594" s="235"/>
    </row>
    <row r="595" ht="29.25" hidden="1" customHeight="1">
      <c r="A595" s="230"/>
      <c r="B595" s="231"/>
      <c r="C595" s="179"/>
      <c r="D595" s="179"/>
      <c r="E595" s="180"/>
      <c r="F595" s="162"/>
      <c r="G595" s="232"/>
      <c r="H595" s="22"/>
      <c r="I595" s="181"/>
      <c r="J595" s="182"/>
      <c r="K595" s="182"/>
      <c r="L595" s="182"/>
      <c r="M595" s="234"/>
      <c r="N595" s="28"/>
      <c r="O595" s="181"/>
      <c r="P595" s="183"/>
      <c r="Q595" s="104"/>
      <c r="R595" s="233"/>
      <c r="S595" s="164"/>
      <c r="T595" s="164"/>
      <c r="U595" s="162"/>
      <c r="V595" s="235"/>
      <c r="W595" s="235"/>
      <c r="X595" s="235"/>
      <c r="Y595" s="235"/>
      <c r="Z595" s="235"/>
      <c r="AA595" s="235"/>
      <c r="AB595" s="235"/>
      <c r="AC595" s="235"/>
      <c r="AD595" s="235"/>
      <c r="AE595" s="235"/>
      <c r="AF595" s="235"/>
      <c r="AG595" s="235"/>
      <c r="AH595" s="235"/>
      <c r="AI595" s="235"/>
      <c r="AJ595" s="235"/>
      <c r="AK595" s="235"/>
      <c r="AL595" s="235"/>
      <c r="AM595" s="235"/>
      <c r="AN595" s="235"/>
      <c r="AO595" s="235"/>
      <c r="AP595" s="235"/>
      <c r="AQ595" s="235"/>
      <c r="AR595" s="235"/>
      <c r="AS595" s="235"/>
      <c r="AT595" s="235"/>
      <c r="AU595" s="235"/>
      <c r="AV595" s="235"/>
      <c r="AW595" s="235"/>
      <c r="AX595" s="235"/>
      <c r="AY595" s="235"/>
      <c r="AZ595" s="235"/>
      <c r="BA595" s="235"/>
      <c r="BB595" s="235"/>
      <c r="BC595" s="235"/>
      <c r="BD595" s="235"/>
      <c r="BE595" s="235"/>
      <c r="BF595" s="235"/>
      <c r="BG595" s="235"/>
      <c r="BH595" s="235"/>
      <c r="BI595" s="235"/>
      <c r="BJ595" s="235"/>
      <c r="BK595" s="235"/>
      <c r="BL595" s="235"/>
      <c r="BM595" s="235"/>
      <c r="BN595" s="235"/>
      <c r="BO595" s="235"/>
    </row>
    <row r="596" ht="29.25" hidden="1" customHeight="1">
      <c r="A596" s="230"/>
      <c r="B596" s="231"/>
      <c r="C596" s="179"/>
      <c r="D596" s="179"/>
      <c r="E596" s="180"/>
      <c r="F596" s="162"/>
      <c r="G596" s="232"/>
      <c r="H596" s="22"/>
      <c r="I596" s="181"/>
      <c r="J596" s="182"/>
      <c r="K596" s="182"/>
      <c r="L596" s="182"/>
      <c r="M596" s="234"/>
      <c r="N596" s="28"/>
      <c r="O596" s="181"/>
      <c r="P596" s="183"/>
      <c r="Q596" s="104"/>
      <c r="R596" s="233"/>
      <c r="S596" s="164"/>
      <c r="T596" s="164"/>
      <c r="U596" s="162"/>
      <c r="V596" s="235"/>
      <c r="W596" s="235"/>
      <c r="X596" s="235"/>
      <c r="Y596" s="235"/>
      <c r="Z596" s="235"/>
      <c r="AA596" s="235"/>
      <c r="AB596" s="235"/>
      <c r="AC596" s="235"/>
      <c r="AD596" s="235"/>
      <c r="AE596" s="235"/>
      <c r="AF596" s="235"/>
      <c r="AG596" s="235"/>
      <c r="AH596" s="235"/>
      <c r="AI596" s="235"/>
      <c r="AJ596" s="235"/>
      <c r="AK596" s="235"/>
      <c r="AL596" s="235"/>
      <c r="AM596" s="235"/>
      <c r="AN596" s="235"/>
      <c r="AO596" s="235"/>
      <c r="AP596" s="235"/>
      <c r="AQ596" s="235"/>
      <c r="AR596" s="235"/>
      <c r="AS596" s="235"/>
      <c r="AT596" s="235"/>
      <c r="AU596" s="235"/>
      <c r="AV596" s="235"/>
      <c r="AW596" s="235"/>
      <c r="AX596" s="235"/>
      <c r="AY596" s="235"/>
      <c r="AZ596" s="235"/>
      <c r="BA596" s="235"/>
      <c r="BB596" s="235"/>
      <c r="BC596" s="235"/>
      <c r="BD596" s="235"/>
      <c r="BE596" s="235"/>
      <c r="BF596" s="235"/>
      <c r="BG596" s="235"/>
      <c r="BH596" s="235"/>
      <c r="BI596" s="235"/>
      <c r="BJ596" s="235"/>
      <c r="BK596" s="235"/>
      <c r="BL596" s="235"/>
      <c r="BM596" s="235"/>
      <c r="BN596" s="235"/>
      <c r="BO596" s="235"/>
    </row>
    <row r="597" ht="29.25" hidden="1" customHeight="1">
      <c r="A597" s="230"/>
      <c r="B597" s="231"/>
      <c r="C597" s="179"/>
      <c r="D597" s="179"/>
      <c r="E597" s="180"/>
      <c r="F597" s="162"/>
      <c r="G597" s="232"/>
      <c r="H597" s="22"/>
      <c r="I597" s="181"/>
      <c r="J597" s="182"/>
      <c r="K597" s="182"/>
      <c r="L597" s="182"/>
      <c r="M597" s="234"/>
      <c r="N597" s="28"/>
      <c r="O597" s="181"/>
      <c r="P597" s="183"/>
      <c r="Q597" s="104"/>
      <c r="R597" s="233"/>
      <c r="S597" s="164"/>
      <c r="T597" s="164"/>
      <c r="U597" s="162"/>
      <c r="V597" s="235"/>
      <c r="W597" s="235"/>
      <c r="X597" s="235"/>
      <c r="Y597" s="235"/>
      <c r="Z597" s="235"/>
      <c r="AA597" s="235"/>
      <c r="AB597" s="235"/>
      <c r="AC597" s="235"/>
      <c r="AD597" s="235"/>
      <c r="AE597" s="235"/>
      <c r="AF597" s="235"/>
      <c r="AG597" s="235"/>
      <c r="AH597" s="235"/>
      <c r="AI597" s="235"/>
      <c r="AJ597" s="235"/>
      <c r="AK597" s="235"/>
      <c r="AL597" s="235"/>
      <c r="AM597" s="235"/>
      <c r="AN597" s="235"/>
      <c r="AO597" s="235"/>
      <c r="AP597" s="235"/>
      <c r="AQ597" s="235"/>
      <c r="AR597" s="235"/>
      <c r="AS597" s="235"/>
      <c r="AT597" s="235"/>
      <c r="AU597" s="235"/>
      <c r="AV597" s="235"/>
      <c r="AW597" s="235"/>
      <c r="AX597" s="235"/>
      <c r="AY597" s="235"/>
      <c r="AZ597" s="235"/>
      <c r="BA597" s="235"/>
      <c r="BB597" s="235"/>
      <c r="BC597" s="235"/>
      <c r="BD597" s="235"/>
      <c r="BE597" s="235"/>
      <c r="BF597" s="235"/>
      <c r="BG597" s="235"/>
      <c r="BH597" s="235"/>
      <c r="BI597" s="235"/>
      <c r="BJ597" s="235"/>
      <c r="BK597" s="235"/>
      <c r="BL597" s="235"/>
      <c r="BM597" s="235"/>
      <c r="BN597" s="235"/>
      <c r="BO597" s="235"/>
    </row>
    <row r="598" ht="29.25" hidden="1" customHeight="1">
      <c r="A598" s="230"/>
      <c r="B598" s="231"/>
      <c r="C598" s="179"/>
      <c r="D598" s="179"/>
      <c r="E598" s="180"/>
      <c r="F598" s="162"/>
      <c r="G598" s="232"/>
      <c r="H598" s="22"/>
      <c r="I598" s="181"/>
      <c r="J598" s="182"/>
      <c r="K598" s="182"/>
      <c r="L598" s="182"/>
      <c r="M598" s="234"/>
      <c r="N598" s="28"/>
      <c r="O598" s="181"/>
      <c r="P598" s="183"/>
      <c r="Q598" s="104"/>
      <c r="R598" s="233"/>
      <c r="S598" s="164"/>
      <c r="T598" s="164"/>
      <c r="U598" s="162"/>
      <c r="V598" s="235"/>
      <c r="W598" s="235"/>
      <c r="X598" s="235"/>
      <c r="Y598" s="235"/>
      <c r="Z598" s="235"/>
      <c r="AA598" s="235"/>
      <c r="AB598" s="235"/>
      <c r="AC598" s="235"/>
      <c r="AD598" s="235"/>
      <c r="AE598" s="235"/>
      <c r="AF598" s="235"/>
      <c r="AG598" s="235"/>
      <c r="AH598" s="235"/>
      <c r="AI598" s="235"/>
      <c r="AJ598" s="235"/>
      <c r="AK598" s="235"/>
      <c r="AL598" s="235"/>
      <c r="AM598" s="235"/>
      <c r="AN598" s="235"/>
      <c r="AO598" s="235"/>
      <c r="AP598" s="235"/>
      <c r="AQ598" s="235"/>
      <c r="AR598" s="235"/>
      <c r="AS598" s="235"/>
      <c r="AT598" s="235"/>
      <c r="AU598" s="235"/>
      <c r="AV598" s="235"/>
      <c r="AW598" s="235"/>
      <c r="AX598" s="235"/>
      <c r="AY598" s="235"/>
      <c r="AZ598" s="235"/>
      <c r="BA598" s="235"/>
      <c r="BB598" s="235"/>
      <c r="BC598" s="235"/>
      <c r="BD598" s="235"/>
      <c r="BE598" s="235"/>
      <c r="BF598" s="235"/>
      <c r="BG598" s="235"/>
      <c r="BH598" s="235"/>
      <c r="BI598" s="235"/>
      <c r="BJ598" s="235"/>
      <c r="BK598" s="235"/>
      <c r="BL598" s="235"/>
      <c r="BM598" s="235"/>
      <c r="BN598" s="235"/>
      <c r="BO598" s="235"/>
    </row>
    <row r="599" ht="29.25" hidden="1" customHeight="1">
      <c r="A599" s="230"/>
      <c r="B599" s="231"/>
      <c r="C599" s="179"/>
      <c r="D599" s="179"/>
      <c r="E599" s="180"/>
      <c r="F599" s="162"/>
      <c r="G599" s="232"/>
      <c r="H599" s="22"/>
      <c r="I599" s="181"/>
      <c r="J599" s="182"/>
      <c r="K599" s="182"/>
      <c r="L599" s="182"/>
      <c r="M599" s="234"/>
      <c r="N599" s="28"/>
      <c r="O599" s="181"/>
      <c r="P599" s="183"/>
      <c r="Q599" s="104"/>
      <c r="R599" s="233"/>
      <c r="S599" s="164"/>
      <c r="T599" s="164"/>
      <c r="U599" s="162"/>
      <c r="V599" s="235"/>
      <c r="W599" s="235"/>
      <c r="X599" s="235"/>
      <c r="Y599" s="235"/>
      <c r="Z599" s="235"/>
      <c r="AA599" s="235"/>
      <c r="AB599" s="235"/>
      <c r="AC599" s="235"/>
      <c r="AD599" s="235"/>
      <c r="AE599" s="235"/>
      <c r="AF599" s="235"/>
      <c r="AG599" s="235"/>
      <c r="AH599" s="235"/>
      <c r="AI599" s="235"/>
      <c r="AJ599" s="235"/>
      <c r="AK599" s="235"/>
      <c r="AL599" s="235"/>
      <c r="AM599" s="235"/>
      <c r="AN599" s="235"/>
      <c r="AO599" s="235"/>
      <c r="AP599" s="235"/>
      <c r="AQ599" s="235"/>
      <c r="AR599" s="235"/>
      <c r="AS599" s="235"/>
      <c r="AT599" s="235"/>
      <c r="AU599" s="235"/>
      <c r="AV599" s="235"/>
      <c r="AW599" s="235"/>
      <c r="AX599" s="235"/>
      <c r="AY599" s="235"/>
      <c r="AZ599" s="235"/>
      <c r="BA599" s="235"/>
      <c r="BB599" s="235"/>
      <c r="BC599" s="235"/>
      <c r="BD599" s="235"/>
      <c r="BE599" s="235"/>
      <c r="BF599" s="235"/>
      <c r="BG599" s="235"/>
      <c r="BH599" s="235"/>
      <c r="BI599" s="235"/>
      <c r="BJ599" s="235"/>
      <c r="BK599" s="235"/>
      <c r="BL599" s="235"/>
      <c r="BM599" s="235"/>
      <c r="BN599" s="235"/>
      <c r="BO599" s="235"/>
    </row>
    <row r="600" ht="29.25" hidden="1" customHeight="1">
      <c r="A600" s="230"/>
      <c r="B600" s="231"/>
      <c r="C600" s="179"/>
      <c r="D600" s="179"/>
      <c r="E600" s="180"/>
      <c r="F600" s="162"/>
      <c r="G600" s="232"/>
      <c r="H600" s="22"/>
      <c r="I600" s="181"/>
      <c r="J600" s="182"/>
      <c r="K600" s="182"/>
      <c r="L600" s="182"/>
      <c r="M600" s="234"/>
      <c r="N600" s="28"/>
      <c r="O600" s="181"/>
      <c r="P600" s="183"/>
      <c r="Q600" s="104"/>
      <c r="R600" s="233"/>
      <c r="S600" s="164"/>
      <c r="T600" s="164"/>
      <c r="U600" s="162"/>
      <c r="V600" s="235"/>
      <c r="W600" s="235"/>
      <c r="X600" s="235"/>
      <c r="Y600" s="235"/>
      <c r="Z600" s="235"/>
      <c r="AA600" s="235"/>
      <c r="AB600" s="235"/>
      <c r="AC600" s="235"/>
      <c r="AD600" s="235"/>
      <c r="AE600" s="235"/>
      <c r="AF600" s="235"/>
      <c r="AG600" s="235"/>
      <c r="AH600" s="235"/>
      <c r="AI600" s="235"/>
      <c r="AJ600" s="235"/>
      <c r="AK600" s="235"/>
      <c r="AL600" s="235"/>
      <c r="AM600" s="235"/>
      <c r="AN600" s="235"/>
      <c r="AO600" s="235"/>
      <c r="AP600" s="235"/>
      <c r="AQ600" s="235"/>
      <c r="AR600" s="235"/>
      <c r="AS600" s="235"/>
      <c r="AT600" s="235"/>
      <c r="AU600" s="235"/>
      <c r="AV600" s="235"/>
      <c r="AW600" s="235"/>
      <c r="AX600" s="235"/>
      <c r="AY600" s="235"/>
      <c r="AZ600" s="235"/>
      <c r="BA600" s="235"/>
      <c r="BB600" s="235"/>
      <c r="BC600" s="235"/>
      <c r="BD600" s="235"/>
      <c r="BE600" s="235"/>
      <c r="BF600" s="235"/>
      <c r="BG600" s="235"/>
      <c r="BH600" s="235"/>
      <c r="BI600" s="235"/>
      <c r="BJ600" s="235"/>
      <c r="BK600" s="235"/>
      <c r="BL600" s="235"/>
      <c r="BM600" s="235"/>
      <c r="BN600" s="235"/>
      <c r="BO600" s="235"/>
    </row>
    <row r="601" ht="29.25" hidden="1" customHeight="1">
      <c r="A601" s="230"/>
      <c r="B601" s="231"/>
      <c r="C601" s="179"/>
      <c r="D601" s="179"/>
      <c r="E601" s="180"/>
      <c r="F601" s="162"/>
      <c r="G601" s="232"/>
      <c r="H601" s="22"/>
      <c r="I601" s="181"/>
      <c r="J601" s="182"/>
      <c r="K601" s="182"/>
      <c r="L601" s="182"/>
      <c r="M601" s="234"/>
      <c r="N601" s="28"/>
      <c r="O601" s="181"/>
      <c r="P601" s="183"/>
      <c r="Q601" s="104"/>
      <c r="R601" s="233"/>
      <c r="S601" s="164"/>
      <c r="T601" s="164"/>
      <c r="U601" s="162"/>
      <c r="V601" s="235"/>
      <c r="W601" s="235"/>
      <c r="X601" s="235"/>
      <c r="Y601" s="235"/>
      <c r="Z601" s="235"/>
      <c r="AA601" s="235"/>
      <c r="AB601" s="235"/>
      <c r="AC601" s="235"/>
      <c r="AD601" s="235"/>
      <c r="AE601" s="235"/>
      <c r="AF601" s="235"/>
      <c r="AG601" s="235"/>
      <c r="AH601" s="235"/>
      <c r="AI601" s="235"/>
      <c r="AJ601" s="235"/>
      <c r="AK601" s="235"/>
      <c r="AL601" s="235"/>
      <c r="AM601" s="235"/>
      <c r="AN601" s="235"/>
      <c r="AO601" s="235"/>
      <c r="AP601" s="235"/>
      <c r="AQ601" s="235"/>
      <c r="AR601" s="235"/>
      <c r="AS601" s="235"/>
      <c r="AT601" s="235"/>
      <c r="AU601" s="235"/>
      <c r="AV601" s="235"/>
      <c r="AW601" s="235"/>
      <c r="AX601" s="235"/>
      <c r="AY601" s="235"/>
      <c r="AZ601" s="235"/>
      <c r="BA601" s="235"/>
      <c r="BB601" s="235"/>
      <c r="BC601" s="235"/>
      <c r="BD601" s="235"/>
      <c r="BE601" s="235"/>
      <c r="BF601" s="235"/>
      <c r="BG601" s="235"/>
      <c r="BH601" s="235"/>
      <c r="BI601" s="235"/>
      <c r="BJ601" s="235"/>
      <c r="BK601" s="235"/>
      <c r="BL601" s="235"/>
      <c r="BM601" s="235"/>
      <c r="BN601" s="235"/>
      <c r="BO601" s="235"/>
    </row>
    <row r="602" ht="29.25" hidden="1" customHeight="1">
      <c r="A602" s="230"/>
      <c r="B602" s="231"/>
      <c r="C602" s="179"/>
      <c r="D602" s="179"/>
      <c r="E602" s="180"/>
      <c r="F602" s="162"/>
      <c r="G602" s="232"/>
      <c r="H602" s="22"/>
      <c r="I602" s="181"/>
      <c r="J602" s="182"/>
      <c r="K602" s="182"/>
      <c r="L602" s="182"/>
      <c r="M602" s="234"/>
      <c r="N602" s="28"/>
      <c r="O602" s="181"/>
      <c r="P602" s="183"/>
      <c r="Q602" s="104"/>
      <c r="R602" s="233"/>
      <c r="S602" s="164"/>
      <c r="T602" s="164"/>
      <c r="U602" s="162"/>
      <c r="V602" s="235"/>
      <c r="W602" s="235"/>
      <c r="X602" s="235"/>
      <c r="Y602" s="235"/>
      <c r="Z602" s="235"/>
      <c r="AA602" s="235"/>
      <c r="AB602" s="235"/>
      <c r="AC602" s="235"/>
      <c r="AD602" s="235"/>
      <c r="AE602" s="235"/>
      <c r="AF602" s="235"/>
      <c r="AG602" s="235"/>
      <c r="AH602" s="235"/>
      <c r="AI602" s="235"/>
      <c r="AJ602" s="235"/>
      <c r="AK602" s="235"/>
      <c r="AL602" s="235"/>
      <c r="AM602" s="235"/>
      <c r="AN602" s="235"/>
      <c r="AO602" s="235"/>
      <c r="AP602" s="235"/>
      <c r="AQ602" s="235"/>
      <c r="AR602" s="235"/>
      <c r="AS602" s="235"/>
      <c r="AT602" s="235"/>
      <c r="AU602" s="235"/>
      <c r="AV602" s="235"/>
      <c r="AW602" s="235"/>
      <c r="AX602" s="235"/>
      <c r="AY602" s="235"/>
      <c r="AZ602" s="235"/>
      <c r="BA602" s="235"/>
      <c r="BB602" s="235"/>
      <c r="BC602" s="235"/>
      <c r="BD602" s="235"/>
      <c r="BE602" s="235"/>
      <c r="BF602" s="235"/>
      <c r="BG602" s="235"/>
      <c r="BH602" s="235"/>
      <c r="BI602" s="235"/>
      <c r="BJ602" s="235"/>
      <c r="BK602" s="235"/>
      <c r="BL602" s="235"/>
      <c r="BM602" s="235"/>
      <c r="BN602" s="235"/>
      <c r="BO602" s="235"/>
    </row>
    <row r="603" ht="29.25" hidden="1" customHeight="1">
      <c r="A603" s="230"/>
      <c r="B603" s="231"/>
      <c r="C603" s="179"/>
      <c r="D603" s="179"/>
      <c r="E603" s="180"/>
      <c r="F603" s="162"/>
      <c r="G603" s="232"/>
      <c r="H603" s="22"/>
      <c r="I603" s="181"/>
      <c r="J603" s="182"/>
      <c r="K603" s="182"/>
      <c r="L603" s="182"/>
      <c r="M603" s="234"/>
      <c r="N603" s="28"/>
      <c r="O603" s="181"/>
      <c r="P603" s="183"/>
      <c r="Q603" s="104"/>
      <c r="R603" s="233"/>
      <c r="S603" s="164"/>
      <c r="T603" s="164"/>
      <c r="U603" s="162"/>
      <c r="V603" s="235"/>
      <c r="W603" s="235"/>
      <c r="X603" s="235"/>
      <c r="Y603" s="235"/>
      <c r="Z603" s="235"/>
      <c r="AA603" s="235"/>
      <c r="AB603" s="235"/>
      <c r="AC603" s="235"/>
      <c r="AD603" s="235"/>
      <c r="AE603" s="235"/>
      <c r="AF603" s="235"/>
      <c r="AG603" s="235"/>
      <c r="AH603" s="235"/>
      <c r="AI603" s="235"/>
      <c r="AJ603" s="235"/>
      <c r="AK603" s="235"/>
      <c r="AL603" s="235"/>
      <c r="AM603" s="235"/>
      <c r="AN603" s="235"/>
      <c r="AO603" s="235"/>
      <c r="AP603" s="235"/>
      <c r="AQ603" s="235"/>
      <c r="AR603" s="235"/>
      <c r="AS603" s="235"/>
      <c r="AT603" s="235"/>
      <c r="AU603" s="235"/>
      <c r="AV603" s="235"/>
      <c r="AW603" s="235"/>
      <c r="AX603" s="235"/>
      <c r="AY603" s="235"/>
      <c r="AZ603" s="235"/>
      <c r="BA603" s="235"/>
      <c r="BB603" s="235"/>
      <c r="BC603" s="235"/>
      <c r="BD603" s="235"/>
      <c r="BE603" s="235"/>
      <c r="BF603" s="235"/>
      <c r="BG603" s="235"/>
      <c r="BH603" s="235"/>
      <c r="BI603" s="235"/>
      <c r="BJ603" s="235"/>
      <c r="BK603" s="235"/>
      <c r="BL603" s="235"/>
      <c r="BM603" s="235"/>
      <c r="BN603" s="235"/>
      <c r="BO603" s="235"/>
    </row>
    <row r="604" ht="29.25" hidden="1" customHeight="1">
      <c r="A604" s="230"/>
      <c r="B604" s="231"/>
      <c r="C604" s="179"/>
      <c r="D604" s="179"/>
      <c r="E604" s="180"/>
      <c r="F604" s="162"/>
      <c r="G604" s="232"/>
      <c r="H604" s="22"/>
      <c r="I604" s="181"/>
      <c r="J604" s="182"/>
      <c r="K604" s="182"/>
      <c r="L604" s="182"/>
      <c r="M604" s="234"/>
      <c r="N604" s="28"/>
      <c r="O604" s="181"/>
      <c r="P604" s="183"/>
      <c r="Q604" s="104"/>
      <c r="R604" s="233"/>
      <c r="S604" s="164"/>
      <c r="T604" s="164"/>
      <c r="U604" s="162"/>
      <c r="V604" s="235"/>
      <c r="W604" s="235"/>
      <c r="X604" s="235"/>
      <c r="Y604" s="235"/>
      <c r="Z604" s="235"/>
      <c r="AA604" s="235"/>
      <c r="AB604" s="235"/>
      <c r="AC604" s="235"/>
      <c r="AD604" s="235"/>
      <c r="AE604" s="235"/>
      <c r="AF604" s="235"/>
      <c r="AG604" s="235"/>
      <c r="AH604" s="235"/>
      <c r="AI604" s="235"/>
      <c r="AJ604" s="235"/>
      <c r="AK604" s="235"/>
      <c r="AL604" s="235"/>
      <c r="AM604" s="235"/>
      <c r="AN604" s="235"/>
      <c r="AO604" s="235"/>
      <c r="AP604" s="235"/>
      <c r="AQ604" s="235"/>
      <c r="AR604" s="235"/>
      <c r="AS604" s="235"/>
      <c r="AT604" s="235"/>
      <c r="AU604" s="235"/>
      <c r="AV604" s="235"/>
      <c r="AW604" s="235"/>
      <c r="AX604" s="235"/>
      <c r="AY604" s="235"/>
      <c r="AZ604" s="235"/>
      <c r="BA604" s="235"/>
      <c r="BB604" s="235"/>
      <c r="BC604" s="235"/>
      <c r="BD604" s="235"/>
      <c r="BE604" s="235"/>
      <c r="BF604" s="235"/>
      <c r="BG604" s="235"/>
      <c r="BH604" s="235"/>
      <c r="BI604" s="235"/>
      <c r="BJ604" s="235"/>
      <c r="BK604" s="235"/>
      <c r="BL604" s="235"/>
      <c r="BM604" s="235"/>
      <c r="BN604" s="235"/>
      <c r="BO604" s="235"/>
    </row>
    <row r="605" ht="29.25" hidden="1" customHeight="1">
      <c r="A605" s="230"/>
      <c r="B605" s="231"/>
      <c r="C605" s="179"/>
      <c r="D605" s="179"/>
      <c r="E605" s="180"/>
      <c r="F605" s="162"/>
      <c r="G605" s="232"/>
      <c r="H605" s="22"/>
      <c r="I605" s="181"/>
      <c r="J605" s="182"/>
      <c r="K605" s="182"/>
      <c r="L605" s="182"/>
      <c r="M605" s="234"/>
      <c r="N605" s="28"/>
      <c r="O605" s="181"/>
      <c r="P605" s="183"/>
      <c r="Q605" s="104"/>
      <c r="R605" s="233"/>
      <c r="S605" s="164"/>
      <c r="T605" s="164"/>
      <c r="U605" s="162"/>
      <c r="V605" s="235"/>
      <c r="W605" s="235"/>
      <c r="X605" s="235"/>
      <c r="Y605" s="235"/>
      <c r="Z605" s="235"/>
      <c r="AA605" s="235"/>
      <c r="AB605" s="235"/>
      <c r="AC605" s="235"/>
      <c r="AD605" s="235"/>
      <c r="AE605" s="235"/>
      <c r="AF605" s="235"/>
      <c r="AG605" s="235"/>
      <c r="AH605" s="235"/>
      <c r="AI605" s="235"/>
      <c r="AJ605" s="235"/>
      <c r="AK605" s="235"/>
      <c r="AL605" s="235"/>
      <c r="AM605" s="235"/>
      <c r="AN605" s="235"/>
      <c r="AO605" s="235"/>
      <c r="AP605" s="235"/>
      <c r="AQ605" s="235"/>
      <c r="AR605" s="235"/>
      <c r="AS605" s="235"/>
      <c r="AT605" s="235"/>
      <c r="AU605" s="235"/>
      <c r="AV605" s="235"/>
      <c r="AW605" s="235"/>
      <c r="AX605" s="235"/>
      <c r="AY605" s="235"/>
      <c r="AZ605" s="235"/>
      <c r="BA605" s="235"/>
      <c r="BB605" s="235"/>
      <c r="BC605" s="235"/>
      <c r="BD605" s="235"/>
      <c r="BE605" s="235"/>
      <c r="BF605" s="235"/>
      <c r="BG605" s="235"/>
      <c r="BH605" s="235"/>
      <c r="BI605" s="235"/>
      <c r="BJ605" s="235"/>
      <c r="BK605" s="235"/>
      <c r="BL605" s="235"/>
      <c r="BM605" s="235"/>
      <c r="BN605" s="235"/>
      <c r="BO605" s="235"/>
    </row>
    <row r="606" ht="29.25" hidden="1" customHeight="1">
      <c r="A606" s="230"/>
      <c r="B606" s="231"/>
      <c r="C606" s="179"/>
      <c r="D606" s="179"/>
      <c r="E606" s="180"/>
      <c r="F606" s="162"/>
      <c r="G606" s="232"/>
      <c r="H606" s="22"/>
      <c r="I606" s="181"/>
      <c r="J606" s="182"/>
      <c r="K606" s="182"/>
      <c r="L606" s="182"/>
      <c r="M606" s="234"/>
      <c r="N606" s="28"/>
      <c r="O606" s="181"/>
      <c r="P606" s="183"/>
      <c r="Q606" s="104"/>
      <c r="R606" s="233"/>
      <c r="S606" s="164"/>
      <c r="T606" s="164"/>
      <c r="U606" s="162"/>
      <c r="V606" s="235"/>
      <c r="W606" s="235"/>
      <c r="X606" s="235"/>
      <c r="Y606" s="235"/>
      <c r="Z606" s="235"/>
      <c r="AA606" s="235"/>
      <c r="AB606" s="235"/>
      <c r="AC606" s="235"/>
      <c r="AD606" s="235"/>
      <c r="AE606" s="235"/>
      <c r="AF606" s="235"/>
      <c r="AG606" s="235"/>
      <c r="AH606" s="235"/>
      <c r="AI606" s="235"/>
      <c r="AJ606" s="235"/>
      <c r="AK606" s="235"/>
      <c r="AL606" s="235"/>
      <c r="AM606" s="235"/>
      <c r="AN606" s="235"/>
      <c r="AO606" s="235"/>
      <c r="AP606" s="235"/>
      <c r="AQ606" s="235"/>
      <c r="AR606" s="235"/>
      <c r="AS606" s="235"/>
      <c r="AT606" s="235"/>
      <c r="AU606" s="235"/>
      <c r="AV606" s="235"/>
      <c r="AW606" s="235"/>
      <c r="AX606" s="235"/>
      <c r="AY606" s="235"/>
      <c r="AZ606" s="235"/>
      <c r="BA606" s="235"/>
      <c r="BB606" s="235"/>
      <c r="BC606" s="235"/>
      <c r="BD606" s="235"/>
      <c r="BE606" s="235"/>
      <c r="BF606" s="235"/>
      <c r="BG606" s="235"/>
      <c r="BH606" s="235"/>
      <c r="BI606" s="235"/>
      <c r="BJ606" s="235"/>
      <c r="BK606" s="235"/>
      <c r="BL606" s="235"/>
      <c r="BM606" s="235"/>
      <c r="BN606" s="235"/>
      <c r="BO606" s="235"/>
    </row>
    <row r="607" ht="29.25" hidden="1" customHeight="1">
      <c r="A607" s="230"/>
      <c r="B607" s="231"/>
      <c r="C607" s="179"/>
      <c r="D607" s="179"/>
      <c r="E607" s="180"/>
      <c r="F607" s="162"/>
      <c r="G607" s="232"/>
      <c r="H607" s="22"/>
      <c r="I607" s="181"/>
      <c r="J607" s="182"/>
      <c r="K607" s="182"/>
      <c r="L607" s="182"/>
      <c r="M607" s="234"/>
      <c r="N607" s="28"/>
      <c r="O607" s="181"/>
      <c r="P607" s="183"/>
      <c r="Q607" s="104"/>
      <c r="R607" s="233"/>
      <c r="S607" s="164"/>
      <c r="T607" s="164"/>
      <c r="U607" s="162"/>
      <c r="V607" s="235"/>
      <c r="W607" s="235"/>
      <c r="X607" s="235"/>
      <c r="Y607" s="235"/>
      <c r="Z607" s="235"/>
      <c r="AA607" s="235"/>
      <c r="AB607" s="235"/>
      <c r="AC607" s="235"/>
      <c r="AD607" s="235"/>
      <c r="AE607" s="235"/>
      <c r="AF607" s="235"/>
      <c r="AG607" s="235"/>
      <c r="AH607" s="235"/>
      <c r="AI607" s="235"/>
      <c r="AJ607" s="235"/>
      <c r="AK607" s="235"/>
      <c r="AL607" s="235"/>
      <c r="AM607" s="235"/>
      <c r="AN607" s="235"/>
      <c r="AO607" s="235"/>
      <c r="AP607" s="235"/>
      <c r="AQ607" s="235"/>
      <c r="AR607" s="235"/>
      <c r="AS607" s="235"/>
      <c r="AT607" s="235"/>
      <c r="AU607" s="235"/>
      <c r="AV607" s="235"/>
      <c r="AW607" s="235"/>
      <c r="AX607" s="235"/>
      <c r="AY607" s="235"/>
      <c r="AZ607" s="235"/>
      <c r="BA607" s="235"/>
      <c r="BB607" s="235"/>
      <c r="BC607" s="235"/>
      <c r="BD607" s="235"/>
      <c r="BE607" s="235"/>
      <c r="BF607" s="235"/>
      <c r="BG607" s="235"/>
      <c r="BH607" s="235"/>
      <c r="BI607" s="235"/>
      <c r="BJ607" s="235"/>
      <c r="BK607" s="235"/>
      <c r="BL607" s="235"/>
      <c r="BM607" s="235"/>
      <c r="BN607" s="235"/>
      <c r="BO607" s="235"/>
    </row>
    <row r="608" ht="29.25" hidden="1" customHeight="1">
      <c r="A608" s="230"/>
      <c r="B608" s="231"/>
      <c r="C608" s="179"/>
      <c r="D608" s="179"/>
      <c r="E608" s="180"/>
      <c r="F608" s="162"/>
      <c r="G608" s="232"/>
      <c r="H608" s="22"/>
      <c r="I608" s="181"/>
      <c r="J608" s="182"/>
      <c r="K608" s="182"/>
      <c r="L608" s="182"/>
      <c r="M608" s="234"/>
      <c r="N608" s="28"/>
      <c r="O608" s="181"/>
      <c r="P608" s="183"/>
      <c r="Q608" s="104"/>
      <c r="R608" s="233"/>
      <c r="S608" s="164"/>
      <c r="T608" s="164"/>
      <c r="U608" s="162"/>
      <c r="V608" s="235"/>
      <c r="W608" s="235"/>
      <c r="X608" s="235"/>
      <c r="Y608" s="235"/>
      <c r="Z608" s="235"/>
      <c r="AA608" s="235"/>
      <c r="AB608" s="235"/>
      <c r="AC608" s="235"/>
      <c r="AD608" s="235"/>
      <c r="AE608" s="235"/>
      <c r="AF608" s="235"/>
      <c r="AG608" s="235"/>
      <c r="AH608" s="235"/>
      <c r="AI608" s="235"/>
      <c r="AJ608" s="235"/>
      <c r="AK608" s="235"/>
      <c r="AL608" s="235"/>
      <c r="AM608" s="235"/>
      <c r="AN608" s="235"/>
      <c r="AO608" s="235"/>
      <c r="AP608" s="235"/>
      <c r="AQ608" s="235"/>
      <c r="AR608" s="235"/>
      <c r="AS608" s="235"/>
      <c r="AT608" s="235"/>
      <c r="AU608" s="235"/>
      <c r="AV608" s="235"/>
      <c r="AW608" s="235"/>
      <c r="AX608" s="235"/>
      <c r="AY608" s="235"/>
      <c r="AZ608" s="235"/>
      <c r="BA608" s="235"/>
      <c r="BB608" s="235"/>
      <c r="BC608" s="235"/>
      <c r="BD608" s="235"/>
      <c r="BE608" s="235"/>
      <c r="BF608" s="235"/>
      <c r="BG608" s="235"/>
      <c r="BH608" s="235"/>
      <c r="BI608" s="235"/>
      <c r="BJ608" s="235"/>
      <c r="BK608" s="235"/>
      <c r="BL608" s="235"/>
      <c r="BM608" s="235"/>
      <c r="BN608" s="235"/>
      <c r="BO608" s="235"/>
    </row>
    <row r="609" ht="29.25" hidden="1" customHeight="1">
      <c r="A609" s="230"/>
      <c r="B609" s="231"/>
      <c r="C609" s="179"/>
      <c r="D609" s="179"/>
      <c r="E609" s="180"/>
      <c r="F609" s="162"/>
      <c r="G609" s="232"/>
      <c r="H609" s="22"/>
      <c r="I609" s="181"/>
      <c r="J609" s="182"/>
      <c r="K609" s="182"/>
      <c r="L609" s="182"/>
      <c r="M609" s="234"/>
      <c r="N609" s="28"/>
      <c r="O609" s="181"/>
      <c r="P609" s="183"/>
      <c r="Q609" s="104"/>
      <c r="R609" s="233"/>
      <c r="S609" s="164"/>
      <c r="T609" s="164"/>
      <c r="U609" s="162"/>
      <c r="V609" s="235"/>
      <c r="W609" s="235"/>
      <c r="X609" s="235"/>
      <c r="Y609" s="235"/>
      <c r="Z609" s="235"/>
      <c r="AA609" s="235"/>
      <c r="AB609" s="235"/>
      <c r="AC609" s="235"/>
      <c r="AD609" s="235"/>
      <c r="AE609" s="235"/>
      <c r="AF609" s="235"/>
      <c r="AG609" s="235"/>
      <c r="AH609" s="235"/>
      <c r="AI609" s="235"/>
      <c r="AJ609" s="235"/>
      <c r="AK609" s="235"/>
      <c r="AL609" s="235"/>
      <c r="AM609" s="235"/>
      <c r="AN609" s="235"/>
      <c r="AO609" s="235"/>
      <c r="AP609" s="235"/>
      <c r="AQ609" s="235"/>
      <c r="AR609" s="235"/>
      <c r="AS609" s="235"/>
      <c r="AT609" s="235"/>
      <c r="AU609" s="235"/>
      <c r="AV609" s="235"/>
      <c r="AW609" s="235"/>
      <c r="AX609" s="235"/>
      <c r="AY609" s="235"/>
      <c r="AZ609" s="235"/>
      <c r="BA609" s="235"/>
      <c r="BB609" s="235"/>
      <c r="BC609" s="235"/>
      <c r="BD609" s="235"/>
      <c r="BE609" s="235"/>
      <c r="BF609" s="235"/>
      <c r="BG609" s="235"/>
      <c r="BH609" s="235"/>
      <c r="BI609" s="235"/>
      <c r="BJ609" s="235"/>
      <c r="BK609" s="235"/>
      <c r="BL609" s="235"/>
      <c r="BM609" s="235"/>
      <c r="BN609" s="235"/>
      <c r="BO609" s="235"/>
    </row>
    <row r="610" ht="29.25" hidden="1" customHeight="1">
      <c r="A610" s="230"/>
      <c r="B610" s="231"/>
      <c r="C610" s="179"/>
      <c r="D610" s="179"/>
      <c r="E610" s="180"/>
      <c r="F610" s="162"/>
      <c r="G610" s="232"/>
      <c r="H610" s="22"/>
      <c r="I610" s="181"/>
      <c r="J610" s="182"/>
      <c r="K610" s="182"/>
      <c r="L610" s="182"/>
      <c r="M610" s="234"/>
      <c r="N610" s="28"/>
      <c r="O610" s="181"/>
      <c r="P610" s="183"/>
      <c r="Q610" s="104"/>
      <c r="R610" s="233"/>
      <c r="S610" s="164"/>
      <c r="T610" s="164"/>
      <c r="U610" s="162"/>
      <c r="V610" s="235"/>
      <c r="W610" s="235"/>
      <c r="X610" s="235"/>
      <c r="Y610" s="235"/>
      <c r="Z610" s="235"/>
      <c r="AA610" s="235"/>
      <c r="AB610" s="235"/>
      <c r="AC610" s="235"/>
      <c r="AD610" s="235"/>
      <c r="AE610" s="235"/>
      <c r="AF610" s="235"/>
      <c r="AG610" s="235"/>
      <c r="AH610" s="235"/>
      <c r="AI610" s="235"/>
      <c r="AJ610" s="235"/>
      <c r="AK610" s="235"/>
      <c r="AL610" s="235"/>
      <c r="AM610" s="235"/>
      <c r="AN610" s="235"/>
      <c r="AO610" s="235"/>
      <c r="AP610" s="235"/>
      <c r="AQ610" s="235"/>
      <c r="AR610" s="235"/>
      <c r="AS610" s="235"/>
      <c r="AT610" s="235"/>
      <c r="AU610" s="235"/>
      <c r="AV610" s="235"/>
      <c r="AW610" s="235"/>
      <c r="AX610" s="235"/>
      <c r="AY610" s="235"/>
      <c r="AZ610" s="235"/>
      <c r="BA610" s="235"/>
      <c r="BB610" s="235"/>
      <c r="BC610" s="235"/>
      <c r="BD610" s="235"/>
      <c r="BE610" s="235"/>
      <c r="BF610" s="235"/>
      <c r="BG610" s="235"/>
      <c r="BH610" s="235"/>
      <c r="BI610" s="235"/>
      <c r="BJ610" s="235"/>
      <c r="BK610" s="235"/>
      <c r="BL610" s="235"/>
      <c r="BM610" s="235"/>
      <c r="BN610" s="235"/>
      <c r="BO610" s="235"/>
    </row>
    <row r="611" ht="29.25" hidden="1" customHeight="1">
      <c r="A611" s="230"/>
      <c r="B611" s="231"/>
      <c r="C611" s="179"/>
      <c r="D611" s="179"/>
      <c r="E611" s="180"/>
      <c r="F611" s="162"/>
      <c r="G611" s="232"/>
      <c r="H611" s="22"/>
      <c r="I611" s="181"/>
      <c r="J611" s="182"/>
      <c r="K611" s="182"/>
      <c r="L611" s="182"/>
      <c r="M611" s="234"/>
      <c r="N611" s="28"/>
      <c r="O611" s="181"/>
      <c r="P611" s="183"/>
      <c r="Q611" s="104"/>
      <c r="R611" s="233"/>
      <c r="S611" s="164"/>
      <c r="T611" s="164"/>
      <c r="U611" s="162"/>
      <c r="V611" s="235"/>
      <c r="W611" s="235"/>
      <c r="X611" s="235"/>
      <c r="Y611" s="235"/>
      <c r="Z611" s="235"/>
      <c r="AA611" s="235"/>
      <c r="AB611" s="235"/>
      <c r="AC611" s="235"/>
      <c r="AD611" s="235"/>
      <c r="AE611" s="235"/>
      <c r="AF611" s="235"/>
      <c r="AG611" s="235"/>
      <c r="AH611" s="235"/>
      <c r="AI611" s="235"/>
      <c r="AJ611" s="235"/>
      <c r="AK611" s="235"/>
      <c r="AL611" s="235"/>
      <c r="AM611" s="235"/>
      <c r="AN611" s="235"/>
      <c r="AO611" s="235"/>
      <c r="AP611" s="235"/>
      <c r="AQ611" s="235"/>
      <c r="AR611" s="235"/>
      <c r="AS611" s="235"/>
      <c r="AT611" s="235"/>
      <c r="AU611" s="235"/>
      <c r="AV611" s="235"/>
      <c r="AW611" s="235"/>
      <c r="AX611" s="235"/>
      <c r="AY611" s="235"/>
      <c r="AZ611" s="235"/>
      <c r="BA611" s="235"/>
      <c r="BB611" s="235"/>
      <c r="BC611" s="235"/>
      <c r="BD611" s="235"/>
      <c r="BE611" s="235"/>
      <c r="BF611" s="235"/>
      <c r="BG611" s="235"/>
      <c r="BH611" s="235"/>
      <c r="BI611" s="235"/>
      <c r="BJ611" s="235"/>
      <c r="BK611" s="235"/>
      <c r="BL611" s="235"/>
      <c r="BM611" s="235"/>
      <c r="BN611" s="235"/>
      <c r="BO611" s="235"/>
    </row>
    <row r="612" ht="29.25" hidden="1" customHeight="1">
      <c r="A612" s="230"/>
      <c r="B612" s="231"/>
      <c r="C612" s="179"/>
      <c r="D612" s="179"/>
      <c r="E612" s="180"/>
      <c r="F612" s="162"/>
      <c r="G612" s="232"/>
      <c r="H612" s="22"/>
      <c r="I612" s="181"/>
      <c r="J612" s="182"/>
      <c r="K612" s="182"/>
      <c r="L612" s="182"/>
      <c r="M612" s="234"/>
      <c r="N612" s="28"/>
      <c r="O612" s="181"/>
      <c r="P612" s="183"/>
      <c r="Q612" s="104"/>
      <c r="R612" s="233"/>
      <c r="S612" s="164"/>
      <c r="T612" s="164"/>
      <c r="U612" s="162"/>
      <c r="V612" s="235"/>
      <c r="W612" s="235"/>
      <c r="X612" s="235"/>
      <c r="Y612" s="235"/>
      <c r="Z612" s="235"/>
      <c r="AA612" s="235"/>
      <c r="AB612" s="235"/>
      <c r="AC612" s="235"/>
      <c r="AD612" s="235"/>
      <c r="AE612" s="235"/>
      <c r="AF612" s="235"/>
      <c r="AG612" s="235"/>
      <c r="AH612" s="235"/>
      <c r="AI612" s="235"/>
      <c r="AJ612" s="235"/>
      <c r="AK612" s="235"/>
      <c r="AL612" s="235"/>
      <c r="AM612" s="235"/>
      <c r="AN612" s="235"/>
      <c r="AO612" s="235"/>
      <c r="AP612" s="235"/>
      <c r="AQ612" s="235"/>
      <c r="AR612" s="235"/>
      <c r="AS612" s="235"/>
      <c r="AT612" s="235"/>
      <c r="AU612" s="235"/>
      <c r="AV612" s="235"/>
      <c r="AW612" s="235"/>
      <c r="AX612" s="235"/>
      <c r="AY612" s="235"/>
      <c r="AZ612" s="235"/>
      <c r="BA612" s="235"/>
      <c r="BB612" s="235"/>
      <c r="BC612" s="235"/>
      <c r="BD612" s="235"/>
      <c r="BE612" s="235"/>
      <c r="BF612" s="235"/>
      <c r="BG612" s="235"/>
      <c r="BH612" s="235"/>
      <c r="BI612" s="235"/>
      <c r="BJ612" s="235"/>
      <c r="BK612" s="235"/>
      <c r="BL612" s="235"/>
      <c r="BM612" s="235"/>
      <c r="BN612" s="235"/>
      <c r="BO612" s="235"/>
    </row>
    <row r="613" ht="29.25" hidden="1" customHeight="1">
      <c r="A613" s="230"/>
      <c r="B613" s="231"/>
      <c r="C613" s="179"/>
      <c r="D613" s="179"/>
      <c r="E613" s="180"/>
      <c r="F613" s="162"/>
      <c r="G613" s="232"/>
      <c r="H613" s="22"/>
      <c r="I613" s="181"/>
      <c r="J613" s="182"/>
      <c r="K613" s="182"/>
      <c r="L613" s="182"/>
      <c r="M613" s="234"/>
      <c r="N613" s="28"/>
      <c r="O613" s="181"/>
      <c r="P613" s="183"/>
      <c r="Q613" s="104"/>
      <c r="R613" s="233"/>
      <c r="S613" s="164"/>
      <c r="T613" s="164"/>
      <c r="U613" s="162"/>
      <c r="V613" s="235"/>
      <c r="W613" s="235"/>
      <c r="X613" s="235"/>
      <c r="Y613" s="235"/>
      <c r="Z613" s="235"/>
      <c r="AA613" s="235"/>
      <c r="AB613" s="235"/>
      <c r="AC613" s="235"/>
      <c r="AD613" s="235"/>
      <c r="AE613" s="235"/>
      <c r="AF613" s="235"/>
      <c r="AG613" s="235"/>
      <c r="AH613" s="235"/>
      <c r="AI613" s="235"/>
      <c r="AJ613" s="235"/>
      <c r="AK613" s="235"/>
      <c r="AL613" s="235"/>
      <c r="AM613" s="235"/>
      <c r="AN613" s="235"/>
      <c r="AO613" s="235"/>
      <c r="AP613" s="235"/>
      <c r="AQ613" s="235"/>
      <c r="AR613" s="235"/>
      <c r="AS613" s="235"/>
      <c r="AT613" s="235"/>
      <c r="AU613" s="235"/>
      <c r="AV613" s="235"/>
      <c r="AW613" s="235"/>
      <c r="AX613" s="235"/>
      <c r="AY613" s="235"/>
      <c r="AZ613" s="235"/>
      <c r="BA613" s="235"/>
      <c r="BB613" s="235"/>
      <c r="BC613" s="235"/>
      <c r="BD613" s="235"/>
      <c r="BE613" s="235"/>
      <c r="BF613" s="235"/>
      <c r="BG613" s="235"/>
      <c r="BH613" s="235"/>
      <c r="BI613" s="235"/>
      <c r="BJ613" s="235"/>
      <c r="BK613" s="235"/>
      <c r="BL613" s="235"/>
      <c r="BM613" s="235"/>
      <c r="BN613" s="235"/>
      <c r="BO613" s="235"/>
    </row>
    <row r="614" ht="29.25" hidden="1" customHeight="1">
      <c r="A614" s="230"/>
      <c r="B614" s="231"/>
      <c r="C614" s="179"/>
      <c r="D614" s="179"/>
      <c r="E614" s="180"/>
      <c r="F614" s="162"/>
      <c r="G614" s="232"/>
      <c r="H614" s="22"/>
      <c r="I614" s="181"/>
      <c r="J614" s="182"/>
      <c r="K614" s="182"/>
      <c r="L614" s="182"/>
      <c r="M614" s="234"/>
      <c r="N614" s="28"/>
      <c r="O614" s="181"/>
      <c r="P614" s="183"/>
      <c r="Q614" s="104"/>
      <c r="R614" s="233"/>
      <c r="S614" s="164"/>
      <c r="T614" s="164"/>
      <c r="U614" s="162"/>
      <c r="V614" s="235"/>
      <c r="W614" s="235"/>
      <c r="X614" s="235"/>
      <c r="Y614" s="235"/>
      <c r="Z614" s="235"/>
      <c r="AA614" s="235"/>
      <c r="AB614" s="235"/>
      <c r="AC614" s="235"/>
      <c r="AD614" s="235"/>
      <c r="AE614" s="235"/>
      <c r="AF614" s="235"/>
      <c r="AG614" s="235"/>
      <c r="AH614" s="235"/>
      <c r="AI614" s="235"/>
      <c r="AJ614" s="235"/>
      <c r="AK614" s="235"/>
      <c r="AL614" s="235"/>
      <c r="AM614" s="235"/>
      <c r="AN614" s="235"/>
      <c r="AO614" s="235"/>
      <c r="AP614" s="235"/>
      <c r="AQ614" s="235"/>
      <c r="AR614" s="235"/>
      <c r="AS614" s="235"/>
      <c r="AT614" s="235"/>
      <c r="AU614" s="235"/>
      <c r="AV614" s="235"/>
      <c r="AW614" s="235"/>
      <c r="AX614" s="235"/>
      <c r="AY614" s="235"/>
      <c r="AZ614" s="235"/>
      <c r="BA614" s="235"/>
      <c r="BB614" s="235"/>
      <c r="BC614" s="235"/>
      <c r="BD614" s="235"/>
      <c r="BE614" s="235"/>
      <c r="BF614" s="235"/>
      <c r="BG614" s="235"/>
      <c r="BH614" s="235"/>
      <c r="BI614" s="235"/>
      <c r="BJ614" s="235"/>
      <c r="BK614" s="235"/>
      <c r="BL614" s="235"/>
      <c r="BM614" s="235"/>
      <c r="BN614" s="235"/>
      <c r="BO614" s="235"/>
    </row>
    <row r="615" ht="29.25" hidden="1" customHeight="1">
      <c r="A615" s="230"/>
      <c r="B615" s="231"/>
      <c r="C615" s="179"/>
      <c r="D615" s="179"/>
      <c r="E615" s="180"/>
      <c r="F615" s="162"/>
      <c r="G615" s="232"/>
      <c r="H615" s="22"/>
      <c r="I615" s="181"/>
      <c r="J615" s="182"/>
      <c r="K615" s="182"/>
      <c r="L615" s="182"/>
      <c r="M615" s="234"/>
      <c r="N615" s="28"/>
      <c r="O615" s="181"/>
      <c r="P615" s="183"/>
      <c r="Q615" s="104"/>
      <c r="R615" s="233"/>
      <c r="S615" s="164"/>
      <c r="T615" s="164"/>
      <c r="U615" s="162"/>
      <c r="V615" s="235"/>
      <c r="W615" s="235"/>
      <c r="X615" s="235"/>
      <c r="Y615" s="235"/>
      <c r="Z615" s="235"/>
      <c r="AA615" s="235"/>
      <c r="AB615" s="235"/>
      <c r="AC615" s="235"/>
      <c r="AD615" s="235"/>
      <c r="AE615" s="235"/>
      <c r="AF615" s="235"/>
      <c r="AG615" s="235"/>
      <c r="AH615" s="235"/>
      <c r="AI615" s="235"/>
      <c r="AJ615" s="235"/>
      <c r="AK615" s="235"/>
      <c r="AL615" s="235"/>
      <c r="AM615" s="235"/>
      <c r="AN615" s="235"/>
      <c r="AO615" s="235"/>
      <c r="AP615" s="235"/>
      <c r="AQ615" s="235"/>
      <c r="AR615" s="235"/>
      <c r="AS615" s="235"/>
      <c r="AT615" s="235"/>
      <c r="AU615" s="235"/>
      <c r="AV615" s="235"/>
      <c r="AW615" s="235"/>
      <c r="AX615" s="235"/>
      <c r="AY615" s="235"/>
      <c r="AZ615" s="235"/>
      <c r="BA615" s="235"/>
      <c r="BB615" s="235"/>
      <c r="BC615" s="235"/>
      <c r="BD615" s="235"/>
      <c r="BE615" s="235"/>
      <c r="BF615" s="235"/>
      <c r="BG615" s="235"/>
      <c r="BH615" s="235"/>
      <c r="BI615" s="235"/>
      <c r="BJ615" s="235"/>
      <c r="BK615" s="235"/>
      <c r="BL615" s="235"/>
      <c r="BM615" s="235"/>
      <c r="BN615" s="235"/>
      <c r="BO615" s="235"/>
    </row>
    <row r="616" ht="29.25" hidden="1" customHeight="1">
      <c r="A616" s="230"/>
      <c r="B616" s="231"/>
      <c r="C616" s="179"/>
      <c r="D616" s="179"/>
      <c r="E616" s="180"/>
      <c r="F616" s="162"/>
      <c r="G616" s="232"/>
      <c r="H616" s="22"/>
      <c r="I616" s="181"/>
      <c r="J616" s="182"/>
      <c r="K616" s="182"/>
      <c r="L616" s="182"/>
      <c r="M616" s="234"/>
      <c r="N616" s="28"/>
      <c r="O616" s="181"/>
      <c r="P616" s="183"/>
      <c r="Q616" s="104"/>
      <c r="R616" s="233"/>
      <c r="S616" s="164"/>
      <c r="T616" s="164"/>
      <c r="U616" s="162"/>
      <c r="V616" s="235"/>
      <c r="W616" s="235"/>
      <c r="X616" s="235"/>
      <c r="Y616" s="235"/>
      <c r="Z616" s="235"/>
      <c r="AA616" s="235"/>
      <c r="AB616" s="235"/>
      <c r="AC616" s="235"/>
      <c r="AD616" s="235"/>
      <c r="AE616" s="235"/>
      <c r="AF616" s="235"/>
      <c r="AG616" s="235"/>
      <c r="AH616" s="235"/>
      <c r="AI616" s="235"/>
      <c r="AJ616" s="235"/>
      <c r="AK616" s="235"/>
      <c r="AL616" s="235"/>
      <c r="AM616" s="235"/>
      <c r="AN616" s="235"/>
      <c r="AO616" s="235"/>
      <c r="AP616" s="235"/>
      <c r="AQ616" s="235"/>
      <c r="AR616" s="235"/>
      <c r="AS616" s="235"/>
      <c r="AT616" s="235"/>
      <c r="AU616" s="235"/>
      <c r="AV616" s="235"/>
      <c r="AW616" s="235"/>
      <c r="AX616" s="235"/>
      <c r="AY616" s="235"/>
      <c r="AZ616" s="235"/>
      <c r="BA616" s="235"/>
      <c r="BB616" s="235"/>
      <c r="BC616" s="235"/>
      <c r="BD616" s="235"/>
      <c r="BE616" s="235"/>
      <c r="BF616" s="235"/>
      <c r="BG616" s="235"/>
      <c r="BH616" s="235"/>
      <c r="BI616" s="235"/>
      <c r="BJ616" s="235"/>
      <c r="BK616" s="235"/>
      <c r="BL616" s="235"/>
      <c r="BM616" s="235"/>
      <c r="BN616" s="235"/>
      <c r="BO616" s="235"/>
    </row>
    <row r="617" ht="29.25" hidden="1" customHeight="1">
      <c r="A617" s="230"/>
      <c r="B617" s="231"/>
      <c r="C617" s="179"/>
      <c r="D617" s="179"/>
      <c r="E617" s="180"/>
      <c r="F617" s="162"/>
      <c r="G617" s="232"/>
      <c r="H617" s="22"/>
      <c r="I617" s="181"/>
      <c r="J617" s="182"/>
      <c r="K617" s="182"/>
      <c r="L617" s="182"/>
      <c r="M617" s="234"/>
      <c r="N617" s="28"/>
      <c r="O617" s="181"/>
      <c r="P617" s="183"/>
      <c r="Q617" s="104"/>
      <c r="R617" s="233"/>
      <c r="S617" s="164"/>
      <c r="T617" s="164"/>
      <c r="U617" s="162"/>
      <c r="V617" s="235"/>
      <c r="W617" s="235"/>
      <c r="X617" s="235"/>
      <c r="Y617" s="235"/>
      <c r="Z617" s="235"/>
      <c r="AA617" s="235"/>
      <c r="AB617" s="235"/>
      <c r="AC617" s="235"/>
      <c r="AD617" s="235"/>
      <c r="AE617" s="235"/>
      <c r="AF617" s="235"/>
      <c r="AG617" s="235"/>
      <c r="AH617" s="235"/>
      <c r="AI617" s="235"/>
      <c r="AJ617" s="235"/>
      <c r="AK617" s="235"/>
      <c r="AL617" s="235"/>
      <c r="AM617" s="235"/>
      <c r="AN617" s="235"/>
      <c r="AO617" s="235"/>
      <c r="AP617" s="235"/>
      <c r="AQ617" s="235"/>
      <c r="AR617" s="235"/>
      <c r="AS617" s="235"/>
      <c r="AT617" s="235"/>
      <c r="AU617" s="235"/>
      <c r="AV617" s="235"/>
      <c r="AW617" s="235"/>
      <c r="AX617" s="235"/>
      <c r="AY617" s="235"/>
      <c r="AZ617" s="235"/>
      <c r="BA617" s="235"/>
      <c r="BB617" s="235"/>
      <c r="BC617" s="235"/>
      <c r="BD617" s="235"/>
      <c r="BE617" s="235"/>
      <c r="BF617" s="235"/>
      <c r="BG617" s="235"/>
      <c r="BH617" s="235"/>
      <c r="BI617" s="235"/>
      <c r="BJ617" s="235"/>
      <c r="BK617" s="235"/>
      <c r="BL617" s="235"/>
      <c r="BM617" s="235"/>
      <c r="BN617" s="235"/>
      <c r="BO617" s="235"/>
    </row>
    <row r="618" ht="29.25" hidden="1" customHeight="1">
      <c r="A618" s="230"/>
      <c r="B618" s="231"/>
      <c r="C618" s="179"/>
      <c r="D618" s="179"/>
      <c r="E618" s="180"/>
      <c r="F618" s="162"/>
      <c r="G618" s="232"/>
      <c r="H618" s="22"/>
      <c r="I618" s="181"/>
      <c r="J618" s="182"/>
      <c r="K618" s="182"/>
      <c r="L618" s="182"/>
      <c r="M618" s="234"/>
      <c r="N618" s="28"/>
      <c r="O618" s="181"/>
      <c r="P618" s="183"/>
      <c r="Q618" s="104"/>
      <c r="R618" s="233"/>
      <c r="S618" s="164"/>
      <c r="T618" s="164"/>
      <c r="U618" s="162"/>
      <c r="V618" s="235"/>
      <c r="W618" s="235"/>
      <c r="X618" s="235"/>
      <c r="Y618" s="235"/>
      <c r="Z618" s="235"/>
      <c r="AA618" s="235"/>
      <c r="AB618" s="235"/>
      <c r="AC618" s="235"/>
      <c r="AD618" s="235"/>
      <c r="AE618" s="235"/>
      <c r="AF618" s="235"/>
      <c r="AG618" s="235"/>
      <c r="AH618" s="235"/>
      <c r="AI618" s="235"/>
      <c r="AJ618" s="235"/>
      <c r="AK618" s="235"/>
      <c r="AL618" s="235"/>
      <c r="AM618" s="235"/>
      <c r="AN618" s="235"/>
      <c r="AO618" s="235"/>
      <c r="AP618" s="235"/>
      <c r="AQ618" s="235"/>
      <c r="AR618" s="235"/>
      <c r="AS618" s="235"/>
      <c r="AT618" s="235"/>
      <c r="AU618" s="235"/>
      <c r="AV618" s="235"/>
      <c r="AW618" s="235"/>
      <c r="AX618" s="235"/>
      <c r="AY618" s="235"/>
      <c r="AZ618" s="235"/>
      <c r="BA618" s="235"/>
      <c r="BB618" s="235"/>
      <c r="BC618" s="235"/>
      <c r="BD618" s="235"/>
      <c r="BE618" s="235"/>
      <c r="BF618" s="235"/>
      <c r="BG618" s="235"/>
      <c r="BH618" s="235"/>
      <c r="BI618" s="235"/>
      <c r="BJ618" s="235"/>
      <c r="BK618" s="235"/>
      <c r="BL618" s="235"/>
      <c r="BM618" s="235"/>
      <c r="BN618" s="235"/>
      <c r="BO618" s="235"/>
    </row>
    <row r="619" ht="29.25" hidden="1" customHeight="1">
      <c r="A619" s="230"/>
      <c r="B619" s="231"/>
      <c r="C619" s="179"/>
      <c r="D619" s="179"/>
      <c r="E619" s="180"/>
      <c r="F619" s="162"/>
      <c r="G619" s="232"/>
      <c r="H619" s="22"/>
      <c r="I619" s="181"/>
      <c r="J619" s="182"/>
      <c r="K619" s="182"/>
      <c r="L619" s="182"/>
      <c r="M619" s="234"/>
      <c r="N619" s="28"/>
      <c r="O619" s="181"/>
      <c r="P619" s="183"/>
      <c r="Q619" s="104"/>
      <c r="R619" s="233"/>
      <c r="S619" s="164"/>
      <c r="T619" s="164"/>
      <c r="U619" s="162"/>
      <c r="V619" s="235"/>
      <c r="W619" s="235"/>
      <c r="X619" s="235"/>
      <c r="Y619" s="235"/>
      <c r="Z619" s="235"/>
      <c r="AA619" s="235"/>
      <c r="AB619" s="235"/>
      <c r="AC619" s="235"/>
      <c r="AD619" s="235"/>
      <c r="AE619" s="235"/>
      <c r="AF619" s="235"/>
      <c r="AG619" s="235"/>
      <c r="AH619" s="235"/>
      <c r="AI619" s="235"/>
      <c r="AJ619" s="235"/>
      <c r="AK619" s="235"/>
      <c r="AL619" s="235"/>
      <c r="AM619" s="235"/>
      <c r="AN619" s="235"/>
      <c r="AO619" s="235"/>
      <c r="AP619" s="235"/>
      <c r="AQ619" s="235"/>
      <c r="AR619" s="235"/>
      <c r="AS619" s="235"/>
      <c r="AT619" s="235"/>
      <c r="AU619" s="235"/>
      <c r="AV619" s="235"/>
      <c r="AW619" s="235"/>
      <c r="AX619" s="235"/>
      <c r="AY619" s="235"/>
      <c r="AZ619" s="235"/>
      <c r="BA619" s="235"/>
      <c r="BB619" s="235"/>
      <c r="BC619" s="235"/>
      <c r="BD619" s="235"/>
      <c r="BE619" s="235"/>
      <c r="BF619" s="235"/>
      <c r="BG619" s="235"/>
      <c r="BH619" s="235"/>
      <c r="BI619" s="235"/>
      <c r="BJ619" s="235"/>
      <c r="BK619" s="235"/>
      <c r="BL619" s="235"/>
      <c r="BM619" s="235"/>
      <c r="BN619" s="235"/>
      <c r="BO619" s="235"/>
    </row>
    <row r="620" ht="29.25" hidden="1" customHeight="1">
      <c r="A620" s="230"/>
      <c r="B620" s="231"/>
      <c r="C620" s="179"/>
      <c r="D620" s="179"/>
      <c r="E620" s="180"/>
      <c r="F620" s="162"/>
      <c r="G620" s="232"/>
      <c r="H620" s="22"/>
      <c r="I620" s="181"/>
      <c r="J620" s="182"/>
      <c r="K620" s="182"/>
      <c r="L620" s="182"/>
      <c r="M620" s="234"/>
      <c r="N620" s="28"/>
      <c r="O620" s="181"/>
      <c r="P620" s="183"/>
      <c r="Q620" s="104"/>
      <c r="R620" s="233"/>
      <c r="S620" s="164"/>
      <c r="T620" s="164"/>
      <c r="U620" s="162"/>
      <c r="V620" s="235"/>
      <c r="W620" s="235"/>
      <c r="X620" s="235"/>
      <c r="Y620" s="235"/>
      <c r="Z620" s="235"/>
      <c r="AA620" s="235"/>
      <c r="AB620" s="235"/>
      <c r="AC620" s="235"/>
      <c r="AD620" s="235"/>
      <c r="AE620" s="235"/>
      <c r="AF620" s="235"/>
      <c r="AG620" s="235"/>
      <c r="AH620" s="235"/>
      <c r="AI620" s="235"/>
      <c r="AJ620" s="235"/>
      <c r="AK620" s="235"/>
      <c r="AL620" s="235"/>
      <c r="AM620" s="235"/>
      <c r="AN620" s="235"/>
      <c r="AO620" s="235"/>
      <c r="AP620" s="235"/>
      <c r="AQ620" s="235"/>
      <c r="AR620" s="235"/>
      <c r="AS620" s="235"/>
      <c r="AT620" s="235"/>
      <c r="AU620" s="235"/>
      <c r="AV620" s="235"/>
      <c r="AW620" s="235"/>
      <c r="AX620" s="235"/>
      <c r="AY620" s="235"/>
      <c r="AZ620" s="235"/>
      <c r="BA620" s="235"/>
      <c r="BB620" s="235"/>
      <c r="BC620" s="235"/>
      <c r="BD620" s="235"/>
      <c r="BE620" s="235"/>
      <c r="BF620" s="235"/>
      <c r="BG620" s="235"/>
      <c r="BH620" s="235"/>
      <c r="BI620" s="235"/>
      <c r="BJ620" s="235"/>
      <c r="BK620" s="235"/>
      <c r="BL620" s="235"/>
      <c r="BM620" s="235"/>
      <c r="BN620" s="235"/>
      <c r="BO620" s="235"/>
    </row>
    <row r="621" ht="29.25" hidden="1" customHeight="1">
      <c r="A621" s="230"/>
      <c r="B621" s="231"/>
      <c r="C621" s="179"/>
      <c r="D621" s="179"/>
      <c r="E621" s="180"/>
      <c r="F621" s="162"/>
      <c r="G621" s="232"/>
      <c r="H621" s="22"/>
      <c r="I621" s="181"/>
      <c r="J621" s="182"/>
      <c r="K621" s="182"/>
      <c r="L621" s="182"/>
      <c r="M621" s="234"/>
      <c r="N621" s="28"/>
      <c r="O621" s="181"/>
      <c r="P621" s="183"/>
      <c r="Q621" s="104"/>
      <c r="R621" s="233"/>
      <c r="S621" s="164"/>
      <c r="T621" s="164"/>
      <c r="U621" s="162"/>
      <c r="V621" s="235"/>
      <c r="W621" s="235"/>
      <c r="X621" s="235"/>
      <c r="Y621" s="235"/>
      <c r="Z621" s="235"/>
      <c r="AA621" s="235"/>
      <c r="AB621" s="235"/>
      <c r="AC621" s="235"/>
      <c r="AD621" s="235"/>
      <c r="AE621" s="235"/>
      <c r="AF621" s="235"/>
      <c r="AG621" s="235"/>
      <c r="AH621" s="235"/>
      <c r="AI621" s="235"/>
      <c r="AJ621" s="235"/>
      <c r="AK621" s="235"/>
      <c r="AL621" s="235"/>
      <c r="AM621" s="235"/>
      <c r="AN621" s="235"/>
      <c r="AO621" s="235"/>
      <c r="AP621" s="235"/>
      <c r="AQ621" s="235"/>
      <c r="AR621" s="235"/>
      <c r="AS621" s="235"/>
      <c r="AT621" s="235"/>
      <c r="AU621" s="235"/>
      <c r="AV621" s="235"/>
      <c r="AW621" s="235"/>
      <c r="AX621" s="235"/>
      <c r="AY621" s="235"/>
      <c r="AZ621" s="235"/>
      <c r="BA621" s="235"/>
      <c r="BB621" s="235"/>
      <c r="BC621" s="235"/>
      <c r="BD621" s="235"/>
      <c r="BE621" s="235"/>
      <c r="BF621" s="235"/>
      <c r="BG621" s="235"/>
      <c r="BH621" s="235"/>
      <c r="BI621" s="235"/>
      <c r="BJ621" s="235"/>
      <c r="BK621" s="235"/>
      <c r="BL621" s="235"/>
      <c r="BM621" s="235"/>
      <c r="BN621" s="235"/>
      <c r="BO621" s="235"/>
    </row>
    <row r="622" ht="29.25" hidden="1" customHeight="1">
      <c r="A622" s="230"/>
      <c r="B622" s="231"/>
      <c r="C622" s="179"/>
      <c r="D622" s="179"/>
      <c r="E622" s="180"/>
      <c r="F622" s="162"/>
      <c r="G622" s="232"/>
      <c r="H622" s="22"/>
      <c r="I622" s="181"/>
      <c r="J622" s="182"/>
      <c r="K622" s="182"/>
      <c r="L622" s="182"/>
      <c r="M622" s="234"/>
      <c r="N622" s="28"/>
      <c r="O622" s="181"/>
      <c r="P622" s="183"/>
      <c r="Q622" s="104"/>
      <c r="R622" s="233"/>
      <c r="S622" s="164"/>
      <c r="T622" s="164"/>
      <c r="U622" s="162"/>
      <c r="V622" s="235"/>
      <c r="W622" s="235"/>
      <c r="X622" s="235"/>
      <c r="Y622" s="235"/>
      <c r="Z622" s="235"/>
      <c r="AA622" s="235"/>
      <c r="AB622" s="235"/>
      <c r="AC622" s="235"/>
      <c r="AD622" s="235"/>
      <c r="AE622" s="235"/>
      <c r="AF622" s="235"/>
      <c r="AG622" s="235"/>
      <c r="AH622" s="235"/>
      <c r="AI622" s="235"/>
      <c r="AJ622" s="235"/>
      <c r="AK622" s="235"/>
      <c r="AL622" s="235"/>
      <c r="AM622" s="235"/>
      <c r="AN622" s="235"/>
      <c r="AO622" s="235"/>
      <c r="AP622" s="235"/>
      <c r="AQ622" s="235"/>
      <c r="AR622" s="235"/>
      <c r="AS622" s="235"/>
      <c r="AT622" s="235"/>
      <c r="AU622" s="235"/>
      <c r="AV622" s="235"/>
      <c r="AW622" s="235"/>
      <c r="AX622" s="235"/>
      <c r="AY622" s="235"/>
      <c r="AZ622" s="235"/>
      <c r="BA622" s="235"/>
      <c r="BB622" s="235"/>
      <c r="BC622" s="235"/>
      <c r="BD622" s="235"/>
      <c r="BE622" s="235"/>
      <c r="BF622" s="235"/>
      <c r="BG622" s="235"/>
      <c r="BH622" s="235"/>
      <c r="BI622" s="235"/>
      <c r="BJ622" s="235"/>
      <c r="BK622" s="235"/>
      <c r="BL622" s="235"/>
      <c r="BM622" s="235"/>
      <c r="BN622" s="235"/>
      <c r="BO622" s="235"/>
    </row>
    <row r="623" ht="29.25" hidden="1" customHeight="1">
      <c r="A623" s="230"/>
      <c r="B623" s="231"/>
      <c r="C623" s="179"/>
      <c r="D623" s="179"/>
      <c r="E623" s="180"/>
      <c r="F623" s="162"/>
      <c r="G623" s="232"/>
      <c r="H623" s="22"/>
      <c r="I623" s="181"/>
      <c r="J623" s="182"/>
      <c r="K623" s="182"/>
      <c r="L623" s="182"/>
      <c r="M623" s="234"/>
      <c r="N623" s="28"/>
      <c r="O623" s="181"/>
      <c r="P623" s="183"/>
      <c r="Q623" s="104"/>
      <c r="R623" s="233"/>
      <c r="S623" s="164"/>
      <c r="T623" s="164"/>
      <c r="U623" s="162"/>
      <c r="V623" s="235"/>
      <c r="W623" s="235"/>
      <c r="X623" s="235"/>
      <c r="Y623" s="235"/>
      <c r="Z623" s="235"/>
      <c r="AA623" s="235"/>
      <c r="AB623" s="235"/>
      <c r="AC623" s="235"/>
      <c r="AD623" s="235"/>
      <c r="AE623" s="235"/>
      <c r="AF623" s="235"/>
      <c r="AG623" s="235"/>
      <c r="AH623" s="235"/>
      <c r="AI623" s="235"/>
      <c r="AJ623" s="235"/>
      <c r="AK623" s="235"/>
      <c r="AL623" s="235"/>
      <c r="AM623" s="235"/>
      <c r="AN623" s="235"/>
      <c r="AO623" s="235"/>
      <c r="AP623" s="235"/>
      <c r="AQ623" s="235"/>
      <c r="AR623" s="235"/>
      <c r="AS623" s="235"/>
      <c r="AT623" s="235"/>
      <c r="AU623" s="235"/>
      <c r="AV623" s="235"/>
      <c r="AW623" s="235"/>
      <c r="AX623" s="235"/>
      <c r="AY623" s="235"/>
      <c r="AZ623" s="235"/>
      <c r="BA623" s="235"/>
      <c r="BB623" s="235"/>
      <c r="BC623" s="235"/>
      <c r="BD623" s="235"/>
      <c r="BE623" s="235"/>
      <c r="BF623" s="235"/>
      <c r="BG623" s="235"/>
      <c r="BH623" s="235"/>
      <c r="BI623" s="235"/>
      <c r="BJ623" s="235"/>
      <c r="BK623" s="235"/>
      <c r="BL623" s="235"/>
      <c r="BM623" s="235"/>
      <c r="BN623" s="235"/>
      <c r="BO623" s="235"/>
    </row>
    <row r="624" ht="29.25" hidden="1" customHeight="1">
      <c r="A624" s="230"/>
      <c r="B624" s="231"/>
      <c r="C624" s="179"/>
      <c r="D624" s="179"/>
      <c r="E624" s="180"/>
      <c r="F624" s="162"/>
      <c r="G624" s="232"/>
      <c r="H624" s="22"/>
      <c r="I624" s="181"/>
      <c r="J624" s="182"/>
      <c r="K624" s="182"/>
      <c r="L624" s="182"/>
      <c r="M624" s="234"/>
      <c r="N624" s="28"/>
      <c r="O624" s="181"/>
      <c r="P624" s="183"/>
      <c r="Q624" s="104"/>
      <c r="R624" s="233"/>
      <c r="S624" s="164"/>
      <c r="T624" s="164"/>
      <c r="U624" s="162"/>
      <c r="V624" s="235"/>
      <c r="W624" s="235"/>
      <c r="X624" s="235"/>
      <c r="Y624" s="235"/>
      <c r="Z624" s="235"/>
      <c r="AA624" s="235"/>
      <c r="AB624" s="235"/>
      <c r="AC624" s="235"/>
      <c r="AD624" s="235"/>
      <c r="AE624" s="235"/>
      <c r="AF624" s="235"/>
      <c r="AG624" s="235"/>
      <c r="AH624" s="235"/>
      <c r="AI624" s="235"/>
      <c r="AJ624" s="235"/>
      <c r="AK624" s="235"/>
      <c r="AL624" s="235"/>
      <c r="AM624" s="235"/>
      <c r="AN624" s="235"/>
      <c r="AO624" s="235"/>
      <c r="AP624" s="235"/>
      <c r="AQ624" s="235"/>
      <c r="AR624" s="235"/>
      <c r="AS624" s="235"/>
      <c r="AT624" s="235"/>
      <c r="AU624" s="235"/>
      <c r="AV624" s="235"/>
      <c r="AW624" s="235"/>
      <c r="AX624" s="235"/>
      <c r="AY624" s="235"/>
      <c r="AZ624" s="235"/>
      <c r="BA624" s="235"/>
      <c r="BB624" s="235"/>
      <c r="BC624" s="235"/>
      <c r="BD624" s="235"/>
      <c r="BE624" s="235"/>
      <c r="BF624" s="235"/>
      <c r="BG624" s="235"/>
      <c r="BH624" s="235"/>
      <c r="BI624" s="235"/>
      <c r="BJ624" s="235"/>
      <c r="BK624" s="235"/>
      <c r="BL624" s="235"/>
      <c r="BM624" s="235"/>
      <c r="BN624" s="235"/>
      <c r="BO624" s="235"/>
    </row>
    <row r="625" ht="29.25" hidden="1" customHeight="1">
      <c r="A625" s="230"/>
      <c r="B625" s="231"/>
      <c r="C625" s="179"/>
      <c r="D625" s="179"/>
      <c r="E625" s="180"/>
      <c r="F625" s="162"/>
      <c r="G625" s="232"/>
      <c r="H625" s="22"/>
      <c r="I625" s="181"/>
      <c r="J625" s="182"/>
      <c r="K625" s="182"/>
      <c r="L625" s="182"/>
      <c r="M625" s="234"/>
      <c r="N625" s="28"/>
      <c r="O625" s="181"/>
      <c r="P625" s="183"/>
      <c r="Q625" s="104"/>
      <c r="R625" s="233"/>
      <c r="S625" s="164"/>
      <c r="T625" s="164"/>
      <c r="U625" s="162"/>
      <c r="V625" s="235"/>
      <c r="W625" s="235"/>
      <c r="X625" s="235"/>
      <c r="Y625" s="235"/>
      <c r="Z625" s="235"/>
      <c r="AA625" s="235"/>
      <c r="AB625" s="235"/>
      <c r="AC625" s="235"/>
      <c r="AD625" s="235"/>
      <c r="AE625" s="235"/>
      <c r="AF625" s="235"/>
      <c r="AG625" s="235"/>
      <c r="AH625" s="235"/>
      <c r="AI625" s="235"/>
      <c r="AJ625" s="235"/>
      <c r="AK625" s="235"/>
      <c r="AL625" s="235"/>
      <c r="AM625" s="235"/>
      <c r="AN625" s="235"/>
      <c r="AO625" s="235"/>
      <c r="AP625" s="235"/>
      <c r="AQ625" s="235"/>
      <c r="AR625" s="235"/>
      <c r="AS625" s="235"/>
      <c r="AT625" s="235"/>
      <c r="AU625" s="235"/>
      <c r="AV625" s="235"/>
      <c r="AW625" s="235"/>
      <c r="AX625" s="235"/>
      <c r="AY625" s="235"/>
      <c r="AZ625" s="235"/>
      <c r="BA625" s="235"/>
      <c r="BB625" s="235"/>
      <c r="BC625" s="235"/>
      <c r="BD625" s="235"/>
      <c r="BE625" s="235"/>
      <c r="BF625" s="235"/>
      <c r="BG625" s="235"/>
      <c r="BH625" s="235"/>
      <c r="BI625" s="235"/>
      <c r="BJ625" s="235"/>
      <c r="BK625" s="235"/>
      <c r="BL625" s="235"/>
      <c r="BM625" s="235"/>
      <c r="BN625" s="235"/>
      <c r="BO625" s="235"/>
    </row>
    <row r="626" ht="29.25" hidden="1" customHeight="1">
      <c r="A626" s="230"/>
      <c r="B626" s="231"/>
      <c r="C626" s="179"/>
      <c r="D626" s="179"/>
      <c r="E626" s="180"/>
      <c r="F626" s="162"/>
      <c r="G626" s="232"/>
      <c r="H626" s="22"/>
      <c r="I626" s="181"/>
      <c r="J626" s="182"/>
      <c r="K626" s="182"/>
      <c r="L626" s="182"/>
      <c r="M626" s="234"/>
      <c r="N626" s="28"/>
      <c r="O626" s="181"/>
      <c r="P626" s="183"/>
      <c r="Q626" s="104"/>
      <c r="R626" s="233"/>
      <c r="S626" s="164"/>
      <c r="T626" s="164"/>
      <c r="U626" s="162"/>
      <c r="V626" s="235"/>
      <c r="W626" s="235"/>
      <c r="X626" s="235"/>
      <c r="Y626" s="235"/>
      <c r="Z626" s="235"/>
      <c r="AA626" s="235"/>
      <c r="AB626" s="235"/>
      <c r="AC626" s="235"/>
      <c r="AD626" s="235"/>
      <c r="AE626" s="235"/>
      <c r="AF626" s="235"/>
      <c r="AG626" s="235"/>
      <c r="AH626" s="235"/>
      <c r="AI626" s="235"/>
      <c r="AJ626" s="235"/>
      <c r="AK626" s="235"/>
      <c r="AL626" s="235"/>
      <c r="AM626" s="235"/>
      <c r="AN626" s="235"/>
      <c r="AO626" s="235"/>
      <c r="AP626" s="235"/>
      <c r="AQ626" s="235"/>
      <c r="AR626" s="235"/>
      <c r="AS626" s="235"/>
      <c r="AT626" s="235"/>
      <c r="AU626" s="235"/>
      <c r="AV626" s="235"/>
      <c r="AW626" s="235"/>
      <c r="AX626" s="235"/>
      <c r="AY626" s="235"/>
      <c r="AZ626" s="235"/>
      <c r="BA626" s="235"/>
      <c r="BB626" s="235"/>
      <c r="BC626" s="235"/>
      <c r="BD626" s="235"/>
      <c r="BE626" s="235"/>
      <c r="BF626" s="235"/>
      <c r="BG626" s="235"/>
      <c r="BH626" s="235"/>
      <c r="BI626" s="235"/>
      <c r="BJ626" s="235"/>
      <c r="BK626" s="235"/>
      <c r="BL626" s="235"/>
      <c r="BM626" s="235"/>
      <c r="BN626" s="235"/>
      <c r="BO626" s="235"/>
    </row>
    <row r="627" ht="29.25" hidden="1" customHeight="1">
      <c r="A627" s="230"/>
      <c r="B627" s="231"/>
      <c r="C627" s="179"/>
      <c r="D627" s="179"/>
      <c r="E627" s="180"/>
      <c r="F627" s="162"/>
      <c r="G627" s="232"/>
      <c r="H627" s="22"/>
      <c r="I627" s="181"/>
      <c r="J627" s="182"/>
      <c r="K627" s="182"/>
      <c r="L627" s="182"/>
      <c r="M627" s="234"/>
      <c r="N627" s="28"/>
      <c r="O627" s="181"/>
      <c r="P627" s="183"/>
      <c r="Q627" s="104"/>
      <c r="R627" s="233"/>
      <c r="S627" s="164"/>
      <c r="T627" s="164"/>
      <c r="U627" s="162"/>
      <c r="V627" s="235"/>
      <c r="W627" s="235"/>
      <c r="X627" s="235"/>
      <c r="Y627" s="235"/>
      <c r="Z627" s="235"/>
      <c r="AA627" s="235"/>
      <c r="AB627" s="235"/>
      <c r="AC627" s="235"/>
      <c r="AD627" s="235"/>
      <c r="AE627" s="235"/>
      <c r="AF627" s="235"/>
      <c r="AG627" s="235"/>
      <c r="AH627" s="235"/>
      <c r="AI627" s="235"/>
      <c r="AJ627" s="235"/>
      <c r="AK627" s="235"/>
      <c r="AL627" s="235"/>
      <c r="AM627" s="235"/>
      <c r="AN627" s="235"/>
      <c r="AO627" s="235"/>
      <c r="AP627" s="235"/>
      <c r="AQ627" s="235"/>
      <c r="AR627" s="235"/>
      <c r="AS627" s="235"/>
      <c r="AT627" s="235"/>
      <c r="AU627" s="235"/>
      <c r="AV627" s="235"/>
      <c r="AW627" s="235"/>
      <c r="AX627" s="235"/>
      <c r="AY627" s="235"/>
      <c r="AZ627" s="235"/>
      <c r="BA627" s="235"/>
      <c r="BB627" s="235"/>
      <c r="BC627" s="235"/>
      <c r="BD627" s="235"/>
      <c r="BE627" s="235"/>
      <c r="BF627" s="235"/>
      <c r="BG627" s="235"/>
      <c r="BH627" s="235"/>
      <c r="BI627" s="235"/>
      <c r="BJ627" s="235"/>
      <c r="BK627" s="235"/>
      <c r="BL627" s="235"/>
      <c r="BM627" s="235"/>
      <c r="BN627" s="235"/>
      <c r="BO627" s="235"/>
    </row>
    <row r="628" ht="29.25" hidden="1" customHeight="1">
      <c r="A628" s="230"/>
      <c r="B628" s="231"/>
      <c r="C628" s="179"/>
      <c r="D628" s="179"/>
      <c r="E628" s="180"/>
      <c r="F628" s="162"/>
      <c r="G628" s="232"/>
      <c r="H628" s="22"/>
      <c r="I628" s="181"/>
      <c r="J628" s="182"/>
      <c r="K628" s="182"/>
      <c r="L628" s="182"/>
      <c r="M628" s="234"/>
      <c r="N628" s="28"/>
      <c r="O628" s="181"/>
      <c r="P628" s="183"/>
      <c r="Q628" s="104"/>
      <c r="R628" s="233"/>
      <c r="S628" s="164"/>
      <c r="T628" s="164"/>
      <c r="U628" s="162"/>
      <c r="V628" s="235"/>
      <c r="W628" s="235"/>
      <c r="X628" s="235"/>
      <c r="Y628" s="235"/>
      <c r="Z628" s="235"/>
      <c r="AA628" s="235"/>
      <c r="AB628" s="235"/>
      <c r="AC628" s="235"/>
      <c r="AD628" s="235"/>
      <c r="AE628" s="235"/>
      <c r="AF628" s="235"/>
      <c r="AG628" s="235"/>
      <c r="AH628" s="235"/>
      <c r="AI628" s="235"/>
      <c r="AJ628" s="235"/>
      <c r="AK628" s="235"/>
      <c r="AL628" s="235"/>
      <c r="AM628" s="235"/>
      <c r="AN628" s="235"/>
      <c r="AO628" s="235"/>
      <c r="AP628" s="235"/>
      <c r="AQ628" s="235"/>
      <c r="AR628" s="235"/>
      <c r="AS628" s="235"/>
      <c r="AT628" s="235"/>
      <c r="AU628" s="235"/>
      <c r="AV628" s="235"/>
      <c r="AW628" s="235"/>
      <c r="AX628" s="235"/>
      <c r="AY628" s="235"/>
      <c r="AZ628" s="235"/>
      <c r="BA628" s="235"/>
      <c r="BB628" s="235"/>
      <c r="BC628" s="235"/>
      <c r="BD628" s="235"/>
      <c r="BE628" s="235"/>
      <c r="BF628" s="235"/>
      <c r="BG628" s="235"/>
      <c r="BH628" s="235"/>
      <c r="BI628" s="235"/>
      <c r="BJ628" s="235"/>
      <c r="BK628" s="235"/>
      <c r="BL628" s="235"/>
      <c r="BM628" s="235"/>
      <c r="BN628" s="235"/>
      <c r="BO628" s="235"/>
    </row>
    <row r="629" ht="29.25" hidden="1" customHeight="1">
      <c r="A629" s="230"/>
      <c r="B629" s="231"/>
      <c r="C629" s="179"/>
      <c r="D629" s="179"/>
      <c r="E629" s="180"/>
      <c r="F629" s="162"/>
      <c r="G629" s="232"/>
      <c r="H629" s="22"/>
      <c r="I629" s="181"/>
      <c r="J629" s="182"/>
      <c r="K629" s="182"/>
      <c r="L629" s="182"/>
      <c r="M629" s="234"/>
      <c r="N629" s="28"/>
      <c r="O629" s="181"/>
      <c r="P629" s="183"/>
      <c r="Q629" s="104"/>
      <c r="R629" s="233"/>
      <c r="S629" s="164"/>
      <c r="T629" s="164"/>
      <c r="U629" s="162"/>
      <c r="V629" s="235"/>
      <c r="W629" s="235"/>
      <c r="X629" s="235"/>
      <c r="Y629" s="235"/>
      <c r="Z629" s="235"/>
      <c r="AA629" s="235"/>
      <c r="AB629" s="235"/>
      <c r="AC629" s="235"/>
      <c r="AD629" s="235"/>
      <c r="AE629" s="235"/>
      <c r="AF629" s="235"/>
      <c r="AG629" s="235"/>
      <c r="AH629" s="235"/>
      <c r="AI629" s="235"/>
      <c r="AJ629" s="235"/>
      <c r="AK629" s="235"/>
      <c r="AL629" s="235"/>
      <c r="AM629" s="235"/>
      <c r="AN629" s="235"/>
      <c r="AO629" s="235"/>
      <c r="AP629" s="235"/>
      <c r="AQ629" s="235"/>
      <c r="AR629" s="235"/>
      <c r="AS629" s="235"/>
      <c r="AT629" s="235"/>
      <c r="AU629" s="235"/>
      <c r="AV629" s="235"/>
      <c r="AW629" s="235"/>
      <c r="AX629" s="235"/>
      <c r="AY629" s="235"/>
      <c r="AZ629" s="235"/>
      <c r="BA629" s="235"/>
      <c r="BB629" s="235"/>
      <c r="BC629" s="235"/>
      <c r="BD629" s="235"/>
      <c r="BE629" s="235"/>
      <c r="BF629" s="235"/>
      <c r="BG629" s="235"/>
      <c r="BH629" s="235"/>
      <c r="BI629" s="235"/>
      <c r="BJ629" s="235"/>
      <c r="BK629" s="235"/>
      <c r="BL629" s="235"/>
      <c r="BM629" s="235"/>
      <c r="BN629" s="235"/>
      <c r="BO629" s="235"/>
    </row>
    <row r="630" ht="29.25" hidden="1" customHeight="1">
      <c r="A630" s="230"/>
      <c r="B630" s="231"/>
      <c r="C630" s="179"/>
      <c r="D630" s="179"/>
      <c r="E630" s="180"/>
      <c r="F630" s="162"/>
      <c r="G630" s="232"/>
      <c r="H630" s="22"/>
      <c r="I630" s="181"/>
      <c r="J630" s="182"/>
      <c r="K630" s="182"/>
      <c r="L630" s="182"/>
      <c r="M630" s="234"/>
      <c r="N630" s="28"/>
      <c r="O630" s="181"/>
      <c r="P630" s="183"/>
      <c r="Q630" s="104"/>
      <c r="R630" s="233"/>
      <c r="S630" s="164"/>
      <c r="T630" s="164"/>
      <c r="U630" s="162"/>
      <c r="V630" s="235"/>
      <c r="W630" s="235"/>
      <c r="X630" s="235"/>
      <c r="Y630" s="235"/>
      <c r="Z630" s="235"/>
      <c r="AA630" s="235"/>
      <c r="AB630" s="235"/>
      <c r="AC630" s="235"/>
      <c r="AD630" s="235"/>
      <c r="AE630" s="235"/>
      <c r="AF630" s="235"/>
      <c r="AG630" s="235"/>
      <c r="AH630" s="235"/>
      <c r="AI630" s="235"/>
      <c r="AJ630" s="235"/>
      <c r="AK630" s="235"/>
      <c r="AL630" s="235"/>
      <c r="AM630" s="235"/>
      <c r="AN630" s="235"/>
      <c r="AO630" s="235"/>
      <c r="AP630" s="235"/>
      <c r="AQ630" s="235"/>
      <c r="AR630" s="235"/>
      <c r="AS630" s="235"/>
      <c r="AT630" s="235"/>
      <c r="AU630" s="235"/>
      <c r="AV630" s="235"/>
      <c r="AW630" s="235"/>
      <c r="AX630" s="235"/>
      <c r="AY630" s="235"/>
      <c r="AZ630" s="235"/>
      <c r="BA630" s="235"/>
      <c r="BB630" s="235"/>
      <c r="BC630" s="235"/>
      <c r="BD630" s="235"/>
      <c r="BE630" s="235"/>
      <c r="BF630" s="235"/>
      <c r="BG630" s="235"/>
      <c r="BH630" s="235"/>
      <c r="BI630" s="235"/>
      <c r="BJ630" s="235"/>
      <c r="BK630" s="235"/>
      <c r="BL630" s="235"/>
      <c r="BM630" s="235"/>
      <c r="BN630" s="235"/>
      <c r="BO630" s="235"/>
    </row>
    <row r="631" ht="29.25" hidden="1" customHeight="1">
      <c r="A631" s="230"/>
      <c r="B631" s="231"/>
      <c r="C631" s="179"/>
      <c r="D631" s="179"/>
      <c r="E631" s="180"/>
      <c r="F631" s="162"/>
      <c r="G631" s="232"/>
      <c r="H631" s="22"/>
      <c r="I631" s="181"/>
      <c r="J631" s="182"/>
      <c r="K631" s="182"/>
      <c r="L631" s="182"/>
      <c r="M631" s="234"/>
      <c r="N631" s="28"/>
      <c r="O631" s="181"/>
      <c r="P631" s="183"/>
      <c r="Q631" s="104"/>
      <c r="R631" s="233"/>
      <c r="S631" s="164"/>
      <c r="T631" s="164"/>
      <c r="U631" s="162"/>
      <c r="V631" s="235"/>
      <c r="W631" s="235"/>
      <c r="X631" s="235"/>
      <c r="Y631" s="235"/>
      <c r="Z631" s="235"/>
      <c r="AA631" s="235"/>
      <c r="AB631" s="235"/>
      <c r="AC631" s="235"/>
      <c r="AD631" s="235"/>
      <c r="AE631" s="235"/>
      <c r="AF631" s="235"/>
      <c r="AG631" s="235"/>
      <c r="AH631" s="235"/>
      <c r="AI631" s="235"/>
      <c r="AJ631" s="235"/>
      <c r="AK631" s="235"/>
      <c r="AL631" s="235"/>
      <c r="AM631" s="235"/>
      <c r="AN631" s="235"/>
      <c r="AO631" s="235"/>
      <c r="AP631" s="235"/>
      <c r="AQ631" s="235"/>
      <c r="AR631" s="235"/>
      <c r="AS631" s="235"/>
      <c r="AT631" s="235"/>
      <c r="AU631" s="235"/>
      <c r="AV631" s="235"/>
      <c r="AW631" s="235"/>
      <c r="AX631" s="235"/>
      <c r="AY631" s="235"/>
      <c r="AZ631" s="235"/>
      <c r="BA631" s="235"/>
      <c r="BB631" s="235"/>
      <c r="BC631" s="235"/>
      <c r="BD631" s="235"/>
      <c r="BE631" s="235"/>
      <c r="BF631" s="235"/>
      <c r="BG631" s="235"/>
      <c r="BH631" s="235"/>
      <c r="BI631" s="235"/>
      <c r="BJ631" s="235"/>
      <c r="BK631" s="235"/>
      <c r="BL631" s="235"/>
      <c r="BM631" s="235"/>
      <c r="BN631" s="235"/>
      <c r="BO631" s="235"/>
    </row>
    <row r="632" ht="29.25" hidden="1" customHeight="1">
      <c r="A632" s="230"/>
      <c r="B632" s="231"/>
      <c r="C632" s="179"/>
      <c r="D632" s="179"/>
      <c r="E632" s="180"/>
      <c r="F632" s="162"/>
      <c r="G632" s="232"/>
      <c r="H632" s="22"/>
      <c r="I632" s="181"/>
      <c r="J632" s="182"/>
      <c r="K632" s="182"/>
      <c r="L632" s="182"/>
      <c r="M632" s="234"/>
      <c r="N632" s="28"/>
      <c r="O632" s="181"/>
      <c r="P632" s="183"/>
      <c r="Q632" s="104"/>
      <c r="R632" s="233"/>
      <c r="S632" s="164"/>
      <c r="T632" s="164"/>
      <c r="U632" s="162"/>
      <c r="V632" s="235"/>
      <c r="W632" s="235"/>
      <c r="X632" s="235"/>
      <c r="Y632" s="235"/>
      <c r="Z632" s="235"/>
      <c r="AA632" s="235"/>
      <c r="AB632" s="235"/>
      <c r="AC632" s="235"/>
      <c r="AD632" s="235"/>
      <c r="AE632" s="235"/>
      <c r="AF632" s="235"/>
      <c r="AG632" s="235"/>
      <c r="AH632" s="235"/>
      <c r="AI632" s="235"/>
      <c r="AJ632" s="235"/>
      <c r="AK632" s="235"/>
      <c r="AL632" s="235"/>
      <c r="AM632" s="235"/>
      <c r="AN632" s="235"/>
      <c r="AO632" s="235"/>
      <c r="AP632" s="235"/>
      <c r="AQ632" s="235"/>
      <c r="AR632" s="235"/>
      <c r="AS632" s="235"/>
      <c r="AT632" s="235"/>
      <c r="AU632" s="235"/>
      <c r="AV632" s="235"/>
      <c r="AW632" s="235"/>
      <c r="AX632" s="235"/>
      <c r="AY632" s="235"/>
      <c r="AZ632" s="235"/>
      <c r="BA632" s="235"/>
      <c r="BB632" s="235"/>
      <c r="BC632" s="235"/>
      <c r="BD632" s="235"/>
      <c r="BE632" s="235"/>
      <c r="BF632" s="235"/>
      <c r="BG632" s="235"/>
      <c r="BH632" s="235"/>
      <c r="BI632" s="235"/>
      <c r="BJ632" s="235"/>
      <c r="BK632" s="235"/>
      <c r="BL632" s="235"/>
      <c r="BM632" s="235"/>
      <c r="BN632" s="235"/>
      <c r="BO632" s="235"/>
    </row>
    <row r="633" ht="29.25" hidden="1" customHeight="1">
      <c r="A633" s="230"/>
      <c r="B633" s="231"/>
      <c r="C633" s="179"/>
      <c r="D633" s="179"/>
      <c r="E633" s="180"/>
      <c r="F633" s="162"/>
      <c r="G633" s="232"/>
      <c r="H633" s="22"/>
      <c r="I633" s="181"/>
      <c r="J633" s="182"/>
      <c r="K633" s="182"/>
      <c r="L633" s="182"/>
      <c r="M633" s="234"/>
      <c r="N633" s="28"/>
      <c r="O633" s="181"/>
      <c r="P633" s="183"/>
      <c r="Q633" s="104"/>
      <c r="R633" s="233"/>
      <c r="S633" s="164"/>
      <c r="T633" s="164"/>
      <c r="U633" s="162"/>
      <c r="V633" s="235"/>
      <c r="W633" s="235"/>
      <c r="X633" s="235"/>
      <c r="Y633" s="235"/>
      <c r="Z633" s="235"/>
      <c r="AA633" s="235"/>
      <c r="AB633" s="235"/>
      <c r="AC633" s="235"/>
      <c r="AD633" s="235"/>
      <c r="AE633" s="235"/>
      <c r="AF633" s="235"/>
      <c r="AG633" s="235"/>
      <c r="AH633" s="235"/>
      <c r="AI633" s="235"/>
      <c r="AJ633" s="235"/>
      <c r="AK633" s="235"/>
      <c r="AL633" s="235"/>
      <c r="AM633" s="235"/>
      <c r="AN633" s="235"/>
      <c r="AO633" s="235"/>
      <c r="AP633" s="235"/>
      <c r="AQ633" s="235"/>
      <c r="AR633" s="235"/>
      <c r="AS633" s="235"/>
      <c r="AT633" s="235"/>
      <c r="AU633" s="235"/>
      <c r="AV633" s="235"/>
      <c r="AW633" s="235"/>
      <c r="AX633" s="235"/>
      <c r="AY633" s="235"/>
      <c r="AZ633" s="235"/>
      <c r="BA633" s="235"/>
      <c r="BB633" s="235"/>
      <c r="BC633" s="235"/>
      <c r="BD633" s="235"/>
      <c r="BE633" s="235"/>
      <c r="BF633" s="235"/>
      <c r="BG633" s="235"/>
      <c r="BH633" s="235"/>
      <c r="BI633" s="235"/>
      <c r="BJ633" s="235"/>
      <c r="BK633" s="235"/>
      <c r="BL633" s="235"/>
      <c r="BM633" s="235"/>
      <c r="BN633" s="235"/>
      <c r="BO633" s="235"/>
    </row>
    <row r="634" ht="29.25" hidden="1" customHeight="1">
      <c r="A634" s="230"/>
      <c r="B634" s="231"/>
      <c r="C634" s="179"/>
      <c r="D634" s="179"/>
      <c r="E634" s="180"/>
      <c r="F634" s="162"/>
      <c r="G634" s="232"/>
      <c r="H634" s="22"/>
      <c r="I634" s="181"/>
      <c r="J634" s="182"/>
      <c r="K634" s="182"/>
      <c r="L634" s="182"/>
      <c r="M634" s="234"/>
      <c r="N634" s="28"/>
      <c r="O634" s="181"/>
      <c r="P634" s="183"/>
      <c r="Q634" s="104"/>
      <c r="R634" s="233"/>
      <c r="S634" s="164"/>
      <c r="T634" s="164"/>
      <c r="U634" s="162"/>
      <c r="V634" s="235"/>
      <c r="W634" s="235"/>
      <c r="X634" s="235"/>
      <c r="Y634" s="235"/>
      <c r="Z634" s="235"/>
      <c r="AA634" s="235"/>
      <c r="AB634" s="235"/>
      <c r="AC634" s="235"/>
      <c r="AD634" s="235"/>
      <c r="AE634" s="235"/>
      <c r="AF634" s="235"/>
      <c r="AG634" s="235"/>
      <c r="AH634" s="235"/>
      <c r="AI634" s="235"/>
      <c r="AJ634" s="235"/>
      <c r="AK634" s="235"/>
      <c r="AL634" s="235"/>
      <c r="AM634" s="235"/>
      <c r="AN634" s="235"/>
      <c r="AO634" s="235"/>
      <c r="AP634" s="235"/>
      <c r="AQ634" s="235"/>
      <c r="AR634" s="235"/>
      <c r="AS634" s="235"/>
      <c r="AT634" s="235"/>
      <c r="AU634" s="235"/>
      <c r="AV634" s="235"/>
      <c r="AW634" s="235"/>
      <c r="AX634" s="235"/>
      <c r="AY634" s="235"/>
      <c r="AZ634" s="235"/>
      <c r="BA634" s="235"/>
      <c r="BB634" s="235"/>
      <c r="BC634" s="235"/>
      <c r="BD634" s="235"/>
      <c r="BE634" s="235"/>
      <c r="BF634" s="235"/>
      <c r="BG634" s="235"/>
      <c r="BH634" s="235"/>
      <c r="BI634" s="235"/>
      <c r="BJ634" s="235"/>
      <c r="BK634" s="235"/>
      <c r="BL634" s="235"/>
      <c r="BM634" s="235"/>
      <c r="BN634" s="235"/>
      <c r="BO634" s="235"/>
    </row>
    <row r="635" ht="29.25" hidden="1" customHeight="1">
      <c r="A635" s="230"/>
      <c r="B635" s="231"/>
      <c r="C635" s="179"/>
      <c r="D635" s="179"/>
      <c r="E635" s="180"/>
      <c r="F635" s="162"/>
      <c r="G635" s="232"/>
      <c r="H635" s="22"/>
      <c r="I635" s="181"/>
      <c r="J635" s="182"/>
      <c r="K635" s="182"/>
      <c r="L635" s="182"/>
      <c r="M635" s="234"/>
      <c r="N635" s="28"/>
      <c r="O635" s="181"/>
      <c r="P635" s="183"/>
      <c r="Q635" s="104"/>
      <c r="R635" s="233"/>
      <c r="S635" s="164"/>
      <c r="T635" s="164"/>
      <c r="U635" s="162"/>
      <c r="V635" s="235"/>
      <c r="W635" s="235"/>
      <c r="X635" s="235"/>
      <c r="Y635" s="235"/>
      <c r="Z635" s="235"/>
      <c r="AA635" s="235"/>
      <c r="AB635" s="235"/>
      <c r="AC635" s="235"/>
      <c r="AD635" s="235"/>
      <c r="AE635" s="235"/>
      <c r="AF635" s="235"/>
      <c r="AG635" s="235"/>
      <c r="AH635" s="235"/>
      <c r="AI635" s="235"/>
      <c r="AJ635" s="235"/>
      <c r="AK635" s="235"/>
      <c r="AL635" s="235"/>
      <c r="AM635" s="235"/>
      <c r="AN635" s="235"/>
      <c r="AO635" s="235"/>
      <c r="AP635" s="235"/>
      <c r="AQ635" s="235"/>
      <c r="AR635" s="235"/>
      <c r="AS635" s="235"/>
      <c r="AT635" s="235"/>
      <c r="AU635" s="235"/>
      <c r="AV635" s="235"/>
      <c r="AW635" s="235"/>
      <c r="AX635" s="235"/>
      <c r="AY635" s="235"/>
      <c r="AZ635" s="235"/>
      <c r="BA635" s="235"/>
      <c r="BB635" s="235"/>
      <c r="BC635" s="235"/>
      <c r="BD635" s="235"/>
      <c r="BE635" s="235"/>
      <c r="BF635" s="235"/>
      <c r="BG635" s="235"/>
      <c r="BH635" s="235"/>
      <c r="BI635" s="235"/>
      <c r="BJ635" s="235"/>
      <c r="BK635" s="235"/>
      <c r="BL635" s="235"/>
      <c r="BM635" s="235"/>
      <c r="BN635" s="235"/>
      <c r="BO635" s="235"/>
    </row>
    <row r="636" ht="29.25" hidden="1" customHeight="1">
      <c r="A636" s="230"/>
      <c r="B636" s="231"/>
      <c r="C636" s="179"/>
      <c r="D636" s="179"/>
      <c r="E636" s="180"/>
      <c r="F636" s="162"/>
      <c r="G636" s="232"/>
      <c r="H636" s="22"/>
      <c r="I636" s="181"/>
      <c r="J636" s="182"/>
      <c r="K636" s="182"/>
      <c r="L636" s="182"/>
      <c r="M636" s="234"/>
      <c r="N636" s="28"/>
      <c r="O636" s="181"/>
      <c r="P636" s="183"/>
      <c r="Q636" s="104"/>
      <c r="R636" s="233"/>
      <c r="S636" s="164"/>
      <c r="T636" s="164"/>
      <c r="U636" s="162"/>
      <c r="V636" s="235"/>
      <c r="W636" s="235"/>
      <c r="X636" s="235"/>
      <c r="Y636" s="235"/>
      <c r="Z636" s="235"/>
      <c r="AA636" s="235"/>
      <c r="AB636" s="235"/>
      <c r="AC636" s="235"/>
      <c r="AD636" s="235"/>
      <c r="AE636" s="235"/>
      <c r="AF636" s="235"/>
      <c r="AG636" s="235"/>
      <c r="AH636" s="235"/>
      <c r="AI636" s="235"/>
      <c r="AJ636" s="235"/>
      <c r="AK636" s="235"/>
      <c r="AL636" s="235"/>
      <c r="AM636" s="235"/>
      <c r="AN636" s="235"/>
      <c r="AO636" s="235"/>
      <c r="AP636" s="235"/>
      <c r="AQ636" s="235"/>
      <c r="AR636" s="235"/>
      <c r="AS636" s="235"/>
      <c r="AT636" s="235"/>
      <c r="AU636" s="235"/>
      <c r="AV636" s="235"/>
      <c r="AW636" s="235"/>
      <c r="AX636" s="235"/>
      <c r="AY636" s="235"/>
      <c r="AZ636" s="235"/>
      <c r="BA636" s="235"/>
      <c r="BB636" s="235"/>
      <c r="BC636" s="235"/>
      <c r="BD636" s="235"/>
      <c r="BE636" s="235"/>
      <c r="BF636" s="235"/>
      <c r="BG636" s="235"/>
      <c r="BH636" s="235"/>
      <c r="BI636" s="235"/>
      <c r="BJ636" s="235"/>
      <c r="BK636" s="235"/>
      <c r="BL636" s="235"/>
      <c r="BM636" s="235"/>
      <c r="BN636" s="235"/>
      <c r="BO636" s="235"/>
    </row>
    <row r="637" ht="29.25" hidden="1" customHeight="1">
      <c r="A637" s="230"/>
      <c r="B637" s="231"/>
      <c r="C637" s="179"/>
      <c r="D637" s="179"/>
      <c r="E637" s="180"/>
      <c r="F637" s="162"/>
      <c r="G637" s="232"/>
      <c r="H637" s="22"/>
      <c r="I637" s="181"/>
      <c r="J637" s="182"/>
      <c r="K637" s="182"/>
      <c r="L637" s="182"/>
      <c r="M637" s="234"/>
      <c r="N637" s="28"/>
      <c r="O637" s="181"/>
      <c r="P637" s="183"/>
      <c r="Q637" s="104"/>
      <c r="R637" s="233"/>
      <c r="S637" s="164"/>
      <c r="T637" s="164"/>
      <c r="U637" s="162"/>
      <c r="V637" s="235"/>
      <c r="W637" s="235"/>
      <c r="X637" s="235"/>
      <c r="Y637" s="235"/>
      <c r="Z637" s="235"/>
      <c r="AA637" s="235"/>
      <c r="AB637" s="235"/>
      <c r="AC637" s="235"/>
      <c r="AD637" s="235"/>
      <c r="AE637" s="235"/>
      <c r="AF637" s="235"/>
      <c r="AG637" s="235"/>
      <c r="AH637" s="235"/>
      <c r="AI637" s="235"/>
      <c r="AJ637" s="235"/>
      <c r="AK637" s="235"/>
      <c r="AL637" s="235"/>
      <c r="AM637" s="235"/>
      <c r="AN637" s="235"/>
      <c r="AO637" s="235"/>
      <c r="AP637" s="235"/>
      <c r="AQ637" s="235"/>
      <c r="AR637" s="235"/>
      <c r="AS637" s="235"/>
      <c r="AT637" s="235"/>
      <c r="AU637" s="235"/>
      <c r="AV637" s="235"/>
      <c r="AW637" s="235"/>
      <c r="AX637" s="235"/>
      <c r="AY637" s="235"/>
      <c r="AZ637" s="235"/>
      <c r="BA637" s="235"/>
      <c r="BB637" s="235"/>
      <c r="BC637" s="235"/>
      <c r="BD637" s="235"/>
      <c r="BE637" s="235"/>
      <c r="BF637" s="235"/>
      <c r="BG637" s="235"/>
      <c r="BH637" s="235"/>
      <c r="BI637" s="235"/>
      <c r="BJ637" s="235"/>
      <c r="BK637" s="235"/>
      <c r="BL637" s="235"/>
      <c r="BM637" s="235"/>
      <c r="BN637" s="235"/>
      <c r="BO637" s="235"/>
    </row>
    <row r="638" ht="29.25" hidden="1" customHeight="1">
      <c r="A638" s="230"/>
      <c r="B638" s="231"/>
      <c r="C638" s="179"/>
      <c r="D638" s="179"/>
      <c r="E638" s="180"/>
      <c r="F638" s="162"/>
      <c r="G638" s="232"/>
      <c r="H638" s="22"/>
      <c r="I638" s="181"/>
      <c r="J638" s="182"/>
      <c r="K638" s="182"/>
      <c r="L638" s="182"/>
      <c r="M638" s="234"/>
      <c r="N638" s="28"/>
      <c r="O638" s="181"/>
      <c r="P638" s="183"/>
      <c r="Q638" s="104"/>
      <c r="R638" s="233"/>
      <c r="S638" s="164"/>
      <c r="T638" s="164"/>
      <c r="U638" s="162"/>
      <c r="V638" s="235"/>
      <c r="W638" s="235"/>
      <c r="X638" s="235"/>
      <c r="Y638" s="235"/>
      <c r="Z638" s="235"/>
      <c r="AA638" s="235"/>
      <c r="AB638" s="235"/>
      <c r="AC638" s="235"/>
      <c r="AD638" s="235"/>
      <c r="AE638" s="235"/>
      <c r="AF638" s="235"/>
      <c r="AG638" s="235"/>
      <c r="AH638" s="235"/>
      <c r="AI638" s="235"/>
      <c r="AJ638" s="235"/>
      <c r="AK638" s="235"/>
      <c r="AL638" s="235"/>
      <c r="AM638" s="235"/>
      <c r="AN638" s="235"/>
      <c r="AO638" s="235"/>
      <c r="AP638" s="235"/>
      <c r="AQ638" s="235"/>
      <c r="AR638" s="235"/>
      <c r="AS638" s="235"/>
      <c r="AT638" s="235"/>
      <c r="AU638" s="235"/>
      <c r="AV638" s="235"/>
      <c r="AW638" s="235"/>
      <c r="AX638" s="235"/>
      <c r="AY638" s="235"/>
      <c r="AZ638" s="235"/>
      <c r="BA638" s="235"/>
      <c r="BB638" s="235"/>
      <c r="BC638" s="235"/>
      <c r="BD638" s="235"/>
      <c r="BE638" s="235"/>
      <c r="BF638" s="235"/>
      <c r="BG638" s="235"/>
      <c r="BH638" s="235"/>
      <c r="BI638" s="235"/>
      <c r="BJ638" s="235"/>
      <c r="BK638" s="235"/>
      <c r="BL638" s="235"/>
      <c r="BM638" s="235"/>
      <c r="BN638" s="235"/>
      <c r="BO638" s="235"/>
    </row>
    <row r="639" ht="29.25" hidden="1" customHeight="1">
      <c r="A639" s="230"/>
      <c r="B639" s="231"/>
      <c r="C639" s="179"/>
      <c r="D639" s="179"/>
      <c r="E639" s="180"/>
      <c r="F639" s="162"/>
      <c r="G639" s="232"/>
      <c r="H639" s="22"/>
      <c r="I639" s="181"/>
      <c r="J639" s="182"/>
      <c r="K639" s="182"/>
      <c r="L639" s="182"/>
      <c r="M639" s="234"/>
      <c r="N639" s="28"/>
      <c r="O639" s="181"/>
      <c r="P639" s="183"/>
      <c r="Q639" s="104"/>
      <c r="R639" s="233"/>
      <c r="S639" s="164"/>
      <c r="T639" s="164"/>
      <c r="U639" s="162"/>
      <c r="V639" s="235"/>
      <c r="W639" s="235"/>
      <c r="X639" s="235"/>
      <c r="Y639" s="235"/>
      <c r="Z639" s="235"/>
      <c r="AA639" s="235"/>
      <c r="AB639" s="235"/>
      <c r="AC639" s="235"/>
      <c r="AD639" s="235"/>
      <c r="AE639" s="235"/>
      <c r="AF639" s="235"/>
      <c r="AG639" s="235"/>
      <c r="AH639" s="235"/>
      <c r="AI639" s="235"/>
      <c r="AJ639" s="235"/>
      <c r="AK639" s="235"/>
      <c r="AL639" s="235"/>
      <c r="AM639" s="235"/>
      <c r="AN639" s="235"/>
      <c r="AO639" s="235"/>
      <c r="AP639" s="235"/>
      <c r="AQ639" s="235"/>
      <c r="AR639" s="235"/>
      <c r="AS639" s="235"/>
      <c r="AT639" s="235"/>
      <c r="AU639" s="235"/>
      <c r="AV639" s="235"/>
      <c r="AW639" s="235"/>
      <c r="AX639" s="235"/>
      <c r="AY639" s="235"/>
      <c r="AZ639" s="235"/>
      <c r="BA639" s="235"/>
      <c r="BB639" s="235"/>
      <c r="BC639" s="235"/>
      <c r="BD639" s="235"/>
      <c r="BE639" s="235"/>
      <c r="BF639" s="235"/>
      <c r="BG639" s="235"/>
      <c r="BH639" s="235"/>
      <c r="BI639" s="235"/>
      <c r="BJ639" s="235"/>
      <c r="BK639" s="235"/>
      <c r="BL639" s="235"/>
      <c r="BM639" s="235"/>
      <c r="BN639" s="235"/>
      <c r="BO639" s="235"/>
    </row>
    <row r="640" ht="29.25" hidden="1" customHeight="1">
      <c r="A640" s="230"/>
      <c r="B640" s="231"/>
      <c r="C640" s="179"/>
      <c r="D640" s="179"/>
      <c r="E640" s="180"/>
      <c r="F640" s="162"/>
      <c r="G640" s="232"/>
      <c r="H640" s="22"/>
      <c r="I640" s="181"/>
      <c r="J640" s="182"/>
      <c r="K640" s="182"/>
      <c r="L640" s="182"/>
      <c r="M640" s="234"/>
      <c r="N640" s="28"/>
      <c r="O640" s="181"/>
      <c r="P640" s="183"/>
      <c r="Q640" s="104"/>
      <c r="R640" s="233"/>
      <c r="S640" s="164"/>
      <c r="T640" s="164"/>
      <c r="U640" s="162"/>
      <c r="V640" s="235"/>
      <c r="W640" s="235"/>
      <c r="X640" s="235"/>
      <c r="Y640" s="235"/>
      <c r="Z640" s="235"/>
      <c r="AA640" s="235"/>
      <c r="AB640" s="235"/>
      <c r="AC640" s="235"/>
      <c r="AD640" s="235"/>
      <c r="AE640" s="235"/>
      <c r="AF640" s="235"/>
      <c r="AG640" s="235"/>
      <c r="AH640" s="235"/>
      <c r="AI640" s="235"/>
      <c r="AJ640" s="235"/>
      <c r="AK640" s="235"/>
      <c r="AL640" s="235"/>
      <c r="AM640" s="235"/>
      <c r="AN640" s="235"/>
      <c r="AO640" s="235"/>
      <c r="AP640" s="235"/>
      <c r="AQ640" s="235"/>
      <c r="AR640" s="235"/>
      <c r="AS640" s="235"/>
      <c r="AT640" s="235"/>
      <c r="AU640" s="235"/>
      <c r="AV640" s="235"/>
      <c r="AW640" s="235"/>
      <c r="AX640" s="235"/>
      <c r="AY640" s="235"/>
      <c r="AZ640" s="235"/>
      <c r="BA640" s="235"/>
      <c r="BB640" s="235"/>
      <c r="BC640" s="235"/>
      <c r="BD640" s="235"/>
      <c r="BE640" s="235"/>
      <c r="BF640" s="235"/>
      <c r="BG640" s="235"/>
      <c r="BH640" s="235"/>
      <c r="BI640" s="235"/>
      <c r="BJ640" s="235"/>
      <c r="BK640" s="235"/>
      <c r="BL640" s="235"/>
      <c r="BM640" s="235"/>
      <c r="BN640" s="235"/>
      <c r="BO640" s="235"/>
    </row>
    <row r="641" ht="29.25" hidden="1" customHeight="1">
      <c r="A641" s="230"/>
      <c r="B641" s="231"/>
      <c r="C641" s="179"/>
      <c r="D641" s="179"/>
      <c r="E641" s="180"/>
      <c r="F641" s="162"/>
      <c r="G641" s="232"/>
      <c r="H641" s="22"/>
      <c r="I641" s="181"/>
      <c r="J641" s="182"/>
      <c r="K641" s="182"/>
      <c r="L641" s="182"/>
      <c r="M641" s="234"/>
      <c r="N641" s="28"/>
      <c r="O641" s="181"/>
      <c r="P641" s="183"/>
      <c r="Q641" s="104"/>
      <c r="R641" s="233"/>
      <c r="S641" s="164"/>
      <c r="T641" s="164"/>
      <c r="U641" s="162"/>
      <c r="V641" s="235"/>
      <c r="W641" s="235"/>
      <c r="X641" s="235"/>
      <c r="Y641" s="235"/>
      <c r="Z641" s="235"/>
      <c r="AA641" s="235"/>
      <c r="AB641" s="235"/>
      <c r="AC641" s="235"/>
      <c r="AD641" s="235"/>
      <c r="AE641" s="235"/>
      <c r="AF641" s="235"/>
      <c r="AG641" s="235"/>
      <c r="AH641" s="235"/>
      <c r="AI641" s="235"/>
      <c r="AJ641" s="235"/>
      <c r="AK641" s="235"/>
      <c r="AL641" s="235"/>
      <c r="AM641" s="235"/>
      <c r="AN641" s="235"/>
      <c r="AO641" s="235"/>
      <c r="AP641" s="235"/>
      <c r="AQ641" s="235"/>
      <c r="AR641" s="235"/>
      <c r="AS641" s="235"/>
      <c r="AT641" s="235"/>
      <c r="AU641" s="235"/>
      <c r="AV641" s="235"/>
      <c r="AW641" s="235"/>
      <c r="AX641" s="235"/>
      <c r="AY641" s="235"/>
      <c r="AZ641" s="235"/>
      <c r="BA641" s="235"/>
      <c r="BB641" s="235"/>
      <c r="BC641" s="235"/>
      <c r="BD641" s="235"/>
      <c r="BE641" s="235"/>
      <c r="BF641" s="235"/>
      <c r="BG641" s="235"/>
      <c r="BH641" s="235"/>
      <c r="BI641" s="235"/>
      <c r="BJ641" s="235"/>
      <c r="BK641" s="235"/>
      <c r="BL641" s="235"/>
      <c r="BM641" s="235"/>
      <c r="BN641" s="235"/>
      <c r="BO641" s="235"/>
    </row>
    <row r="642" ht="29.25" hidden="1" customHeight="1">
      <c r="A642" s="230"/>
      <c r="B642" s="231"/>
      <c r="C642" s="179"/>
      <c r="D642" s="179"/>
      <c r="E642" s="180"/>
      <c r="F642" s="162"/>
      <c r="G642" s="232"/>
      <c r="H642" s="22"/>
      <c r="I642" s="181"/>
      <c r="J642" s="182"/>
      <c r="K642" s="182"/>
      <c r="L642" s="182"/>
      <c r="M642" s="234"/>
      <c r="N642" s="28"/>
      <c r="O642" s="181"/>
      <c r="P642" s="183"/>
      <c r="Q642" s="104"/>
      <c r="R642" s="233"/>
      <c r="S642" s="164"/>
      <c r="T642" s="164"/>
      <c r="U642" s="162"/>
      <c r="V642" s="235"/>
      <c r="W642" s="235"/>
      <c r="X642" s="235"/>
      <c r="Y642" s="235"/>
      <c r="Z642" s="235"/>
      <c r="AA642" s="235"/>
      <c r="AB642" s="235"/>
      <c r="AC642" s="235"/>
      <c r="AD642" s="235"/>
      <c r="AE642" s="235"/>
      <c r="AF642" s="235"/>
      <c r="AG642" s="235"/>
      <c r="AH642" s="235"/>
      <c r="AI642" s="235"/>
      <c r="AJ642" s="235"/>
      <c r="AK642" s="235"/>
      <c r="AL642" s="235"/>
      <c r="AM642" s="235"/>
      <c r="AN642" s="235"/>
      <c r="AO642" s="235"/>
      <c r="AP642" s="235"/>
      <c r="AQ642" s="235"/>
      <c r="AR642" s="235"/>
      <c r="AS642" s="235"/>
      <c r="AT642" s="235"/>
      <c r="AU642" s="235"/>
      <c r="AV642" s="235"/>
      <c r="AW642" s="235"/>
      <c r="AX642" s="235"/>
      <c r="AY642" s="235"/>
      <c r="AZ642" s="235"/>
      <c r="BA642" s="235"/>
      <c r="BB642" s="235"/>
      <c r="BC642" s="235"/>
      <c r="BD642" s="235"/>
      <c r="BE642" s="235"/>
      <c r="BF642" s="235"/>
      <c r="BG642" s="235"/>
      <c r="BH642" s="235"/>
      <c r="BI642" s="235"/>
      <c r="BJ642" s="235"/>
      <c r="BK642" s="235"/>
      <c r="BL642" s="235"/>
      <c r="BM642" s="235"/>
      <c r="BN642" s="235"/>
      <c r="BO642" s="235"/>
    </row>
    <row r="643" ht="29.25" hidden="1" customHeight="1">
      <c r="A643" s="230"/>
      <c r="B643" s="231"/>
      <c r="C643" s="179"/>
      <c r="D643" s="179"/>
      <c r="E643" s="180"/>
      <c r="F643" s="162"/>
      <c r="G643" s="232"/>
      <c r="H643" s="22"/>
      <c r="I643" s="181"/>
      <c r="J643" s="182"/>
      <c r="K643" s="182"/>
      <c r="L643" s="182"/>
      <c r="M643" s="234"/>
      <c r="N643" s="28"/>
      <c r="O643" s="181"/>
      <c r="P643" s="183"/>
      <c r="Q643" s="104"/>
      <c r="R643" s="233"/>
      <c r="S643" s="164"/>
      <c r="T643" s="164"/>
      <c r="U643" s="162"/>
      <c r="V643" s="235"/>
      <c r="W643" s="235"/>
      <c r="X643" s="235"/>
      <c r="Y643" s="235"/>
      <c r="Z643" s="235"/>
      <c r="AA643" s="235"/>
      <c r="AB643" s="235"/>
      <c r="AC643" s="235"/>
      <c r="AD643" s="235"/>
      <c r="AE643" s="235"/>
      <c r="AF643" s="235"/>
      <c r="AG643" s="235"/>
      <c r="AH643" s="235"/>
      <c r="AI643" s="235"/>
      <c r="AJ643" s="235"/>
      <c r="AK643" s="235"/>
      <c r="AL643" s="235"/>
      <c r="AM643" s="235"/>
      <c r="AN643" s="235"/>
      <c r="AO643" s="235"/>
      <c r="AP643" s="235"/>
      <c r="AQ643" s="235"/>
      <c r="AR643" s="235"/>
      <c r="AS643" s="235"/>
      <c r="AT643" s="235"/>
      <c r="AU643" s="235"/>
      <c r="AV643" s="235"/>
      <c r="AW643" s="235"/>
      <c r="AX643" s="235"/>
      <c r="AY643" s="235"/>
      <c r="AZ643" s="235"/>
      <c r="BA643" s="235"/>
      <c r="BB643" s="235"/>
      <c r="BC643" s="235"/>
      <c r="BD643" s="235"/>
      <c r="BE643" s="235"/>
      <c r="BF643" s="235"/>
      <c r="BG643" s="235"/>
      <c r="BH643" s="235"/>
      <c r="BI643" s="235"/>
      <c r="BJ643" s="235"/>
      <c r="BK643" s="235"/>
      <c r="BL643" s="235"/>
      <c r="BM643" s="235"/>
      <c r="BN643" s="235"/>
      <c r="BO643" s="235"/>
    </row>
    <row r="644" ht="29.25" hidden="1" customHeight="1">
      <c r="A644" s="230"/>
      <c r="B644" s="231"/>
      <c r="C644" s="179"/>
      <c r="D644" s="179"/>
      <c r="E644" s="180"/>
      <c r="F644" s="162"/>
      <c r="G644" s="232"/>
      <c r="H644" s="22"/>
      <c r="I644" s="181"/>
      <c r="J644" s="182"/>
      <c r="K644" s="182"/>
      <c r="L644" s="182"/>
      <c r="M644" s="234"/>
      <c r="N644" s="28"/>
      <c r="O644" s="181"/>
      <c r="P644" s="183"/>
      <c r="Q644" s="104"/>
      <c r="R644" s="233"/>
      <c r="S644" s="164"/>
      <c r="T644" s="164"/>
      <c r="U644" s="162"/>
      <c r="V644" s="235"/>
      <c r="W644" s="235"/>
      <c r="X644" s="235"/>
      <c r="Y644" s="235"/>
      <c r="Z644" s="235"/>
      <c r="AA644" s="235"/>
      <c r="AB644" s="235"/>
      <c r="AC644" s="235"/>
      <c r="AD644" s="235"/>
      <c r="AE644" s="235"/>
      <c r="AF644" s="235"/>
      <c r="AG644" s="235"/>
      <c r="AH644" s="235"/>
      <c r="AI644" s="235"/>
      <c r="AJ644" s="235"/>
      <c r="AK644" s="235"/>
      <c r="AL644" s="235"/>
      <c r="AM644" s="235"/>
      <c r="AN644" s="235"/>
      <c r="AO644" s="235"/>
      <c r="AP644" s="235"/>
      <c r="AQ644" s="235"/>
      <c r="AR644" s="235"/>
      <c r="AS644" s="235"/>
      <c r="AT644" s="235"/>
      <c r="AU644" s="235"/>
      <c r="AV644" s="235"/>
      <c r="AW644" s="235"/>
      <c r="AX644" s="235"/>
      <c r="AY644" s="235"/>
      <c r="AZ644" s="235"/>
      <c r="BA644" s="235"/>
      <c r="BB644" s="235"/>
      <c r="BC644" s="235"/>
      <c r="BD644" s="235"/>
      <c r="BE644" s="235"/>
      <c r="BF644" s="235"/>
      <c r="BG644" s="235"/>
      <c r="BH644" s="235"/>
      <c r="BI644" s="235"/>
      <c r="BJ644" s="235"/>
      <c r="BK644" s="235"/>
      <c r="BL644" s="235"/>
      <c r="BM644" s="235"/>
      <c r="BN644" s="235"/>
      <c r="BO644" s="235"/>
    </row>
    <row r="645" ht="29.25" hidden="1" customHeight="1">
      <c r="A645" s="230"/>
      <c r="B645" s="231"/>
      <c r="C645" s="179"/>
      <c r="D645" s="179"/>
      <c r="E645" s="180"/>
      <c r="F645" s="162"/>
      <c r="G645" s="232"/>
      <c r="H645" s="22"/>
      <c r="I645" s="181"/>
      <c r="J645" s="182"/>
      <c r="K645" s="182"/>
      <c r="L645" s="182"/>
      <c r="M645" s="234"/>
      <c r="N645" s="28"/>
      <c r="O645" s="181"/>
      <c r="P645" s="183"/>
      <c r="Q645" s="104"/>
      <c r="R645" s="233"/>
      <c r="S645" s="164"/>
      <c r="T645" s="164"/>
      <c r="U645" s="162"/>
      <c r="V645" s="235"/>
      <c r="W645" s="235"/>
      <c r="X645" s="235"/>
      <c r="Y645" s="235"/>
      <c r="Z645" s="235"/>
      <c r="AA645" s="235"/>
      <c r="AB645" s="235"/>
      <c r="AC645" s="235"/>
      <c r="AD645" s="235"/>
      <c r="AE645" s="235"/>
      <c r="AF645" s="235"/>
      <c r="AG645" s="235"/>
      <c r="AH645" s="235"/>
      <c r="AI645" s="235"/>
      <c r="AJ645" s="235"/>
      <c r="AK645" s="235"/>
      <c r="AL645" s="235"/>
      <c r="AM645" s="235"/>
      <c r="AN645" s="235"/>
      <c r="AO645" s="235"/>
      <c r="AP645" s="235"/>
      <c r="AQ645" s="235"/>
      <c r="AR645" s="235"/>
      <c r="AS645" s="235"/>
      <c r="AT645" s="235"/>
      <c r="AU645" s="235"/>
      <c r="AV645" s="235"/>
      <c r="AW645" s="235"/>
      <c r="AX645" s="235"/>
      <c r="AY645" s="235"/>
      <c r="AZ645" s="235"/>
      <c r="BA645" s="235"/>
      <c r="BB645" s="235"/>
      <c r="BC645" s="235"/>
      <c r="BD645" s="235"/>
      <c r="BE645" s="235"/>
      <c r="BF645" s="235"/>
      <c r="BG645" s="235"/>
      <c r="BH645" s="235"/>
      <c r="BI645" s="235"/>
      <c r="BJ645" s="235"/>
      <c r="BK645" s="235"/>
      <c r="BL645" s="235"/>
      <c r="BM645" s="235"/>
      <c r="BN645" s="235"/>
      <c r="BO645" s="235"/>
    </row>
    <row r="646" ht="29.25" hidden="1" customHeight="1">
      <c r="A646" s="230"/>
      <c r="B646" s="231"/>
      <c r="C646" s="179"/>
      <c r="D646" s="179"/>
      <c r="E646" s="180"/>
      <c r="F646" s="162"/>
      <c r="G646" s="232"/>
      <c r="H646" s="22"/>
      <c r="I646" s="181"/>
      <c r="J646" s="182"/>
      <c r="K646" s="182"/>
      <c r="L646" s="182"/>
      <c r="M646" s="234"/>
      <c r="N646" s="28"/>
      <c r="O646" s="181"/>
      <c r="P646" s="183"/>
      <c r="Q646" s="104"/>
      <c r="R646" s="233"/>
      <c r="S646" s="164"/>
      <c r="T646" s="164"/>
      <c r="U646" s="162"/>
      <c r="V646" s="235"/>
      <c r="W646" s="235"/>
      <c r="X646" s="235"/>
      <c r="Y646" s="235"/>
      <c r="Z646" s="235"/>
      <c r="AA646" s="235"/>
      <c r="AB646" s="235"/>
      <c r="AC646" s="235"/>
      <c r="AD646" s="235"/>
      <c r="AE646" s="235"/>
      <c r="AF646" s="235"/>
      <c r="AG646" s="235"/>
      <c r="AH646" s="235"/>
      <c r="AI646" s="235"/>
      <c r="AJ646" s="235"/>
      <c r="AK646" s="235"/>
      <c r="AL646" s="235"/>
      <c r="AM646" s="235"/>
      <c r="AN646" s="235"/>
      <c r="AO646" s="235"/>
      <c r="AP646" s="235"/>
      <c r="AQ646" s="235"/>
      <c r="AR646" s="235"/>
      <c r="AS646" s="235"/>
      <c r="AT646" s="235"/>
      <c r="AU646" s="235"/>
      <c r="AV646" s="235"/>
      <c r="AW646" s="235"/>
      <c r="AX646" s="235"/>
      <c r="AY646" s="235"/>
      <c r="AZ646" s="235"/>
      <c r="BA646" s="235"/>
      <c r="BB646" s="235"/>
      <c r="BC646" s="235"/>
      <c r="BD646" s="235"/>
      <c r="BE646" s="235"/>
      <c r="BF646" s="235"/>
      <c r="BG646" s="235"/>
      <c r="BH646" s="235"/>
      <c r="BI646" s="235"/>
      <c r="BJ646" s="235"/>
      <c r="BK646" s="235"/>
      <c r="BL646" s="235"/>
      <c r="BM646" s="235"/>
      <c r="BN646" s="235"/>
      <c r="BO646" s="235"/>
    </row>
    <row r="647" ht="29.25" hidden="1" customHeight="1">
      <c r="A647" s="230"/>
      <c r="B647" s="231"/>
      <c r="C647" s="179"/>
      <c r="D647" s="179"/>
      <c r="E647" s="180"/>
      <c r="F647" s="162"/>
      <c r="G647" s="232"/>
      <c r="H647" s="22"/>
      <c r="I647" s="181"/>
      <c r="J647" s="182"/>
      <c r="K647" s="182"/>
      <c r="L647" s="182"/>
      <c r="M647" s="234"/>
      <c r="N647" s="28"/>
      <c r="O647" s="181"/>
      <c r="P647" s="183"/>
      <c r="Q647" s="104"/>
      <c r="R647" s="233"/>
      <c r="S647" s="164"/>
      <c r="T647" s="164"/>
      <c r="U647" s="162"/>
      <c r="V647" s="235"/>
      <c r="W647" s="235"/>
      <c r="X647" s="235"/>
      <c r="Y647" s="235"/>
      <c r="Z647" s="235"/>
      <c r="AA647" s="235"/>
      <c r="AB647" s="235"/>
      <c r="AC647" s="235"/>
      <c r="AD647" s="235"/>
      <c r="AE647" s="235"/>
      <c r="AF647" s="235"/>
      <c r="AG647" s="235"/>
      <c r="AH647" s="235"/>
      <c r="AI647" s="235"/>
      <c r="AJ647" s="235"/>
      <c r="AK647" s="235"/>
      <c r="AL647" s="235"/>
      <c r="AM647" s="235"/>
      <c r="AN647" s="235"/>
      <c r="AO647" s="235"/>
      <c r="AP647" s="235"/>
      <c r="AQ647" s="235"/>
      <c r="AR647" s="235"/>
      <c r="AS647" s="235"/>
      <c r="AT647" s="235"/>
      <c r="AU647" s="235"/>
      <c r="AV647" s="235"/>
      <c r="AW647" s="235"/>
      <c r="AX647" s="235"/>
      <c r="AY647" s="235"/>
      <c r="AZ647" s="235"/>
      <c r="BA647" s="235"/>
      <c r="BB647" s="235"/>
      <c r="BC647" s="235"/>
      <c r="BD647" s="235"/>
      <c r="BE647" s="235"/>
      <c r="BF647" s="235"/>
      <c r="BG647" s="235"/>
      <c r="BH647" s="235"/>
      <c r="BI647" s="235"/>
      <c r="BJ647" s="235"/>
      <c r="BK647" s="235"/>
      <c r="BL647" s="235"/>
      <c r="BM647" s="235"/>
      <c r="BN647" s="235"/>
      <c r="BO647" s="235"/>
    </row>
    <row r="648" ht="29.25" hidden="1" customHeight="1">
      <c r="A648" s="230"/>
      <c r="B648" s="231"/>
      <c r="C648" s="179"/>
      <c r="D648" s="179"/>
      <c r="E648" s="180"/>
      <c r="F648" s="162"/>
      <c r="G648" s="232"/>
      <c r="H648" s="22"/>
      <c r="I648" s="181"/>
      <c r="J648" s="182"/>
      <c r="K648" s="182"/>
      <c r="L648" s="182"/>
      <c r="M648" s="234"/>
      <c r="N648" s="28"/>
      <c r="O648" s="181"/>
      <c r="P648" s="183"/>
      <c r="Q648" s="104"/>
      <c r="R648" s="233"/>
      <c r="S648" s="164"/>
      <c r="T648" s="164"/>
      <c r="U648" s="162"/>
      <c r="V648" s="235"/>
      <c r="W648" s="235"/>
      <c r="X648" s="235"/>
      <c r="Y648" s="235"/>
      <c r="Z648" s="235"/>
      <c r="AA648" s="235"/>
      <c r="AB648" s="235"/>
      <c r="AC648" s="235"/>
      <c r="AD648" s="235"/>
      <c r="AE648" s="235"/>
      <c r="AF648" s="235"/>
      <c r="AG648" s="235"/>
      <c r="AH648" s="235"/>
      <c r="AI648" s="235"/>
      <c r="AJ648" s="235"/>
      <c r="AK648" s="235"/>
      <c r="AL648" s="235"/>
      <c r="AM648" s="235"/>
      <c r="AN648" s="235"/>
      <c r="AO648" s="235"/>
      <c r="AP648" s="235"/>
      <c r="AQ648" s="235"/>
      <c r="AR648" s="235"/>
      <c r="AS648" s="235"/>
      <c r="AT648" s="235"/>
      <c r="AU648" s="235"/>
      <c r="AV648" s="235"/>
      <c r="AW648" s="235"/>
      <c r="AX648" s="235"/>
      <c r="AY648" s="235"/>
      <c r="AZ648" s="235"/>
      <c r="BA648" s="235"/>
      <c r="BB648" s="235"/>
      <c r="BC648" s="235"/>
      <c r="BD648" s="235"/>
      <c r="BE648" s="235"/>
      <c r="BF648" s="235"/>
      <c r="BG648" s="235"/>
      <c r="BH648" s="235"/>
      <c r="BI648" s="235"/>
      <c r="BJ648" s="235"/>
      <c r="BK648" s="235"/>
      <c r="BL648" s="235"/>
      <c r="BM648" s="235"/>
      <c r="BN648" s="235"/>
      <c r="BO648" s="235"/>
    </row>
    <row r="649" ht="29.25" hidden="1" customHeight="1">
      <c r="A649" s="230"/>
      <c r="B649" s="231"/>
      <c r="C649" s="179"/>
      <c r="D649" s="179"/>
      <c r="E649" s="180"/>
      <c r="F649" s="162"/>
      <c r="G649" s="232"/>
      <c r="H649" s="22"/>
      <c r="I649" s="181"/>
      <c r="J649" s="182"/>
      <c r="K649" s="182"/>
      <c r="L649" s="182"/>
      <c r="M649" s="234"/>
      <c r="N649" s="28"/>
      <c r="O649" s="181"/>
      <c r="P649" s="183"/>
      <c r="Q649" s="104"/>
      <c r="R649" s="233"/>
      <c r="S649" s="164"/>
      <c r="T649" s="164"/>
      <c r="U649" s="162"/>
      <c r="V649" s="235"/>
      <c r="W649" s="235"/>
      <c r="X649" s="235"/>
      <c r="Y649" s="235"/>
      <c r="Z649" s="235"/>
      <c r="AA649" s="235"/>
      <c r="AB649" s="235"/>
      <c r="AC649" s="235"/>
      <c r="AD649" s="235"/>
      <c r="AE649" s="235"/>
      <c r="AF649" s="235"/>
      <c r="AG649" s="235"/>
      <c r="AH649" s="235"/>
      <c r="AI649" s="235"/>
      <c r="AJ649" s="235"/>
      <c r="AK649" s="235"/>
      <c r="AL649" s="235"/>
      <c r="AM649" s="235"/>
      <c r="AN649" s="235"/>
      <c r="AO649" s="235"/>
      <c r="AP649" s="235"/>
      <c r="AQ649" s="235"/>
      <c r="AR649" s="235"/>
      <c r="AS649" s="235"/>
      <c r="AT649" s="235"/>
      <c r="AU649" s="235"/>
      <c r="AV649" s="235"/>
      <c r="AW649" s="235"/>
      <c r="AX649" s="235"/>
      <c r="AY649" s="235"/>
      <c r="AZ649" s="235"/>
      <c r="BA649" s="235"/>
      <c r="BB649" s="235"/>
      <c r="BC649" s="235"/>
      <c r="BD649" s="235"/>
      <c r="BE649" s="235"/>
      <c r="BF649" s="235"/>
      <c r="BG649" s="235"/>
      <c r="BH649" s="235"/>
      <c r="BI649" s="235"/>
      <c r="BJ649" s="235"/>
      <c r="BK649" s="235"/>
      <c r="BL649" s="235"/>
      <c r="BM649" s="235"/>
      <c r="BN649" s="235"/>
      <c r="BO649" s="235"/>
    </row>
    <row r="650" ht="29.25" hidden="1" customHeight="1">
      <c r="A650" s="230"/>
      <c r="B650" s="231"/>
      <c r="C650" s="179"/>
      <c r="D650" s="179"/>
      <c r="E650" s="180"/>
      <c r="F650" s="162"/>
      <c r="G650" s="232"/>
      <c r="H650" s="22"/>
      <c r="I650" s="181"/>
      <c r="J650" s="182"/>
      <c r="K650" s="182"/>
      <c r="L650" s="182"/>
      <c r="M650" s="234"/>
      <c r="N650" s="28"/>
      <c r="O650" s="181"/>
      <c r="P650" s="183"/>
      <c r="Q650" s="104"/>
      <c r="R650" s="233"/>
      <c r="S650" s="164"/>
      <c r="T650" s="164"/>
      <c r="U650" s="162"/>
      <c r="V650" s="235"/>
      <c r="W650" s="235"/>
      <c r="X650" s="235"/>
      <c r="Y650" s="235"/>
      <c r="Z650" s="235"/>
      <c r="AA650" s="235"/>
      <c r="AB650" s="235"/>
      <c r="AC650" s="235"/>
      <c r="AD650" s="235"/>
      <c r="AE650" s="235"/>
      <c r="AF650" s="235"/>
      <c r="AG650" s="235"/>
      <c r="AH650" s="235"/>
      <c r="AI650" s="235"/>
      <c r="AJ650" s="235"/>
      <c r="AK650" s="235"/>
      <c r="AL650" s="235"/>
      <c r="AM650" s="235"/>
      <c r="AN650" s="235"/>
      <c r="AO650" s="235"/>
      <c r="AP650" s="235"/>
      <c r="AQ650" s="235"/>
      <c r="AR650" s="235"/>
      <c r="AS650" s="235"/>
      <c r="AT650" s="235"/>
      <c r="AU650" s="235"/>
      <c r="AV650" s="235"/>
      <c r="AW650" s="235"/>
      <c r="AX650" s="235"/>
      <c r="AY650" s="235"/>
      <c r="AZ650" s="235"/>
      <c r="BA650" s="235"/>
      <c r="BB650" s="235"/>
      <c r="BC650" s="235"/>
      <c r="BD650" s="235"/>
      <c r="BE650" s="235"/>
      <c r="BF650" s="235"/>
      <c r="BG650" s="235"/>
      <c r="BH650" s="235"/>
      <c r="BI650" s="235"/>
      <c r="BJ650" s="235"/>
      <c r="BK650" s="235"/>
      <c r="BL650" s="235"/>
      <c r="BM650" s="235"/>
      <c r="BN650" s="235"/>
      <c r="BO650" s="235"/>
    </row>
    <row r="651" ht="29.25" hidden="1" customHeight="1">
      <c r="A651" s="230"/>
      <c r="B651" s="231"/>
      <c r="C651" s="179"/>
      <c r="D651" s="179"/>
      <c r="E651" s="180"/>
      <c r="F651" s="162"/>
      <c r="G651" s="232"/>
      <c r="H651" s="22"/>
      <c r="I651" s="181"/>
      <c r="J651" s="182"/>
      <c r="K651" s="182"/>
      <c r="L651" s="182"/>
      <c r="M651" s="234"/>
      <c r="N651" s="28"/>
      <c r="O651" s="181"/>
      <c r="P651" s="183"/>
      <c r="Q651" s="104"/>
      <c r="R651" s="233"/>
      <c r="S651" s="164"/>
      <c r="T651" s="164"/>
      <c r="U651" s="162"/>
      <c r="V651" s="235"/>
      <c r="W651" s="235"/>
      <c r="X651" s="235"/>
      <c r="Y651" s="235"/>
      <c r="Z651" s="235"/>
      <c r="AA651" s="235"/>
      <c r="AB651" s="235"/>
      <c r="AC651" s="235"/>
      <c r="AD651" s="235"/>
      <c r="AE651" s="235"/>
      <c r="AF651" s="235"/>
      <c r="AG651" s="235"/>
      <c r="AH651" s="235"/>
      <c r="AI651" s="235"/>
      <c r="AJ651" s="235"/>
      <c r="AK651" s="235"/>
      <c r="AL651" s="235"/>
      <c r="AM651" s="235"/>
      <c r="AN651" s="235"/>
      <c r="AO651" s="235"/>
      <c r="AP651" s="235"/>
      <c r="AQ651" s="235"/>
      <c r="AR651" s="235"/>
      <c r="AS651" s="235"/>
      <c r="AT651" s="235"/>
      <c r="AU651" s="235"/>
      <c r="AV651" s="235"/>
      <c r="AW651" s="235"/>
      <c r="AX651" s="235"/>
      <c r="AY651" s="235"/>
      <c r="AZ651" s="235"/>
      <c r="BA651" s="235"/>
      <c r="BB651" s="235"/>
      <c r="BC651" s="235"/>
      <c r="BD651" s="235"/>
      <c r="BE651" s="235"/>
      <c r="BF651" s="235"/>
      <c r="BG651" s="235"/>
      <c r="BH651" s="235"/>
      <c r="BI651" s="235"/>
      <c r="BJ651" s="235"/>
      <c r="BK651" s="235"/>
      <c r="BL651" s="235"/>
      <c r="BM651" s="235"/>
      <c r="BN651" s="235"/>
      <c r="BO651" s="235"/>
    </row>
    <row r="652" ht="29.25" hidden="1" customHeight="1">
      <c r="A652" s="230"/>
      <c r="B652" s="231"/>
      <c r="C652" s="179"/>
      <c r="D652" s="179"/>
      <c r="E652" s="180"/>
      <c r="F652" s="162"/>
      <c r="G652" s="232"/>
      <c r="H652" s="22"/>
      <c r="I652" s="181"/>
      <c r="J652" s="182"/>
      <c r="K652" s="182"/>
      <c r="L652" s="182"/>
      <c r="M652" s="234"/>
      <c r="N652" s="28"/>
      <c r="O652" s="181"/>
      <c r="P652" s="183"/>
      <c r="Q652" s="104"/>
      <c r="R652" s="233"/>
      <c r="S652" s="164"/>
      <c r="T652" s="164"/>
      <c r="U652" s="162"/>
      <c r="V652" s="235"/>
      <c r="W652" s="235"/>
      <c r="X652" s="235"/>
      <c r="Y652" s="235"/>
      <c r="Z652" s="235"/>
      <c r="AA652" s="235"/>
      <c r="AB652" s="235"/>
      <c r="AC652" s="235"/>
      <c r="AD652" s="235"/>
      <c r="AE652" s="235"/>
      <c r="AF652" s="235"/>
      <c r="AG652" s="235"/>
      <c r="AH652" s="235"/>
      <c r="AI652" s="235"/>
      <c r="AJ652" s="235"/>
      <c r="AK652" s="235"/>
      <c r="AL652" s="235"/>
      <c r="AM652" s="235"/>
      <c r="AN652" s="235"/>
      <c r="AO652" s="235"/>
      <c r="AP652" s="235"/>
      <c r="AQ652" s="235"/>
      <c r="AR652" s="235"/>
      <c r="AS652" s="235"/>
      <c r="AT652" s="235"/>
      <c r="AU652" s="235"/>
      <c r="AV652" s="235"/>
      <c r="AW652" s="235"/>
      <c r="AX652" s="235"/>
      <c r="AY652" s="235"/>
      <c r="AZ652" s="235"/>
      <c r="BA652" s="235"/>
      <c r="BB652" s="235"/>
      <c r="BC652" s="235"/>
      <c r="BD652" s="235"/>
      <c r="BE652" s="235"/>
      <c r="BF652" s="235"/>
      <c r="BG652" s="235"/>
      <c r="BH652" s="235"/>
      <c r="BI652" s="235"/>
      <c r="BJ652" s="235"/>
      <c r="BK652" s="235"/>
      <c r="BL652" s="235"/>
      <c r="BM652" s="235"/>
      <c r="BN652" s="235"/>
      <c r="BO652" s="235"/>
    </row>
    <row r="653" ht="29.25" hidden="1" customHeight="1">
      <c r="A653" s="230"/>
      <c r="B653" s="231"/>
      <c r="C653" s="179"/>
      <c r="D653" s="179"/>
      <c r="E653" s="180"/>
      <c r="F653" s="162"/>
      <c r="G653" s="232"/>
      <c r="H653" s="22"/>
      <c r="I653" s="181"/>
      <c r="J653" s="182"/>
      <c r="K653" s="182"/>
      <c r="L653" s="182"/>
      <c r="M653" s="234"/>
      <c r="N653" s="28"/>
      <c r="O653" s="181"/>
      <c r="P653" s="183"/>
      <c r="Q653" s="104"/>
      <c r="R653" s="233"/>
      <c r="S653" s="164"/>
      <c r="T653" s="164"/>
      <c r="U653" s="162"/>
      <c r="V653" s="235"/>
      <c r="W653" s="235"/>
      <c r="X653" s="235"/>
      <c r="Y653" s="235"/>
      <c r="Z653" s="235"/>
      <c r="AA653" s="235"/>
      <c r="AB653" s="235"/>
      <c r="AC653" s="235"/>
      <c r="AD653" s="235"/>
      <c r="AE653" s="235"/>
      <c r="AF653" s="235"/>
      <c r="AG653" s="235"/>
      <c r="AH653" s="235"/>
      <c r="AI653" s="235"/>
      <c r="AJ653" s="235"/>
      <c r="AK653" s="235"/>
      <c r="AL653" s="235"/>
      <c r="AM653" s="235"/>
      <c r="AN653" s="235"/>
      <c r="AO653" s="235"/>
      <c r="AP653" s="235"/>
      <c r="AQ653" s="235"/>
      <c r="AR653" s="235"/>
      <c r="AS653" s="235"/>
      <c r="AT653" s="235"/>
      <c r="AU653" s="235"/>
      <c r="AV653" s="235"/>
      <c r="AW653" s="235"/>
      <c r="AX653" s="235"/>
      <c r="AY653" s="235"/>
      <c r="AZ653" s="235"/>
      <c r="BA653" s="235"/>
      <c r="BB653" s="235"/>
      <c r="BC653" s="235"/>
      <c r="BD653" s="235"/>
      <c r="BE653" s="235"/>
      <c r="BF653" s="235"/>
      <c r="BG653" s="235"/>
      <c r="BH653" s="235"/>
      <c r="BI653" s="235"/>
      <c r="BJ653" s="235"/>
      <c r="BK653" s="235"/>
      <c r="BL653" s="235"/>
      <c r="BM653" s="235"/>
      <c r="BN653" s="235"/>
      <c r="BO653" s="235"/>
    </row>
    <row r="654" ht="29.25" hidden="1" customHeight="1">
      <c r="A654" s="230"/>
      <c r="B654" s="231"/>
      <c r="C654" s="179"/>
      <c r="D654" s="179"/>
      <c r="E654" s="180"/>
      <c r="F654" s="162"/>
      <c r="G654" s="232"/>
      <c r="H654" s="22"/>
      <c r="I654" s="181"/>
      <c r="J654" s="182"/>
      <c r="K654" s="182"/>
      <c r="L654" s="182"/>
      <c r="M654" s="234"/>
      <c r="N654" s="28"/>
      <c r="O654" s="181"/>
      <c r="P654" s="183"/>
      <c r="Q654" s="104"/>
      <c r="R654" s="233"/>
      <c r="S654" s="164"/>
      <c r="T654" s="164"/>
      <c r="U654" s="162"/>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235"/>
      <c r="AQ654" s="235"/>
      <c r="AR654" s="235"/>
      <c r="AS654" s="235"/>
      <c r="AT654" s="235"/>
      <c r="AU654" s="235"/>
      <c r="AV654" s="235"/>
      <c r="AW654" s="235"/>
      <c r="AX654" s="235"/>
      <c r="AY654" s="235"/>
      <c r="AZ654" s="235"/>
      <c r="BA654" s="235"/>
      <c r="BB654" s="235"/>
      <c r="BC654" s="235"/>
      <c r="BD654" s="235"/>
      <c r="BE654" s="235"/>
      <c r="BF654" s="235"/>
      <c r="BG654" s="235"/>
      <c r="BH654" s="235"/>
      <c r="BI654" s="235"/>
      <c r="BJ654" s="235"/>
      <c r="BK654" s="235"/>
      <c r="BL654" s="235"/>
      <c r="BM654" s="235"/>
      <c r="BN654" s="235"/>
      <c r="BO654" s="235"/>
    </row>
    <row r="655" ht="29.25" hidden="1" customHeight="1">
      <c r="A655" s="230"/>
      <c r="B655" s="231"/>
      <c r="C655" s="179"/>
      <c r="D655" s="179"/>
      <c r="E655" s="180"/>
      <c r="F655" s="162"/>
      <c r="G655" s="232"/>
      <c r="H655" s="22"/>
      <c r="I655" s="181"/>
      <c r="J655" s="182"/>
      <c r="K655" s="182"/>
      <c r="L655" s="182"/>
      <c r="M655" s="234"/>
      <c r="N655" s="28"/>
      <c r="O655" s="181"/>
      <c r="P655" s="183"/>
      <c r="Q655" s="104"/>
      <c r="R655" s="233"/>
      <c r="S655" s="164"/>
      <c r="T655" s="164"/>
      <c r="U655" s="162"/>
      <c r="V655" s="235"/>
      <c r="W655" s="235"/>
      <c r="X655" s="235"/>
      <c r="Y655" s="235"/>
      <c r="Z655" s="235"/>
      <c r="AA655" s="235"/>
      <c r="AB655" s="235"/>
      <c r="AC655" s="235"/>
      <c r="AD655" s="235"/>
      <c r="AE655" s="235"/>
      <c r="AF655" s="235"/>
      <c r="AG655" s="235"/>
      <c r="AH655" s="235"/>
      <c r="AI655" s="235"/>
      <c r="AJ655" s="235"/>
      <c r="AK655" s="235"/>
      <c r="AL655" s="235"/>
      <c r="AM655" s="235"/>
      <c r="AN655" s="235"/>
      <c r="AO655" s="235"/>
      <c r="AP655" s="235"/>
      <c r="AQ655" s="235"/>
      <c r="AR655" s="235"/>
      <c r="AS655" s="235"/>
      <c r="AT655" s="235"/>
      <c r="AU655" s="235"/>
      <c r="AV655" s="235"/>
      <c r="AW655" s="235"/>
      <c r="AX655" s="235"/>
      <c r="AY655" s="235"/>
      <c r="AZ655" s="235"/>
      <c r="BA655" s="235"/>
      <c r="BB655" s="235"/>
      <c r="BC655" s="235"/>
      <c r="BD655" s="235"/>
      <c r="BE655" s="235"/>
      <c r="BF655" s="235"/>
      <c r="BG655" s="235"/>
      <c r="BH655" s="235"/>
      <c r="BI655" s="235"/>
      <c r="BJ655" s="235"/>
      <c r="BK655" s="235"/>
      <c r="BL655" s="235"/>
      <c r="BM655" s="235"/>
      <c r="BN655" s="235"/>
      <c r="BO655" s="235"/>
    </row>
    <row r="656" ht="29.25" hidden="1" customHeight="1">
      <c r="A656" s="230"/>
      <c r="B656" s="231"/>
      <c r="C656" s="179"/>
      <c r="D656" s="179"/>
      <c r="E656" s="180"/>
      <c r="F656" s="162"/>
      <c r="G656" s="232"/>
      <c r="H656" s="22"/>
      <c r="I656" s="181"/>
      <c r="J656" s="182"/>
      <c r="K656" s="182"/>
      <c r="L656" s="182"/>
      <c r="M656" s="234"/>
      <c r="N656" s="28"/>
      <c r="O656" s="181"/>
      <c r="P656" s="183"/>
      <c r="Q656" s="104"/>
      <c r="R656" s="233"/>
      <c r="S656" s="164"/>
      <c r="T656" s="164"/>
      <c r="U656" s="162"/>
      <c r="V656" s="235"/>
      <c r="W656" s="235"/>
      <c r="X656" s="235"/>
      <c r="Y656" s="235"/>
      <c r="Z656" s="235"/>
      <c r="AA656" s="235"/>
      <c r="AB656" s="235"/>
      <c r="AC656" s="235"/>
      <c r="AD656" s="235"/>
      <c r="AE656" s="235"/>
      <c r="AF656" s="235"/>
      <c r="AG656" s="235"/>
      <c r="AH656" s="235"/>
      <c r="AI656" s="235"/>
      <c r="AJ656" s="235"/>
      <c r="AK656" s="235"/>
      <c r="AL656" s="235"/>
      <c r="AM656" s="235"/>
      <c r="AN656" s="235"/>
      <c r="AO656" s="235"/>
      <c r="AP656" s="235"/>
      <c r="AQ656" s="235"/>
      <c r="AR656" s="235"/>
      <c r="AS656" s="235"/>
      <c r="AT656" s="235"/>
      <c r="AU656" s="235"/>
      <c r="AV656" s="235"/>
      <c r="AW656" s="235"/>
      <c r="AX656" s="235"/>
      <c r="AY656" s="235"/>
      <c r="AZ656" s="235"/>
      <c r="BA656" s="235"/>
      <c r="BB656" s="235"/>
      <c r="BC656" s="235"/>
      <c r="BD656" s="235"/>
      <c r="BE656" s="235"/>
      <c r="BF656" s="235"/>
      <c r="BG656" s="235"/>
      <c r="BH656" s="235"/>
      <c r="BI656" s="235"/>
      <c r="BJ656" s="235"/>
      <c r="BK656" s="235"/>
      <c r="BL656" s="235"/>
      <c r="BM656" s="235"/>
      <c r="BN656" s="235"/>
      <c r="BO656" s="235"/>
    </row>
    <row r="657" ht="29.25" hidden="1" customHeight="1">
      <c r="A657" s="230"/>
      <c r="B657" s="231"/>
      <c r="C657" s="179"/>
      <c r="D657" s="179"/>
      <c r="E657" s="180"/>
      <c r="F657" s="162"/>
      <c r="G657" s="232"/>
      <c r="H657" s="22"/>
      <c r="I657" s="181"/>
      <c r="J657" s="182"/>
      <c r="K657" s="182"/>
      <c r="L657" s="182"/>
      <c r="M657" s="234"/>
      <c r="N657" s="28"/>
      <c r="O657" s="181"/>
      <c r="P657" s="183"/>
      <c r="Q657" s="104"/>
      <c r="R657" s="233"/>
      <c r="S657" s="164"/>
      <c r="T657" s="164"/>
      <c r="U657" s="162"/>
      <c r="V657" s="235"/>
      <c r="W657" s="235"/>
      <c r="X657" s="235"/>
      <c r="Y657" s="235"/>
      <c r="Z657" s="235"/>
      <c r="AA657" s="235"/>
      <c r="AB657" s="235"/>
      <c r="AC657" s="235"/>
      <c r="AD657" s="235"/>
      <c r="AE657" s="235"/>
      <c r="AF657" s="235"/>
      <c r="AG657" s="235"/>
      <c r="AH657" s="235"/>
      <c r="AI657" s="235"/>
      <c r="AJ657" s="235"/>
      <c r="AK657" s="235"/>
      <c r="AL657" s="235"/>
      <c r="AM657" s="235"/>
      <c r="AN657" s="235"/>
      <c r="AO657" s="235"/>
      <c r="AP657" s="235"/>
      <c r="AQ657" s="235"/>
      <c r="AR657" s="235"/>
      <c r="AS657" s="235"/>
      <c r="AT657" s="235"/>
      <c r="AU657" s="235"/>
      <c r="AV657" s="235"/>
      <c r="AW657" s="235"/>
      <c r="AX657" s="235"/>
      <c r="AY657" s="235"/>
      <c r="AZ657" s="235"/>
      <c r="BA657" s="235"/>
      <c r="BB657" s="235"/>
      <c r="BC657" s="235"/>
      <c r="BD657" s="235"/>
      <c r="BE657" s="235"/>
      <c r="BF657" s="235"/>
      <c r="BG657" s="235"/>
      <c r="BH657" s="235"/>
      <c r="BI657" s="235"/>
      <c r="BJ657" s="235"/>
      <c r="BK657" s="235"/>
      <c r="BL657" s="235"/>
      <c r="BM657" s="235"/>
      <c r="BN657" s="235"/>
      <c r="BO657" s="235"/>
    </row>
    <row r="658" ht="29.25" hidden="1" customHeight="1">
      <c r="A658" s="230"/>
      <c r="B658" s="231"/>
      <c r="C658" s="179"/>
      <c r="D658" s="179"/>
      <c r="E658" s="180"/>
      <c r="F658" s="162"/>
      <c r="G658" s="232"/>
      <c r="H658" s="22"/>
      <c r="I658" s="181"/>
      <c r="J658" s="182"/>
      <c r="K658" s="182"/>
      <c r="L658" s="182"/>
      <c r="M658" s="234"/>
      <c r="N658" s="28"/>
      <c r="O658" s="181"/>
      <c r="P658" s="183"/>
      <c r="Q658" s="104"/>
      <c r="R658" s="233"/>
      <c r="S658" s="164"/>
      <c r="T658" s="164"/>
      <c r="U658" s="162"/>
      <c r="V658" s="235"/>
      <c r="W658" s="235"/>
      <c r="X658" s="235"/>
      <c r="Y658" s="235"/>
      <c r="Z658" s="235"/>
      <c r="AA658" s="235"/>
      <c r="AB658" s="235"/>
      <c r="AC658" s="235"/>
      <c r="AD658" s="235"/>
      <c r="AE658" s="235"/>
      <c r="AF658" s="235"/>
      <c r="AG658" s="235"/>
      <c r="AH658" s="235"/>
      <c r="AI658" s="235"/>
      <c r="AJ658" s="235"/>
      <c r="AK658" s="235"/>
      <c r="AL658" s="235"/>
      <c r="AM658" s="235"/>
      <c r="AN658" s="235"/>
      <c r="AO658" s="235"/>
      <c r="AP658" s="235"/>
      <c r="AQ658" s="235"/>
      <c r="AR658" s="235"/>
      <c r="AS658" s="235"/>
      <c r="AT658" s="235"/>
      <c r="AU658" s="235"/>
      <c r="AV658" s="235"/>
      <c r="AW658" s="235"/>
      <c r="AX658" s="235"/>
      <c r="AY658" s="235"/>
      <c r="AZ658" s="235"/>
      <c r="BA658" s="235"/>
      <c r="BB658" s="235"/>
      <c r="BC658" s="235"/>
      <c r="BD658" s="235"/>
      <c r="BE658" s="235"/>
      <c r="BF658" s="235"/>
      <c r="BG658" s="235"/>
      <c r="BH658" s="235"/>
      <c r="BI658" s="235"/>
      <c r="BJ658" s="235"/>
      <c r="BK658" s="235"/>
      <c r="BL658" s="235"/>
      <c r="BM658" s="235"/>
      <c r="BN658" s="235"/>
      <c r="BO658" s="235"/>
    </row>
    <row r="659" ht="29.25" hidden="1" customHeight="1">
      <c r="A659" s="230"/>
      <c r="B659" s="231"/>
      <c r="C659" s="179"/>
      <c r="D659" s="179"/>
      <c r="E659" s="180"/>
      <c r="F659" s="162"/>
      <c r="G659" s="232"/>
      <c r="H659" s="22"/>
      <c r="I659" s="181"/>
      <c r="J659" s="182"/>
      <c r="K659" s="182"/>
      <c r="L659" s="182"/>
      <c r="M659" s="234"/>
      <c r="N659" s="28"/>
      <c r="O659" s="181"/>
      <c r="P659" s="183"/>
      <c r="Q659" s="104"/>
      <c r="R659" s="233"/>
      <c r="S659" s="164"/>
      <c r="T659" s="164"/>
      <c r="U659" s="162"/>
      <c r="V659" s="235"/>
      <c r="W659" s="235"/>
      <c r="X659" s="235"/>
      <c r="Y659" s="235"/>
      <c r="Z659" s="235"/>
      <c r="AA659" s="235"/>
      <c r="AB659" s="235"/>
      <c r="AC659" s="235"/>
      <c r="AD659" s="235"/>
      <c r="AE659" s="235"/>
      <c r="AF659" s="235"/>
      <c r="AG659" s="235"/>
      <c r="AH659" s="235"/>
      <c r="AI659" s="235"/>
      <c r="AJ659" s="235"/>
      <c r="AK659" s="235"/>
      <c r="AL659" s="235"/>
      <c r="AM659" s="235"/>
      <c r="AN659" s="235"/>
      <c r="AO659" s="235"/>
      <c r="AP659" s="235"/>
      <c r="AQ659" s="235"/>
      <c r="AR659" s="235"/>
      <c r="AS659" s="235"/>
      <c r="AT659" s="235"/>
      <c r="AU659" s="235"/>
      <c r="AV659" s="235"/>
      <c r="AW659" s="235"/>
      <c r="AX659" s="235"/>
      <c r="AY659" s="235"/>
      <c r="AZ659" s="235"/>
      <c r="BA659" s="235"/>
      <c r="BB659" s="235"/>
      <c r="BC659" s="235"/>
      <c r="BD659" s="235"/>
      <c r="BE659" s="235"/>
      <c r="BF659" s="235"/>
      <c r="BG659" s="235"/>
      <c r="BH659" s="235"/>
      <c r="BI659" s="235"/>
      <c r="BJ659" s="235"/>
      <c r="BK659" s="235"/>
      <c r="BL659" s="235"/>
      <c r="BM659" s="235"/>
      <c r="BN659" s="235"/>
      <c r="BO659" s="235"/>
    </row>
    <row r="660" ht="29.25" hidden="1" customHeight="1">
      <c r="A660" s="230"/>
      <c r="B660" s="231"/>
      <c r="C660" s="179"/>
      <c r="D660" s="179"/>
      <c r="E660" s="180"/>
      <c r="F660" s="162"/>
      <c r="G660" s="232"/>
      <c r="H660" s="22"/>
      <c r="I660" s="181"/>
      <c r="J660" s="182"/>
      <c r="K660" s="182"/>
      <c r="L660" s="182"/>
      <c r="M660" s="234"/>
      <c r="N660" s="28"/>
      <c r="O660" s="181"/>
      <c r="P660" s="183"/>
      <c r="Q660" s="104"/>
      <c r="R660" s="233"/>
      <c r="S660" s="164"/>
      <c r="T660" s="164"/>
      <c r="U660" s="162"/>
      <c r="V660" s="235"/>
      <c r="W660" s="235"/>
      <c r="X660" s="235"/>
      <c r="Y660" s="235"/>
      <c r="Z660" s="235"/>
      <c r="AA660" s="235"/>
      <c r="AB660" s="235"/>
      <c r="AC660" s="235"/>
      <c r="AD660" s="235"/>
      <c r="AE660" s="235"/>
      <c r="AF660" s="235"/>
      <c r="AG660" s="235"/>
      <c r="AH660" s="235"/>
      <c r="AI660" s="235"/>
      <c r="AJ660" s="235"/>
      <c r="AK660" s="235"/>
      <c r="AL660" s="235"/>
      <c r="AM660" s="235"/>
      <c r="AN660" s="235"/>
      <c r="AO660" s="235"/>
      <c r="AP660" s="235"/>
      <c r="AQ660" s="235"/>
      <c r="AR660" s="235"/>
      <c r="AS660" s="235"/>
      <c r="AT660" s="235"/>
      <c r="AU660" s="235"/>
      <c r="AV660" s="235"/>
      <c r="AW660" s="235"/>
      <c r="AX660" s="235"/>
      <c r="AY660" s="235"/>
      <c r="AZ660" s="235"/>
      <c r="BA660" s="235"/>
      <c r="BB660" s="235"/>
      <c r="BC660" s="235"/>
      <c r="BD660" s="235"/>
      <c r="BE660" s="235"/>
      <c r="BF660" s="235"/>
      <c r="BG660" s="235"/>
      <c r="BH660" s="235"/>
      <c r="BI660" s="235"/>
      <c r="BJ660" s="235"/>
      <c r="BK660" s="235"/>
      <c r="BL660" s="235"/>
      <c r="BM660" s="235"/>
      <c r="BN660" s="235"/>
      <c r="BO660" s="235"/>
    </row>
    <row r="661" ht="29.25" hidden="1" customHeight="1">
      <c r="A661" s="230"/>
      <c r="B661" s="231"/>
      <c r="C661" s="179"/>
      <c r="D661" s="179"/>
      <c r="E661" s="180"/>
      <c r="F661" s="162"/>
      <c r="G661" s="232"/>
      <c r="H661" s="22"/>
      <c r="I661" s="181"/>
      <c r="J661" s="182"/>
      <c r="K661" s="182"/>
      <c r="L661" s="182"/>
      <c r="M661" s="234"/>
      <c r="N661" s="28"/>
      <c r="O661" s="181"/>
      <c r="P661" s="183"/>
      <c r="Q661" s="104"/>
      <c r="R661" s="233"/>
      <c r="S661" s="164"/>
      <c r="T661" s="164"/>
      <c r="U661" s="162"/>
      <c r="V661" s="235"/>
      <c r="W661" s="235"/>
      <c r="X661" s="235"/>
      <c r="Y661" s="235"/>
      <c r="Z661" s="235"/>
      <c r="AA661" s="235"/>
      <c r="AB661" s="235"/>
      <c r="AC661" s="235"/>
      <c r="AD661" s="235"/>
      <c r="AE661" s="235"/>
      <c r="AF661" s="235"/>
      <c r="AG661" s="235"/>
      <c r="AH661" s="235"/>
      <c r="AI661" s="235"/>
      <c r="AJ661" s="235"/>
      <c r="AK661" s="235"/>
      <c r="AL661" s="235"/>
      <c r="AM661" s="235"/>
      <c r="AN661" s="235"/>
      <c r="AO661" s="235"/>
      <c r="AP661" s="235"/>
      <c r="AQ661" s="235"/>
      <c r="AR661" s="235"/>
      <c r="AS661" s="235"/>
      <c r="AT661" s="235"/>
      <c r="AU661" s="235"/>
      <c r="AV661" s="235"/>
      <c r="AW661" s="235"/>
      <c r="AX661" s="235"/>
      <c r="AY661" s="235"/>
      <c r="AZ661" s="235"/>
      <c r="BA661" s="235"/>
      <c r="BB661" s="235"/>
      <c r="BC661" s="235"/>
      <c r="BD661" s="235"/>
      <c r="BE661" s="235"/>
      <c r="BF661" s="235"/>
      <c r="BG661" s="235"/>
      <c r="BH661" s="235"/>
      <c r="BI661" s="235"/>
      <c r="BJ661" s="235"/>
      <c r="BK661" s="235"/>
      <c r="BL661" s="235"/>
      <c r="BM661" s="235"/>
      <c r="BN661" s="235"/>
      <c r="BO661" s="235"/>
    </row>
    <row r="662" ht="29.25" hidden="1" customHeight="1">
      <c r="A662" s="230"/>
      <c r="B662" s="231"/>
      <c r="C662" s="179"/>
      <c r="D662" s="179"/>
      <c r="E662" s="180"/>
      <c r="F662" s="162"/>
      <c r="G662" s="232"/>
      <c r="H662" s="22"/>
      <c r="I662" s="181"/>
      <c r="J662" s="182"/>
      <c r="K662" s="182"/>
      <c r="L662" s="182"/>
      <c r="M662" s="234"/>
      <c r="N662" s="28"/>
      <c r="O662" s="181"/>
      <c r="P662" s="183"/>
      <c r="Q662" s="104"/>
      <c r="R662" s="233"/>
      <c r="S662" s="164"/>
      <c r="T662" s="164"/>
      <c r="U662" s="162"/>
      <c r="V662" s="235"/>
      <c r="W662" s="235"/>
      <c r="X662" s="235"/>
      <c r="Y662" s="235"/>
      <c r="Z662" s="235"/>
      <c r="AA662" s="235"/>
      <c r="AB662" s="235"/>
      <c r="AC662" s="235"/>
      <c r="AD662" s="235"/>
      <c r="AE662" s="235"/>
      <c r="AF662" s="235"/>
      <c r="AG662" s="235"/>
      <c r="AH662" s="235"/>
      <c r="AI662" s="235"/>
      <c r="AJ662" s="235"/>
      <c r="AK662" s="235"/>
      <c r="AL662" s="235"/>
      <c r="AM662" s="235"/>
      <c r="AN662" s="235"/>
      <c r="AO662" s="235"/>
      <c r="AP662" s="235"/>
      <c r="AQ662" s="235"/>
      <c r="AR662" s="235"/>
      <c r="AS662" s="235"/>
      <c r="AT662" s="235"/>
      <c r="AU662" s="235"/>
      <c r="AV662" s="235"/>
      <c r="AW662" s="235"/>
      <c r="AX662" s="235"/>
      <c r="AY662" s="235"/>
      <c r="AZ662" s="235"/>
      <c r="BA662" s="235"/>
      <c r="BB662" s="235"/>
      <c r="BC662" s="235"/>
      <c r="BD662" s="235"/>
      <c r="BE662" s="235"/>
      <c r="BF662" s="235"/>
      <c r="BG662" s="235"/>
      <c r="BH662" s="235"/>
      <c r="BI662" s="235"/>
      <c r="BJ662" s="235"/>
      <c r="BK662" s="235"/>
      <c r="BL662" s="235"/>
      <c r="BM662" s="235"/>
      <c r="BN662" s="235"/>
      <c r="BO662" s="235"/>
    </row>
    <row r="663" ht="29.25" hidden="1" customHeight="1">
      <c r="A663" s="230"/>
      <c r="B663" s="231"/>
      <c r="C663" s="179"/>
      <c r="D663" s="179"/>
      <c r="E663" s="180"/>
      <c r="F663" s="162"/>
      <c r="G663" s="232"/>
      <c r="H663" s="22"/>
      <c r="I663" s="181"/>
      <c r="J663" s="182"/>
      <c r="K663" s="182"/>
      <c r="L663" s="182"/>
      <c r="M663" s="234"/>
      <c r="N663" s="28"/>
      <c r="O663" s="181"/>
      <c r="P663" s="183"/>
      <c r="Q663" s="104"/>
      <c r="R663" s="233"/>
      <c r="S663" s="164"/>
      <c r="T663" s="164"/>
      <c r="U663" s="162"/>
      <c r="V663" s="235"/>
      <c r="W663" s="235"/>
      <c r="X663" s="235"/>
      <c r="Y663" s="235"/>
      <c r="Z663" s="235"/>
      <c r="AA663" s="235"/>
      <c r="AB663" s="235"/>
      <c r="AC663" s="235"/>
      <c r="AD663" s="235"/>
      <c r="AE663" s="235"/>
      <c r="AF663" s="235"/>
      <c r="AG663" s="235"/>
      <c r="AH663" s="235"/>
      <c r="AI663" s="235"/>
      <c r="AJ663" s="235"/>
      <c r="AK663" s="235"/>
      <c r="AL663" s="235"/>
      <c r="AM663" s="235"/>
      <c r="AN663" s="235"/>
      <c r="AO663" s="235"/>
      <c r="AP663" s="235"/>
      <c r="AQ663" s="235"/>
      <c r="AR663" s="235"/>
      <c r="AS663" s="235"/>
      <c r="AT663" s="235"/>
      <c r="AU663" s="235"/>
      <c r="AV663" s="235"/>
      <c r="AW663" s="235"/>
      <c r="AX663" s="235"/>
      <c r="AY663" s="235"/>
      <c r="AZ663" s="235"/>
      <c r="BA663" s="235"/>
      <c r="BB663" s="235"/>
      <c r="BC663" s="235"/>
      <c r="BD663" s="235"/>
      <c r="BE663" s="235"/>
      <c r="BF663" s="235"/>
      <c r="BG663" s="235"/>
      <c r="BH663" s="235"/>
      <c r="BI663" s="235"/>
      <c r="BJ663" s="235"/>
      <c r="BK663" s="235"/>
      <c r="BL663" s="235"/>
      <c r="BM663" s="235"/>
      <c r="BN663" s="235"/>
      <c r="BO663" s="235"/>
    </row>
    <row r="664" ht="29.25" hidden="1" customHeight="1">
      <c r="A664" s="230"/>
      <c r="B664" s="231"/>
      <c r="C664" s="179"/>
      <c r="D664" s="179"/>
      <c r="E664" s="180"/>
      <c r="F664" s="162"/>
      <c r="G664" s="232"/>
      <c r="H664" s="22"/>
      <c r="I664" s="181"/>
      <c r="J664" s="182"/>
      <c r="K664" s="182"/>
      <c r="L664" s="182"/>
      <c r="M664" s="234"/>
      <c r="N664" s="28"/>
      <c r="O664" s="181"/>
      <c r="P664" s="183"/>
      <c r="Q664" s="104"/>
      <c r="R664" s="233"/>
      <c r="S664" s="164"/>
      <c r="T664" s="164"/>
      <c r="U664" s="162"/>
      <c r="V664" s="235"/>
      <c r="W664" s="235"/>
      <c r="X664" s="235"/>
      <c r="Y664" s="235"/>
      <c r="Z664" s="235"/>
      <c r="AA664" s="235"/>
      <c r="AB664" s="235"/>
      <c r="AC664" s="235"/>
      <c r="AD664" s="235"/>
      <c r="AE664" s="235"/>
      <c r="AF664" s="235"/>
      <c r="AG664" s="235"/>
      <c r="AH664" s="235"/>
      <c r="AI664" s="235"/>
      <c r="AJ664" s="235"/>
      <c r="AK664" s="235"/>
      <c r="AL664" s="235"/>
      <c r="AM664" s="235"/>
      <c r="AN664" s="235"/>
      <c r="AO664" s="235"/>
      <c r="AP664" s="235"/>
      <c r="AQ664" s="235"/>
      <c r="AR664" s="235"/>
      <c r="AS664" s="235"/>
      <c r="AT664" s="235"/>
      <c r="AU664" s="235"/>
      <c r="AV664" s="235"/>
      <c r="AW664" s="235"/>
      <c r="AX664" s="235"/>
      <c r="AY664" s="235"/>
      <c r="AZ664" s="235"/>
      <c r="BA664" s="235"/>
      <c r="BB664" s="235"/>
      <c r="BC664" s="235"/>
      <c r="BD664" s="235"/>
      <c r="BE664" s="235"/>
      <c r="BF664" s="235"/>
      <c r="BG664" s="235"/>
      <c r="BH664" s="235"/>
      <c r="BI664" s="235"/>
      <c r="BJ664" s="235"/>
      <c r="BK664" s="235"/>
      <c r="BL664" s="235"/>
      <c r="BM664" s="235"/>
      <c r="BN664" s="235"/>
      <c r="BO664" s="235"/>
    </row>
    <row r="665" ht="29.25" hidden="1" customHeight="1">
      <c r="A665" s="230"/>
      <c r="B665" s="231"/>
      <c r="C665" s="179"/>
      <c r="D665" s="179"/>
      <c r="E665" s="180"/>
      <c r="F665" s="162"/>
      <c r="G665" s="232"/>
      <c r="H665" s="22"/>
      <c r="I665" s="181"/>
      <c r="J665" s="182"/>
      <c r="K665" s="182"/>
      <c r="L665" s="182"/>
      <c r="M665" s="234"/>
      <c r="N665" s="28"/>
      <c r="O665" s="181"/>
      <c r="P665" s="183"/>
      <c r="Q665" s="104"/>
      <c r="R665" s="233"/>
      <c r="S665" s="164"/>
      <c r="T665" s="164"/>
      <c r="U665" s="162"/>
      <c r="V665" s="235"/>
      <c r="W665" s="235"/>
      <c r="X665" s="235"/>
      <c r="Y665" s="235"/>
      <c r="Z665" s="235"/>
      <c r="AA665" s="235"/>
      <c r="AB665" s="235"/>
      <c r="AC665" s="235"/>
      <c r="AD665" s="235"/>
      <c r="AE665" s="235"/>
      <c r="AF665" s="235"/>
      <c r="AG665" s="235"/>
      <c r="AH665" s="235"/>
      <c r="AI665" s="235"/>
      <c r="AJ665" s="235"/>
      <c r="AK665" s="235"/>
      <c r="AL665" s="235"/>
      <c r="AM665" s="235"/>
      <c r="AN665" s="235"/>
      <c r="AO665" s="235"/>
      <c r="AP665" s="235"/>
      <c r="AQ665" s="235"/>
      <c r="AR665" s="235"/>
      <c r="AS665" s="235"/>
      <c r="AT665" s="235"/>
      <c r="AU665" s="235"/>
      <c r="AV665" s="235"/>
      <c r="AW665" s="235"/>
      <c r="AX665" s="235"/>
      <c r="AY665" s="235"/>
      <c r="AZ665" s="235"/>
      <c r="BA665" s="235"/>
      <c r="BB665" s="235"/>
      <c r="BC665" s="235"/>
      <c r="BD665" s="235"/>
      <c r="BE665" s="235"/>
      <c r="BF665" s="235"/>
      <c r="BG665" s="235"/>
      <c r="BH665" s="235"/>
      <c r="BI665" s="235"/>
      <c r="BJ665" s="235"/>
      <c r="BK665" s="235"/>
      <c r="BL665" s="235"/>
      <c r="BM665" s="235"/>
      <c r="BN665" s="235"/>
      <c r="BO665" s="235"/>
    </row>
    <row r="666" ht="29.25" hidden="1" customHeight="1">
      <c r="A666" s="230"/>
      <c r="B666" s="231"/>
      <c r="C666" s="179"/>
      <c r="D666" s="179"/>
      <c r="E666" s="180"/>
      <c r="F666" s="162"/>
      <c r="G666" s="232"/>
      <c r="H666" s="22"/>
      <c r="I666" s="181"/>
      <c r="J666" s="182"/>
      <c r="K666" s="182"/>
      <c r="L666" s="182"/>
      <c r="M666" s="234"/>
      <c r="N666" s="28"/>
      <c r="O666" s="181"/>
      <c r="P666" s="183"/>
      <c r="Q666" s="104"/>
      <c r="R666" s="233"/>
      <c r="S666" s="164"/>
      <c r="T666" s="164"/>
      <c r="U666" s="162"/>
      <c r="V666" s="235"/>
      <c r="W666" s="235"/>
      <c r="X666" s="235"/>
      <c r="Y666" s="235"/>
      <c r="Z666" s="235"/>
      <c r="AA666" s="235"/>
      <c r="AB666" s="235"/>
      <c r="AC666" s="235"/>
      <c r="AD666" s="235"/>
      <c r="AE666" s="235"/>
      <c r="AF666" s="235"/>
      <c r="AG666" s="235"/>
      <c r="AH666" s="235"/>
      <c r="AI666" s="235"/>
      <c r="AJ666" s="235"/>
      <c r="AK666" s="235"/>
      <c r="AL666" s="235"/>
      <c r="AM666" s="235"/>
      <c r="AN666" s="235"/>
      <c r="AO666" s="235"/>
      <c r="AP666" s="235"/>
      <c r="AQ666" s="235"/>
      <c r="AR666" s="235"/>
      <c r="AS666" s="235"/>
      <c r="AT666" s="235"/>
      <c r="AU666" s="235"/>
      <c r="AV666" s="235"/>
      <c r="AW666" s="235"/>
      <c r="AX666" s="235"/>
      <c r="AY666" s="235"/>
      <c r="AZ666" s="235"/>
      <c r="BA666" s="235"/>
      <c r="BB666" s="235"/>
      <c r="BC666" s="235"/>
      <c r="BD666" s="235"/>
      <c r="BE666" s="235"/>
      <c r="BF666" s="235"/>
      <c r="BG666" s="235"/>
      <c r="BH666" s="235"/>
      <c r="BI666" s="235"/>
      <c r="BJ666" s="235"/>
      <c r="BK666" s="235"/>
      <c r="BL666" s="235"/>
      <c r="BM666" s="235"/>
      <c r="BN666" s="235"/>
      <c r="BO666" s="235"/>
    </row>
    <row r="667" ht="29.25" hidden="1" customHeight="1">
      <c r="A667" s="230"/>
      <c r="B667" s="231"/>
      <c r="C667" s="179"/>
      <c r="D667" s="179"/>
      <c r="E667" s="180"/>
      <c r="F667" s="162"/>
      <c r="G667" s="232"/>
      <c r="H667" s="22"/>
      <c r="I667" s="181"/>
      <c r="J667" s="182"/>
      <c r="K667" s="182"/>
      <c r="L667" s="182"/>
      <c r="M667" s="234"/>
      <c r="N667" s="28"/>
      <c r="O667" s="181"/>
      <c r="P667" s="183"/>
      <c r="Q667" s="104"/>
      <c r="R667" s="233"/>
      <c r="S667" s="164"/>
      <c r="T667" s="164"/>
      <c r="U667" s="162"/>
      <c r="V667" s="235"/>
      <c r="W667" s="235"/>
      <c r="X667" s="235"/>
      <c r="Y667" s="235"/>
      <c r="Z667" s="235"/>
      <c r="AA667" s="235"/>
      <c r="AB667" s="235"/>
      <c r="AC667" s="235"/>
      <c r="AD667" s="235"/>
      <c r="AE667" s="235"/>
      <c r="AF667" s="235"/>
      <c r="AG667" s="235"/>
      <c r="AH667" s="235"/>
      <c r="AI667" s="235"/>
      <c r="AJ667" s="235"/>
      <c r="AK667" s="235"/>
      <c r="AL667" s="235"/>
      <c r="AM667" s="235"/>
      <c r="AN667" s="235"/>
      <c r="AO667" s="235"/>
      <c r="AP667" s="235"/>
      <c r="AQ667" s="235"/>
      <c r="AR667" s="235"/>
      <c r="AS667" s="235"/>
      <c r="AT667" s="235"/>
      <c r="AU667" s="235"/>
      <c r="AV667" s="235"/>
      <c r="AW667" s="235"/>
      <c r="AX667" s="235"/>
      <c r="AY667" s="235"/>
      <c r="AZ667" s="235"/>
      <c r="BA667" s="235"/>
      <c r="BB667" s="235"/>
      <c r="BC667" s="235"/>
      <c r="BD667" s="235"/>
      <c r="BE667" s="235"/>
      <c r="BF667" s="235"/>
      <c r="BG667" s="235"/>
      <c r="BH667" s="235"/>
      <c r="BI667" s="235"/>
      <c r="BJ667" s="235"/>
      <c r="BK667" s="235"/>
      <c r="BL667" s="235"/>
      <c r="BM667" s="235"/>
      <c r="BN667" s="235"/>
      <c r="BO667" s="235"/>
    </row>
    <row r="668" ht="29.25" hidden="1" customHeight="1">
      <c r="A668" s="230"/>
      <c r="B668" s="231"/>
      <c r="C668" s="179"/>
      <c r="D668" s="179"/>
      <c r="E668" s="180"/>
      <c r="F668" s="162"/>
      <c r="G668" s="232"/>
      <c r="H668" s="22"/>
      <c r="I668" s="181"/>
      <c r="J668" s="182"/>
      <c r="K668" s="182"/>
      <c r="L668" s="182"/>
      <c r="M668" s="234"/>
      <c r="N668" s="28"/>
      <c r="O668" s="181"/>
      <c r="P668" s="183"/>
      <c r="Q668" s="104"/>
      <c r="R668" s="233"/>
      <c r="S668" s="164"/>
      <c r="T668" s="164"/>
      <c r="U668" s="162"/>
      <c r="V668" s="235"/>
      <c r="W668" s="235"/>
      <c r="X668" s="235"/>
      <c r="Y668" s="235"/>
      <c r="Z668" s="235"/>
      <c r="AA668" s="235"/>
      <c r="AB668" s="235"/>
      <c r="AC668" s="235"/>
      <c r="AD668" s="235"/>
      <c r="AE668" s="235"/>
      <c r="AF668" s="235"/>
      <c r="AG668" s="235"/>
      <c r="AH668" s="235"/>
      <c r="AI668" s="235"/>
      <c r="AJ668" s="235"/>
      <c r="AK668" s="235"/>
      <c r="AL668" s="235"/>
      <c r="AM668" s="235"/>
      <c r="AN668" s="235"/>
      <c r="AO668" s="235"/>
      <c r="AP668" s="235"/>
      <c r="AQ668" s="235"/>
      <c r="AR668" s="235"/>
      <c r="AS668" s="235"/>
      <c r="AT668" s="235"/>
      <c r="AU668" s="235"/>
      <c r="AV668" s="235"/>
      <c r="AW668" s="235"/>
      <c r="AX668" s="235"/>
      <c r="AY668" s="235"/>
      <c r="AZ668" s="235"/>
      <c r="BA668" s="235"/>
      <c r="BB668" s="235"/>
      <c r="BC668" s="235"/>
      <c r="BD668" s="235"/>
      <c r="BE668" s="235"/>
      <c r="BF668" s="235"/>
      <c r="BG668" s="235"/>
      <c r="BH668" s="235"/>
      <c r="BI668" s="235"/>
      <c r="BJ668" s="235"/>
      <c r="BK668" s="235"/>
      <c r="BL668" s="235"/>
      <c r="BM668" s="235"/>
      <c r="BN668" s="235"/>
      <c r="BO668" s="235"/>
    </row>
    <row r="669" ht="29.25" hidden="1" customHeight="1">
      <c r="A669" s="230"/>
      <c r="B669" s="231"/>
      <c r="C669" s="179"/>
      <c r="D669" s="179"/>
      <c r="E669" s="180"/>
      <c r="F669" s="162"/>
      <c r="G669" s="232"/>
      <c r="H669" s="22"/>
      <c r="I669" s="181"/>
      <c r="J669" s="182"/>
      <c r="K669" s="182"/>
      <c r="L669" s="182"/>
      <c r="M669" s="234"/>
      <c r="N669" s="28"/>
      <c r="O669" s="181"/>
      <c r="P669" s="183"/>
      <c r="Q669" s="104"/>
      <c r="R669" s="233"/>
      <c r="S669" s="164"/>
      <c r="T669" s="164"/>
      <c r="U669" s="162"/>
      <c r="V669" s="235"/>
      <c r="W669" s="235"/>
      <c r="X669" s="235"/>
      <c r="Y669" s="235"/>
      <c r="Z669" s="235"/>
      <c r="AA669" s="235"/>
      <c r="AB669" s="235"/>
      <c r="AC669" s="235"/>
      <c r="AD669" s="235"/>
      <c r="AE669" s="235"/>
      <c r="AF669" s="235"/>
      <c r="AG669" s="235"/>
      <c r="AH669" s="235"/>
      <c r="AI669" s="235"/>
      <c r="AJ669" s="235"/>
      <c r="AK669" s="235"/>
      <c r="AL669" s="235"/>
      <c r="AM669" s="235"/>
      <c r="AN669" s="235"/>
      <c r="AO669" s="235"/>
      <c r="AP669" s="235"/>
      <c r="AQ669" s="235"/>
      <c r="AR669" s="235"/>
      <c r="AS669" s="235"/>
      <c r="AT669" s="235"/>
      <c r="AU669" s="235"/>
      <c r="AV669" s="235"/>
      <c r="AW669" s="235"/>
      <c r="AX669" s="235"/>
      <c r="AY669" s="235"/>
      <c r="AZ669" s="235"/>
      <c r="BA669" s="235"/>
      <c r="BB669" s="235"/>
      <c r="BC669" s="235"/>
      <c r="BD669" s="235"/>
      <c r="BE669" s="235"/>
      <c r="BF669" s="235"/>
      <c r="BG669" s="235"/>
      <c r="BH669" s="235"/>
      <c r="BI669" s="235"/>
      <c r="BJ669" s="235"/>
      <c r="BK669" s="235"/>
      <c r="BL669" s="235"/>
      <c r="BM669" s="235"/>
      <c r="BN669" s="235"/>
      <c r="BO669" s="235"/>
    </row>
    <row r="670" ht="29.25" hidden="1" customHeight="1">
      <c r="A670" s="230"/>
      <c r="B670" s="231"/>
      <c r="C670" s="179"/>
      <c r="D670" s="179"/>
      <c r="E670" s="180"/>
      <c r="F670" s="162"/>
      <c r="G670" s="232"/>
      <c r="H670" s="22"/>
      <c r="I670" s="181"/>
      <c r="J670" s="182"/>
      <c r="K670" s="182"/>
      <c r="L670" s="182"/>
      <c r="M670" s="234"/>
      <c r="N670" s="28"/>
      <c r="O670" s="181"/>
      <c r="P670" s="183"/>
      <c r="Q670" s="104"/>
      <c r="R670" s="233"/>
      <c r="S670" s="164"/>
      <c r="T670" s="164"/>
      <c r="U670" s="162"/>
      <c r="V670" s="235"/>
      <c r="W670" s="235"/>
      <c r="X670" s="235"/>
      <c r="Y670" s="235"/>
      <c r="Z670" s="235"/>
      <c r="AA670" s="235"/>
      <c r="AB670" s="235"/>
      <c r="AC670" s="235"/>
      <c r="AD670" s="235"/>
      <c r="AE670" s="235"/>
      <c r="AF670" s="235"/>
      <c r="AG670" s="235"/>
      <c r="AH670" s="235"/>
      <c r="AI670" s="235"/>
      <c r="AJ670" s="235"/>
      <c r="AK670" s="235"/>
      <c r="AL670" s="235"/>
      <c r="AM670" s="235"/>
      <c r="AN670" s="235"/>
      <c r="AO670" s="235"/>
      <c r="AP670" s="235"/>
      <c r="AQ670" s="235"/>
      <c r="AR670" s="235"/>
      <c r="AS670" s="235"/>
      <c r="AT670" s="235"/>
      <c r="AU670" s="235"/>
      <c r="AV670" s="235"/>
      <c r="AW670" s="235"/>
      <c r="AX670" s="235"/>
      <c r="AY670" s="235"/>
      <c r="AZ670" s="235"/>
      <c r="BA670" s="235"/>
      <c r="BB670" s="235"/>
      <c r="BC670" s="235"/>
      <c r="BD670" s="235"/>
      <c r="BE670" s="235"/>
      <c r="BF670" s="235"/>
      <c r="BG670" s="235"/>
      <c r="BH670" s="235"/>
      <c r="BI670" s="235"/>
      <c r="BJ670" s="235"/>
      <c r="BK670" s="235"/>
      <c r="BL670" s="235"/>
      <c r="BM670" s="235"/>
      <c r="BN670" s="235"/>
      <c r="BO670" s="235"/>
    </row>
    <row r="671" ht="29.25" hidden="1" customHeight="1">
      <c r="A671" s="230"/>
      <c r="B671" s="231"/>
      <c r="C671" s="179"/>
      <c r="D671" s="179"/>
      <c r="E671" s="180"/>
      <c r="F671" s="162"/>
      <c r="G671" s="232"/>
      <c r="H671" s="22"/>
      <c r="I671" s="181"/>
      <c r="J671" s="182"/>
      <c r="K671" s="182"/>
      <c r="L671" s="182"/>
      <c r="M671" s="234"/>
      <c r="N671" s="28"/>
      <c r="O671" s="181"/>
      <c r="P671" s="183"/>
      <c r="Q671" s="104"/>
      <c r="R671" s="233"/>
      <c r="S671" s="164"/>
      <c r="T671" s="164"/>
      <c r="U671" s="162"/>
      <c r="V671" s="235"/>
      <c r="W671" s="235"/>
      <c r="X671" s="235"/>
      <c r="Y671" s="235"/>
      <c r="Z671" s="235"/>
      <c r="AA671" s="235"/>
      <c r="AB671" s="235"/>
      <c r="AC671" s="235"/>
      <c r="AD671" s="235"/>
      <c r="AE671" s="235"/>
      <c r="AF671" s="235"/>
      <c r="AG671" s="235"/>
      <c r="AH671" s="235"/>
      <c r="AI671" s="235"/>
      <c r="AJ671" s="235"/>
      <c r="AK671" s="235"/>
      <c r="AL671" s="235"/>
      <c r="AM671" s="235"/>
      <c r="AN671" s="235"/>
      <c r="AO671" s="235"/>
      <c r="AP671" s="235"/>
      <c r="AQ671" s="235"/>
      <c r="AR671" s="235"/>
      <c r="AS671" s="235"/>
      <c r="AT671" s="235"/>
      <c r="AU671" s="235"/>
      <c r="AV671" s="235"/>
      <c r="AW671" s="235"/>
      <c r="AX671" s="235"/>
      <c r="AY671" s="235"/>
      <c r="AZ671" s="235"/>
      <c r="BA671" s="235"/>
      <c r="BB671" s="235"/>
      <c r="BC671" s="235"/>
      <c r="BD671" s="235"/>
      <c r="BE671" s="235"/>
      <c r="BF671" s="235"/>
      <c r="BG671" s="235"/>
      <c r="BH671" s="235"/>
      <c r="BI671" s="235"/>
      <c r="BJ671" s="235"/>
      <c r="BK671" s="235"/>
      <c r="BL671" s="235"/>
      <c r="BM671" s="235"/>
      <c r="BN671" s="235"/>
      <c r="BO671" s="235"/>
    </row>
    <row r="672" ht="29.25" hidden="1" customHeight="1">
      <c r="A672" s="230"/>
      <c r="B672" s="231"/>
      <c r="C672" s="179"/>
      <c r="D672" s="179"/>
      <c r="E672" s="180"/>
      <c r="F672" s="162"/>
      <c r="G672" s="232"/>
      <c r="H672" s="22"/>
      <c r="I672" s="181"/>
      <c r="J672" s="182"/>
      <c r="K672" s="182"/>
      <c r="L672" s="182"/>
      <c r="M672" s="234"/>
      <c r="N672" s="28"/>
      <c r="O672" s="181"/>
      <c r="P672" s="183"/>
      <c r="Q672" s="104"/>
      <c r="R672" s="233"/>
      <c r="S672" s="164"/>
      <c r="T672" s="164"/>
      <c r="U672" s="162"/>
      <c r="V672" s="235"/>
      <c r="W672" s="235"/>
      <c r="X672" s="235"/>
      <c r="Y672" s="235"/>
      <c r="Z672" s="235"/>
      <c r="AA672" s="235"/>
      <c r="AB672" s="235"/>
      <c r="AC672" s="235"/>
      <c r="AD672" s="235"/>
      <c r="AE672" s="235"/>
      <c r="AF672" s="235"/>
      <c r="AG672" s="235"/>
      <c r="AH672" s="235"/>
      <c r="AI672" s="235"/>
      <c r="AJ672" s="235"/>
      <c r="AK672" s="235"/>
      <c r="AL672" s="235"/>
      <c r="AM672" s="235"/>
      <c r="AN672" s="235"/>
      <c r="AO672" s="235"/>
      <c r="AP672" s="235"/>
      <c r="AQ672" s="235"/>
      <c r="AR672" s="235"/>
      <c r="AS672" s="235"/>
      <c r="AT672" s="235"/>
      <c r="AU672" s="235"/>
      <c r="AV672" s="235"/>
      <c r="AW672" s="235"/>
      <c r="AX672" s="235"/>
      <c r="AY672" s="235"/>
      <c r="AZ672" s="235"/>
      <c r="BA672" s="235"/>
      <c r="BB672" s="235"/>
      <c r="BC672" s="235"/>
      <c r="BD672" s="235"/>
      <c r="BE672" s="235"/>
      <c r="BF672" s="235"/>
      <c r="BG672" s="235"/>
      <c r="BH672" s="235"/>
      <c r="BI672" s="235"/>
      <c r="BJ672" s="235"/>
      <c r="BK672" s="235"/>
      <c r="BL672" s="235"/>
      <c r="BM672" s="235"/>
      <c r="BN672" s="235"/>
      <c r="BO672" s="235"/>
    </row>
    <row r="673" ht="29.25" hidden="1" customHeight="1">
      <c r="A673" s="230"/>
      <c r="B673" s="231"/>
      <c r="C673" s="179"/>
      <c r="D673" s="179"/>
      <c r="E673" s="180"/>
      <c r="F673" s="162"/>
      <c r="G673" s="232"/>
      <c r="H673" s="22"/>
      <c r="I673" s="181"/>
      <c r="J673" s="182"/>
      <c r="K673" s="182"/>
      <c r="L673" s="182"/>
      <c r="M673" s="234"/>
      <c r="N673" s="28"/>
      <c r="O673" s="181"/>
      <c r="P673" s="183"/>
      <c r="Q673" s="104"/>
      <c r="R673" s="233"/>
      <c r="S673" s="164"/>
      <c r="T673" s="164"/>
      <c r="U673" s="162"/>
      <c r="V673" s="235"/>
      <c r="W673" s="235"/>
      <c r="X673" s="235"/>
      <c r="Y673" s="235"/>
      <c r="Z673" s="235"/>
      <c r="AA673" s="235"/>
      <c r="AB673" s="235"/>
      <c r="AC673" s="235"/>
      <c r="AD673" s="235"/>
      <c r="AE673" s="235"/>
      <c r="AF673" s="235"/>
      <c r="AG673" s="235"/>
      <c r="AH673" s="235"/>
      <c r="AI673" s="235"/>
      <c r="AJ673" s="235"/>
      <c r="AK673" s="235"/>
      <c r="AL673" s="235"/>
      <c r="AM673" s="235"/>
      <c r="AN673" s="235"/>
      <c r="AO673" s="235"/>
      <c r="AP673" s="235"/>
      <c r="AQ673" s="235"/>
      <c r="AR673" s="235"/>
      <c r="AS673" s="235"/>
      <c r="AT673" s="235"/>
      <c r="AU673" s="235"/>
      <c r="AV673" s="235"/>
      <c r="AW673" s="235"/>
      <c r="AX673" s="235"/>
      <c r="AY673" s="235"/>
      <c r="AZ673" s="235"/>
      <c r="BA673" s="235"/>
      <c r="BB673" s="235"/>
      <c r="BC673" s="235"/>
      <c r="BD673" s="235"/>
      <c r="BE673" s="235"/>
      <c r="BF673" s="235"/>
      <c r="BG673" s="235"/>
      <c r="BH673" s="235"/>
      <c r="BI673" s="235"/>
      <c r="BJ673" s="235"/>
      <c r="BK673" s="235"/>
      <c r="BL673" s="235"/>
      <c r="BM673" s="235"/>
      <c r="BN673" s="235"/>
      <c r="BO673" s="235"/>
    </row>
    <row r="674" ht="29.25" hidden="1" customHeight="1">
      <c r="A674" s="230"/>
      <c r="B674" s="231"/>
      <c r="C674" s="179"/>
      <c r="D674" s="179"/>
      <c r="E674" s="180"/>
      <c r="F674" s="162"/>
      <c r="G674" s="232"/>
      <c r="H674" s="22"/>
      <c r="I674" s="181"/>
      <c r="J674" s="182"/>
      <c r="K674" s="182"/>
      <c r="L674" s="182"/>
      <c r="M674" s="234"/>
      <c r="N674" s="28"/>
      <c r="O674" s="181"/>
      <c r="P674" s="183"/>
      <c r="Q674" s="104"/>
      <c r="R674" s="233"/>
      <c r="S674" s="164"/>
      <c r="T674" s="164"/>
      <c r="U674" s="162"/>
      <c r="V674" s="235"/>
      <c r="W674" s="235"/>
      <c r="X674" s="235"/>
      <c r="Y674" s="235"/>
      <c r="Z674" s="235"/>
      <c r="AA674" s="235"/>
      <c r="AB674" s="235"/>
      <c r="AC674" s="235"/>
      <c r="AD674" s="235"/>
      <c r="AE674" s="235"/>
      <c r="AF674" s="235"/>
      <c r="AG674" s="235"/>
      <c r="AH674" s="235"/>
      <c r="AI674" s="235"/>
      <c r="AJ674" s="235"/>
      <c r="AK674" s="235"/>
      <c r="AL674" s="235"/>
      <c r="AM674" s="235"/>
      <c r="AN674" s="235"/>
      <c r="AO674" s="235"/>
      <c r="AP674" s="235"/>
      <c r="AQ674" s="235"/>
      <c r="AR674" s="235"/>
      <c r="AS674" s="235"/>
      <c r="AT674" s="235"/>
      <c r="AU674" s="235"/>
      <c r="AV674" s="235"/>
      <c r="AW674" s="235"/>
      <c r="AX674" s="235"/>
      <c r="AY674" s="235"/>
      <c r="AZ674" s="235"/>
      <c r="BA674" s="235"/>
      <c r="BB674" s="235"/>
      <c r="BC674" s="235"/>
      <c r="BD674" s="235"/>
      <c r="BE674" s="235"/>
      <c r="BF674" s="235"/>
      <c r="BG674" s="235"/>
      <c r="BH674" s="235"/>
      <c r="BI674" s="235"/>
      <c r="BJ674" s="235"/>
      <c r="BK674" s="235"/>
      <c r="BL674" s="235"/>
      <c r="BM674" s="235"/>
      <c r="BN674" s="235"/>
      <c r="BO674" s="235"/>
    </row>
    <row r="675" ht="29.25" hidden="1" customHeight="1">
      <c r="A675" s="230"/>
      <c r="B675" s="231"/>
      <c r="C675" s="179"/>
      <c r="D675" s="179"/>
      <c r="E675" s="180"/>
      <c r="F675" s="162"/>
      <c r="G675" s="232"/>
      <c r="H675" s="22"/>
      <c r="I675" s="181"/>
      <c r="J675" s="182"/>
      <c r="K675" s="182"/>
      <c r="L675" s="182"/>
      <c r="M675" s="234"/>
      <c r="N675" s="28"/>
      <c r="O675" s="181"/>
      <c r="P675" s="183"/>
      <c r="Q675" s="104"/>
      <c r="R675" s="233"/>
      <c r="S675" s="164"/>
      <c r="T675" s="164"/>
      <c r="U675" s="162"/>
      <c r="V675" s="235"/>
      <c r="W675" s="235"/>
      <c r="X675" s="235"/>
      <c r="Y675" s="235"/>
      <c r="Z675" s="235"/>
      <c r="AA675" s="235"/>
      <c r="AB675" s="235"/>
      <c r="AC675" s="235"/>
      <c r="AD675" s="235"/>
      <c r="AE675" s="235"/>
      <c r="AF675" s="235"/>
      <c r="AG675" s="235"/>
      <c r="AH675" s="235"/>
      <c r="AI675" s="235"/>
      <c r="AJ675" s="235"/>
      <c r="AK675" s="235"/>
      <c r="AL675" s="235"/>
      <c r="AM675" s="235"/>
      <c r="AN675" s="235"/>
      <c r="AO675" s="235"/>
      <c r="AP675" s="235"/>
      <c r="AQ675" s="235"/>
      <c r="AR675" s="235"/>
      <c r="AS675" s="235"/>
      <c r="AT675" s="235"/>
      <c r="AU675" s="235"/>
      <c r="AV675" s="235"/>
      <c r="AW675" s="235"/>
      <c r="AX675" s="235"/>
      <c r="AY675" s="235"/>
      <c r="AZ675" s="235"/>
      <c r="BA675" s="235"/>
      <c r="BB675" s="235"/>
      <c r="BC675" s="235"/>
      <c r="BD675" s="235"/>
      <c r="BE675" s="235"/>
      <c r="BF675" s="235"/>
      <c r="BG675" s="235"/>
      <c r="BH675" s="235"/>
      <c r="BI675" s="235"/>
      <c r="BJ675" s="235"/>
      <c r="BK675" s="235"/>
      <c r="BL675" s="235"/>
      <c r="BM675" s="235"/>
      <c r="BN675" s="235"/>
      <c r="BO675" s="235"/>
    </row>
    <row r="676" ht="29.25" hidden="1" customHeight="1">
      <c r="A676" s="230"/>
      <c r="B676" s="231"/>
      <c r="C676" s="179"/>
      <c r="D676" s="179"/>
      <c r="E676" s="180"/>
      <c r="F676" s="162"/>
      <c r="G676" s="232"/>
      <c r="H676" s="22"/>
      <c r="I676" s="181"/>
      <c r="J676" s="182"/>
      <c r="K676" s="182"/>
      <c r="L676" s="182"/>
      <c r="M676" s="234"/>
      <c r="N676" s="28"/>
      <c r="O676" s="181"/>
      <c r="P676" s="183"/>
      <c r="Q676" s="104"/>
      <c r="R676" s="233"/>
      <c r="S676" s="164"/>
      <c r="T676" s="164"/>
      <c r="U676" s="162"/>
      <c r="V676" s="235"/>
      <c r="W676" s="235"/>
      <c r="X676" s="235"/>
      <c r="Y676" s="235"/>
      <c r="Z676" s="235"/>
      <c r="AA676" s="235"/>
      <c r="AB676" s="235"/>
      <c r="AC676" s="235"/>
      <c r="AD676" s="235"/>
      <c r="AE676" s="235"/>
      <c r="AF676" s="235"/>
      <c r="AG676" s="235"/>
      <c r="AH676" s="235"/>
      <c r="AI676" s="235"/>
      <c r="AJ676" s="235"/>
      <c r="AK676" s="235"/>
      <c r="AL676" s="235"/>
      <c r="AM676" s="235"/>
      <c r="AN676" s="235"/>
      <c r="AO676" s="235"/>
      <c r="AP676" s="235"/>
      <c r="AQ676" s="235"/>
      <c r="AR676" s="235"/>
      <c r="AS676" s="235"/>
      <c r="AT676" s="235"/>
      <c r="AU676" s="235"/>
      <c r="AV676" s="235"/>
      <c r="AW676" s="235"/>
      <c r="AX676" s="235"/>
      <c r="AY676" s="235"/>
      <c r="AZ676" s="235"/>
      <c r="BA676" s="235"/>
      <c r="BB676" s="235"/>
      <c r="BC676" s="235"/>
      <c r="BD676" s="235"/>
      <c r="BE676" s="235"/>
      <c r="BF676" s="235"/>
      <c r="BG676" s="235"/>
      <c r="BH676" s="235"/>
      <c r="BI676" s="235"/>
      <c r="BJ676" s="235"/>
      <c r="BK676" s="235"/>
      <c r="BL676" s="235"/>
      <c r="BM676" s="235"/>
      <c r="BN676" s="235"/>
      <c r="BO676" s="235"/>
    </row>
    <row r="677" ht="29.25" hidden="1" customHeight="1">
      <c r="A677" s="230"/>
      <c r="B677" s="231"/>
      <c r="C677" s="179"/>
      <c r="D677" s="179"/>
      <c r="E677" s="180"/>
      <c r="F677" s="162"/>
      <c r="G677" s="232"/>
      <c r="H677" s="22"/>
      <c r="I677" s="181"/>
      <c r="J677" s="182"/>
      <c r="K677" s="182"/>
      <c r="L677" s="182"/>
      <c r="M677" s="234"/>
      <c r="N677" s="28"/>
      <c r="O677" s="181"/>
      <c r="P677" s="183"/>
      <c r="Q677" s="104"/>
      <c r="R677" s="233"/>
      <c r="S677" s="164"/>
      <c r="T677" s="164"/>
      <c r="U677" s="162"/>
      <c r="V677" s="235"/>
      <c r="W677" s="235"/>
      <c r="X677" s="235"/>
      <c r="Y677" s="235"/>
      <c r="Z677" s="235"/>
      <c r="AA677" s="235"/>
      <c r="AB677" s="235"/>
      <c r="AC677" s="235"/>
      <c r="AD677" s="235"/>
      <c r="AE677" s="235"/>
      <c r="AF677" s="235"/>
      <c r="AG677" s="235"/>
      <c r="AH677" s="235"/>
      <c r="AI677" s="235"/>
      <c r="AJ677" s="235"/>
      <c r="AK677" s="235"/>
      <c r="AL677" s="235"/>
      <c r="AM677" s="235"/>
      <c r="AN677" s="235"/>
      <c r="AO677" s="235"/>
      <c r="AP677" s="235"/>
      <c r="AQ677" s="235"/>
      <c r="AR677" s="235"/>
      <c r="AS677" s="235"/>
      <c r="AT677" s="235"/>
      <c r="AU677" s="235"/>
      <c r="AV677" s="235"/>
      <c r="AW677" s="235"/>
      <c r="AX677" s="235"/>
      <c r="AY677" s="235"/>
      <c r="AZ677" s="235"/>
      <c r="BA677" s="235"/>
      <c r="BB677" s="235"/>
      <c r="BC677" s="235"/>
      <c r="BD677" s="235"/>
      <c r="BE677" s="235"/>
      <c r="BF677" s="235"/>
      <c r="BG677" s="235"/>
      <c r="BH677" s="235"/>
      <c r="BI677" s="235"/>
      <c r="BJ677" s="235"/>
      <c r="BK677" s="235"/>
      <c r="BL677" s="235"/>
      <c r="BM677" s="235"/>
      <c r="BN677" s="235"/>
      <c r="BO677" s="235"/>
    </row>
    <row r="678" ht="29.25" hidden="1" customHeight="1">
      <c r="A678" s="230"/>
      <c r="B678" s="231"/>
      <c r="C678" s="179"/>
      <c r="D678" s="179"/>
      <c r="E678" s="180"/>
      <c r="F678" s="162"/>
      <c r="G678" s="232"/>
      <c r="H678" s="22"/>
      <c r="I678" s="181"/>
      <c r="J678" s="182"/>
      <c r="K678" s="182"/>
      <c r="L678" s="182"/>
      <c r="M678" s="234"/>
      <c r="N678" s="28"/>
      <c r="O678" s="181"/>
      <c r="P678" s="183"/>
      <c r="Q678" s="104"/>
      <c r="R678" s="233"/>
      <c r="S678" s="164"/>
      <c r="T678" s="164"/>
      <c r="U678" s="162"/>
      <c r="V678" s="235"/>
      <c r="W678" s="235"/>
      <c r="X678" s="235"/>
      <c r="Y678" s="235"/>
      <c r="Z678" s="235"/>
      <c r="AA678" s="235"/>
      <c r="AB678" s="235"/>
      <c r="AC678" s="235"/>
      <c r="AD678" s="235"/>
      <c r="AE678" s="235"/>
      <c r="AF678" s="235"/>
      <c r="AG678" s="235"/>
      <c r="AH678" s="235"/>
      <c r="AI678" s="235"/>
      <c r="AJ678" s="235"/>
      <c r="AK678" s="235"/>
      <c r="AL678" s="235"/>
      <c r="AM678" s="235"/>
      <c r="AN678" s="235"/>
      <c r="AO678" s="235"/>
      <c r="AP678" s="235"/>
      <c r="AQ678" s="235"/>
      <c r="AR678" s="235"/>
      <c r="AS678" s="235"/>
      <c r="AT678" s="235"/>
      <c r="AU678" s="235"/>
      <c r="AV678" s="235"/>
      <c r="AW678" s="235"/>
      <c r="AX678" s="235"/>
      <c r="AY678" s="235"/>
      <c r="AZ678" s="235"/>
      <c r="BA678" s="235"/>
      <c r="BB678" s="235"/>
      <c r="BC678" s="235"/>
      <c r="BD678" s="235"/>
      <c r="BE678" s="235"/>
      <c r="BF678" s="235"/>
      <c r="BG678" s="235"/>
      <c r="BH678" s="235"/>
      <c r="BI678" s="235"/>
      <c r="BJ678" s="235"/>
      <c r="BK678" s="235"/>
      <c r="BL678" s="235"/>
      <c r="BM678" s="235"/>
      <c r="BN678" s="235"/>
      <c r="BO678" s="235"/>
    </row>
    <row r="679" ht="29.25" hidden="1" customHeight="1">
      <c r="A679" s="230"/>
      <c r="B679" s="231"/>
      <c r="C679" s="179"/>
      <c r="D679" s="179"/>
      <c r="E679" s="180"/>
      <c r="F679" s="162"/>
      <c r="G679" s="232"/>
      <c r="H679" s="22"/>
      <c r="I679" s="181"/>
      <c r="J679" s="182"/>
      <c r="K679" s="182"/>
      <c r="L679" s="182"/>
      <c r="M679" s="234"/>
      <c r="N679" s="28"/>
      <c r="O679" s="181"/>
      <c r="P679" s="183"/>
      <c r="Q679" s="104"/>
      <c r="R679" s="233"/>
      <c r="S679" s="164"/>
      <c r="T679" s="164"/>
      <c r="U679" s="162"/>
      <c r="V679" s="235"/>
      <c r="W679" s="235"/>
      <c r="X679" s="235"/>
      <c r="Y679" s="235"/>
      <c r="Z679" s="235"/>
      <c r="AA679" s="235"/>
      <c r="AB679" s="235"/>
      <c r="AC679" s="235"/>
      <c r="AD679" s="235"/>
      <c r="AE679" s="235"/>
      <c r="AF679" s="235"/>
      <c r="AG679" s="235"/>
      <c r="AH679" s="235"/>
      <c r="AI679" s="235"/>
      <c r="AJ679" s="235"/>
      <c r="AK679" s="235"/>
      <c r="AL679" s="235"/>
      <c r="AM679" s="235"/>
      <c r="AN679" s="235"/>
      <c r="AO679" s="235"/>
      <c r="AP679" s="235"/>
      <c r="AQ679" s="235"/>
      <c r="AR679" s="235"/>
      <c r="AS679" s="235"/>
      <c r="AT679" s="235"/>
      <c r="AU679" s="235"/>
      <c r="AV679" s="235"/>
      <c r="AW679" s="235"/>
      <c r="AX679" s="235"/>
      <c r="AY679" s="235"/>
      <c r="AZ679" s="235"/>
      <c r="BA679" s="235"/>
      <c r="BB679" s="235"/>
      <c r="BC679" s="235"/>
      <c r="BD679" s="235"/>
      <c r="BE679" s="235"/>
      <c r="BF679" s="235"/>
      <c r="BG679" s="235"/>
      <c r="BH679" s="235"/>
      <c r="BI679" s="235"/>
      <c r="BJ679" s="235"/>
      <c r="BK679" s="235"/>
      <c r="BL679" s="235"/>
      <c r="BM679" s="235"/>
      <c r="BN679" s="235"/>
      <c r="BO679" s="235"/>
    </row>
    <row r="680" ht="29.25" hidden="1" customHeight="1">
      <c r="A680" s="230"/>
      <c r="B680" s="231"/>
      <c r="C680" s="179"/>
      <c r="D680" s="179"/>
      <c r="E680" s="180"/>
      <c r="F680" s="162"/>
      <c r="G680" s="232"/>
      <c r="H680" s="22"/>
      <c r="I680" s="181"/>
      <c r="J680" s="182"/>
      <c r="K680" s="182"/>
      <c r="L680" s="182"/>
      <c r="M680" s="234"/>
      <c r="N680" s="28"/>
      <c r="O680" s="181"/>
      <c r="P680" s="183"/>
      <c r="Q680" s="104"/>
      <c r="R680" s="233"/>
      <c r="S680" s="164"/>
      <c r="T680" s="164"/>
      <c r="U680" s="162"/>
      <c r="V680" s="235"/>
      <c r="W680" s="235"/>
      <c r="X680" s="235"/>
      <c r="Y680" s="235"/>
      <c r="Z680" s="235"/>
      <c r="AA680" s="235"/>
      <c r="AB680" s="235"/>
      <c r="AC680" s="235"/>
      <c r="AD680" s="235"/>
      <c r="AE680" s="235"/>
      <c r="AF680" s="235"/>
      <c r="AG680" s="235"/>
      <c r="AH680" s="235"/>
      <c r="AI680" s="235"/>
      <c r="AJ680" s="235"/>
      <c r="AK680" s="235"/>
      <c r="AL680" s="235"/>
      <c r="AM680" s="235"/>
      <c r="AN680" s="235"/>
      <c r="AO680" s="235"/>
      <c r="AP680" s="235"/>
      <c r="AQ680" s="235"/>
      <c r="AR680" s="235"/>
      <c r="AS680" s="235"/>
      <c r="AT680" s="235"/>
      <c r="AU680" s="235"/>
      <c r="AV680" s="235"/>
      <c r="AW680" s="235"/>
      <c r="AX680" s="235"/>
      <c r="AY680" s="235"/>
      <c r="AZ680" s="235"/>
      <c r="BA680" s="235"/>
      <c r="BB680" s="235"/>
      <c r="BC680" s="235"/>
      <c r="BD680" s="235"/>
      <c r="BE680" s="235"/>
      <c r="BF680" s="235"/>
      <c r="BG680" s="235"/>
      <c r="BH680" s="235"/>
      <c r="BI680" s="235"/>
      <c r="BJ680" s="235"/>
      <c r="BK680" s="235"/>
      <c r="BL680" s="235"/>
      <c r="BM680" s="235"/>
      <c r="BN680" s="235"/>
      <c r="BO680" s="235"/>
    </row>
    <row r="681" ht="29.25" hidden="1" customHeight="1">
      <c r="A681" s="230"/>
      <c r="B681" s="231"/>
      <c r="C681" s="179"/>
      <c r="D681" s="179"/>
      <c r="E681" s="180"/>
      <c r="F681" s="162"/>
      <c r="G681" s="232"/>
      <c r="H681" s="22"/>
      <c r="I681" s="181"/>
      <c r="J681" s="182"/>
      <c r="K681" s="182"/>
      <c r="L681" s="182"/>
      <c r="M681" s="234"/>
      <c r="N681" s="28"/>
      <c r="O681" s="181"/>
      <c r="P681" s="183"/>
      <c r="Q681" s="104"/>
      <c r="R681" s="233"/>
      <c r="S681" s="164"/>
      <c r="T681" s="164"/>
      <c r="U681" s="162"/>
      <c r="V681" s="235"/>
      <c r="W681" s="235"/>
      <c r="X681" s="235"/>
      <c r="Y681" s="235"/>
      <c r="Z681" s="235"/>
      <c r="AA681" s="235"/>
      <c r="AB681" s="235"/>
      <c r="AC681" s="235"/>
      <c r="AD681" s="235"/>
      <c r="AE681" s="235"/>
      <c r="AF681" s="235"/>
      <c r="AG681" s="235"/>
      <c r="AH681" s="235"/>
      <c r="AI681" s="235"/>
      <c r="AJ681" s="235"/>
      <c r="AK681" s="235"/>
      <c r="AL681" s="235"/>
      <c r="AM681" s="235"/>
      <c r="AN681" s="235"/>
      <c r="AO681" s="235"/>
      <c r="AP681" s="235"/>
      <c r="AQ681" s="235"/>
      <c r="AR681" s="235"/>
      <c r="AS681" s="235"/>
      <c r="AT681" s="235"/>
      <c r="AU681" s="235"/>
      <c r="AV681" s="235"/>
      <c r="AW681" s="235"/>
      <c r="AX681" s="235"/>
      <c r="AY681" s="235"/>
      <c r="AZ681" s="235"/>
      <c r="BA681" s="235"/>
      <c r="BB681" s="235"/>
      <c r="BC681" s="235"/>
      <c r="BD681" s="235"/>
      <c r="BE681" s="235"/>
      <c r="BF681" s="235"/>
      <c r="BG681" s="235"/>
      <c r="BH681" s="235"/>
      <c r="BI681" s="235"/>
      <c r="BJ681" s="235"/>
      <c r="BK681" s="235"/>
      <c r="BL681" s="235"/>
      <c r="BM681" s="235"/>
      <c r="BN681" s="235"/>
      <c r="BO681" s="235"/>
    </row>
    <row r="682" ht="29.25" hidden="1" customHeight="1">
      <c r="A682" s="230"/>
      <c r="B682" s="231"/>
      <c r="C682" s="179"/>
      <c r="D682" s="179"/>
      <c r="E682" s="180"/>
      <c r="F682" s="162"/>
      <c r="G682" s="232"/>
      <c r="H682" s="22"/>
      <c r="I682" s="181"/>
      <c r="J682" s="182"/>
      <c r="K682" s="182"/>
      <c r="L682" s="182"/>
      <c r="M682" s="234"/>
      <c r="N682" s="28"/>
      <c r="O682" s="181"/>
      <c r="P682" s="183"/>
      <c r="Q682" s="104"/>
      <c r="R682" s="233"/>
      <c r="S682" s="164"/>
      <c r="T682" s="164"/>
      <c r="U682" s="162"/>
      <c r="V682" s="235"/>
      <c r="W682" s="235"/>
      <c r="X682" s="235"/>
      <c r="Y682" s="235"/>
      <c r="Z682" s="235"/>
      <c r="AA682" s="235"/>
      <c r="AB682" s="235"/>
      <c r="AC682" s="235"/>
      <c r="AD682" s="235"/>
      <c r="AE682" s="235"/>
      <c r="AF682" s="235"/>
      <c r="AG682" s="235"/>
      <c r="AH682" s="235"/>
      <c r="AI682" s="235"/>
      <c r="AJ682" s="235"/>
      <c r="AK682" s="235"/>
      <c r="AL682" s="235"/>
      <c r="AM682" s="235"/>
      <c r="AN682" s="235"/>
      <c r="AO682" s="235"/>
      <c r="AP682" s="235"/>
      <c r="AQ682" s="235"/>
      <c r="AR682" s="235"/>
      <c r="AS682" s="235"/>
      <c r="AT682" s="235"/>
      <c r="AU682" s="235"/>
      <c r="AV682" s="235"/>
      <c r="AW682" s="235"/>
      <c r="AX682" s="235"/>
      <c r="AY682" s="235"/>
      <c r="AZ682" s="235"/>
      <c r="BA682" s="235"/>
      <c r="BB682" s="235"/>
      <c r="BC682" s="235"/>
      <c r="BD682" s="235"/>
      <c r="BE682" s="235"/>
      <c r="BF682" s="235"/>
      <c r="BG682" s="235"/>
      <c r="BH682" s="235"/>
      <c r="BI682" s="235"/>
      <c r="BJ682" s="235"/>
      <c r="BK682" s="235"/>
      <c r="BL682" s="235"/>
      <c r="BM682" s="235"/>
      <c r="BN682" s="235"/>
      <c r="BO682" s="235"/>
    </row>
    <row r="683" ht="29.25" hidden="1" customHeight="1">
      <c r="A683" s="230"/>
      <c r="B683" s="231"/>
      <c r="C683" s="179"/>
      <c r="D683" s="179"/>
      <c r="E683" s="180"/>
      <c r="F683" s="162"/>
      <c r="G683" s="232"/>
      <c r="H683" s="22"/>
      <c r="I683" s="181"/>
      <c r="J683" s="182"/>
      <c r="K683" s="182"/>
      <c r="L683" s="182"/>
      <c r="M683" s="234"/>
      <c r="N683" s="28"/>
      <c r="O683" s="181"/>
      <c r="P683" s="183"/>
      <c r="Q683" s="104"/>
      <c r="R683" s="233"/>
      <c r="S683" s="164"/>
      <c r="T683" s="164"/>
      <c r="U683" s="162"/>
      <c r="V683" s="235"/>
      <c r="W683" s="235"/>
      <c r="X683" s="235"/>
      <c r="Y683" s="235"/>
      <c r="Z683" s="235"/>
      <c r="AA683" s="235"/>
      <c r="AB683" s="235"/>
      <c r="AC683" s="235"/>
      <c r="AD683" s="235"/>
      <c r="AE683" s="235"/>
      <c r="AF683" s="235"/>
      <c r="AG683" s="235"/>
      <c r="AH683" s="235"/>
      <c r="AI683" s="235"/>
      <c r="AJ683" s="235"/>
      <c r="AK683" s="235"/>
      <c r="AL683" s="235"/>
      <c r="AM683" s="235"/>
      <c r="AN683" s="235"/>
      <c r="AO683" s="235"/>
      <c r="AP683" s="235"/>
      <c r="AQ683" s="235"/>
      <c r="AR683" s="235"/>
      <c r="AS683" s="235"/>
      <c r="AT683" s="235"/>
      <c r="AU683" s="235"/>
      <c r="AV683" s="235"/>
      <c r="AW683" s="235"/>
      <c r="AX683" s="235"/>
      <c r="AY683" s="235"/>
      <c r="AZ683" s="235"/>
      <c r="BA683" s="235"/>
      <c r="BB683" s="235"/>
      <c r="BC683" s="235"/>
      <c r="BD683" s="235"/>
      <c r="BE683" s="235"/>
      <c r="BF683" s="235"/>
      <c r="BG683" s="235"/>
      <c r="BH683" s="235"/>
      <c r="BI683" s="235"/>
      <c r="BJ683" s="235"/>
      <c r="BK683" s="235"/>
      <c r="BL683" s="235"/>
      <c r="BM683" s="235"/>
      <c r="BN683" s="235"/>
      <c r="BO683" s="235"/>
    </row>
    <row r="684" ht="29.25" hidden="1" customHeight="1">
      <c r="A684" s="230"/>
      <c r="B684" s="231"/>
      <c r="C684" s="179"/>
      <c r="D684" s="179"/>
      <c r="E684" s="180"/>
      <c r="F684" s="162"/>
      <c r="G684" s="232"/>
      <c r="H684" s="22"/>
      <c r="I684" s="181"/>
      <c r="J684" s="182"/>
      <c r="K684" s="182"/>
      <c r="L684" s="182"/>
      <c r="M684" s="234"/>
      <c r="N684" s="28"/>
      <c r="O684" s="181"/>
      <c r="P684" s="183"/>
      <c r="Q684" s="104"/>
      <c r="R684" s="233"/>
      <c r="S684" s="164"/>
      <c r="T684" s="164"/>
      <c r="U684" s="162"/>
      <c r="V684" s="235"/>
      <c r="W684" s="235"/>
      <c r="X684" s="235"/>
      <c r="Y684" s="235"/>
      <c r="Z684" s="235"/>
      <c r="AA684" s="235"/>
      <c r="AB684" s="235"/>
      <c r="AC684" s="235"/>
      <c r="AD684" s="235"/>
      <c r="AE684" s="235"/>
      <c r="AF684" s="235"/>
      <c r="AG684" s="235"/>
      <c r="AH684" s="235"/>
      <c r="AI684" s="235"/>
      <c r="AJ684" s="235"/>
      <c r="AK684" s="235"/>
      <c r="AL684" s="235"/>
      <c r="AM684" s="235"/>
      <c r="AN684" s="235"/>
      <c r="AO684" s="235"/>
      <c r="AP684" s="235"/>
      <c r="AQ684" s="235"/>
      <c r="AR684" s="235"/>
      <c r="AS684" s="235"/>
      <c r="AT684" s="235"/>
      <c r="AU684" s="235"/>
      <c r="AV684" s="235"/>
      <c r="AW684" s="235"/>
      <c r="AX684" s="235"/>
      <c r="AY684" s="235"/>
      <c r="AZ684" s="235"/>
      <c r="BA684" s="235"/>
      <c r="BB684" s="235"/>
      <c r="BC684" s="235"/>
      <c r="BD684" s="235"/>
      <c r="BE684" s="235"/>
      <c r="BF684" s="235"/>
      <c r="BG684" s="235"/>
      <c r="BH684" s="235"/>
      <c r="BI684" s="235"/>
      <c r="BJ684" s="235"/>
      <c r="BK684" s="235"/>
      <c r="BL684" s="235"/>
      <c r="BM684" s="235"/>
      <c r="BN684" s="235"/>
      <c r="BO684" s="235"/>
    </row>
    <row r="685" ht="29.25" hidden="1" customHeight="1">
      <c r="A685" s="230"/>
      <c r="B685" s="231"/>
      <c r="C685" s="179"/>
      <c r="D685" s="179"/>
      <c r="E685" s="180"/>
      <c r="F685" s="162"/>
      <c r="G685" s="232"/>
      <c r="H685" s="22"/>
      <c r="I685" s="181"/>
      <c r="J685" s="182"/>
      <c r="K685" s="182"/>
      <c r="L685" s="182"/>
      <c r="M685" s="234"/>
      <c r="N685" s="28"/>
      <c r="O685" s="181"/>
      <c r="P685" s="183"/>
      <c r="Q685" s="104"/>
      <c r="R685" s="233"/>
      <c r="S685" s="164"/>
      <c r="T685" s="164"/>
      <c r="U685" s="162"/>
      <c r="V685" s="235"/>
      <c r="W685" s="235"/>
      <c r="X685" s="235"/>
      <c r="Y685" s="235"/>
      <c r="Z685" s="235"/>
      <c r="AA685" s="235"/>
      <c r="AB685" s="235"/>
      <c r="AC685" s="235"/>
      <c r="AD685" s="235"/>
      <c r="AE685" s="235"/>
      <c r="AF685" s="235"/>
      <c r="AG685" s="235"/>
      <c r="AH685" s="235"/>
      <c r="AI685" s="235"/>
      <c r="AJ685" s="235"/>
      <c r="AK685" s="235"/>
      <c r="AL685" s="235"/>
      <c r="AM685" s="235"/>
      <c r="AN685" s="235"/>
      <c r="AO685" s="235"/>
      <c r="AP685" s="235"/>
      <c r="AQ685" s="235"/>
      <c r="AR685" s="235"/>
      <c r="AS685" s="235"/>
      <c r="AT685" s="235"/>
      <c r="AU685" s="235"/>
      <c r="AV685" s="235"/>
      <c r="AW685" s="235"/>
      <c r="AX685" s="235"/>
      <c r="AY685" s="235"/>
      <c r="AZ685" s="235"/>
      <c r="BA685" s="235"/>
      <c r="BB685" s="235"/>
      <c r="BC685" s="235"/>
      <c r="BD685" s="235"/>
      <c r="BE685" s="235"/>
      <c r="BF685" s="235"/>
      <c r="BG685" s="235"/>
      <c r="BH685" s="235"/>
      <c r="BI685" s="235"/>
      <c r="BJ685" s="235"/>
      <c r="BK685" s="235"/>
      <c r="BL685" s="235"/>
      <c r="BM685" s="235"/>
      <c r="BN685" s="235"/>
      <c r="BO685" s="235"/>
    </row>
    <row r="686" ht="29.25" hidden="1" customHeight="1">
      <c r="A686" s="230"/>
      <c r="B686" s="231"/>
      <c r="C686" s="179"/>
      <c r="D686" s="179"/>
      <c r="E686" s="180"/>
      <c r="F686" s="162"/>
      <c r="G686" s="232"/>
      <c r="H686" s="22"/>
      <c r="I686" s="181"/>
      <c r="J686" s="182"/>
      <c r="K686" s="182"/>
      <c r="L686" s="182"/>
      <c r="M686" s="234"/>
      <c r="N686" s="28"/>
      <c r="O686" s="181"/>
      <c r="P686" s="183"/>
      <c r="Q686" s="104"/>
      <c r="R686" s="233"/>
      <c r="S686" s="164"/>
      <c r="T686" s="164"/>
      <c r="U686" s="162"/>
      <c r="V686" s="235"/>
      <c r="W686" s="235"/>
      <c r="X686" s="235"/>
      <c r="Y686" s="235"/>
      <c r="Z686" s="235"/>
      <c r="AA686" s="235"/>
      <c r="AB686" s="235"/>
      <c r="AC686" s="235"/>
      <c r="AD686" s="235"/>
      <c r="AE686" s="235"/>
      <c r="AF686" s="235"/>
      <c r="AG686" s="235"/>
      <c r="AH686" s="235"/>
      <c r="AI686" s="235"/>
      <c r="AJ686" s="235"/>
      <c r="AK686" s="235"/>
      <c r="AL686" s="235"/>
      <c r="AM686" s="235"/>
      <c r="AN686" s="235"/>
      <c r="AO686" s="235"/>
      <c r="AP686" s="235"/>
      <c r="AQ686" s="235"/>
      <c r="AR686" s="235"/>
      <c r="AS686" s="235"/>
      <c r="AT686" s="235"/>
      <c r="AU686" s="235"/>
      <c r="AV686" s="235"/>
      <c r="AW686" s="235"/>
      <c r="AX686" s="235"/>
      <c r="AY686" s="235"/>
      <c r="AZ686" s="235"/>
      <c r="BA686" s="235"/>
      <c r="BB686" s="235"/>
      <c r="BC686" s="235"/>
      <c r="BD686" s="235"/>
      <c r="BE686" s="235"/>
      <c r="BF686" s="235"/>
      <c r="BG686" s="235"/>
      <c r="BH686" s="235"/>
      <c r="BI686" s="235"/>
      <c r="BJ686" s="235"/>
      <c r="BK686" s="235"/>
      <c r="BL686" s="235"/>
      <c r="BM686" s="235"/>
      <c r="BN686" s="235"/>
      <c r="BO686" s="235"/>
    </row>
    <row r="687" ht="29.25" hidden="1" customHeight="1">
      <c r="A687" s="230"/>
      <c r="B687" s="231"/>
      <c r="C687" s="179"/>
      <c r="D687" s="179"/>
      <c r="E687" s="180"/>
      <c r="F687" s="162"/>
      <c r="G687" s="232"/>
      <c r="H687" s="22"/>
      <c r="I687" s="181"/>
      <c r="J687" s="182"/>
      <c r="K687" s="182"/>
      <c r="L687" s="182"/>
      <c r="M687" s="234"/>
      <c r="N687" s="28"/>
      <c r="O687" s="181"/>
      <c r="P687" s="183"/>
      <c r="Q687" s="104"/>
      <c r="R687" s="233"/>
      <c r="S687" s="164"/>
      <c r="T687" s="164"/>
      <c r="U687" s="162"/>
      <c r="V687" s="235"/>
      <c r="W687" s="235"/>
      <c r="X687" s="235"/>
      <c r="Y687" s="235"/>
      <c r="Z687" s="235"/>
      <c r="AA687" s="235"/>
      <c r="AB687" s="235"/>
      <c r="AC687" s="235"/>
      <c r="AD687" s="235"/>
      <c r="AE687" s="235"/>
      <c r="AF687" s="235"/>
      <c r="AG687" s="235"/>
      <c r="AH687" s="235"/>
      <c r="AI687" s="235"/>
      <c r="AJ687" s="235"/>
      <c r="AK687" s="235"/>
      <c r="AL687" s="235"/>
      <c r="AM687" s="235"/>
      <c r="AN687" s="235"/>
      <c r="AO687" s="235"/>
      <c r="AP687" s="235"/>
      <c r="AQ687" s="235"/>
      <c r="AR687" s="235"/>
      <c r="AS687" s="235"/>
      <c r="AT687" s="235"/>
      <c r="AU687" s="235"/>
      <c r="AV687" s="235"/>
      <c r="AW687" s="235"/>
      <c r="AX687" s="235"/>
      <c r="AY687" s="235"/>
      <c r="AZ687" s="235"/>
      <c r="BA687" s="235"/>
      <c r="BB687" s="235"/>
      <c r="BC687" s="235"/>
      <c r="BD687" s="235"/>
      <c r="BE687" s="235"/>
      <c r="BF687" s="235"/>
      <c r="BG687" s="235"/>
      <c r="BH687" s="235"/>
      <c r="BI687" s="235"/>
      <c r="BJ687" s="235"/>
      <c r="BK687" s="235"/>
      <c r="BL687" s="235"/>
      <c r="BM687" s="235"/>
      <c r="BN687" s="235"/>
      <c r="BO687" s="235"/>
    </row>
    <row r="688" ht="29.25" hidden="1" customHeight="1">
      <c r="A688" s="230"/>
      <c r="B688" s="231"/>
      <c r="C688" s="179"/>
      <c r="D688" s="179"/>
      <c r="E688" s="180"/>
      <c r="F688" s="162"/>
      <c r="G688" s="232"/>
      <c r="H688" s="22"/>
      <c r="I688" s="181"/>
      <c r="J688" s="182"/>
      <c r="K688" s="182"/>
      <c r="L688" s="182"/>
      <c r="M688" s="234"/>
      <c r="N688" s="28"/>
      <c r="O688" s="181"/>
      <c r="P688" s="183"/>
      <c r="Q688" s="104"/>
      <c r="R688" s="233"/>
      <c r="S688" s="164"/>
      <c r="T688" s="164"/>
      <c r="U688" s="162"/>
      <c r="V688" s="235"/>
      <c r="W688" s="235"/>
      <c r="X688" s="235"/>
      <c r="Y688" s="235"/>
      <c r="Z688" s="235"/>
      <c r="AA688" s="235"/>
      <c r="AB688" s="235"/>
      <c r="AC688" s="235"/>
      <c r="AD688" s="235"/>
      <c r="AE688" s="235"/>
      <c r="AF688" s="235"/>
      <c r="AG688" s="235"/>
      <c r="AH688" s="235"/>
      <c r="AI688" s="235"/>
      <c r="AJ688" s="235"/>
      <c r="AK688" s="235"/>
      <c r="AL688" s="235"/>
      <c r="AM688" s="235"/>
      <c r="AN688" s="235"/>
      <c r="AO688" s="235"/>
      <c r="AP688" s="235"/>
      <c r="AQ688" s="235"/>
      <c r="AR688" s="235"/>
      <c r="AS688" s="235"/>
      <c r="AT688" s="235"/>
      <c r="AU688" s="235"/>
      <c r="AV688" s="235"/>
      <c r="AW688" s="235"/>
      <c r="AX688" s="235"/>
      <c r="AY688" s="235"/>
      <c r="AZ688" s="235"/>
      <c r="BA688" s="235"/>
      <c r="BB688" s="235"/>
      <c r="BC688" s="235"/>
      <c r="BD688" s="235"/>
      <c r="BE688" s="235"/>
      <c r="BF688" s="235"/>
      <c r="BG688" s="235"/>
      <c r="BH688" s="235"/>
      <c r="BI688" s="235"/>
      <c r="BJ688" s="235"/>
      <c r="BK688" s="235"/>
      <c r="BL688" s="235"/>
      <c r="BM688" s="235"/>
      <c r="BN688" s="235"/>
      <c r="BO688" s="235"/>
    </row>
    <row r="689" ht="29.25" hidden="1" customHeight="1">
      <c r="A689" s="230"/>
      <c r="B689" s="231"/>
      <c r="C689" s="179"/>
      <c r="D689" s="179"/>
      <c r="E689" s="180"/>
      <c r="F689" s="162"/>
      <c r="G689" s="232"/>
      <c r="H689" s="22"/>
      <c r="I689" s="181"/>
      <c r="J689" s="182"/>
      <c r="K689" s="182"/>
      <c r="L689" s="182"/>
      <c r="M689" s="234"/>
      <c r="N689" s="28"/>
      <c r="O689" s="181"/>
      <c r="P689" s="183"/>
      <c r="Q689" s="104"/>
      <c r="R689" s="233"/>
      <c r="S689" s="164"/>
      <c r="T689" s="164"/>
      <c r="U689" s="162"/>
      <c r="V689" s="235"/>
      <c r="W689" s="235"/>
      <c r="X689" s="235"/>
      <c r="Y689" s="235"/>
      <c r="Z689" s="235"/>
      <c r="AA689" s="235"/>
      <c r="AB689" s="235"/>
      <c r="AC689" s="235"/>
      <c r="AD689" s="235"/>
      <c r="AE689" s="235"/>
      <c r="AF689" s="235"/>
      <c r="AG689" s="235"/>
      <c r="AH689" s="235"/>
      <c r="AI689" s="235"/>
      <c r="AJ689" s="235"/>
      <c r="AK689" s="235"/>
      <c r="AL689" s="235"/>
      <c r="AM689" s="235"/>
      <c r="AN689" s="235"/>
      <c r="AO689" s="235"/>
      <c r="AP689" s="235"/>
      <c r="AQ689" s="235"/>
      <c r="AR689" s="235"/>
      <c r="AS689" s="235"/>
      <c r="AT689" s="235"/>
      <c r="AU689" s="235"/>
      <c r="AV689" s="235"/>
      <c r="AW689" s="235"/>
      <c r="AX689" s="235"/>
      <c r="AY689" s="235"/>
      <c r="AZ689" s="235"/>
      <c r="BA689" s="235"/>
      <c r="BB689" s="235"/>
      <c r="BC689" s="235"/>
      <c r="BD689" s="235"/>
      <c r="BE689" s="235"/>
      <c r="BF689" s="235"/>
      <c r="BG689" s="235"/>
      <c r="BH689" s="235"/>
      <c r="BI689" s="235"/>
      <c r="BJ689" s="235"/>
      <c r="BK689" s="235"/>
      <c r="BL689" s="235"/>
      <c r="BM689" s="235"/>
      <c r="BN689" s="235"/>
      <c r="BO689" s="235"/>
    </row>
    <row r="690" ht="29.25" hidden="1" customHeight="1">
      <c r="A690" s="230"/>
      <c r="B690" s="231"/>
      <c r="C690" s="179"/>
      <c r="D690" s="179"/>
      <c r="E690" s="180"/>
      <c r="F690" s="162"/>
      <c r="G690" s="232"/>
      <c r="H690" s="22"/>
      <c r="I690" s="181"/>
      <c r="J690" s="182"/>
      <c r="K690" s="182"/>
      <c r="L690" s="182"/>
      <c r="M690" s="234"/>
      <c r="N690" s="28"/>
      <c r="O690" s="181"/>
      <c r="P690" s="183"/>
      <c r="Q690" s="104"/>
      <c r="R690" s="233"/>
      <c r="S690" s="164"/>
      <c r="T690" s="164"/>
      <c r="U690" s="162"/>
      <c r="V690" s="235"/>
      <c r="W690" s="235"/>
      <c r="X690" s="235"/>
      <c r="Y690" s="235"/>
      <c r="Z690" s="235"/>
      <c r="AA690" s="235"/>
      <c r="AB690" s="235"/>
      <c r="AC690" s="235"/>
      <c r="AD690" s="235"/>
      <c r="AE690" s="235"/>
      <c r="AF690" s="235"/>
      <c r="AG690" s="235"/>
      <c r="AH690" s="235"/>
      <c r="AI690" s="235"/>
      <c r="AJ690" s="235"/>
      <c r="AK690" s="235"/>
      <c r="AL690" s="235"/>
      <c r="AM690" s="235"/>
      <c r="AN690" s="235"/>
      <c r="AO690" s="235"/>
      <c r="AP690" s="235"/>
      <c r="AQ690" s="235"/>
      <c r="AR690" s="235"/>
      <c r="AS690" s="235"/>
      <c r="AT690" s="235"/>
      <c r="AU690" s="235"/>
      <c r="AV690" s="235"/>
      <c r="AW690" s="235"/>
      <c r="AX690" s="235"/>
      <c r="AY690" s="235"/>
      <c r="AZ690" s="235"/>
      <c r="BA690" s="235"/>
      <c r="BB690" s="235"/>
      <c r="BC690" s="235"/>
      <c r="BD690" s="235"/>
      <c r="BE690" s="235"/>
      <c r="BF690" s="235"/>
      <c r="BG690" s="235"/>
      <c r="BH690" s="235"/>
      <c r="BI690" s="235"/>
      <c r="BJ690" s="235"/>
      <c r="BK690" s="235"/>
      <c r="BL690" s="235"/>
      <c r="BM690" s="235"/>
      <c r="BN690" s="235"/>
      <c r="BO690" s="235"/>
    </row>
    <row r="691" ht="29.25" hidden="1" customHeight="1">
      <c r="A691" s="230"/>
      <c r="B691" s="231"/>
      <c r="C691" s="179"/>
      <c r="D691" s="179"/>
      <c r="E691" s="180"/>
      <c r="F691" s="162"/>
      <c r="G691" s="232"/>
      <c r="H691" s="22"/>
      <c r="I691" s="181"/>
      <c r="J691" s="182"/>
      <c r="K691" s="182"/>
      <c r="L691" s="182"/>
      <c r="M691" s="234"/>
      <c r="N691" s="28"/>
      <c r="O691" s="181"/>
      <c r="P691" s="183"/>
      <c r="Q691" s="104"/>
      <c r="R691" s="233"/>
      <c r="S691" s="164"/>
      <c r="T691" s="164"/>
      <c r="U691" s="162"/>
      <c r="V691" s="235"/>
      <c r="W691" s="235"/>
      <c r="X691" s="235"/>
      <c r="Y691" s="235"/>
      <c r="Z691" s="235"/>
      <c r="AA691" s="235"/>
      <c r="AB691" s="235"/>
      <c r="AC691" s="235"/>
      <c r="AD691" s="235"/>
      <c r="AE691" s="235"/>
      <c r="AF691" s="235"/>
      <c r="AG691" s="235"/>
      <c r="AH691" s="235"/>
      <c r="AI691" s="235"/>
      <c r="AJ691" s="235"/>
      <c r="AK691" s="235"/>
      <c r="AL691" s="235"/>
      <c r="AM691" s="235"/>
      <c r="AN691" s="235"/>
      <c r="AO691" s="235"/>
      <c r="AP691" s="235"/>
      <c r="AQ691" s="235"/>
      <c r="AR691" s="235"/>
      <c r="AS691" s="235"/>
      <c r="AT691" s="235"/>
      <c r="AU691" s="235"/>
      <c r="AV691" s="235"/>
      <c r="AW691" s="235"/>
      <c r="AX691" s="235"/>
      <c r="AY691" s="235"/>
      <c r="AZ691" s="235"/>
      <c r="BA691" s="235"/>
      <c r="BB691" s="235"/>
      <c r="BC691" s="235"/>
      <c r="BD691" s="235"/>
      <c r="BE691" s="235"/>
      <c r="BF691" s="235"/>
      <c r="BG691" s="235"/>
      <c r="BH691" s="235"/>
      <c r="BI691" s="235"/>
      <c r="BJ691" s="235"/>
      <c r="BK691" s="235"/>
      <c r="BL691" s="235"/>
      <c r="BM691" s="235"/>
      <c r="BN691" s="235"/>
      <c r="BO691" s="235"/>
    </row>
    <row r="692" ht="29.25" hidden="1" customHeight="1">
      <c r="A692" s="230"/>
      <c r="B692" s="231"/>
      <c r="C692" s="179"/>
      <c r="D692" s="179"/>
      <c r="E692" s="180"/>
      <c r="F692" s="162"/>
      <c r="G692" s="232"/>
      <c r="H692" s="22"/>
      <c r="I692" s="181"/>
      <c r="J692" s="182"/>
      <c r="K692" s="182"/>
      <c r="L692" s="182"/>
      <c r="M692" s="234"/>
      <c r="N692" s="28"/>
      <c r="O692" s="181"/>
      <c r="P692" s="183"/>
      <c r="Q692" s="104"/>
      <c r="R692" s="233"/>
      <c r="S692" s="164"/>
      <c r="T692" s="164"/>
      <c r="U692" s="162"/>
      <c r="V692" s="235"/>
      <c r="W692" s="235"/>
      <c r="X692" s="235"/>
      <c r="Y692" s="235"/>
      <c r="Z692" s="235"/>
      <c r="AA692" s="235"/>
      <c r="AB692" s="235"/>
      <c r="AC692" s="235"/>
      <c r="AD692" s="235"/>
      <c r="AE692" s="235"/>
      <c r="AF692" s="235"/>
      <c r="AG692" s="235"/>
      <c r="AH692" s="235"/>
      <c r="AI692" s="235"/>
      <c r="AJ692" s="235"/>
      <c r="AK692" s="235"/>
      <c r="AL692" s="235"/>
      <c r="AM692" s="235"/>
      <c r="AN692" s="235"/>
      <c r="AO692" s="235"/>
      <c r="AP692" s="235"/>
      <c r="AQ692" s="235"/>
      <c r="AR692" s="235"/>
      <c r="AS692" s="235"/>
      <c r="AT692" s="235"/>
      <c r="AU692" s="235"/>
      <c r="AV692" s="235"/>
      <c r="AW692" s="235"/>
      <c r="AX692" s="235"/>
      <c r="AY692" s="235"/>
      <c r="AZ692" s="235"/>
      <c r="BA692" s="235"/>
      <c r="BB692" s="235"/>
      <c r="BC692" s="235"/>
      <c r="BD692" s="235"/>
      <c r="BE692" s="235"/>
      <c r="BF692" s="235"/>
      <c r="BG692" s="235"/>
      <c r="BH692" s="235"/>
      <c r="BI692" s="235"/>
      <c r="BJ692" s="235"/>
      <c r="BK692" s="235"/>
      <c r="BL692" s="235"/>
      <c r="BM692" s="235"/>
      <c r="BN692" s="235"/>
      <c r="BO692" s="235"/>
    </row>
    <row r="693" ht="29.25" hidden="1" customHeight="1">
      <c r="A693" s="230"/>
      <c r="B693" s="231"/>
      <c r="C693" s="179"/>
      <c r="D693" s="179"/>
      <c r="E693" s="180"/>
      <c r="F693" s="162"/>
      <c r="G693" s="232"/>
      <c r="H693" s="22"/>
      <c r="I693" s="181"/>
      <c r="J693" s="182"/>
      <c r="K693" s="182"/>
      <c r="L693" s="182"/>
      <c r="M693" s="234"/>
      <c r="N693" s="28"/>
      <c r="O693" s="181"/>
      <c r="P693" s="183"/>
      <c r="Q693" s="104"/>
      <c r="R693" s="233"/>
      <c r="S693" s="164"/>
      <c r="T693" s="164"/>
      <c r="U693" s="162"/>
      <c r="V693" s="235"/>
      <c r="W693" s="235"/>
      <c r="X693" s="235"/>
      <c r="Y693" s="235"/>
      <c r="Z693" s="235"/>
      <c r="AA693" s="235"/>
      <c r="AB693" s="235"/>
      <c r="AC693" s="235"/>
      <c r="AD693" s="235"/>
      <c r="AE693" s="235"/>
      <c r="AF693" s="235"/>
      <c r="AG693" s="235"/>
      <c r="AH693" s="235"/>
      <c r="AI693" s="235"/>
      <c r="AJ693" s="235"/>
      <c r="AK693" s="235"/>
      <c r="AL693" s="235"/>
      <c r="AM693" s="235"/>
      <c r="AN693" s="235"/>
      <c r="AO693" s="235"/>
      <c r="AP693" s="235"/>
      <c r="AQ693" s="235"/>
      <c r="AR693" s="235"/>
      <c r="AS693" s="235"/>
      <c r="AT693" s="235"/>
      <c r="AU693" s="235"/>
      <c r="AV693" s="235"/>
      <c r="AW693" s="235"/>
      <c r="AX693" s="235"/>
      <c r="AY693" s="235"/>
      <c r="AZ693" s="235"/>
      <c r="BA693" s="235"/>
      <c r="BB693" s="235"/>
      <c r="BC693" s="235"/>
      <c r="BD693" s="235"/>
      <c r="BE693" s="235"/>
      <c r="BF693" s="235"/>
      <c r="BG693" s="235"/>
      <c r="BH693" s="235"/>
      <c r="BI693" s="235"/>
      <c r="BJ693" s="235"/>
      <c r="BK693" s="235"/>
      <c r="BL693" s="235"/>
      <c r="BM693" s="235"/>
      <c r="BN693" s="235"/>
      <c r="BO693" s="235"/>
    </row>
    <row r="694" ht="29.25" hidden="1" customHeight="1">
      <c r="A694" s="230"/>
      <c r="B694" s="231"/>
      <c r="C694" s="179"/>
      <c r="D694" s="179"/>
      <c r="E694" s="180"/>
      <c r="F694" s="162"/>
      <c r="G694" s="232"/>
      <c r="H694" s="22"/>
      <c r="I694" s="181"/>
      <c r="J694" s="182"/>
      <c r="K694" s="182"/>
      <c r="L694" s="182"/>
      <c r="M694" s="234"/>
      <c r="N694" s="28"/>
      <c r="O694" s="181"/>
      <c r="P694" s="183"/>
      <c r="Q694" s="104"/>
      <c r="R694" s="233"/>
      <c r="S694" s="164"/>
      <c r="T694" s="164"/>
      <c r="U694" s="162"/>
      <c r="V694" s="235"/>
      <c r="W694" s="235"/>
      <c r="X694" s="235"/>
      <c r="Y694" s="235"/>
      <c r="Z694" s="235"/>
      <c r="AA694" s="235"/>
      <c r="AB694" s="235"/>
      <c r="AC694" s="235"/>
      <c r="AD694" s="235"/>
      <c r="AE694" s="235"/>
      <c r="AF694" s="235"/>
      <c r="AG694" s="235"/>
      <c r="AH694" s="235"/>
      <c r="AI694" s="235"/>
      <c r="AJ694" s="235"/>
      <c r="AK694" s="235"/>
      <c r="AL694" s="235"/>
      <c r="AM694" s="235"/>
      <c r="AN694" s="235"/>
      <c r="AO694" s="235"/>
      <c r="AP694" s="235"/>
      <c r="AQ694" s="235"/>
      <c r="AR694" s="235"/>
      <c r="AS694" s="235"/>
      <c r="AT694" s="235"/>
      <c r="AU694" s="235"/>
      <c r="AV694" s="235"/>
      <c r="AW694" s="235"/>
      <c r="AX694" s="235"/>
      <c r="AY694" s="235"/>
      <c r="AZ694" s="235"/>
      <c r="BA694" s="235"/>
      <c r="BB694" s="235"/>
      <c r="BC694" s="235"/>
      <c r="BD694" s="235"/>
      <c r="BE694" s="235"/>
      <c r="BF694" s="235"/>
      <c r="BG694" s="235"/>
      <c r="BH694" s="235"/>
      <c r="BI694" s="235"/>
      <c r="BJ694" s="235"/>
      <c r="BK694" s="235"/>
      <c r="BL694" s="235"/>
      <c r="BM694" s="235"/>
      <c r="BN694" s="235"/>
      <c r="BO694" s="235"/>
    </row>
    <row r="695" ht="29.25" hidden="1" customHeight="1">
      <c r="A695" s="230"/>
      <c r="B695" s="231"/>
      <c r="C695" s="179"/>
      <c r="D695" s="179"/>
      <c r="E695" s="180"/>
      <c r="F695" s="162"/>
      <c r="G695" s="232"/>
      <c r="H695" s="22"/>
      <c r="I695" s="181"/>
      <c r="J695" s="182"/>
      <c r="K695" s="182"/>
      <c r="L695" s="182"/>
      <c r="M695" s="234"/>
      <c r="N695" s="28"/>
      <c r="O695" s="181"/>
      <c r="P695" s="183"/>
      <c r="Q695" s="104"/>
      <c r="R695" s="233"/>
      <c r="S695" s="164"/>
      <c r="T695" s="164"/>
      <c r="U695" s="162"/>
      <c r="V695" s="235"/>
      <c r="W695" s="235"/>
      <c r="X695" s="235"/>
      <c r="Y695" s="235"/>
      <c r="Z695" s="235"/>
      <c r="AA695" s="235"/>
      <c r="AB695" s="235"/>
      <c r="AC695" s="235"/>
      <c r="AD695" s="235"/>
      <c r="AE695" s="235"/>
      <c r="AF695" s="235"/>
      <c r="AG695" s="235"/>
      <c r="AH695" s="235"/>
      <c r="AI695" s="235"/>
      <c r="AJ695" s="235"/>
      <c r="AK695" s="235"/>
      <c r="AL695" s="235"/>
      <c r="AM695" s="235"/>
      <c r="AN695" s="235"/>
      <c r="AO695" s="235"/>
      <c r="AP695" s="235"/>
      <c r="AQ695" s="235"/>
      <c r="AR695" s="235"/>
      <c r="AS695" s="235"/>
      <c r="AT695" s="235"/>
      <c r="AU695" s="235"/>
      <c r="AV695" s="235"/>
      <c r="AW695" s="235"/>
      <c r="AX695" s="235"/>
      <c r="AY695" s="235"/>
      <c r="AZ695" s="235"/>
      <c r="BA695" s="235"/>
      <c r="BB695" s="235"/>
      <c r="BC695" s="235"/>
      <c r="BD695" s="235"/>
      <c r="BE695" s="235"/>
      <c r="BF695" s="235"/>
      <c r="BG695" s="235"/>
      <c r="BH695" s="235"/>
      <c r="BI695" s="235"/>
      <c r="BJ695" s="235"/>
      <c r="BK695" s="235"/>
      <c r="BL695" s="235"/>
      <c r="BM695" s="235"/>
      <c r="BN695" s="235"/>
      <c r="BO695" s="235"/>
    </row>
    <row r="696" ht="29.25" hidden="1" customHeight="1">
      <c r="A696" s="230"/>
      <c r="B696" s="231"/>
      <c r="C696" s="179"/>
      <c r="D696" s="179"/>
      <c r="E696" s="180"/>
      <c r="F696" s="162"/>
      <c r="G696" s="232"/>
      <c r="H696" s="22"/>
      <c r="I696" s="181"/>
      <c r="J696" s="182"/>
      <c r="K696" s="182"/>
      <c r="L696" s="182"/>
      <c r="M696" s="234"/>
      <c r="N696" s="28"/>
      <c r="O696" s="181"/>
      <c r="P696" s="183"/>
      <c r="Q696" s="104"/>
      <c r="R696" s="233"/>
      <c r="S696" s="164"/>
      <c r="T696" s="164"/>
      <c r="U696" s="162"/>
      <c r="V696" s="235"/>
      <c r="W696" s="235"/>
      <c r="X696" s="235"/>
      <c r="Y696" s="235"/>
      <c r="Z696" s="235"/>
      <c r="AA696" s="235"/>
      <c r="AB696" s="235"/>
      <c r="AC696" s="235"/>
      <c r="AD696" s="235"/>
      <c r="AE696" s="235"/>
      <c r="AF696" s="235"/>
      <c r="AG696" s="235"/>
      <c r="AH696" s="235"/>
      <c r="AI696" s="235"/>
      <c r="AJ696" s="235"/>
      <c r="AK696" s="235"/>
      <c r="AL696" s="235"/>
      <c r="AM696" s="235"/>
      <c r="AN696" s="235"/>
      <c r="AO696" s="235"/>
      <c r="AP696" s="235"/>
      <c r="AQ696" s="235"/>
      <c r="AR696" s="235"/>
      <c r="AS696" s="235"/>
      <c r="AT696" s="235"/>
      <c r="AU696" s="235"/>
      <c r="AV696" s="235"/>
      <c r="AW696" s="235"/>
      <c r="AX696" s="235"/>
      <c r="AY696" s="235"/>
      <c r="AZ696" s="235"/>
      <c r="BA696" s="235"/>
      <c r="BB696" s="235"/>
      <c r="BC696" s="235"/>
      <c r="BD696" s="235"/>
      <c r="BE696" s="235"/>
      <c r="BF696" s="235"/>
      <c r="BG696" s="235"/>
      <c r="BH696" s="235"/>
      <c r="BI696" s="235"/>
      <c r="BJ696" s="235"/>
      <c r="BK696" s="235"/>
      <c r="BL696" s="235"/>
      <c r="BM696" s="235"/>
      <c r="BN696" s="235"/>
      <c r="BO696" s="235"/>
    </row>
    <row r="697" ht="29.25" hidden="1" customHeight="1">
      <c r="A697" s="230"/>
      <c r="B697" s="231"/>
      <c r="C697" s="179"/>
      <c r="D697" s="179"/>
      <c r="E697" s="180"/>
      <c r="F697" s="162"/>
      <c r="G697" s="232"/>
      <c r="H697" s="22"/>
      <c r="I697" s="181"/>
      <c r="J697" s="182"/>
      <c r="K697" s="182"/>
      <c r="L697" s="182"/>
      <c r="M697" s="234"/>
      <c r="N697" s="28"/>
      <c r="O697" s="181"/>
      <c r="P697" s="183"/>
      <c r="Q697" s="104"/>
      <c r="R697" s="233"/>
      <c r="S697" s="164"/>
      <c r="T697" s="164"/>
      <c r="U697" s="162"/>
      <c r="V697" s="235"/>
      <c r="W697" s="235"/>
      <c r="X697" s="235"/>
      <c r="Y697" s="235"/>
      <c r="Z697" s="235"/>
      <c r="AA697" s="235"/>
      <c r="AB697" s="235"/>
      <c r="AC697" s="235"/>
      <c r="AD697" s="235"/>
      <c r="AE697" s="235"/>
      <c r="AF697" s="235"/>
      <c r="AG697" s="235"/>
      <c r="AH697" s="235"/>
      <c r="AI697" s="235"/>
      <c r="AJ697" s="235"/>
      <c r="AK697" s="235"/>
      <c r="AL697" s="235"/>
      <c r="AM697" s="235"/>
      <c r="AN697" s="235"/>
      <c r="AO697" s="235"/>
      <c r="AP697" s="235"/>
      <c r="AQ697" s="235"/>
      <c r="AR697" s="235"/>
      <c r="AS697" s="235"/>
      <c r="AT697" s="235"/>
      <c r="AU697" s="235"/>
      <c r="AV697" s="235"/>
      <c r="AW697" s="235"/>
      <c r="AX697" s="235"/>
      <c r="AY697" s="235"/>
      <c r="AZ697" s="235"/>
      <c r="BA697" s="235"/>
      <c r="BB697" s="235"/>
      <c r="BC697" s="235"/>
      <c r="BD697" s="235"/>
      <c r="BE697" s="235"/>
      <c r="BF697" s="235"/>
      <c r="BG697" s="235"/>
      <c r="BH697" s="235"/>
      <c r="BI697" s="235"/>
      <c r="BJ697" s="235"/>
      <c r="BK697" s="235"/>
      <c r="BL697" s="235"/>
      <c r="BM697" s="235"/>
      <c r="BN697" s="235"/>
      <c r="BO697" s="235"/>
    </row>
    <row r="698" ht="29.25" hidden="1" customHeight="1">
      <c r="A698" s="230"/>
      <c r="B698" s="231"/>
      <c r="C698" s="179"/>
      <c r="D698" s="179"/>
      <c r="E698" s="180"/>
      <c r="F698" s="162"/>
      <c r="G698" s="232"/>
      <c r="H698" s="22"/>
      <c r="I698" s="181"/>
      <c r="J698" s="182"/>
      <c r="K698" s="182"/>
      <c r="L698" s="182"/>
      <c r="M698" s="234"/>
      <c r="N698" s="28"/>
      <c r="O698" s="181"/>
      <c r="P698" s="183"/>
      <c r="Q698" s="104"/>
      <c r="R698" s="233"/>
      <c r="S698" s="164"/>
      <c r="T698" s="164"/>
      <c r="U698" s="162"/>
      <c r="V698" s="235"/>
      <c r="W698" s="235"/>
      <c r="X698" s="235"/>
      <c r="Y698" s="235"/>
      <c r="Z698" s="235"/>
      <c r="AA698" s="235"/>
      <c r="AB698" s="235"/>
      <c r="AC698" s="235"/>
      <c r="AD698" s="235"/>
      <c r="AE698" s="235"/>
      <c r="AF698" s="235"/>
      <c r="AG698" s="235"/>
      <c r="AH698" s="235"/>
      <c r="AI698" s="235"/>
      <c r="AJ698" s="235"/>
      <c r="AK698" s="235"/>
      <c r="AL698" s="235"/>
      <c r="AM698" s="235"/>
      <c r="AN698" s="235"/>
      <c r="AO698" s="235"/>
      <c r="AP698" s="235"/>
      <c r="AQ698" s="235"/>
      <c r="AR698" s="235"/>
      <c r="AS698" s="235"/>
      <c r="AT698" s="235"/>
      <c r="AU698" s="235"/>
      <c r="AV698" s="235"/>
      <c r="AW698" s="235"/>
      <c r="AX698" s="235"/>
      <c r="AY698" s="235"/>
      <c r="AZ698" s="235"/>
      <c r="BA698" s="235"/>
      <c r="BB698" s="235"/>
      <c r="BC698" s="235"/>
      <c r="BD698" s="235"/>
      <c r="BE698" s="235"/>
      <c r="BF698" s="235"/>
      <c r="BG698" s="235"/>
      <c r="BH698" s="235"/>
      <c r="BI698" s="235"/>
      <c r="BJ698" s="235"/>
      <c r="BK698" s="235"/>
      <c r="BL698" s="235"/>
      <c r="BM698" s="235"/>
      <c r="BN698" s="235"/>
      <c r="BO698" s="235"/>
    </row>
    <row r="699" ht="29.25" hidden="1" customHeight="1">
      <c r="A699" s="230"/>
      <c r="B699" s="231"/>
      <c r="C699" s="179"/>
      <c r="D699" s="179"/>
      <c r="E699" s="180"/>
      <c r="F699" s="162"/>
      <c r="G699" s="232"/>
      <c r="H699" s="22"/>
      <c r="I699" s="181"/>
      <c r="J699" s="182"/>
      <c r="K699" s="182"/>
      <c r="L699" s="182"/>
      <c r="M699" s="234"/>
      <c r="N699" s="28"/>
      <c r="O699" s="181"/>
      <c r="P699" s="183"/>
      <c r="Q699" s="104"/>
      <c r="R699" s="233"/>
      <c r="S699" s="164"/>
      <c r="T699" s="164"/>
      <c r="U699" s="162"/>
      <c r="V699" s="235"/>
      <c r="W699" s="235"/>
      <c r="X699" s="235"/>
      <c r="Y699" s="235"/>
      <c r="Z699" s="235"/>
      <c r="AA699" s="235"/>
      <c r="AB699" s="235"/>
      <c r="AC699" s="235"/>
      <c r="AD699" s="235"/>
      <c r="AE699" s="235"/>
      <c r="AF699" s="235"/>
      <c r="AG699" s="235"/>
      <c r="AH699" s="235"/>
      <c r="AI699" s="235"/>
      <c r="AJ699" s="235"/>
      <c r="AK699" s="235"/>
      <c r="AL699" s="235"/>
      <c r="AM699" s="235"/>
      <c r="AN699" s="235"/>
      <c r="AO699" s="235"/>
      <c r="AP699" s="235"/>
      <c r="AQ699" s="235"/>
      <c r="AR699" s="235"/>
      <c r="AS699" s="235"/>
      <c r="AT699" s="235"/>
      <c r="AU699" s="235"/>
      <c r="AV699" s="235"/>
      <c r="AW699" s="235"/>
      <c r="AX699" s="235"/>
      <c r="AY699" s="235"/>
      <c r="AZ699" s="235"/>
      <c r="BA699" s="235"/>
      <c r="BB699" s="235"/>
      <c r="BC699" s="235"/>
      <c r="BD699" s="235"/>
      <c r="BE699" s="235"/>
      <c r="BF699" s="235"/>
      <c r="BG699" s="235"/>
      <c r="BH699" s="235"/>
      <c r="BI699" s="235"/>
      <c r="BJ699" s="235"/>
      <c r="BK699" s="235"/>
      <c r="BL699" s="235"/>
      <c r="BM699" s="235"/>
      <c r="BN699" s="235"/>
      <c r="BO699" s="235"/>
    </row>
    <row r="700" ht="29.25" hidden="1" customHeight="1">
      <c r="A700" s="230"/>
      <c r="B700" s="231"/>
      <c r="C700" s="179"/>
      <c r="D700" s="179"/>
      <c r="E700" s="180"/>
      <c r="F700" s="162"/>
      <c r="G700" s="232"/>
      <c r="H700" s="22"/>
      <c r="I700" s="181"/>
      <c r="J700" s="182"/>
      <c r="K700" s="182"/>
      <c r="L700" s="182"/>
      <c r="M700" s="234"/>
      <c r="N700" s="28"/>
      <c r="O700" s="181"/>
      <c r="P700" s="183"/>
      <c r="Q700" s="104"/>
      <c r="R700" s="233"/>
      <c r="S700" s="164"/>
      <c r="T700" s="164"/>
      <c r="U700" s="162"/>
      <c r="V700" s="235"/>
      <c r="W700" s="235"/>
      <c r="X700" s="235"/>
      <c r="Y700" s="235"/>
      <c r="Z700" s="235"/>
      <c r="AA700" s="235"/>
      <c r="AB700" s="235"/>
      <c r="AC700" s="235"/>
      <c r="AD700" s="235"/>
      <c r="AE700" s="235"/>
      <c r="AF700" s="235"/>
      <c r="AG700" s="235"/>
      <c r="AH700" s="235"/>
      <c r="AI700" s="235"/>
      <c r="AJ700" s="235"/>
      <c r="AK700" s="235"/>
      <c r="AL700" s="235"/>
      <c r="AM700" s="235"/>
      <c r="AN700" s="235"/>
      <c r="AO700" s="235"/>
      <c r="AP700" s="235"/>
      <c r="AQ700" s="235"/>
      <c r="AR700" s="235"/>
      <c r="AS700" s="235"/>
      <c r="AT700" s="235"/>
      <c r="AU700" s="235"/>
      <c r="AV700" s="235"/>
      <c r="AW700" s="235"/>
      <c r="AX700" s="235"/>
      <c r="AY700" s="235"/>
      <c r="AZ700" s="235"/>
      <c r="BA700" s="235"/>
      <c r="BB700" s="235"/>
      <c r="BC700" s="235"/>
      <c r="BD700" s="235"/>
      <c r="BE700" s="235"/>
      <c r="BF700" s="235"/>
      <c r="BG700" s="235"/>
      <c r="BH700" s="235"/>
      <c r="BI700" s="235"/>
      <c r="BJ700" s="235"/>
      <c r="BK700" s="235"/>
      <c r="BL700" s="235"/>
      <c r="BM700" s="235"/>
      <c r="BN700" s="235"/>
      <c r="BO700" s="235"/>
    </row>
    <row r="701" ht="29.25" hidden="1" customHeight="1">
      <c r="A701" s="230"/>
      <c r="B701" s="231"/>
      <c r="C701" s="179"/>
      <c r="D701" s="179"/>
      <c r="E701" s="180"/>
      <c r="F701" s="162"/>
      <c r="G701" s="232"/>
      <c r="H701" s="22"/>
      <c r="I701" s="181"/>
      <c r="J701" s="182"/>
      <c r="K701" s="182"/>
      <c r="L701" s="182"/>
      <c r="M701" s="234"/>
      <c r="N701" s="28"/>
      <c r="O701" s="181"/>
      <c r="P701" s="183"/>
      <c r="Q701" s="104"/>
      <c r="R701" s="233"/>
      <c r="S701" s="164"/>
      <c r="T701" s="164"/>
      <c r="U701" s="162"/>
      <c r="V701" s="235"/>
      <c r="W701" s="235"/>
      <c r="X701" s="235"/>
      <c r="Y701" s="235"/>
      <c r="Z701" s="235"/>
      <c r="AA701" s="235"/>
      <c r="AB701" s="235"/>
      <c r="AC701" s="235"/>
      <c r="AD701" s="235"/>
      <c r="AE701" s="235"/>
      <c r="AF701" s="235"/>
      <c r="AG701" s="235"/>
      <c r="AH701" s="235"/>
      <c r="AI701" s="235"/>
      <c r="AJ701" s="235"/>
      <c r="AK701" s="235"/>
      <c r="AL701" s="235"/>
      <c r="AM701" s="235"/>
      <c r="AN701" s="235"/>
      <c r="AO701" s="235"/>
      <c r="AP701" s="235"/>
      <c r="AQ701" s="235"/>
      <c r="AR701" s="235"/>
      <c r="AS701" s="235"/>
      <c r="AT701" s="235"/>
      <c r="AU701" s="235"/>
      <c r="AV701" s="235"/>
      <c r="AW701" s="235"/>
      <c r="AX701" s="235"/>
      <c r="AY701" s="235"/>
      <c r="AZ701" s="235"/>
      <c r="BA701" s="235"/>
      <c r="BB701" s="235"/>
      <c r="BC701" s="235"/>
      <c r="BD701" s="235"/>
      <c r="BE701" s="235"/>
      <c r="BF701" s="235"/>
      <c r="BG701" s="235"/>
      <c r="BH701" s="235"/>
      <c r="BI701" s="235"/>
      <c r="BJ701" s="235"/>
      <c r="BK701" s="235"/>
      <c r="BL701" s="235"/>
      <c r="BM701" s="235"/>
      <c r="BN701" s="235"/>
      <c r="BO701" s="235"/>
    </row>
    <row r="702" ht="29.25" hidden="1" customHeight="1">
      <c r="A702" s="230"/>
      <c r="B702" s="231"/>
      <c r="C702" s="179"/>
      <c r="D702" s="179"/>
      <c r="E702" s="180"/>
      <c r="F702" s="162"/>
      <c r="G702" s="232"/>
      <c r="H702" s="22"/>
      <c r="I702" s="181"/>
      <c r="J702" s="182"/>
      <c r="K702" s="182"/>
      <c r="L702" s="182"/>
      <c r="M702" s="234"/>
      <c r="N702" s="28"/>
      <c r="O702" s="181"/>
      <c r="P702" s="183"/>
      <c r="Q702" s="104"/>
      <c r="R702" s="233"/>
      <c r="S702" s="164"/>
      <c r="T702" s="164"/>
      <c r="U702" s="162"/>
      <c r="V702" s="235"/>
      <c r="W702" s="235"/>
      <c r="X702" s="235"/>
      <c r="Y702" s="235"/>
      <c r="Z702" s="235"/>
      <c r="AA702" s="235"/>
      <c r="AB702" s="235"/>
      <c r="AC702" s="235"/>
      <c r="AD702" s="235"/>
      <c r="AE702" s="235"/>
      <c r="AF702" s="235"/>
      <c r="AG702" s="235"/>
      <c r="AH702" s="235"/>
      <c r="AI702" s="235"/>
      <c r="AJ702" s="235"/>
      <c r="AK702" s="235"/>
      <c r="AL702" s="235"/>
      <c r="AM702" s="235"/>
      <c r="AN702" s="235"/>
      <c r="AO702" s="235"/>
      <c r="AP702" s="235"/>
      <c r="AQ702" s="235"/>
      <c r="AR702" s="235"/>
      <c r="AS702" s="235"/>
      <c r="AT702" s="235"/>
      <c r="AU702" s="235"/>
      <c r="AV702" s="235"/>
      <c r="AW702" s="235"/>
      <c r="AX702" s="235"/>
      <c r="AY702" s="235"/>
      <c r="AZ702" s="235"/>
      <c r="BA702" s="235"/>
      <c r="BB702" s="235"/>
      <c r="BC702" s="235"/>
      <c r="BD702" s="235"/>
      <c r="BE702" s="235"/>
      <c r="BF702" s="235"/>
      <c r="BG702" s="235"/>
      <c r="BH702" s="235"/>
      <c r="BI702" s="235"/>
      <c r="BJ702" s="235"/>
      <c r="BK702" s="235"/>
      <c r="BL702" s="235"/>
      <c r="BM702" s="235"/>
      <c r="BN702" s="235"/>
      <c r="BO702" s="235"/>
    </row>
    <row r="703" ht="29.25" hidden="1" customHeight="1">
      <c r="A703" s="230"/>
      <c r="B703" s="231"/>
      <c r="C703" s="179"/>
      <c r="D703" s="179"/>
      <c r="E703" s="180"/>
      <c r="F703" s="162"/>
      <c r="G703" s="232"/>
      <c r="H703" s="22"/>
      <c r="I703" s="181"/>
      <c r="J703" s="182"/>
      <c r="K703" s="182"/>
      <c r="L703" s="182"/>
      <c r="M703" s="234"/>
      <c r="N703" s="28"/>
      <c r="O703" s="181"/>
      <c r="P703" s="183"/>
      <c r="Q703" s="104"/>
      <c r="R703" s="233"/>
      <c r="S703" s="164"/>
      <c r="T703" s="164"/>
      <c r="U703" s="162"/>
      <c r="V703" s="235"/>
      <c r="W703" s="235"/>
      <c r="X703" s="235"/>
      <c r="Y703" s="235"/>
      <c r="Z703" s="235"/>
      <c r="AA703" s="235"/>
      <c r="AB703" s="235"/>
      <c r="AC703" s="235"/>
      <c r="AD703" s="235"/>
      <c r="AE703" s="235"/>
      <c r="AF703" s="235"/>
      <c r="AG703" s="235"/>
      <c r="AH703" s="235"/>
      <c r="AI703" s="235"/>
      <c r="AJ703" s="235"/>
      <c r="AK703" s="235"/>
      <c r="AL703" s="235"/>
      <c r="AM703" s="235"/>
      <c r="AN703" s="235"/>
      <c r="AO703" s="235"/>
      <c r="AP703" s="235"/>
      <c r="AQ703" s="235"/>
      <c r="AR703" s="235"/>
      <c r="AS703" s="235"/>
      <c r="AT703" s="235"/>
      <c r="AU703" s="235"/>
      <c r="AV703" s="235"/>
      <c r="AW703" s="235"/>
      <c r="AX703" s="235"/>
      <c r="AY703" s="235"/>
      <c r="AZ703" s="235"/>
      <c r="BA703" s="235"/>
      <c r="BB703" s="235"/>
      <c r="BC703" s="235"/>
      <c r="BD703" s="235"/>
      <c r="BE703" s="235"/>
      <c r="BF703" s="235"/>
      <c r="BG703" s="235"/>
      <c r="BH703" s="235"/>
      <c r="BI703" s="235"/>
      <c r="BJ703" s="235"/>
      <c r="BK703" s="235"/>
      <c r="BL703" s="235"/>
      <c r="BM703" s="235"/>
      <c r="BN703" s="235"/>
      <c r="BO703" s="235"/>
    </row>
    <row r="704" ht="29.25" hidden="1" customHeight="1">
      <c r="A704" s="230"/>
      <c r="B704" s="231"/>
      <c r="C704" s="179"/>
      <c r="D704" s="179"/>
      <c r="E704" s="180"/>
      <c r="F704" s="162"/>
      <c r="G704" s="232"/>
      <c r="H704" s="22"/>
      <c r="I704" s="181"/>
      <c r="J704" s="182"/>
      <c r="K704" s="182"/>
      <c r="L704" s="182"/>
      <c r="M704" s="234"/>
      <c r="N704" s="28"/>
      <c r="O704" s="181"/>
      <c r="P704" s="183"/>
      <c r="Q704" s="104"/>
      <c r="R704" s="233"/>
      <c r="S704" s="164"/>
      <c r="T704" s="164"/>
      <c r="U704" s="162"/>
      <c r="V704" s="235"/>
      <c r="W704" s="235"/>
      <c r="X704" s="235"/>
      <c r="Y704" s="235"/>
      <c r="Z704" s="235"/>
      <c r="AA704" s="235"/>
      <c r="AB704" s="235"/>
      <c r="AC704" s="235"/>
      <c r="AD704" s="235"/>
      <c r="AE704" s="235"/>
      <c r="AF704" s="235"/>
      <c r="AG704" s="235"/>
      <c r="AH704" s="235"/>
      <c r="AI704" s="235"/>
      <c r="AJ704" s="235"/>
      <c r="AK704" s="235"/>
      <c r="AL704" s="235"/>
      <c r="AM704" s="235"/>
      <c r="AN704" s="235"/>
      <c r="AO704" s="235"/>
      <c r="AP704" s="235"/>
      <c r="AQ704" s="235"/>
      <c r="AR704" s="235"/>
      <c r="AS704" s="235"/>
      <c r="AT704" s="235"/>
      <c r="AU704" s="235"/>
      <c r="AV704" s="235"/>
      <c r="AW704" s="235"/>
      <c r="AX704" s="235"/>
      <c r="AY704" s="235"/>
      <c r="AZ704" s="235"/>
      <c r="BA704" s="235"/>
      <c r="BB704" s="235"/>
      <c r="BC704" s="235"/>
      <c r="BD704" s="235"/>
      <c r="BE704" s="235"/>
      <c r="BF704" s="235"/>
      <c r="BG704" s="235"/>
      <c r="BH704" s="235"/>
      <c r="BI704" s="235"/>
      <c r="BJ704" s="235"/>
      <c r="BK704" s="235"/>
      <c r="BL704" s="235"/>
      <c r="BM704" s="235"/>
      <c r="BN704" s="235"/>
      <c r="BO704" s="235"/>
    </row>
    <row r="705" ht="29.25" hidden="1" customHeight="1">
      <c r="A705" s="230"/>
      <c r="B705" s="231"/>
      <c r="C705" s="179"/>
      <c r="D705" s="179"/>
      <c r="E705" s="180"/>
      <c r="F705" s="162"/>
      <c r="G705" s="232"/>
      <c r="H705" s="22"/>
      <c r="I705" s="181"/>
      <c r="J705" s="182"/>
      <c r="K705" s="182"/>
      <c r="L705" s="182"/>
      <c r="M705" s="234"/>
      <c r="N705" s="28"/>
      <c r="O705" s="181"/>
      <c r="P705" s="183"/>
      <c r="Q705" s="104"/>
      <c r="R705" s="233"/>
      <c r="S705" s="164"/>
      <c r="T705" s="164"/>
      <c r="U705" s="162"/>
      <c r="V705" s="235"/>
      <c r="W705" s="235"/>
      <c r="X705" s="235"/>
      <c r="Y705" s="235"/>
      <c r="Z705" s="235"/>
      <c r="AA705" s="235"/>
      <c r="AB705" s="235"/>
      <c r="AC705" s="235"/>
      <c r="AD705" s="235"/>
      <c r="AE705" s="235"/>
      <c r="AF705" s="235"/>
      <c r="AG705" s="235"/>
      <c r="AH705" s="235"/>
      <c r="AI705" s="235"/>
      <c r="AJ705" s="235"/>
      <c r="AK705" s="235"/>
      <c r="AL705" s="235"/>
      <c r="AM705" s="235"/>
      <c r="AN705" s="235"/>
      <c r="AO705" s="235"/>
      <c r="AP705" s="235"/>
      <c r="AQ705" s="235"/>
      <c r="AR705" s="235"/>
      <c r="AS705" s="235"/>
      <c r="AT705" s="235"/>
      <c r="AU705" s="235"/>
      <c r="AV705" s="235"/>
      <c r="AW705" s="235"/>
      <c r="AX705" s="235"/>
      <c r="AY705" s="235"/>
      <c r="AZ705" s="235"/>
      <c r="BA705" s="235"/>
      <c r="BB705" s="235"/>
      <c r="BC705" s="235"/>
      <c r="BD705" s="235"/>
      <c r="BE705" s="235"/>
      <c r="BF705" s="235"/>
      <c r="BG705" s="235"/>
      <c r="BH705" s="235"/>
      <c r="BI705" s="235"/>
      <c r="BJ705" s="235"/>
      <c r="BK705" s="235"/>
      <c r="BL705" s="235"/>
      <c r="BM705" s="235"/>
      <c r="BN705" s="235"/>
      <c r="BO705" s="235"/>
    </row>
    <row r="706" ht="29.25" hidden="1" customHeight="1">
      <c r="A706" s="230"/>
      <c r="B706" s="231"/>
      <c r="C706" s="179"/>
      <c r="D706" s="179"/>
      <c r="E706" s="180"/>
      <c r="F706" s="162"/>
      <c r="G706" s="232"/>
      <c r="H706" s="22"/>
      <c r="I706" s="181"/>
      <c r="J706" s="182"/>
      <c r="K706" s="182"/>
      <c r="L706" s="182"/>
      <c r="M706" s="234"/>
      <c r="N706" s="28"/>
      <c r="O706" s="181"/>
      <c r="P706" s="183"/>
      <c r="Q706" s="104"/>
      <c r="R706" s="233"/>
      <c r="S706" s="164"/>
      <c r="T706" s="164"/>
      <c r="U706" s="162"/>
      <c r="V706" s="235"/>
      <c r="W706" s="235"/>
      <c r="X706" s="235"/>
      <c r="Y706" s="235"/>
      <c r="Z706" s="235"/>
      <c r="AA706" s="235"/>
      <c r="AB706" s="235"/>
      <c r="AC706" s="235"/>
      <c r="AD706" s="235"/>
      <c r="AE706" s="235"/>
      <c r="AF706" s="235"/>
      <c r="AG706" s="235"/>
      <c r="AH706" s="235"/>
      <c r="AI706" s="235"/>
      <c r="AJ706" s="235"/>
      <c r="AK706" s="235"/>
      <c r="AL706" s="235"/>
      <c r="AM706" s="235"/>
      <c r="AN706" s="235"/>
      <c r="AO706" s="235"/>
      <c r="AP706" s="235"/>
      <c r="AQ706" s="235"/>
      <c r="AR706" s="235"/>
      <c r="AS706" s="235"/>
      <c r="AT706" s="235"/>
      <c r="AU706" s="235"/>
      <c r="AV706" s="235"/>
      <c r="AW706" s="235"/>
      <c r="AX706" s="235"/>
      <c r="AY706" s="235"/>
      <c r="AZ706" s="235"/>
      <c r="BA706" s="235"/>
      <c r="BB706" s="235"/>
      <c r="BC706" s="235"/>
      <c r="BD706" s="235"/>
      <c r="BE706" s="235"/>
      <c r="BF706" s="235"/>
      <c r="BG706" s="235"/>
      <c r="BH706" s="235"/>
      <c r="BI706" s="235"/>
      <c r="BJ706" s="235"/>
      <c r="BK706" s="235"/>
      <c r="BL706" s="235"/>
      <c r="BM706" s="235"/>
      <c r="BN706" s="235"/>
      <c r="BO706" s="235"/>
    </row>
    <row r="707" ht="29.25" hidden="1" customHeight="1">
      <c r="A707" s="230"/>
      <c r="B707" s="231"/>
      <c r="C707" s="179"/>
      <c r="D707" s="179"/>
      <c r="E707" s="180"/>
      <c r="F707" s="162"/>
      <c r="G707" s="232"/>
      <c r="H707" s="22"/>
      <c r="I707" s="181"/>
      <c r="J707" s="182"/>
      <c r="K707" s="182"/>
      <c r="L707" s="182"/>
      <c r="M707" s="234"/>
      <c r="N707" s="28"/>
      <c r="O707" s="181"/>
      <c r="P707" s="183"/>
      <c r="Q707" s="104"/>
      <c r="R707" s="233"/>
      <c r="S707" s="164"/>
      <c r="T707" s="164"/>
      <c r="U707" s="162"/>
      <c r="V707" s="235"/>
      <c r="W707" s="235"/>
      <c r="X707" s="235"/>
      <c r="Y707" s="235"/>
      <c r="Z707" s="235"/>
      <c r="AA707" s="235"/>
      <c r="AB707" s="235"/>
      <c r="AC707" s="235"/>
      <c r="AD707" s="235"/>
      <c r="AE707" s="235"/>
      <c r="AF707" s="235"/>
      <c r="AG707" s="235"/>
      <c r="AH707" s="235"/>
      <c r="AI707" s="235"/>
      <c r="AJ707" s="235"/>
      <c r="AK707" s="235"/>
      <c r="AL707" s="235"/>
      <c r="AM707" s="235"/>
      <c r="AN707" s="235"/>
      <c r="AO707" s="235"/>
      <c r="AP707" s="235"/>
      <c r="AQ707" s="235"/>
      <c r="AR707" s="235"/>
      <c r="AS707" s="235"/>
      <c r="AT707" s="235"/>
      <c r="AU707" s="235"/>
      <c r="AV707" s="235"/>
      <c r="AW707" s="235"/>
      <c r="AX707" s="235"/>
      <c r="AY707" s="235"/>
      <c r="AZ707" s="235"/>
      <c r="BA707" s="235"/>
      <c r="BB707" s="235"/>
      <c r="BC707" s="235"/>
      <c r="BD707" s="235"/>
      <c r="BE707" s="235"/>
      <c r="BF707" s="235"/>
      <c r="BG707" s="235"/>
      <c r="BH707" s="235"/>
      <c r="BI707" s="235"/>
      <c r="BJ707" s="235"/>
      <c r="BK707" s="235"/>
      <c r="BL707" s="235"/>
      <c r="BM707" s="235"/>
      <c r="BN707" s="235"/>
      <c r="BO707" s="235"/>
    </row>
    <row r="708" ht="29.25" hidden="1" customHeight="1">
      <c r="A708" s="230"/>
      <c r="B708" s="231"/>
      <c r="C708" s="179"/>
      <c r="D708" s="179"/>
      <c r="E708" s="180"/>
      <c r="F708" s="162"/>
      <c r="G708" s="232"/>
      <c r="H708" s="22"/>
      <c r="I708" s="181"/>
      <c r="J708" s="182"/>
      <c r="K708" s="182"/>
      <c r="L708" s="182"/>
      <c r="M708" s="234"/>
      <c r="N708" s="28"/>
      <c r="O708" s="181"/>
      <c r="P708" s="183"/>
      <c r="Q708" s="104"/>
      <c r="R708" s="233"/>
      <c r="S708" s="164"/>
      <c r="T708" s="164"/>
      <c r="U708" s="162"/>
      <c r="V708" s="235"/>
      <c r="W708" s="235"/>
      <c r="X708" s="235"/>
      <c r="Y708" s="235"/>
      <c r="Z708" s="235"/>
      <c r="AA708" s="235"/>
      <c r="AB708" s="235"/>
      <c r="AC708" s="235"/>
      <c r="AD708" s="235"/>
      <c r="AE708" s="235"/>
      <c r="AF708" s="235"/>
      <c r="AG708" s="235"/>
      <c r="AH708" s="235"/>
      <c r="AI708" s="235"/>
      <c r="AJ708" s="235"/>
      <c r="AK708" s="235"/>
      <c r="AL708" s="235"/>
      <c r="AM708" s="235"/>
      <c r="AN708" s="235"/>
      <c r="AO708" s="235"/>
      <c r="AP708" s="235"/>
      <c r="AQ708" s="235"/>
      <c r="AR708" s="235"/>
      <c r="AS708" s="235"/>
      <c r="AT708" s="235"/>
      <c r="AU708" s="235"/>
      <c r="AV708" s="235"/>
      <c r="AW708" s="235"/>
      <c r="AX708" s="235"/>
      <c r="AY708" s="235"/>
      <c r="AZ708" s="235"/>
      <c r="BA708" s="235"/>
      <c r="BB708" s="235"/>
      <c r="BC708" s="235"/>
      <c r="BD708" s="235"/>
      <c r="BE708" s="235"/>
      <c r="BF708" s="235"/>
      <c r="BG708" s="235"/>
      <c r="BH708" s="235"/>
      <c r="BI708" s="235"/>
      <c r="BJ708" s="235"/>
      <c r="BK708" s="235"/>
      <c r="BL708" s="235"/>
      <c r="BM708" s="235"/>
      <c r="BN708" s="235"/>
      <c r="BO708" s="235"/>
    </row>
    <row r="709" ht="29.25" hidden="1" customHeight="1">
      <c r="A709" s="230"/>
      <c r="B709" s="231"/>
      <c r="C709" s="179"/>
      <c r="D709" s="179"/>
      <c r="E709" s="180"/>
      <c r="F709" s="162"/>
      <c r="G709" s="232"/>
      <c r="H709" s="22"/>
      <c r="I709" s="181"/>
      <c r="J709" s="182"/>
      <c r="K709" s="182"/>
      <c r="L709" s="182"/>
      <c r="M709" s="234"/>
      <c r="N709" s="28"/>
      <c r="O709" s="181"/>
      <c r="P709" s="183"/>
      <c r="Q709" s="104"/>
      <c r="R709" s="233"/>
      <c r="S709" s="164"/>
      <c r="T709" s="164"/>
      <c r="U709" s="162"/>
      <c r="V709" s="235"/>
      <c r="W709" s="235"/>
      <c r="X709" s="235"/>
      <c r="Y709" s="235"/>
      <c r="Z709" s="235"/>
      <c r="AA709" s="235"/>
      <c r="AB709" s="235"/>
      <c r="AC709" s="235"/>
      <c r="AD709" s="235"/>
      <c r="AE709" s="235"/>
      <c r="AF709" s="235"/>
      <c r="AG709" s="235"/>
      <c r="AH709" s="235"/>
      <c r="AI709" s="235"/>
      <c r="AJ709" s="235"/>
      <c r="AK709" s="235"/>
      <c r="AL709" s="235"/>
      <c r="AM709" s="235"/>
      <c r="AN709" s="235"/>
      <c r="AO709" s="235"/>
      <c r="AP709" s="235"/>
      <c r="AQ709" s="235"/>
      <c r="AR709" s="235"/>
      <c r="AS709" s="235"/>
      <c r="AT709" s="235"/>
      <c r="AU709" s="235"/>
      <c r="AV709" s="235"/>
      <c r="AW709" s="235"/>
      <c r="AX709" s="235"/>
      <c r="AY709" s="235"/>
      <c r="AZ709" s="235"/>
      <c r="BA709" s="235"/>
      <c r="BB709" s="235"/>
      <c r="BC709" s="235"/>
      <c r="BD709" s="235"/>
      <c r="BE709" s="235"/>
      <c r="BF709" s="235"/>
      <c r="BG709" s="235"/>
      <c r="BH709" s="235"/>
      <c r="BI709" s="235"/>
      <c r="BJ709" s="235"/>
      <c r="BK709" s="235"/>
      <c r="BL709" s="235"/>
      <c r="BM709" s="235"/>
      <c r="BN709" s="235"/>
      <c r="BO709" s="235"/>
    </row>
    <row r="710" ht="29.25" hidden="1" customHeight="1">
      <c r="A710" s="230"/>
      <c r="B710" s="231"/>
      <c r="C710" s="179"/>
      <c r="D710" s="179"/>
      <c r="E710" s="180"/>
      <c r="F710" s="162"/>
      <c r="G710" s="232"/>
      <c r="H710" s="22"/>
      <c r="I710" s="181"/>
      <c r="J710" s="182"/>
      <c r="K710" s="182"/>
      <c r="L710" s="182"/>
      <c r="M710" s="234"/>
      <c r="N710" s="28"/>
      <c r="O710" s="181"/>
      <c r="P710" s="183"/>
      <c r="Q710" s="104"/>
      <c r="R710" s="233"/>
      <c r="S710" s="164"/>
      <c r="T710" s="164"/>
      <c r="U710" s="162"/>
      <c r="V710" s="235"/>
      <c r="W710" s="235"/>
      <c r="X710" s="235"/>
      <c r="Y710" s="235"/>
      <c r="Z710" s="235"/>
      <c r="AA710" s="235"/>
      <c r="AB710" s="235"/>
      <c r="AC710" s="235"/>
      <c r="AD710" s="235"/>
      <c r="AE710" s="235"/>
      <c r="AF710" s="235"/>
      <c r="AG710" s="235"/>
      <c r="AH710" s="235"/>
      <c r="AI710" s="235"/>
      <c r="AJ710" s="235"/>
      <c r="AK710" s="235"/>
      <c r="AL710" s="235"/>
      <c r="AM710" s="235"/>
      <c r="AN710" s="235"/>
      <c r="AO710" s="235"/>
      <c r="AP710" s="235"/>
      <c r="AQ710" s="235"/>
      <c r="AR710" s="235"/>
      <c r="AS710" s="235"/>
      <c r="AT710" s="235"/>
      <c r="AU710" s="235"/>
      <c r="AV710" s="235"/>
      <c r="AW710" s="235"/>
      <c r="AX710" s="235"/>
      <c r="AY710" s="235"/>
      <c r="AZ710" s="235"/>
      <c r="BA710" s="235"/>
      <c r="BB710" s="235"/>
      <c r="BC710" s="235"/>
      <c r="BD710" s="235"/>
      <c r="BE710" s="235"/>
      <c r="BF710" s="235"/>
      <c r="BG710" s="235"/>
      <c r="BH710" s="235"/>
      <c r="BI710" s="235"/>
      <c r="BJ710" s="235"/>
      <c r="BK710" s="235"/>
      <c r="BL710" s="235"/>
      <c r="BM710" s="235"/>
      <c r="BN710" s="235"/>
      <c r="BO710" s="235"/>
    </row>
    <row r="711" ht="29.25" hidden="1" customHeight="1">
      <c r="A711" s="230"/>
      <c r="B711" s="231"/>
      <c r="C711" s="179"/>
      <c r="D711" s="179"/>
      <c r="E711" s="180"/>
      <c r="F711" s="162"/>
      <c r="G711" s="232"/>
      <c r="H711" s="22"/>
      <c r="I711" s="181"/>
      <c r="J711" s="182"/>
      <c r="K711" s="182"/>
      <c r="L711" s="182"/>
      <c r="M711" s="234"/>
      <c r="N711" s="28"/>
      <c r="O711" s="181"/>
      <c r="P711" s="183"/>
      <c r="Q711" s="104"/>
      <c r="R711" s="233"/>
      <c r="S711" s="164"/>
      <c r="T711" s="164"/>
      <c r="U711" s="162"/>
      <c r="V711" s="235"/>
      <c r="W711" s="235"/>
      <c r="X711" s="235"/>
      <c r="Y711" s="235"/>
      <c r="Z711" s="235"/>
      <c r="AA711" s="235"/>
      <c r="AB711" s="235"/>
      <c r="AC711" s="235"/>
      <c r="AD711" s="235"/>
      <c r="AE711" s="235"/>
      <c r="AF711" s="235"/>
      <c r="AG711" s="235"/>
      <c r="AH711" s="235"/>
      <c r="AI711" s="235"/>
      <c r="AJ711" s="235"/>
      <c r="AK711" s="235"/>
      <c r="AL711" s="235"/>
      <c r="AM711" s="235"/>
      <c r="AN711" s="235"/>
      <c r="AO711" s="235"/>
      <c r="AP711" s="235"/>
      <c r="AQ711" s="235"/>
      <c r="AR711" s="235"/>
      <c r="AS711" s="235"/>
      <c r="AT711" s="235"/>
      <c r="AU711" s="235"/>
      <c r="AV711" s="235"/>
      <c r="AW711" s="235"/>
      <c r="AX711" s="235"/>
      <c r="AY711" s="235"/>
      <c r="AZ711" s="235"/>
      <c r="BA711" s="235"/>
      <c r="BB711" s="235"/>
      <c r="BC711" s="235"/>
      <c r="BD711" s="235"/>
      <c r="BE711" s="235"/>
      <c r="BF711" s="235"/>
      <c r="BG711" s="235"/>
      <c r="BH711" s="235"/>
      <c r="BI711" s="235"/>
      <c r="BJ711" s="235"/>
      <c r="BK711" s="235"/>
      <c r="BL711" s="235"/>
      <c r="BM711" s="235"/>
      <c r="BN711" s="235"/>
      <c r="BO711" s="235"/>
    </row>
    <row r="712" ht="29.25" hidden="1" customHeight="1">
      <c r="A712" s="230"/>
      <c r="B712" s="231"/>
      <c r="C712" s="179"/>
      <c r="D712" s="179"/>
      <c r="E712" s="180"/>
      <c r="F712" s="162"/>
      <c r="G712" s="232"/>
      <c r="H712" s="22"/>
      <c r="I712" s="181"/>
      <c r="J712" s="182"/>
      <c r="K712" s="182"/>
      <c r="L712" s="182"/>
      <c r="M712" s="234"/>
      <c r="N712" s="28"/>
      <c r="O712" s="181"/>
      <c r="P712" s="183"/>
      <c r="Q712" s="104"/>
      <c r="R712" s="233"/>
      <c r="S712" s="164"/>
      <c r="T712" s="164"/>
      <c r="U712" s="162"/>
      <c r="V712" s="235"/>
      <c r="W712" s="235"/>
      <c r="X712" s="235"/>
      <c r="Y712" s="235"/>
      <c r="Z712" s="235"/>
      <c r="AA712" s="235"/>
      <c r="AB712" s="235"/>
      <c r="AC712" s="235"/>
      <c r="AD712" s="235"/>
      <c r="AE712" s="235"/>
      <c r="AF712" s="235"/>
      <c r="AG712" s="235"/>
      <c r="AH712" s="235"/>
      <c r="AI712" s="235"/>
      <c r="AJ712" s="235"/>
      <c r="AK712" s="235"/>
      <c r="AL712" s="235"/>
      <c r="AM712" s="235"/>
      <c r="AN712" s="235"/>
      <c r="AO712" s="235"/>
      <c r="AP712" s="235"/>
      <c r="AQ712" s="235"/>
      <c r="AR712" s="235"/>
      <c r="AS712" s="235"/>
      <c r="AT712" s="235"/>
      <c r="AU712" s="235"/>
      <c r="AV712" s="235"/>
      <c r="AW712" s="235"/>
      <c r="AX712" s="235"/>
      <c r="AY712" s="235"/>
      <c r="AZ712" s="235"/>
      <c r="BA712" s="235"/>
      <c r="BB712" s="235"/>
      <c r="BC712" s="235"/>
      <c r="BD712" s="235"/>
      <c r="BE712" s="235"/>
      <c r="BF712" s="235"/>
      <c r="BG712" s="235"/>
      <c r="BH712" s="235"/>
      <c r="BI712" s="235"/>
      <c r="BJ712" s="235"/>
      <c r="BK712" s="235"/>
      <c r="BL712" s="235"/>
      <c r="BM712" s="235"/>
      <c r="BN712" s="235"/>
      <c r="BO712" s="235"/>
    </row>
    <row r="713" ht="29.25" hidden="1" customHeight="1">
      <c r="A713" s="230"/>
      <c r="B713" s="231"/>
      <c r="C713" s="179"/>
      <c r="D713" s="179"/>
      <c r="E713" s="180"/>
      <c r="F713" s="162"/>
      <c r="G713" s="232"/>
      <c r="H713" s="22"/>
      <c r="I713" s="181"/>
      <c r="J713" s="182"/>
      <c r="K713" s="182"/>
      <c r="L713" s="182"/>
      <c r="M713" s="234"/>
      <c r="N713" s="28"/>
      <c r="O713" s="181"/>
      <c r="P713" s="183"/>
      <c r="Q713" s="104"/>
      <c r="R713" s="233"/>
      <c r="S713" s="164"/>
      <c r="T713" s="164"/>
      <c r="U713" s="162"/>
      <c r="V713" s="235"/>
      <c r="W713" s="235"/>
      <c r="X713" s="235"/>
      <c r="Y713" s="235"/>
      <c r="Z713" s="235"/>
      <c r="AA713" s="235"/>
      <c r="AB713" s="235"/>
      <c r="AC713" s="235"/>
      <c r="AD713" s="235"/>
      <c r="AE713" s="235"/>
      <c r="AF713" s="235"/>
      <c r="AG713" s="235"/>
      <c r="AH713" s="235"/>
      <c r="AI713" s="235"/>
      <c r="AJ713" s="235"/>
      <c r="AK713" s="235"/>
      <c r="AL713" s="235"/>
      <c r="AM713" s="235"/>
      <c r="AN713" s="235"/>
      <c r="AO713" s="235"/>
      <c r="AP713" s="235"/>
      <c r="AQ713" s="235"/>
      <c r="AR713" s="235"/>
      <c r="AS713" s="235"/>
      <c r="AT713" s="235"/>
      <c r="AU713" s="235"/>
      <c r="AV713" s="235"/>
      <c r="AW713" s="235"/>
      <c r="AX713" s="235"/>
      <c r="AY713" s="235"/>
      <c r="AZ713" s="235"/>
      <c r="BA713" s="235"/>
      <c r="BB713" s="235"/>
      <c r="BC713" s="235"/>
      <c r="BD713" s="235"/>
      <c r="BE713" s="235"/>
      <c r="BF713" s="235"/>
      <c r="BG713" s="235"/>
      <c r="BH713" s="235"/>
      <c r="BI713" s="235"/>
      <c r="BJ713" s="235"/>
      <c r="BK713" s="235"/>
      <c r="BL713" s="235"/>
      <c r="BM713" s="235"/>
      <c r="BN713" s="235"/>
      <c r="BO713" s="235"/>
    </row>
    <row r="714" ht="29.25" hidden="1" customHeight="1">
      <c r="A714" s="230"/>
      <c r="B714" s="231"/>
      <c r="C714" s="179"/>
      <c r="D714" s="179"/>
      <c r="E714" s="180"/>
      <c r="F714" s="162"/>
      <c r="G714" s="232"/>
      <c r="H714" s="22"/>
      <c r="I714" s="181"/>
      <c r="J714" s="182"/>
      <c r="K714" s="182"/>
      <c r="L714" s="182"/>
      <c r="M714" s="234"/>
      <c r="N714" s="28"/>
      <c r="O714" s="181"/>
      <c r="P714" s="183"/>
      <c r="Q714" s="104"/>
      <c r="R714" s="233"/>
      <c r="S714" s="164"/>
      <c r="T714" s="164"/>
      <c r="U714" s="162"/>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c r="AW714" s="235"/>
      <c r="AX714" s="235"/>
      <c r="AY714" s="235"/>
      <c r="AZ714" s="235"/>
      <c r="BA714" s="235"/>
      <c r="BB714" s="235"/>
      <c r="BC714" s="235"/>
      <c r="BD714" s="235"/>
      <c r="BE714" s="235"/>
      <c r="BF714" s="235"/>
      <c r="BG714" s="235"/>
      <c r="BH714" s="235"/>
      <c r="BI714" s="235"/>
      <c r="BJ714" s="235"/>
      <c r="BK714" s="235"/>
      <c r="BL714" s="235"/>
      <c r="BM714" s="235"/>
      <c r="BN714" s="235"/>
      <c r="BO714" s="235"/>
    </row>
    <row r="715" ht="29.25" hidden="1" customHeight="1">
      <c r="A715" s="230"/>
      <c r="B715" s="231"/>
      <c r="C715" s="179"/>
      <c r="D715" s="179"/>
      <c r="E715" s="180"/>
      <c r="F715" s="162"/>
      <c r="G715" s="232"/>
      <c r="H715" s="22"/>
      <c r="I715" s="181"/>
      <c r="J715" s="182"/>
      <c r="K715" s="182"/>
      <c r="L715" s="182"/>
      <c r="M715" s="234"/>
      <c r="N715" s="28"/>
      <c r="O715" s="181"/>
      <c r="P715" s="183"/>
      <c r="Q715" s="104"/>
      <c r="R715" s="233"/>
      <c r="S715" s="164"/>
      <c r="T715" s="164"/>
      <c r="U715" s="162"/>
      <c r="V715" s="235"/>
      <c r="W715" s="235"/>
      <c r="X715" s="235"/>
      <c r="Y715" s="235"/>
      <c r="Z715" s="235"/>
      <c r="AA715" s="235"/>
      <c r="AB715" s="235"/>
      <c r="AC715" s="235"/>
      <c r="AD715" s="235"/>
      <c r="AE715" s="235"/>
      <c r="AF715" s="235"/>
      <c r="AG715" s="235"/>
      <c r="AH715" s="235"/>
      <c r="AI715" s="235"/>
      <c r="AJ715" s="235"/>
      <c r="AK715" s="235"/>
      <c r="AL715" s="235"/>
      <c r="AM715" s="235"/>
      <c r="AN715" s="235"/>
      <c r="AO715" s="235"/>
      <c r="AP715" s="235"/>
      <c r="AQ715" s="235"/>
      <c r="AR715" s="235"/>
      <c r="AS715" s="235"/>
      <c r="AT715" s="235"/>
      <c r="AU715" s="235"/>
      <c r="AV715" s="235"/>
      <c r="AW715" s="235"/>
      <c r="AX715" s="235"/>
      <c r="AY715" s="235"/>
      <c r="AZ715" s="235"/>
      <c r="BA715" s="235"/>
      <c r="BB715" s="235"/>
      <c r="BC715" s="235"/>
      <c r="BD715" s="235"/>
      <c r="BE715" s="235"/>
      <c r="BF715" s="235"/>
      <c r="BG715" s="235"/>
      <c r="BH715" s="235"/>
      <c r="BI715" s="235"/>
      <c r="BJ715" s="235"/>
      <c r="BK715" s="235"/>
      <c r="BL715" s="235"/>
      <c r="BM715" s="235"/>
      <c r="BN715" s="235"/>
      <c r="BO715" s="235"/>
    </row>
    <row r="716" ht="29.25" hidden="1" customHeight="1">
      <c r="A716" s="230"/>
      <c r="B716" s="231"/>
      <c r="C716" s="179"/>
      <c r="D716" s="179"/>
      <c r="E716" s="180"/>
      <c r="F716" s="162"/>
      <c r="G716" s="232"/>
      <c r="H716" s="22"/>
      <c r="I716" s="181"/>
      <c r="J716" s="182"/>
      <c r="K716" s="182"/>
      <c r="L716" s="182"/>
      <c r="M716" s="234"/>
      <c r="N716" s="28"/>
      <c r="O716" s="181"/>
      <c r="P716" s="183"/>
      <c r="Q716" s="104"/>
      <c r="R716" s="233"/>
      <c r="S716" s="164"/>
      <c r="T716" s="164"/>
      <c r="U716" s="162"/>
      <c r="V716" s="235"/>
      <c r="W716" s="235"/>
      <c r="X716" s="235"/>
      <c r="Y716" s="235"/>
      <c r="Z716" s="235"/>
      <c r="AA716" s="235"/>
      <c r="AB716" s="235"/>
      <c r="AC716" s="235"/>
      <c r="AD716" s="235"/>
      <c r="AE716" s="235"/>
      <c r="AF716" s="235"/>
      <c r="AG716" s="235"/>
      <c r="AH716" s="235"/>
      <c r="AI716" s="235"/>
      <c r="AJ716" s="235"/>
      <c r="AK716" s="235"/>
      <c r="AL716" s="235"/>
      <c r="AM716" s="235"/>
      <c r="AN716" s="235"/>
      <c r="AO716" s="235"/>
      <c r="AP716" s="235"/>
      <c r="AQ716" s="235"/>
      <c r="AR716" s="235"/>
      <c r="AS716" s="235"/>
      <c r="AT716" s="235"/>
      <c r="AU716" s="235"/>
      <c r="AV716" s="235"/>
      <c r="AW716" s="235"/>
      <c r="AX716" s="235"/>
      <c r="AY716" s="235"/>
      <c r="AZ716" s="235"/>
      <c r="BA716" s="235"/>
      <c r="BB716" s="235"/>
      <c r="BC716" s="235"/>
      <c r="BD716" s="235"/>
      <c r="BE716" s="235"/>
      <c r="BF716" s="235"/>
      <c r="BG716" s="235"/>
      <c r="BH716" s="235"/>
      <c r="BI716" s="235"/>
      <c r="BJ716" s="235"/>
      <c r="BK716" s="235"/>
      <c r="BL716" s="235"/>
      <c r="BM716" s="235"/>
      <c r="BN716" s="235"/>
      <c r="BO716" s="235"/>
    </row>
    <row r="717" ht="29.25" hidden="1" customHeight="1">
      <c r="A717" s="230"/>
      <c r="B717" s="231"/>
      <c r="C717" s="179"/>
      <c r="D717" s="179"/>
      <c r="E717" s="180"/>
      <c r="F717" s="162"/>
      <c r="G717" s="232"/>
      <c r="H717" s="22"/>
      <c r="I717" s="181"/>
      <c r="J717" s="182"/>
      <c r="K717" s="182"/>
      <c r="L717" s="182"/>
      <c r="M717" s="234"/>
      <c r="N717" s="28"/>
      <c r="O717" s="181"/>
      <c r="P717" s="183"/>
      <c r="Q717" s="104"/>
      <c r="R717" s="233"/>
      <c r="S717" s="164"/>
      <c r="T717" s="164"/>
      <c r="U717" s="162"/>
      <c r="V717" s="235"/>
      <c r="W717" s="235"/>
      <c r="X717" s="235"/>
      <c r="Y717" s="235"/>
      <c r="Z717" s="235"/>
      <c r="AA717" s="235"/>
      <c r="AB717" s="235"/>
      <c r="AC717" s="235"/>
      <c r="AD717" s="235"/>
      <c r="AE717" s="235"/>
      <c r="AF717" s="235"/>
      <c r="AG717" s="235"/>
      <c r="AH717" s="235"/>
      <c r="AI717" s="235"/>
      <c r="AJ717" s="235"/>
      <c r="AK717" s="235"/>
      <c r="AL717" s="235"/>
      <c r="AM717" s="235"/>
      <c r="AN717" s="235"/>
      <c r="AO717" s="235"/>
      <c r="AP717" s="235"/>
      <c r="AQ717" s="235"/>
      <c r="AR717" s="235"/>
      <c r="AS717" s="235"/>
      <c r="AT717" s="235"/>
      <c r="AU717" s="235"/>
      <c r="AV717" s="235"/>
      <c r="AW717" s="235"/>
      <c r="AX717" s="235"/>
      <c r="AY717" s="235"/>
      <c r="AZ717" s="235"/>
      <c r="BA717" s="235"/>
      <c r="BB717" s="235"/>
      <c r="BC717" s="235"/>
      <c r="BD717" s="235"/>
      <c r="BE717" s="235"/>
      <c r="BF717" s="235"/>
      <c r="BG717" s="235"/>
      <c r="BH717" s="235"/>
      <c r="BI717" s="235"/>
      <c r="BJ717" s="235"/>
      <c r="BK717" s="235"/>
      <c r="BL717" s="235"/>
      <c r="BM717" s="235"/>
      <c r="BN717" s="235"/>
      <c r="BO717" s="235"/>
    </row>
    <row r="718" ht="29.25" hidden="1" customHeight="1">
      <c r="A718" s="230"/>
      <c r="B718" s="231"/>
      <c r="C718" s="179"/>
      <c r="D718" s="179"/>
      <c r="E718" s="180"/>
      <c r="F718" s="162"/>
      <c r="G718" s="232"/>
      <c r="H718" s="22"/>
      <c r="I718" s="181"/>
      <c r="J718" s="182"/>
      <c r="K718" s="182"/>
      <c r="L718" s="182"/>
      <c r="M718" s="234"/>
      <c r="N718" s="28"/>
      <c r="O718" s="181"/>
      <c r="P718" s="183"/>
      <c r="Q718" s="104"/>
      <c r="R718" s="233"/>
      <c r="S718" s="164"/>
      <c r="T718" s="164"/>
      <c r="U718" s="162"/>
      <c r="V718" s="235"/>
      <c r="W718" s="235"/>
      <c r="X718" s="235"/>
      <c r="Y718" s="235"/>
      <c r="Z718" s="235"/>
      <c r="AA718" s="235"/>
      <c r="AB718" s="235"/>
      <c r="AC718" s="235"/>
      <c r="AD718" s="235"/>
      <c r="AE718" s="235"/>
      <c r="AF718" s="235"/>
      <c r="AG718" s="235"/>
      <c r="AH718" s="235"/>
      <c r="AI718" s="235"/>
      <c r="AJ718" s="235"/>
      <c r="AK718" s="235"/>
      <c r="AL718" s="235"/>
      <c r="AM718" s="235"/>
      <c r="AN718" s="235"/>
      <c r="AO718" s="235"/>
      <c r="AP718" s="235"/>
      <c r="AQ718" s="235"/>
      <c r="AR718" s="235"/>
      <c r="AS718" s="235"/>
      <c r="AT718" s="235"/>
      <c r="AU718" s="235"/>
      <c r="AV718" s="235"/>
      <c r="AW718" s="235"/>
      <c r="AX718" s="235"/>
      <c r="AY718" s="235"/>
      <c r="AZ718" s="235"/>
      <c r="BA718" s="235"/>
      <c r="BB718" s="235"/>
      <c r="BC718" s="235"/>
      <c r="BD718" s="235"/>
      <c r="BE718" s="235"/>
      <c r="BF718" s="235"/>
      <c r="BG718" s="235"/>
      <c r="BH718" s="235"/>
      <c r="BI718" s="235"/>
      <c r="BJ718" s="235"/>
      <c r="BK718" s="235"/>
      <c r="BL718" s="235"/>
      <c r="BM718" s="235"/>
      <c r="BN718" s="235"/>
      <c r="BO718" s="235"/>
    </row>
    <row r="719" ht="29.25" hidden="1" customHeight="1">
      <c r="A719" s="230"/>
      <c r="B719" s="231"/>
      <c r="C719" s="179"/>
      <c r="D719" s="179"/>
      <c r="E719" s="180"/>
      <c r="F719" s="162"/>
      <c r="G719" s="232"/>
      <c r="H719" s="22"/>
      <c r="I719" s="181"/>
      <c r="J719" s="182"/>
      <c r="K719" s="182"/>
      <c r="L719" s="182"/>
      <c r="M719" s="234"/>
      <c r="N719" s="28"/>
      <c r="O719" s="181"/>
      <c r="P719" s="183"/>
      <c r="Q719" s="104"/>
      <c r="R719" s="233"/>
      <c r="S719" s="164"/>
      <c r="T719" s="164"/>
      <c r="U719" s="162"/>
      <c r="V719" s="235"/>
      <c r="W719" s="235"/>
      <c r="X719" s="235"/>
      <c r="Y719" s="235"/>
      <c r="Z719" s="235"/>
      <c r="AA719" s="235"/>
      <c r="AB719" s="235"/>
      <c r="AC719" s="235"/>
      <c r="AD719" s="235"/>
      <c r="AE719" s="235"/>
      <c r="AF719" s="235"/>
      <c r="AG719" s="235"/>
      <c r="AH719" s="235"/>
      <c r="AI719" s="235"/>
      <c r="AJ719" s="235"/>
      <c r="AK719" s="235"/>
      <c r="AL719" s="235"/>
      <c r="AM719" s="235"/>
      <c r="AN719" s="235"/>
      <c r="AO719" s="235"/>
      <c r="AP719" s="235"/>
      <c r="AQ719" s="235"/>
      <c r="AR719" s="235"/>
      <c r="AS719" s="235"/>
      <c r="AT719" s="235"/>
      <c r="AU719" s="235"/>
      <c r="AV719" s="235"/>
      <c r="AW719" s="235"/>
      <c r="AX719" s="235"/>
      <c r="AY719" s="235"/>
      <c r="AZ719" s="235"/>
      <c r="BA719" s="235"/>
      <c r="BB719" s="235"/>
      <c r="BC719" s="235"/>
      <c r="BD719" s="235"/>
      <c r="BE719" s="235"/>
      <c r="BF719" s="235"/>
      <c r="BG719" s="235"/>
      <c r="BH719" s="235"/>
      <c r="BI719" s="235"/>
      <c r="BJ719" s="235"/>
      <c r="BK719" s="235"/>
      <c r="BL719" s="235"/>
      <c r="BM719" s="235"/>
      <c r="BN719" s="235"/>
      <c r="BO719" s="235"/>
    </row>
    <row r="720" ht="29.25" hidden="1" customHeight="1">
      <c r="A720" s="230"/>
      <c r="B720" s="231"/>
      <c r="C720" s="179"/>
      <c r="D720" s="179"/>
      <c r="E720" s="180"/>
      <c r="F720" s="162"/>
      <c r="G720" s="232"/>
      <c r="H720" s="22"/>
      <c r="I720" s="181"/>
      <c r="J720" s="182"/>
      <c r="K720" s="182"/>
      <c r="L720" s="182"/>
      <c r="M720" s="234"/>
      <c r="N720" s="28"/>
      <c r="O720" s="181"/>
      <c r="P720" s="183"/>
      <c r="Q720" s="104"/>
      <c r="R720" s="233"/>
      <c r="S720" s="164"/>
      <c r="T720" s="164"/>
      <c r="U720" s="162"/>
      <c r="V720" s="235"/>
      <c r="W720" s="235"/>
      <c r="X720" s="235"/>
      <c r="Y720" s="235"/>
      <c r="Z720" s="235"/>
      <c r="AA720" s="235"/>
      <c r="AB720" s="235"/>
      <c r="AC720" s="235"/>
      <c r="AD720" s="235"/>
      <c r="AE720" s="235"/>
      <c r="AF720" s="235"/>
      <c r="AG720" s="235"/>
      <c r="AH720" s="235"/>
      <c r="AI720" s="235"/>
      <c r="AJ720" s="235"/>
      <c r="AK720" s="235"/>
      <c r="AL720" s="235"/>
      <c r="AM720" s="235"/>
      <c r="AN720" s="235"/>
      <c r="AO720" s="235"/>
      <c r="AP720" s="235"/>
      <c r="AQ720" s="235"/>
      <c r="AR720" s="235"/>
      <c r="AS720" s="235"/>
      <c r="AT720" s="235"/>
      <c r="AU720" s="235"/>
      <c r="AV720" s="235"/>
      <c r="AW720" s="235"/>
      <c r="AX720" s="235"/>
      <c r="AY720" s="235"/>
      <c r="AZ720" s="235"/>
      <c r="BA720" s="235"/>
      <c r="BB720" s="235"/>
      <c r="BC720" s="235"/>
      <c r="BD720" s="235"/>
      <c r="BE720" s="235"/>
      <c r="BF720" s="235"/>
      <c r="BG720" s="235"/>
      <c r="BH720" s="235"/>
      <c r="BI720" s="235"/>
      <c r="BJ720" s="235"/>
      <c r="BK720" s="235"/>
      <c r="BL720" s="235"/>
      <c r="BM720" s="235"/>
      <c r="BN720" s="235"/>
      <c r="BO720" s="235"/>
    </row>
    <row r="721" ht="29.25" hidden="1" customHeight="1">
      <c r="A721" s="230"/>
      <c r="B721" s="231"/>
      <c r="C721" s="179"/>
      <c r="D721" s="179"/>
      <c r="E721" s="180"/>
      <c r="F721" s="162"/>
      <c r="G721" s="232"/>
      <c r="H721" s="22"/>
      <c r="I721" s="181"/>
      <c r="J721" s="182"/>
      <c r="K721" s="182"/>
      <c r="L721" s="182"/>
      <c r="M721" s="234"/>
      <c r="N721" s="28"/>
      <c r="O721" s="181"/>
      <c r="P721" s="183"/>
      <c r="Q721" s="104"/>
      <c r="R721" s="233"/>
      <c r="S721" s="164"/>
      <c r="T721" s="164"/>
      <c r="U721" s="162"/>
      <c r="V721" s="235"/>
      <c r="W721" s="235"/>
      <c r="X721" s="235"/>
      <c r="Y721" s="235"/>
      <c r="Z721" s="235"/>
      <c r="AA721" s="235"/>
      <c r="AB721" s="235"/>
      <c r="AC721" s="235"/>
      <c r="AD721" s="235"/>
      <c r="AE721" s="235"/>
      <c r="AF721" s="235"/>
      <c r="AG721" s="235"/>
      <c r="AH721" s="235"/>
      <c r="AI721" s="235"/>
      <c r="AJ721" s="235"/>
      <c r="AK721" s="235"/>
      <c r="AL721" s="235"/>
      <c r="AM721" s="235"/>
      <c r="AN721" s="235"/>
      <c r="AO721" s="235"/>
      <c r="AP721" s="235"/>
      <c r="AQ721" s="235"/>
      <c r="AR721" s="235"/>
      <c r="AS721" s="235"/>
      <c r="AT721" s="235"/>
      <c r="AU721" s="235"/>
      <c r="AV721" s="235"/>
      <c r="AW721" s="235"/>
      <c r="AX721" s="235"/>
      <c r="AY721" s="235"/>
      <c r="AZ721" s="235"/>
      <c r="BA721" s="235"/>
      <c r="BB721" s="235"/>
      <c r="BC721" s="235"/>
      <c r="BD721" s="235"/>
      <c r="BE721" s="235"/>
      <c r="BF721" s="235"/>
      <c r="BG721" s="235"/>
      <c r="BH721" s="235"/>
      <c r="BI721" s="235"/>
      <c r="BJ721" s="235"/>
      <c r="BK721" s="235"/>
      <c r="BL721" s="235"/>
      <c r="BM721" s="235"/>
      <c r="BN721" s="235"/>
      <c r="BO721" s="235"/>
    </row>
    <row r="722" ht="29.25" hidden="1" customHeight="1">
      <c r="A722" s="230"/>
      <c r="B722" s="231"/>
      <c r="C722" s="179"/>
      <c r="D722" s="179"/>
      <c r="E722" s="180"/>
      <c r="F722" s="162"/>
      <c r="G722" s="232"/>
      <c r="H722" s="22"/>
      <c r="I722" s="181"/>
      <c r="J722" s="182"/>
      <c r="K722" s="182"/>
      <c r="L722" s="182"/>
      <c r="M722" s="234"/>
      <c r="N722" s="28"/>
      <c r="O722" s="181"/>
      <c r="P722" s="183"/>
      <c r="Q722" s="104"/>
      <c r="R722" s="233"/>
      <c r="S722" s="164"/>
      <c r="T722" s="164"/>
      <c r="U722" s="162"/>
      <c r="V722" s="235"/>
      <c r="W722" s="235"/>
      <c r="X722" s="235"/>
      <c r="Y722" s="235"/>
      <c r="Z722" s="235"/>
      <c r="AA722" s="235"/>
      <c r="AB722" s="235"/>
      <c r="AC722" s="235"/>
      <c r="AD722" s="235"/>
      <c r="AE722" s="235"/>
      <c r="AF722" s="235"/>
      <c r="AG722" s="235"/>
      <c r="AH722" s="235"/>
      <c r="AI722" s="235"/>
      <c r="AJ722" s="235"/>
      <c r="AK722" s="235"/>
      <c r="AL722" s="235"/>
      <c r="AM722" s="235"/>
      <c r="AN722" s="235"/>
      <c r="AO722" s="235"/>
      <c r="AP722" s="235"/>
      <c r="AQ722" s="235"/>
      <c r="AR722" s="235"/>
      <c r="AS722" s="235"/>
      <c r="AT722" s="235"/>
      <c r="AU722" s="235"/>
      <c r="AV722" s="235"/>
      <c r="AW722" s="235"/>
      <c r="AX722" s="235"/>
      <c r="AY722" s="235"/>
      <c r="AZ722" s="235"/>
      <c r="BA722" s="235"/>
      <c r="BB722" s="235"/>
      <c r="BC722" s="235"/>
      <c r="BD722" s="235"/>
      <c r="BE722" s="235"/>
      <c r="BF722" s="235"/>
      <c r="BG722" s="235"/>
      <c r="BH722" s="235"/>
      <c r="BI722" s="235"/>
      <c r="BJ722" s="235"/>
      <c r="BK722" s="235"/>
      <c r="BL722" s="235"/>
      <c r="BM722" s="235"/>
      <c r="BN722" s="235"/>
      <c r="BO722" s="235"/>
    </row>
    <row r="723" ht="29.25" hidden="1" customHeight="1">
      <c r="A723" s="230"/>
      <c r="B723" s="231"/>
      <c r="C723" s="179"/>
      <c r="D723" s="179"/>
      <c r="E723" s="180"/>
      <c r="F723" s="162"/>
      <c r="G723" s="232"/>
      <c r="H723" s="22"/>
      <c r="I723" s="181"/>
      <c r="J723" s="182"/>
      <c r="K723" s="182"/>
      <c r="L723" s="182"/>
      <c r="M723" s="234"/>
      <c r="N723" s="28"/>
      <c r="O723" s="181"/>
      <c r="P723" s="183"/>
      <c r="Q723" s="104"/>
      <c r="R723" s="233"/>
      <c r="S723" s="164"/>
      <c r="T723" s="164"/>
      <c r="U723" s="162"/>
      <c r="V723" s="235"/>
      <c r="W723" s="235"/>
      <c r="X723" s="235"/>
      <c r="Y723" s="235"/>
      <c r="Z723" s="235"/>
      <c r="AA723" s="235"/>
      <c r="AB723" s="235"/>
      <c r="AC723" s="235"/>
      <c r="AD723" s="235"/>
      <c r="AE723" s="235"/>
      <c r="AF723" s="235"/>
      <c r="AG723" s="235"/>
      <c r="AH723" s="235"/>
      <c r="AI723" s="235"/>
      <c r="AJ723" s="235"/>
      <c r="AK723" s="235"/>
      <c r="AL723" s="235"/>
      <c r="AM723" s="235"/>
      <c r="AN723" s="235"/>
      <c r="AO723" s="235"/>
      <c r="AP723" s="235"/>
      <c r="AQ723" s="235"/>
      <c r="AR723" s="235"/>
      <c r="AS723" s="235"/>
      <c r="AT723" s="235"/>
      <c r="AU723" s="235"/>
      <c r="AV723" s="235"/>
      <c r="AW723" s="235"/>
      <c r="AX723" s="235"/>
      <c r="AY723" s="235"/>
      <c r="AZ723" s="235"/>
      <c r="BA723" s="235"/>
      <c r="BB723" s="235"/>
      <c r="BC723" s="235"/>
      <c r="BD723" s="235"/>
      <c r="BE723" s="235"/>
      <c r="BF723" s="235"/>
      <c r="BG723" s="235"/>
      <c r="BH723" s="235"/>
      <c r="BI723" s="235"/>
      <c r="BJ723" s="235"/>
      <c r="BK723" s="235"/>
      <c r="BL723" s="235"/>
      <c r="BM723" s="235"/>
      <c r="BN723" s="235"/>
      <c r="BO723" s="235"/>
    </row>
    <row r="724" ht="29.25" hidden="1" customHeight="1">
      <c r="A724" s="230"/>
      <c r="B724" s="231"/>
      <c r="C724" s="179"/>
      <c r="D724" s="179"/>
      <c r="E724" s="180"/>
      <c r="F724" s="162"/>
      <c r="G724" s="232"/>
      <c r="H724" s="22"/>
      <c r="I724" s="181"/>
      <c r="J724" s="182"/>
      <c r="K724" s="182"/>
      <c r="L724" s="182"/>
      <c r="M724" s="234"/>
      <c r="N724" s="28"/>
      <c r="O724" s="181"/>
      <c r="P724" s="183"/>
      <c r="Q724" s="104"/>
      <c r="R724" s="233"/>
      <c r="S724" s="164"/>
      <c r="T724" s="164"/>
      <c r="U724" s="162"/>
      <c r="V724" s="235"/>
      <c r="W724" s="235"/>
      <c r="X724" s="235"/>
      <c r="Y724" s="235"/>
      <c r="Z724" s="235"/>
      <c r="AA724" s="235"/>
      <c r="AB724" s="235"/>
      <c r="AC724" s="235"/>
      <c r="AD724" s="235"/>
      <c r="AE724" s="235"/>
      <c r="AF724" s="235"/>
      <c r="AG724" s="235"/>
      <c r="AH724" s="235"/>
      <c r="AI724" s="235"/>
      <c r="AJ724" s="235"/>
      <c r="AK724" s="235"/>
      <c r="AL724" s="235"/>
      <c r="AM724" s="235"/>
      <c r="AN724" s="235"/>
      <c r="AO724" s="235"/>
      <c r="AP724" s="235"/>
      <c r="AQ724" s="235"/>
      <c r="AR724" s="235"/>
      <c r="AS724" s="235"/>
      <c r="AT724" s="235"/>
      <c r="AU724" s="235"/>
      <c r="AV724" s="235"/>
      <c r="AW724" s="235"/>
      <c r="AX724" s="235"/>
      <c r="AY724" s="235"/>
      <c r="AZ724" s="235"/>
      <c r="BA724" s="235"/>
      <c r="BB724" s="235"/>
      <c r="BC724" s="235"/>
      <c r="BD724" s="235"/>
      <c r="BE724" s="235"/>
      <c r="BF724" s="235"/>
      <c r="BG724" s="235"/>
      <c r="BH724" s="235"/>
      <c r="BI724" s="235"/>
      <c r="BJ724" s="235"/>
      <c r="BK724" s="235"/>
      <c r="BL724" s="235"/>
      <c r="BM724" s="235"/>
      <c r="BN724" s="235"/>
      <c r="BO724" s="235"/>
    </row>
    <row r="725" ht="29.25" hidden="1" customHeight="1">
      <c r="A725" s="230"/>
      <c r="B725" s="231"/>
      <c r="C725" s="179"/>
      <c r="D725" s="179"/>
      <c r="E725" s="180"/>
      <c r="F725" s="162"/>
      <c r="G725" s="232"/>
      <c r="H725" s="22"/>
      <c r="I725" s="181"/>
      <c r="J725" s="182"/>
      <c r="K725" s="182"/>
      <c r="L725" s="182"/>
      <c r="M725" s="234"/>
      <c r="N725" s="28"/>
      <c r="O725" s="181"/>
      <c r="P725" s="183"/>
      <c r="Q725" s="104"/>
      <c r="R725" s="233"/>
      <c r="S725" s="164"/>
      <c r="T725" s="164"/>
      <c r="U725" s="162"/>
      <c r="V725" s="235"/>
      <c r="W725" s="235"/>
      <c r="X725" s="235"/>
      <c r="Y725" s="235"/>
      <c r="Z725" s="235"/>
      <c r="AA725" s="235"/>
      <c r="AB725" s="235"/>
      <c r="AC725" s="235"/>
      <c r="AD725" s="235"/>
      <c r="AE725" s="235"/>
      <c r="AF725" s="235"/>
      <c r="AG725" s="235"/>
      <c r="AH725" s="235"/>
      <c r="AI725" s="235"/>
      <c r="AJ725" s="235"/>
      <c r="AK725" s="235"/>
      <c r="AL725" s="235"/>
      <c r="AM725" s="235"/>
      <c r="AN725" s="235"/>
      <c r="AO725" s="235"/>
      <c r="AP725" s="235"/>
      <c r="AQ725" s="235"/>
      <c r="AR725" s="235"/>
      <c r="AS725" s="235"/>
      <c r="AT725" s="235"/>
      <c r="AU725" s="235"/>
      <c r="AV725" s="235"/>
      <c r="AW725" s="235"/>
      <c r="AX725" s="235"/>
      <c r="AY725" s="235"/>
      <c r="AZ725" s="235"/>
      <c r="BA725" s="235"/>
      <c r="BB725" s="235"/>
      <c r="BC725" s="235"/>
      <c r="BD725" s="235"/>
      <c r="BE725" s="235"/>
      <c r="BF725" s="235"/>
      <c r="BG725" s="235"/>
      <c r="BH725" s="235"/>
      <c r="BI725" s="235"/>
      <c r="BJ725" s="235"/>
      <c r="BK725" s="235"/>
      <c r="BL725" s="235"/>
      <c r="BM725" s="235"/>
      <c r="BN725" s="235"/>
      <c r="BO725" s="235"/>
    </row>
    <row r="726" ht="29.25" hidden="1" customHeight="1">
      <c r="A726" s="230"/>
      <c r="B726" s="231"/>
      <c r="C726" s="179"/>
      <c r="D726" s="179"/>
      <c r="E726" s="180"/>
      <c r="F726" s="162"/>
      <c r="G726" s="232"/>
      <c r="H726" s="22"/>
      <c r="I726" s="181"/>
      <c r="J726" s="182"/>
      <c r="K726" s="182"/>
      <c r="L726" s="182"/>
      <c r="M726" s="234"/>
      <c r="N726" s="28"/>
      <c r="O726" s="181"/>
      <c r="P726" s="183"/>
      <c r="Q726" s="104"/>
      <c r="R726" s="233"/>
      <c r="S726" s="164"/>
      <c r="T726" s="164"/>
      <c r="U726" s="162"/>
      <c r="V726" s="235"/>
      <c r="W726" s="235"/>
      <c r="X726" s="235"/>
      <c r="Y726" s="235"/>
      <c r="Z726" s="235"/>
      <c r="AA726" s="235"/>
      <c r="AB726" s="235"/>
      <c r="AC726" s="235"/>
      <c r="AD726" s="235"/>
      <c r="AE726" s="235"/>
      <c r="AF726" s="235"/>
      <c r="AG726" s="235"/>
      <c r="AH726" s="235"/>
      <c r="AI726" s="235"/>
      <c r="AJ726" s="235"/>
      <c r="AK726" s="235"/>
      <c r="AL726" s="235"/>
      <c r="AM726" s="235"/>
      <c r="AN726" s="235"/>
      <c r="AO726" s="235"/>
      <c r="AP726" s="235"/>
      <c r="AQ726" s="235"/>
      <c r="AR726" s="235"/>
      <c r="AS726" s="235"/>
      <c r="AT726" s="235"/>
      <c r="AU726" s="235"/>
      <c r="AV726" s="235"/>
      <c r="AW726" s="235"/>
      <c r="AX726" s="235"/>
      <c r="AY726" s="235"/>
      <c r="AZ726" s="235"/>
      <c r="BA726" s="235"/>
      <c r="BB726" s="235"/>
      <c r="BC726" s="235"/>
      <c r="BD726" s="235"/>
      <c r="BE726" s="235"/>
      <c r="BF726" s="235"/>
      <c r="BG726" s="235"/>
      <c r="BH726" s="235"/>
      <c r="BI726" s="235"/>
      <c r="BJ726" s="235"/>
      <c r="BK726" s="235"/>
      <c r="BL726" s="235"/>
      <c r="BM726" s="235"/>
      <c r="BN726" s="235"/>
      <c r="BO726" s="235"/>
    </row>
    <row r="727" ht="29.25" hidden="1" customHeight="1">
      <c r="A727" s="230"/>
      <c r="B727" s="231"/>
      <c r="C727" s="179"/>
      <c r="D727" s="179"/>
      <c r="E727" s="180"/>
      <c r="F727" s="162"/>
      <c r="G727" s="232"/>
      <c r="H727" s="234"/>
      <c r="I727" s="181"/>
      <c r="J727" s="182"/>
      <c r="K727" s="182"/>
      <c r="L727" s="182"/>
      <c r="M727" s="234"/>
      <c r="N727" s="28"/>
      <c r="O727" s="181"/>
      <c r="P727" s="183"/>
      <c r="Q727" s="104"/>
      <c r="R727" s="233"/>
      <c r="S727" s="164"/>
      <c r="T727" s="164"/>
      <c r="U727" s="162"/>
      <c r="V727" s="235"/>
      <c r="W727" s="235"/>
      <c r="X727" s="235"/>
      <c r="Y727" s="235"/>
      <c r="Z727" s="235"/>
      <c r="AA727" s="235"/>
      <c r="AB727" s="235"/>
      <c r="AC727" s="235"/>
      <c r="AD727" s="235"/>
      <c r="AE727" s="235"/>
      <c r="AF727" s="235"/>
      <c r="AG727" s="235"/>
      <c r="AH727" s="235"/>
      <c r="AI727" s="235"/>
      <c r="AJ727" s="235"/>
      <c r="AK727" s="235"/>
      <c r="AL727" s="235"/>
      <c r="AM727" s="235"/>
      <c r="AN727" s="235"/>
      <c r="AO727" s="235"/>
      <c r="AP727" s="235"/>
      <c r="AQ727" s="235"/>
      <c r="AR727" s="235"/>
      <c r="AS727" s="235"/>
      <c r="AT727" s="235"/>
      <c r="AU727" s="235"/>
      <c r="AV727" s="235"/>
      <c r="AW727" s="235"/>
      <c r="AX727" s="235"/>
      <c r="AY727" s="235"/>
      <c r="AZ727" s="235"/>
      <c r="BA727" s="235"/>
      <c r="BB727" s="235"/>
      <c r="BC727" s="235"/>
      <c r="BD727" s="235"/>
      <c r="BE727" s="235"/>
      <c r="BF727" s="235"/>
      <c r="BG727" s="235"/>
      <c r="BH727" s="235"/>
      <c r="BI727" s="235"/>
      <c r="BJ727" s="235"/>
      <c r="BK727" s="235"/>
      <c r="BL727" s="235"/>
      <c r="BM727" s="235"/>
      <c r="BN727" s="235"/>
      <c r="BO727" s="235"/>
    </row>
    <row r="728" ht="29.25" hidden="1" customHeight="1">
      <c r="A728" s="230"/>
      <c r="B728" s="231"/>
      <c r="C728" s="179"/>
      <c r="D728" s="179"/>
      <c r="E728" s="180"/>
      <c r="F728" s="162"/>
      <c r="G728" s="232"/>
      <c r="H728" s="234"/>
      <c r="I728" s="181"/>
      <c r="J728" s="182"/>
      <c r="K728" s="182"/>
      <c r="L728" s="182"/>
      <c r="M728" s="234"/>
      <c r="N728" s="28"/>
      <c r="O728" s="181"/>
      <c r="P728" s="183"/>
      <c r="Q728" s="104"/>
      <c r="R728" s="233"/>
      <c r="S728" s="164"/>
      <c r="T728" s="164"/>
      <c r="U728" s="162"/>
      <c r="V728" s="235"/>
      <c r="W728" s="235"/>
      <c r="X728" s="235"/>
      <c r="Y728" s="235"/>
      <c r="Z728" s="235"/>
      <c r="AA728" s="235"/>
      <c r="AB728" s="235"/>
      <c r="AC728" s="235"/>
      <c r="AD728" s="235"/>
      <c r="AE728" s="235"/>
      <c r="AF728" s="235"/>
      <c r="AG728" s="235"/>
      <c r="AH728" s="235"/>
      <c r="AI728" s="235"/>
      <c r="AJ728" s="235"/>
      <c r="AK728" s="235"/>
      <c r="AL728" s="235"/>
      <c r="AM728" s="235"/>
      <c r="AN728" s="235"/>
      <c r="AO728" s="235"/>
      <c r="AP728" s="235"/>
      <c r="AQ728" s="235"/>
      <c r="AR728" s="235"/>
      <c r="AS728" s="235"/>
      <c r="AT728" s="235"/>
      <c r="AU728" s="235"/>
      <c r="AV728" s="235"/>
      <c r="AW728" s="235"/>
      <c r="AX728" s="235"/>
      <c r="AY728" s="235"/>
      <c r="AZ728" s="235"/>
      <c r="BA728" s="235"/>
      <c r="BB728" s="235"/>
      <c r="BC728" s="235"/>
      <c r="BD728" s="235"/>
      <c r="BE728" s="235"/>
      <c r="BF728" s="235"/>
      <c r="BG728" s="235"/>
      <c r="BH728" s="235"/>
      <c r="BI728" s="235"/>
      <c r="BJ728" s="235"/>
      <c r="BK728" s="235"/>
      <c r="BL728" s="235"/>
      <c r="BM728" s="235"/>
      <c r="BN728" s="235"/>
      <c r="BO728" s="235"/>
    </row>
    <row r="729" ht="29.25" hidden="1" customHeight="1">
      <c r="A729" s="230"/>
      <c r="B729" s="231"/>
      <c r="C729" s="179"/>
      <c r="D729" s="179"/>
      <c r="E729" s="180"/>
      <c r="F729" s="162"/>
      <c r="G729" s="232"/>
      <c r="H729" s="234"/>
      <c r="I729" s="181"/>
      <c r="J729" s="182"/>
      <c r="K729" s="182"/>
      <c r="L729" s="182"/>
      <c r="M729" s="234"/>
      <c r="N729" s="28"/>
      <c r="O729" s="181"/>
      <c r="P729" s="183"/>
      <c r="Q729" s="104"/>
      <c r="R729" s="233"/>
      <c r="S729" s="164"/>
      <c r="T729" s="164"/>
      <c r="U729" s="162"/>
      <c r="V729" s="235"/>
      <c r="W729" s="235"/>
      <c r="X729" s="235"/>
      <c r="Y729" s="235"/>
      <c r="Z729" s="235"/>
      <c r="AA729" s="235"/>
      <c r="AB729" s="235"/>
      <c r="AC729" s="235"/>
      <c r="AD729" s="235"/>
      <c r="AE729" s="235"/>
      <c r="AF729" s="235"/>
      <c r="AG729" s="235"/>
      <c r="AH729" s="235"/>
      <c r="AI729" s="235"/>
      <c r="AJ729" s="235"/>
      <c r="AK729" s="235"/>
      <c r="AL729" s="235"/>
      <c r="AM729" s="235"/>
      <c r="AN729" s="235"/>
      <c r="AO729" s="235"/>
      <c r="AP729" s="235"/>
      <c r="AQ729" s="235"/>
      <c r="AR729" s="235"/>
      <c r="AS729" s="235"/>
      <c r="AT729" s="235"/>
      <c r="AU729" s="235"/>
      <c r="AV729" s="235"/>
      <c r="AW729" s="235"/>
      <c r="AX729" s="235"/>
      <c r="AY729" s="235"/>
      <c r="AZ729" s="235"/>
      <c r="BA729" s="235"/>
      <c r="BB729" s="235"/>
      <c r="BC729" s="235"/>
      <c r="BD729" s="235"/>
      <c r="BE729" s="235"/>
      <c r="BF729" s="235"/>
      <c r="BG729" s="235"/>
      <c r="BH729" s="235"/>
      <c r="BI729" s="235"/>
      <c r="BJ729" s="235"/>
      <c r="BK729" s="235"/>
      <c r="BL729" s="235"/>
      <c r="BM729" s="235"/>
      <c r="BN729" s="235"/>
      <c r="BO729" s="235"/>
    </row>
    <row r="730" ht="29.25" hidden="1" customHeight="1">
      <c r="A730" s="230"/>
      <c r="B730" s="231"/>
      <c r="C730" s="179"/>
      <c r="D730" s="179"/>
      <c r="E730" s="180"/>
      <c r="F730" s="162"/>
      <c r="G730" s="232"/>
      <c r="H730" s="234"/>
      <c r="I730" s="181"/>
      <c r="J730" s="182"/>
      <c r="K730" s="182"/>
      <c r="L730" s="182"/>
      <c r="M730" s="234"/>
      <c r="N730" s="28"/>
      <c r="O730" s="181"/>
      <c r="P730" s="183"/>
      <c r="Q730" s="104"/>
      <c r="R730" s="233"/>
      <c r="S730" s="164"/>
      <c r="T730" s="164"/>
      <c r="U730" s="162"/>
      <c r="V730" s="235"/>
      <c r="W730" s="235"/>
      <c r="X730" s="235"/>
      <c r="Y730" s="235"/>
      <c r="Z730" s="235"/>
      <c r="AA730" s="235"/>
      <c r="AB730" s="235"/>
      <c r="AC730" s="235"/>
      <c r="AD730" s="235"/>
      <c r="AE730" s="235"/>
      <c r="AF730" s="235"/>
      <c r="AG730" s="235"/>
      <c r="AH730" s="235"/>
      <c r="AI730" s="235"/>
      <c r="AJ730" s="235"/>
      <c r="AK730" s="235"/>
      <c r="AL730" s="235"/>
      <c r="AM730" s="235"/>
      <c r="AN730" s="235"/>
      <c r="AO730" s="235"/>
      <c r="AP730" s="235"/>
      <c r="AQ730" s="235"/>
      <c r="AR730" s="235"/>
      <c r="AS730" s="235"/>
      <c r="AT730" s="235"/>
      <c r="AU730" s="235"/>
      <c r="AV730" s="235"/>
      <c r="AW730" s="235"/>
      <c r="AX730" s="235"/>
      <c r="AY730" s="235"/>
      <c r="AZ730" s="235"/>
      <c r="BA730" s="235"/>
      <c r="BB730" s="235"/>
      <c r="BC730" s="235"/>
      <c r="BD730" s="235"/>
      <c r="BE730" s="235"/>
      <c r="BF730" s="235"/>
      <c r="BG730" s="235"/>
      <c r="BH730" s="235"/>
      <c r="BI730" s="235"/>
      <c r="BJ730" s="235"/>
      <c r="BK730" s="235"/>
      <c r="BL730" s="235"/>
      <c r="BM730" s="235"/>
      <c r="BN730" s="235"/>
      <c r="BO730" s="235"/>
    </row>
    <row r="731" ht="29.25" hidden="1" customHeight="1">
      <c r="A731" s="230"/>
      <c r="B731" s="231"/>
      <c r="C731" s="179"/>
      <c r="D731" s="179"/>
      <c r="E731" s="180"/>
      <c r="F731" s="162"/>
      <c r="G731" s="232"/>
      <c r="H731" s="234"/>
      <c r="I731" s="181"/>
      <c r="J731" s="182"/>
      <c r="K731" s="182"/>
      <c r="L731" s="182"/>
      <c r="M731" s="234"/>
      <c r="N731" s="28"/>
      <c r="O731" s="181"/>
      <c r="P731" s="183"/>
      <c r="Q731" s="104"/>
      <c r="R731" s="233"/>
      <c r="S731" s="164"/>
      <c r="T731" s="164"/>
      <c r="U731" s="162"/>
      <c r="V731" s="235"/>
      <c r="W731" s="235"/>
      <c r="X731" s="235"/>
      <c r="Y731" s="235"/>
      <c r="Z731" s="235"/>
      <c r="AA731" s="235"/>
      <c r="AB731" s="235"/>
      <c r="AC731" s="235"/>
      <c r="AD731" s="235"/>
      <c r="AE731" s="235"/>
      <c r="AF731" s="235"/>
      <c r="AG731" s="235"/>
      <c r="AH731" s="235"/>
      <c r="AI731" s="235"/>
      <c r="AJ731" s="235"/>
      <c r="AK731" s="235"/>
      <c r="AL731" s="235"/>
      <c r="AM731" s="235"/>
      <c r="AN731" s="235"/>
      <c r="AO731" s="235"/>
      <c r="AP731" s="235"/>
      <c r="AQ731" s="235"/>
      <c r="AR731" s="235"/>
      <c r="AS731" s="235"/>
      <c r="AT731" s="235"/>
      <c r="AU731" s="235"/>
      <c r="AV731" s="235"/>
      <c r="AW731" s="235"/>
      <c r="AX731" s="235"/>
      <c r="AY731" s="235"/>
      <c r="AZ731" s="235"/>
      <c r="BA731" s="235"/>
      <c r="BB731" s="235"/>
      <c r="BC731" s="235"/>
      <c r="BD731" s="235"/>
      <c r="BE731" s="235"/>
      <c r="BF731" s="235"/>
      <c r="BG731" s="235"/>
      <c r="BH731" s="235"/>
      <c r="BI731" s="235"/>
      <c r="BJ731" s="235"/>
      <c r="BK731" s="235"/>
      <c r="BL731" s="235"/>
      <c r="BM731" s="235"/>
      <c r="BN731" s="235"/>
      <c r="BO731" s="235"/>
    </row>
    <row r="732" ht="29.25" hidden="1" customHeight="1">
      <c r="A732" s="230"/>
      <c r="B732" s="231"/>
      <c r="C732" s="179"/>
      <c r="D732" s="179"/>
      <c r="E732" s="180"/>
      <c r="F732" s="162"/>
      <c r="G732" s="232"/>
      <c r="H732" s="234"/>
      <c r="I732" s="181"/>
      <c r="J732" s="182"/>
      <c r="K732" s="182"/>
      <c r="L732" s="182"/>
      <c r="M732" s="234"/>
      <c r="N732" s="28"/>
      <c r="O732" s="181"/>
      <c r="P732" s="183"/>
      <c r="Q732" s="104"/>
      <c r="R732" s="233"/>
      <c r="S732" s="164"/>
      <c r="T732" s="164"/>
      <c r="U732" s="162"/>
      <c r="V732" s="235"/>
      <c r="W732" s="235"/>
      <c r="X732" s="235"/>
      <c r="Y732" s="235"/>
      <c r="Z732" s="235"/>
      <c r="AA732" s="235"/>
      <c r="AB732" s="235"/>
      <c r="AC732" s="235"/>
      <c r="AD732" s="235"/>
      <c r="AE732" s="235"/>
      <c r="AF732" s="235"/>
      <c r="AG732" s="235"/>
      <c r="AH732" s="235"/>
      <c r="AI732" s="235"/>
      <c r="AJ732" s="235"/>
      <c r="AK732" s="235"/>
      <c r="AL732" s="235"/>
      <c r="AM732" s="235"/>
      <c r="AN732" s="235"/>
      <c r="AO732" s="235"/>
      <c r="AP732" s="235"/>
      <c r="AQ732" s="235"/>
      <c r="AR732" s="235"/>
      <c r="AS732" s="235"/>
      <c r="AT732" s="235"/>
      <c r="AU732" s="235"/>
      <c r="AV732" s="235"/>
      <c r="AW732" s="235"/>
      <c r="AX732" s="235"/>
      <c r="AY732" s="235"/>
      <c r="AZ732" s="235"/>
      <c r="BA732" s="235"/>
      <c r="BB732" s="235"/>
      <c r="BC732" s="235"/>
      <c r="BD732" s="235"/>
      <c r="BE732" s="235"/>
      <c r="BF732" s="235"/>
      <c r="BG732" s="235"/>
      <c r="BH732" s="235"/>
      <c r="BI732" s="235"/>
      <c r="BJ732" s="235"/>
      <c r="BK732" s="235"/>
      <c r="BL732" s="235"/>
      <c r="BM732" s="235"/>
      <c r="BN732" s="235"/>
      <c r="BO732" s="235"/>
    </row>
    <row r="733" ht="29.25" hidden="1" customHeight="1">
      <c r="A733" s="230"/>
      <c r="B733" s="231"/>
      <c r="C733" s="179"/>
      <c r="D733" s="179"/>
      <c r="E733" s="180"/>
      <c r="F733" s="162"/>
      <c r="G733" s="232"/>
      <c r="H733" s="234"/>
      <c r="I733" s="181"/>
      <c r="J733" s="182"/>
      <c r="K733" s="182"/>
      <c r="L733" s="182"/>
      <c r="M733" s="234"/>
      <c r="N733" s="28"/>
      <c r="O733" s="181"/>
      <c r="P733" s="183"/>
      <c r="Q733" s="104"/>
      <c r="R733" s="233"/>
      <c r="S733" s="164"/>
      <c r="T733" s="164"/>
      <c r="U733" s="162"/>
      <c r="V733" s="235"/>
      <c r="W733" s="235"/>
      <c r="X733" s="235"/>
      <c r="Y733" s="235"/>
      <c r="Z733" s="235"/>
      <c r="AA733" s="235"/>
      <c r="AB733" s="235"/>
      <c r="AC733" s="235"/>
      <c r="AD733" s="235"/>
      <c r="AE733" s="235"/>
      <c r="AF733" s="235"/>
      <c r="AG733" s="235"/>
      <c r="AH733" s="235"/>
      <c r="AI733" s="235"/>
      <c r="AJ733" s="235"/>
      <c r="AK733" s="235"/>
      <c r="AL733" s="235"/>
      <c r="AM733" s="235"/>
      <c r="AN733" s="235"/>
      <c r="AO733" s="235"/>
      <c r="AP733" s="235"/>
      <c r="AQ733" s="235"/>
      <c r="AR733" s="235"/>
      <c r="AS733" s="235"/>
      <c r="AT733" s="235"/>
      <c r="AU733" s="235"/>
      <c r="AV733" s="235"/>
      <c r="AW733" s="235"/>
      <c r="AX733" s="235"/>
      <c r="AY733" s="235"/>
      <c r="AZ733" s="235"/>
      <c r="BA733" s="235"/>
      <c r="BB733" s="235"/>
      <c r="BC733" s="235"/>
      <c r="BD733" s="235"/>
      <c r="BE733" s="235"/>
      <c r="BF733" s="235"/>
      <c r="BG733" s="235"/>
      <c r="BH733" s="235"/>
      <c r="BI733" s="235"/>
      <c r="BJ733" s="235"/>
      <c r="BK733" s="235"/>
      <c r="BL733" s="235"/>
      <c r="BM733" s="235"/>
      <c r="BN733" s="235"/>
      <c r="BO733" s="235"/>
    </row>
    <row r="734" ht="29.25" hidden="1" customHeight="1">
      <c r="A734" s="230"/>
      <c r="B734" s="231"/>
      <c r="C734" s="179"/>
      <c r="D734" s="179"/>
      <c r="E734" s="180"/>
      <c r="F734" s="162"/>
      <c r="G734" s="232"/>
      <c r="H734" s="234"/>
      <c r="I734" s="181"/>
      <c r="J734" s="182"/>
      <c r="K734" s="182"/>
      <c r="L734" s="182"/>
      <c r="M734" s="234"/>
      <c r="N734" s="28"/>
      <c r="O734" s="181"/>
      <c r="P734" s="183"/>
      <c r="Q734" s="104"/>
      <c r="R734" s="233"/>
      <c r="S734" s="164"/>
      <c r="T734" s="164"/>
      <c r="U734" s="162"/>
      <c r="V734" s="235"/>
      <c r="W734" s="235"/>
      <c r="X734" s="235"/>
      <c r="Y734" s="235"/>
      <c r="Z734" s="235"/>
      <c r="AA734" s="235"/>
      <c r="AB734" s="235"/>
      <c r="AC734" s="235"/>
      <c r="AD734" s="235"/>
      <c r="AE734" s="235"/>
      <c r="AF734" s="235"/>
      <c r="AG734" s="235"/>
      <c r="AH734" s="235"/>
      <c r="AI734" s="235"/>
      <c r="AJ734" s="235"/>
      <c r="AK734" s="235"/>
      <c r="AL734" s="235"/>
      <c r="AM734" s="235"/>
      <c r="AN734" s="235"/>
      <c r="AO734" s="235"/>
      <c r="AP734" s="235"/>
      <c r="AQ734" s="235"/>
      <c r="AR734" s="235"/>
      <c r="AS734" s="235"/>
      <c r="AT734" s="235"/>
      <c r="AU734" s="235"/>
      <c r="AV734" s="235"/>
      <c r="AW734" s="235"/>
      <c r="AX734" s="235"/>
      <c r="AY734" s="235"/>
      <c r="AZ734" s="235"/>
      <c r="BA734" s="235"/>
      <c r="BB734" s="235"/>
      <c r="BC734" s="235"/>
      <c r="BD734" s="235"/>
      <c r="BE734" s="235"/>
      <c r="BF734" s="235"/>
      <c r="BG734" s="235"/>
      <c r="BH734" s="235"/>
      <c r="BI734" s="235"/>
      <c r="BJ734" s="235"/>
      <c r="BK734" s="235"/>
      <c r="BL734" s="235"/>
      <c r="BM734" s="235"/>
      <c r="BN734" s="235"/>
      <c r="BO734" s="235"/>
    </row>
    <row r="735" ht="29.25" hidden="1" customHeight="1">
      <c r="A735" s="230"/>
      <c r="B735" s="231"/>
      <c r="C735" s="179"/>
      <c r="D735" s="179"/>
      <c r="E735" s="180"/>
      <c r="F735" s="162"/>
      <c r="G735" s="232"/>
      <c r="H735" s="234"/>
      <c r="I735" s="181"/>
      <c r="J735" s="182"/>
      <c r="K735" s="182"/>
      <c r="L735" s="182"/>
      <c r="M735" s="234"/>
      <c r="N735" s="28"/>
      <c r="O735" s="181"/>
      <c r="P735" s="183"/>
      <c r="Q735" s="104"/>
      <c r="R735" s="233"/>
      <c r="S735" s="164"/>
      <c r="T735" s="164"/>
      <c r="U735" s="162"/>
      <c r="V735" s="235"/>
      <c r="W735" s="235"/>
      <c r="X735" s="235"/>
      <c r="Y735" s="235"/>
      <c r="Z735" s="235"/>
      <c r="AA735" s="235"/>
      <c r="AB735" s="235"/>
      <c r="AC735" s="235"/>
      <c r="AD735" s="235"/>
      <c r="AE735" s="235"/>
      <c r="AF735" s="235"/>
      <c r="AG735" s="235"/>
      <c r="AH735" s="235"/>
      <c r="AI735" s="235"/>
      <c r="AJ735" s="235"/>
      <c r="AK735" s="235"/>
      <c r="AL735" s="235"/>
      <c r="AM735" s="235"/>
      <c r="AN735" s="235"/>
      <c r="AO735" s="235"/>
      <c r="AP735" s="235"/>
      <c r="AQ735" s="235"/>
      <c r="AR735" s="235"/>
      <c r="AS735" s="235"/>
      <c r="AT735" s="235"/>
      <c r="AU735" s="235"/>
      <c r="AV735" s="235"/>
      <c r="AW735" s="235"/>
      <c r="AX735" s="235"/>
      <c r="AY735" s="235"/>
      <c r="AZ735" s="235"/>
      <c r="BA735" s="235"/>
      <c r="BB735" s="235"/>
      <c r="BC735" s="235"/>
      <c r="BD735" s="235"/>
      <c r="BE735" s="235"/>
      <c r="BF735" s="235"/>
      <c r="BG735" s="235"/>
      <c r="BH735" s="235"/>
      <c r="BI735" s="235"/>
      <c r="BJ735" s="235"/>
      <c r="BK735" s="235"/>
      <c r="BL735" s="235"/>
      <c r="BM735" s="235"/>
      <c r="BN735" s="235"/>
      <c r="BO735" s="235"/>
    </row>
    <row r="736" ht="29.25" hidden="1" customHeight="1">
      <c r="A736" s="230"/>
      <c r="B736" s="231"/>
      <c r="C736" s="179"/>
      <c r="D736" s="179"/>
      <c r="E736" s="180"/>
      <c r="F736" s="162"/>
      <c r="G736" s="232"/>
      <c r="H736" s="234"/>
      <c r="I736" s="181"/>
      <c r="J736" s="182"/>
      <c r="K736" s="182"/>
      <c r="L736" s="182"/>
      <c r="M736" s="234"/>
      <c r="N736" s="28"/>
      <c r="O736" s="181"/>
      <c r="P736" s="183"/>
      <c r="Q736" s="104"/>
      <c r="R736" s="233"/>
      <c r="S736" s="164"/>
      <c r="T736" s="164"/>
      <c r="U736" s="162"/>
      <c r="V736" s="235"/>
      <c r="W736" s="235"/>
      <c r="X736" s="235"/>
      <c r="Y736" s="235"/>
      <c r="Z736" s="235"/>
      <c r="AA736" s="235"/>
      <c r="AB736" s="235"/>
      <c r="AC736" s="235"/>
      <c r="AD736" s="235"/>
      <c r="AE736" s="235"/>
      <c r="AF736" s="235"/>
      <c r="AG736" s="235"/>
      <c r="AH736" s="235"/>
      <c r="AI736" s="235"/>
      <c r="AJ736" s="235"/>
      <c r="AK736" s="235"/>
      <c r="AL736" s="235"/>
      <c r="AM736" s="235"/>
      <c r="AN736" s="235"/>
      <c r="AO736" s="235"/>
      <c r="AP736" s="235"/>
      <c r="AQ736" s="235"/>
      <c r="AR736" s="235"/>
      <c r="AS736" s="235"/>
      <c r="AT736" s="235"/>
      <c r="AU736" s="235"/>
      <c r="AV736" s="235"/>
      <c r="AW736" s="235"/>
      <c r="AX736" s="235"/>
      <c r="AY736" s="235"/>
      <c r="AZ736" s="235"/>
      <c r="BA736" s="235"/>
      <c r="BB736" s="235"/>
      <c r="BC736" s="235"/>
      <c r="BD736" s="235"/>
      <c r="BE736" s="235"/>
      <c r="BF736" s="235"/>
      <c r="BG736" s="235"/>
      <c r="BH736" s="235"/>
      <c r="BI736" s="235"/>
      <c r="BJ736" s="235"/>
      <c r="BK736" s="235"/>
      <c r="BL736" s="235"/>
      <c r="BM736" s="235"/>
      <c r="BN736" s="235"/>
      <c r="BO736" s="235"/>
    </row>
    <row r="737" ht="29.25" hidden="1" customHeight="1">
      <c r="A737" s="230"/>
      <c r="B737" s="231"/>
      <c r="C737" s="179"/>
      <c r="D737" s="179"/>
      <c r="E737" s="180"/>
      <c r="F737" s="162"/>
      <c r="G737" s="232"/>
      <c r="H737" s="234"/>
      <c r="I737" s="181"/>
      <c r="J737" s="182"/>
      <c r="K737" s="182"/>
      <c r="L737" s="182"/>
      <c r="M737" s="234"/>
      <c r="N737" s="28"/>
      <c r="O737" s="181"/>
      <c r="P737" s="183"/>
      <c r="Q737" s="104"/>
      <c r="R737" s="233"/>
      <c r="S737" s="164"/>
      <c r="T737" s="164"/>
      <c r="U737" s="162"/>
      <c r="V737" s="235"/>
      <c r="W737" s="235"/>
      <c r="X737" s="235"/>
      <c r="Y737" s="235"/>
      <c r="Z737" s="235"/>
      <c r="AA737" s="235"/>
      <c r="AB737" s="235"/>
      <c r="AC737" s="235"/>
      <c r="AD737" s="235"/>
      <c r="AE737" s="235"/>
      <c r="AF737" s="235"/>
      <c r="AG737" s="235"/>
      <c r="AH737" s="235"/>
      <c r="AI737" s="235"/>
      <c r="AJ737" s="235"/>
      <c r="AK737" s="235"/>
      <c r="AL737" s="235"/>
      <c r="AM737" s="235"/>
      <c r="AN737" s="235"/>
      <c r="AO737" s="235"/>
      <c r="AP737" s="235"/>
      <c r="AQ737" s="235"/>
      <c r="AR737" s="235"/>
      <c r="AS737" s="235"/>
      <c r="AT737" s="235"/>
      <c r="AU737" s="235"/>
      <c r="AV737" s="235"/>
      <c r="AW737" s="235"/>
      <c r="AX737" s="235"/>
      <c r="AY737" s="235"/>
      <c r="AZ737" s="235"/>
      <c r="BA737" s="235"/>
      <c r="BB737" s="235"/>
      <c r="BC737" s="235"/>
      <c r="BD737" s="235"/>
      <c r="BE737" s="235"/>
      <c r="BF737" s="235"/>
      <c r="BG737" s="235"/>
      <c r="BH737" s="235"/>
      <c r="BI737" s="235"/>
      <c r="BJ737" s="235"/>
      <c r="BK737" s="235"/>
      <c r="BL737" s="235"/>
      <c r="BM737" s="235"/>
      <c r="BN737" s="235"/>
      <c r="BO737" s="235"/>
    </row>
    <row r="738" ht="29.25" hidden="1" customHeight="1">
      <c r="A738" s="230"/>
      <c r="B738" s="231"/>
      <c r="C738" s="179"/>
      <c r="D738" s="179"/>
      <c r="E738" s="180"/>
      <c r="F738" s="162"/>
      <c r="G738" s="232"/>
      <c r="H738" s="234"/>
      <c r="I738" s="181"/>
      <c r="J738" s="182"/>
      <c r="K738" s="182"/>
      <c r="L738" s="182"/>
      <c r="M738" s="234"/>
      <c r="N738" s="28"/>
      <c r="O738" s="181"/>
      <c r="P738" s="183"/>
      <c r="Q738" s="104"/>
      <c r="R738" s="233"/>
      <c r="S738" s="164"/>
      <c r="T738" s="164"/>
      <c r="U738" s="162"/>
      <c r="V738" s="235"/>
      <c r="W738" s="235"/>
      <c r="X738" s="235"/>
      <c r="Y738" s="235"/>
      <c r="Z738" s="235"/>
      <c r="AA738" s="235"/>
      <c r="AB738" s="235"/>
      <c r="AC738" s="235"/>
      <c r="AD738" s="235"/>
      <c r="AE738" s="235"/>
      <c r="AF738" s="235"/>
      <c r="AG738" s="235"/>
      <c r="AH738" s="235"/>
      <c r="AI738" s="235"/>
      <c r="AJ738" s="235"/>
      <c r="AK738" s="235"/>
      <c r="AL738" s="235"/>
      <c r="AM738" s="235"/>
      <c r="AN738" s="235"/>
      <c r="AO738" s="235"/>
      <c r="AP738" s="235"/>
      <c r="AQ738" s="235"/>
      <c r="AR738" s="235"/>
      <c r="AS738" s="235"/>
      <c r="AT738" s="235"/>
      <c r="AU738" s="235"/>
      <c r="AV738" s="235"/>
      <c r="AW738" s="235"/>
      <c r="AX738" s="235"/>
      <c r="AY738" s="235"/>
      <c r="AZ738" s="235"/>
      <c r="BA738" s="235"/>
      <c r="BB738" s="235"/>
      <c r="BC738" s="235"/>
      <c r="BD738" s="235"/>
      <c r="BE738" s="235"/>
      <c r="BF738" s="235"/>
      <c r="BG738" s="235"/>
      <c r="BH738" s="235"/>
      <c r="BI738" s="235"/>
      <c r="BJ738" s="235"/>
      <c r="BK738" s="235"/>
      <c r="BL738" s="235"/>
      <c r="BM738" s="235"/>
      <c r="BN738" s="235"/>
      <c r="BO738" s="235"/>
    </row>
    <row r="739" ht="29.25" hidden="1" customHeight="1">
      <c r="A739" s="230"/>
      <c r="B739" s="231"/>
      <c r="C739" s="179"/>
      <c r="D739" s="179"/>
      <c r="E739" s="180"/>
      <c r="F739" s="162"/>
      <c r="G739" s="232"/>
      <c r="H739" s="234"/>
      <c r="I739" s="181"/>
      <c r="J739" s="182"/>
      <c r="K739" s="182"/>
      <c r="L739" s="182"/>
      <c r="M739" s="234"/>
      <c r="N739" s="28"/>
      <c r="O739" s="181"/>
      <c r="P739" s="183"/>
      <c r="Q739" s="104"/>
      <c r="R739" s="233"/>
      <c r="S739" s="164"/>
      <c r="T739" s="164"/>
      <c r="U739" s="162"/>
      <c r="V739" s="235"/>
      <c r="W739" s="235"/>
      <c r="X739" s="235"/>
      <c r="Y739" s="235"/>
      <c r="Z739" s="235"/>
      <c r="AA739" s="235"/>
      <c r="AB739" s="235"/>
      <c r="AC739" s="235"/>
      <c r="AD739" s="235"/>
      <c r="AE739" s="235"/>
      <c r="AF739" s="235"/>
      <c r="AG739" s="235"/>
      <c r="AH739" s="235"/>
      <c r="AI739" s="235"/>
      <c r="AJ739" s="235"/>
      <c r="AK739" s="235"/>
      <c r="AL739" s="235"/>
      <c r="AM739" s="235"/>
      <c r="AN739" s="235"/>
      <c r="AO739" s="235"/>
      <c r="AP739" s="235"/>
      <c r="AQ739" s="235"/>
      <c r="AR739" s="235"/>
      <c r="AS739" s="235"/>
      <c r="AT739" s="235"/>
      <c r="AU739" s="235"/>
      <c r="AV739" s="235"/>
      <c r="AW739" s="235"/>
      <c r="AX739" s="235"/>
      <c r="AY739" s="235"/>
      <c r="AZ739" s="235"/>
      <c r="BA739" s="235"/>
      <c r="BB739" s="235"/>
      <c r="BC739" s="235"/>
      <c r="BD739" s="235"/>
      <c r="BE739" s="235"/>
      <c r="BF739" s="235"/>
      <c r="BG739" s="235"/>
      <c r="BH739" s="235"/>
      <c r="BI739" s="235"/>
      <c r="BJ739" s="235"/>
      <c r="BK739" s="235"/>
      <c r="BL739" s="235"/>
      <c r="BM739" s="235"/>
      <c r="BN739" s="235"/>
      <c r="BO739" s="235"/>
    </row>
    <row r="740" ht="29.25" hidden="1" customHeight="1">
      <c r="A740" s="230"/>
      <c r="B740" s="231"/>
      <c r="C740" s="179"/>
      <c r="D740" s="179"/>
      <c r="E740" s="180"/>
      <c r="F740" s="162"/>
      <c r="G740" s="232"/>
      <c r="H740" s="234"/>
      <c r="I740" s="181"/>
      <c r="J740" s="182"/>
      <c r="K740" s="182"/>
      <c r="L740" s="182"/>
      <c r="M740" s="234"/>
      <c r="N740" s="28"/>
      <c r="O740" s="181"/>
      <c r="P740" s="183"/>
      <c r="Q740" s="104"/>
      <c r="R740" s="233"/>
      <c r="S740" s="164"/>
      <c r="T740" s="164"/>
      <c r="U740" s="162"/>
      <c r="V740" s="235"/>
      <c r="W740" s="235"/>
      <c r="X740" s="235"/>
      <c r="Y740" s="235"/>
      <c r="Z740" s="235"/>
      <c r="AA740" s="235"/>
      <c r="AB740" s="235"/>
      <c r="AC740" s="235"/>
      <c r="AD740" s="235"/>
      <c r="AE740" s="235"/>
      <c r="AF740" s="235"/>
      <c r="AG740" s="235"/>
      <c r="AH740" s="235"/>
      <c r="AI740" s="235"/>
      <c r="AJ740" s="235"/>
      <c r="AK740" s="235"/>
      <c r="AL740" s="235"/>
      <c r="AM740" s="235"/>
      <c r="AN740" s="235"/>
      <c r="AO740" s="235"/>
      <c r="AP740" s="235"/>
      <c r="AQ740" s="235"/>
      <c r="AR740" s="235"/>
      <c r="AS740" s="235"/>
      <c r="AT740" s="235"/>
      <c r="AU740" s="235"/>
      <c r="AV740" s="235"/>
      <c r="AW740" s="235"/>
      <c r="AX740" s="235"/>
      <c r="AY740" s="235"/>
      <c r="AZ740" s="235"/>
      <c r="BA740" s="235"/>
      <c r="BB740" s="235"/>
      <c r="BC740" s="235"/>
      <c r="BD740" s="235"/>
      <c r="BE740" s="235"/>
      <c r="BF740" s="235"/>
      <c r="BG740" s="235"/>
      <c r="BH740" s="235"/>
      <c r="BI740" s="235"/>
      <c r="BJ740" s="235"/>
      <c r="BK740" s="235"/>
      <c r="BL740" s="235"/>
      <c r="BM740" s="235"/>
      <c r="BN740" s="235"/>
      <c r="BO740" s="235"/>
    </row>
    <row r="741" ht="29.25" hidden="1" customHeight="1">
      <c r="A741" s="230"/>
      <c r="B741" s="231"/>
      <c r="C741" s="179"/>
      <c r="D741" s="179"/>
      <c r="E741" s="180"/>
      <c r="F741" s="162"/>
      <c r="G741" s="232"/>
      <c r="H741" s="234"/>
      <c r="I741" s="181"/>
      <c r="J741" s="182"/>
      <c r="K741" s="182"/>
      <c r="L741" s="182"/>
      <c r="M741" s="234"/>
      <c r="N741" s="28"/>
      <c r="O741" s="181"/>
      <c r="P741" s="183"/>
      <c r="Q741" s="104"/>
      <c r="R741" s="233"/>
      <c r="S741" s="164"/>
      <c r="T741" s="164"/>
      <c r="U741" s="162"/>
      <c r="V741" s="235"/>
      <c r="W741" s="235"/>
      <c r="X741" s="235"/>
      <c r="Y741" s="235"/>
      <c r="Z741" s="235"/>
      <c r="AA741" s="235"/>
      <c r="AB741" s="235"/>
      <c r="AC741" s="235"/>
      <c r="AD741" s="235"/>
      <c r="AE741" s="235"/>
      <c r="AF741" s="235"/>
      <c r="AG741" s="235"/>
      <c r="AH741" s="235"/>
      <c r="AI741" s="235"/>
      <c r="AJ741" s="235"/>
      <c r="AK741" s="235"/>
      <c r="AL741" s="235"/>
      <c r="AM741" s="235"/>
      <c r="AN741" s="235"/>
      <c r="AO741" s="235"/>
      <c r="AP741" s="235"/>
      <c r="AQ741" s="235"/>
      <c r="AR741" s="235"/>
      <c r="AS741" s="235"/>
      <c r="AT741" s="235"/>
      <c r="AU741" s="235"/>
      <c r="AV741" s="235"/>
      <c r="AW741" s="235"/>
      <c r="AX741" s="235"/>
      <c r="AY741" s="235"/>
      <c r="AZ741" s="235"/>
      <c r="BA741" s="235"/>
      <c r="BB741" s="235"/>
      <c r="BC741" s="235"/>
      <c r="BD741" s="235"/>
      <c r="BE741" s="235"/>
      <c r="BF741" s="235"/>
      <c r="BG741" s="235"/>
      <c r="BH741" s="235"/>
      <c r="BI741" s="235"/>
      <c r="BJ741" s="235"/>
      <c r="BK741" s="235"/>
      <c r="BL741" s="235"/>
      <c r="BM741" s="235"/>
      <c r="BN741" s="235"/>
      <c r="BO741" s="235"/>
    </row>
    <row r="742" ht="29.25" hidden="1" customHeight="1">
      <c r="A742" s="230"/>
      <c r="B742" s="231"/>
      <c r="C742" s="179"/>
      <c r="D742" s="179"/>
      <c r="E742" s="180"/>
      <c r="F742" s="162"/>
      <c r="G742" s="232"/>
      <c r="H742" s="234"/>
      <c r="I742" s="181"/>
      <c r="J742" s="182"/>
      <c r="K742" s="182"/>
      <c r="L742" s="182"/>
      <c r="M742" s="234"/>
      <c r="N742" s="28"/>
      <c r="O742" s="181"/>
      <c r="P742" s="183"/>
      <c r="Q742" s="104"/>
      <c r="R742" s="233"/>
      <c r="S742" s="164"/>
      <c r="T742" s="164"/>
      <c r="U742" s="162"/>
      <c r="V742" s="235"/>
      <c r="W742" s="235"/>
      <c r="X742" s="235"/>
      <c r="Y742" s="235"/>
      <c r="Z742" s="235"/>
      <c r="AA742" s="235"/>
      <c r="AB742" s="235"/>
      <c r="AC742" s="235"/>
      <c r="AD742" s="235"/>
      <c r="AE742" s="235"/>
      <c r="AF742" s="235"/>
      <c r="AG742" s="235"/>
      <c r="AH742" s="235"/>
      <c r="AI742" s="235"/>
      <c r="AJ742" s="235"/>
      <c r="AK742" s="235"/>
      <c r="AL742" s="235"/>
      <c r="AM742" s="235"/>
      <c r="AN742" s="235"/>
      <c r="AO742" s="235"/>
      <c r="AP742" s="235"/>
      <c r="AQ742" s="235"/>
      <c r="AR742" s="235"/>
      <c r="AS742" s="235"/>
      <c r="AT742" s="235"/>
      <c r="AU742" s="235"/>
      <c r="AV742" s="235"/>
      <c r="AW742" s="235"/>
      <c r="AX742" s="235"/>
      <c r="AY742" s="235"/>
      <c r="AZ742" s="235"/>
      <c r="BA742" s="235"/>
      <c r="BB742" s="235"/>
      <c r="BC742" s="235"/>
      <c r="BD742" s="235"/>
      <c r="BE742" s="235"/>
      <c r="BF742" s="235"/>
      <c r="BG742" s="235"/>
      <c r="BH742" s="235"/>
      <c r="BI742" s="235"/>
      <c r="BJ742" s="235"/>
      <c r="BK742" s="235"/>
      <c r="BL742" s="235"/>
      <c r="BM742" s="235"/>
      <c r="BN742" s="235"/>
      <c r="BO742" s="235"/>
    </row>
    <row r="743" ht="29.25" hidden="1" customHeight="1">
      <c r="A743" s="230"/>
      <c r="B743" s="231"/>
      <c r="C743" s="179"/>
      <c r="D743" s="179"/>
      <c r="E743" s="180"/>
      <c r="F743" s="162"/>
      <c r="G743" s="232"/>
      <c r="H743" s="234"/>
      <c r="I743" s="181"/>
      <c r="J743" s="182"/>
      <c r="K743" s="182"/>
      <c r="L743" s="182"/>
      <c r="M743" s="234"/>
      <c r="N743" s="28"/>
      <c r="O743" s="181"/>
      <c r="P743" s="183"/>
      <c r="Q743" s="104"/>
      <c r="R743" s="233"/>
      <c r="S743" s="164"/>
      <c r="T743" s="164"/>
      <c r="U743" s="162"/>
      <c r="V743" s="235"/>
      <c r="W743" s="235"/>
      <c r="X743" s="235"/>
      <c r="Y743" s="235"/>
      <c r="Z743" s="235"/>
      <c r="AA743" s="235"/>
      <c r="AB743" s="235"/>
      <c r="AC743" s="235"/>
      <c r="AD743" s="235"/>
      <c r="AE743" s="235"/>
      <c r="AF743" s="235"/>
      <c r="AG743" s="235"/>
      <c r="AH743" s="235"/>
      <c r="AI743" s="235"/>
      <c r="AJ743" s="235"/>
      <c r="AK743" s="235"/>
      <c r="AL743" s="235"/>
      <c r="AM743" s="235"/>
      <c r="AN743" s="235"/>
      <c r="AO743" s="235"/>
      <c r="AP743" s="235"/>
      <c r="AQ743" s="235"/>
      <c r="AR743" s="235"/>
      <c r="AS743" s="235"/>
      <c r="AT743" s="235"/>
      <c r="AU743" s="235"/>
      <c r="AV743" s="235"/>
      <c r="AW743" s="235"/>
      <c r="AX743" s="235"/>
      <c r="AY743" s="235"/>
      <c r="AZ743" s="235"/>
      <c r="BA743" s="235"/>
      <c r="BB743" s="235"/>
      <c r="BC743" s="235"/>
      <c r="BD743" s="235"/>
      <c r="BE743" s="235"/>
      <c r="BF743" s="235"/>
      <c r="BG743" s="235"/>
      <c r="BH743" s="235"/>
      <c r="BI743" s="235"/>
      <c r="BJ743" s="235"/>
      <c r="BK743" s="235"/>
      <c r="BL743" s="235"/>
      <c r="BM743" s="235"/>
      <c r="BN743" s="235"/>
      <c r="BO743" s="235"/>
    </row>
    <row r="744" ht="29.25" hidden="1" customHeight="1">
      <c r="A744" s="230"/>
      <c r="B744" s="231"/>
      <c r="C744" s="179"/>
      <c r="D744" s="179"/>
      <c r="E744" s="180"/>
      <c r="F744" s="162"/>
      <c r="G744" s="232"/>
      <c r="H744" s="234"/>
      <c r="I744" s="181"/>
      <c r="J744" s="182"/>
      <c r="K744" s="182"/>
      <c r="L744" s="182"/>
      <c r="M744" s="234"/>
      <c r="N744" s="28"/>
      <c r="O744" s="181"/>
      <c r="P744" s="183"/>
      <c r="Q744" s="104"/>
      <c r="R744" s="233"/>
      <c r="S744" s="164"/>
      <c r="T744" s="164"/>
      <c r="U744" s="162"/>
      <c r="V744" s="235"/>
      <c r="W744" s="235"/>
      <c r="X744" s="235"/>
      <c r="Y744" s="235"/>
      <c r="Z744" s="235"/>
      <c r="AA744" s="235"/>
      <c r="AB744" s="235"/>
      <c r="AC744" s="235"/>
      <c r="AD744" s="235"/>
      <c r="AE744" s="235"/>
      <c r="AF744" s="235"/>
      <c r="AG744" s="235"/>
      <c r="AH744" s="235"/>
      <c r="AI744" s="235"/>
      <c r="AJ744" s="235"/>
      <c r="AK744" s="235"/>
      <c r="AL744" s="235"/>
      <c r="AM744" s="235"/>
      <c r="AN744" s="235"/>
      <c r="AO744" s="235"/>
      <c r="AP744" s="235"/>
      <c r="AQ744" s="235"/>
      <c r="AR744" s="235"/>
      <c r="AS744" s="235"/>
      <c r="AT744" s="235"/>
      <c r="AU744" s="235"/>
      <c r="AV744" s="235"/>
      <c r="AW744" s="235"/>
      <c r="AX744" s="235"/>
      <c r="AY744" s="235"/>
      <c r="AZ744" s="235"/>
      <c r="BA744" s="235"/>
      <c r="BB744" s="235"/>
      <c r="BC744" s="235"/>
      <c r="BD744" s="235"/>
      <c r="BE744" s="235"/>
      <c r="BF744" s="235"/>
      <c r="BG744" s="235"/>
      <c r="BH744" s="235"/>
      <c r="BI744" s="235"/>
      <c r="BJ744" s="235"/>
      <c r="BK744" s="235"/>
      <c r="BL744" s="235"/>
      <c r="BM744" s="235"/>
      <c r="BN744" s="235"/>
      <c r="BO744" s="235"/>
    </row>
    <row r="745" ht="29.25" hidden="1" customHeight="1">
      <c r="A745" s="230"/>
      <c r="B745" s="231"/>
      <c r="C745" s="179"/>
      <c r="D745" s="179"/>
      <c r="E745" s="180"/>
      <c r="F745" s="162"/>
      <c r="G745" s="232"/>
      <c r="H745" s="234"/>
      <c r="I745" s="181"/>
      <c r="J745" s="182"/>
      <c r="K745" s="182"/>
      <c r="L745" s="182"/>
      <c r="M745" s="234"/>
      <c r="N745" s="28"/>
      <c r="O745" s="181"/>
      <c r="P745" s="183"/>
      <c r="Q745" s="104"/>
      <c r="R745" s="233"/>
      <c r="S745" s="164"/>
      <c r="T745" s="164"/>
      <c r="U745" s="162"/>
      <c r="V745" s="235"/>
      <c r="W745" s="235"/>
      <c r="X745" s="235"/>
      <c r="Y745" s="235"/>
      <c r="Z745" s="235"/>
      <c r="AA745" s="235"/>
      <c r="AB745" s="235"/>
      <c r="AC745" s="235"/>
      <c r="AD745" s="235"/>
      <c r="AE745" s="235"/>
      <c r="AF745" s="235"/>
      <c r="AG745" s="235"/>
      <c r="AH745" s="235"/>
      <c r="AI745" s="235"/>
      <c r="AJ745" s="235"/>
      <c r="AK745" s="235"/>
      <c r="AL745" s="235"/>
      <c r="AM745" s="235"/>
      <c r="AN745" s="235"/>
      <c r="AO745" s="235"/>
      <c r="AP745" s="235"/>
      <c r="AQ745" s="235"/>
      <c r="AR745" s="235"/>
      <c r="AS745" s="235"/>
      <c r="AT745" s="235"/>
      <c r="AU745" s="235"/>
      <c r="AV745" s="235"/>
      <c r="AW745" s="235"/>
      <c r="AX745" s="235"/>
      <c r="AY745" s="235"/>
      <c r="AZ745" s="235"/>
      <c r="BA745" s="235"/>
      <c r="BB745" s="235"/>
      <c r="BC745" s="235"/>
      <c r="BD745" s="235"/>
      <c r="BE745" s="235"/>
      <c r="BF745" s="235"/>
      <c r="BG745" s="235"/>
      <c r="BH745" s="235"/>
      <c r="BI745" s="235"/>
      <c r="BJ745" s="235"/>
      <c r="BK745" s="235"/>
      <c r="BL745" s="235"/>
      <c r="BM745" s="235"/>
      <c r="BN745" s="235"/>
      <c r="BO745" s="235"/>
    </row>
    <row r="746" ht="29.25" hidden="1" customHeight="1">
      <c r="A746" s="230"/>
      <c r="B746" s="231"/>
      <c r="C746" s="179"/>
      <c r="D746" s="179"/>
      <c r="E746" s="180"/>
      <c r="F746" s="162"/>
      <c r="G746" s="232"/>
      <c r="H746" s="234"/>
      <c r="I746" s="181"/>
      <c r="J746" s="182"/>
      <c r="K746" s="182"/>
      <c r="L746" s="182"/>
      <c r="M746" s="234"/>
      <c r="N746" s="28"/>
      <c r="O746" s="181"/>
      <c r="P746" s="183"/>
      <c r="Q746" s="104"/>
      <c r="R746" s="233"/>
      <c r="S746" s="164"/>
      <c r="T746" s="164"/>
      <c r="U746" s="162"/>
      <c r="V746" s="235"/>
      <c r="W746" s="235"/>
      <c r="X746" s="235"/>
      <c r="Y746" s="235"/>
      <c r="Z746" s="235"/>
      <c r="AA746" s="235"/>
      <c r="AB746" s="235"/>
      <c r="AC746" s="235"/>
      <c r="AD746" s="235"/>
      <c r="AE746" s="235"/>
      <c r="AF746" s="235"/>
      <c r="AG746" s="235"/>
      <c r="AH746" s="235"/>
      <c r="AI746" s="235"/>
      <c r="AJ746" s="235"/>
      <c r="AK746" s="235"/>
      <c r="AL746" s="235"/>
      <c r="AM746" s="235"/>
      <c r="AN746" s="235"/>
      <c r="AO746" s="235"/>
      <c r="AP746" s="235"/>
      <c r="AQ746" s="235"/>
      <c r="AR746" s="235"/>
      <c r="AS746" s="235"/>
      <c r="AT746" s="235"/>
      <c r="AU746" s="235"/>
      <c r="AV746" s="235"/>
      <c r="AW746" s="235"/>
      <c r="AX746" s="235"/>
      <c r="AY746" s="235"/>
      <c r="AZ746" s="235"/>
      <c r="BA746" s="235"/>
      <c r="BB746" s="235"/>
      <c r="BC746" s="235"/>
      <c r="BD746" s="235"/>
      <c r="BE746" s="235"/>
      <c r="BF746" s="235"/>
      <c r="BG746" s="235"/>
      <c r="BH746" s="235"/>
      <c r="BI746" s="235"/>
      <c r="BJ746" s="235"/>
      <c r="BK746" s="235"/>
      <c r="BL746" s="235"/>
      <c r="BM746" s="235"/>
      <c r="BN746" s="235"/>
      <c r="BO746" s="235"/>
    </row>
    <row r="747" ht="29.25" hidden="1" customHeight="1">
      <c r="A747" s="230"/>
      <c r="B747" s="231"/>
      <c r="C747" s="179"/>
      <c r="D747" s="179"/>
      <c r="E747" s="180"/>
      <c r="F747" s="162"/>
      <c r="G747" s="232"/>
      <c r="H747" s="234"/>
      <c r="I747" s="181"/>
      <c r="J747" s="182"/>
      <c r="K747" s="182"/>
      <c r="L747" s="182"/>
      <c r="M747" s="234"/>
      <c r="N747" s="28"/>
      <c r="O747" s="181"/>
      <c r="P747" s="183"/>
      <c r="Q747" s="104"/>
      <c r="R747" s="233"/>
      <c r="S747" s="164"/>
      <c r="T747" s="164"/>
      <c r="U747" s="162"/>
      <c r="V747" s="235"/>
      <c r="W747" s="235"/>
      <c r="X747" s="235"/>
      <c r="Y747" s="235"/>
      <c r="Z747" s="235"/>
      <c r="AA747" s="235"/>
      <c r="AB747" s="235"/>
      <c r="AC747" s="235"/>
      <c r="AD747" s="235"/>
      <c r="AE747" s="235"/>
      <c r="AF747" s="235"/>
      <c r="AG747" s="235"/>
      <c r="AH747" s="235"/>
      <c r="AI747" s="235"/>
      <c r="AJ747" s="235"/>
      <c r="AK747" s="235"/>
      <c r="AL747" s="235"/>
      <c r="AM747" s="235"/>
      <c r="AN747" s="235"/>
      <c r="AO747" s="235"/>
      <c r="AP747" s="235"/>
      <c r="AQ747" s="235"/>
      <c r="AR747" s="235"/>
      <c r="AS747" s="235"/>
      <c r="AT747" s="235"/>
      <c r="AU747" s="235"/>
      <c r="AV747" s="235"/>
      <c r="AW747" s="235"/>
      <c r="AX747" s="235"/>
      <c r="AY747" s="235"/>
      <c r="AZ747" s="235"/>
      <c r="BA747" s="235"/>
      <c r="BB747" s="235"/>
      <c r="BC747" s="235"/>
      <c r="BD747" s="235"/>
      <c r="BE747" s="235"/>
      <c r="BF747" s="235"/>
      <c r="BG747" s="235"/>
      <c r="BH747" s="235"/>
      <c r="BI747" s="235"/>
      <c r="BJ747" s="235"/>
      <c r="BK747" s="235"/>
      <c r="BL747" s="235"/>
      <c r="BM747" s="235"/>
      <c r="BN747" s="235"/>
      <c r="BO747" s="235"/>
    </row>
    <row r="748" ht="29.25" hidden="1" customHeight="1">
      <c r="A748" s="230"/>
      <c r="B748" s="231"/>
      <c r="C748" s="179"/>
      <c r="D748" s="179"/>
      <c r="E748" s="180"/>
      <c r="F748" s="162"/>
      <c r="G748" s="232"/>
      <c r="H748" s="234"/>
      <c r="I748" s="181"/>
      <c r="J748" s="182"/>
      <c r="K748" s="182"/>
      <c r="L748" s="182"/>
      <c r="M748" s="234"/>
      <c r="N748" s="28"/>
      <c r="O748" s="181"/>
      <c r="P748" s="183"/>
      <c r="Q748" s="104"/>
      <c r="R748" s="233"/>
      <c r="S748" s="164"/>
      <c r="T748" s="164"/>
      <c r="U748" s="162"/>
      <c r="V748" s="235"/>
      <c r="W748" s="235"/>
      <c r="X748" s="235"/>
      <c r="Y748" s="235"/>
      <c r="Z748" s="235"/>
      <c r="AA748" s="235"/>
      <c r="AB748" s="235"/>
      <c r="AC748" s="235"/>
      <c r="AD748" s="235"/>
      <c r="AE748" s="235"/>
      <c r="AF748" s="235"/>
      <c r="AG748" s="235"/>
      <c r="AH748" s="235"/>
      <c r="AI748" s="235"/>
      <c r="AJ748" s="235"/>
      <c r="AK748" s="235"/>
      <c r="AL748" s="235"/>
      <c r="AM748" s="235"/>
      <c r="AN748" s="235"/>
      <c r="AO748" s="235"/>
      <c r="AP748" s="235"/>
      <c r="AQ748" s="235"/>
      <c r="AR748" s="235"/>
      <c r="AS748" s="235"/>
      <c r="AT748" s="235"/>
      <c r="AU748" s="235"/>
      <c r="AV748" s="235"/>
      <c r="AW748" s="235"/>
      <c r="AX748" s="235"/>
      <c r="AY748" s="235"/>
      <c r="AZ748" s="235"/>
      <c r="BA748" s="235"/>
      <c r="BB748" s="235"/>
      <c r="BC748" s="235"/>
      <c r="BD748" s="235"/>
      <c r="BE748" s="235"/>
      <c r="BF748" s="235"/>
      <c r="BG748" s="235"/>
      <c r="BH748" s="235"/>
      <c r="BI748" s="235"/>
      <c r="BJ748" s="235"/>
      <c r="BK748" s="235"/>
      <c r="BL748" s="235"/>
      <c r="BM748" s="235"/>
      <c r="BN748" s="235"/>
      <c r="BO748" s="235"/>
    </row>
    <row r="749" ht="29.25" hidden="1" customHeight="1">
      <c r="A749" s="230"/>
      <c r="B749" s="231"/>
      <c r="C749" s="179"/>
      <c r="D749" s="179"/>
      <c r="E749" s="180"/>
      <c r="F749" s="162"/>
      <c r="G749" s="232"/>
      <c r="H749" s="234"/>
      <c r="I749" s="181"/>
      <c r="J749" s="182"/>
      <c r="K749" s="182"/>
      <c r="L749" s="182"/>
      <c r="M749" s="234"/>
      <c r="N749" s="28"/>
      <c r="O749" s="181"/>
      <c r="P749" s="183"/>
      <c r="Q749" s="104"/>
      <c r="R749" s="233"/>
      <c r="S749" s="164"/>
      <c r="T749" s="164"/>
      <c r="U749" s="162"/>
      <c r="V749" s="235"/>
      <c r="W749" s="235"/>
      <c r="X749" s="235"/>
      <c r="Y749" s="235"/>
      <c r="Z749" s="235"/>
      <c r="AA749" s="235"/>
      <c r="AB749" s="235"/>
      <c r="AC749" s="235"/>
      <c r="AD749" s="235"/>
      <c r="AE749" s="235"/>
      <c r="AF749" s="235"/>
      <c r="AG749" s="235"/>
      <c r="AH749" s="235"/>
      <c r="AI749" s="235"/>
      <c r="AJ749" s="235"/>
      <c r="AK749" s="235"/>
      <c r="AL749" s="235"/>
      <c r="AM749" s="235"/>
      <c r="AN749" s="235"/>
      <c r="AO749" s="235"/>
      <c r="AP749" s="235"/>
      <c r="AQ749" s="235"/>
      <c r="AR749" s="235"/>
      <c r="AS749" s="235"/>
      <c r="AT749" s="235"/>
      <c r="AU749" s="235"/>
      <c r="AV749" s="235"/>
      <c r="AW749" s="235"/>
      <c r="AX749" s="235"/>
      <c r="AY749" s="235"/>
      <c r="AZ749" s="235"/>
      <c r="BA749" s="235"/>
      <c r="BB749" s="235"/>
      <c r="BC749" s="235"/>
      <c r="BD749" s="235"/>
      <c r="BE749" s="235"/>
      <c r="BF749" s="235"/>
      <c r="BG749" s="235"/>
      <c r="BH749" s="235"/>
      <c r="BI749" s="235"/>
      <c r="BJ749" s="235"/>
      <c r="BK749" s="235"/>
      <c r="BL749" s="235"/>
      <c r="BM749" s="235"/>
      <c r="BN749" s="235"/>
      <c r="BO749" s="235"/>
    </row>
    <row r="750" ht="29.25" hidden="1" customHeight="1">
      <c r="A750" s="230"/>
      <c r="B750" s="231"/>
      <c r="C750" s="179"/>
      <c r="D750" s="179"/>
      <c r="E750" s="180"/>
      <c r="F750" s="162"/>
      <c r="G750" s="232"/>
      <c r="H750" s="234"/>
      <c r="I750" s="181"/>
      <c r="J750" s="182"/>
      <c r="K750" s="182"/>
      <c r="L750" s="182"/>
      <c r="M750" s="234"/>
      <c r="N750" s="28"/>
      <c r="O750" s="181"/>
      <c r="P750" s="183"/>
      <c r="Q750" s="104"/>
      <c r="R750" s="233"/>
      <c r="S750" s="164"/>
      <c r="T750" s="164"/>
      <c r="U750" s="162"/>
      <c r="V750" s="235"/>
      <c r="W750" s="235"/>
      <c r="X750" s="235"/>
      <c r="Y750" s="235"/>
      <c r="Z750" s="235"/>
      <c r="AA750" s="235"/>
      <c r="AB750" s="235"/>
      <c r="AC750" s="235"/>
      <c r="AD750" s="235"/>
      <c r="AE750" s="235"/>
      <c r="AF750" s="235"/>
      <c r="AG750" s="235"/>
      <c r="AH750" s="235"/>
      <c r="AI750" s="235"/>
      <c r="AJ750" s="235"/>
      <c r="AK750" s="235"/>
      <c r="AL750" s="235"/>
      <c r="AM750" s="235"/>
      <c r="AN750" s="235"/>
      <c r="AO750" s="235"/>
      <c r="AP750" s="235"/>
      <c r="AQ750" s="235"/>
      <c r="AR750" s="235"/>
      <c r="AS750" s="235"/>
      <c r="AT750" s="235"/>
      <c r="AU750" s="235"/>
      <c r="AV750" s="235"/>
      <c r="AW750" s="235"/>
      <c r="AX750" s="235"/>
      <c r="AY750" s="235"/>
      <c r="AZ750" s="235"/>
      <c r="BA750" s="235"/>
      <c r="BB750" s="235"/>
      <c r="BC750" s="235"/>
      <c r="BD750" s="235"/>
      <c r="BE750" s="235"/>
      <c r="BF750" s="235"/>
      <c r="BG750" s="235"/>
      <c r="BH750" s="235"/>
      <c r="BI750" s="235"/>
      <c r="BJ750" s="235"/>
      <c r="BK750" s="235"/>
      <c r="BL750" s="235"/>
      <c r="BM750" s="235"/>
      <c r="BN750" s="235"/>
      <c r="BO750" s="235"/>
    </row>
    <row r="751" ht="29.25" hidden="1" customHeight="1">
      <c r="A751" s="230"/>
      <c r="B751" s="231"/>
      <c r="C751" s="179"/>
      <c r="D751" s="179"/>
      <c r="E751" s="180"/>
      <c r="F751" s="162"/>
      <c r="G751" s="232"/>
      <c r="H751" s="234"/>
      <c r="I751" s="181"/>
      <c r="J751" s="182"/>
      <c r="K751" s="182"/>
      <c r="L751" s="182"/>
      <c r="M751" s="234"/>
      <c r="N751" s="28"/>
      <c r="O751" s="181"/>
      <c r="P751" s="183"/>
      <c r="Q751" s="104"/>
      <c r="R751" s="233"/>
      <c r="S751" s="164"/>
      <c r="T751" s="164"/>
      <c r="U751" s="162"/>
      <c r="V751" s="235"/>
      <c r="W751" s="235"/>
      <c r="X751" s="235"/>
      <c r="Y751" s="235"/>
      <c r="Z751" s="235"/>
      <c r="AA751" s="235"/>
      <c r="AB751" s="235"/>
      <c r="AC751" s="235"/>
      <c r="AD751" s="235"/>
      <c r="AE751" s="235"/>
      <c r="AF751" s="235"/>
      <c r="AG751" s="235"/>
      <c r="AH751" s="235"/>
      <c r="AI751" s="235"/>
      <c r="AJ751" s="235"/>
      <c r="AK751" s="235"/>
      <c r="AL751" s="235"/>
      <c r="AM751" s="235"/>
      <c r="AN751" s="235"/>
      <c r="AO751" s="235"/>
      <c r="AP751" s="235"/>
      <c r="AQ751" s="235"/>
      <c r="AR751" s="235"/>
      <c r="AS751" s="235"/>
      <c r="AT751" s="235"/>
      <c r="AU751" s="235"/>
      <c r="AV751" s="235"/>
      <c r="AW751" s="235"/>
      <c r="AX751" s="235"/>
      <c r="AY751" s="235"/>
      <c r="AZ751" s="235"/>
      <c r="BA751" s="235"/>
      <c r="BB751" s="235"/>
      <c r="BC751" s="235"/>
      <c r="BD751" s="235"/>
      <c r="BE751" s="235"/>
      <c r="BF751" s="235"/>
      <c r="BG751" s="235"/>
      <c r="BH751" s="235"/>
      <c r="BI751" s="235"/>
      <c r="BJ751" s="235"/>
      <c r="BK751" s="235"/>
      <c r="BL751" s="235"/>
      <c r="BM751" s="235"/>
      <c r="BN751" s="235"/>
      <c r="BO751" s="235"/>
    </row>
    <row r="752" ht="29.25" hidden="1" customHeight="1">
      <c r="A752" s="230"/>
      <c r="B752" s="231"/>
      <c r="C752" s="179"/>
      <c r="D752" s="179"/>
      <c r="E752" s="180"/>
      <c r="F752" s="162"/>
      <c r="G752" s="232"/>
      <c r="H752" s="234"/>
      <c r="I752" s="181"/>
      <c r="J752" s="182"/>
      <c r="K752" s="182"/>
      <c r="L752" s="182"/>
      <c r="M752" s="234"/>
      <c r="N752" s="28"/>
      <c r="O752" s="181"/>
      <c r="P752" s="183"/>
      <c r="Q752" s="104"/>
      <c r="R752" s="233"/>
      <c r="S752" s="164"/>
      <c r="T752" s="164"/>
      <c r="U752" s="162"/>
      <c r="V752" s="235"/>
      <c r="W752" s="235"/>
      <c r="X752" s="235"/>
      <c r="Y752" s="235"/>
      <c r="Z752" s="235"/>
      <c r="AA752" s="235"/>
      <c r="AB752" s="235"/>
      <c r="AC752" s="235"/>
      <c r="AD752" s="235"/>
      <c r="AE752" s="235"/>
      <c r="AF752" s="235"/>
      <c r="AG752" s="235"/>
      <c r="AH752" s="235"/>
      <c r="AI752" s="235"/>
      <c r="AJ752" s="235"/>
      <c r="AK752" s="235"/>
      <c r="AL752" s="235"/>
      <c r="AM752" s="235"/>
      <c r="AN752" s="235"/>
      <c r="AO752" s="235"/>
      <c r="AP752" s="235"/>
      <c r="AQ752" s="235"/>
      <c r="AR752" s="235"/>
      <c r="AS752" s="235"/>
      <c r="AT752" s="235"/>
      <c r="AU752" s="235"/>
      <c r="AV752" s="235"/>
      <c r="AW752" s="235"/>
      <c r="AX752" s="235"/>
      <c r="AY752" s="235"/>
      <c r="AZ752" s="235"/>
      <c r="BA752" s="235"/>
      <c r="BB752" s="235"/>
      <c r="BC752" s="235"/>
      <c r="BD752" s="235"/>
      <c r="BE752" s="235"/>
      <c r="BF752" s="235"/>
      <c r="BG752" s="235"/>
      <c r="BH752" s="235"/>
      <c r="BI752" s="235"/>
      <c r="BJ752" s="235"/>
      <c r="BK752" s="235"/>
      <c r="BL752" s="235"/>
      <c r="BM752" s="235"/>
      <c r="BN752" s="235"/>
      <c r="BO752" s="235"/>
    </row>
    <row r="753" ht="29.25" hidden="1" customHeight="1">
      <c r="A753" s="230"/>
      <c r="B753" s="231"/>
      <c r="C753" s="179"/>
      <c r="D753" s="179"/>
      <c r="E753" s="180"/>
      <c r="F753" s="162"/>
      <c r="G753" s="232"/>
      <c r="H753" s="234"/>
      <c r="I753" s="181"/>
      <c r="J753" s="182"/>
      <c r="K753" s="182"/>
      <c r="L753" s="182"/>
      <c r="M753" s="234"/>
      <c r="N753" s="28"/>
      <c r="O753" s="181"/>
      <c r="P753" s="183"/>
      <c r="Q753" s="104"/>
      <c r="R753" s="233"/>
      <c r="S753" s="164"/>
      <c r="T753" s="164"/>
      <c r="U753" s="162"/>
      <c r="V753" s="235"/>
      <c r="W753" s="235"/>
      <c r="X753" s="235"/>
      <c r="Y753" s="235"/>
      <c r="Z753" s="235"/>
      <c r="AA753" s="235"/>
      <c r="AB753" s="235"/>
      <c r="AC753" s="235"/>
      <c r="AD753" s="235"/>
      <c r="AE753" s="235"/>
      <c r="AF753" s="235"/>
      <c r="AG753" s="235"/>
      <c r="AH753" s="235"/>
      <c r="AI753" s="235"/>
      <c r="AJ753" s="235"/>
      <c r="AK753" s="235"/>
      <c r="AL753" s="235"/>
      <c r="AM753" s="235"/>
      <c r="AN753" s="235"/>
      <c r="AO753" s="235"/>
      <c r="AP753" s="235"/>
      <c r="AQ753" s="235"/>
      <c r="AR753" s="235"/>
      <c r="AS753" s="235"/>
      <c r="AT753" s="235"/>
      <c r="AU753" s="235"/>
      <c r="AV753" s="235"/>
      <c r="AW753" s="235"/>
      <c r="AX753" s="235"/>
      <c r="AY753" s="235"/>
      <c r="AZ753" s="235"/>
      <c r="BA753" s="235"/>
      <c r="BB753" s="235"/>
      <c r="BC753" s="235"/>
      <c r="BD753" s="235"/>
      <c r="BE753" s="235"/>
      <c r="BF753" s="235"/>
      <c r="BG753" s="235"/>
      <c r="BH753" s="235"/>
      <c r="BI753" s="235"/>
      <c r="BJ753" s="235"/>
      <c r="BK753" s="235"/>
      <c r="BL753" s="235"/>
      <c r="BM753" s="235"/>
      <c r="BN753" s="235"/>
      <c r="BO753" s="235"/>
    </row>
    <row r="754" ht="29.25" hidden="1" customHeight="1">
      <c r="A754" s="230"/>
      <c r="B754" s="231"/>
      <c r="C754" s="179"/>
      <c r="D754" s="179"/>
      <c r="E754" s="180"/>
      <c r="F754" s="162"/>
      <c r="G754" s="232"/>
      <c r="H754" s="234"/>
      <c r="I754" s="181"/>
      <c r="J754" s="182"/>
      <c r="K754" s="182"/>
      <c r="L754" s="182"/>
      <c r="M754" s="234"/>
      <c r="N754" s="28"/>
      <c r="O754" s="181"/>
      <c r="P754" s="183"/>
      <c r="Q754" s="104"/>
      <c r="R754" s="233"/>
      <c r="S754" s="164"/>
      <c r="T754" s="164"/>
      <c r="U754" s="162"/>
      <c r="V754" s="235"/>
      <c r="W754" s="235"/>
      <c r="X754" s="235"/>
      <c r="Y754" s="235"/>
      <c r="Z754" s="235"/>
      <c r="AA754" s="235"/>
      <c r="AB754" s="235"/>
      <c r="AC754" s="235"/>
      <c r="AD754" s="235"/>
      <c r="AE754" s="235"/>
      <c r="AF754" s="235"/>
      <c r="AG754" s="235"/>
      <c r="AH754" s="235"/>
      <c r="AI754" s="235"/>
      <c r="AJ754" s="235"/>
      <c r="AK754" s="235"/>
      <c r="AL754" s="235"/>
      <c r="AM754" s="235"/>
      <c r="AN754" s="235"/>
      <c r="AO754" s="235"/>
      <c r="AP754" s="235"/>
      <c r="AQ754" s="235"/>
      <c r="AR754" s="235"/>
      <c r="AS754" s="235"/>
      <c r="AT754" s="235"/>
      <c r="AU754" s="235"/>
      <c r="AV754" s="235"/>
      <c r="AW754" s="235"/>
      <c r="AX754" s="235"/>
      <c r="AY754" s="235"/>
      <c r="AZ754" s="235"/>
      <c r="BA754" s="235"/>
      <c r="BB754" s="235"/>
      <c r="BC754" s="235"/>
      <c r="BD754" s="235"/>
      <c r="BE754" s="235"/>
      <c r="BF754" s="235"/>
      <c r="BG754" s="235"/>
      <c r="BH754" s="235"/>
      <c r="BI754" s="235"/>
      <c r="BJ754" s="235"/>
      <c r="BK754" s="235"/>
      <c r="BL754" s="235"/>
      <c r="BM754" s="235"/>
      <c r="BN754" s="235"/>
      <c r="BO754" s="235"/>
    </row>
    <row r="755" ht="29.25" hidden="1" customHeight="1">
      <c r="A755" s="230"/>
      <c r="B755" s="231"/>
      <c r="C755" s="179"/>
      <c r="D755" s="179"/>
      <c r="E755" s="180"/>
      <c r="F755" s="162"/>
      <c r="G755" s="232"/>
      <c r="H755" s="234"/>
      <c r="I755" s="181"/>
      <c r="J755" s="182"/>
      <c r="K755" s="182"/>
      <c r="L755" s="182"/>
      <c r="M755" s="234"/>
      <c r="N755" s="28"/>
      <c r="O755" s="181"/>
      <c r="P755" s="183"/>
      <c r="Q755" s="104"/>
      <c r="R755" s="233"/>
      <c r="S755" s="164"/>
      <c r="T755" s="164"/>
      <c r="U755" s="162"/>
      <c r="V755" s="235"/>
      <c r="W755" s="235"/>
      <c r="X755" s="235"/>
      <c r="Y755" s="235"/>
      <c r="Z755" s="235"/>
      <c r="AA755" s="235"/>
      <c r="AB755" s="235"/>
      <c r="AC755" s="235"/>
      <c r="AD755" s="235"/>
      <c r="AE755" s="235"/>
      <c r="AF755" s="235"/>
      <c r="AG755" s="235"/>
      <c r="AH755" s="235"/>
      <c r="AI755" s="235"/>
      <c r="AJ755" s="235"/>
      <c r="AK755" s="235"/>
      <c r="AL755" s="235"/>
      <c r="AM755" s="235"/>
      <c r="AN755" s="235"/>
      <c r="AO755" s="235"/>
      <c r="AP755" s="235"/>
      <c r="AQ755" s="235"/>
      <c r="AR755" s="235"/>
      <c r="AS755" s="235"/>
      <c r="AT755" s="235"/>
      <c r="AU755" s="235"/>
      <c r="AV755" s="235"/>
      <c r="AW755" s="235"/>
      <c r="AX755" s="235"/>
      <c r="AY755" s="235"/>
      <c r="AZ755" s="235"/>
      <c r="BA755" s="235"/>
      <c r="BB755" s="235"/>
      <c r="BC755" s="235"/>
      <c r="BD755" s="235"/>
      <c r="BE755" s="235"/>
      <c r="BF755" s="235"/>
      <c r="BG755" s="235"/>
      <c r="BH755" s="235"/>
      <c r="BI755" s="235"/>
      <c r="BJ755" s="235"/>
      <c r="BK755" s="235"/>
      <c r="BL755" s="235"/>
      <c r="BM755" s="235"/>
      <c r="BN755" s="235"/>
      <c r="BO755" s="235"/>
    </row>
    <row r="756" ht="29.25" hidden="1" customHeight="1">
      <c r="A756" s="230"/>
      <c r="B756" s="231"/>
      <c r="C756" s="179"/>
      <c r="D756" s="179"/>
      <c r="E756" s="180"/>
      <c r="F756" s="162"/>
      <c r="G756" s="232"/>
      <c r="H756" s="234"/>
      <c r="I756" s="181"/>
      <c r="J756" s="182"/>
      <c r="K756" s="182"/>
      <c r="L756" s="182"/>
      <c r="M756" s="234"/>
      <c r="N756" s="28"/>
      <c r="O756" s="181"/>
      <c r="P756" s="183"/>
      <c r="Q756" s="104"/>
      <c r="R756" s="233"/>
      <c r="S756" s="164"/>
      <c r="T756" s="164"/>
      <c r="U756" s="162"/>
      <c r="V756" s="235"/>
      <c r="W756" s="235"/>
      <c r="X756" s="235"/>
      <c r="Y756" s="235"/>
      <c r="Z756" s="235"/>
      <c r="AA756" s="235"/>
      <c r="AB756" s="235"/>
      <c r="AC756" s="235"/>
      <c r="AD756" s="235"/>
      <c r="AE756" s="235"/>
      <c r="AF756" s="235"/>
      <c r="AG756" s="235"/>
      <c r="AH756" s="235"/>
      <c r="AI756" s="235"/>
      <c r="AJ756" s="235"/>
      <c r="AK756" s="235"/>
      <c r="AL756" s="235"/>
      <c r="AM756" s="235"/>
      <c r="AN756" s="235"/>
      <c r="AO756" s="235"/>
      <c r="AP756" s="235"/>
      <c r="AQ756" s="235"/>
      <c r="AR756" s="235"/>
      <c r="AS756" s="235"/>
      <c r="AT756" s="235"/>
      <c r="AU756" s="235"/>
      <c r="AV756" s="235"/>
      <c r="AW756" s="235"/>
      <c r="AX756" s="235"/>
      <c r="AY756" s="235"/>
      <c r="AZ756" s="235"/>
      <c r="BA756" s="235"/>
      <c r="BB756" s="235"/>
      <c r="BC756" s="235"/>
      <c r="BD756" s="235"/>
      <c r="BE756" s="235"/>
      <c r="BF756" s="235"/>
      <c r="BG756" s="235"/>
      <c r="BH756" s="235"/>
      <c r="BI756" s="235"/>
      <c r="BJ756" s="235"/>
      <c r="BK756" s="235"/>
      <c r="BL756" s="235"/>
      <c r="BM756" s="235"/>
      <c r="BN756" s="235"/>
      <c r="BO756" s="235"/>
    </row>
    <row r="757" ht="29.25" hidden="1" customHeight="1">
      <c r="A757" s="230"/>
      <c r="B757" s="231"/>
      <c r="C757" s="179"/>
      <c r="D757" s="179"/>
      <c r="E757" s="180"/>
      <c r="F757" s="162"/>
      <c r="G757" s="232"/>
      <c r="H757" s="234"/>
      <c r="I757" s="181"/>
      <c r="J757" s="182"/>
      <c r="K757" s="182"/>
      <c r="L757" s="182"/>
      <c r="M757" s="234"/>
      <c r="N757" s="28"/>
      <c r="O757" s="181"/>
      <c r="P757" s="183"/>
      <c r="Q757" s="104"/>
      <c r="R757" s="233"/>
      <c r="S757" s="164"/>
      <c r="T757" s="164"/>
      <c r="U757" s="162"/>
      <c r="V757" s="235"/>
      <c r="W757" s="235"/>
      <c r="X757" s="235"/>
      <c r="Y757" s="235"/>
      <c r="Z757" s="235"/>
      <c r="AA757" s="235"/>
      <c r="AB757" s="235"/>
      <c r="AC757" s="235"/>
      <c r="AD757" s="235"/>
      <c r="AE757" s="235"/>
      <c r="AF757" s="235"/>
      <c r="AG757" s="235"/>
      <c r="AH757" s="235"/>
      <c r="AI757" s="235"/>
      <c r="AJ757" s="235"/>
      <c r="AK757" s="235"/>
      <c r="AL757" s="235"/>
      <c r="AM757" s="235"/>
      <c r="AN757" s="235"/>
      <c r="AO757" s="235"/>
      <c r="AP757" s="235"/>
      <c r="AQ757" s="235"/>
      <c r="AR757" s="235"/>
      <c r="AS757" s="235"/>
      <c r="AT757" s="235"/>
      <c r="AU757" s="235"/>
      <c r="AV757" s="235"/>
      <c r="AW757" s="235"/>
      <c r="AX757" s="235"/>
      <c r="AY757" s="235"/>
      <c r="AZ757" s="235"/>
      <c r="BA757" s="235"/>
      <c r="BB757" s="235"/>
      <c r="BC757" s="235"/>
      <c r="BD757" s="235"/>
      <c r="BE757" s="235"/>
      <c r="BF757" s="235"/>
      <c r="BG757" s="235"/>
      <c r="BH757" s="235"/>
      <c r="BI757" s="235"/>
      <c r="BJ757" s="235"/>
      <c r="BK757" s="235"/>
      <c r="BL757" s="235"/>
      <c r="BM757" s="235"/>
      <c r="BN757" s="235"/>
      <c r="BO757" s="235"/>
    </row>
    <row r="758" ht="29.25" hidden="1" customHeight="1">
      <c r="A758" s="230"/>
      <c r="B758" s="231"/>
      <c r="C758" s="179"/>
      <c r="D758" s="179"/>
      <c r="E758" s="180"/>
      <c r="F758" s="162"/>
      <c r="G758" s="232"/>
      <c r="H758" s="234"/>
      <c r="I758" s="181"/>
      <c r="J758" s="182"/>
      <c r="K758" s="182"/>
      <c r="L758" s="182"/>
      <c r="M758" s="234"/>
      <c r="N758" s="28"/>
      <c r="O758" s="181"/>
      <c r="P758" s="183"/>
      <c r="Q758" s="104"/>
      <c r="R758" s="233"/>
      <c r="S758" s="164"/>
      <c r="T758" s="164"/>
      <c r="U758" s="162"/>
      <c r="V758" s="235"/>
      <c r="W758" s="235"/>
      <c r="X758" s="235"/>
      <c r="Y758" s="235"/>
      <c r="Z758" s="235"/>
      <c r="AA758" s="235"/>
      <c r="AB758" s="235"/>
      <c r="AC758" s="235"/>
      <c r="AD758" s="235"/>
      <c r="AE758" s="235"/>
      <c r="AF758" s="235"/>
      <c r="AG758" s="235"/>
      <c r="AH758" s="235"/>
      <c r="AI758" s="235"/>
      <c r="AJ758" s="235"/>
      <c r="AK758" s="235"/>
      <c r="AL758" s="235"/>
      <c r="AM758" s="235"/>
      <c r="AN758" s="235"/>
      <c r="AO758" s="235"/>
      <c r="AP758" s="235"/>
      <c r="AQ758" s="235"/>
      <c r="AR758" s="235"/>
      <c r="AS758" s="235"/>
      <c r="AT758" s="235"/>
      <c r="AU758" s="235"/>
      <c r="AV758" s="235"/>
      <c r="AW758" s="235"/>
      <c r="AX758" s="235"/>
      <c r="AY758" s="235"/>
      <c r="AZ758" s="235"/>
      <c r="BA758" s="235"/>
      <c r="BB758" s="235"/>
      <c r="BC758" s="235"/>
      <c r="BD758" s="235"/>
      <c r="BE758" s="235"/>
      <c r="BF758" s="235"/>
      <c r="BG758" s="235"/>
      <c r="BH758" s="235"/>
      <c r="BI758" s="235"/>
      <c r="BJ758" s="235"/>
      <c r="BK758" s="235"/>
      <c r="BL758" s="235"/>
      <c r="BM758" s="235"/>
      <c r="BN758" s="235"/>
      <c r="BO758" s="235"/>
    </row>
    <row r="759" ht="29.25" hidden="1" customHeight="1">
      <c r="A759" s="230"/>
      <c r="B759" s="231"/>
      <c r="C759" s="179"/>
      <c r="D759" s="179"/>
      <c r="E759" s="180"/>
      <c r="F759" s="162"/>
      <c r="G759" s="232"/>
      <c r="H759" s="234"/>
      <c r="I759" s="181"/>
      <c r="J759" s="182"/>
      <c r="K759" s="182"/>
      <c r="L759" s="182"/>
      <c r="M759" s="234"/>
      <c r="N759" s="28"/>
      <c r="O759" s="181"/>
      <c r="P759" s="183"/>
      <c r="Q759" s="104"/>
      <c r="R759" s="233"/>
      <c r="S759" s="164"/>
      <c r="T759" s="164"/>
      <c r="U759" s="162"/>
      <c r="V759" s="235"/>
      <c r="W759" s="235"/>
      <c r="X759" s="235"/>
      <c r="Y759" s="235"/>
      <c r="Z759" s="235"/>
      <c r="AA759" s="235"/>
      <c r="AB759" s="235"/>
      <c r="AC759" s="235"/>
      <c r="AD759" s="235"/>
      <c r="AE759" s="235"/>
      <c r="AF759" s="235"/>
      <c r="AG759" s="235"/>
      <c r="AH759" s="235"/>
      <c r="AI759" s="235"/>
      <c r="AJ759" s="235"/>
      <c r="AK759" s="235"/>
      <c r="AL759" s="235"/>
      <c r="AM759" s="235"/>
      <c r="AN759" s="235"/>
      <c r="AO759" s="235"/>
      <c r="AP759" s="235"/>
      <c r="AQ759" s="235"/>
      <c r="AR759" s="235"/>
      <c r="AS759" s="235"/>
      <c r="AT759" s="235"/>
      <c r="AU759" s="235"/>
      <c r="AV759" s="235"/>
      <c r="AW759" s="235"/>
      <c r="AX759" s="235"/>
      <c r="AY759" s="235"/>
      <c r="AZ759" s="235"/>
      <c r="BA759" s="235"/>
      <c r="BB759" s="235"/>
      <c r="BC759" s="235"/>
      <c r="BD759" s="235"/>
      <c r="BE759" s="235"/>
      <c r="BF759" s="235"/>
      <c r="BG759" s="235"/>
      <c r="BH759" s="235"/>
      <c r="BI759" s="235"/>
      <c r="BJ759" s="235"/>
      <c r="BK759" s="235"/>
      <c r="BL759" s="235"/>
      <c r="BM759" s="235"/>
      <c r="BN759" s="235"/>
      <c r="BO759" s="235"/>
    </row>
    <row r="760" ht="29.25" hidden="1" customHeight="1">
      <c r="A760" s="230"/>
      <c r="B760" s="231"/>
      <c r="C760" s="179"/>
      <c r="D760" s="179"/>
      <c r="E760" s="180"/>
      <c r="F760" s="162"/>
      <c r="G760" s="232"/>
      <c r="H760" s="234"/>
      <c r="I760" s="181"/>
      <c r="J760" s="182"/>
      <c r="K760" s="182"/>
      <c r="L760" s="182"/>
      <c r="M760" s="234"/>
      <c r="N760" s="28"/>
      <c r="O760" s="181"/>
      <c r="P760" s="183"/>
      <c r="Q760" s="104"/>
      <c r="R760" s="233"/>
      <c r="S760" s="164"/>
      <c r="T760" s="164"/>
      <c r="U760" s="162"/>
      <c r="V760" s="235"/>
      <c r="W760" s="235"/>
      <c r="X760" s="235"/>
      <c r="Y760" s="235"/>
      <c r="Z760" s="235"/>
      <c r="AA760" s="235"/>
      <c r="AB760" s="235"/>
      <c r="AC760" s="235"/>
      <c r="AD760" s="235"/>
      <c r="AE760" s="235"/>
      <c r="AF760" s="235"/>
      <c r="AG760" s="235"/>
      <c r="AH760" s="235"/>
      <c r="AI760" s="235"/>
      <c r="AJ760" s="235"/>
      <c r="AK760" s="235"/>
      <c r="AL760" s="235"/>
      <c r="AM760" s="235"/>
      <c r="AN760" s="235"/>
      <c r="AO760" s="235"/>
      <c r="AP760" s="235"/>
      <c r="AQ760" s="235"/>
      <c r="AR760" s="235"/>
      <c r="AS760" s="235"/>
      <c r="AT760" s="235"/>
      <c r="AU760" s="235"/>
      <c r="AV760" s="235"/>
      <c r="AW760" s="235"/>
      <c r="AX760" s="235"/>
      <c r="AY760" s="235"/>
      <c r="AZ760" s="235"/>
      <c r="BA760" s="235"/>
      <c r="BB760" s="235"/>
      <c r="BC760" s="235"/>
      <c r="BD760" s="235"/>
      <c r="BE760" s="235"/>
      <c r="BF760" s="235"/>
      <c r="BG760" s="235"/>
      <c r="BH760" s="235"/>
      <c r="BI760" s="235"/>
      <c r="BJ760" s="235"/>
      <c r="BK760" s="235"/>
      <c r="BL760" s="235"/>
      <c r="BM760" s="235"/>
      <c r="BN760" s="235"/>
      <c r="BO760" s="235"/>
    </row>
    <row r="761" ht="29.25" hidden="1" customHeight="1">
      <c r="A761" s="230"/>
      <c r="B761" s="231"/>
      <c r="C761" s="179"/>
      <c r="D761" s="179"/>
      <c r="E761" s="180"/>
      <c r="F761" s="162"/>
      <c r="G761" s="232"/>
      <c r="H761" s="234"/>
      <c r="I761" s="181"/>
      <c r="J761" s="182"/>
      <c r="K761" s="182"/>
      <c r="L761" s="182"/>
      <c r="M761" s="234"/>
      <c r="N761" s="28"/>
      <c r="O761" s="181"/>
      <c r="P761" s="183"/>
      <c r="Q761" s="104"/>
      <c r="R761" s="233"/>
      <c r="S761" s="164"/>
      <c r="T761" s="164"/>
      <c r="U761" s="162"/>
      <c r="V761" s="235"/>
      <c r="W761" s="235"/>
      <c r="X761" s="235"/>
      <c r="Y761" s="235"/>
      <c r="Z761" s="235"/>
      <c r="AA761" s="235"/>
      <c r="AB761" s="235"/>
      <c r="AC761" s="235"/>
      <c r="AD761" s="235"/>
      <c r="AE761" s="235"/>
      <c r="AF761" s="235"/>
      <c r="AG761" s="235"/>
      <c r="AH761" s="235"/>
      <c r="AI761" s="235"/>
      <c r="AJ761" s="235"/>
      <c r="AK761" s="235"/>
      <c r="AL761" s="235"/>
      <c r="AM761" s="235"/>
      <c r="AN761" s="235"/>
      <c r="AO761" s="235"/>
      <c r="AP761" s="235"/>
      <c r="AQ761" s="235"/>
      <c r="AR761" s="235"/>
      <c r="AS761" s="235"/>
      <c r="AT761" s="235"/>
      <c r="AU761" s="235"/>
      <c r="AV761" s="235"/>
      <c r="AW761" s="235"/>
      <c r="AX761" s="235"/>
      <c r="AY761" s="235"/>
      <c r="AZ761" s="235"/>
      <c r="BA761" s="235"/>
      <c r="BB761" s="235"/>
      <c r="BC761" s="235"/>
      <c r="BD761" s="235"/>
      <c r="BE761" s="235"/>
      <c r="BF761" s="235"/>
      <c r="BG761" s="235"/>
      <c r="BH761" s="235"/>
      <c r="BI761" s="235"/>
      <c r="BJ761" s="235"/>
      <c r="BK761" s="235"/>
      <c r="BL761" s="235"/>
      <c r="BM761" s="235"/>
      <c r="BN761" s="235"/>
      <c r="BO761" s="235"/>
    </row>
    <row r="762" ht="29.25" hidden="1" customHeight="1">
      <c r="A762" s="230"/>
      <c r="B762" s="231"/>
      <c r="C762" s="179"/>
      <c r="D762" s="179"/>
      <c r="E762" s="180"/>
      <c r="F762" s="162"/>
      <c r="G762" s="232"/>
      <c r="H762" s="234"/>
      <c r="I762" s="181"/>
      <c r="J762" s="182"/>
      <c r="K762" s="182"/>
      <c r="L762" s="182"/>
      <c r="M762" s="234"/>
      <c r="N762" s="28"/>
      <c r="O762" s="181"/>
      <c r="P762" s="183"/>
      <c r="Q762" s="104"/>
      <c r="R762" s="233"/>
      <c r="S762" s="164"/>
      <c r="T762" s="164"/>
      <c r="U762" s="162"/>
      <c r="V762" s="235"/>
      <c r="W762" s="235"/>
      <c r="X762" s="235"/>
      <c r="Y762" s="235"/>
      <c r="Z762" s="235"/>
      <c r="AA762" s="235"/>
      <c r="AB762" s="235"/>
      <c r="AC762" s="235"/>
      <c r="AD762" s="235"/>
      <c r="AE762" s="235"/>
      <c r="AF762" s="235"/>
      <c r="AG762" s="235"/>
      <c r="AH762" s="235"/>
      <c r="AI762" s="235"/>
      <c r="AJ762" s="235"/>
      <c r="AK762" s="235"/>
      <c r="AL762" s="235"/>
      <c r="AM762" s="235"/>
      <c r="AN762" s="235"/>
      <c r="AO762" s="235"/>
      <c r="AP762" s="235"/>
      <c r="AQ762" s="235"/>
      <c r="AR762" s="235"/>
      <c r="AS762" s="235"/>
      <c r="AT762" s="235"/>
      <c r="AU762" s="235"/>
      <c r="AV762" s="235"/>
      <c r="AW762" s="235"/>
      <c r="AX762" s="235"/>
      <c r="AY762" s="235"/>
      <c r="AZ762" s="235"/>
      <c r="BA762" s="235"/>
      <c r="BB762" s="235"/>
      <c r="BC762" s="235"/>
      <c r="BD762" s="235"/>
      <c r="BE762" s="235"/>
      <c r="BF762" s="235"/>
      <c r="BG762" s="235"/>
      <c r="BH762" s="235"/>
      <c r="BI762" s="235"/>
      <c r="BJ762" s="235"/>
      <c r="BK762" s="235"/>
      <c r="BL762" s="235"/>
      <c r="BM762" s="235"/>
      <c r="BN762" s="235"/>
      <c r="BO762" s="235"/>
    </row>
    <row r="763" ht="29.25" hidden="1" customHeight="1">
      <c r="A763" s="230"/>
      <c r="B763" s="231"/>
      <c r="C763" s="179"/>
      <c r="D763" s="179"/>
      <c r="E763" s="180"/>
      <c r="F763" s="162"/>
      <c r="G763" s="232"/>
      <c r="H763" s="234"/>
      <c r="I763" s="181"/>
      <c r="J763" s="182"/>
      <c r="K763" s="182"/>
      <c r="L763" s="182"/>
      <c r="M763" s="234"/>
      <c r="N763" s="28"/>
      <c r="O763" s="181"/>
      <c r="P763" s="183"/>
      <c r="Q763" s="104"/>
      <c r="R763" s="233"/>
      <c r="S763" s="164"/>
      <c r="T763" s="164"/>
      <c r="U763" s="162"/>
      <c r="V763" s="235"/>
      <c r="W763" s="235"/>
      <c r="X763" s="235"/>
      <c r="Y763" s="235"/>
      <c r="Z763" s="235"/>
      <c r="AA763" s="235"/>
      <c r="AB763" s="235"/>
      <c r="AC763" s="235"/>
      <c r="AD763" s="235"/>
      <c r="AE763" s="235"/>
      <c r="AF763" s="235"/>
      <c r="AG763" s="235"/>
      <c r="AH763" s="235"/>
      <c r="AI763" s="235"/>
      <c r="AJ763" s="235"/>
      <c r="AK763" s="235"/>
      <c r="AL763" s="235"/>
      <c r="AM763" s="235"/>
      <c r="AN763" s="235"/>
      <c r="AO763" s="235"/>
      <c r="AP763" s="235"/>
      <c r="AQ763" s="235"/>
      <c r="AR763" s="235"/>
      <c r="AS763" s="235"/>
      <c r="AT763" s="235"/>
      <c r="AU763" s="235"/>
      <c r="AV763" s="235"/>
      <c r="AW763" s="235"/>
      <c r="AX763" s="235"/>
      <c r="AY763" s="235"/>
      <c r="AZ763" s="235"/>
      <c r="BA763" s="235"/>
      <c r="BB763" s="235"/>
      <c r="BC763" s="235"/>
      <c r="BD763" s="235"/>
      <c r="BE763" s="235"/>
      <c r="BF763" s="235"/>
      <c r="BG763" s="235"/>
      <c r="BH763" s="235"/>
      <c r="BI763" s="235"/>
      <c r="BJ763" s="235"/>
      <c r="BK763" s="235"/>
      <c r="BL763" s="235"/>
      <c r="BM763" s="235"/>
      <c r="BN763" s="235"/>
      <c r="BO763" s="235"/>
    </row>
    <row r="764" ht="29.25" hidden="1" customHeight="1">
      <c r="A764" s="230"/>
      <c r="B764" s="231"/>
      <c r="C764" s="179"/>
      <c r="D764" s="179"/>
      <c r="E764" s="180"/>
      <c r="F764" s="162"/>
      <c r="G764" s="232"/>
      <c r="H764" s="234"/>
      <c r="I764" s="181"/>
      <c r="J764" s="182"/>
      <c r="K764" s="182"/>
      <c r="L764" s="182"/>
      <c r="M764" s="234"/>
      <c r="N764" s="28"/>
      <c r="O764" s="181"/>
      <c r="P764" s="183"/>
      <c r="Q764" s="104"/>
      <c r="R764" s="233"/>
      <c r="S764" s="164"/>
      <c r="T764" s="164"/>
      <c r="U764" s="162"/>
      <c r="V764" s="235"/>
      <c r="W764" s="235"/>
      <c r="X764" s="235"/>
      <c r="Y764" s="235"/>
      <c r="Z764" s="235"/>
      <c r="AA764" s="235"/>
      <c r="AB764" s="235"/>
      <c r="AC764" s="235"/>
      <c r="AD764" s="235"/>
      <c r="AE764" s="235"/>
      <c r="AF764" s="235"/>
      <c r="AG764" s="235"/>
      <c r="AH764" s="235"/>
      <c r="AI764" s="235"/>
      <c r="AJ764" s="235"/>
      <c r="AK764" s="235"/>
      <c r="AL764" s="235"/>
      <c r="AM764" s="235"/>
      <c r="AN764" s="235"/>
      <c r="AO764" s="235"/>
      <c r="AP764" s="235"/>
      <c r="AQ764" s="235"/>
      <c r="AR764" s="235"/>
      <c r="AS764" s="235"/>
      <c r="AT764" s="235"/>
      <c r="AU764" s="235"/>
      <c r="AV764" s="235"/>
      <c r="AW764" s="235"/>
      <c r="AX764" s="235"/>
      <c r="AY764" s="235"/>
      <c r="AZ764" s="235"/>
      <c r="BA764" s="235"/>
      <c r="BB764" s="235"/>
      <c r="BC764" s="235"/>
      <c r="BD764" s="235"/>
      <c r="BE764" s="235"/>
      <c r="BF764" s="235"/>
      <c r="BG764" s="235"/>
      <c r="BH764" s="235"/>
      <c r="BI764" s="235"/>
      <c r="BJ764" s="235"/>
      <c r="BK764" s="235"/>
      <c r="BL764" s="235"/>
      <c r="BM764" s="235"/>
      <c r="BN764" s="235"/>
      <c r="BO764" s="235"/>
    </row>
    <row r="765" ht="29.25" hidden="1" customHeight="1">
      <c r="A765" s="230"/>
      <c r="B765" s="231"/>
      <c r="C765" s="179"/>
      <c r="D765" s="179"/>
      <c r="E765" s="180"/>
      <c r="F765" s="162"/>
      <c r="G765" s="232"/>
      <c r="H765" s="234"/>
      <c r="I765" s="181"/>
      <c r="J765" s="182"/>
      <c r="K765" s="182"/>
      <c r="L765" s="182"/>
      <c r="M765" s="234"/>
      <c r="N765" s="28"/>
      <c r="O765" s="181"/>
      <c r="P765" s="183"/>
      <c r="Q765" s="104"/>
      <c r="R765" s="233"/>
      <c r="S765" s="164"/>
      <c r="T765" s="164"/>
      <c r="U765" s="162"/>
      <c r="V765" s="235"/>
      <c r="W765" s="235"/>
      <c r="X765" s="235"/>
      <c r="Y765" s="235"/>
      <c r="Z765" s="235"/>
      <c r="AA765" s="235"/>
      <c r="AB765" s="235"/>
      <c r="AC765" s="235"/>
      <c r="AD765" s="235"/>
      <c r="AE765" s="235"/>
      <c r="AF765" s="235"/>
      <c r="AG765" s="235"/>
      <c r="AH765" s="235"/>
      <c r="AI765" s="235"/>
      <c r="AJ765" s="235"/>
      <c r="AK765" s="235"/>
      <c r="AL765" s="235"/>
      <c r="AM765" s="235"/>
      <c r="AN765" s="235"/>
      <c r="AO765" s="235"/>
      <c r="AP765" s="235"/>
      <c r="AQ765" s="235"/>
      <c r="AR765" s="235"/>
      <c r="AS765" s="235"/>
      <c r="AT765" s="235"/>
      <c r="AU765" s="235"/>
      <c r="AV765" s="235"/>
      <c r="AW765" s="235"/>
      <c r="AX765" s="235"/>
      <c r="AY765" s="235"/>
      <c r="AZ765" s="235"/>
      <c r="BA765" s="235"/>
      <c r="BB765" s="235"/>
      <c r="BC765" s="235"/>
      <c r="BD765" s="235"/>
      <c r="BE765" s="235"/>
      <c r="BF765" s="235"/>
      <c r="BG765" s="235"/>
      <c r="BH765" s="235"/>
      <c r="BI765" s="235"/>
      <c r="BJ765" s="235"/>
      <c r="BK765" s="235"/>
      <c r="BL765" s="235"/>
      <c r="BM765" s="235"/>
      <c r="BN765" s="235"/>
      <c r="BO765" s="235"/>
    </row>
    <row r="766" ht="29.25" hidden="1" customHeight="1">
      <c r="A766" s="230"/>
      <c r="B766" s="231"/>
      <c r="C766" s="179"/>
      <c r="D766" s="179"/>
      <c r="E766" s="180"/>
      <c r="F766" s="162"/>
      <c r="G766" s="232"/>
      <c r="H766" s="234"/>
      <c r="I766" s="181"/>
      <c r="J766" s="182"/>
      <c r="K766" s="182"/>
      <c r="L766" s="182"/>
      <c r="M766" s="234"/>
      <c r="N766" s="28"/>
      <c r="O766" s="181"/>
      <c r="P766" s="183"/>
      <c r="Q766" s="104"/>
      <c r="R766" s="233"/>
      <c r="S766" s="164"/>
      <c r="T766" s="164"/>
      <c r="U766" s="162"/>
      <c r="V766" s="235"/>
      <c r="W766" s="235"/>
      <c r="X766" s="235"/>
      <c r="Y766" s="235"/>
      <c r="Z766" s="235"/>
      <c r="AA766" s="235"/>
      <c r="AB766" s="235"/>
      <c r="AC766" s="235"/>
      <c r="AD766" s="235"/>
      <c r="AE766" s="235"/>
      <c r="AF766" s="235"/>
      <c r="AG766" s="235"/>
      <c r="AH766" s="235"/>
      <c r="AI766" s="235"/>
      <c r="AJ766" s="235"/>
      <c r="AK766" s="235"/>
      <c r="AL766" s="235"/>
      <c r="AM766" s="235"/>
      <c r="AN766" s="235"/>
      <c r="AO766" s="235"/>
      <c r="AP766" s="235"/>
      <c r="AQ766" s="235"/>
      <c r="AR766" s="235"/>
      <c r="AS766" s="235"/>
      <c r="AT766" s="235"/>
      <c r="AU766" s="235"/>
      <c r="AV766" s="235"/>
      <c r="AW766" s="235"/>
      <c r="AX766" s="235"/>
      <c r="AY766" s="235"/>
      <c r="AZ766" s="235"/>
      <c r="BA766" s="235"/>
      <c r="BB766" s="235"/>
      <c r="BC766" s="235"/>
      <c r="BD766" s="235"/>
      <c r="BE766" s="235"/>
      <c r="BF766" s="235"/>
      <c r="BG766" s="235"/>
      <c r="BH766" s="235"/>
      <c r="BI766" s="235"/>
      <c r="BJ766" s="235"/>
      <c r="BK766" s="235"/>
      <c r="BL766" s="235"/>
      <c r="BM766" s="235"/>
      <c r="BN766" s="235"/>
      <c r="BO766" s="235"/>
    </row>
    <row r="767" ht="29.25" hidden="1" customHeight="1">
      <c r="A767" s="230"/>
      <c r="B767" s="231"/>
      <c r="C767" s="179"/>
      <c r="D767" s="179"/>
      <c r="E767" s="180"/>
      <c r="F767" s="162"/>
      <c r="G767" s="232"/>
      <c r="H767" s="234"/>
      <c r="I767" s="181"/>
      <c r="J767" s="182"/>
      <c r="K767" s="182"/>
      <c r="L767" s="182"/>
      <c r="M767" s="234"/>
      <c r="N767" s="28"/>
      <c r="O767" s="181"/>
      <c r="P767" s="183"/>
      <c r="Q767" s="104"/>
      <c r="R767" s="233"/>
      <c r="S767" s="164"/>
      <c r="T767" s="164"/>
      <c r="U767" s="162"/>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c r="BD767" s="235"/>
      <c r="BE767" s="235"/>
      <c r="BF767" s="235"/>
      <c r="BG767" s="235"/>
      <c r="BH767" s="235"/>
      <c r="BI767" s="235"/>
      <c r="BJ767" s="235"/>
      <c r="BK767" s="235"/>
      <c r="BL767" s="235"/>
      <c r="BM767" s="235"/>
      <c r="BN767" s="235"/>
      <c r="BO767" s="235"/>
    </row>
    <row r="768" ht="29.25" hidden="1" customHeight="1">
      <c r="A768" s="230"/>
      <c r="B768" s="231"/>
      <c r="C768" s="179"/>
      <c r="D768" s="179"/>
      <c r="E768" s="180"/>
      <c r="F768" s="162"/>
      <c r="G768" s="232"/>
      <c r="H768" s="234"/>
      <c r="I768" s="181"/>
      <c r="J768" s="182"/>
      <c r="K768" s="182"/>
      <c r="L768" s="182"/>
      <c r="M768" s="234"/>
      <c r="N768" s="28"/>
      <c r="O768" s="181"/>
      <c r="P768" s="183"/>
      <c r="Q768" s="104"/>
      <c r="R768" s="233"/>
      <c r="S768" s="164"/>
      <c r="T768" s="164"/>
      <c r="U768" s="162"/>
      <c r="V768" s="235"/>
      <c r="W768" s="235"/>
      <c r="X768" s="235"/>
      <c r="Y768" s="235"/>
      <c r="Z768" s="235"/>
      <c r="AA768" s="235"/>
      <c r="AB768" s="235"/>
      <c r="AC768" s="235"/>
      <c r="AD768" s="235"/>
      <c r="AE768" s="235"/>
      <c r="AF768" s="235"/>
      <c r="AG768" s="235"/>
      <c r="AH768" s="235"/>
      <c r="AI768" s="235"/>
      <c r="AJ768" s="235"/>
      <c r="AK768" s="235"/>
      <c r="AL768" s="235"/>
      <c r="AM768" s="235"/>
      <c r="AN768" s="235"/>
      <c r="AO768" s="235"/>
      <c r="AP768" s="235"/>
      <c r="AQ768" s="235"/>
      <c r="AR768" s="235"/>
      <c r="AS768" s="235"/>
      <c r="AT768" s="235"/>
      <c r="AU768" s="235"/>
      <c r="AV768" s="235"/>
      <c r="AW768" s="235"/>
      <c r="AX768" s="235"/>
      <c r="AY768" s="235"/>
      <c r="AZ768" s="235"/>
      <c r="BA768" s="235"/>
      <c r="BB768" s="235"/>
      <c r="BC768" s="235"/>
      <c r="BD768" s="235"/>
      <c r="BE768" s="235"/>
      <c r="BF768" s="235"/>
      <c r="BG768" s="235"/>
      <c r="BH768" s="235"/>
      <c r="BI768" s="235"/>
      <c r="BJ768" s="235"/>
      <c r="BK768" s="235"/>
      <c r="BL768" s="235"/>
      <c r="BM768" s="235"/>
      <c r="BN768" s="235"/>
      <c r="BO768" s="235"/>
    </row>
    <row r="769" ht="29.25" hidden="1" customHeight="1">
      <c r="A769" s="230"/>
      <c r="B769" s="231"/>
      <c r="C769" s="179"/>
      <c r="D769" s="179"/>
      <c r="E769" s="180"/>
      <c r="F769" s="162"/>
      <c r="G769" s="232"/>
      <c r="H769" s="234"/>
      <c r="I769" s="181"/>
      <c r="J769" s="182"/>
      <c r="K769" s="182"/>
      <c r="L769" s="182"/>
      <c r="M769" s="234"/>
      <c r="N769" s="28"/>
      <c r="O769" s="181"/>
      <c r="P769" s="183"/>
      <c r="Q769" s="104"/>
      <c r="R769" s="233"/>
      <c r="S769" s="164"/>
      <c r="T769" s="164"/>
      <c r="U769" s="162"/>
      <c r="V769" s="235"/>
      <c r="W769" s="235"/>
      <c r="X769" s="235"/>
      <c r="Y769" s="235"/>
      <c r="Z769" s="235"/>
      <c r="AA769" s="235"/>
      <c r="AB769" s="235"/>
      <c r="AC769" s="235"/>
      <c r="AD769" s="235"/>
      <c r="AE769" s="235"/>
      <c r="AF769" s="235"/>
      <c r="AG769" s="235"/>
      <c r="AH769" s="235"/>
      <c r="AI769" s="235"/>
      <c r="AJ769" s="235"/>
      <c r="AK769" s="235"/>
      <c r="AL769" s="235"/>
      <c r="AM769" s="235"/>
      <c r="AN769" s="235"/>
      <c r="AO769" s="235"/>
      <c r="AP769" s="235"/>
      <c r="AQ769" s="235"/>
      <c r="AR769" s="235"/>
      <c r="AS769" s="235"/>
      <c r="AT769" s="235"/>
      <c r="AU769" s="235"/>
      <c r="AV769" s="235"/>
      <c r="AW769" s="235"/>
      <c r="AX769" s="235"/>
      <c r="AY769" s="235"/>
      <c r="AZ769" s="235"/>
      <c r="BA769" s="235"/>
      <c r="BB769" s="235"/>
      <c r="BC769" s="235"/>
      <c r="BD769" s="235"/>
      <c r="BE769" s="235"/>
      <c r="BF769" s="235"/>
      <c r="BG769" s="235"/>
      <c r="BH769" s="235"/>
      <c r="BI769" s="235"/>
      <c r="BJ769" s="235"/>
      <c r="BK769" s="235"/>
      <c r="BL769" s="235"/>
      <c r="BM769" s="235"/>
      <c r="BN769" s="235"/>
      <c r="BO769" s="235"/>
    </row>
    <row r="770" ht="29.25" hidden="1" customHeight="1">
      <c r="A770" s="230"/>
      <c r="B770" s="231"/>
      <c r="C770" s="179"/>
      <c r="D770" s="179"/>
      <c r="E770" s="180"/>
      <c r="F770" s="162"/>
      <c r="G770" s="232"/>
      <c r="H770" s="234"/>
      <c r="I770" s="181"/>
      <c r="J770" s="182"/>
      <c r="K770" s="182"/>
      <c r="L770" s="182"/>
      <c r="M770" s="234"/>
      <c r="N770" s="28"/>
      <c r="O770" s="181"/>
      <c r="P770" s="183"/>
      <c r="Q770" s="104"/>
      <c r="R770" s="233"/>
      <c r="S770" s="164"/>
      <c r="T770" s="164"/>
      <c r="U770" s="162"/>
      <c r="V770" s="235"/>
      <c r="W770" s="235"/>
      <c r="X770" s="235"/>
      <c r="Y770" s="235"/>
      <c r="Z770" s="235"/>
      <c r="AA770" s="235"/>
      <c r="AB770" s="235"/>
      <c r="AC770" s="235"/>
      <c r="AD770" s="235"/>
      <c r="AE770" s="235"/>
      <c r="AF770" s="235"/>
      <c r="AG770" s="235"/>
      <c r="AH770" s="235"/>
      <c r="AI770" s="235"/>
      <c r="AJ770" s="235"/>
      <c r="AK770" s="235"/>
      <c r="AL770" s="235"/>
      <c r="AM770" s="235"/>
      <c r="AN770" s="235"/>
      <c r="AO770" s="235"/>
      <c r="AP770" s="235"/>
      <c r="AQ770" s="235"/>
      <c r="AR770" s="235"/>
      <c r="AS770" s="235"/>
      <c r="AT770" s="235"/>
      <c r="AU770" s="235"/>
      <c r="AV770" s="235"/>
      <c r="AW770" s="235"/>
      <c r="AX770" s="235"/>
      <c r="AY770" s="235"/>
      <c r="AZ770" s="235"/>
      <c r="BA770" s="235"/>
      <c r="BB770" s="235"/>
      <c r="BC770" s="235"/>
      <c r="BD770" s="235"/>
      <c r="BE770" s="235"/>
      <c r="BF770" s="235"/>
      <c r="BG770" s="235"/>
      <c r="BH770" s="235"/>
      <c r="BI770" s="235"/>
      <c r="BJ770" s="235"/>
      <c r="BK770" s="235"/>
      <c r="BL770" s="235"/>
      <c r="BM770" s="235"/>
      <c r="BN770" s="235"/>
      <c r="BO770" s="235"/>
    </row>
    <row r="771" ht="29.25" hidden="1" customHeight="1">
      <c r="A771" s="230"/>
      <c r="B771" s="231"/>
      <c r="C771" s="179"/>
      <c r="D771" s="179"/>
      <c r="E771" s="180"/>
      <c r="F771" s="162"/>
      <c r="G771" s="232"/>
      <c r="H771" s="234"/>
      <c r="I771" s="181"/>
      <c r="J771" s="182"/>
      <c r="K771" s="182"/>
      <c r="L771" s="182"/>
      <c r="M771" s="234"/>
      <c r="N771" s="28"/>
      <c r="O771" s="181"/>
      <c r="P771" s="183"/>
      <c r="Q771" s="104"/>
      <c r="R771" s="233"/>
      <c r="S771" s="164"/>
      <c r="T771" s="164"/>
      <c r="U771" s="162"/>
      <c r="V771" s="235"/>
      <c r="W771" s="235"/>
      <c r="X771" s="235"/>
      <c r="Y771" s="235"/>
      <c r="Z771" s="235"/>
      <c r="AA771" s="235"/>
      <c r="AB771" s="235"/>
      <c r="AC771" s="235"/>
      <c r="AD771" s="235"/>
      <c r="AE771" s="235"/>
      <c r="AF771" s="235"/>
      <c r="AG771" s="235"/>
      <c r="AH771" s="235"/>
      <c r="AI771" s="235"/>
      <c r="AJ771" s="235"/>
      <c r="AK771" s="235"/>
      <c r="AL771" s="235"/>
      <c r="AM771" s="235"/>
      <c r="AN771" s="235"/>
      <c r="AO771" s="235"/>
      <c r="AP771" s="235"/>
      <c r="AQ771" s="235"/>
      <c r="AR771" s="235"/>
      <c r="AS771" s="235"/>
      <c r="AT771" s="235"/>
      <c r="AU771" s="235"/>
      <c r="AV771" s="235"/>
      <c r="AW771" s="235"/>
      <c r="AX771" s="235"/>
      <c r="AY771" s="235"/>
      <c r="AZ771" s="235"/>
      <c r="BA771" s="235"/>
      <c r="BB771" s="235"/>
      <c r="BC771" s="235"/>
      <c r="BD771" s="235"/>
      <c r="BE771" s="235"/>
      <c r="BF771" s="235"/>
      <c r="BG771" s="235"/>
      <c r="BH771" s="235"/>
      <c r="BI771" s="235"/>
      <c r="BJ771" s="235"/>
      <c r="BK771" s="235"/>
      <c r="BL771" s="235"/>
      <c r="BM771" s="235"/>
      <c r="BN771" s="235"/>
      <c r="BO771" s="235"/>
    </row>
    <row r="772" ht="29.25" hidden="1" customHeight="1">
      <c r="A772" s="230"/>
      <c r="B772" s="231"/>
      <c r="C772" s="179"/>
      <c r="D772" s="179"/>
      <c r="E772" s="180"/>
      <c r="F772" s="162"/>
      <c r="G772" s="232"/>
      <c r="H772" s="234"/>
      <c r="I772" s="181"/>
      <c r="J772" s="182"/>
      <c r="K772" s="182"/>
      <c r="L772" s="182"/>
      <c r="M772" s="234"/>
      <c r="N772" s="28"/>
      <c r="O772" s="181"/>
      <c r="P772" s="183"/>
      <c r="Q772" s="104"/>
      <c r="R772" s="233"/>
      <c r="S772" s="164"/>
      <c r="T772" s="164"/>
      <c r="U772" s="162"/>
      <c r="V772" s="235"/>
      <c r="W772" s="235"/>
      <c r="X772" s="235"/>
      <c r="Y772" s="235"/>
      <c r="Z772" s="235"/>
      <c r="AA772" s="235"/>
      <c r="AB772" s="235"/>
      <c r="AC772" s="235"/>
      <c r="AD772" s="235"/>
      <c r="AE772" s="235"/>
      <c r="AF772" s="235"/>
      <c r="AG772" s="235"/>
      <c r="AH772" s="235"/>
      <c r="AI772" s="235"/>
      <c r="AJ772" s="235"/>
      <c r="AK772" s="235"/>
      <c r="AL772" s="235"/>
      <c r="AM772" s="235"/>
      <c r="AN772" s="235"/>
      <c r="AO772" s="235"/>
      <c r="AP772" s="235"/>
      <c r="AQ772" s="235"/>
      <c r="AR772" s="235"/>
      <c r="AS772" s="235"/>
      <c r="AT772" s="235"/>
      <c r="AU772" s="235"/>
      <c r="AV772" s="235"/>
      <c r="AW772" s="235"/>
      <c r="AX772" s="235"/>
      <c r="AY772" s="235"/>
      <c r="AZ772" s="235"/>
      <c r="BA772" s="235"/>
      <c r="BB772" s="235"/>
      <c r="BC772" s="235"/>
      <c r="BD772" s="235"/>
      <c r="BE772" s="235"/>
      <c r="BF772" s="235"/>
      <c r="BG772" s="235"/>
      <c r="BH772" s="235"/>
      <c r="BI772" s="235"/>
      <c r="BJ772" s="235"/>
      <c r="BK772" s="235"/>
      <c r="BL772" s="235"/>
      <c r="BM772" s="235"/>
      <c r="BN772" s="235"/>
      <c r="BO772" s="235"/>
    </row>
    <row r="773" ht="29.25" hidden="1" customHeight="1">
      <c r="A773" s="230"/>
      <c r="B773" s="231"/>
      <c r="C773" s="179"/>
      <c r="D773" s="179"/>
      <c r="E773" s="180"/>
      <c r="F773" s="162"/>
      <c r="G773" s="232"/>
      <c r="H773" s="234"/>
      <c r="I773" s="181"/>
      <c r="J773" s="182"/>
      <c r="K773" s="182"/>
      <c r="L773" s="182"/>
      <c r="M773" s="234"/>
      <c r="N773" s="28"/>
      <c r="O773" s="181"/>
      <c r="P773" s="183"/>
      <c r="Q773" s="104"/>
      <c r="R773" s="233"/>
      <c r="S773" s="164"/>
      <c r="T773" s="164"/>
      <c r="U773" s="162"/>
      <c r="V773" s="235"/>
      <c r="W773" s="235"/>
      <c r="X773" s="235"/>
      <c r="Y773" s="235"/>
      <c r="Z773" s="235"/>
      <c r="AA773" s="235"/>
      <c r="AB773" s="235"/>
      <c r="AC773" s="235"/>
      <c r="AD773" s="235"/>
      <c r="AE773" s="235"/>
      <c r="AF773" s="235"/>
      <c r="AG773" s="235"/>
      <c r="AH773" s="235"/>
      <c r="AI773" s="235"/>
      <c r="AJ773" s="235"/>
      <c r="AK773" s="235"/>
      <c r="AL773" s="235"/>
      <c r="AM773" s="235"/>
      <c r="AN773" s="235"/>
      <c r="AO773" s="235"/>
      <c r="AP773" s="235"/>
      <c r="AQ773" s="235"/>
      <c r="AR773" s="235"/>
      <c r="AS773" s="235"/>
      <c r="AT773" s="235"/>
      <c r="AU773" s="235"/>
      <c r="AV773" s="235"/>
      <c r="AW773" s="235"/>
      <c r="AX773" s="235"/>
      <c r="AY773" s="235"/>
      <c r="AZ773" s="235"/>
      <c r="BA773" s="235"/>
      <c r="BB773" s="235"/>
      <c r="BC773" s="235"/>
      <c r="BD773" s="235"/>
      <c r="BE773" s="235"/>
      <c r="BF773" s="235"/>
      <c r="BG773" s="235"/>
      <c r="BH773" s="235"/>
      <c r="BI773" s="235"/>
      <c r="BJ773" s="235"/>
      <c r="BK773" s="235"/>
      <c r="BL773" s="235"/>
      <c r="BM773" s="235"/>
      <c r="BN773" s="235"/>
      <c r="BO773" s="235"/>
    </row>
    <row r="774" ht="29.25" hidden="1" customHeight="1">
      <c r="A774" s="230"/>
      <c r="B774" s="231"/>
      <c r="C774" s="179"/>
      <c r="D774" s="179"/>
      <c r="E774" s="180"/>
      <c r="F774" s="162"/>
      <c r="G774" s="232"/>
      <c r="H774" s="234"/>
      <c r="I774" s="181"/>
      <c r="J774" s="182"/>
      <c r="K774" s="182"/>
      <c r="L774" s="182"/>
      <c r="M774" s="234"/>
      <c r="N774" s="28"/>
      <c r="O774" s="181"/>
      <c r="P774" s="183"/>
      <c r="Q774" s="104"/>
      <c r="R774" s="233"/>
      <c r="S774" s="164"/>
      <c r="T774" s="164"/>
      <c r="U774" s="162"/>
      <c r="V774" s="235"/>
      <c r="W774" s="235"/>
      <c r="X774" s="235"/>
      <c r="Y774" s="235"/>
      <c r="Z774" s="235"/>
      <c r="AA774" s="235"/>
      <c r="AB774" s="235"/>
      <c r="AC774" s="235"/>
      <c r="AD774" s="235"/>
      <c r="AE774" s="235"/>
      <c r="AF774" s="235"/>
      <c r="AG774" s="235"/>
      <c r="AH774" s="235"/>
      <c r="AI774" s="235"/>
      <c r="AJ774" s="235"/>
      <c r="AK774" s="235"/>
      <c r="AL774" s="235"/>
      <c r="AM774" s="235"/>
      <c r="AN774" s="235"/>
      <c r="AO774" s="235"/>
      <c r="AP774" s="235"/>
      <c r="AQ774" s="235"/>
      <c r="AR774" s="235"/>
      <c r="AS774" s="235"/>
      <c r="AT774" s="235"/>
      <c r="AU774" s="235"/>
      <c r="AV774" s="235"/>
      <c r="AW774" s="235"/>
      <c r="AX774" s="235"/>
      <c r="AY774" s="235"/>
      <c r="AZ774" s="235"/>
      <c r="BA774" s="235"/>
      <c r="BB774" s="235"/>
      <c r="BC774" s="235"/>
      <c r="BD774" s="235"/>
      <c r="BE774" s="235"/>
      <c r="BF774" s="235"/>
      <c r="BG774" s="235"/>
      <c r="BH774" s="235"/>
      <c r="BI774" s="235"/>
      <c r="BJ774" s="235"/>
      <c r="BK774" s="235"/>
      <c r="BL774" s="235"/>
      <c r="BM774" s="235"/>
      <c r="BN774" s="235"/>
      <c r="BO774" s="235"/>
    </row>
    <row r="775" ht="29.25" hidden="1" customHeight="1">
      <c r="A775" s="230"/>
      <c r="B775" s="231"/>
      <c r="C775" s="179"/>
      <c r="D775" s="179"/>
      <c r="E775" s="180"/>
      <c r="F775" s="162"/>
      <c r="G775" s="232"/>
      <c r="H775" s="234"/>
      <c r="I775" s="181"/>
      <c r="J775" s="182"/>
      <c r="K775" s="182"/>
      <c r="L775" s="182"/>
      <c r="M775" s="234"/>
      <c r="N775" s="28"/>
      <c r="O775" s="181"/>
      <c r="P775" s="183"/>
      <c r="Q775" s="104"/>
      <c r="R775" s="233"/>
      <c r="S775" s="164"/>
      <c r="T775" s="164"/>
      <c r="U775" s="162"/>
      <c r="V775" s="235"/>
      <c r="W775" s="235"/>
      <c r="X775" s="235"/>
      <c r="Y775" s="235"/>
      <c r="Z775" s="235"/>
      <c r="AA775" s="235"/>
      <c r="AB775" s="235"/>
      <c r="AC775" s="235"/>
      <c r="AD775" s="235"/>
      <c r="AE775" s="235"/>
      <c r="AF775" s="235"/>
      <c r="AG775" s="235"/>
      <c r="AH775" s="235"/>
      <c r="AI775" s="235"/>
      <c r="AJ775" s="235"/>
      <c r="AK775" s="235"/>
      <c r="AL775" s="235"/>
      <c r="AM775" s="235"/>
      <c r="AN775" s="235"/>
      <c r="AO775" s="235"/>
      <c r="AP775" s="235"/>
      <c r="AQ775" s="235"/>
      <c r="AR775" s="235"/>
      <c r="AS775" s="235"/>
      <c r="AT775" s="235"/>
      <c r="AU775" s="235"/>
      <c r="AV775" s="235"/>
      <c r="AW775" s="235"/>
      <c r="AX775" s="235"/>
      <c r="AY775" s="235"/>
      <c r="AZ775" s="235"/>
      <c r="BA775" s="235"/>
      <c r="BB775" s="235"/>
      <c r="BC775" s="235"/>
      <c r="BD775" s="235"/>
      <c r="BE775" s="235"/>
      <c r="BF775" s="235"/>
      <c r="BG775" s="235"/>
      <c r="BH775" s="235"/>
      <c r="BI775" s="235"/>
      <c r="BJ775" s="235"/>
      <c r="BK775" s="235"/>
      <c r="BL775" s="235"/>
      <c r="BM775" s="235"/>
      <c r="BN775" s="235"/>
      <c r="BO775" s="235"/>
    </row>
    <row r="776" ht="29.25" hidden="1" customHeight="1">
      <c r="A776" s="230"/>
      <c r="B776" s="231"/>
      <c r="C776" s="179"/>
      <c r="D776" s="179"/>
      <c r="E776" s="180"/>
      <c r="F776" s="162"/>
      <c r="G776" s="232"/>
      <c r="H776" s="234"/>
      <c r="I776" s="181"/>
      <c r="J776" s="182"/>
      <c r="K776" s="182"/>
      <c r="L776" s="182"/>
      <c r="M776" s="234"/>
      <c r="N776" s="28"/>
      <c r="O776" s="181"/>
      <c r="P776" s="183"/>
      <c r="Q776" s="104"/>
      <c r="R776" s="233"/>
      <c r="S776" s="164"/>
      <c r="T776" s="164"/>
      <c r="U776" s="162"/>
      <c r="V776" s="235"/>
      <c r="W776" s="235"/>
      <c r="X776" s="235"/>
      <c r="Y776" s="235"/>
      <c r="Z776" s="235"/>
      <c r="AA776" s="235"/>
      <c r="AB776" s="235"/>
      <c r="AC776" s="235"/>
      <c r="AD776" s="235"/>
      <c r="AE776" s="235"/>
      <c r="AF776" s="235"/>
      <c r="AG776" s="235"/>
      <c r="AH776" s="235"/>
      <c r="AI776" s="235"/>
      <c r="AJ776" s="235"/>
      <c r="AK776" s="235"/>
      <c r="AL776" s="235"/>
      <c r="AM776" s="235"/>
      <c r="AN776" s="235"/>
      <c r="AO776" s="235"/>
      <c r="AP776" s="235"/>
      <c r="AQ776" s="235"/>
      <c r="AR776" s="235"/>
      <c r="AS776" s="235"/>
      <c r="AT776" s="235"/>
      <c r="AU776" s="235"/>
      <c r="AV776" s="235"/>
      <c r="AW776" s="235"/>
      <c r="AX776" s="235"/>
      <c r="AY776" s="235"/>
      <c r="AZ776" s="235"/>
      <c r="BA776" s="235"/>
      <c r="BB776" s="235"/>
      <c r="BC776" s="235"/>
      <c r="BD776" s="235"/>
      <c r="BE776" s="235"/>
      <c r="BF776" s="235"/>
      <c r="BG776" s="235"/>
      <c r="BH776" s="235"/>
      <c r="BI776" s="235"/>
      <c r="BJ776" s="235"/>
      <c r="BK776" s="235"/>
      <c r="BL776" s="235"/>
      <c r="BM776" s="235"/>
      <c r="BN776" s="235"/>
      <c r="BO776" s="235"/>
    </row>
    <row r="777" ht="29.25" hidden="1" customHeight="1">
      <c r="A777" s="230"/>
      <c r="B777" s="231"/>
      <c r="C777" s="179"/>
      <c r="D777" s="179"/>
      <c r="E777" s="180"/>
      <c r="F777" s="162"/>
      <c r="G777" s="232"/>
      <c r="H777" s="234"/>
      <c r="I777" s="181"/>
      <c r="J777" s="182"/>
      <c r="K777" s="182"/>
      <c r="L777" s="182"/>
      <c r="M777" s="234"/>
      <c r="N777" s="28"/>
      <c r="O777" s="181"/>
      <c r="P777" s="183"/>
      <c r="Q777" s="104"/>
      <c r="R777" s="233"/>
      <c r="S777" s="164"/>
      <c r="T777" s="164"/>
      <c r="U777" s="162"/>
      <c r="V777" s="235"/>
      <c r="W777" s="235"/>
      <c r="X777" s="235"/>
      <c r="Y777" s="235"/>
      <c r="Z777" s="235"/>
      <c r="AA777" s="235"/>
      <c r="AB777" s="235"/>
      <c r="AC777" s="235"/>
      <c r="AD777" s="235"/>
      <c r="AE777" s="235"/>
      <c r="AF777" s="235"/>
      <c r="AG777" s="235"/>
      <c r="AH777" s="235"/>
      <c r="AI777" s="235"/>
      <c r="AJ777" s="235"/>
      <c r="AK777" s="235"/>
      <c r="AL777" s="235"/>
      <c r="AM777" s="235"/>
      <c r="AN777" s="235"/>
      <c r="AO777" s="235"/>
      <c r="AP777" s="235"/>
      <c r="AQ777" s="235"/>
      <c r="AR777" s="235"/>
      <c r="AS777" s="235"/>
      <c r="AT777" s="235"/>
      <c r="AU777" s="235"/>
      <c r="AV777" s="235"/>
      <c r="AW777" s="235"/>
      <c r="AX777" s="235"/>
      <c r="AY777" s="235"/>
      <c r="AZ777" s="235"/>
      <c r="BA777" s="235"/>
      <c r="BB777" s="235"/>
      <c r="BC777" s="235"/>
      <c r="BD777" s="235"/>
      <c r="BE777" s="235"/>
      <c r="BF777" s="235"/>
      <c r="BG777" s="235"/>
      <c r="BH777" s="235"/>
      <c r="BI777" s="235"/>
      <c r="BJ777" s="235"/>
      <c r="BK777" s="235"/>
      <c r="BL777" s="235"/>
      <c r="BM777" s="235"/>
      <c r="BN777" s="235"/>
      <c r="BO777" s="235"/>
    </row>
    <row r="778" ht="29.25" hidden="1" customHeight="1">
      <c r="A778" s="230"/>
      <c r="B778" s="231"/>
      <c r="C778" s="179"/>
      <c r="D778" s="179"/>
      <c r="E778" s="180"/>
      <c r="F778" s="162"/>
      <c r="G778" s="232"/>
      <c r="H778" s="234"/>
      <c r="I778" s="181"/>
      <c r="J778" s="182"/>
      <c r="K778" s="182"/>
      <c r="L778" s="182"/>
      <c r="M778" s="234"/>
      <c r="N778" s="28"/>
      <c r="O778" s="181"/>
      <c r="P778" s="183"/>
      <c r="Q778" s="104"/>
      <c r="R778" s="233"/>
      <c r="S778" s="164"/>
      <c r="T778" s="164"/>
      <c r="U778" s="162"/>
      <c r="V778" s="235"/>
      <c r="W778" s="235"/>
      <c r="X778" s="235"/>
      <c r="Y778" s="235"/>
      <c r="Z778" s="235"/>
      <c r="AA778" s="235"/>
      <c r="AB778" s="235"/>
      <c r="AC778" s="235"/>
      <c r="AD778" s="235"/>
      <c r="AE778" s="235"/>
      <c r="AF778" s="235"/>
      <c r="AG778" s="235"/>
      <c r="AH778" s="235"/>
      <c r="AI778" s="235"/>
      <c r="AJ778" s="235"/>
      <c r="AK778" s="235"/>
      <c r="AL778" s="235"/>
      <c r="AM778" s="235"/>
      <c r="AN778" s="235"/>
      <c r="AO778" s="235"/>
      <c r="AP778" s="235"/>
      <c r="AQ778" s="235"/>
      <c r="AR778" s="235"/>
      <c r="AS778" s="235"/>
      <c r="AT778" s="235"/>
      <c r="AU778" s="235"/>
      <c r="AV778" s="235"/>
      <c r="AW778" s="235"/>
      <c r="AX778" s="235"/>
      <c r="AY778" s="235"/>
      <c r="AZ778" s="235"/>
      <c r="BA778" s="235"/>
      <c r="BB778" s="235"/>
      <c r="BC778" s="235"/>
      <c r="BD778" s="235"/>
      <c r="BE778" s="235"/>
      <c r="BF778" s="235"/>
      <c r="BG778" s="235"/>
      <c r="BH778" s="235"/>
      <c r="BI778" s="235"/>
      <c r="BJ778" s="235"/>
      <c r="BK778" s="235"/>
      <c r="BL778" s="235"/>
      <c r="BM778" s="235"/>
      <c r="BN778" s="235"/>
      <c r="BO778" s="235"/>
    </row>
    <row r="779" ht="29.25" hidden="1" customHeight="1">
      <c r="A779" s="230"/>
      <c r="B779" s="231"/>
      <c r="C779" s="179"/>
      <c r="D779" s="179"/>
      <c r="E779" s="180"/>
      <c r="F779" s="162"/>
      <c r="G779" s="232"/>
      <c r="H779" s="234"/>
      <c r="I779" s="181"/>
      <c r="J779" s="182"/>
      <c r="K779" s="182"/>
      <c r="L779" s="182"/>
      <c r="M779" s="234"/>
      <c r="N779" s="28"/>
      <c r="O779" s="181"/>
      <c r="P779" s="183"/>
      <c r="Q779" s="104"/>
      <c r="R779" s="233"/>
      <c r="S779" s="164"/>
      <c r="T779" s="164"/>
      <c r="U779" s="162"/>
      <c r="V779" s="235"/>
      <c r="W779" s="235"/>
      <c r="X779" s="235"/>
      <c r="Y779" s="235"/>
      <c r="Z779" s="235"/>
      <c r="AA779" s="235"/>
      <c r="AB779" s="235"/>
      <c r="AC779" s="235"/>
      <c r="AD779" s="235"/>
      <c r="AE779" s="235"/>
      <c r="AF779" s="235"/>
      <c r="AG779" s="235"/>
      <c r="AH779" s="235"/>
      <c r="AI779" s="235"/>
      <c r="AJ779" s="235"/>
      <c r="AK779" s="235"/>
      <c r="AL779" s="235"/>
      <c r="AM779" s="235"/>
      <c r="AN779" s="235"/>
      <c r="AO779" s="235"/>
      <c r="AP779" s="235"/>
      <c r="AQ779" s="235"/>
      <c r="AR779" s="235"/>
      <c r="AS779" s="235"/>
      <c r="AT779" s="235"/>
      <c r="AU779" s="235"/>
      <c r="AV779" s="235"/>
      <c r="AW779" s="235"/>
      <c r="AX779" s="235"/>
      <c r="AY779" s="235"/>
      <c r="AZ779" s="235"/>
      <c r="BA779" s="235"/>
      <c r="BB779" s="235"/>
      <c r="BC779" s="235"/>
      <c r="BD779" s="235"/>
      <c r="BE779" s="235"/>
      <c r="BF779" s="235"/>
      <c r="BG779" s="235"/>
      <c r="BH779" s="235"/>
      <c r="BI779" s="235"/>
      <c r="BJ779" s="235"/>
      <c r="BK779" s="235"/>
      <c r="BL779" s="235"/>
      <c r="BM779" s="235"/>
      <c r="BN779" s="235"/>
      <c r="BO779" s="235"/>
    </row>
    <row r="780" ht="29.25" hidden="1" customHeight="1">
      <c r="A780" s="230"/>
      <c r="B780" s="231"/>
      <c r="C780" s="179"/>
      <c r="D780" s="179"/>
      <c r="E780" s="180"/>
      <c r="F780" s="162"/>
      <c r="G780" s="232"/>
      <c r="H780" s="234"/>
      <c r="I780" s="181"/>
      <c r="J780" s="182"/>
      <c r="K780" s="182"/>
      <c r="L780" s="182"/>
      <c r="M780" s="234"/>
      <c r="N780" s="28"/>
      <c r="O780" s="181"/>
      <c r="P780" s="183"/>
      <c r="Q780" s="104"/>
      <c r="R780" s="233"/>
      <c r="S780" s="164"/>
      <c r="T780" s="164"/>
      <c r="U780" s="162"/>
      <c r="V780" s="235"/>
      <c r="W780" s="235"/>
      <c r="X780" s="235"/>
      <c r="Y780" s="235"/>
      <c r="Z780" s="235"/>
      <c r="AA780" s="235"/>
      <c r="AB780" s="235"/>
      <c r="AC780" s="235"/>
      <c r="AD780" s="235"/>
      <c r="AE780" s="235"/>
      <c r="AF780" s="235"/>
      <c r="AG780" s="235"/>
      <c r="AH780" s="235"/>
      <c r="AI780" s="235"/>
      <c r="AJ780" s="235"/>
      <c r="AK780" s="235"/>
      <c r="AL780" s="235"/>
      <c r="AM780" s="235"/>
      <c r="AN780" s="235"/>
      <c r="AO780" s="235"/>
      <c r="AP780" s="235"/>
      <c r="AQ780" s="235"/>
      <c r="AR780" s="235"/>
      <c r="AS780" s="235"/>
      <c r="AT780" s="235"/>
      <c r="AU780" s="235"/>
      <c r="AV780" s="235"/>
      <c r="AW780" s="235"/>
      <c r="AX780" s="235"/>
      <c r="AY780" s="235"/>
      <c r="AZ780" s="235"/>
      <c r="BA780" s="235"/>
      <c r="BB780" s="235"/>
      <c r="BC780" s="235"/>
      <c r="BD780" s="235"/>
      <c r="BE780" s="235"/>
      <c r="BF780" s="235"/>
      <c r="BG780" s="235"/>
      <c r="BH780" s="235"/>
      <c r="BI780" s="235"/>
      <c r="BJ780" s="235"/>
      <c r="BK780" s="235"/>
      <c r="BL780" s="235"/>
      <c r="BM780" s="235"/>
      <c r="BN780" s="235"/>
      <c r="BO780" s="235"/>
    </row>
    <row r="781" ht="29.25" hidden="1" customHeight="1">
      <c r="A781" s="230"/>
      <c r="B781" s="231"/>
      <c r="C781" s="179"/>
      <c r="D781" s="179"/>
      <c r="E781" s="180"/>
      <c r="F781" s="162"/>
      <c r="G781" s="232"/>
      <c r="H781" s="234"/>
      <c r="I781" s="181"/>
      <c r="J781" s="182"/>
      <c r="K781" s="182"/>
      <c r="L781" s="182"/>
      <c r="M781" s="234"/>
      <c r="N781" s="28"/>
      <c r="O781" s="181"/>
      <c r="P781" s="183"/>
      <c r="Q781" s="104"/>
      <c r="R781" s="233"/>
      <c r="S781" s="164"/>
      <c r="T781" s="164"/>
      <c r="U781" s="162"/>
      <c r="V781" s="235"/>
      <c r="W781" s="235"/>
      <c r="X781" s="235"/>
      <c r="Y781" s="235"/>
      <c r="Z781" s="235"/>
      <c r="AA781" s="235"/>
      <c r="AB781" s="235"/>
      <c r="AC781" s="235"/>
      <c r="AD781" s="235"/>
      <c r="AE781" s="235"/>
      <c r="AF781" s="235"/>
      <c r="AG781" s="235"/>
      <c r="AH781" s="235"/>
      <c r="AI781" s="235"/>
      <c r="AJ781" s="235"/>
      <c r="AK781" s="235"/>
      <c r="AL781" s="235"/>
      <c r="AM781" s="235"/>
      <c r="AN781" s="235"/>
      <c r="AO781" s="235"/>
      <c r="AP781" s="235"/>
      <c r="AQ781" s="235"/>
      <c r="AR781" s="235"/>
      <c r="AS781" s="235"/>
      <c r="AT781" s="235"/>
      <c r="AU781" s="235"/>
      <c r="AV781" s="235"/>
      <c r="AW781" s="235"/>
      <c r="AX781" s="235"/>
      <c r="AY781" s="235"/>
      <c r="AZ781" s="235"/>
      <c r="BA781" s="235"/>
      <c r="BB781" s="235"/>
      <c r="BC781" s="235"/>
      <c r="BD781" s="235"/>
      <c r="BE781" s="235"/>
      <c r="BF781" s="235"/>
      <c r="BG781" s="235"/>
      <c r="BH781" s="235"/>
      <c r="BI781" s="235"/>
      <c r="BJ781" s="235"/>
      <c r="BK781" s="235"/>
      <c r="BL781" s="235"/>
      <c r="BM781" s="235"/>
      <c r="BN781" s="235"/>
      <c r="BO781" s="235"/>
    </row>
    <row r="782" ht="29.25" hidden="1" customHeight="1">
      <c r="A782" s="230"/>
      <c r="B782" s="231"/>
      <c r="C782" s="179"/>
      <c r="D782" s="179"/>
      <c r="E782" s="180"/>
      <c r="F782" s="162"/>
      <c r="G782" s="232"/>
      <c r="H782" s="234"/>
      <c r="I782" s="181"/>
      <c r="J782" s="182"/>
      <c r="K782" s="182"/>
      <c r="L782" s="182"/>
      <c r="M782" s="234"/>
      <c r="N782" s="28"/>
      <c r="O782" s="181"/>
      <c r="P782" s="183"/>
      <c r="Q782" s="104"/>
      <c r="R782" s="233"/>
      <c r="S782" s="164"/>
      <c r="T782" s="164"/>
      <c r="U782" s="162"/>
      <c r="V782" s="235"/>
      <c r="W782" s="235"/>
      <c r="X782" s="235"/>
      <c r="Y782" s="235"/>
      <c r="Z782" s="235"/>
      <c r="AA782" s="235"/>
      <c r="AB782" s="235"/>
      <c r="AC782" s="235"/>
      <c r="AD782" s="235"/>
      <c r="AE782" s="235"/>
      <c r="AF782" s="235"/>
      <c r="AG782" s="235"/>
      <c r="AH782" s="235"/>
      <c r="AI782" s="235"/>
      <c r="AJ782" s="235"/>
      <c r="AK782" s="235"/>
      <c r="AL782" s="235"/>
      <c r="AM782" s="235"/>
      <c r="AN782" s="235"/>
      <c r="AO782" s="235"/>
      <c r="AP782" s="235"/>
      <c r="AQ782" s="235"/>
      <c r="AR782" s="235"/>
      <c r="AS782" s="235"/>
      <c r="AT782" s="235"/>
      <c r="AU782" s="235"/>
      <c r="AV782" s="235"/>
      <c r="AW782" s="235"/>
      <c r="AX782" s="235"/>
      <c r="AY782" s="235"/>
      <c r="AZ782" s="235"/>
      <c r="BA782" s="235"/>
      <c r="BB782" s="235"/>
      <c r="BC782" s="235"/>
      <c r="BD782" s="235"/>
      <c r="BE782" s="235"/>
      <c r="BF782" s="235"/>
      <c r="BG782" s="235"/>
      <c r="BH782" s="235"/>
      <c r="BI782" s="235"/>
      <c r="BJ782" s="235"/>
      <c r="BK782" s="235"/>
      <c r="BL782" s="235"/>
      <c r="BM782" s="235"/>
      <c r="BN782" s="235"/>
      <c r="BO782" s="235"/>
    </row>
    <row r="783" ht="29.25" hidden="1" customHeight="1">
      <c r="A783" s="230"/>
      <c r="B783" s="231"/>
      <c r="C783" s="179"/>
      <c r="D783" s="179"/>
      <c r="E783" s="180"/>
      <c r="F783" s="162"/>
      <c r="G783" s="232"/>
      <c r="H783" s="234"/>
      <c r="I783" s="181"/>
      <c r="J783" s="182"/>
      <c r="K783" s="182"/>
      <c r="L783" s="182"/>
      <c r="M783" s="234"/>
      <c r="N783" s="28"/>
      <c r="O783" s="181"/>
      <c r="P783" s="183"/>
      <c r="Q783" s="104"/>
      <c r="R783" s="233"/>
      <c r="S783" s="164"/>
      <c r="T783" s="164"/>
      <c r="U783" s="162"/>
      <c r="V783" s="235"/>
      <c r="W783" s="235"/>
      <c r="X783" s="235"/>
      <c r="Y783" s="235"/>
      <c r="Z783" s="235"/>
      <c r="AA783" s="235"/>
      <c r="AB783" s="235"/>
      <c r="AC783" s="235"/>
      <c r="AD783" s="235"/>
      <c r="AE783" s="235"/>
      <c r="AF783" s="235"/>
      <c r="AG783" s="235"/>
      <c r="AH783" s="235"/>
      <c r="AI783" s="235"/>
      <c r="AJ783" s="235"/>
      <c r="AK783" s="235"/>
      <c r="AL783" s="235"/>
      <c r="AM783" s="235"/>
      <c r="AN783" s="235"/>
      <c r="AO783" s="235"/>
      <c r="AP783" s="235"/>
      <c r="AQ783" s="235"/>
      <c r="AR783" s="235"/>
      <c r="AS783" s="235"/>
      <c r="AT783" s="235"/>
      <c r="AU783" s="235"/>
      <c r="AV783" s="235"/>
      <c r="AW783" s="235"/>
      <c r="AX783" s="235"/>
      <c r="AY783" s="235"/>
      <c r="AZ783" s="235"/>
      <c r="BA783" s="235"/>
      <c r="BB783" s="235"/>
      <c r="BC783" s="235"/>
      <c r="BD783" s="235"/>
      <c r="BE783" s="235"/>
      <c r="BF783" s="235"/>
      <c r="BG783" s="235"/>
      <c r="BH783" s="235"/>
      <c r="BI783" s="235"/>
      <c r="BJ783" s="235"/>
      <c r="BK783" s="235"/>
      <c r="BL783" s="235"/>
      <c r="BM783" s="235"/>
      <c r="BN783" s="235"/>
      <c r="BO783" s="235"/>
    </row>
    <row r="784" ht="29.25" hidden="1" customHeight="1">
      <c r="A784" s="230"/>
      <c r="B784" s="231"/>
      <c r="C784" s="179"/>
      <c r="D784" s="179"/>
      <c r="E784" s="180"/>
      <c r="F784" s="162"/>
      <c r="G784" s="232"/>
      <c r="H784" s="234"/>
      <c r="I784" s="181"/>
      <c r="J784" s="182"/>
      <c r="K784" s="182"/>
      <c r="L784" s="182"/>
      <c r="M784" s="234"/>
      <c r="N784" s="28"/>
      <c r="O784" s="181"/>
      <c r="P784" s="183"/>
      <c r="Q784" s="104"/>
      <c r="R784" s="233"/>
      <c r="S784" s="164"/>
      <c r="T784" s="164"/>
      <c r="U784" s="162"/>
      <c r="V784" s="235"/>
      <c r="W784" s="235"/>
      <c r="X784" s="235"/>
      <c r="Y784" s="235"/>
      <c r="Z784" s="235"/>
      <c r="AA784" s="235"/>
      <c r="AB784" s="235"/>
      <c r="AC784" s="235"/>
      <c r="AD784" s="235"/>
      <c r="AE784" s="235"/>
      <c r="AF784" s="235"/>
      <c r="AG784" s="235"/>
      <c r="AH784" s="235"/>
      <c r="AI784" s="235"/>
      <c r="AJ784" s="235"/>
      <c r="AK784" s="235"/>
      <c r="AL784" s="235"/>
      <c r="AM784" s="235"/>
      <c r="AN784" s="235"/>
      <c r="AO784" s="235"/>
      <c r="AP784" s="235"/>
      <c r="AQ784" s="235"/>
      <c r="AR784" s="235"/>
      <c r="AS784" s="235"/>
      <c r="AT784" s="235"/>
      <c r="AU784" s="235"/>
      <c r="AV784" s="235"/>
      <c r="AW784" s="235"/>
      <c r="AX784" s="235"/>
      <c r="AY784" s="235"/>
      <c r="AZ784" s="235"/>
      <c r="BA784" s="235"/>
      <c r="BB784" s="235"/>
      <c r="BC784" s="235"/>
      <c r="BD784" s="235"/>
      <c r="BE784" s="235"/>
      <c r="BF784" s="235"/>
      <c r="BG784" s="235"/>
      <c r="BH784" s="235"/>
      <c r="BI784" s="235"/>
      <c r="BJ784" s="235"/>
      <c r="BK784" s="235"/>
      <c r="BL784" s="235"/>
      <c r="BM784" s="235"/>
      <c r="BN784" s="235"/>
      <c r="BO784" s="235"/>
    </row>
    <row r="785" ht="29.25" hidden="1" customHeight="1">
      <c r="A785" s="230"/>
      <c r="B785" s="231"/>
      <c r="C785" s="179"/>
      <c r="D785" s="179"/>
      <c r="E785" s="180"/>
      <c r="F785" s="162"/>
      <c r="G785" s="232"/>
      <c r="H785" s="234"/>
      <c r="I785" s="181"/>
      <c r="J785" s="182"/>
      <c r="K785" s="182"/>
      <c r="L785" s="182"/>
      <c r="M785" s="234"/>
      <c r="N785" s="28"/>
      <c r="O785" s="181"/>
      <c r="P785" s="183"/>
      <c r="Q785" s="104"/>
      <c r="R785" s="233"/>
      <c r="S785" s="164"/>
      <c r="T785" s="164"/>
      <c r="U785" s="162"/>
      <c r="V785" s="235"/>
      <c r="W785" s="235"/>
      <c r="X785" s="235"/>
      <c r="Y785" s="235"/>
      <c r="Z785" s="235"/>
      <c r="AA785" s="235"/>
      <c r="AB785" s="235"/>
      <c r="AC785" s="235"/>
      <c r="AD785" s="235"/>
      <c r="AE785" s="235"/>
      <c r="AF785" s="235"/>
      <c r="AG785" s="235"/>
      <c r="AH785" s="235"/>
      <c r="AI785" s="235"/>
      <c r="AJ785" s="235"/>
      <c r="AK785" s="235"/>
      <c r="AL785" s="235"/>
      <c r="AM785" s="235"/>
      <c r="AN785" s="235"/>
      <c r="AO785" s="235"/>
      <c r="AP785" s="235"/>
      <c r="AQ785" s="235"/>
      <c r="AR785" s="235"/>
      <c r="AS785" s="235"/>
      <c r="AT785" s="235"/>
      <c r="AU785" s="235"/>
      <c r="AV785" s="235"/>
      <c r="AW785" s="235"/>
      <c r="AX785" s="235"/>
      <c r="AY785" s="235"/>
      <c r="AZ785" s="235"/>
      <c r="BA785" s="235"/>
      <c r="BB785" s="235"/>
      <c r="BC785" s="235"/>
      <c r="BD785" s="235"/>
      <c r="BE785" s="235"/>
      <c r="BF785" s="235"/>
      <c r="BG785" s="235"/>
      <c r="BH785" s="235"/>
      <c r="BI785" s="235"/>
      <c r="BJ785" s="235"/>
      <c r="BK785" s="235"/>
      <c r="BL785" s="235"/>
      <c r="BM785" s="235"/>
      <c r="BN785" s="235"/>
      <c r="BO785" s="235"/>
    </row>
    <row r="786" ht="29.25" hidden="1" customHeight="1">
      <c r="A786" s="230"/>
      <c r="B786" s="231"/>
      <c r="C786" s="179"/>
      <c r="D786" s="179"/>
      <c r="E786" s="180"/>
      <c r="F786" s="162"/>
      <c r="G786" s="232"/>
      <c r="H786" s="234"/>
      <c r="I786" s="181"/>
      <c r="J786" s="182"/>
      <c r="K786" s="182"/>
      <c r="L786" s="182"/>
      <c r="M786" s="234"/>
      <c r="N786" s="28"/>
      <c r="O786" s="181"/>
      <c r="P786" s="183"/>
      <c r="Q786" s="104"/>
      <c r="R786" s="233"/>
      <c r="S786" s="164"/>
      <c r="T786" s="164"/>
      <c r="U786" s="162"/>
      <c r="V786" s="235"/>
      <c r="W786" s="235"/>
      <c r="X786" s="235"/>
      <c r="Y786" s="235"/>
      <c r="Z786" s="235"/>
      <c r="AA786" s="235"/>
      <c r="AB786" s="235"/>
      <c r="AC786" s="235"/>
      <c r="AD786" s="235"/>
      <c r="AE786" s="235"/>
      <c r="AF786" s="235"/>
      <c r="AG786" s="235"/>
      <c r="AH786" s="235"/>
      <c r="AI786" s="235"/>
      <c r="AJ786" s="235"/>
      <c r="AK786" s="235"/>
      <c r="AL786" s="235"/>
      <c r="AM786" s="235"/>
      <c r="AN786" s="235"/>
      <c r="AO786" s="235"/>
      <c r="AP786" s="235"/>
      <c r="AQ786" s="235"/>
      <c r="AR786" s="235"/>
      <c r="AS786" s="235"/>
      <c r="AT786" s="235"/>
      <c r="AU786" s="235"/>
      <c r="AV786" s="235"/>
      <c r="AW786" s="235"/>
      <c r="AX786" s="235"/>
      <c r="AY786" s="235"/>
      <c r="AZ786" s="235"/>
      <c r="BA786" s="235"/>
      <c r="BB786" s="235"/>
      <c r="BC786" s="235"/>
      <c r="BD786" s="235"/>
      <c r="BE786" s="235"/>
      <c r="BF786" s="235"/>
      <c r="BG786" s="235"/>
      <c r="BH786" s="235"/>
      <c r="BI786" s="235"/>
      <c r="BJ786" s="235"/>
      <c r="BK786" s="235"/>
      <c r="BL786" s="235"/>
      <c r="BM786" s="235"/>
      <c r="BN786" s="235"/>
      <c r="BO786" s="235"/>
    </row>
    <row r="787" ht="29.25" hidden="1" customHeight="1">
      <c r="A787" s="230"/>
      <c r="B787" s="231"/>
      <c r="C787" s="179"/>
      <c r="D787" s="179"/>
      <c r="E787" s="180"/>
      <c r="F787" s="162"/>
      <c r="G787" s="232"/>
      <c r="H787" s="234"/>
      <c r="I787" s="181"/>
      <c r="J787" s="182"/>
      <c r="K787" s="182"/>
      <c r="L787" s="182"/>
      <c r="M787" s="234"/>
      <c r="N787" s="28"/>
      <c r="O787" s="181"/>
      <c r="P787" s="183"/>
      <c r="Q787" s="104"/>
      <c r="R787" s="233"/>
      <c r="S787" s="164"/>
      <c r="T787" s="164"/>
      <c r="U787" s="162"/>
      <c r="V787" s="235"/>
      <c r="W787" s="235"/>
      <c r="X787" s="235"/>
      <c r="Y787" s="235"/>
      <c r="Z787" s="235"/>
      <c r="AA787" s="235"/>
      <c r="AB787" s="235"/>
      <c r="AC787" s="235"/>
      <c r="AD787" s="235"/>
      <c r="AE787" s="235"/>
      <c r="AF787" s="235"/>
      <c r="AG787" s="235"/>
      <c r="AH787" s="235"/>
      <c r="AI787" s="235"/>
      <c r="AJ787" s="235"/>
      <c r="AK787" s="235"/>
      <c r="AL787" s="235"/>
      <c r="AM787" s="235"/>
      <c r="AN787" s="235"/>
      <c r="AO787" s="235"/>
      <c r="AP787" s="235"/>
      <c r="AQ787" s="235"/>
      <c r="AR787" s="235"/>
      <c r="AS787" s="235"/>
      <c r="AT787" s="235"/>
      <c r="AU787" s="235"/>
      <c r="AV787" s="235"/>
      <c r="AW787" s="235"/>
      <c r="AX787" s="235"/>
      <c r="AY787" s="235"/>
      <c r="AZ787" s="235"/>
      <c r="BA787" s="235"/>
      <c r="BB787" s="235"/>
      <c r="BC787" s="235"/>
      <c r="BD787" s="235"/>
      <c r="BE787" s="235"/>
      <c r="BF787" s="235"/>
      <c r="BG787" s="235"/>
      <c r="BH787" s="235"/>
      <c r="BI787" s="235"/>
      <c r="BJ787" s="235"/>
      <c r="BK787" s="235"/>
      <c r="BL787" s="235"/>
      <c r="BM787" s="235"/>
      <c r="BN787" s="235"/>
      <c r="BO787" s="235"/>
    </row>
    <row r="788" ht="29.25" hidden="1" customHeight="1">
      <c r="A788" s="230"/>
      <c r="B788" s="231"/>
      <c r="C788" s="179"/>
      <c r="D788" s="179"/>
      <c r="E788" s="180"/>
      <c r="F788" s="162"/>
      <c r="G788" s="232"/>
      <c r="H788" s="234"/>
      <c r="I788" s="181"/>
      <c r="J788" s="182"/>
      <c r="K788" s="182"/>
      <c r="L788" s="182"/>
      <c r="M788" s="234"/>
      <c r="N788" s="28"/>
      <c r="O788" s="181"/>
      <c r="P788" s="183"/>
      <c r="Q788" s="104"/>
      <c r="R788" s="233"/>
      <c r="S788" s="164"/>
      <c r="T788" s="164"/>
      <c r="U788" s="162"/>
      <c r="V788" s="235"/>
      <c r="W788" s="235"/>
      <c r="X788" s="235"/>
      <c r="Y788" s="235"/>
      <c r="Z788" s="235"/>
      <c r="AA788" s="235"/>
      <c r="AB788" s="235"/>
      <c r="AC788" s="235"/>
      <c r="AD788" s="235"/>
      <c r="AE788" s="235"/>
      <c r="AF788" s="235"/>
      <c r="AG788" s="235"/>
      <c r="AH788" s="235"/>
      <c r="AI788" s="235"/>
      <c r="AJ788" s="235"/>
      <c r="AK788" s="235"/>
      <c r="AL788" s="235"/>
      <c r="AM788" s="235"/>
      <c r="AN788" s="235"/>
      <c r="AO788" s="235"/>
      <c r="AP788" s="235"/>
      <c r="AQ788" s="235"/>
      <c r="AR788" s="235"/>
      <c r="AS788" s="235"/>
      <c r="AT788" s="235"/>
      <c r="AU788" s="235"/>
      <c r="AV788" s="235"/>
      <c r="AW788" s="235"/>
      <c r="AX788" s="235"/>
      <c r="AY788" s="235"/>
      <c r="AZ788" s="235"/>
      <c r="BA788" s="235"/>
      <c r="BB788" s="235"/>
      <c r="BC788" s="235"/>
      <c r="BD788" s="235"/>
      <c r="BE788" s="235"/>
      <c r="BF788" s="235"/>
      <c r="BG788" s="235"/>
      <c r="BH788" s="235"/>
      <c r="BI788" s="235"/>
      <c r="BJ788" s="235"/>
      <c r="BK788" s="235"/>
      <c r="BL788" s="235"/>
      <c r="BM788" s="235"/>
      <c r="BN788" s="235"/>
      <c r="BO788" s="235"/>
    </row>
    <row r="789" ht="29.25" hidden="1" customHeight="1">
      <c r="A789" s="230"/>
      <c r="B789" s="231"/>
      <c r="C789" s="179"/>
      <c r="D789" s="179"/>
      <c r="E789" s="180"/>
      <c r="F789" s="162"/>
      <c r="G789" s="232"/>
      <c r="H789" s="234"/>
      <c r="I789" s="181"/>
      <c r="J789" s="182"/>
      <c r="K789" s="182"/>
      <c r="L789" s="182"/>
      <c r="M789" s="234"/>
      <c r="N789" s="28"/>
      <c r="O789" s="181"/>
      <c r="P789" s="183"/>
      <c r="Q789" s="104"/>
      <c r="R789" s="233"/>
      <c r="S789" s="164"/>
      <c r="T789" s="164"/>
      <c r="U789" s="162"/>
      <c r="V789" s="235"/>
      <c r="W789" s="235"/>
      <c r="X789" s="235"/>
      <c r="Y789" s="235"/>
      <c r="Z789" s="235"/>
      <c r="AA789" s="235"/>
      <c r="AB789" s="235"/>
      <c r="AC789" s="235"/>
      <c r="AD789" s="235"/>
      <c r="AE789" s="235"/>
      <c r="AF789" s="235"/>
      <c r="AG789" s="235"/>
      <c r="AH789" s="235"/>
      <c r="AI789" s="235"/>
      <c r="AJ789" s="235"/>
      <c r="AK789" s="235"/>
      <c r="AL789" s="235"/>
      <c r="AM789" s="235"/>
      <c r="AN789" s="235"/>
      <c r="AO789" s="235"/>
      <c r="AP789" s="235"/>
      <c r="AQ789" s="235"/>
      <c r="AR789" s="235"/>
      <c r="AS789" s="235"/>
      <c r="AT789" s="235"/>
      <c r="AU789" s="235"/>
      <c r="AV789" s="235"/>
      <c r="AW789" s="235"/>
      <c r="AX789" s="235"/>
      <c r="AY789" s="235"/>
      <c r="AZ789" s="235"/>
      <c r="BA789" s="235"/>
      <c r="BB789" s="235"/>
      <c r="BC789" s="235"/>
      <c r="BD789" s="235"/>
      <c r="BE789" s="235"/>
      <c r="BF789" s="235"/>
      <c r="BG789" s="235"/>
      <c r="BH789" s="235"/>
      <c r="BI789" s="235"/>
      <c r="BJ789" s="235"/>
      <c r="BK789" s="235"/>
      <c r="BL789" s="235"/>
      <c r="BM789" s="235"/>
      <c r="BN789" s="235"/>
      <c r="BO789" s="235"/>
    </row>
    <row r="790" ht="29.25" hidden="1" customHeight="1">
      <c r="A790" s="230"/>
      <c r="B790" s="231"/>
      <c r="C790" s="179"/>
      <c r="D790" s="179"/>
      <c r="E790" s="180"/>
      <c r="F790" s="162"/>
      <c r="G790" s="232"/>
      <c r="H790" s="234"/>
      <c r="I790" s="181"/>
      <c r="J790" s="182"/>
      <c r="K790" s="182"/>
      <c r="L790" s="182"/>
      <c r="M790" s="234"/>
      <c r="N790" s="28"/>
      <c r="O790" s="181"/>
      <c r="P790" s="183"/>
      <c r="Q790" s="104"/>
      <c r="R790" s="233"/>
      <c r="S790" s="164"/>
      <c r="T790" s="164"/>
      <c r="U790" s="162"/>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5"/>
      <c r="AX790" s="235"/>
      <c r="AY790" s="235"/>
      <c r="AZ790" s="235"/>
      <c r="BA790" s="235"/>
      <c r="BB790" s="235"/>
      <c r="BC790" s="235"/>
      <c r="BD790" s="235"/>
      <c r="BE790" s="235"/>
      <c r="BF790" s="235"/>
      <c r="BG790" s="235"/>
      <c r="BH790" s="235"/>
      <c r="BI790" s="235"/>
      <c r="BJ790" s="235"/>
      <c r="BK790" s="235"/>
      <c r="BL790" s="235"/>
      <c r="BM790" s="235"/>
      <c r="BN790" s="235"/>
      <c r="BO790" s="235"/>
    </row>
    <row r="791" ht="29.25" hidden="1" customHeight="1">
      <c r="A791" s="230"/>
      <c r="B791" s="231"/>
      <c r="C791" s="179"/>
      <c r="D791" s="179"/>
      <c r="E791" s="180"/>
      <c r="F791" s="162"/>
      <c r="G791" s="232"/>
      <c r="H791" s="234"/>
      <c r="I791" s="181"/>
      <c r="J791" s="182"/>
      <c r="K791" s="182"/>
      <c r="L791" s="182"/>
      <c r="M791" s="234"/>
      <c r="N791" s="28"/>
      <c r="O791" s="181"/>
      <c r="P791" s="183"/>
      <c r="Q791" s="104"/>
      <c r="R791" s="233"/>
      <c r="S791" s="164"/>
      <c r="T791" s="164"/>
      <c r="U791" s="162"/>
      <c r="V791" s="235"/>
      <c r="W791" s="235"/>
      <c r="X791" s="235"/>
      <c r="Y791" s="235"/>
      <c r="Z791" s="235"/>
      <c r="AA791" s="235"/>
      <c r="AB791" s="235"/>
      <c r="AC791" s="235"/>
      <c r="AD791" s="235"/>
      <c r="AE791" s="235"/>
      <c r="AF791" s="235"/>
      <c r="AG791" s="235"/>
      <c r="AH791" s="235"/>
      <c r="AI791" s="235"/>
      <c r="AJ791" s="235"/>
      <c r="AK791" s="235"/>
      <c r="AL791" s="235"/>
      <c r="AM791" s="235"/>
      <c r="AN791" s="235"/>
      <c r="AO791" s="235"/>
      <c r="AP791" s="235"/>
      <c r="AQ791" s="235"/>
      <c r="AR791" s="235"/>
      <c r="AS791" s="235"/>
      <c r="AT791" s="235"/>
      <c r="AU791" s="235"/>
      <c r="AV791" s="235"/>
      <c r="AW791" s="235"/>
      <c r="AX791" s="235"/>
      <c r="AY791" s="235"/>
      <c r="AZ791" s="235"/>
      <c r="BA791" s="235"/>
      <c r="BB791" s="235"/>
      <c r="BC791" s="235"/>
      <c r="BD791" s="235"/>
      <c r="BE791" s="235"/>
      <c r="BF791" s="235"/>
      <c r="BG791" s="235"/>
      <c r="BH791" s="235"/>
      <c r="BI791" s="235"/>
      <c r="BJ791" s="235"/>
      <c r="BK791" s="235"/>
      <c r="BL791" s="235"/>
      <c r="BM791" s="235"/>
      <c r="BN791" s="235"/>
      <c r="BO791" s="235"/>
    </row>
    <row r="792" ht="29.25" hidden="1" customHeight="1">
      <c r="A792" s="230"/>
      <c r="B792" s="231"/>
      <c r="C792" s="179"/>
      <c r="D792" s="179"/>
      <c r="E792" s="180"/>
      <c r="F792" s="162"/>
      <c r="G792" s="232"/>
      <c r="H792" s="234"/>
      <c r="I792" s="181"/>
      <c r="J792" s="182"/>
      <c r="K792" s="182"/>
      <c r="L792" s="182"/>
      <c r="M792" s="234"/>
      <c r="N792" s="28"/>
      <c r="O792" s="181"/>
      <c r="P792" s="183"/>
      <c r="Q792" s="104"/>
      <c r="R792" s="233"/>
      <c r="S792" s="164"/>
      <c r="T792" s="164"/>
      <c r="U792" s="162"/>
      <c r="V792" s="235"/>
      <c r="W792" s="235"/>
      <c r="X792" s="235"/>
      <c r="Y792" s="235"/>
      <c r="Z792" s="235"/>
      <c r="AA792" s="235"/>
      <c r="AB792" s="235"/>
      <c r="AC792" s="235"/>
      <c r="AD792" s="235"/>
      <c r="AE792" s="235"/>
      <c r="AF792" s="235"/>
      <c r="AG792" s="235"/>
      <c r="AH792" s="235"/>
      <c r="AI792" s="235"/>
      <c r="AJ792" s="235"/>
      <c r="AK792" s="235"/>
      <c r="AL792" s="235"/>
      <c r="AM792" s="235"/>
      <c r="AN792" s="235"/>
      <c r="AO792" s="235"/>
      <c r="AP792" s="235"/>
      <c r="AQ792" s="235"/>
      <c r="AR792" s="235"/>
      <c r="AS792" s="235"/>
      <c r="AT792" s="235"/>
      <c r="AU792" s="235"/>
      <c r="AV792" s="235"/>
      <c r="AW792" s="235"/>
      <c r="AX792" s="235"/>
      <c r="AY792" s="235"/>
      <c r="AZ792" s="235"/>
      <c r="BA792" s="235"/>
      <c r="BB792" s="235"/>
      <c r="BC792" s="235"/>
      <c r="BD792" s="235"/>
      <c r="BE792" s="235"/>
      <c r="BF792" s="235"/>
      <c r="BG792" s="235"/>
      <c r="BH792" s="235"/>
      <c r="BI792" s="235"/>
      <c r="BJ792" s="235"/>
      <c r="BK792" s="235"/>
      <c r="BL792" s="235"/>
      <c r="BM792" s="235"/>
      <c r="BN792" s="235"/>
      <c r="BO792" s="235"/>
    </row>
    <row r="793" ht="29.25" hidden="1" customHeight="1">
      <c r="A793" s="230"/>
      <c r="B793" s="231"/>
      <c r="C793" s="179"/>
      <c r="D793" s="179"/>
      <c r="E793" s="180"/>
      <c r="F793" s="162"/>
      <c r="G793" s="232"/>
      <c r="H793" s="234"/>
      <c r="I793" s="181"/>
      <c r="J793" s="182"/>
      <c r="K793" s="182"/>
      <c r="L793" s="182"/>
      <c r="M793" s="234"/>
      <c r="N793" s="28"/>
      <c r="O793" s="181"/>
      <c r="P793" s="183"/>
      <c r="Q793" s="104"/>
      <c r="R793" s="233"/>
      <c r="S793" s="164"/>
      <c r="T793" s="164"/>
      <c r="U793" s="162"/>
      <c r="V793" s="235"/>
      <c r="W793" s="235"/>
      <c r="X793" s="235"/>
      <c r="Y793" s="235"/>
      <c r="Z793" s="235"/>
      <c r="AA793" s="235"/>
      <c r="AB793" s="235"/>
      <c r="AC793" s="235"/>
      <c r="AD793" s="235"/>
      <c r="AE793" s="235"/>
      <c r="AF793" s="235"/>
      <c r="AG793" s="235"/>
      <c r="AH793" s="235"/>
      <c r="AI793" s="235"/>
      <c r="AJ793" s="235"/>
      <c r="AK793" s="235"/>
      <c r="AL793" s="235"/>
      <c r="AM793" s="235"/>
      <c r="AN793" s="235"/>
      <c r="AO793" s="235"/>
      <c r="AP793" s="235"/>
      <c r="AQ793" s="235"/>
      <c r="AR793" s="235"/>
      <c r="AS793" s="235"/>
      <c r="AT793" s="235"/>
      <c r="AU793" s="235"/>
      <c r="AV793" s="235"/>
      <c r="AW793" s="235"/>
      <c r="AX793" s="235"/>
      <c r="AY793" s="235"/>
      <c r="AZ793" s="235"/>
      <c r="BA793" s="235"/>
      <c r="BB793" s="235"/>
      <c r="BC793" s="235"/>
      <c r="BD793" s="235"/>
      <c r="BE793" s="235"/>
      <c r="BF793" s="235"/>
      <c r="BG793" s="235"/>
      <c r="BH793" s="235"/>
      <c r="BI793" s="235"/>
      <c r="BJ793" s="235"/>
      <c r="BK793" s="235"/>
      <c r="BL793" s="235"/>
      <c r="BM793" s="235"/>
      <c r="BN793" s="235"/>
      <c r="BO793" s="235"/>
    </row>
    <row r="794" ht="29.25" hidden="1" customHeight="1">
      <c r="A794" s="230"/>
      <c r="B794" s="231"/>
      <c r="C794" s="179"/>
      <c r="D794" s="179"/>
      <c r="E794" s="180"/>
      <c r="F794" s="162"/>
      <c r="G794" s="232"/>
      <c r="H794" s="234"/>
      <c r="I794" s="181"/>
      <c r="J794" s="182"/>
      <c r="K794" s="182"/>
      <c r="L794" s="182"/>
      <c r="M794" s="234"/>
      <c r="N794" s="28"/>
      <c r="O794" s="181"/>
      <c r="P794" s="183"/>
      <c r="Q794" s="104"/>
      <c r="R794" s="233"/>
      <c r="S794" s="164"/>
      <c r="T794" s="164"/>
      <c r="U794" s="162"/>
      <c r="V794" s="235"/>
      <c r="W794" s="235"/>
      <c r="X794" s="235"/>
      <c r="Y794" s="235"/>
      <c r="Z794" s="235"/>
      <c r="AA794" s="235"/>
      <c r="AB794" s="235"/>
      <c r="AC794" s="235"/>
      <c r="AD794" s="235"/>
      <c r="AE794" s="235"/>
      <c r="AF794" s="235"/>
      <c r="AG794" s="235"/>
      <c r="AH794" s="235"/>
      <c r="AI794" s="235"/>
      <c r="AJ794" s="235"/>
      <c r="AK794" s="235"/>
      <c r="AL794" s="235"/>
      <c r="AM794" s="235"/>
      <c r="AN794" s="235"/>
      <c r="AO794" s="235"/>
      <c r="AP794" s="235"/>
      <c r="AQ794" s="235"/>
      <c r="AR794" s="235"/>
      <c r="AS794" s="235"/>
      <c r="AT794" s="235"/>
      <c r="AU794" s="235"/>
      <c r="AV794" s="235"/>
      <c r="AW794" s="235"/>
      <c r="AX794" s="235"/>
      <c r="AY794" s="235"/>
      <c r="AZ794" s="235"/>
      <c r="BA794" s="235"/>
      <c r="BB794" s="235"/>
      <c r="BC794" s="235"/>
      <c r="BD794" s="235"/>
      <c r="BE794" s="235"/>
      <c r="BF794" s="235"/>
      <c r="BG794" s="235"/>
      <c r="BH794" s="235"/>
      <c r="BI794" s="235"/>
      <c r="BJ794" s="235"/>
      <c r="BK794" s="235"/>
      <c r="BL794" s="235"/>
      <c r="BM794" s="235"/>
      <c r="BN794" s="235"/>
      <c r="BO794" s="235"/>
    </row>
    <row r="795" ht="29.25" hidden="1" customHeight="1">
      <c r="A795" s="230"/>
      <c r="B795" s="231"/>
      <c r="C795" s="179"/>
      <c r="D795" s="179"/>
      <c r="E795" s="180"/>
      <c r="F795" s="162"/>
      <c r="G795" s="232"/>
      <c r="H795" s="234"/>
      <c r="I795" s="181"/>
      <c r="J795" s="182"/>
      <c r="K795" s="182"/>
      <c r="L795" s="182"/>
      <c r="M795" s="234"/>
      <c r="N795" s="28"/>
      <c r="O795" s="181"/>
      <c r="P795" s="183"/>
      <c r="Q795" s="104"/>
      <c r="R795" s="233"/>
      <c r="S795" s="164"/>
      <c r="T795" s="164"/>
      <c r="U795" s="162"/>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c r="AW795" s="235"/>
      <c r="AX795" s="235"/>
      <c r="AY795" s="235"/>
      <c r="AZ795" s="235"/>
      <c r="BA795" s="235"/>
      <c r="BB795" s="235"/>
      <c r="BC795" s="235"/>
      <c r="BD795" s="235"/>
      <c r="BE795" s="235"/>
      <c r="BF795" s="235"/>
      <c r="BG795" s="235"/>
      <c r="BH795" s="235"/>
      <c r="BI795" s="235"/>
      <c r="BJ795" s="235"/>
      <c r="BK795" s="235"/>
      <c r="BL795" s="235"/>
      <c r="BM795" s="235"/>
      <c r="BN795" s="235"/>
      <c r="BO795" s="235"/>
    </row>
    <row r="796" ht="29.25" hidden="1" customHeight="1">
      <c r="A796" s="230"/>
      <c r="B796" s="231"/>
      <c r="C796" s="179"/>
      <c r="D796" s="179"/>
      <c r="E796" s="180"/>
      <c r="F796" s="162"/>
      <c r="G796" s="232"/>
      <c r="H796" s="234"/>
      <c r="I796" s="181"/>
      <c r="J796" s="182"/>
      <c r="K796" s="182"/>
      <c r="L796" s="182"/>
      <c r="M796" s="234"/>
      <c r="N796" s="28"/>
      <c r="O796" s="181"/>
      <c r="P796" s="183"/>
      <c r="Q796" s="104"/>
      <c r="R796" s="233"/>
      <c r="S796" s="164"/>
      <c r="T796" s="164"/>
      <c r="U796" s="162"/>
      <c r="V796" s="235"/>
      <c r="W796" s="235"/>
      <c r="X796" s="235"/>
      <c r="Y796" s="235"/>
      <c r="Z796" s="235"/>
      <c r="AA796" s="235"/>
      <c r="AB796" s="235"/>
      <c r="AC796" s="235"/>
      <c r="AD796" s="235"/>
      <c r="AE796" s="235"/>
      <c r="AF796" s="235"/>
      <c r="AG796" s="235"/>
      <c r="AH796" s="235"/>
      <c r="AI796" s="235"/>
      <c r="AJ796" s="235"/>
      <c r="AK796" s="235"/>
      <c r="AL796" s="235"/>
      <c r="AM796" s="235"/>
      <c r="AN796" s="235"/>
      <c r="AO796" s="235"/>
      <c r="AP796" s="235"/>
      <c r="AQ796" s="235"/>
      <c r="AR796" s="235"/>
      <c r="AS796" s="235"/>
      <c r="AT796" s="235"/>
      <c r="AU796" s="235"/>
      <c r="AV796" s="235"/>
      <c r="AW796" s="235"/>
      <c r="AX796" s="235"/>
      <c r="AY796" s="235"/>
      <c r="AZ796" s="235"/>
      <c r="BA796" s="235"/>
      <c r="BB796" s="235"/>
      <c r="BC796" s="235"/>
      <c r="BD796" s="235"/>
      <c r="BE796" s="235"/>
      <c r="BF796" s="235"/>
      <c r="BG796" s="235"/>
      <c r="BH796" s="235"/>
      <c r="BI796" s="235"/>
      <c r="BJ796" s="235"/>
      <c r="BK796" s="235"/>
      <c r="BL796" s="235"/>
      <c r="BM796" s="235"/>
      <c r="BN796" s="235"/>
      <c r="BO796" s="235"/>
    </row>
    <row r="797" ht="29.25" hidden="1" customHeight="1">
      <c r="A797" s="230"/>
      <c r="B797" s="231"/>
      <c r="C797" s="179"/>
      <c r="D797" s="179"/>
      <c r="E797" s="180"/>
      <c r="F797" s="162"/>
      <c r="G797" s="232"/>
      <c r="H797" s="234"/>
      <c r="I797" s="181"/>
      <c r="J797" s="182"/>
      <c r="K797" s="182"/>
      <c r="L797" s="182"/>
      <c r="M797" s="234"/>
      <c r="N797" s="28"/>
      <c r="O797" s="181"/>
      <c r="P797" s="183"/>
      <c r="Q797" s="104"/>
      <c r="R797" s="233"/>
      <c r="S797" s="164"/>
      <c r="T797" s="164"/>
      <c r="U797" s="162"/>
      <c r="V797" s="235"/>
      <c r="W797" s="235"/>
      <c r="X797" s="235"/>
      <c r="Y797" s="235"/>
      <c r="Z797" s="235"/>
      <c r="AA797" s="235"/>
      <c r="AB797" s="235"/>
      <c r="AC797" s="235"/>
      <c r="AD797" s="235"/>
      <c r="AE797" s="235"/>
      <c r="AF797" s="235"/>
      <c r="AG797" s="235"/>
      <c r="AH797" s="235"/>
      <c r="AI797" s="235"/>
      <c r="AJ797" s="235"/>
      <c r="AK797" s="235"/>
      <c r="AL797" s="235"/>
      <c r="AM797" s="235"/>
      <c r="AN797" s="235"/>
      <c r="AO797" s="235"/>
      <c r="AP797" s="235"/>
      <c r="AQ797" s="235"/>
      <c r="AR797" s="235"/>
      <c r="AS797" s="235"/>
      <c r="AT797" s="235"/>
      <c r="AU797" s="235"/>
      <c r="AV797" s="235"/>
      <c r="AW797" s="235"/>
      <c r="AX797" s="235"/>
      <c r="AY797" s="235"/>
      <c r="AZ797" s="235"/>
      <c r="BA797" s="235"/>
      <c r="BB797" s="235"/>
      <c r="BC797" s="235"/>
      <c r="BD797" s="235"/>
      <c r="BE797" s="235"/>
      <c r="BF797" s="235"/>
      <c r="BG797" s="235"/>
      <c r="BH797" s="235"/>
      <c r="BI797" s="235"/>
      <c r="BJ797" s="235"/>
      <c r="BK797" s="235"/>
      <c r="BL797" s="235"/>
      <c r="BM797" s="235"/>
      <c r="BN797" s="235"/>
      <c r="BO797" s="235"/>
    </row>
    <row r="798" ht="29.25" hidden="1" customHeight="1">
      <c r="A798" s="230"/>
      <c r="B798" s="231"/>
      <c r="C798" s="179"/>
      <c r="D798" s="179"/>
      <c r="E798" s="180"/>
      <c r="F798" s="162"/>
      <c r="G798" s="232"/>
      <c r="H798" s="234"/>
      <c r="I798" s="181"/>
      <c r="J798" s="182"/>
      <c r="K798" s="182"/>
      <c r="L798" s="182"/>
      <c r="M798" s="234"/>
      <c r="N798" s="28"/>
      <c r="O798" s="181"/>
      <c r="P798" s="183"/>
      <c r="Q798" s="104"/>
      <c r="R798" s="233"/>
      <c r="S798" s="164"/>
      <c r="T798" s="164"/>
      <c r="U798" s="162"/>
      <c r="V798" s="235"/>
      <c r="W798" s="235"/>
      <c r="X798" s="235"/>
      <c r="Y798" s="235"/>
      <c r="Z798" s="235"/>
      <c r="AA798" s="235"/>
      <c r="AB798" s="235"/>
      <c r="AC798" s="235"/>
      <c r="AD798" s="235"/>
      <c r="AE798" s="235"/>
      <c r="AF798" s="235"/>
      <c r="AG798" s="235"/>
      <c r="AH798" s="235"/>
      <c r="AI798" s="235"/>
      <c r="AJ798" s="235"/>
      <c r="AK798" s="235"/>
      <c r="AL798" s="235"/>
      <c r="AM798" s="235"/>
      <c r="AN798" s="235"/>
      <c r="AO798" s="235"/>
      <c r="AP798" s="235"/>
      <c r="AQ798" s="235"/>
      <c r="AR798" s="235"/>
      <c r="AS798" s="235"/>
      <c r="AT798" s="235"/>
      <c r="AU798" s="235"/>
      <c r="AV798" s="235"/>
      <c r="AW798" s="235"/>
      <c r="AX798" s="235"/>
      <c r="AY798" s="235"/>
      <c r="AZ798" s="235"/>
      <c r="BA798" s="235"/>
      <c r="BB798" s="235"/>
      <c r="BC798" s="235"/>
      <c r="BD798" s="235"/>
      <c r="BE798" s="235"/>
      <c r="BF798" s="235"/>
      <c r="BG798" s="235"/>
      <c r="BH798" s="235"/>
      <c r="BI798" s="235"/>
      <c r="BJ798" s="235"/>
      <c r="BK798" s="235"/>
      <c r="BL798" s="235"/>
      <c r="BM798" s="235"/>
      <c r="BN798" s="235"/>
      <c r="BO798" s="235"/>
    </row>
    <row r="799" ht="29.25" hidden="1" customHeight="1">
      <c r="A799" s="230"/>
      <c r="B799" s="231"/>
      <c r="C799" s="179"/>
      <c r="D799" s="179"/>
      <c r="E799" s="180"/>
      <c r="F799" s="162"/>
      <c r="G799" s="232"/>
      <c r="H799" s="234"/>
      <c r="I799" s="181"/>
      <c r="J799" s="182"/>
      <c r="K799" s="182"/>
      <c r="L799" s="182"/>
      <c r="M799" s="234"/>
      <c r="N799" s="28"/>
      <c r="O799" s="181"/>
      <c r="P799" s="183"/>
      <c r="Q799" s="104"/>
      <c r="R799" s="233"/>
      <c r="S799" s="164"/>
      <c r="T799" s="164"/>
      <c r="U799" s="162"/>
      <c r="V799" s="235"/>
      <c r="W799" s="235"/>
      <c r="X799" s="235"/>
      <c r="Y799" s="235"/>
      <c r="Z799" s="235"/>
      <c r="AA799" s="235"/>
      <c r="AB799" s="235"/>
      <c r="AC799" s="235"/>
      <c r="AD799" s="235"/>
      <c r="AE799" s="235"/>
      <c r="AF799" s="235"/>
      <c r="AG799" s="235"/>
      <c r="AH799" s="235"/>
      <c r="AI799" s="235"/>
      <c r="AJ799" s="235"/>
      <c r="AK799" s="235"/>
      <c r="AL799" s="235"/>
      <c r="AM799" s="235"/>
      <c r="AN799" s="235"/>
      <c r="AO799" s="235"/>
      <c r="AP799" s="235"/>
      <c r="AQ799" s="235"/>
      <c r="AR799" s="235"/>
      <c r="AS799" s="235"/>
      <c r="AT799" s="235"/>
      <c r="AU799" s="235"/>
      <c r="AV799" s="235"/>
      <c r="AW799" s="235"/>
      <c r="AX799" s="235"/>
      <c r="AY799" s="235"/>
      <c r="AZ799" s="235"/>
      <c r="BA799" s="235"/>
      <c r="BB799" s="235"/>
      <c r="BC799" s="235"/>
      <c r="BD799" s="235"/>
      <c r="BE799" s="235"/>
      <c r="BF799" s="235"/>
      <c r="BG799" s="235"/>
      <c r="BH799" s="235"/>
      <c r="BI799" s="235"/>
      <c r="BJ799" s="235"/>
      <c r="BK799" s="235"/>
      <c r="BL799" s="235"/>
      <c r="BM799" s="235"/>
      <c r="BN799" s="235"/>
      <c r="BO799" s="235"/>
    </row>
    <row r="800" ht="29.25" hidden="1" customHeight="1">
      <c r="A800" s="230"/>
      <c r="B800" s="231"/>
      <c r="C800" s="179"/>
      <c r="D800" s="179"/>
      <c r="E800" s="180"/>
      <c r="F800" s="162"/>
      <c r="G800" s="232"/>
      <c r="H800" s="234"/>
      <c r="I800" s="181"/>
      <c r="J800" s="182"/>
      <c r="K800" s="182"/>
      <c r="L800" s="182"/>
      <c r="M800" s="234"/>
      <c r="N800" s="28"/>
      <c r="O800" s="181"/>
      <c r="P800" s="183"/>
      <c r="Q800" s="104"/>
      <c r="R800" s="233"/>
      <c r="S800" s="164"/>
      <c r="T800" s="164"/>
      <c r="U800" s="162"/>
      <c r="V800" s="235"/>
      <c r="W800" s="235"/>
      <c r="X800" s="235"/>
      <c r="Y800" s="235"/>
      <c r="Z800" s="235"/>
      <c r="AA800" s="235"/>
      <c r="AB800" s="235"/>
      <c r="AC800" s="235"/>
      <c r="AD800" s="235"/>
      <c r="AE800" s="235"/>
      <c r="AF800" s="235"/>
      <c r="AG800" s="235"/>
      <c r="AH800" s="235"/>
      <c r="AI800" s="235"/>
      <c r="AJ800" s="235"/>
      <c r="AK800" s="235"/>
      <c r="AL800" s="235"/>
      <c r="AM800" s="235"/>
      <c r="AN800" s="235"/>
      <c r="AO800" s="235"/>
      <c r="AP800" s="235"/>
      <c r="AQ800" s="235"/>
      <c r="AR800" s="235"/>
      <c r="AS800" s="235"/>
      <c r="AT800" s="235"/>
      <c r="AU800" s="235"/>
      <c r="AV800" s="235"/>
      <c r="AW800" s="235"/>
      <c r="AX800" s="235"/>
      <c r="AY800" s="235"/>
      <c r="AZ800" s="235"/>
      <c r="BA800" s="235"/>
      <c r="BB800" s="235"/>
      <c r="BC800" s="235"/>
      <c r="BD800" s="235"/>
      <c r="BE800" s="235"/>
      <c r="BF800" s="235"/>
      <c r="BG800" s="235"/>
      <c r="BH800" s="235"/>
      <c r="BI800" s="235"/>
      <c r="BJ800" s="235"/>
      <c r="BK800" s="235"/>
      <c r="BL800" s="235"/>
      <c r="BM800" s="235"/>
      <c r="BN800" s="235"/>
      <c r="BO800" s="235"/>
    </row>
    <row r="801" ht="29.25" hidden="1" customHeight="1">
      <c r="A801" s="230"/>
      <c r="B801" s="231"/>
      <c r="C801" s="179"/>
      <c r="D801" s="179"/>
      <c r="E801" s="180"/>
      <c r="F801" s="162"/>
      <c r="G801" s="232"/>
      <c r="H801" s="234"/>
      <c r="I801" s="181"/>
      <c r="J801" s="182"/>
      <c r="K801" s="182"/>
      <c r="L801" s="182"/>
      <c r="M801" s="234"/>
      <c r="N801" s="28"/>
      <c r="O801" s="181"/>
      <c r="P801" s="183"/>
      <c r="Q801" s="104"/>
      <c r="R801" s="233"/>
      <c r="S801" s="164"/>
      <c r="T801" s="164"/>
      <c r="U801" s="162"/>
      <c r="V801" s="235"/>
      <c r="W801" s="235"/>
      <c r="X801" s="235"/>
      <c r="Y801" s="235"/>
      <c r="Z801" s="235"/>
      <c r="AA801" s="235"/>
      <c r="AB801" s="235"/>
      <c r="AC801" s="235"/>
      <c r="AD801" s="235"/>
      <c r="AE801" s="235"/>
      <c r="AF801" s="235"/>
      <c r="AG801" s="235"/>
      <c r="AH801" s="235"/>
      <c r="AI801" s="235"/>
      <c r="AJ801" s="235"/>
      <c r="AK801" s="235"/>
      <c r="AL801" s="235"/>
      <c r="AM801" s="235"/>
      <c r="AN801" s="235"/>
      <c r="AO801" s="235"/>
      <c r="AP801" s="235"/>
      <c r="AQ801" s="235"/>
      <c r="AR801" s="235"/>
      <c r="AS801" s="235"/>
      <c r="AT801" s="235"/>
      <c r="AU801" s="235"/>
      <c r="AV801" s="235"/>
      <c r="AW801" s="235"/>
      <c r="AX801" s="235"/>
      <c r="AY801" s="235"/>
      <c r="AZ801" s="235"/>
      <c r="BA801" s="235"/>
      <c r="BB801" s="235"/>
      <c r="BC801" s="235"/>
      <c r="BD801" s="235"/>
      <c r="BE801" s="235"/>
      <c r="BF801" s="235"/>
      <c r="BG801" s="235"/>
      <c r="BH801" s="235"/>
      <c r="BI801" s="235"/>
      <c r="BJ801" s="235"/>
      <c r="BK801" s="235"/>
      <c r="BL801" s="235"/>
      <c r="BM801" s="235"/>
      <c r="BN801" s="235"/>
      <c r="BO801" s="235"/>
    </row>
    <row r="802" ht="29.25" hidden="1" customHeight="1">
      <c r="A802" s="230"/>
      <c r="B802" s="231"/>
      <c r="C802" s="179"/>
      <c r="D802" s="179"/>
      <c r="E802" s="180"/>
      <c r="F802" s="162"/>
      <c r="G802" s="232"/>
      <c r="H802" s="234"/>
      <c r="I802" s="181"/>
      <c r="J802" s="182"/>
      <c r="K802" s="182"/>
      <c r="L802" s="182"/>
      <c r="M802" s="234"/>
      <c r="N802" s="28"/>
      <c r="O802" s="181"/>
      <c r="P802" s="183"/>
      <c r="Q802" s="104"/>
      <c r="R802" s="233"/>
      <c r="S802" s="164"/>
      <c r="T802" s="164"/>
      <c r="U802" s="162"/>
      <c r="V802" s="235"/>
      <c r="W802" s="235"/>
      <c r="X802" s="235"/>
      <c r="Y802" s="235"/>
      <c r="Z802" s="235"/>
      <c r="AA802" s="235"/>
      <c r="AB802" s="235"/>
      <c r="AC802" s="235"/>
      <c r="AD802" s="235"/>
      <c r="AE802" s="235"/>
      <c r="AF802" s="235"/>
      <c r="AG802" s="235"/>
      <c r="AH802" s="235"/>
      <c r="AI802" s="235"/>
      <c r="AJ802" s="235"/>
      <c r="AK802" s="235"/>
      <c r="AL802" s="235"/>
      <c r="AM802" s="235"/>
      <c r="AN802" s="235"/>
      <c r="AO802" s="235"/>
      <c r="AP802" s="235"/>
      <c r="AQ802" s="235"/>
      <c r="AR802" s="235"/>
      <c r="AS802" s="235"/>
      <c r="AT802" s="235"/>
      <c r="AU802" s="235"/>
      <c r="AV802" s="235"/>
      <c r="AW802" s="235"/>
      <c r="AX802" s="235"/>
      <c r="AY802" s="235"/>
      <c r="AZ802" s="235"/>
      <c r="BA802" s="235"/>
      <c r="BB802" s="235"/>
      <c r="BC802" s="235"/>
      <c r="BD802" s="235"/>
      <c r="BE802" s="235"/>
      <c r="BF802" s="235"/>
      <c r="BG802" s="235"/>
      <c r="BH802" s="235"/>
      <c r="BI802" s="235"/>
      <c r="BJ802" s="235"/>
      <c r="BK802" s="235"/>
      <c r="BL802" s="235"/>
      <c r="BM802" s="235"/>
      <c r="BN802" s="235"/>
      <c r="BO802" s="235"/>
    </row>
    <row r="803" ht="29.25" hidden="1" customHeight="1">
      <c r="A803" s="230"/>
      <c r="B803" s="231"/>
      <c r="C803" s="179"/>
      <c r="D803" s="179"/>
      <c r="E803" s="180"/>
      <c r="F803" s="162"/>
      <c r="G803" s="232"/>
      <c r="H803" s="234"/>
      <c r="I803" s="181"/>
      <c r="J803" s="182"/>
      <c r="K803" s="182"/>
      <c r="L803" s="182"/>
      <c r="M803" s="234"/>
      <c r="N803" s="28"/>
      <c r="O803" s="181"/>
      <c r="P803" s="183"/>
      <c r="Q803" s="104"/>
      <c r="R803" s="233"/>
      <c r="S803" s="164"/>
      <c r="T803" s="164"/>
      <c r="U803" s="162"/>
      <c r="V803" s="235"/>
      <c r="W803" s="235"/>
      <c r="X803" s="235"/>
      <c r="Y803" s="235"/>
      <c r="Z803" s="235"/>
      <c r="AA803" s="235"/>
      <c r="AB803" s="235"/>
      <c r="AC803" s="235"/>
      <c r="AD803" s="235"/>
      <c r="AE803" s="235"/>
      <c r="AF803" s="235"/>
      <c r="AG803" s="235"/>
      <c r="AH803" s="235"/>
      <c r="AI803" s="235"/>
      <c r="AJ803" s="235"/>
      <c r="AK803" s="235"/>
      <c r="AL803" s="235"/>
      <c r="AM803" s="235"/>
      <c r="AN803" s="235"/>
      <c r="AO803" s="235"/>
      <c r="AP803" s="235"/>
      <c r="AQ803" s="235"/>
      <c r="AR803" s="235"/>
      <c r="AS803" s="235"/>
      <c r="AT803" s="235"/>
      <c r="AU803" s="235"/>
      <c r="AV803" s="235"/>
      <c r="AW803" s="235"/>
      <c r="AX803" s="235"/>
      <c r="AY803" s="235"/>
      <c r="AZ803" s="235"/>
      <c r="BA803" s="235"/>
      <c r="BB803" s="235"/>
      <c r="BC803" s="235"/>
      <c r="BD803" s="235"/>
      <c r="BE803" s="235"/>
      <c r="BF803" s="235"/>
      <c r="BG803" s="235"/>
      <c r="BH803" s="235"/>
      <c r="BI803" s="235"/>
      <c r="BJ803" s="235"/>
      <c r="BK803" s="235"/>
      <c r="BL803" s="235"/>
      <c r="BM803" s="235"/>
      <c r="BN803" s="235"/>
      <c r="BO803" s="235"/>
    </row>
    <row r="804" ht="29.25" hidden="1" customHeight="1">
      <c r="A804" s="230"/>
      <c r="B804" s="231"/>
      <c r="C804" s="179"/>
      <c r="D804" s="179"/>
      <c r="E804" s="180"/>
      <c r="F804" s="162"/>
      <c r="G804" s="232"/>
      <c r="H804" s="234"/>
      <c r="I804" s="181"/>
      <c r="J804" s="182"/>
      <c r="K804" s="182"/>
      <c r="L804" s="182"/>
      <c r="M804" s="234"/>
      <c r="N804" s="28"/>
      <c r="O804" s="181"/>
      <c r="P804" s="183"/>
      <c r="Q804" s="104"/>
      <c r="R804" s="233"/>
      <c r="S804" s="164"/>
      <c r="T804" s="164"/>
      <c r="U804" s="162"/>
      <c r="V804" s="235"/>
      <c r="W804" s="235"/>
      <c r="X804" s="235"/>
      <c r="Y804" s="235"/>
      <c r="Z804" s="235"/>
      <c r="AA804" s="235"/>
      <c r="AB804" s="235"/>
      <c r="AC804" s="235"/>
      <c r="AD804" s="235"/>
      <c r="AE804" s="235"/>
      <c r="AF804" s="235"/>
      <c r="AG804" s="235"/>
      <c r="AH804" s="235"/>
      <c r="AI804" s="235"/>
      <c r="AJ804" s="235"/>
      <c r="AK804" s="235"/>
      <c r="AL804" s="235"/>
      <c r="AM804" s="235"/>
      <c r="AN804" s="235"/>
      <c r="AO804" s="235"/>
      <c r="AP804" s="235"/>
      <c r="AQ804" s="235"/>
      <c r="AR804" s="235"/>
      <c r="AS804" s="235"/>
      <c r="AT804" s="235"/>
      <c r="AU804" s="235"/>
      <c r="AV804" s="235"/>
      <c r="AW804" s="235"/>
      <c r="AX804" s="235"/>
      <c r="AY804" s="235"/>
      <c r="AZ804" s="235"/>
      <c r="BA804" s="235"/>
      <c r="BB804" s="235"/>
      <c r="BC804" s="235"/>
      <c r="BD804" s="235"/>
      <c r="BE804" s="235"/>
      <c r="BF804" s="235"/>
      <c r="BG804" s="235"/>
      <c r="BH804" s="235"/>
      <c r="BI804" s="235"/>
      <c r="BJ804" s="235"/>
      <c r="BK804" s="235"/>
      <c r="BL804" s="235"/>
      <c r="BM804" s="235"/>
      <c r="BN804" s="235"/>
      <c r="BO804" s="235"/>
    </row>
    <row r="805" ht="29.25" hidden="1" customHeight="1">
      <c r="A805" s="230"/>
      <c r="B805" s="231"/>
      <c r="C805" s="179"/>
      <c r="D805" s="179"/>
      <c r="E805" s="180"/>
      <c r="F805" s="162"/>
      <c r="G805" s="232"/>
      <c r="H805" s="234"/>
      <c r="I805" s="181"/>
      <c r="J805" s="182"/>
      <c r="K805" s="182"/>
      <c r="L805" s="182"/>
      <c r="M805" s="234"/>
      <c r="N805" s="28"/>
      <c r="O805" s="181"/>
      <c r="P805" s="183"/>
      <c r="Q805" s="104"/>
      <c r="R805" s="233"/>
      <c r="S805" s="164"/>
      <c r="T805" s="164"/>
      <c r="U805" s="162"/>
      <c r="V805" s="235"/>
      <c r="W805" s="235"/>
      <c r="X805" s="235"/>
      <c r="Y805" s="235"/>
      <c r="Z805" s="235"/>
      <c r="AA805" s="235"/>
      <c r="AB805" s="235"/>
      <c r="AC805" s="235"/>
      <c r="AD805" s="235"/>
      <c r="AE805" s="235"/>
      <c r="AF805" s="235"/>
      <c r="AG805" s="235"/>
      <c r="AH805" s="235"/>
      <c r="AI805" s="235"/>
      <c r="AJ805" s="235"/>
      <c r="AK805" s="235"/>
      <c r="AL805" s="235"/>
      <c r="AM805" s="235"/>
      <c r="AN805" s="235"/>
      <c r="AO805" s="235"/>
      <c r="AP805" s="235"/>
      <c r="AQ805" s="235"/>
      <c r="AR805" s="235"/>
      <c r="AS805" s="235"/>
      <c r="AT805" s="235"/>
      <c r="AU805" s="235"/>
      <c r="AV805" s="235"/>
      <c r="AW805" s="235"/>
      <c r="AX805" s="235"/>
      <c r="AY805" s="235"/>
      <c r="AZ805" s="235"/>
      <c r="BA805" s="235"/>
      <c r="BB805" s="235"/>
      <c r="BC805" s="235"/>
      <c r="BD805" s="235"/>
      <c r="BE805" s="235"/>
      <c r="BF805" s="235"/>
      <c r="BG805" s="235"/>
      <c r="BH805" s="235"/>
      <c r="BI805" s="235"/>
      <c r="BJ805" s="235"/>
      <c r="BK805" s="235"/>
      <c r="BL805" s="235"/>
      <c r="BM805" s="235"/>
      <c r="BN805" s="235"/>
      <c r="BO805" s="235"/>
    </row>
    <row r="806" ht="29.25" hidden="1" customHeight="1">
      <c r="A806" s="230"/>
      <c r="B806" s="231"/>
      <c r="C806" s="179"/>
      <c r="D806" s="179"/>
      <c r="E806" s="180"/>
      <c r="F806" s="162"/>
      <c r="G806" s="232"/>
      <c r="H806" s="234"/>
      <c r="I806" s="181"/>
      <c r="J806" s="182"/>
      <c r="K806" s="182"/>
      <c r="L806" s="182"/>
      <c r="M806" s="234"/>
      <c r="N806" s="28"/>
      <c r="O806" s="181"/>
      <c r="P806" s="183"/>
      <c r="Q806" s="104"/>
      <c r="R806" s="233"/>
      <c r="S806" s="164"/>
      <c r="T806" s="164"/>
      <c r="U806" s="162"/>
      <c r="V806" s="235"/>
      <c r="W806" s="235"/>
      <c r="X806" s="235"/>
      <c r="Y806" s="235"/>
      <c r="Z806" s="235"/>
      <c r="AA806" s="235"/>
      <c r="AB806" s="235"/>
      <c r="AC806" s="235"/>
      <c r="AD806" s="235"/>
      <c r="AE806" s="235"/>
      <c r="AF806" s="235"/>
      <c r="AG806" s="235"/>
      <c r="AH806" s="235"/>
      <c r="AI806" s="235"/>
      <c r="AJ806" s="235"/>
      <c r="AK806" s="235"/>
      <c r="AL806" s="235"/>
      <c r="AM806" s="235"/>
      <c r="AN806" s="235"/>
      <c r="AO806" s="235"/>
      <c r="AP806" s="235"/>
      <c r="AQ806" s="235"/>
      <c r="AR806" s="235"/>
      <c r="AS806" s="235"/>
      <c r="AT806" s="235"/>
      <c r="AU806" s="235"/>
      <c r="AV806" s="235"/>
      <c r="AW806" s="235"/>
      <c r="AX806" s="235"/>
      <c r="AY806" s="235"/>
      <c r="AZ806" s="235"/>
      <c r="BA806" s="235"/>
      <c r="BB806" s="235"/>
      <c r="BC806" s="235"/>
      <c r="BD806" s="235"/>
      <c r="BE806" s="235"/>
      <c r="BF806" s="235"/>
      <c r="BG806" s="235"/>
      <c r="BH806" s="235"/>
      <c r="BI806" s="235"/>
      <c r="BJ806" s="235"/>
      <c r="BK806" s="235"/>
      <c r="BL806" s="235"/>
      <c r="BM806" s="235"/>
      <c r="BN806" s="235"/>
      <c r="BO806" s="235"/>
    </row>
    <row r="807" ht="29.25" hidden="1" customHeight="1">
      <c r="A807" s="230"/>
      <c r="B807" s="231"/>
      <c r="C807" s="179"/>
      <c r="D807" s="179"/>
      <c r="E807" s="180"/>
      <c r="F807" s="162"/>
      <c r="G807" s="232"/>
      <c r="H807" s="234"/>
      <c r="I807" s="181"/>
      <c r="J807" s="182"/>
      <c r="K807" s="182"/>
      <c r="L807" s="182"/>
      <c r="M807" s="234"/>
      <c r="N807" s="28"/>
      <c r="O807" s="181"/>
      <c r="P807" s="183"/>
      <c r="Q807" s="104"/>
      <c r="R807" s="233"/>
      <c r="S807" s="164"/>
      <c r="T807" s="164"/>
      <c r="U807" s="162"/>
      <c r="V807" s="235"/>
      <c r="W807" s="235"/>
      <c r="X807" s="235"/>
      <c r="Y807" s="235"/>
      <c r="Z807" s="235"/>
      <c r="AA807" s="235"/>
      <c r="AB807" s="235"/>
      <c r="AC807" s="235"/>
      <c r="AD807" s="235"/>
      <c r="AE807" s="235"/>
      <c r="AF807" s="235"/>
      <c r="AG807" s="235"/>
      <c r="AH807" s="235"/>
      <c r="AI807" s="235"/>
      <c r="AJ807" s="235"/>
      <c r="AK807" s="235"/>
      <c r="AL807" s="235"/>
      <c r="AM807" s="235"/>
      <c r="AN807" s="235"/>
      <c r="AO807" s="235"/>
      <c r="AP807" s="235"/>
      <c r="AQ807" s="235"/>
      <c r="AR807" s="235"/>
      <c r="AS807" s="235"/>
      <c r="AT807" s="235"/>
      <c r="AU807" s="235"/>
      <c r="AV807" s="235"/>
      <c r="AW807" s="235"/>
      <c r="AX807" s="235"/>
      <c r="AY807" s="235"/>
      <c r="AZ807" s="235"/>
      <c r="BA807" s="235"/>
      <c r="BB807" s="235"/>
      <c r="BC807" s="235"/>
      <c r="BD807" s="235"/>
      <c r="BE807" s="235"/>
      <c r="BF807" s="235"/>
      <c r="BG807" s="235"/>
      <c r="BH807" s="235"/>
      <c r="BI807" s="235"/>
      <c r="BJ807" s="235"/>
      <c r="BK807" s="235"/>
      <c r="BL807" s="235"/>
      <c r="BM807" s="235"/>
      <c r="BN807" s="235"/>
      <c r="BO807" s="235"/>
    </row>
    <row r="808" ht="29.25" hidden="1" customHeight="1">
      <c r="A808" s="230"/>
      <c r="B808" s="231"/>
      <c r="C808" s="179"/>
      <c r="D808" s="179"/>
      <c r="E808" s="180"/>
      <c r="F808" s="162"/>
      <c r="G808" s="232"/>
      <c r="H808" s="234"/>
      <c r="I808" s="181"/>
      <c r="J808" s="182"/>
      <c r="K808" s="182"/>
      <c r="L808" s="182"/>
      <c r="M808" s="234"/>
      <c r="N808" s="28"/>
      <c r="O808" s="181"/>
      <c r="P808" s="183"/>
      <c r="Q808" s="104"/>
      <c r="R808" s="233"/>
      <c r="S808" s="164"/>
      <c r="T808" s="164"/>
      <c r="U808" s="162"/>
      <c r="V808" s="235"/>
      <c r="W808" s="235"/>
      <c r="X808" s="235"/>
      <c r="Y808" s="235"/>
      <c r="Z808" s="235"/>
      <c r="AA808" s="235"/>
      <c r="AB808" s="235"/>
      <c r="AC808" s="235"/>
      <c r="AD808" s="235"/>
      <c r="AE808" s="235"/>
      <c r="AF808" s="235"/>
      <c r="AG808" s="235"/>
      <c r="AH808" s="235"/>
      <c r="AI808" s="235"/>
      <c r="AJ808" s="235"/>
      <c r="AK808" s="235"/>
      <c r="AL808" s="235"/>
      <c r="AM808" s="235"/>
      <c r="AN808" s="235"/>
      <c r="AO808" s="235"/>
      <c r="AP808" s="235"/>
      <c r="AQ808" s="235"/>
      <c r="AR808" s="235"/>
      <c r="AS808" s="235"/>
      <c r="AT808" s="235"/>
      <c r="AU808" s="235"/>
      <c r="AV808" s="235"/>
      <c r="AW808" s="235"/>
      <c r="AX808" s="235"/>
      <c r="AY808" s="235"/>
      <c r="AZ808" s="235"/>
      <c r="BA808" s="235"/>
      <c r="BB808" s="235"/>
      <c r="BC808" s="235"/>
      <c r="BD808" s="235"/>
      <c r="BE808" s="235"/>
      <c r="BF808" s="235"/>
      <c r="BG808" s="235"/>
      <c r="BH808" s="235"/>
      <c r="BI808" s="235"/>
      <c r="BJ808" s="235"/>
      <c r="BK808" s="235"/>
      <c r="BL808" s="235"/>
      <c r="BM808" s="235"/>
      <c r="BN808" s="235"/>
      <c r="BO808" s="235"/>
    </row>
    <row r="809" ht="29.25" hidden="1" customHeight="1">
      <c r="A809" s="230"/>
      <c r="B809" s="231"/>
      <c r="C809" s="179"/>
      <c r="D809" s="179"/>
      <c r="E809" s="180"/>
      <c r="F809" s="162"/>
      <c r="G809" s="232"/>
      <c r="H809" s="234"/>
      <c r="I809" s="181"/>
      <c r="J809" s="182"/>
      <c r="K809" s="182"/>
      <c r="L809" s="182"/>
      <c r="M809" s="234"/>
      <c r="N809" s="28"/>
      <c r="O809" s="181"/>
      <c r="P809" s="183"/>
      <c r="Q809" s="104"/>
      <c r="R809" s="233"/>
      <c r="S809" s="164"/>
      <c r="T809" s="164"/>
      <c r="U809" s="162"/>
      <c r="V809" s="235"/>
      <c r="W809" s="235"/>
      <c r="X809" s="235"/>
      <c r="Y809" s="235"/>
      <c r="Z809" s="235"/>
      <c r="AA809" s="235"/>
      <c r="AB809" s="235"/>
      <c r="AC809" s="235"/>
      <c r="AD809" s="235"/>
      <c r="AE809" s="235"/>
      <c r="AF809" s="235"/>
      <c r="AG809" s="235"/>
      <c r="AH809" s="235"/>
      <c r="AI809" s="235"/>
      <c r="AJ809" s="235"/>
      <c r="AK809" s="235"/>
      <c r="AL809" s="235"/>
      <c r="AM809" s="235"/>
      <c r="AN809" s="235"/>
      <c r="AO809" s="235"/>
      <c r="AP809" s="235"/>
      <c r="AQ809" s="235"/>
      <c r="AR809" s="235"/>
      <c r="AS809" s="235"/>
      <c r="AT809" s="235"/>
      <c r="AU809" s="235"/>
      <c r="AV809" s="235"/>
      <c r="AW809" s="235"/>
      <c r="AX809" s="235"/>
      <c r="AY809" s="235"/>
      <c r="AZ809" s="235"/>
      <c r="BA809" s="235"/>
      <c r="BB809" s="235"/>
      <c r="BC809" s="235"/>
      <c r="BD809" s="235"/>
      <c r="BE809" s="235"/>
      <c r="BF809" s="235"/>
      <c r="BG809" s="235"/>
      <c r="BH809" s="235"/>
      <c r="BI809" s="235"/>
      <c r="BJ809" s="235"/>
      <c r="BK809" s="235"/>
      <c r="BL809" s="235"/>
      <c r="BM809" s="235"/>
      <c r="BN809" s="235"/>
      <c r="BO809" s="235"/>
    </row>
    <row r="810" ht="29.25" hidden="1" customHeight="1">
      <c r="A810" s="230"/>
      <c r="B810" s="231"/>
      <c r="C810" s="179"/>
      <c r="D810" s="179"/>
      <c r="E810" s="180"/>
      <c r="F810" s="162"/>
      <c r="G810" s="232"/>
      <c r="H810" s="234"/>
      <c r="I810" s="181"/>
      <c r="J810" s="182"/>
      <c r="K810" s="182"/>
      <c r="L810" s="182"/>
      <c r="M810" s="234"/>
      <c r="N810" s="28"/>
      <c r="O810" s="181"/>
      <c r="P810" s="183"/>
      <c r="Q810" s="104"/>
      <c r="R810" s="233"/>
      <c r="S810" s="164"/>
      <c r="T810" s="164"/>
      <c r="U810" s="162"/>
      <c r="V810" s="235"/>
      <c r="W810" s="235"/>
      <c r="X810" s="235"/>
      <c r="Y810" s="235"/>
      <c r="Z810" s="235"/>
      <c r="AA810" s="235"/>
      <c r="AB810" s="235"/>
      <c r="AC810" s="235"/>
      <c r="AD810" s="235"/>
      <c r="AE810" s="235"/>
      <c r="AF810" s="235"/>
      <c r="AG810" s="235"/>
      <c r="AH810" s="235"/>
      <c r="AI810" s="235"/>
      <c r="AJ810" s="235"/>
      <c r="AK810" s="235"/>
      <c r="AL810" s="235"/>
      <c r="AM810" s="235"/>
      <c r="AN810" s="235"/>
      <c r="AO810" s="235"/>
      <c r="AP810" s="235"/>
      <c r="AQ810" s="235"/>
      <c r="AR810" s="235"/>
      <c r="AS810" s="235"/>
      <c r="AT810" s="235"/>
      <c r="AU810" s="235"/>
      <c r="AV810" s="235"/>
      <c r="AW810" s="235"/>
      <c r="AX810" s="235"/>
      <c r="AY810" s="235"/>
      <c r="AZ810" s="235"/>
      <c r="BA810" s="235"/>
      <c r="BB810" s="235"/>
      <c r="BC810" s="235"/>
      <c r="BD810" s="235"/>
      <c r="BE810" s="235"/>
      <c r="BF810" s="235"/>
      <c r="BG810" s="235"/>
      <c r="BH810" s="235"/>
      <c r="BI810" s="235"/>
      <c r="BJ810" s="235"/>
      <c r="BK810" s="235"/>
      <c r="BL810" s="235"/>
      <c r="BM810" s="235"/>
      <c r="BN810" s="235"/>
      <c r="BO810" s="235"/>
    </row>
    <row r="811" ht="29.25" hidden="1" customHeight="1">
      <c r="A811" s="230"/>
      <c r="B811" s="231"/>
      <c r="C811" s="179"/>
      <c r="D811" s="179"/>
      <c r="E811" s="180"/>
      <c r="F811" s="162"/>
      <c r="G811" s="232"/>
      <c r="H811" s="234"/>
      <c r="I811" s="181"/>
      <c r="J811" s="182"/>
      <c r="K811" s="182"/>
      <c r="L811" s="182"/>
      <c r="M811" s="234"/>
      <c r="N811" s="28"/>
      <c r="O811" s="181"/>
      <c r="P811" s="183"/>
      <c r="Q811" s="104"/>
      <c r="R811" s="233"/>
      <c r="S811" s="164"/>
      <c r="T811" s="164"/>
      <c r="U811" s="162"/>
      <c r="V811" s="235"/>
      <c r="W811" s="235"/>
      <c r="X811" s="235"/>
      <c r="Y811" s="235"/>
      <c r="Z811" s="235"/>
      <c r="AA811" s="235"/>
      <c r="AB811" s="235"/>
      <c r="AC811" s="235"/>
      <c r="AD811" s="235"/>
      <c r="AE811" s="235"/>
      <c r="AF811" s="235"/>
      <c r="AG811" s="235"/>
      <c r="AH811" s="235"/>
      <c r="AI811" s="235"/>
      <c r="AJ811" s="235"/>
      <c r="AK811" s="235"/>
      <c r="AL811" s="235"/>
      <c r="AM811" s="235"/>
      <c r="AN811" s="235"/>
      <c r="AO811" s="235"/>
      <c r="AP811" s="235"/>
      <c r="AQ811" s="235"/>
      <c r="AR811" s="235"/>
      <c r="AS811" s="235"/>
      <c r="AT811" s="235"/>
      <c r="AU811" s="235"/>
      <c r="AV811" s="235"/>
      <c r="AW811" s="235"/>
      <c r="AX811" s="235"/>
      <c r="AY811" s="235"/>
      <c r="AZ811" s="235"/>
      <c r="BA811" s="235"/>
      <c r="BB811" s="235"/>
      <c r="BC811" s="235"/>
      <c r="BD811" s="235"/>
      <c r="BE811" s="235"/>
      <c r="BF811" s="235"/>
      <c r="BG811" s="235"/>
      <c r="BH811" s="235"/>
      <c r="BI811" s="235"/>
      <c r="BJ811" s="235"/>
      <c r="BK811" s="235"/>
      <c r="BL811" s="235"/>
      <c r="BM811" s="235"/>
      <c r="BN811" s="235"/>
      <c r="BO811" s="235"/>
    </row>
    <row r="812" ht="29.25" hidden="1" customHeight="1">
      <c r="A812" s="230"/>
      <c r="B812" s="231"/>
      <c r="C812" s="179"/>
      <c r="D812" s="179"/>
      <c r="E812" s="180"/>
      <c r="F812" s="162"/>
      <c r="G812" s="232"/>
      <c r="H812" s="234"/>
      <c r="I812" s="181"/>
      <c r="J812" s="182"/>
      <c r="K812" s="182"/>
      <c r="L812" s="182"/>
      <c r="M812" s="234"/>
      <c r="N812" s="28"/>
      <c r="O812" s="181"/>
      <c r="P812" s="183"/>
      <c r="Q812" s="104"/>
      <c r="R812" s="233"/>
      <c r="S812" s="164"/>
      <c r="T812" s="164"/>
      <c r="U812" s="162"/>
      <c r="V812" s="235"/>
      <c r="W812" s="235"/>
      <c r="X812" s="235"/>
      <c r="Y812" s="235"/>
      <c r="Z812" s="235"/>
      <c r="AA812" s="235"/>
      <c r="AB812" s="235"/>
      <c r="AC812" s="235"/>
      <c r="AD812" s="235"/>
      <c r="AE812" s="235"/>
      <c r="AF812" s="235"/>
      <c r="AG812" s="235"/>
      <c r="AH812" s="235"/>
      <c r="AI812" s="235"/>
      <c r="AJ812" s="235"/>
      <c r="AK812" s="235"/>
      <c r="AL812" s="235"/>
      <c r="AM812" s="235"/>
      <c r="AN812" s="235"/>
      <c r="AO812" s="235"/>
      <c r="AP812" s="235"/>
      <c r="AQ812" s="235"/>
      <c r="AR812" s="235"/>
      <c r="AS812" s="235"/>
      <c r="AT812" s="235"/>
      <c r="AU812" s="235"/>
      <c r="AV812" s="235"/>
      <c r="AW812" s="235"/>
      <c r="AX812" s="235"/>
      <c r="AY812" s="235"/>
      <c r="AZ812" s="235"/>
      <c r="BA812" s="235"/>
      <c r="BB812" s="235"/>
      <c r="BC812" s="235"/>
      <c r="BD812" s="235"/>
      <c r="BE812" s="235"/>
      <c r="BF812" s="235"/>
      <c r="BG812" s="235"/>
      <c r="BH812" s="235"/>
      <c r="BI812" s="235"/>
      <c r="BJ812" s="235"/>
      <c r="BK812" s="235"/>
      <c r="BL812" s="235"/>
      <c r="BM812" s="235"/>
      <c r="BN812" s="235"/>
      <c r="BO812" s="235"/>
    </row>
    <row r="813" ht="29.25" hidden="1" customHeight="1">
      <c r="A813" s="230"/>
      <c r="B813" s="231"/>
      <c r="C813" s="179"/>
      <c r="D813" s="179"/>
      <c r="E813" s="180"/>
      <c r="F813" s="162"/>
      <c r="G813" s="232"/>
      <c r="H813" s="234"/>
      <c r="I813" s="181"/>
      <c r="J813" s="182"/>
      <c r="K813" s="182"/>
      <c r="L813" s="182"/>
      <c r="M813" s="234"/>
      <c r="N813" s="28"/>
      <c r="O813" s="181"/>
      <c r="P813" s="183"/>
      <c r="Q813" s="104"/>
      <c r="R813" s="233"/>
      <c r="S813" s="164"/>
      <c r="T813" s="164"/>
      <c r="U813" s="162"/>
      <c r="V813" s="235"/>
      <c r="W813" s="235"/>
      <c r="X813" s="235"/>
      <c r="Y813" s="235"/>
      <c r="Z813" s="235"/>
      <c r="AA813" s="235"/>
      <c r="AB813" s="235"/>
      <c r="AC813" s="235"/>
      <c r="AD813" s="235"/>
      <c r="AE813" s="235"/>
      <c r="AF813" s="235"/>
      <c r="AG813" s="235"/>
      <c r="AH813" s="235"/>
      <c r="AI813" s="235"/>
      <c r="AJ813" s="235"/>
      <c r="AK813" s="235"/>
      <c r="AL813" s="235"/>
      <c r="AM813" s="235"/>
      <c r="AN813" s="235"/>
      <c r="AO813" s="235"/>
      <c r="AP813" s="235"/>
      <c r="AQ813" s="235"/>
      <c r="AR813" s="235"/>
      <c r="AS813" s="235"/>
      <c r="AT813" s="235"/>
      <c r="AU813" s="235"/>
      <c r="AV813" s="235"/>
      <c r="AW813" s="235"/>
      <c r="AX813" s="235"/>
      <c r="AY813" s="235"/>
      <c r="AZ813" s="235"/>
      <c r="BA813" s="235"/>
      <c r="BB813" s="235"/>
      <c r="BC813" s="235"/>
      <c r="BD813" s="235"/>
      <c r="BE813" s="235"/>
      <c r="BF813" s="235"/>
      <c r="BG813" s="235"/>
      <c r="BH813" s="235"/>
      <c r="BI813" s="235"/>
      <c r="BJ813" s="235"/>
      <c r="BK813" s="235"/>
      <c r="BL813" s="235"/>
      <c r="BM813" s="235"/>
      <c r="BN813" s="235"/>
      <c r="BO813" s="235"/>
    </row>
    <row r="814" ht="29.25" hidden="1" customHeight="1">
      <c r="A814" s="230"/>
      <c r="B814" s="231"/>
      <c r="C814" s="179"/>
      <c r="D814" s="179"/>
      <c r="E814" s="180"/>
      <c r="F814" s="162"/>
      <c r="G814" s="232"/>
      <c r="H814" s="234"/>
      <c r="I814" s="181"/>
      <c r="J814" s="182"/>
      <c r="K814" s="182"/>
      <c r="L814" s="182"/>
      <c r="M814" s="234"/>
      <c r="N814" s="28"/>
      <c r="O814" s="181"/>
      <c r="P814" s="183"/>
      <c r="Q814" s="104"/>
      <c r="R814" s="233"/>
      <c r="S814" s="164"/>
      <c r="T814" s="164"/>
      <c r="U814" s="162"/>
      <c r="V814" s="235"/>
      <c r="W814" s="235"/>
      <c r="X814" s="235"/>
      <c r="Y814" s="235"/>
      <c r="Z814" s="235"/>
      <c r="AA814" s="235"/>
      <c r="AB814" s="235"/>
      <c r="AC814" s="235"/>
      <c r="AD814" s="235"/>
      <c r="AE814" s="235"/>
      <c r="AF814" s="235"/>
      <c r="AG814" s="235"/>
      <c r="AH814" s="235"/>
      <c r="AI814" s="235"/>
      <c r="AJ814" s="235"/>
      <c r="AK814" s="235"/>
      <c r="AL814" s="235"/>
      <c r="AM814" s="235"/>
      <c r="AN814" s="235"/>
      <c r="AO814" s="235"/>
      <c r="AP814" s="235"/>
      <c r="AQ814" s="235"/>
      <c r="AR814" s="235"/>
      <c r="AS814" s="235"/>
      <c r="AT814" s="235"/>
      <c r="AU814" s="235"/>
      <c r="AV814" s="235"/>
      <c r="AW814" s="235"/>
      <c r="AX814" s="235"/>
      <c r="AY814" s="235"/>
      <c r="AZ814" s="235"/>
      <c r="BA814" s="235"/>
      <c r="BB814" s="235"/>
      <c r="BC814" s="235"/>
      <c r="BD814" s="235"/>
      <c r="BE814" s="235"/>
      <c r="BF814" s="235"/>
      <c r="BG814" s="235"/>
      <c r="BH814" s="235"/>
      <c r="BI814" s="235"/>
      <c r="BJ814" s="235"/>
      <c r="BK814" s="235"/>
      <c r="BL814" s="235"/>
      <c r="BM814" s="235"/>
      <c r="BN814" s="235"/>
      <c r="BO814" s="235"/>
    </row>
    <row r="815" ht="29.25" hidden="1" customHeight="1">
      <c r="A815" s="230"/>
      <c r="B815" s="231"/>
      <c r="C815" s="179"/>
      <c r="D815" s="179"/>
      <c r="E815" s="180"/>
      <c r="F815" s="162"/>
      <c r="G815" s="232"/>
      <c r="H815" s="234"/>
      <c r="I815" s="181"/>
      <c r="J815" s="182"/>
      <c r="K815" s="182"/>
      <c r="L815" s="182"/>
      <c r="M815" s="234"/>
      <c r="N815" s="28"/>
      <c r="O815" s="181"/>
      <c r="P815" s="183"/>
      <c r="Q815" s="104"/>
      <c r="R815" s="233"/>
      <c r="S815" s="164"/>
      <c r="T815" s="164"/>
      <c r="U815" s="162"/>
      <c r="V815" s="235"/>
      <c r="W815" s="235"/>
      <c r="X815" s="235"/>
      <c r="Y815" s="235"/>
      <c r="Z815" s="235"/>
      <c r="AA815" s="235"/>
      <c r="AB815" s="235"/>
      <c r="AC815" s="235"/>
      <c r="AD815" s="235"/>
      <c r="AE815" s="235"/>
      <c r="AF815" s="235"/>
      <c r="AG815" s="235"/>
      <c r="AH815" s="235"/>
      <c r="AI815" s="235"/>
      <c r="AJ815" s="235"/>
      <c r="AK815" s="235"/>
      <c r="AL815" s="235"/>
      <c r="AM815" s="235"/>
      <c r="AN815" s="235"/>
      <c r="AO815" s="235"/>
      <c r="AP815" s="235"/>
      <c r="AQ815" s="235"/>
      <c r="AR815" s="235"/>
      <c r="AS815" s="235"/>
      <c r="AT815" s="235"/>
      <c r="AU815" s="235"/>
      <c r="AV815" s="235"/>
      <c r="AW815" s="235"/>
      <c r="AX815" s="235"/>
      <c r="AY815" s="235"/>
      <c r="AZ815" s="235"/>
      <c r="BA815" s="235"/>
      <c r="BB815" s="235"/>
      <c r="BC815" s="235"/>
      <c r="BD815" s="235"/>
      <c r="BE815" s="235"/>
      <c r="BF815" s="235"/>
      <c r="BG815" s="235"/>
      <c r="BH815" s="235"/>
      <c r="BI815" s="235"/>
      <c r="BJ815" s="235"/>
      <c r="BK815" s="235"/>
      <c r="BL815" s="235"/>
      <c r="BM815" s="235"/>
      <c r="BN815" s="235"/>
      <c r="BO815" s="235"/>
    </row>
    <row r="816" ht="29.25" hidden="1" customHeight="1">
      <c r="A816" s="230"/>
      <c r="B816" s="231"/>
      <c r="C816" s="179"/>
      <c r="D816" s="179"/>
      <c r="E816" s="180"/>
      <c r="F816" s="162"/>
      <c r="G816" s="232"/>
      <c r="H816" s="234"/>
      <c r="I816" s="181"/>
      <c r="J816" s="182"/>
      <c r="K816" s="182"/>
      <c r="L816" s="182"/>
      <c r="M816" s="234"/>
      <c r="N816" s="28"/>
      <c r="O816" s="181"/>
      <c r="P816" s="183"/>
      <c r="Q816" s="104"/>
      <c r="R816" s="233"/>
      <c r="S816" s="164"/>
      <c r="T816" s="164"/>
      <c r="U816" s="162"/>
      <c r="V816" s="235"/>
      <c r="W816" s="235"/>
      <c r="X816" s="235"/>
      <c r="Y816" s="235"/>
      <c r="Z816" s="235"/>
      <c r="AA816" s="235"/>
      <c r="AB816" s="235"/>
      <c r="AC816" s="235"/>
      <c r="AD816" s="235"/>
      <c r="AE816" s="235"/>
      <c r="AF816" s="235"/>
      <c r="AG816" s="235"/>
      <c r="AH816" s="235"/>
      <c r="AI816" s="235"/>
      <c r="AJ816" s="235"/>
      <c r="AK816" s="235"/>
      <c r="AL816" s="235"/>
      <c r="AM816" s="235"/>
      <c r="AN816" s="235"/>
      <c r="AO816" s="235"/>
      <c r="AP816" s="235"/>
      <c r="AQ816" s="235"/>
      <c r="AR816" s="235"/>
      <c r="AS816" s="235"/>
      <c r="AT816" s="235"/>
      <c r="AU816" s="235"/>
      <c r="AV816" s="235"/>
      <c r="AW816" s="235"/>
      <c r="AX816" s="235"/>
      <c r="AY816" s="235"/>
      <c r="AZ816" s="235"/>
      <c r="BA816" s="235"/>
      <c r="BB816" s="235"/>
      <c r="BC816" s="235"/>
      <c r="BD816" s="235"/>
      <c r="BE816" s="235"/>
      <c r="BF816" s="235"/>
      <c r="BG816" s="235"/>
      <c r="BH816" s="235"/>
      <c r="BI816" s="235"/>
      <c r="BJ816" s="235"/>
      <c r="BK816" s="235"/>
      <c r="BL816" s="235"/>
      <c r="BM816" s="235"/>
      <c r="BN816" s="235"/>
      <c r="BO816" s="235"/>
    </row>
    <row r="817" ht="29.25" hidden="1" customHeight="1">
      <c r="A817" s="230"/>
      <c r="B817" s="231"/>
      <c r="C817" s="179"/>
      <c r="D817" s="179"/>
      <c r="E817" s="180"/>
      <c r="F817" s="162"/>
      <c r="G817" s="232"/>
      <c r="H817" s="234"/>
      <c r="I817" s="181"/>
      <c r="J817" s="182"/>
      <c r="K817" s="182"/>
      <c r="L817" s="182"/>
      <c r="M817" s="234"/>
      <c r="N817" s="28"/>
      <c r="O817" s="181"/>
      <c r="P817" s="183"/>
      <c r="Q817" s="104"/>
      <c r="R817" s="233"/>
      <c r="S817" s="164"/>
      <c r="T817" s="164"/>
      <c r="U817" s="162"/>
      <c r="V817" s="235"/>
      <c r="W817" s="235"/>
      <c r="X817" s="235"/>
      <c r="Y817" s="235"/>
      <c r="Z817" s="235"/>
      <c r="AA817" s="235"/>
      <c r="AB817" s="235"/>
      <c r="AC817" s="235"/>
      <c r="AD817" s="235"/>
      <c r="AE817" s="235"/>
      <c r="AF817" s="235"/>
      <c r="AG817" s="235"/>
      <c r="AH817" s="235"/>
      <c r="AI817" s="235"/>
      <c r="AJ817" s="235"/>
      <c r="AK817" s="235"/>
      <c r="AL817" s="235"/>
      <c r="AM817" s="235"/>
      <c r="AN817" s="235"/>
      <c r="AO817" s="235"/>
      <c r="AP817" s="235"/>
      <c r="AQ817" s="235"/>
      <c r="AR817" s="235"/>
      <c r="AS817" s="235"/>
      <c r="AT817" s="235"/>
      <c r="AU817" s="235"/>
      <c r="AV817" s="235"/>
      <c r="AW817" s="235"/>
      <c r="AX817" s="235"/>
      <c r="AY817" s="235"/>
      <c r="AZ817" s="235"/>
      <c r="BA817" s="235"/>
      <c r="BB817" s="235"/>
      <c r="BC817" s="235"/>
      <c r="BD817" s="235"/>
      <c r="BE817" s="235"/>
      <c r="BF817" s="235"/>
      <c r="BG817" s="235"/>
      <c r="BH817" s="235"/>
      <c r="BI817" s="235"/>
      <c r="BJ817" s="235"/>
      <c r="BK817" s="235"/>
      <c r="BL817" s="235"/>
      <c r="BM817" s="235"/>
      <c r="BN817" s="235"/>
      <c r="BO817" s="235"/>
    </row>
    <row r="818" ht="29.25" hidden="1" customHeight="1">
      <c r="A818" s="230"/>
      <c r="B818" s="231"/>
      <c r="C818" s="179"/>
      <c r="D818" s="179"/>
      <c r="E818" s="180"/>
      <c r="F818" s="162"/>
      <c r="G818" s="232"/>
      <c r="H818" s="234"/>
      <c r="I818" s="181"/>
      <c r="J818" s="182"/>
      <c r="K818" s="182"/>
      <c r="L818" s="182"/>
      <c r="M818" s="234"/>
      <c r="N818" s="28"/>
      <c r="O818" s="181"/>
      <c r="P818" s="183"/>
      <c r="Q818" s="104"/>
      <c r="R818" s="233"/>
      <c r="S818" s="164"/>
      <c r="T818" s="164"/>
      <c r="U818" s="162"/>
      <c r="V818" s="235"/>
      <c r="W818" s="235"/>
      <c r="X818" s="235"/>
      <c r="Y818" s="235"/>
      <c r="Z818" s="235"/>
      <c r="AA818" s="235"/>
      <c r="AB818" s="235"/>
      <c r="AC818" s="235"/>
      <c r="AD818" s="235"/>
      <c r="AE818" s="235"/>
      <c r="AF818" s="235"/>
      <c r="AG818" s="235"/>
      <c r="AH818" s="235"/>
      <c r="AI818" s="235"/>
      <c r="AJ818" s="235"/>
      <c r="AK818" s="235"/>
      <c r="AL818" s="235"/>
      <c r="AM818" s="235"/>
      <c r="AN818" s="235"/>
      <c r="AO818" s="235"/>
      <c r="AP818" s="235"/>
      <c r="AQ818" s="235"/>
      <c r="AR818" s="235"/>
      <c r="AS818" s="235"/>
      <c r="AT818" s="235"/>
      <c r="AU818" s="235"/>
      <c r="AV818" s="235"/>
      <c r="AW818" s="235"/>
      <c r="AX818" s="235"/>
      <c r="AY818" s="235"/>
      <c r="AZ818" s="235"/>
      <c r="BA818" s="235"/>
      <c r="BB818" s="235"/>
      <c r="BC818" s="235"/>
      <c r="BD818" s="235"/>
      <c r="BE818" s="235"/>
      <c r="BF818" s="235"/>
      <c r="BG818" s="235"/>
      <c r="BH818" s="235"/>
      <c r="BI818" s="235"/>
      <c r="BJ818" s="235"/>
      <c r="BK818" s="235"/>
      <c r="BL818" s="235"/>
      <c r="BM818" s="235"/>
      <c r="BN818" s="235"/>
      <c r="BO818" s="235"/>
    </row>
    <row r="819" ht="29.25" hidden="1" customHeight="1">
      <c r="A819" s="230"/>
      <c r="B819" s="231"/>
      <c r="C819" s="179"/>
      <c r="D819" s="179"/>
      <c r="E819" s="180"/>
      <c r="F819" s="162"/>
      <c r="G819" s="232"/>
      <c r="H819" s="234"/>
      <c r="I819" s="181"/>
      <c r="J819" s="182"/>
      <c r="K819" s="182"/>
      <c r="L819" s="182"/>
      <c r="M819" s="234"/>
      <c r="N819" s="28"/>
      <c r="O819" s="181"/>
      <c r="P819" s="183"/>
      <c r="Q819" s="104"/>
      <c r="R819" s="233"/>
      <c r="S819" s="164"/>
      <c r="T819" s="164"/>
      <c r="U819" s="162"/>
      <c r="V819" s="235"/>
      <c r="W819" s="235"/>
      <c r="X819" s="235"/>
      <c r="Y819" s="235"/>
      <c r="Z819" s="235"/>
      <c r="AA819" s="235"/>
      <c r="AB819" s="235"/>
      <c r="AC819" s="235"/>
      <c r="AD819" s="235"/>
      <c r="AE819" s="235"/>
      <c r="AF819" s="235"/>
      <c r="AG819" s="235"/>
      <c r="AH819" s="235"/>
      <c r="AI819" s="235"/>
      <c r="AJ819" s="235"/>
      <c r="AK819" s="235"/>
      <c r="AL819" s="235"/>
      <c r="AM819" s="235"/>
      <c r="AN819" s="235"/>
      <c r="AO819" s="235"/>
      <c r="AP819" s="235"/>
      <c r="AQ819" s="235"/>
      <c r="AR819" s="235"/>
      <c r="AS819" s="235"/>
      <c r="AT819" s="235"/>
      <c r="AU819" s="235"/>
      <c r="AV819" s="235"/>
      <c r="AW819" s="235"/>
      <c r="AX819" s="235"/>
      <c r="AY819" s="235"/>
      <c r="AZ819" s="235"/>
      <c r="BA819" s="235"/>
      <c r="BB819" s="235"/>
      <c r="BC819" s="235"/>
      <c r="BD819" s="235"/>
      <c r="BE819" s="235"/>
      <c r="BF819" s="235"/>
      <c r="BG819" s="235"/>
      <c r="BH819" s="235"/>
      <c r="BI819" s="235"/>
      <c r="BJ819" s="235"/>
      <c r="BK819" s="235"/>
      <c r="BL819" s="235"/>
      <c r="BM819" s="235"/>
      <c r="BN819" s="235"/>
      <c r="BO819" s="235"/>
    </row>
    <row r="820" ht="29.25" hidden="1" customHeight="1">
      <c r="A820" s="230"/>
      <c r="B820" s="231"/>
      <c r="C820" s="179"/>
      <c r="D820" s="179"/>
      <c r="E820" s="180"/>
      <c r="F820" s="162"/>
      <c r="G820" s="232"/>
      <c r="H820" s="234"/>
      <c r="I820" s="181"/>
      <c r="J820" s="182"/>
      <c r="K820" s="182"/>
      <c r="L820" s="182"/>
      <c r="M820" s="234"/>
      <c r="N820" s="28"/>
      <c r="O820" s="181"/>
      <c r="P820" s="183"/>
      <c r="Q820" s="104"/>
      <c r="R820" s="233"/>
      <c r="S820" s="164"/>
      <c r="T820" s="164"/>
      <c r="U820" s="162"/>
      <c r="V820" s="235"/>
      <c r="W820" s="235"/>
      <c r="X820" s="235"/>
      <c r="Y820" s="235"/>
      <c r="Z820" s="235"/>
      <c r="AA820" s="235"/>
      <c r="AB820" s="235"/>
      <c r="AC820" s="235"/>
      <c r="AD820" s="235"/>
      <c r="AE820" s="235"/>
      <c r="AF820" s="235"/>
      <c r="AG820" s="235"/>
      <c r="AH820" s="235"/>
      <c r="AI820" s="235"/>
      <c r="AJ820" s="235"/>
      <c r="AK820" s="235"/>
      <c r="AL820" s="235"/>
      <c r="AM820" s="235"/>
      <c r="AN820" s="235"/>
      <c r="AO820" s="235"/>
      <c r="AP820" s="235"/>
      <c r="AQ820" s="235"/>
      <c r="AR820" s="235"/>
      <c r="AS820" s="235"/>
      <c r="AT820" s="235"/>
      <c r="AU820" s="235"/>
      <c r="AV820" s="235"/>
      <c r="AW820" s="235"/>
      <c r="AX820" s="235"/>
      <c r="AY820" s="235"/>
      <c r="AZ820" s="235"/>
      <c r="BA820" s="235"/>
      <c r="BB820" s="235"/>
      <c r="BC820" s="235"/>
      <c r="BD820" s="235"/>
      <c r="BE820" s="235"/>
      <c r="BF820" s="235"/>
      <c r="BG820" s="235"/>
      <c r="BH820" s="235"/>
      <c r="BI820" s="235"/>
      <c r="BJ820" s="235"/>
      <c r="BK820" s="235"/>
      <c r="BL820" s="235"/>
      <c r="BM820" s="235"/>
      <c r="BN820" s="235"/>
      <c r="BO820" s="235"/>
    </row>
    <row r="821" ht="29.25" hidden="1" customHeight="1">
      <c r="A821" s="230"/>
      <c r="B821" s="231"/>
      <c r="C821" s="179"/>
      <c r="D821" s="179"/>
      <c r="E821" s="180"/>
      <c r="F821" s="162"/>
      <c r="G821" s="232"/>
      <c r="H821" s="234"/>
      <c r="I821" s="181"/>
      <c r="J821" s="182"/>
      <c r="K821" s="182"/>
      <c r="L821" s="182"/>
      <c r="M821" s="234"/>
      <c r="N821" s="28"/>
      <c r="O821" s="181"/>
      <c r="P821" s="183"/>
      <c r="Q821" s="104"/>
      <c r="R821" s="233"/>
      <c r="S821" s="164"/>
      <c r="T821" s="164"/>
      <c r="U821" s="162"/>
      <c r="V821" s="235"/>
      <c r="W821" s="235"/>
      <c r="X821" s="235"/>
      <c r="Y821" s="235"/>
      <c r="Z821" s="235"/>
      <c r="AA821" s="235"/>
      <c r="AB821" s="235"/>
      <c r="AC821" s="235"/>
      <c r="AD821" s="235"/>
      <c r="AE821" s="235"/>
      <c r="AF821" s="235"/>
      <c r="AG821" s="235"/>
      <c r="AH821" s="235"/>
      <c r="AI821" s="235"/>
      <c r="AJ821" s="235"/>
      <c r="AK821" s="235"/>
      <c r="AL821" s="235"/>
      <c r="AM821" s="235"/>
      <c r="AN821" s="235"/>
      <c r="AO821" s="235"/>
      <c r="AP821" s="235"/>
      <c r="AQ821" s="235"/>
      <c r="AR821" s="235"/>
      <c r="AS821" s="235"/>
      <c r="AT821" s="235"/>
      <c r="AU821" s="235"/>
      <c r="AV821" s="235"/>
      <c r="AW821" s="235"/>
      <c r="AX821" s="235"/>
      <c r="AY821" s="235"/>
      <c r="AZ821" s="235"/>
      <c r="BA821" s="235"/>
      <c r="BB821" s="235"/>
      <c r="BC821" s="235"/>
      <c r="BD821" s="235"/>
      <c r="BE821" s="235"/>
      <c r="BF821" s="235"/>
      <c r="BG821" s="235"/>
      <c r="BH821" s="235"/>
      <c r="BI821" s="235"/>
      <c r="BJ821" s="235"/>
      <c r="BK821" s="235"/>
      <c r="BL821" s="235"/>
      <c r="BM821" s="235"/>
      <c r="BN821" s="235"/>
      <c r="BO821" s="235"/>
    </row>
    <row r="822" ht="29.25" hidden="1" customHeight="1">
      <c r="A822" s="230"/>
      <c r="B822" s="231"/>
      <c r="C822" s="179"/>
      <c r="D822" s="179"/>
      <c r="E822" s="180"/>
      <c r="F822" s="162"/>
      <c r="G822" s="232"/>
      <c r="H822" s="234"/>
      <c r="I822" s="181"/>
      <c r="J822" s="182"/>
      <c r="K822" s="182"/>
      <c r="L822" s="182"/>
      <c r="M822" s="234"/>
      <c r="N822" s="28"/>
      <c r="O822" s="181"/>
      <c r="P822" s="183"/>
      <c r="Q822" s="104"/>
      <c r="R822" s="233"/>
      <c r="S822" s="164"/>
      <c r="T822" s="164"/>
      <c r="U822" s="162"/>
      <c r="V822" s="235"/>
      <c r="W822" s="235"/>
      <c r="X822" s="235"/>
      <c r="Y822" s="235"/>
      <c r="Z822" s="235"/>
      <c r="AA822" s="235"/>
      <c r="AB822" s="235"/>
      <c r="AC822" s="235"/>
      <c r="AD822" s="235"/>
      <c r="AE822" s="235"/>
      <c r="AF822" s="235"/>
      <c r="AG822" s="235"/>
      <c r="AH822" s="235"/>
      <c r="AI822" s="235"/>
      <c r="AJ822" s="235"/>
      <c r="AK822" s="235"/>
      <c r="AL822" s="235"/>
      <c r="AM822" s="235"/>
      <c r="AN822" s="235"/>
      <c r="AO822" s="235"/>
      <c r="AP822" s="235"/>
      <c r="AQ822" s="235"/>
      <c r="AR822" s="235"/>
      <c r="AS822" s="235"/>
      <c r="AT822" s="235"/>
      <c r="AU822" s="235"/>
      <c r="AV822" s="235"/>
      <c r="AW822" s="235"/>
      <c r="AX822" s="235"/>
      <c r="AY822" s="235"/>
      <c r="AZ822" s="235"/>
      <c r="BA822" s="235"/>
      <c r="BB822" s="235"/>
      <c r="BC822" s="235"/>
      <c r="BD822" s="235"/>
      <c r="BE822" s="235"/>
      <c r="BF822" s="235"/>
      <c r="BG822" s="235"/>
      <c r="BH822" s="235"/>
      <c r="BI822" s="235"/>
      <c r="BJ822" s="235"/>
      <c r="BK822" s="235"/>
      <c r="BL822" s="235"/>
      <c r="BM822" s="235"/>
      <c r="BN822" s="235"/>
      <c r="BO822" s="235"/>
    </row>
    <row r="823" ht="29.25" hidden="1" customHeight="1">
      <c r="A823" s="230"/>
      <c r="B823" s="231"/>
      <c r="C823" s="179"/>
      <c r="D823" s="179"/>
      <c r="E823" s="180"/>
      <c r="F823" s="162"/>
      <c r="G823" s="232"/>
      <c r="H823" s="234"/>
      <c r="I823" s="181"/>
      <c r="J823" s="182"/>
      <c r="K823" s="182"/>
      <c r="L823" s="182"/>
      <c r="M823" s="234"/>
      <c r="N823" s="28"/>
      <c r="O823" s="181"/>
      <c r="P823" s="183"/>
      <c r="Q823" s="104"/>
      <c r="R823" s="233"/>
      <c r="S823" s="164"/>
      <c r="T823" s="164"/>
      <c r="U823" s="162"/>
      <c r="V823" s="235"/>
      <c r="W823" s="235"/>
      <c r="X823" s="235"/>
      <c r="Y823" s="235"/>
      <c r="Z823" s="235"/>
      <c r="AA823" s="235"/>
      <c r="AB823" s="235"/>
      <c r="AC823" s="235"/>
      <c r="AD823" s="235"/>
      <c r="AE823" s="235"/>
      <c r="AF823" s="235"/>
      <c r="AG823" s="235"/>
      <c r="AH823" s="235"/>
      <c r="AI823" s="235"/>
      <c r="AJ823" s="235"/>
      <c r="AK823" s="235"/>
      <c r="AL823" s="235"/>
      <c r="AM823" s="235"/>
      <c r="AN823" s="235"/>
      <c r="AO823" s="235"/>
      <c r="AP823" s="235"/>
      <c r="AQ823" s="235"/>
      <c r="AR823" s="235"/>
      <c r="AS823" s="235"/>
      <c r="AT823" s="235"/>
      <c r="AU823" s="235"/>
      <c r="AV823" s="235"/>
      <c r="AW823" s="235"/>
      <c r="AX823" s="235"/>
      <c r="AY823" s="235"/>
      <c r="AZ823" s="235"/>
      <c r="BA823" s="235"/>
      <c r="BB823" s="235"/>
      <c r="BC823" s="235"/>
      <c r="BD823" s="235"/>
      <c r="BE823" s="235"/>
      <c r="BF823" s="235"/>
      <c r="BG823" s="235"/>
      <c r="BH823" s="235"/>
      <c r="BI823" s="235"/>
      <c r="BJ823" s="235"/>
      <c r="BK823" s="235"/>
      <c r="BL823" s="235"/>
      <c r="BM823" s="235"/>
      <c r="BN823" s="235"/>
      <c r="BO823" s="235"/>
    </row>
    <row r="824" ht="29.25" hidden="1" customHeight="1">
      <c r="A824" s="230"/>
      <c r="B824" s="231"/>
      <c r="C824" s="179"/>
      <c r="D824" s="179"/>
      <c r="E824" s="180"/>
      <c r="F824" s="162"/>
      <c r="G824" s="232"/>
      <c r="H824" s="234"/>
      <c r="I824" s="181"/>
      <c r="J824" s="182"/>
      <c r="K824" s="182"/>
      <c r="L824" s="182"/>
      <c r="M824" s="234"/>
      <c r="N824" s="28"/>
      <c r="O824" s="181"/>
      <c r="P824" s="183"/>
      <c r="Q824" s="104"/>
      <c r="R824" s="233"/>
      <c r="S824" s="164"/>
      <c r="T824" s="164"/>
      <c r="U824" s="162"/>
      <c r="V824" s="235"/>
      <c r="W824" s="235"/>
      <c r="X824" s="235"/>
      <c r="Y824" s="235"/>
      <c r="Z824" s="235"/>
      <c r="AA824" s="235"/>
      <c r="AB824" s="235"/>
      <c r="AC824" s="235"/>
      <c r="AD824" s="235"/>
      <c r="AE824" s="235"/>
      <c r="AF824" s="235"/>
      <c r="AG824" s="235"/>
      <c r="AH824" s="235"/>
      <c r="AI824" s="235"/>
      <c r="AJ824" s="235"/>
      <c r="AK824" s="235"/>
      <c r="AL824" s="235"/>
      <c r="AM824" s="235"/>
      <c r="AN824" s="235"/>
      <c r="AO824" s="235"/>
      <c r="AP824" s="235"/>
      <c r="AQ824" s="235"/>
      <c r="AR824" s="235"/>
      <c r="AS824" s="235"/>
      <c r="AT824" s="235"/>
      <c r="AU824" s="235"/>
      <c r="AV824" s="235"/>
      <c r="AW824" s="235"/>
      <c r="AX824" s="235"/>
      <c r="AY824" s="235"/>
      <c r="AZ824" s="235"/>
      <c r="BA824" s="235"/>
      <c r="BB824" s="235"/>
      <c r="BC824" s="235"/>
      <c r="BD824" s="235"/>
      <c r="BE824" s="235"/>
      <c r="BF824" s="235"/>
      <c r="BG824" s="235"/>
      <c r="BH824" s="235"/>
      <c r="BI824" s="235"/>
      <c r="BJ824" s="235"/>
      <c r="BK824" s="235"/>
      <c r="BL824" s="235"/>
      <c r="BM824" s="235"/>
      <c r="BN824" s="235"/>
      <c r="BO824" s="235"/>
    </row>
    <row r="825" ht="29.25" hidden="1" customHeight="1">
      <c r="A825" s="230"/>
      <c r="B825" s="231"/>
      <c r="C825" s="179"/>
      <c r="D825" s="179"/>
      <c r="E825" s="180"/>
      <c r="F825" s="162"/>
      <c r="G825" s="232"/>
      <c r="H825" s="234"/>
      <c r="I825" s="181"/>
      <c r="J825" s="182"/>
      <c r="K825" s="182"/>
      <c r="L825" s="182"/>
      <c r="M825" s="234"/>
      <c r="N825" s="28"/>
      <c r="O825" s="181"/>
      <c r="P825" s="183"/>
      <c r="Q825" s="104"/>
      <c r="R825" s="233"/>
      <c r="S825" s="164"/>
      <c r="T825" s="164"/>
      <c r="U825" s="162"/>
      <c r="V825" s="235"/>
      <c r="W825" s="235"/>
      <c r="X825" s="235"/>
      <c r="Y825" s="235"/>
      <c r="Z825" s="235"/>
      <c r="AA825" s="235"/>
      <c r="AB825" s="235"/>
      <c r="AC825" s="235"/>
      <c r="AD825" s="235"/>
      <c r="AE825" s="235"/>
      <c r="AF825" s="235"/>
      <c r="AG825" s="235"/>
      <c r="AH825" s="235"/>
      <c r="AI825" s="235"/>
      <c r="AJ825" s="235"/>
      <c r="AK825" s="235"/>
      <c r="AL825" s="235"/>
      <c r="AM825" s="235"/>
      <c r="AN825" s="235"/>
      <c r="AO825" s="235"/>
      <c r="AP825" s="235"/>
      <c r="AQ825" s="235"/>
      <c r="AR825" s="235"/>
      <c r="AS825" s="235"/>
      <c r="AT825" s="235"/>
      <c r="AU825" s="235"/>
      <c r="AV825" s="235"/>
      <c r="AW825" s="235"/>
      <c r="AX825" s="235"/>
      <c r="AY825" s="235"/>
      <c r="AZ825" s="235"/>
      <c r="BA825" s="235"/>
      <c r="BB825" s="235"/>
      <c r="BC825" s="235"/>
      <c r="BD825" s="235"/>
      <c r="BE825" s="235"/>
      <c r="BF825" s="235"/>
      <c r="BG825" s="235"/>
      <c r="BH825" s="235"/>
      <c r="BI825" s="235"/>
      <c r="BJ825" s="235"/>
      <c r="BK825" s="235"/>
      <c r="BL825" s="235"/>
      <c r="BM825" s="235"/>
      <c r="BN825" s="235"/>
      <c r="BO825" s="235"/>
    </row>
    <row r="826" ht="29.25" hidden="1" customHeight="1">
      <c r="A826" s="230"/>
      <c r="B826" s="231"/>
      <c r="C826" s="179"/>
      <c r="D826" s="179"/>
      <c r="E826" s="180"/>
      <c r="F826" s="162"/>
      <c r="G826" s="232"/>
      <c r="H826" s="234"/>
      <c r="I826" s="181"/>
      <c r="J826" s="182"/>
      <c r="K826" s="182"/>
      <c r="L826" s="182"/>
      <c r="M826" s="234"/>
      <c r="N826" s="28"/>
      <c r="O826" s="181"/>
      <c r="P826" s="183"/>
      <c r="Q826" s="104"/>
      <c r="R826" s="233"/>
      <c r="S826" s="164"/>
      <c r="T826" s="164"/>
      <c r="U826" s="162"/>
      <c r="V826" s="235"/>
      <c r="W826" s="235"/>
      <c r="X826" s="235"/>
      <c r="Y826" s="235"/>
      <c r="Z826" s="235"/>
      <c r="AA826" s="235"/>
      <c r="AB826" s="235"/>
      <c r="AC826" s="235"/>
      <c r="AD826" s="235"/>
      <c r="AE826" s="235"/>
      <c r="AF826" s="235"/>
      <c r="AG826" s="235"/>
      <c r="AH826" s="235"/>
      <c r="AI826" s="235"/>
      <c r="AJ826" s="235"/>
      <c r="AK826" s="235"/>
      <c r="AL826" s="235"/>
      <c r="AM826" s="235"/>
      <c r="AN826" s="235"/>
      <c r="AO826" s="235"/>
      <c r="AP826" s="235"/>
      <c r="AQ826" s="235"/>
      <c r="AR826" s="235"/>
      <c r="AS826" s="235"/>
      <c r="AT826" s="235"/>
      <c r="AU826" s="235"/>
      <c r="AV826" s="235"/>
      <c r="AW826" s="235"/>
      <c r="AX826" s="235"/>
      <c r="AY826" s="235"/>
      <c r="AZ826" s="235"/>
      <c r="BA826" s="235"/>
      <c r="BB826" s="235"/>
      <c r="BC826" s="235"/>
      <c r="BD826" s="235"/>
      <c r="BE826" s="235"/>
      <c r="BF826" s="235"/>
      <c r="BG826" s="235"/>
      <c r="BH826" s="235"/>
      <c r="BI826" s="235"/>
      <c r="BJ826" s="235"/>
      <c r="BK826" s="235"/>
      <c r="BL826" s="235"/>
      <c r="BM826" s="235"/>
      <c r="BN826" s="235"/>
      <c r="BO826" s="235"/>
    </row>
    <row r="827" ht="29.25" hidden="1" customHeight="1">
      <c r="A827" s="230"/>
      <c r="B827" s="231"/>
      <c r="C827" s="179"/>
      <c r="D827" s="179"/>
      <c r="E827" s="180"/>
      <c r="F827" s="162"/>
      <c r="G827" s="232"/>
      <c r="H827" s="234"/>
      <c r="I827" s="181"/>
      <c r="J827" s="182"/>
      <c r="K827" s="182"/>
      <c r="L827" s="182"/>
      <c r="M827" s="234"/>
      <c r="N827" s="28"/>
      <c r="O827" s="181"/>
      <c r="P827" s="183"/>
      <c r="Q827" s="104"/>
      <c r="R827" s="233"/>
      <c r="S827" s="164"/>
      <c r="T827" s="164"/>
      <c r="U827" s="162"/>
      <c r="V827" s="235"/>
      <c r="W827" s="235"/>
      <c r="X827" s="235"/>
      <c r="Y827" s="235"/>
      <c r="Z827" s="235"/>
      <c r="AA827" s="235"/>
      <c r="AB827" s="235"/>
      <c r="AC827" s="235"/>
      <c r="AD827" s="235"/>
      <c r="AE827" s="235"/>
      <c r="AF827" s="235"/>
      <c r="AG827" s="235"/>
      <c r="AH827" s="235"/>
      <c r="AI827" s="235"/>
      <c r="AJ827" s="235"/>
      <c r="AK827" s="235"/>
      <c r="AL827" s="235"/>
      <c r="AM827" s="235"/>
      <c r="AN827" s="235"/>
      <c r="AO827" s="235"/>
      <c r="AP827" s="235"/>
      <c r="AQ827" s="235"/>
      <c r="AR827" s="235"/>
      <c r="AS827" s="235"/>
      <c r="AT827" s="235"/>
      <c r="AU827" s="235"/>
      <c r="AV827" s="235"/>
      <c r="AW827" s="235"/>
      <c r="AX827" s="235"/>
      <c r="AY827" s="235"/>
      <c r="AZ827" s="235"/>
      <c r="BA827" s="235"/>
      <c r="BB827" s="235"/>
      <c r="BC827" s="235"/>
      <c r="BD827" s="235"/>
      <c r="BE827" s="235"/>
      <c r="BF827" s="235"/>
      <c r="BG827" s="235"/>
      <c r="BH827" s="235"/>
      <c r="BI827" s="235"/>
      <c r="BJ827" s="235"/>
      <c r="BK827" s="235"/>
      <c r="BL827" s="235"/>
      <c r="BM827" s="235"/>
      <c r="BN827" s="235"/>
      <c r="BO827" s="235"/>
    </row>
    <row r="828" ht="29.25" hidden="1" customHeight="1">
      <c r="A828" s="230"/>
      <c r="B828" s="231"/>
      <c r="C828" s="179"/>
      <c r="D828" s="179"/>
      <c r="E828" s="180"/>
      <c r="F828" s="162"/>
      <c r="G828" s="232"/>
      <c r="H828" s="234"/>
      <c r="I828" s="181"/>
      <c r="J828" s="182"/>
      <c r="K828" s="182"/>
      <c r="L828" s="182"/>
      <c r="M828" s="234"/>
      <c r="N828" s="28"/>
      <c r="O828" s="181"/>
      <c r="P828" s="183"/>
      <c r="Q828" s="104"/>
      <c r="R828" s="233"/>
      <c r="S828" s="164"/>
      <c r="T828" s="164"/>
      <c r="U828" s="162"/>
      <c r="V828" s="235"/>
      <c r="W828" s="235"/>
      <c r="X828" s="235"/>
      <c r="Y828" s="235"/>
      <c r="Z828" s="235"/>
      <c r="AA828" s="235"/>
      <c r="AB828" s="235"/>
      <c r="AC828" s="235"/>
      <c r="AD828" s="235"/>
      <c r="AE828" s="235"/>
      <c r="AF828" s="235"/>
      <c r="AG828" s="235"/>
      <c r="AH828" s="235"/>
      <c r="AI828" s="235"/>
      <c r="AJ828" s="235"/>
      <c r="AK828" s="235"/>
      <c r="AL828" s="235"/>
      <c r="AM828" s="235"/>
      <c r="AN828" s="235"/>
      <c r="AO828" s="235"/>
      <c r="AP828" s="235"/>
      <c r="AQ828" s="235"/>
      <c r="AR828" s="235"/>
      <c r="AS828" s="235"/>
      <c r="AT828" s="235"/>
      <c r="AU828" s="235"/>
      <c r="AV828" s="235"/>
      <c r="AW828" s="235"/>
      <c r="AX828" s="235"/>
      <c r="AY828" s="235"/>
      <c r="AZ828" s="235"/>
      <c r="BA828" s="235"/>
      <c r="BB828" s="235"/>
      <c r="BC828" s="235"/>
      <c r="BD828" s="235"/>
      <c r="BE828" s="235"/>
      <c r="BF828" s="235"/>
      <c r="BG828" s="235"/>
      <c r="BH828" s="235"/>
      <c r="BI828" s="235"/>
      <c r="BJ828" s="235"/>
      <c r="BK828" s="235"/>
      <c r="BL828" s="235"/>
      <c r="BM828" s="235"/>
      <c r="BN828" s="235"/>
      <c r="BO828" s="235"/>
    </row>
    <row r="829" ht="29.25" hidden="1" customHeight="1">
      <c r="A829" s="230"/>
      <c r="B829" s="231"/>
      <c r="C829" s="179"/>
      <c r="D829" s="179"/>
      <c r="E829" s="180"/>
      <c r="F829" s="162"/>
      <c r="G829" s="232"/>
      <c r="H829" s="234"/>
      <c r="I829" s="181"/>
      <c r="J829" s="182"/>
      <c r="K829" s="182"/>
      <c r="L829" s="182"/>
      <c r="M829" s="234"/>
      <c r="N829" s="28"/>
      <c r="O829" s="181"/>
      <c r="P829" s="183"/>
      <c r="Q829" s="104"/>
      <c r="R829" s="233"/>
      <c r="S829" s="164"/>
      <c r="T829" s="164"/>
      <c r="U829" s="162"/>
      <c r="V829" s="235"/>
      <c r="W829" s="235"/>
      <c r="X829" s="235"/>
      <c r="Y829" s="235"/>
      <c r="Z829" s="235"/>
      <c r="AA829" s="235"/>
      <c r="AB829" s="235"/>
      <c r="AC829" s="235"/>
      <c r="AD829" s="235"/>
      <c r="AE829" s="235"/>
      <c r="AF829" s="235"/>
      <c r="AG829" s="235"/>
      <c r="AH829" s="235"/>
      <c r="AI829" s="235"/>
      <c r="AJ829" s="235"/>
      <c r="AK829" s="235"/>
      <c r="AL829" s="235"/>
      <c r="AM829" s="235"/>
      <c r="AN829" s="235"/>
      <c r="AO829" s="235"/>
      <c r="AP829" s="235"/>
      <c r="AQ829" s="235"/>
      <c r="AR829" s="235"/>
      <c r="AS829" s="235"/>
      <c r="AT829" s="235"/>
      <c r="AU829" s="235"/>
      <c r="AV829" s="235"/>
      <c r="AW829" s="235"/>
      <c r="AX829" s="235"/>
      <c r="AY829" s="235"/>
      <c r="AZ829" s="235"/>
      <c r="BA829" s="235"/>
      <c r="BB829" s="235"/>
      <c r="BC829" s="235"/>
      <c r="BD829" s="235"/>
      <c r="BE829" s="235"/>
      <c r="BF829" s="235"/>
      <c r="BG829" s="235"/>
      <c r="BH829" s="235"/>
      <c r="BI829" s="235"/>
      <c r="BJ829" s="235"/>
      <c r="BK829" s="235"/>
      <c r="BL829" s="235"/>
      <c r="BM829" s="235"/>
      <c r="BN829" s="235"/>
      <c r="BO829" s="235"/>
    </row>
    <row r="830" ht="29.25" hidden="1" customHeight="1">
      <c r="A830" s="230"/>
      <c r="B830" s="231"/>
      <c r="C830" s="179"/>
      <c r="D830" s="179"/>
      <c r="E830" s="180"/>
      <c r="F830" s="162"/>
      <c r="G830" s="232"/>
      <c r="H830" s="234"/>
      <c r="I830" s="181"/>
      <c r="J830" s="182"/>
      <c r="K830" s="182"/>
      <c r="L830" s="182"/>
      <c r="M830" s="234"/>
      <c r="N830" s="28"/>
      <c r="O830" s="181"/>
      <c r="P830" s="183"/>
      <c r="Q830" s="104"/>
      <c r="R830" s="233"/>
      <c r="S830" s="164"/>
      <c r="T830" s="164"/>
      <c r="U830" s="162"/>
      <c r="V830" s="235"/>
      <c r="W830" s="235"/>
      <c r="X830" s="235"/>
      <c r="Y830" s="235"/>
      <c r="Z830" s="235"/>
      <c r="AA830" s="235"/>
      <c r="AB830" s="235"/>
      <c r="AC830" s="235"/>
      <c r="AD830" s="235"/>
      <c r="AE830" s="235"/>
      <c r="AF830" s="235"/>
      <c r="AG830" s="235"/>
      <c r="AH830" s="235"/>
      <c r="AI830" s="235"/>
      <c r="AJ830" s="235"/>
      <c r="AK830" s="235"/>
      <c r="AL830" s="235"/>
      <c r="AM830" s="235"/>
      <c r="AN830" s="235"/>
      <c r="AO830" s="235"/>
      <c r="AP830" s="235"/>
      <c r="AQ830" s="235"/>
      <c r="AR830" s="235"/>
      <c r="AS830" s="235"/>
      <c r="AT830" s="235"/>
      <c r="AU830" s="235"/>
      <c r="AV830" s="235"/>
      <c r="AW830" s="235"/>
      <c r="AX830" s="235"/>
      <c r="AY830" s="235"/>
      <c r="AZ830" s="235"/>
      <c r="BA830" s="235"/>
      <c r="BB830" s="235"/>
      <c r="BC830" s="235"/>
      <c r="BD830" s="235"/>
      <c r="BE830" s="235"/>
      <c r="BF830" s="235"/>
      <c r="BG830" s="235"/>
      <c r="BH830" s="235"/>
      <c r="BI830" s="235"/>
      <c r="BJ830" s="235"/>
      <c r="BK830" s="235"/>
      <c r="BL830" s="235"/>
      <c r="BM830" s="235"/>
      <c r="BN830" s="235"/>
      <c r="BO830" s="235"/>
    </row>
    <row r="831" ht="29.25" hidden="1" customHeight="1">
      <c r="A831" s="230"/>
      <c r="B831" s="231"/>
      <c r="C831" s="179"/>
      <c r="D831" s="179"/>
      <c r="E831" s="180"/>
      <c r="F831" s="162"/>
      <c r="G831" s="232"/>
      <c r="H831" s="234"/>
      <c r="I831" s="181"/>
      <c r="J831" s="182"/>
      <c r="K831" s="182"/>
      <c r="L831" s="182"/>
      <c r="M831" s="234"/>
      <c r="N831" s="28"/>
      <c r="O831" s="181"/>
      <c r="P831" s="183"/>
      <c r="Q831" s="104"/>
      <c r="R831" s="233"/>
      <c r="S831" s="164"/>
      <c r="T831" s="164"/>
      <c r="U831" s="162"/>
      <c r="V831" s="235"/>
      <c r="W831" s="235"/>
      <c r="X831" s="235"/>
      <c r="Y831" s="235"/>
      <c r="Z831" s="235"/>
      <c r="AA831" s="235"/>
      <c r="AB831" s="235"/>
      <c r="AC831" s="235"/>
      <c r="AD831" s="235"/>
      <c r="AE831" s="235"/>
      <c r="AF831" s="235"/>
      <c r="AG831" s="235"/>
      <c r="AH831" s="235"/>
      <c r="AI831" s="235"/>
      <c r="AJ831" s="235"/>
      <c r="AK831" s="235"/>
      <c r="AL831" s="235"/>
      <c r="AM831" s="235"/>
      <c r="AN831" s="235"/>
      <c r="AO831" s="235"/>
      <c r="AP831" s="235"/>
      <c r="AQ831" s="235"/>
      <c r="AR831" s="235"/>
      <c r="AS831" s="235"/>
      <c r="AT831" s="235"/>
      <c r="AU831" s="235"/>
      <c r="AV831" s="235"/>
      <c r="AW831" s="235"/>
      <c r="AX831" s="235"/>
      <c r="AY831" s="235"/>
      <c r="AZ831" s="235"/>
      <c r="BA831" s="235"/>
      <c r="BB831" s="235"/>
      <c r="BC831" s="235"/>
      <c r="BD831" s="235"/>
      <c r="BE831" s="235"/>
      <c r="BF831" s="235"/>
      <c r="BG831" s="235"/>
      <c r="BH831" s="235"/>
      <c r="BI831" s="235"/>
      <c r="BJ831" s="235"/>
      <c r="BK831" s="235"/>
      <c r="BL831" s="235"/>
      <c r="BM831" s="235"/>
      <c r="BN831" s="235"/>
      <c r="BO831" s="235"/>
    </row>
    <row r="832" ht="29.25" hidden="1" customHeight="1">
      <c r="A832" s="230"/>
      <c r="B832" s="231"/>
      <c r="C832" s="179"/>
      <c r="D832" s="179"/>
      <c r="E832" s="180"/>
      <c r="F832" s="162"/>
      <c r="G832" s="232"/>
      <c r="H832" s="234"/>
      <c r="I832" s="181"/>
      <c r="J832" s="182"/>
      <c r="K832" s="182"/>
      <c r="L832" s="182"/>
      <c r="M832" s="234"/>
      <c r="N832" s="28"/>
      <c r="O832" s="181"/>
      <c r="P832" s="183"/>
      <c r="Q832" s="104"/>
      <c r="R832" s="233"/>
      <c r="S832" s="164"/>
      <c r="T832" s="164"/>
      <c r="U832" s="162"/>
      <c r="V832" s="235"/>
      <c r="W832" s="235"/>
      <c r="X832" s="235"/>
      <c r="Y832" s="235"/>
      <c r="Z832" s="235"/>
      <c r="AA832" s="235"/>
      <c r="AB832" s="235"/>
      <c r="AC832" s="235"/>
      <c r="AD832" s="235"/>
      <c r="AE832" s="235"/>
      <c r="AF832" s="235"/>
      <c r="AG832" s="235"/>
      <c r="AH832" s="235"/>
      <c r="AI832" s="235"/>
      <c r="AJ832" s="235"/>
      <c r="AK832" s="235"/>
      <c r="AL832" s="235"/>
      <c r="AM832" s="235"/>
      <c r="AN832" s="235"/>
      <c r="AO832" s="235"/>
      <c r="AP832" s="235"/>
      <c r="AQ832" s="235"/>
      <c r="AR832" s="235"/>
      <c r="AS832" s="235"/>
      <c r="AT832" s="235"/>
      <c r="AU832" s="235"/>
      <c r="AV832" s="235"/>
      <c r="AW832" s="235"/>
      <c r="AX832" s="235"/>
      <c r="AY832" s="235"/>
      <c r="AZ832" s="235"/>
      <c r="BA832" s="235"/>
      <c r="BB832" s="235"/>
      <c r="BC832" s="235"/>
      <c r="BD832" s="235"/>
      <c r="BE832" s="235"/>
      <c r="BF832" s="235"/>
      <c r="BG832" s="235"/>
      <c r="BH832" s="235"/>
      <c r="BI832" s="235"/>
      <c r="BJ832" s="235"/>
      <c r="BK832" s="235"/>
      <c r="BL832" s="235"/>
      <c r="BM832" s="235"/>
      <c r="BN832" s="235"/>
      <c r="BO832" s="235"/>
    </row>
    <row r="833" ht="29.25" hidden="1" customHeight="1">
      <c r="A833" s="230"/>
      <c r="B833" s="231"/>
      <c r="C833" s="179"/>
      <c r="D833" s="179"/>
      <c r="E833" s="180"/>
      <c r="F833" s="162"/>
      <c r="G833" s="232"/>
      <c r="H833" s="234"/>
      <c r="I833" s="181"/>
      <c r="J833" s="182"/>
      <c r="K833" s="182"/>
      <c r="L833" s="182"/>
      <c r="M833" s="234"/>
      <c r="N833" s="28"/>
      <c r="O833" s="181"/>
      <c r="P833" s="183"/>
      <c r="Q833" s="104"/>
      <c r="R833" s="233"/>
      <c r="S833" s="164"/>
      <c r="T833" s="164"/>
      <c r="U833" s="162"/>
      <c r="V833" s="235"/>
      <c r="W833" s="235"/>
      <c r="X833" s="235"/>
      <c r="Y833" s="235"/>
      <c r="Z833" s="235"/>
      <c r="AA833" s="235"/>
      <c r="AB833" s="235"/>
      <c r="AC833" s="235"/>
      <c r="AD833" s="235"/>
      <c r="AE833" s="235"/>
      <c r="AF833" s="235"/>
      <c r="AG833" s="235"/>
      <c r="AH833" s="235"/>
      <c r="AI833" s="235"/>
      <c r="AJ833" s="235"/>
      <c r="AK833" s="235"/>
      <c r="AL833" s="235"/>
      <c r="AM833" s="235"/>
      <c r="AN833" s="235"/>
      <c r="AO833" s="235"/>
      <c r="AP833" s="235"/>
      <c r="AQ833" s="235"/>
      <c r="AR833" s="235"/>
      <c r="AS833" s="235"/>
      <c r="AT833" s="235"/>
      <c r="AU833" s="235"/>
      <c r="AV833" s="235"/>
      <c r="AW833" s="235"/>
      <c r="AX833" s="235"/>
      <c r="AY833" s="235"/>
      <c r="AZ833" s="235"/>
      <c r="BA833" s="235"/>
      <c r="BB833" s="235"/>
      <c r="BC833" s="235"/>
      <c r="BD833" s="235"/>
      <c r="BE833" s="235"/>
      <c r="BF833" s="235"/>
      <c r="BG833" s="235"/>
      <c r="BH833" s="235"/>
      <c r="BI833" s="235"/>
      <c r="BJ833" s="235"/>
      <c r="BK833" s="235"/>
      <c r="BL833" s="235"/>
      <c r="BM833" s="235"/>
      <c r="BN833" s="235"/>
      <c r="BO833" s="235"/>
    </row>
    <row r="834" ht="29.25" hidden="1" customHeight="1">
      <c r="A834" s="230"/>
      <c r="B834" s="231"/>
      <c r="C834" s="179"/>
      <c r="D834" s="179"/>
      <c r="E834" s="180"/>
      <c r="F834" s="162"/>
      <c r="G834" s="232"/>
      <c r="H834" s="234"/>
      <c r="I834" s="181"/>
      <c r="J834" s="182"/>
      <c r="K834" s="182"/>
      <c r="L834" s="182"/>
      <c r="M834" s="234"/>
      <c r="N834" s="28"/>
      <c r="O834" s="181"/>
      <c r="P834" s="183"/>
      <c r="Q834" s="104"/>
      <c r="R834" s="233"/>
      <c r="S834" s="164"/>
      <c r="T834" s="164"/>
      <c r="U834" s="162"/>
      <c r="V834" s="235"/>
      <c r="W834" s="235"/>
      <c r="X834" s="235"/>
      <c r="Y834" s="235"/>
      <c r="Z834" s="235"/>
      <c r="AA834" s="235"/>
      <c r="AB834" s="235"/>
      <c r="AC834" s="235"/>
      <c r="AD834" s="235"/>
      <c r="AE834" s="235"/>
      <c r="AF834" s="235"/>
      <c r="AG834" s="235"/>
      <c r="AH834" s="235"/>
      <c r="AI834" s="235"/>
      <c r="AJ834" s="235"/>
      <c r="AK834" s="235"/>
      <c r="AL834" s="235"/>
      <c r="AM834" s="235"/>
      <c r="AN834" s="235"/>
      <c r="AO834" s="235"/>
      <c r="AP834" s="235"/>
      <c r="AQ834" s="235"/>
      <c r="AR834" s="235"/>
      <c r="AS834" s="235"/>
      <c r="AT834" s="235"/>
      <c r="AU834" s="235"/>
      <c r="AV834" s="235"/>
      <c r="AW834" s="235"/>
      <c r="AX834" s="235"/>
      <c r="AY834" s="235"/>
      <c r="AZ834" s="235"/>
      <c r="BA834" s="235"/>
      <c r="BB834" s="235"/>
      <c r="BC834" s="235"/>
      <c r="BD834" s="235"/>
      <c r="BE834" s="235"/>
      <c r="BF834" s="235"/>
      <c r="BG834" s="235"/>
      <c r="BH834" s="235"/>
      <c r="BI834" s="235"/>
      <c r="BJ834" s="235"/>
      <c r="BK834" s="235"/>
      <c r="BL834" s="235"/>
      <c r="BM834" s="235"/>
      <c r="BN834" s="235"/>
      <c r="BO834" s="235"/>
    </row>
    <row r="835" ht="29.25" hidden="1" customHeight="1">
      <c r="A835" s="230"/>
      <c r="B835" s="231"/>
      <c r="C835" s="179"/>
      <c r="D835" s="179"/>
      <c r="E835" s="180"/>
      <c r="F835" s="162"/>
      <c r="G835" s="232"/>
      <c r="H835" s="234"/>
      <c r="I835" s="181"/>
      <c r="J835" s="182"/>
      <c r="K835" s="182"/>
      <c r="L835" s="182"/>
      <c r="M835" s="234"/>
      <c r="N835" s="28"/>
      <c r="O835" s="181"/>
      <c r="P835" s="183"/>
      <c r="Q835" s="104"/>
      <c r="R835" s="233"/>
      <c r="S835" s="164"/>
      <c r="T835" s="164"/>
      <c r="U835" s="162"/>
      <c r="V835" s="235"/>
      <c r="W835" s="235"/>
      <c r="X835" s="235"/>
      <c r="Y835" s="235"/>
      <c r="Z835" s="235"/>
      <c r="AA835" s="235"/>
      <c r="AB835" s="235"/>
      <c r="AC835" s="235"/>
      <c r="AD835" s="235"/>
      <c r="AE835" s="235"/>
      <c r="AF835" s="235"/>
      <c r="AG835" s="235"/>
      <c r="AH835" s="235"/>
      <c r="AI835" s="235"/>
      <c r="AJ835" s="235"/>
      <c r="AK835" s="235"/>
      <c r="AL835" s="235"/>
      <c r="AM835" s="235"/>
      <c r="AN835" s="235"/>
      <c r="AO835" s="235"/>
      <c r="AP835" s="235"/>
      <c r="AQ835" s="235"/>
      <c r="AR835" s="235"/>
      <c r="AS835" s="235"/>
      <c r="AT835" s="235"/>
      <c r="AU835" s="235"/>
      <c r="AV835" s="235"/>
      <c r="AW835" s="235"/>
      <c r="AX835" s="235"/>
      <c r="AY835" s="235"/>
      <c r="AZ835" s="235"/>
      <c r="BA835" s="235"/>
      <c r="BB835" s="235"/>
      <c r="BC835" s="235"/>
      <c r="BD835" s="235"/>
      <c r="BE835" s="235"/>
      <c r="BF835" s="235"/>
      <c r="BG835" s="235"/>
      <c r="BH835" s="235"/>
      <c r="BI835" s="235"/>
      <c r="BJ835" s="235"/>
      <c r="BK835" s="235"/>
      <c r="BL835" s="235"/>
      <c r="BM835" s="235"/>
      <c r="BN835" s="235"/>
      <c r="BO835" s="235"/>
    </row>
    <row r="836" ht="29.25" hidden="1" customHeight="1">
      <c r="A836" s="230"/>
      <c r="B836" s="231"/>
      <c r="C836" s="179"/>
      <c r="D836" s="179"/>
      <c r="E836" s="180"/>
      <c r="F836" s="162"/>
      <c r="G836" s="232"/>
      <c r="H836" s="234"/>
      <c r="I836" s="181"/>
      <c r="J836" s="182"/>
      <c r="K836" s="182"/>
      <c r="L836" s="182"/>
      <c r="M836" s="234"/>
      <c r="N836" s="28"/>
      <c r="O836" s="181"/>
      <c r="P836" s="183"/>
      <c r="Q836" s="104"/>
      <c r="R836" s="233"/>
      <c r="S836" s="164"/>
      <c r="T836" s="164"/>
      <c r="U836" s="162"/>
      <c r="V836" s="235"/>
      <c r="W836" s="235"/>
      <c r="X836" s="235"/>
      <c r="Y836" s="235"/>
      <c r="Z836" s="235"/>
      <c r="AA836" s="235"/>
      <c r="AB836" s="235"/>
      <c r="AC836" s="235"/>
      <c r="AD836" s="235"/>
      <c r="AE836" s="235"/>
      <c r="AF836" s="235"/>
      <c r="AG836" s="235"/>
      <c r="AH836" s="235"/>
      <c r="AI836" s="235"/>
      <c r="AJ836" s="235"/>
      <c r="AK836" s="235"/>
      <c r="AL836" s="235"/>
      <c r="AM836" s="235"/>
      <c r="AN836" s="235"/>
      <c r="AO836" s="235"/>
      <c r="AP836" s="235"/>
      <c r="AQ836" s="235"/>
      <c r="AR836" s="235"/>
      <c r="AS836" s="235"/>
      <c r="AT836" s="235"/>
      <c r="AU836" s="235"/>
      <c r="AV836" s="235"/>
      <c r="AW836" s="235"/>
      <c r="AX836" s="235"/>
      <c r="AY836" s="235"/>
      <c r="AZ836" s="235"/>
      <c r="BA836" s="235"/>
      <c r="BB836" s="235"/>
      <c r="BC836" s="235"/>
      <c r="BD836" s="235"/>
      <c r="BE836" s="235"/>
      <c r="BF836" s="235"/>
      <c r="BG836" s="235"/>
      <c r="BH836" s="235"/>
      <c r="BI836" s="235"/>
      <c r="BJ836" s="235"/>
      <c r="BK836" s="235"/>
      <c r="BL836" s="235"/>
      <c r="BM836" s="235"/>
      <c r="BN836" s="235"/>
      <c r="BO836" s="235"/>
    </row>
    <row r="837" ht="29.25" hidden="1" customHeight="1">
      <c r="A837" s="230"/>
      <c r="B837" s="231"/>
      <c r="C837" s="179"/>
      <c r="D837" s="179"/>
      <c r="E837" s="180"/>
      <c r="F837" s="162"/>
      <c r="G837" s="232"/>
      <c r="H837" s="234"/>
      <c r="I837" s="181"/>
      <c r="J837" s="182"/>
      <c r="K837" s="182"/>
      <c r="L837" s="182"/>
      <c r="M837" s="234"/>
      <c r="N837" s="28"/>
      <c r="O837" s="181"/>
      <c r="P837" s="183"/>
      <c r="Q837" s="104"/>
      <c r="R837" s="233"/>
      <c r="S837" s="164"/>
      <c r="T837" s="164"/>
      <c r="U837" s="162"/>
      <c r="V837" s="235"/>
      <c r="W837" s="235"/>
      <c r="X837" s="235"/>
      <c r="Y837" s="235"/>
      <c r="Z837" s="235"/>
      <c r="AA837" s="235"/>
      <c r="AB837" s="235"/>
      <c r="AC837" s="235"/>
      <c r="AD837" s="235"/>
      <c r="AE837" s="235"/>
      <c r="AF837" s="235"/>
      <c r="AG837" s="235"/>
      <c r="AH837" s="235"/>
      <c r="AI837" s="235"/>
      <c r="AJ837" s="235"/>
      <c r="AK837" s="235"/>
      <c r="AL837" s="235"/>
      <c r="AM837" s="235"/>
      <c r="AN837" s="235"/>
      <c r="AO837" s="235"/>
      <c r="AP837" s="235"/>
      <c r="AQ837" s="235"/>
      <c r="AR837" s="235"/>
      <c r="AS837" s="235"/>
      <c r="AT837" s="235"/>
      <c r="AU837" s="235"/>
      <c r="AV837" s="235"/>
      <c r="AW837" s="235"/>
      <c r="AX837" s="235"/>
      <c r="AY837" s="235"/>
      <c r="AZ837" s="235"/>
      <c r="BA837" s="235"/>
      <c r="BB837" s="235"/>
      <c r="BC837" s="235"/>
      <c r="BD837" s="235"/>
      <c r="BE837" s="235"/>
      <c r="BF837" s="235"/>
      <c r="BG837" s="235"/>
      <c r="BH837" s="235"/>
      <c r="BI837" s="235"/>
      <c r="BJ837" s="235"/>
      <c r="BK837" s="235"/>
      <c r="BL837" s="235"/>
      <c r="BM837" s="235"/>
      <c r="BN837" s="235"/>
      <c r="BO837" s="235"/>
    </row>
    <row r="838" ht="29.25" hidden="1" customHeight="1">
      <c r="A838" s="230"/>
      <c r="B838" s="231"/>
      <c r="C838" s="179"/>
      <c r="D838" s="179"/>
      <c r="E838" s="180"/>
      <c r="F838" s="162"/>
      <c r="G838" s="232"/>
      <c r="H838" s="234"/>
      <c r="I838" s="181"/>
      <c r="J838" s="182"/>
      <c r="K838" s="182"/>
      <c r="L838" s="182"/>
      <c r="M838" s="234"/>
      <c r="N838" s="28"/>
      <c r="O838" s="181"/>
      <c r="P838" s="183"/>
      <c r="Q838" s="104"/>
      <c r="R838" s="233"/>
      <c r="S838" s="164"/>
      <c r="T838" s="164"/>
      <c r="U838" s="162"/>
      <c r="V838" s="235"/>
      <c r="W838" s="235"/>
      <c r="X838" s="235"/>
      <c r="Y838" s="235"/>
      <c r="Z838" s="235"/>
      <c r="AA838" s="235"/>
      <c r="AB838" s="235"/>
      <c r="AC838" s="235"/>
      <c r="AD838" s="235"/>
      <c r="AE838" s="235"/>
      <c r="AF838" s="235"/>
      <c r="AG838" s="235"/>
      <c r="AH838" s="235"/>
      <c r="AI838" s="235"/>
      <c r="AJ838" s="235"/>
      <c r="AK838" s="235"/>
      <c r="AL838" s="235"/>
      <c r="AM838" s="235"/>
      <c r="AN838" s="235"/>
      <c r="AO838" s="235"/>
      <c r="AP838" s="235"/>
      <c r="AQ838" s="235"/>
      <c r="AR838" s="235"/>
      <c r="AS838" s="235"/>
      <c r="AT838" s="235"/>
      <c r="AU838" s="235"/>
      <c r="AV838" s="235"/>
      <c r="AW838" s="235"/>
      <c r="AX838" s="235"/>
      <c r="AY838" s="235"/>
      <c r="AZ838" s="235"/>
      <c r="BA838" s="235"/>
      <c r="BB838" s="235"/>
      <c r="BC838" s="235"/>
      <c r="BD838" s="235"/>
      <c r="BE838" s="235"/>
      <c r="BF838" s="235"/>
      <c r="BG838" s="235"/>
      <c r="BH838" s="235"/>
      <c r="BI838" s="235"/>
      <c r="BJ838" s="235"/>
      <c r="BK838" s="235"/>
      <c r="BL838" s="235"/>
      <c r="BM838" s="235"/>
      <c r="BN838" s="235"/>
      <c r="BO838" s="235"/>
    </row>
    <row r="839" ht="29.25" hidden="1" customHeight="1">
      <c r="A839" s="230"/>
      <c r="B839" s="231"/>
      <c r="C839" s="179"/>
      <c r="D839" s="179"/>
      <c r="E839" s="180"/>
      <c r="F839" s="162"/>
      <c r="G839" s="232"/>
      <c r="H839" s="234"/>
      <c r="I839" s="181"/>
      <c r="J839" s="182"/>
      <c r="K839" s="182"/>
      <c r="L839" s="182"/>
      <c r="M839" s="234"/>
      <c r="N839" s="28"/>
      <c r="O839" s="181"/>
      <c r="P839" s="183"/>
      <c r="Q839" s="104"/>
      <c r="R839" s="233"/>
      <c r="S839" s="164"/>
      <c r="T839" s="164"/>
      <c r="U839" s="162"/>
      <c r="V839" s="235"/>
      <c r="W839" s="235"/>
      <c r="X839" s="235"/>
      <c r="Y839" s="235"/>
      <c r="Z839" s="235"/>
      <c r="AA839" s="235"/>
      <c r="AB839" s="235"/>
      <c r="AC839" s="235"/>
      <c r="AD839" s="235"/>
      <c r="AE839" s="235"/>
      <c r="AF839" s="235"/>
      <c r="AG839" s="235"/>
      <c r="AH839" s="235"/>
      <c r="AI839" s="235"/>
      <c r="AJ839" s="235"/>
      <c r="AK839" s="235"/>
      <c r="AL839" s="235"/>
      <c r="AM839" s="235"/>
      <c r="AN839" s="235"/>
      <c r="AO839" s="235"/>
      <c r="AP839" s="235"/>
      <c r="AQ839" s="235"/>
      <c r="AR839" s="235"/>
      <c r="AS839" s="235"/>
      <c r="AT839" s="235"/>
      <c r="AU839" s="235"/>
      <c r="AV839" s="235"/>
      <c r="AW839" s="235"/>
      <c r="AX839" s="235"/>
      <c r="AY839" s="235"/>
      <c r="AZ839" s="235"/>
      <c r="BA839" s="235"/>
      <c r="BB839" s="235"/>
      <c r="BC839" s="235"/>
      <c r="BD839" s="235"/>
      <c r="BE839" s="235"/>
      <c r="BF839" s="235"/>
      <c r="BG839" s="235"/>
      <c r="BH839" s="235"/>
      <c r="BI839" s="235"/>
      <c r="BJ839" s="235"/>
      <c r="BK839" s="235"/>
      <c r="BL839" s="235"/>
      <c r="BM839" s="235"/>
      <c r="BN839" s="235"/>
      <c r="BO839" s="235"/>
    </row>
    <row r="840" ht="29.25" hidden="1" customHeight="1">
      <c r="A840" s="230"/>
      <c r="B840" s="231"/>
      <c r="C840" s="179"/>
      <c r="D840" s="179"/>
      <c r="E840" s="180"/>
      <c r="F840" s="162"/>
      <c r="G840" s="232"/>
      <c r="H840" s="234"/>
      <c r="I840" s="181"/>
      <c r="J840" s="182"/>
      <c r="K840" s="182"/>
      <c r="L840" s="182"/>
      <c r="M840" s="234"/>
      <c r="N840" s="28"/>
      <c r="O840" s="181"/>
      <c r="P840" s="183"/>
      <c r="Q840" s="104"/>
      <c r="R840" s="233"/>
      <c r="S840" s="164"/>
      <c r="T840" s="164"/>
      <c r="U840" s="162"/>
      <c r="V840" s="235"/>
      <c r="W840" s="235"/>
      <c r="X840" s="235"/>
      <c r="Y840" s="235"/>
      <c r="Z840" s="235"/>
      <c r="AA840" s="235"/>
      <c r="AB840" s="235"/>
      <c r="AC840" s="235"/>
      <c r="AD840" s="235"/>
      <c r="AE840" s="235"/>
      <c r="AF840" s="235"/>
      <c r="AG840" s="235"/>
      <c r="AH840" s="235"/>
      <c r="AI840" s="235"/>
      <c r="AJ840" s="235"/>
      <c r="AK840" s="235"/>
      <c r="AL840" s="235"/>
      <c r="AM840" s="235"/>
      <c r="AN840" s="235"/>
      <c r="AO840" s="235"/>
      <c r="AP840" s="235"/>
      <c r="AQ840" s="235"/>
      <c r="AR840" s="235"/>
      <c r="AS840" s="235"/>
      <c r="AT840" s="235"/>
      <c r="AU840" s="235"/>
      <c r="AV840" s="235"/>
      <c r="AW840" s="235"/>
      <c r="AX840" s="235"/>
      <c r="AY840" s="235"/>
      <c r="AZ840" s="235"/>
      <c r="BA840" s="235"/>
      <c r="BB840" s="235"/>
      <c r="BC840" s="235"/>
      <c r="BD840" s="235"/>
      <c r="BE840" s="235"/>
      <c r="BF840" s="235"/>
      <c r="BG840" s="235"/>
      <c r="BH840" s="235"/>
      <c r="BI840" s="235"/>
      <c r="BJ840" s="235"/>
      <c r="BK840" s="235"/>
      <c r="BL840" s="235"/>
      <c r="BM840" s="235"/>
      <c r="BN840" s="235"/>
      <c r="BO840" s="235"/>
    </row>
    <row r="841" ht="29.25" hidden="1" customHeight="1">
      <c r="A841" s="230"/>
      <c r="B841" s="231"/>
      <c r="C841" s="179"/>
      <c r="D841" s="179"/>
      <c r="E841" s="180"/>
      <c r="F841" s="162"/>
      <c r="G841" s="232"/>
      <c r="H841" s="234"/>
      <c r="I841" s="181"/>
      <c r="J841" s="182"/>
      <c r="K841" s="182"/>
      <c r="L841" s="182"/>
      <c r="M841" s="234"/>
      <c r="N841" s="28"/>
      <c r="O841" s="181"/>
      <c r="P841" s="183"/>
      <c r="Q841" s="104"/>
      <c r="R841" s="233"/>
      <c r="S841" s="164"/>
      <c r="T841" s="164"/>
      <c r="U841" s="162"/>
      <c r="V841" s="235"/>
      <c r="W841" s="235"/>
      <c r="X841" s="235"/>
      <c r="Y841" s="235"/>
      <c r="Z841" s="235"/>
      <c r="AA841" s="235"/>
      <c r="AB841" s="235"/>
      <c r="AC841" s="235"/>
      <c r="AD841" s="235"/>
      <c r="AE841" s="235"/>
      <c r="AF841" s="235"/>
      <c r="AG841" s="235"/>
      <c r="AH841" s="235"/>
      <c r="AI841" s="235"/>
      <c r="AJ841" s="235"/>
      <c r="AK841" s="235"/>
      <c r="AL841" s="235"/>
      <c r="AM841" s="235"/>
      <c r="AN841" s="235"/>
      <c r="AO841" s="235"/>
      <c r="AP841" s="235"/>
      <c r="AQ841" s="235"/>
      <c r="AR841" s="235"/>
      <c r="AS841" s="235"/>
      <c r="AT841" s="235"/>
      <c r="AU841" s="235"/>
      <c r="AV841" s="235"/>
      <c r="AW841" s="235"/>
      <c r="AX841" s="235"/>
      <c r="AY841" s="235"/>
      <c r="AZ841" s="235"/>
      <c r="BA841" s="235"/>
      <c r="BB841" s="235"/>
      <c r="BC841" s="235"/>
      <c r="BD841" s="235"/>
      <c r="BE841" s="235"/>
      <c r="BF841" s="235"/>
      <c r="BG841" s="235"/>
      <c r="BH841" s="235"/>
      <c r="BI841" s="235"/>
      <c r="BJ841" s="235"/>
      <c r="BK841" s="235"/>
      <c r="BL841" s="235"/>
      <c r="BM841" s="235"/>
      <c r="BN841" s="235"/>
      <c r="BO841" s="235"/>
    </row>
    <row r="842" ht="29.25" hidden="1" customHeight="1">
      <c r="A842" s="230"/>
      <c r="B842" s="231"/>
      <c r="C842" s="179"/>
      <c r="D842" s="179"/>
      <c r="E842" s="180"/>
      <c r="F842" s="162"/>
      <c r="G842" s="232"/>
      <c r="H842" s="234"/>
      <c r="I842" s="181"/>
      <c r="J842" s="182"/>
      <c r="K842" s="182"/>
      <c r="L842" s="182"/>
      <c r="M842" s="234"/>
      <c r="N842" s="28"/>
      <c r="O842" s="181"/>
      <c r="P842" s="183"/>
      <c r="Q842" s="104"/>
      <c r="R842" s="233"/>
      <c r="S842" s="164"/>
      <c r="T842" s="164"/>
      <c r="U842" s="162"/>
      <c r="V842" s="235"/>
      <c r="W842" s="235"/>
      <c r="X842" s="235"/>
      <c r="Y842" s="235"/>
      <c r="Z842" s="235"/>
      <c r="AA842" s="235"/>
      <c r="AB842" s="235"/>
      <c r="AC842" s="235"/>
      <c r="AD842" s="235"/>
      <c r="AE842" s="235"/>
      <c r="AF842" s="235"/>
      <c r="AG842" s="235"/>
      <c r="AH842" s="235"/>
      <c r="AI842" s="235"/>
      <c r="AJ842" s="235"/>
      <c r="AK842" s="235"/>
      <c r="AL842" s="235"/>
      <c r="AM842" s="235"/>
      <c r="AN842" s="235"/>
      <c r="AO842" s="235"/>
      <c r="AP842" s="235"/>
      <c r="AQ842" s="235"/>
      <c r="AR842" s="235"/>
      <c r="AS842" s="235"/>
      <c r="AT842" s="235"/>
      <c r="AU842" s="235"/>
      <c r="AV842" s="235"/>
      <c r="AW842" s="235"/>
      <c r="AX842" s="235"/>
      <c r="AY842" s="235"/>
      <c r="AZ842" s="235"/>
      <c r="BA842" s="235"/>
      <c r="BB842" s="235"/>
      <c r="BC842" s="235"/>
      <c r="BD842" s="235"/>
      <c r="BE842" s="235"/>
      <c r="BF842" s="235"/>
      <c r="BG842" s="235"/>
      <c r="BH842" s="235"/>
      <c r="BI842" s="235"/>
      <c r="BJ842" s="235"/>
      <c r="BK842" s="235"/>
      <c r="BL842" s="235"/>
      <c r="BM842" s="235"/>
      <c r="BN842" s="235"/>
      <c r="BO842" s="235"/>
    </row>
    <row r="843" ht="29.25" hidden="1" customHeight="1">
      <c r="A843" s="230"/>
      <c r="B843" s="231"/>
      <c r="C843" s="179"/>
      <c r="D843" s="179"/>
      <c r="E843" s="180"/>
      <c r="F843" s="162"/>
      <c r="G843" s="232"/>
      <c r="H843" s="234"/>
      <c r="I843" s="181"/>
      <c r="J843" s="182"/>
      <c r="K843" s="182"/>
      <c r="L843" s="182"/>
      <c r="M843" s="234"/>
      <c r="N843" s="28"/>
      <c r="O843" s="181"/>
      <c r="P843" s="183"/>
      <c r="Q843" s="104"/>
      <c r="R843" s="233"/>
      <c r="S843" s="164"/>
      <c r="T843" s="164"/>
      <c r="U843" s="162"/>
      <c r="V843" s="235"/>
      <c r="W843" s="235"/>
      <c r="X843" s="235"/>
      <c r="Y843" s="235"/>
      <c r="Z843" s="235"/>
      <c r="AA843" s="235"/>
      <c r="AB843" s="235"/>
      <c r="AC843" s="235"/>
      <c r="AD843" s="235"/>
      <c r="AE843" s="235"/>
      <c r="AF843" s="235"/>
      <c r="AG843" s="235"/>
      <c r="AH843" s="235"/>
      <c r="AI843" s="235"/>
      <c r="AJ843" s="235"/>
      <c r="AK843" s="235"/>
      <c r="AL843" s="235"/>
      <c r="AM843" s="235"/>
      <c r="AN843" s="235"/>
      <c r="AO843" s="235"/>
      <c r="AP843" s="235"/>
      <c r="AQ843" s="235"/>
      <c r="AR843" s="235"/>
      <c r="AS843" s="235"/>
      <c r="AT843" s="235"/>
      <c r="AU843" s="235"/>
      <c r="AV843" s="235"/>
      <c r="AW843" s="235"/>
      <c r="AX843" s="235"/>
      <c r="AY843" s="235"/>
      <c r="AZ843" s="235"/>
      <c r="BA843" s="235"/>
      <c r="BB843" s="235"/>
      <c r="BC843" s="235"/>
      <c r="BD843" s="235"/>
      <c r="BE843" s="235"/>
      <c r="BF843" s="235"/>
      <c r="BG843" s="235"/>
      <c r="BH843" s="235"/>
      <c r="BI843" s="235"/>
      <c r="BJ843" s="235"/>
      <c r="BK843" s="235"/>
      <c r="BL843" s="235"/>
      <c r="BM843" s="235"/>
      <c r="BN843" s="235"/>
      <c r="BO843" s="235"/>
    </row>
    <row r="844" ht="29.25" hidden="1" customHeight="1">
      <c r="A844" s="230"/>
      <c r="B844" s="231"/>
      <c r="C844" s="179"/>
      <c r="D844" s="179"/>
      <c r="E844" s="180"/>
      <c r="F844" s="162"/>
      <c r="G844" s="232"/>
      <c r="H844" s="234"/>
      <c r="I844" s="181"/>
      <c r="J844" s="182"/>
      <c r="K844" s="182"/>
      <c r="L844" s="182"/>
      <c r="M844" s="234"/>
      <c r="N844" s="28"/>
      <c r="O844" s="181"/>
      <c r="P844" s="183"/>
      <c r="Q844" s="104"/>
      <c r="R844" s="233"/>
      <c r="S844" s="164"/>
      <c r="T844" s="164"/>
      <c r="U844" s="162"/>
      <c r="V844" s="235"/>
      <c r="W844" s="235"/>
      <c r="X844" s="235"/>
      <c r="Y844" s="235"/>
      <c r="Z844" s="235"/>
      <c r="AA844" s="235"/>
      <c r="AB844" s="235"/>
      <c r="AC844" s="235"/>
      <c r="AD844" s="235"/>
      <c r="AE844" s="235"/>
      <c r="AF844" s="235"/>
      <c r="AG844" s="235"/>
      <c r="AH844" s="235"/>
      <c r="AI844" s="235"/>
      <c r="AJ844" s="235"/>
      <c r="AK844" s="235"/>
      <c r="AL844" s="235"/>
      <c r="AM844" s="235"/>
      <c r="AN844" s="235"/>
      <c r="AO844" s="235"/>
      <c r="AP844" s="235"/>
      <c r="AQ844" s="235"/>
      <c r="AR844" s="235"/>
      <c r="AS844" s="235"/>
      <c r="AT844" s="235"/>
      <c r="AU844" s="235"/>
      <c r="AV844" s="235"/>
      <c r="AW844" s="235"/>
      <c r="AX844" s="235"/>
      <c r="AY844" s="235"/>
      <c r="AZ844" s="235"/>
      <c r="BA844" s="235"/>
      <c r="BB844" s="235"/>
      <c r="BC844" s="235"/>
      <c r="BD844" s="235"/>
      <c r="BE844" s="235"/>
      <c r="BF844" s="235"/>
      <c r="BG844" s="235"/>
      <c r="BH844" s="235"/>
      <c r="BI844" s="235"/>
      <c r="BJ844" s="235"/>
      <c r="BK844" s="235"/>
      <c r="BL844" s="235"/>
      <c r="BM844" s="235"/>
      <c r="BN844" s="235"/>
      <c r="BO844" s="235"/>
    </row>
    <row r="845" ht="29.25" hidden="1" customHeight="1">
      <c r="A845" s="230"/>
      <c r="B845" s="231"/>
      <c r="C845" s="179"/>
      <c r="D845" s="179"/>
      <c r="E845" s="180"/>
      <c r="F845" s="162"/>
      <c r="G845" s="232"/>
      <c r="H845" s="234"/>
      <c r="I845" s="181"/>
      <c r="J845" s="182"/>
      <c r="K845" s="182"/>
      <c r="L845" s="182"/>
      <c r="M845" s="234"/>
      <c r="N845" s="28"/>
      <c r="O845" s="181"/>
      <c r="P845" s="183"/>
      <c r="Q845" s="104"/>
      <c r="R845" s="233"/>
      <c r="S845" s="164"/>
      <c r="T845" s="164"/>
      <c r="U845" s="162"/>
      <c r="V845" s="235"/>
      <c r="W845" s="235"/>
      <c r="X845" s="235"/>
      <c r="Y845" s="235"/>
      <c r="Z845" s="235"/>
      <c r="AA845" s="235"/>
      <c r="AB845" s="235"/>
      <c r="AC845" s="235"/>
      <c r="AD845" s="235"/>
      <c r="AE845" s="235"/>
      <c r="AF845" s="235"/>
      <c r="AG845" s="235"/>
      <c r="AH845" s="235"/>
      <c r="AI845" s="235"/>
      <c r="AJ845" s="235"/>
      <c r="AK845" s="235"/>
      <c r="AL845" s="235"/>
      <c r="AM845" s="235"/>
      <c r="AN845" s="235"/>
      <c r="AO845" s="235"/>
      <c r="AP845" s="235"/>
      <c r="AQ845" s="235"/>
      <c r="AR845" s="235"/>
      <c r="AS845" s="235"/>
      <c r="AT845" s="235"/>
      <c r="AU845" s="235"/>
      <c r="AV845" s="235"/>
      <c r="AW845" s="235"/>
      <c r="AX845" s="235"/>
      <c r="AY845" s="235"/>
      <c r="AZ845" s="235"/>
      <c r="BA845" s="235"/>
      <c r="BB845" s="235"/>
      <c r="BC845" s="235"/>
      <c r="BD845" s="235"/>
      <c r="BE845" s="235"/>
      <c r="BF845" s="235"/>
      <c r="BG845" s="235"/>
      <c r="BH845" s="235"/>
      <c r="BI845" s="235"/>
      <c r="BJ845" s="235"/>
      <c r="BK845" s="235"/>
      <c r="BL845" s="235"/>
      <c r="BM845" s="235"/>
      <c r="BN845" s="235"/>
      <c r="BO845" s="235"/>
    </row>
    <row r="846" ht="29.25" hidden="1" customHeight="1">
      <c r="A846" s="230"/>
      <c r="B846" s="231"/>
      <c r="C846" s="179"/>
      <c r="D846" s="179"/>
      <c r="E846" s="180"/>
      <c r="F846" s="162"/>
      <c r="G846" s="232"/>
      <c r="H846" s="234"/>
      <c r="I846" s="181"/>
      <c r="J846" s="182"/>
      <c r="K846" s="182"/>
      <c r="L846" s="182"/>
      <c r="M846" s="234"/>
      <c r="N846" s="28"/>
      <c r="O846" s="181"/>
      <c r="P846" s="183"/>
      <c r="Q846" s="104"/>
      <c r="R846" s="233"/>
      <c r="S846" s="164"/>
      <c r="T846" s="164"/>
      <c r="U846" s="162"/>
      <c r="V846" s="235"/>
      <c r="W846" s="235"/>
      <c r="X846" s="235"/>
      <c r="Y846" s="235"/>
      <c r="Z846" s="235"/>
      <c r="AA846" s="235"/>
      <c r="AB846" s="235"/>
      <c r="AC846" s="235"/>
      <c r="AD846" s="235"/>
      <c r="AE846" s="235"/>
      <c r="AF846" s="235"/>
      <c r="AG846" s="235"/>
      <c r="AH846" s="235"/>
      <c r="AI846" s="235"/>
      <c r="AJ846" s="235"/>
      <c r="AK846" s="235"/>
      <c r="AL846" s="235"/>
      <c r="AM846" s="235"/>
      <c r="AN846" s="235"/>
      <c r="AO846" s="235"/>
      <c r="AP846" s="235"/>
      <c r="AQ846" s="235"/>
      <c r="AR846" s="235"/>
      <c r="AS846" s="235"/>
      <c r="AT846" s="235"/>
      <c r="AU846" s="235"/>
      <c r="AV846" s="235"/>
      <c r="AW846" s="235"/>
      <c r="AX846" s="235"/>
      <c r="AY846" s="235"/>
      <c r="AZ846" s="235"/>
      <c r="BA846" s="235"/>
      <c r="BB846" s="235"/>
      <c r="BC846" s="235"/>
      <c r="BD846" s="235"/>
      <c r="BE846" s="235"/>
      <c r="BF846" s="235"/>
      <c r="BG846" s="235"/>
      <c r="BH846" s="235"/>
      <c r="BI846" s="235"/>
      <c r="BJ846" s="235"/>
      <c r="BK846" s="235"/>
      <c r="BL846" s="235"/>
      <c r="BM846" s="235"/>
      <c r="BN846" s="235"/>
      <c r="BO846" s="235"/>
    </row>
    <row r="847" ht="29.25" hidden="1" customHeight="1">
      <c r="A847" s="230"/>
      <c r="B847" s="231"/>
      <c r="C847" s="179"/>
      <c r="D847" s="179"/>
      <c r="E847" s="180"/>
      <c r="F847" s="162"/>
      <c r="G847" s="232"/>
      <c r="H847" s="234"/>
      <c r="I847" s="181"/>
      <c r="J847" s="182"/>
      <c r="K847" s="182"/>
      <c r="L847" s="182"/>
      <c r="M847" s="234"/>
      <c r="N847" s="28"/>
      <c r="O847" s="181"/>
      <c r="P847" s="183"/>
      <c r="Q847" s="104"/>
      <c r="R847" s="233"/>
      <c r="S847" s="164"/>
      <c r="T847" s="164"/>
      <c r="U847" s="162"/>
      <c r="V847" s="235"/>
      <c r="W847" s="235"/>
      <c r="X847" s="235"/>
      <c r="Y847" s="235"/>
      <c r="Z847" s="235"/>
      <c r="AA847" s="235"/>
      <c r="AB847" s="235"/>
      <c r="AC847" s="235"/>
      <c r="AD847" s="235"/>
      <c r="AE847" s="235"/>
      <c r="AF847" s="235"/>
      <c r="AG847" s="235"/>
      <c r="AH847" s="235"/>
      <c r="AI847" s="235"/>
      <c r="AJ847" s="235"/>
      <c r="AK847" s="235"/>
      <c r="AL847" s="235"/>
      <c r="AM847" s="235"/>
      <c r="AN847" s="235"/>
      <c r="AO847" s="235"/>
      <c r="AP847" s="235"/>
      <c r="AQ847" s="235"/>
      <c r="AR847" s="235"/>
      <c r="AS847" s="235"/>
      <c r="AT847" s="235"/>
      <c r="AU847" s="235"/>
      <c r="AV847" s="235"/>
      <c r="AW847" s="235"/>
      <c r="AX847" s="235"/>
      <c r="AY847" s="235"/>
      <c r="AZ847" s="235"/>
      <c r="BA847" s="235"/>
      <c r="BB847" s="235"/>
      <c r="BC847" s="235"/>
      <c r="BD847" s="235"/>
      <c r="BE847" s="235"/>
      <c r="BF847" s="235"/>
      <c r="BG847" s="235"/>
      <c r="BH847" s="235"/>
      <c r="BI847" s="235"/>
      <c r="BJ847" s="235"/>
      <c r="BK847" s="235"/>
      <c r="BL847" s="235"/>
      <c r="BM847" s="235"/>
      <c r="BN847" s="235"/>
      <c r="BO847" s="235"/>
    </row>
    <row r="848" ht="29.25" hidden="1" customHeight="1">
      <c r="A848" s="230"/>
      <c r="B848" s="231"/>
      <c r="C848" s="179"/>
      <c r="D848" s="179"/>
      <c r="E848" s="180"/>
      <c r="F848" s="162"/>
      <c r="G848" s="232"/>
      <c r="H848" s="234"/>
      <c r="I848" s="181"/>
      <c r="J848" s="182"/>
      <c r="K848" s="182"/>
      <c r="L848" s="182"/>
      <c r="M848" s="234"/>
      <c r="N848" s="28"/>
      <c r="O848" s="181"/>
      <c r="P848" s="183"/>
      <c r="Q848" s="104"/>
      <c r="R848" s="233"/>
      <c r="S848" s="164"/>
      <c r="T848" s="164"/>
      <c r="U848" s="162"/>
      <c r="V848" s="235"/>
      <c r="W848" s="235"/>
      <c r="X848" s="235"/>
      <c r="Y848" s="235"/>
      <c r="Z848" s="235"/>
      <c r="AA848" s="235"/>
      <c r="AB848" s="235"/>
      <c r="AC848" s="235"/>
      <c r="AD848" s="235"/>
      <c r="AE848" s="235"/>
      <c r="AF848" s="235"/>
      <c r="AG848" s="235"/>
      <c r="AH848" s="235"/>
      <c r="AI848" s="235"/>
      <c r="AJ848" s="235"/>
      <c r="AK848" s="235"/>
      <c r="AL848" s="235"/>
      <c r="AM848" s="235"/>
      <c r="AN848" s="235"/>
      <c r="AO848" s="235"/>
      <c r="AP848" s="235"/>
      <c r="AQ848" s="235"/>
      <c r="AR848" s="235"/>
      <c r="AS848" s="235"/>
      <c r="AT848" s="235"/>
      <c r="AU848" s="235"/>
      <c r="AV848" s="235"/>
      <c r="AW848" s="235"/>
      <c r="AX848" s="235"/>
      <c r="AY848" s="235"/>
      <c r="AZ848" s="235"/>
      <c r="BA848" s="235"/>
      <c r="BB848" s="235"/>
      <c r="BC848" s="235"/>
      <c r="BD848" s="235"/>
      <c r="BE848" s="235"/>
      <c r="BF848" s="235"/>
      <c r="BG848" s="235"/>
      <c r="BH848" s="235"/>
      <c r="BI848" s="235"/>
      <c r="BJ848" s="235"/>
      <c r="BK848" s="235"/>
      <c r="BL848" s="235"/>
      <c r="BM848" s="235"/>
      <c r="BN848" s="235"/>
      <c r="BO848" s="235"/>
    </row>
    <row r="849" ht="29.25" hidden="1" customHeight="1">
      <c r="A849" s="230"/>
      <c r="B849" s="231"/>
      <c r="C849" s="179"/>
      <c r="D849" s="179"/>
      <c r="E849" s="180"/>
      <c r="F849" s="162"/>
      <c r="G849" s="232"/>
      <c r="H849" s="234"/>
      <c r="I849" s="181"/>
      <c r="J849" s="182"/>
      <c r="K849" s="182"/>
      <c r="L849" s="182"/>
      <c r="M849" s="234"/>
      <c r="N849" s="28"/>
      <c r="O849" s="181"/>
      <c r="P849" s="183"/>
      <c r="Q849" s="104"/>
      <c r="R849" s="233"/>
      <c r="S849" s="164"/>
      <c r="T849" s="164"/>
      <c r="U849" s="162"/>
      <c r="V849" s="235"/>
      <c r="W849" s="235"/>
      <c r="X849" s="235"/>
      <c r="Y849" s="235"/>
      <c r="Z849" s="235"/>
      <c r="AA849" s="235"/>
      <c r="AB849" s="235"/>
      <c r="AC849" s="235"/>
      <c r="AD849" s="235"/>
      <c r="AE849" s="235"/>
      <c r="AF849" s="235"/>
      <c r="AG849" s="235"/>
      <c r="AH849" s="235"/>
      <c r="AI849" s="235"/>
      <c r="AJ849" s="235"/>
      <c r="AK849" s="235"/>
      <c r="AL849" s="235"/>
      <c r="AM849" s="235"/>
      <c r="AN849" s="235"/>
      <c r="AO849" s="235"/>
      <c r="AP849" s="235"/>
      <c r="AQ849" s="235"/>
      <c r="AR849" s="235"/>
      <c r="AS849" s="235"/>
      <c r="AT849" s="235"/>
      <c r="AU849" s="235"/>
      <c r="AV849" s="235"/>
      <c r="AW849" s="235"/>
      <c r="AX849" s="235"/>
      <c r="AY849" s="235"/>
      <c r="AZ849" s="235"/>
      <c r="BA849" s="235"/>
      <c r="BB849" s="235"/>
      <c r="BC849" s="235"/>
      <c r="BD849" s="235"/>
      <c r="BE849" s="235"/>
      <c r="BF849" s="235"/>
      <c r="BG849" s="235"/>
      <c r="BH849" s="235"/>
      <c r="BI849" s="235"/>
      <c r="BJ849" s="235"/>
      <c r="BK849" s="235"/>
      <c r="BL849" s="235"/>
      <c r="BM849" s="235"/>
      <c r="BN849" s="235"/>
      <c r="BO849" s="235"/>
    </row>
    <row r="850" ht="29.25" hidden="1" customHeight="1">
      <c r="A850" s="230"/>
      <c r="B850" s="231"/>
      <c r="C850" s="179"/>
      <c r="D850" s="179"/>
      <c r="E850" s="180"/>
      <c r="F850" s="162"/>
      <c r="G850" s="232"/>
      <c r="H850" s="234"/>
      <c r="I850" s="181"/>
      <c r="J850" s="182"/>
      <c r="K850" s="182"/>
      <c r="L850" s="182"/>
      <c r="M850" s="234"/>
      <c r="N850" s="28"/>
      <c r="O850" s="181"/>
      <c r="P850" s="183"/>
      <c r="Q850" s="104"/>
      <c r="R850" s="233"/>
      <c r="S850" s="164"/>
      <c r="T850" s="164"/>
      <c r="U850" s="162"/>
      <c r="V850" s="235"/>
      <c r="W850" s="235"/>
      <c r="X850" s="235"/>
      <c r="Y850" s="235"/>
      <c r="Z850" s="235"/>
      <c r="AA850" s="235"/>
      <c r="AB850" s="235"/>
      <c r="AC850" s="235"/>
      <c r="AD850" s="235"/>
      <c r="AE850" s="235"/>
      <c r="AF850" s="235"/>
      <c r="AG850" s="235"/>
      <c r="AH850" s="235"/>
      <c r="AI850" s="235"/>
      <c r="AJ850" s="235"/>
      <c r="AK850" s="235"/>
      <c r="AL850" s="235"/>
      <c r="AM850" s="235"/>
      <c r="AN850" s="235"/>
      <c r="AO850" s="235"/>
      <c r="AP850" s="235"/>
      <c r="AQ850" s="235"/>
      <c r="AR850" s="235"/>
      <c r="AS850" s="235"/>
      <c r="AT850" s="235"/>
      <c r="AU850" s="235"/>
      <c r="AV850" s="235"/>
      <c r="AW850" s="235"/>
      <c r="AX850" s="235"/>
      <c r="AY850" s="235"/>
      <c r="AZ850" s="235"/>
      <c r="BA850" s="235"/>
      <c r="BB850" s="235"/>
      <c r="BC850" s="235"/>
      <c r="BD850" s="235"/>
      <c r="BE850" s="235"/>
      <c r="BF850" s="235"/>
      <c r="BG850" s="235"/>
      <c r="BH850" s="235"/>
      <c r="BI850" s="235"/>
      <c r="BJ850" s="235"/>
      <c r="BK850" s="235"/>
      <c r="BL850" s="235"/>
      <c r="BM850" s="235"/>
      <c r="BN850" s="235"/>
      <c r="BO850" s="235"/>
    </row>
    <row r="851" ht="29.25" hidden="1" customHeight="1">
      <c r="A851" s="230"/>
      <c r="B851" s="231"/>
      <c r="C851" s="179"/>
      <c r="D851" s="179"/>
      <c r="E851" s="180"/>
      <c r="F851" s="162"/>
      <c r="G851" s="232"/>
      <c r="H851" s="234"/>
      <c r="I851" s="181"/>
      <c r="J851" s="182"/>
      <c r="K851" s="182"/>
      <c r="L851" s="182"/>
      <c r="M851" s="234"/>
      <c r="N851" s="28"/>
      <c r="O851" s="181"/>
      <c r="P851" s="183"/>
      <c r="Q851" s="104"/>
      <c r="R851" s="233"/>
      <c r="S851" s="164"/>
      <c r="T851" s="164"/>
      <c r="U851" s="162"/>
      <c r="V851" s="235"/>
      <c r="W851" s="235"/>
      <c r="X851" s="235"/>
      <c r="Y851" s="235"/>
      <c r="Z851" s="235"/>
      <c r="AA851" s="235"/>
      <c r="AB851" s="235"/>
      <c r="AC851" s="235"/>
      <c r="AD851" s="235"/>
      <c r="AE851" s="235"/>
      <c r="AF851" s="235"/>
      <c r="AG851" s="235"/>
      <c r="AH851" s="235"/>
      <c r="AI851" s="235"/>
      <c r="AJ851" s="235"/>
      <c r="AK851" s="235"/>
      <c r="AL851" s="235"/>
      <c r="AM851" s="235"/>
      <c r="AN851" s="235"/>
      <c r="AO851" s="235"/>
      <c r="AP851" s="235"/>
      <c r="AQ851" s="235"/>
      <c r="AR851" s="235"/>
      <c r="AS851" s="235"/>
      <c r="AT851" s="235"/>
      <c r="AU851" s="235"/>
      <c r="AV851" s="235"/>
      <c r="AW851" s="235"/>
      <c r="AX851" s="235"/>
      <c r="AY851" s="235"/>
      <c r="AZ851" s="235"/>
      <c r="BA851" s="235"/>
      <c r="BB851" s="235"/>
      <c r="BC851" s="235"/>
      <c r="BD851" s="235"/>
      <c r="BE851" s="235"/>
      <c r="BF851" s="235"/>
      <c r="BG851" s="235"/>
      <c r="BH851" s="235"/>
      <c r="BI851" s="235"/>
      <c r="BJ851" s="235"/>
      <c r="BK851" s="235"/>
      <c r="BL851" s="235"/>
      <c r="BM851" s="235"/>
      <c r="BN851" s="235"/>
      <c r="BO851" s="235"/>
    </row>
    <row r="852" ht="29.25" hidden="1" customHeight="1">
      <c r="A852" s="230"/>
      <c r="B852" s="231"/>
      <c r="C852" s="179"/>
      <c r="D852" s="179"/>
      <c r="E852" s="180"/>
      <c r="F852" s="162"/>
      <c r="G852" s="232"/>
      <c r="H852" s="234"/>
      <c r="I852" s="181"/>
      <c r="J852" s="182"/>
      <c r="K852" s="182"/>
      <c r="L852" s="182"/>
      <c r="M852" s="234"/>
      <c r="N852" s="28"/>
      <c r="O852" s="181"/>
      <c r="P852" s="183"/>
      <c r="Q852" s="104"/>
      <c r="R852" s="233"/>
      <c r="S852" s="164"/>
      <c r="T852" s="164"/>
      <c r="U852" s="162"/>
      <c r="V852" s="235"/>
      <c r="W852" s="235"/>
      <c r="X852" s="235"/>
      <c r="Y852" s="235"/>
      <c r="Z852" s="235"/>
      <c r="AA852" s="235"/>
      <c r="AB852" s="235"/>
      <c r="AC852" s="235"/>
      <c r="AD852" s="235"/>
      <c r="AE852" s="235"/>
      <c r="AF852" s="235"/>
      <c r="AG852" s="235"/>
      <c r="AH852" s="235"/>
      <c r="AI852" s="235"/>
      <c r="AJ852" s="235"/>
      <c r="AK852" s="235"/>
      <c r="AL852" s="235"/>
      <c r="AM852" s="235"/>
      <c r="AN852" s="235"/>
      <c r="AO852" s="235"/>
      <c r="AP852" s="235"/>
      <c r="AQ852" s="235"/>
      <c r="AR852" s="235"/>
      <c r="AS852" s="235"/>
      <c r="AT852" s="235"/>
      <c r="AU852" s="235"/>
      <c r="AV852" s="235"/>
      <c r="AW852" s="235"/>
      <c r="AX852" s="235"/>
      <c r="AY852" s="235"/>
      <c r="AZ852" s="235"/>
      <c r="BA852" s="235"/>
      <c r="BB852" s="235"/>
      <c r="BC852" s="235"/>
      <c r="BD852" s="235"/>
      <c r="BE852" s="235"/>
      <c r="BF852" s="235"/>
      <c r="BG852" s="235"/>
      <c r="BH852" s="235"/>
      <c r="BI852" s="235"/>
      <c r="BJ852" s="235"/>
      <c r="BK852" s="235"/>
      <c r="BL852" s="235"/>
      <c r="BM852" s="235"/>
      <c r="BN852" s="235"/>
      <c r="BO852" s="235"/>
    </row>
    <row r="853" ht="29.25" hidden="1" customHeight="1">
      <c r="A853" s="230"/>
      <c r="B853" s="231"/>
      <c r="C853" s="179"/>
      <c r="D853" s="179"/>
      <c r="E853" s="180"/>
      <c r="F853" s="162"/>
      <c r="G853" s="232"/>
      <c r="H853" s="234"/>
      <c r="I853" s="181"/>
      <c r="J853" s="182"/>
      <c r="K853" s="182"/>
      <c r="L853" s="182"/>
      <c r="M853" s="234"/>
      <c r="N853" s="28"/>
      <c r="O853" s="181"/>
      <c r="P853" s="183"/>
      <c r="Q853" s="104"/>
      <c r="R853" s="233"/>
      <c r="S853" s="164"/>
      <c r="T853" s="164"/>
      <c r="U853" s="162"/>
      <c r="V853" s="235"/>
      <c r="W853" s="235"/>
      <c r="X853" s="235"/>
      <c r="Y853" s="235"/>
      <c r="Z853" s="235"/>
      <c r="AA853" s="235"/>
      <c r="AB853" s="235"/>
      <c r="AC853" s="235"/>
      <c r="AD853" s="235"/>
      <c r="AE853" s="235"/>
      <c r="AF853" s="235"/>
      <c r="AG853" s="235"/>
      <c r="AH853" s="235"/>
      <c r="AI853" s="235"/>
      <c r="AJ853" s="235"/>
      <c r="AK853" s="235"/>
      <c r="AL853" s="235"/>
      <c r="AM853" s="235"/>
      <c r="AN853" s="235"/>
      <c r="AO853" s="235"/>
      <c r="AP853" s="235"/>
      <c r="AQ853" s="235"/>
      <c r="AR853" s="235"/>
      <c r="AS853" s="235"/>
      <c r="AT853" s="235"/>
      <c r="AU853" s="235"/>
      <c r="AV853" s="235"/>
      <c r="AW853" s="235"/>
      <c r="AX853" s="235"/>
      <c r="AY853" s="235"/>
      <c r="AZ853" s="235"/>
      <c r="BA853" s="235"/>
      <c r="BB853" s="235"/>
      <c r="BC853" s="235"/>
      <c r="BD853" s="235"/>
      <c r="BE853" s="235"/>
      <c r="BF853" s="235"/>
      <c r="BG853" s="235"/>
      <c r="BH853" s="235"/>
      <c r="BI853" s="235"/>
      <c r="BJ853" s="235"/>
      <c r="BK853" s="235"/>
      <c r="BL853" s="235"/>
      <c r="BM853" s="235"/>
      <c r="BN853" s="235"/>
      <c r="BO853" s="235"/>
    </row>
    <row r="854" ht="29.25" hidden="1" customHeight="1">
      <c r="A854" s="230"/>
      <c r="B854" s="231"/>
      <c r="C854" s="179"/>
      <c r="D854" s="179"/>
      <c r="E854" s="180"/>
      <c r="F854" s="162"/>
      <c r="G854" s="232"/>
      <c r="H854" s="234"/>
      <c r="I854" s="181"/>
      <c r="J854" s="182"/>
      <c r="K854" s="182"/>
      <c r="L854" s="182"/>
      <c r="M854" s="234"/>
      <c r="N854" s="28"/>
      <c r="O854" s="181"/>
      <c r="P854" s="183"/>
      <c r="Q854" s="104"/>
      <c r="R854" s="233"/>
      <c r="S854" s="164"/>
      <c r="T854" s="164"/>
      <c r="U854" s="162"/>
      <c r="V854" s="235"/>
      <c r="W854" s="235"/>
      <c r="X854" s="235"/>
      <c r="Y854" s="235"/>
      <c r="Z854" s="235"/>
      <c r="AA854" s="235"/>
      <c r="AB854" s="235"/>
      <c r="AC854" s="235"/>
      <c r="AD854" s="235"/>
      <c r="AE854" s="235"/>
      <c r="AF854" s="235"/>
      <c r="AG854" s="235"/>
      <c r="AH854" s="235"/>
      <c r="AI854" s="235"/>
      <c r="AJ854" s="235"/>
      <c r="AK854" s="235"/>
      <c r="AL854" s="235"/>
      <c r="AM854" s="235"/>
      <c r="AN854" s="235"/>
      <c r="AO854" s="235"/>
      <c r="AP854" s="235"/>
      <c r="AQ854" s="235"/>
      <c r="AR854" s="235"/>
      <c r="AS854" s="235"/>
      <c r="AT854" s="235"/>
      <c r="AU854" s="235"/>
      <c r="AV854" s="235"/>
      <c r="AW854" s="235"/>
      <c r="AX854" s="235"/>
      <c r="AY854" s="235"/>
      <c r="AZ854" s="235"/>
      <c r="BA854" s="235"/>
      <c r="BB854" s="235"/>
      <c r="BC854" s="235"/>
      <c r="BD854" s="235"/>
      <c r="BE854" s="235"/>
      <c r="BF854" s="235"/>
      <c r="BG854" s="235"/>
      <c r="BH854" s="235"/>
      <c r="BI854" s="235"/>
      <c r="BJ854" s="235"/>
      <c r="BK854" s="235"/>
      <c r="BL854" s="235"/>
      <c r="BM854" s="235"/>
      <c r="BN854" s="235"/>
      <c r="BO854" s="235"/>
    </row>
    <row r="855" ht="29.25" hidden="1" customHeight="1">
      <c r="A855" s="230"/>
      <c r="B855" s="231"/>
      <c r="C855" s="179"/>
      <c r="D855" s="179"/>
      <c r="E855" s="180"/>
      <c r="F855" s="162"/>
      <c r="G855" s="232"/>
      <c r="H855" s="234"/>
      <c r="I855" s="181"/>
      <c r="J855" s="182"/>
      <c r="K855" s="182"/>
      <c r="L855" s="182"/>
      <c r="M855" s="234"/>
      <c r="N855" s="28"/>
      <c r="O855" s="181"/>
      <c r="P855" s="183"/>
      <c r="Q855" s="104"/>
      <c r="R855" s="233"/>
      <c r="S855" s="164"/>
      <c r="T855" s="164"/>
      <c r="U855" s="162"/>
      <c r="V855" s="235"/>
      <c r="W855" s="235"/>
      <c r="X855" s="235"/>
      <c r="Y855" s="235"/>
      <c r="Z855" s="235"/>
      <c r="AA855" s="235"/>
      <c r="AB855" s="235"/>
      <c r="AC855" s="235"/>
      <c r="AD855" s="235"/>
      <c r="AE855" s="235"/>
      <c r="AF855" s="235"/>
      <c r="AG855" s="235"/>
      <c r="AH855" s="235"/>
      <c r="AI855" s="235"/>
      <c r="AJ855" s="235"/>
      <c r="AK855" s="235"/>
      <c r="AL855" s="235"/>
      <c r="AM855" s="235"/>
      <c r="AN855" s="235"/>
      <c r="AO855" s="235"/>
      <c r="AP855" s="235"/>
      <c r="AQ855" s="235"/>
      <c r="AR855" s="235"/>
      <c r="AS855" s="235"/>
      <c r="AT855" s="235"/>
      <c r="AU855" s="235"/>
      <c r="AV855" s="235"/>
      <c r="AW855" s="235"/>
      <c r="AX855" s="235"/>
      <c r="AY855" s="235"/>
      <c r="AZ855" s="235"/>
      <c r="BA855" s="235"/>
      <c r="BB855" s="235"/>
      <c r="BC855" s="235"/>
      <c r="BD855" s="235"/>
      <c r="BE855" s="235"/>
      <c r="BF855" s="235"/>
      <c r="BG855" s="235"/>
      <c r="BH855" s="235"/>
      <c r="BI855" s="235"/>
      <c r="BJ855" s="235"/>
      <c r="BK855" s="235"/>
      <c r="BL855" s="235"/>
      <c r="BM855" s="235"/>
      <c r="BN855" s="235"/>
      <c r="BO855" s="235"/>
    </row>
    <row r="856" ht="29.25" hidden="1" customHeight="1">
      <c r="A856" s="230"/>
      <c r="B856" s="231"/>
      <c r="C856" s="179"/>
      <c r="D856" s="179"/>
      <c r="E856" s="180"/>
      <c r="F856" s="162"/>
      <c r="G856" s="232"/>
      <c r="H856" s="234"/>
      <c r="I856" s="181"/>
      <c r="J856" s="182"/>
      <c r="K856" s="182"/>
      <c r="L856" s="182"/>
      <c r="M856" s="234"/>
      <c r="N856" s="28"/>
      <c r="O856" s="181"/>
      <c r="P856" s="183"/>
      <c r="Q856" s="104"/>
      <c r="R856" s="233"/>
      <c r="S856" s="164"/>
      <c r="T856" s="164"/>
      <c r="U856" s="162"/>
      <c r="V856" s="235"/>
      <c r="W856" s="235"/>
      <c r="X856" s="235"/>
      <c r="Y856" s="235"/>
      <c r="Z856" s="235"/>
      <c r="AA856" s="235"/>
      <c r="AB856" s="235"/>
      <c r="AC856" s="235"/>
      <c r="AD856" s="235"/>
      <c r="AE856" s="235"/>
      <c r="AF856" s="235"/>
      <c r="AG856" s="235"/>
      <c r="AH856" s="235"/>
      <c r="AI856" s="235"/>
      <c r="AJ856" s="235"/>
      <c r="AK856" s="235"/>
      <c r="AL856" s="235"/>
      <c r="AM856" s="235"/>
      <c r="AN856" s="235"/>
      <c r="AO856" s="235"/>
      <c r="AP856" s="235"/>
      <c r="AQ856" s="235"/>
      <c r="AR856" s="235"/>
      <c r="AS856" s="235"/>
      <c r="AT856" s="235"/>
      <c r="AU856" s="235"/>
      <c r="AV856" s="235"/>
      <c r="AW856" s="235"/>
      <c r="AX856" s="235"/>
      <c r="AY856" s="235"/>
      <c r="AZ856" s="235"/>
      <c r="BA856" s="235"/>
      <c r="BB856" s="235"/>
      <c r="BC856" s="235"/>
      <c r="BD856" s="235"/>
      <c r="BE856" s="235"/>
      <c r="BF856" s="235"/>
      <c r="BG856" s="235"/>
      <c r="BH856" s="235"/>
      <c r="BI856" s="235"/>
      <c r="BJ856" s="235"/>
      <c r="BK856" s="235"/>
      <c r="BL856" s="235"/>
      <c r="BM856" s="235"/>
      <c r="BN856" s="235"/>
      <c r="BO856" s="235"/>
    </row>
    <row r="857" ht="29.25" hidden="1" customHeight="1">
      <c r="A857" s="230"/>
      <c r="B857" s="231"/>
      <c r="C857" s="179"/>
      <c r="D857" s="179"/>
      <c r="E857" s="180"/>
      <c r="F857" s="162"/>
      <c r="G857" s="232"/>
      <c r="H857" s="234"/>
      <c r="I857" s="181"/>
      <c r="J857" s="182"/>
      <c r="K857" s="182"/>
      <c r="L857" s="182"/>
      <c r="M857" s="234"/>
      <c r="N857" s="28"/>
      <c r="O857" s="181"/>
      <c r="P857" s="183"/>
      <c r="Q857" s="104"/>
      <c r="R857" s="233"/>
      <c r="S857" s="164"/>
      <c r="T857" s="164"/>
      <c r="U857" s="162"/>
      <c r="V857" s="235"/>
      <c r="W857" s="235"/>
      <c r="X857" s="235"/>
      <c r="Y857" s="235"/>
      <c r="Z857" s="235"/>
      <c r="AA857" s="235"/>
      <c r="AB857" s="235"/>
      <c r="AC857" s="235"/>
      <c r="AD857" s="235"/>
      <c r="AE857" s="235"/>
      <c r="AF857" s="235"/>
      <c r="AG857" s="235"/>
      <c r="AH857" s="235"/>
      <c r="AI857" s="235"/>
      <c r="AJ857" s="235"/>
      <c r="AK857" s="235"/>
      <c r="AL857" s="235"/>
      <c r="AM857" s="235"/>
      <c r="AN857" s="235"/>
      <c r="AO857" s="235"/>
      <c r="AP857" s="235"/>
      <c r="AQ857" s="235"/>
      <c r="AR857" s="235"/>
      <c r="AS857" s="235"/>
      <c r="AT857" s="235"/>
      <c r="AU857" s="235"/>
      <c r="AV857" s="235"/>
      <c r="AW857" s="235"/>
      <c r="AX857" s="235"/>
      <c r="AY857" s="235"/>
      <c r="AZ857" s="235"/>
      <c r="BA857" s="235"/>
      <c r="BB857" s="235"/>
      <c r="BC857" s="235"/>
      <c r="BD857" s="235"/>
      <c r="BE857" s="235"/>
      <c r="BF857" s="235"/>
      <c r="BG857" s="235"/>
      <c r="BH857" s="235"/>
      <c r="BI857" s="235"/>
      <c r="BJ857" s="235"/>
      <c r="BK857" s="235"/>
      <c r="BL857" s="235"/>
      <c r="BM857" s="235"/>
      <c r="BN857" s="235"/>
      <c r="BO857" s="235"/>
    </row>
    <row r="858" ht="29.25" hidden="1" customHeight="1">
      <c r="A858" s="230"/>
      <c r="B858" s="231"/>
      <c r="C858" s="179"/>
      <c r="D858" s="179"/>
      <c r="E858" s="180"/>
      <c r="F858" s="162"/>
      <c r="G858" s="232"/>
      <c r="H858" s="234"/>
      <c r="I858" s="181"/>
      <c r="J858" s="182"/>
      <c r="K858" s="182"/>
      <c r="L858" s="182"/>
      <c r="M858" s="234"/>
      <c r="N858" s="28"/>
      <c r="O858" s="181"/>
      <c r="P858" s="183"/>
      <c r="Q858" s="104"/>
      <c r="R858" s="233"/>
      <c r="S858" s="164"/>
      <c r="T858" s="164"/>
      <c r="U858" s="162"/>
      <c r="V858" s="235"/>
      <c r="W858" s="235"/>
      <c r="X858" s="235"/>
      <c r="Y858" s="235"/>
      <c r="Z858" s="235"/>
      <c r="AA858" s="235"/>
      <c r="AB858" s="235"/>
      <c r="AC858" s="235"/>
      <c r="AD858" s="235"/>
      <c r="AE858" s="235"/>
      <c r="AF858" s="235"/>
      <c r="AG858" s="235"/>
      <c r="AH858" s="235"/>
      <c r="AI858" s="235"/>
      <c r="AJ858" s="235"/>
      <c r="AK858" s="235"/>
      <c r="AL858" s="235"/>
      <c r="AM858" s="235"/>
      <c r="AN858" s="235"/>
      <c r="AO858" s="235"/>
      <c r="AP858" s="235"/>
      <c r="AQ858" s="235"/>
      <c r="AR858" s="235"/>
      <c r="AS858" s="235"/>
      <c r="AT858" s="235"/>
      <c r="AU858" s="235"/>
      <c r="AV858" s="235"/>
      <c r="AW858" s="235"/>
      <c r="AX858" s="235"/>
      <c r="AY858" s="235"/>
      <c r="AZ858" s="235"/>
      <c r="BA858" s="235"/>
      <c r="BB858" s="235"/>
      <c r="BC858" s="235"/>
      <c r="BD858" s="235"/>
      <c r="BE858" s="235"/>
      <c r="BF858" s="235"/>
      <c r="BG858" s="235"/>
      <c r="BH858" s="235"/>
      <c r="BI858" s="235"/>
      <c r="BJ858" s="235"/>
      <c r="BK858" s="235"/>
      <c r="BL858" s="235"/>
      <c r="BM858" s="235"/>
      <c r="BN858" s="235"/>
      <c r="BO858" s="235"/>
    </row>
    <row r="859" ht="29.25" hidden="1" customHeight="1">
      <c r="A859" s="230"/>
      <c r="B859" s="231"/>
      <c r="C859" s="179"/>
      <c r="D859" s="179"/>
      <c r="E859" s="180"/>
      <c r="F859" s="162"/>
      <c r="G859" s="232"/>
      <c r="H859" s="234"/>
      <c r="I859" s="181"/>
      <c r="J859" s="182"/>
      <c r="K859" s="182"/>
      <c r="L859" s="182"/>
      <c r="M859" s="234"/>
      <c r="N859" s="28"/>
      <c r="O859" s="181"/>
      <c r="P859" s="183"/>
      <c r="Q859" s="104"/>
      <c r="R859" s="233"/>
      <c r="S859" s="164"/>
      <c r="T859" s="164"/>
      <c r="U859" s="162"/>
      <c r="V859" s="235"/>
      <c r="W859" s="235"/>
      <c r="X859" s="235"/>
      <c r="Y859" s="235"/>
      <c r="Z859" s="235"/>
      <c r="AA859" s="235"/>
      <c r="AB859" s="235"/>
      <c r="AC859" s="235"/>
      <c r="AD859" s="235"/>
      <c r="AE859" s="235"/>
      <c r="AF859" s="235"/>
      <c r="AG859" s="235"/>
      <c r="AH859" s="235"/>
      <c r="AI859" s="235"/>
      <c r="AJ859" s="235"/>
      <c r="AK859" s="235"/>
      <c r="AL859" s="235"/>
      <c r="AM859" s="235"/>
      <c r="AN859" s="235"/>
      <c r="AO859" s="235"/>
      <c r="AP859" s="235"/>
      <c r="AQ859" s="235"/>
      <c r="AR859" s="235"/>
      <c r="AS859" s="235"/>
      <c r="AT859" s="235"/>
      <c r="AU859" s="235"/>
      <c r="AV859" s="235"/>
      <c r="AW859" s="235"/>
      <c r="AX859" s="235"/>
      <c r="AY859" s="235"/>
      <c r="AZ859" s="235"/>
      <c r="BA859" s="235"/>
      <c r="BB859" s="235"/>
      <c r="BC859" s="235"/>
      <c r="BD859" s="235"/>
      <c r="BE859" s="235"/>
      <c r="BF859" s="235"/>
      <c r="BG859" s="235"/>
      <c r="BH859" s="235"/>
      <c r="BI859" s="235"/>
      <c r="BJ859" s="235"/>
      <c r="BK859" s="235"/>
      <c r="BL859" s="235"/>
      <c r="BM859" s="235"/>
      <c r="BN859" s="235"/>
      <c r="BO859" s="235"/>
    </row>
    <row r="860" ht="29.25" hidden="1" customHeight="1">
      <c r="A860" s="230"/>
      <c r="B860" s="231"/>
      <c r="C860" s="179"/>
      <c r="D860" s="179"/>
      <c r="E860" s="180"/>
      <c r="F860" s="162"/>
      <c r="G860" s="232"/>
      <c r="H860" s="234"/>
      <c r="I860" s="181"/>
      <c r="J860" s="182"/>
      <c r="K860" s="182"/>
      <c r="L860" s="182"/>
      <c r="M860" s="234"/>
      <c r="N860" s="28"/>
      <c r="O860" s="181"/>
      <c r="P860" s="183"/>
      <c r="Q860" s="104"/>
      <c r="R860" s="233"/>
      <c r="S860" s="164"/>
      <c r="T860" s="164"/>
      <c r="U860" s="162"/>
      <c r="V860" s="235"/>
      <c r="W860" s="235"/>
      <c r="X860" s="235"/>
      <c r="Y860" s="235"/>
      <c r="Z860" s="235"/>
      <c r="AA860" s="235"/>
      <c r="AB860" s="235"/>
      <c r="AC860" s="235"/>
      <c r="AD860" s="235"/>
      <c r="AE860" s="235"/>
      <c r="AF860" s="235"/>
      <c r="AG860" s="235"/>
      <c r="AH860" s="235"/>
      <c r="AI860" s="235"/>
      <c r="AJ860" s="235"/>
      <c r="AK860" s="235"/>
      <c r="AL860" s="235"/>
      <c r="AM860" s="235"/>
      <c r="AN860" s="235"/>
      <c r="AO860" s="235"/>
      <c r="AP860" s="235"/>
      <c r="AQ860" s="235"/>
      <c r="AR860" s="235"/>
      <c r="AS860" s="235"/>
      <c r="AT860" s="235"/>
      <c r="AU860" s="235"/>
      <c r="AV860" s="235"/>
      <c r="AW860" s="235"/>
      <c r="AX860" s="235"/>
      <c r="AY860" s="235"/>
      <c r="AZ860" s="235"/>
      <c r="BA860" s="235"/>
      <c r="BB860" s="235"/>
      <c r="BC860" s="235"/>
      <c r="BD860" s="235"/>
      <c r="BE860" s="235"/>
      <c r="BF860" s="235"/>
      <c r="BG860" s="235"/>
      <c r="BH860" s="235"/>
      <c r="BI860" s="235"/>
      <c r="BJ860" s="235"/>
      <c r="BK860" s="235"/>
      <c r="BL860" s="235"/>
      <c r="BM860" s="235"/>
      <c r="BN860" s="235"/>
      <c r="BO860" s="235"/>
    </row>
    <row r="861" ht="29.25" hidden="1" customHeight="1">
      <c r="A861" s="230"/>
      <c r="B861" s="231"/>
      <c r="C861" s="179"/>
      <c r="D861" s="179"/>
      <c r="E861" s="180"/>
      <c r="F861" s="162"/>
      <c r="G861" s="232"/>
      <c r="H861" s="234"/>
      <c r="I861" s="181"/>
      <c r="J861" s="182"/>
      <c r="K861" s="182"/>
      <c r="L861" s="182"/>
      <c r="M861" s="234"/>
      <c r="N861" s="28"/>
      <c r="O861" s="181"/>
      <c r="P861" s="183"/>
      <c r="Q861" s="104"/>
      <c r="R861" s="233"/>
      <c r="S861" s="164"/>
      <c r="T861" s="164"/>
      <c r="U861" s="162"/>
      <c r="V861" s="235"/>
      <c r="W861" s="235"/>
      <c r="X861" s="235"/>
      <c r="Y861" s="235"/>
      <c r="Z861" s="235"/>
      <c r="AA861" s="235"/>
      <c r="AB861" s="235"/>
      <c r="AC861" s="235"/>
      <c r="AD861" s="235"/>
      <c r="AE861" s="235"/>
      <c r="AF861" s="235"/>
      <c r="AG861" s="235"/>
      <c r="AH861" s="235"/>
      <c r="AI861" s="235"/>
      <c r="AJ861" s="235"/>
      <c r="AK861" s="235"/>
      <c r="AL861" s="235"/>
      <c r="AM861" s="235"/>
      <c r="AN861" s="235"/>
      <c r="AO861" s="235"/>
      <c r="AP861" s="235"/>
      <c r="AQ861" s="235"/>
      <c r="AR861" s="235"/>
      <c r="AS861" s="235"/>
      <c r="AT861" s="235"/>
      <c r="AU861" s="235"/>
      <c r="AV861" s="235"/>
      <c r="AW861" s="235"/>
      <c r="AX861" s="235"/>
      <c r="AY861" s="235"/>
      <c r="AZ861" s="235"/>
      <c r="BA861" s="235"/>
      <c r="BB861" s="235"/>
      <c r="BC861" s="235"/>
      <c r="BD861" s="235"/>
      <c r="BE861" s="235"/>
      <c r="BF861" s="235"/>
      <c r="BG861" s="235"/>
      <c r="BH861" s="235"/>
      <c r="BI861" s="235"/>
      <c r="BJ861" s="235"/>
      <c r="BK861" s="235"/>
      <c r="BL861" s="235"/>
      <c r="BM861" s="235"/>
      <c r="BN861" s="235"/>
      <c r="BO861" s="235"/>
    </row>
    <row r="862" ht="29.25" hidden="1" customHeight="1">
      <c r="A862" s="230"/>
      <c r="B862" s="231"/>
      <c r="C862" s="179"/>
      <c r="D862" s="179"/>
      <c r="E862" s="180"/>
      <c r="F862" s="162"/>
      <c r="G862" s="232"/>
      <c r="H862" s="234"/>
      <c r="I862" s="181"/>
      <c r="J862" s="182"/>
      <c r="K862" s="182"/>
      <c r="L862" s="182"/>
      <c r="M862" s="234"/>
      <c r="N862" s="28"/>
      <c r="O862" s="181"/>
      <c r="P862" s="183"/>
      <c r="Q862" s="104"/>
      <c r="R862" s="233"/>
      <c r="S862" s="164"/>
      <c r="T862" s="164"/>
      <c r="U862" s="162"/>
      <c r="V862" s="235"/>
      <c r="W862" s="235"/>
      <c r="X862" s="235"/>
      <c r="Y862" s="235"/>
      <c r="Z862" s="235"/>
      <c r="AA862" s="235"/>
      <c r="AB862" s="235"/>
      <c r="AC862" s="235"/>
      <c r="AD862" s="235"/>
      <c r="AE862" s="235"/>
      <c r="AF862" s="235"/>
      <c r="AG862" s="235"/>
      <c r="AH862" s="235"/>
      <c r="AI862" s="235"/>
      <c r="AJ862" s="235"/>
      <c r="AK862" s="235"/>
      <c r="AL862" s="235"/>
      <c r="AM862" s="235"/>
      <c r="AN862" s="235"/>
      <c r="AO862" s="235"/>
      <c r="AP862" s="235"/>
      <c r="AQ862" s="235"/>
      <c r="AR862" s="235"/>
      <c r="AS862" s="235"/>
      <c r="AT862" s="235"/>
      <c r="AU862" s="235"/>
      <c r="AV862" s="235"/>
      <c r="AW862" s="235"/>
      <c r="AX862" s="235"/>
      <c r="AY862" s="235"/>
      <c r="AZ862" s="235"/>
      <c r="BA862" s="235"/>
      <c r="BB862" s="235"/>
      <c r="BC862" s="235"/>
      <c r="BD862" s="235"/>
      <c r="BE862" s="235"/>
      <c r="BF862" s="235"/>
      <c r="BG862" s="235"/>
      <c r="BH862" s="235"/>
      <c r="BI862" s="235"/>
      <c r="BJ862" s="235"/>
      <c r="BK862" s="235"/>
      <c r="BL862" s="235"/>
      <c r="BM862" s="235"/>
      <c r="BN862" s="235"/>
      <c r="BO862" s="235"/>
    </row>
    <row r="863" ht="29.25" hidden="1" customHeight="1">
      <c r="A863" s="230"/>
      <c r="B863" s="231"/>
      <c r="C863" s="179"/>
      <c r="D863" s="179"/>
      <c r="E863" s="180"/>
      <c r="F863" s="162"/>
      <c r="G863" s="232"/>
      <c r="H863" s="234"/>
      <c r="I863" s="181"/>
      <c r="J863" s="182"/>
      <c r="K863" s="182"/>
      <c r="L863" s="182"/>
      <c r="M863" s="234"/>
      <c r="N863" s="28"/>
      <c r="O863" s="181"/>
      <c r="P863" s="183"/>
      <c r="Q863" s="104"/>
      <c r="R863" s="233"/>
      <c r="S863" s="164"/>
      <c r="T863" s="164"/>
      <c r="U863" s="162"/>
      <c r="V863" s="235"/>
      <c r="W863" s="235"/>
      <c r="X863" s="235"/>
      <c r="Y863" s="235"/>
      <c r="Z863" s="235"/>
      <c r="AA863" s="235"/>
      <c r="AB863" s="235"/>
      <c r="AC863" s="235"/>
      <c r="AD863" s="235"/>
      <c r="AE863" s="235"/>
      <c r="AF863" s="235"/>
      <c r="AG863" s="235"/>
      <c r="AH863" s="235"/>
      <c r="AI863" s="235"/>
      <c r="AJ863" s="235"/>
      <c r="AK863" s="235"/>
      <c r="AL863" s="235"/>
      <c r="AM863" s="235"/>
      <c r="AN863" s="235"/>
      <c r="AO863" s="235"/>
      <c r="AP863" s="235"/>
      <c r="AQ863" s="235"/>
      <c r="AR863" s="235"/>
      <c r="AS863" s="235"/>
      <c r="AT863" s="235"/>
      <c r="AU863" s="235"/>
      <c r="AV863" s="235"/>
      <c r="AW863" s="235"/>
      <c r="AX863" s="235"/>
      <c r="AY863" s="235"/>
      <c r="AZ863" s="235"/>
      <c r="BA863" s="235"/>
      <c r="BB863" s="235"/>
      <c r="BC863" s="235"/>
      <c r="BD863" s="235"/>
      <c r="BE863" s="235"/>
      <c r="BF863" s="235"/>
      <c r="BG863" s="235"/>
      <c r="BH863" s="235"/>
      <c r="BI863" s="235"/>
      <c r="BJ863" s="235"/>
      <c r="BK863" s="235"/>
      <c r="BL863" s="235"/>
      <c r="BM863" s="235"/>
      <c r="BN863" s="235"/>
      <c r="BO863" s="235"/>
    </row>
    <row r="864" ht="29.25" hidden="1" customHeight="1">
      <c r="A864" s="230"/>
      <c r="B864" s="231"/>
      <c r="C864" s="179"/>
      <c r="D864" s="179"/>
      <c r="E864" s="180"/>
      <c r="F864" s="162"/>
      <c r="G864" s="232"/>
      <c r="H864" s="234"/>
      <c r="I864" s="181"/>
      <c r="J864" s="182"/>
      <c r="K864" s="182"/>
      <c r="L864" s="182"/>
      <c r="M864" s="234"/>
      <c r="N864" s="28"/>
      <c r="O864" s="181"/>
      <c r="P864" s="183"/>
      <c r="Q864" s="104"/>
      <c r="R864" s="233"/>
      <c r="S864" s="164"/>
      <c r="T864" s="164"/>
      <c r="U864" s="162"/>
      <c r="V864" s="235"/>
      <c r="W864" s="235"/>
      <c r="X864" s="235"/>
      <c r="Y864" s="235"/>
      <c r="Z864" s="235"/>
      <c r="AA864" s="235"/>
      <c r="AB864" s="235"/>
      <c r="AC864" s="235"/>
      <c r="AD864" s="235"/>
      <c r="AE864" s="235"/>
      <c r="AF864" s="235"/>
      <c r="AG864" s="235"/>
      <c r="AH864" s="235"/>
      <c r="AI864" s="235"/>
      <c r="AJ864" s="235"/>
      <c r="AK864" s="235"/>
      <c r="AL864" s="235"/>
      <c r="AM864" s="235"/>
      <c r="AN864" s="235"/>
      <c r="AO864" s="235"/>
      <c r="AP864" s="235"/>
      <c r="AQ864" s="235"/>
      <c r="AR864" s="235"/>
      <c r="AS864" s="235"/>
      <c r="AT864" s="235"/>
      <c r="AU864" s="235"/>
      <c r="AV864" s="235"/>
      <c r="AW864" s="235"/>
      <c r="AX864" s="235"/>
      <c r="AY864" s="235"/>
      <c r="AZ864" s="235"/>
      <c r="BA864" s="235"/>
      <c r="BB864" s="235"/>
      <c r="BC864" s="235"/>
      <c r="BD864" s="235"/>
      <c r="BE864" s="235"/>
      <c r="BF864" s="235"/>
      <c r="BG864" s="235"/>
      <c r="BH864" s="235"/>
      <c r="BI864" s="235"/>
      <c r="BJ864" s="235"/>
      <c r="BK864" s="235"/>
      <c r="BL864" s="235"/>
      <c r="BM864" s="235"/>
      <c r="BN864" s="235"/>
      <c r="BO864" s="235"/>
    </row>
    <row r="865" ht="29.25" hidden="1" customHeight="1">
      <c r="A865" s="230"/>
      <c r="B865" s="231"/>
      <c r="C865" s="179"/>
      <c r="D865" s="179"/>
      <c r="E865" s="180"/>
      <c r="F865" s="162"/>
      <c r="G865" s="232"/>
      <c r="H865" s="234"/>
      <c r="I865" s="181"/>
      <c r="J865" s="182"/>
      <c r="K865" s="182"/>
      <c r="L865" s="182"/>
      <c r="M865" s="234"/>
      <c r="N865" s="28"/>
      <c r="O865" s="181"/>
      <c r="P865" s="183"/>
      <c r="Q865" s="104"/>
      <c r="R865" s="233"/>
      <c r="S865" s="164"/>
      <c r="T865" s="164"/>
      <c r="U865" s="162"/>
      <c r="V865" s="235"/>
      <c r="W865" s="235"/>
      <c r="X865" s="235"/>
      <c r="Y865" s="235"/>
      <c r="Z865" s="235"/>
      <c r="AA865" s="235"/>
      <c r="AB865" s="235"/>
      <c r="AC865" s="235"/>
      <c r="AD865" s="235"/>
      <c r="AE865" s="235"/>
      <c r="AF865" s="235"/>
      <c r="AG865" s="235"/>
      <c r="AH865" s="235"/>
      <c r="AI865" s="235"/>
      <c r="AJ865" s="235"/>
      <c r="AK865" s="235"/>
      <c r="AL865" s="235"/>
      <c r="AM865" s="235"/>
      <c r="AN865" s="235"/>
      <c r="AO865" s="235"/>
      <c r="AP865" s="235"/>
      <c r="AQ865" s="235"/>
      <c r="AR865" s="235"/>
      <c r="AS865" s="235"/>
      <c r="AT865" s="235"/>
      <c r="AU865" s="235"/>
      <c r="AV865" s="235"/>
      <c r="AW865" s="235"/>
      <c r="AX865" s="235"/>
      <c r="AY865" s="235"/>
      <c r="AZ865" s="235"/>
      <c r="BA865" s="235"/>
      <c r="BB865" s="235"/>
      <c r="BC865" s="235"/>
      <c r="BD865" s="235"/>
      <c r="BE865" s="235"/>
      <c r="BF865" s="235"/>
      <c r="BG865" s="235"/>
      <c r="BH865" s="235"/>
      <c r="BI865" s="235"/>
      <c r="BJ865" s="235"/>
      <c r="BK865" s="235"/>
      <c r="BL865" s="235"/>
      <c r="BM865" s="235"/>
      <c r="BN865" s="235"/>
      <c r="BO865" s="235"/>
    </row>
    <row r="866" ht="29.25" hidden="1" customHeight="1">
      <c r="A866" s="230"/>
      <c r="B866" s="231"/>
      <c r="C866" s="179"/>
      <c r="D866" s="179"/>
      <c r="E866" s="180"/>
      <c r="F866" s="162"/>
      <c r="G866" s="232"/>
      <c r="H866" s="234"/>
      <c r="I866" s="181"/>
      <c r="J866" s="182"/>
      <c r="K866" s="182"/>
      <c r="L866" s="182"/>
      <c r="M866" s="234"/>
      <c r="N866" s="28"/>
      <c r="O866" s="181"/>
      <c r="P866" s="183"/>
      <c r="Q866" s="104"/>
      <c r="R866" s="233"/>
      <c r="S866" s="164"/>
      <c r="T866" s="164"/>
      <c r="U866" s="162"/>
      <c r="V866" s="235"/>
      <c r="W866" s="235"/>
      <c r="X866" s="235"/>
      <c r="Y866" s="235"/>
      <c r="Z866" s="235"/>
      <c r="AA866" s="235"/>
      <c r="AB866" s="235"/>
      <c r="AC866" s="235"/>
      <c r="AD866" s="235"/>
      <c r="AE866" s="235"/>
      <c r="AF866" s="235"/>
      <c r="AG866" s="235"/>
      <c r="AH866" s="235"/>
      <c r="AI866" s="235"/>
      <c r="AJ866" s="235"/>
      <c r="AK866" s="235"/>
      <c r="AL866" s="235"/>
      <c r="AM866" s="235"/>
      <c r="AN866" s="235"/>
      <c r="AO866" s="235"/>
      <c r="AP866" s="235"/>
      <c r="AQ866" s="235"/>
      <c r="AR866" s="235"/>
      <c r="AS866" s="235"/>
      <c r="AT866" s="235"/>
      <c r="AU866" s="235"/>
      <c r="AV866" s="235"/>
      <c r="AW866" s="235"/>
      <c r="AX866" s="235"/>
      <c r="AY866" s="235"/>
      <c r="AZ866" s="235"/>
      <c r="BA866" s="235"/>
      <c r="BB866" s="235"/>
      <c r="BC866" s="235"/>
      <c r="BD866" s="235"/>
      <c r="BE866" s="235"/>
      <c r="BF866" s="235"/>
      <c r="BG866" s="235"/>
      <c r="BH866" s="235"/>
      <c r="BI866" s="235"/>
      <c r="BJ866" s="235"/>
      <c r="BK866" s="235"/>
      <c r="BL866" s="235"/>
      <c r="BM866" s="235"/>
      <c r="BN866" s="235"/>
      <c r="BO866" s="235"/>
    </row>
    <row r="867" ht="29.25" hidden="1" customHeight="1">
      <c r="A867" s="230"/>
      <c r="B867" s="231"/>
      <c r="C867" s="179"/>
      <c r="D867" s="179"/>
      <c r="E867" s="180"/>
      <c r="F867" s="162"/>
      <c r="G867" s="232"/>
      <c r="H867" s="234"/>
      <c r="I867" s="181"/>
      <c r="J867" s="182"/>
      <c r="K867" s="182"/>
      <c r="L867" s="182"/>
      <c r="M867" s="234"/>
      <c r="N867" s="28"/>
      <c r="O867" s="181"/>
      <c r="P867" s="183"/>
      <c r="Q867" s="104"/>
      <c r="R867" s="233"/>
      <c r="S867" s="164"/>
      <c r="T867" s="164"/>
      <c r="U867" s="162"/>
      <c r="V867" s="235"/>
      <c r="W867" s="235"/>
      <c r="X867" s="235"/>
      <c r="Y867" s="235"/>
      <c r="Z867" s="235"/>
      <c r="AA867" s="235"/>
      <c r="AB867" s="235"/>
      <c r="AC867" s="235"/>
      <c r="AD867" s="235"/>
      <c r="AE867" s="235"/>
      <c r="AF867" s="235"/>
      <c r="AG867" s="235"/>
      <c r="AH867" s="235"/>
      <c r="AI867" s="235"/>
      <c r="AJ867" s="235"/>
      <c r="AK867" s="235"/>
      <c r="AL867" s="235"/>
      <c r="AM867" s="235"/>
      <c r="AN867" s="235"/>
      <c r="AO867" s="235"/>
      <c r="AP867" s="235"/>
      <c r="AQ867" s="235"/>
      <c r="AR867" s="235"/>
      <c r="AS867" s="235"/>
      <c r="AT867" s="235"/>
      <c r="AU867" s="235"/>
      <c r="AV867" s="235"/>
      <c r="AW867" s="235"/>
      <c r="AX867" s="235"/>
      <c r="AY867" s="235"/>
      <c r="AZ867" s="235"/>
      <c r="BA867" s="235"/>
      <c r="BB867" s="235"/>
      <c r="BC867" s="235"/>
      <c r="BD867" s="235"/>
      <c r="BE867" s="235"/>
      <c r="BF867" s="235"/>
      <c r="BG867" s="235"/>
      <c r="BH867" s="235"/>
      <c r="BI867" s="235"/>
      <c r="BJ867" s="235"/>
      <c r="BK867" s="235"/>
      <c r="BL867" s="235"/>
      <c r="BM867" s="235"/>
      <c r="BN867" s="235"/>
      <c r="BO867" s="235"/>
    </row>
    <row r="868" ht="29.25" hidden="1" customHeight="1">
      <c r="A868" s="230"/>
      <c r="B868" s="231"/>
      <c r="C868" s="179"/>
      <c r="D868" s="179"/>
      <c r="E868" s="180"/>
      <c r="F868" s="162"/>
      <c r="G868" s="232"/>
      <c r="H868" s="234"/>
      <c r="I868" s="181"/>
      <c r="J868" s="182"/>
      <c r="K868" s="182"/>
      <c r="L868" s="182"/>
      <c r="M868" s="234"/>
      <c r="N868" s="28"/>
      <c r="O868" s="181"/>
      <c r="P868" s="183"/>
      <c r="Q868" s="104"/>
      <c r="R868" s="233"/>
      <c r="S868" s="164"/>
      <c r="T868" s="164"/>
      <c r="U868" s="162"/>
      <c r="V868" s="235"/>
      <c r="W868" s="235"/>
      <c r="X868" s="235"/>
      <c r="Y868" s="235"/>
      <c r="Z868" s="235"/>
      <c r="AA868" s="235"/>
      <c r="AB868" s="235"/>
      <c r="AC868" s="235"/>
      <c r="AD868" s="235"/>
      <c r="AE868" s="235"/>
      <c r="AF868" s="235"/>
      <c r="AG868" s="235"/>
      <c r="AH868" s="235"/>
      <c r="AI868" s="235"/>
      <c r="AJ868" s="235"/>
      <c r="AK868" s="235"/>
      <c r="AL868" s="235"/>
      <c r="AM868" s="235"/>
      <c r="AN868" s="235"/>
      <c r="AO868" s="235"/>
      <c r="AP868" s="235"/>
      <c r="AQ868" s="235"/>
      <c r="AR868" s="235"/>
      <c r="AS868" s="235"/>
      <c r="AT868" s="235"/>
      <c r="AU868" s="235"/>
      <c r="AV868" s="235"/>
      <c r="AW868" s="235"/>
      <c r="AX868" s="235"/>
      <c r="AY868" s="235"/>
      <c r="AZ868" s="235"/>
      <c r="BA868" s="235"/>
      <c r="BB868" s="235"/>
      <c r="BC868" s="235"/>
      <c r="BD868" s="235"/>
      <c r="BE868" s="235"/>
      <c r="BF868" s="235"/>
      <c r="BG868" s="235"/>
      <c r="BH868" s="235"/>
      <c r="BI868" s="235"/>
      <c r="BJ868" s="235"/>
      <c r="BK868" s="235"/>
      <c r="BL868" s="235"/>
      <c r="BM868" s="235"/>
      <c r="BN868" s="235"/>
      <c r="BO868" s="235"/>
    </row>
    <row r="869" ht="29.25" hidden="1" customHeight="1">
      <c r="A869" s="230"/>
      <c r="B869" s="231"/>
      <c r="C869" s="179"/>
      <c r="D869" s="179"/>
      <c r="E869" s="180"/>
      <c r="F869" s="162"/>
      <c r="G869" s="232"/>
      <c r="H869" s="234"/>
      <c r="I869" s="181"/>
      <c r="J869" s="182"/>
      <c r="K869" s="182"/>
      <c r="L869" s="182"/>
      <c r="M869" s="234"/>
      <c r="N869" s="28"/>
      <c r="O869" s="181"/>
      <c r="P869" s="183"/>
      <c r="Q869" s="104"/>
      <c r="R869" s="233"/>
      <c r="S869" s="164"/>
      <c r="T869" s="164"/>
      <c r="U869" s="162"/>
      <c r="V869" s="235"/>
      <c r="W869" s="235"/>
      <c r="X869" s="235"/>
      <c r="Y869" s="235"/>
      <c r="Z869" s="235"/>
      <c r="AA869" s="235"/>
      <c r="AB869" s="235"/>
      <c r="AC869" s="235"/>
      <c r="AD869" s="235"/>
      <c r="AE869" s="235"/>
      <c r="AF869" s="235"/>
      <c r="AG869" s="235"/>
      <c r="AH869" s="235"/>
      <c r="AI869" s="235"/>
      <c r="AJ869" s="235"/>
      <c r="AK869" s="235"/>
      <c r="AL869" s="235"/>
      <c r="AM869" s="235"/>
      <c r="AN869" s="235"/>
      <c r="AO869" s="235"/>
      <c r="AP869" s="235"/>
      <c r="AQ869" s="235"/>
      <c r="AR869" s="235"/>
      <c r="AS869" s="235"/>
      <c r="AT869" s="235"/>
      <c r="AU869" s="235"/>
      <c r="AV869" s="235"/>
      <c r="AW869" s="235"/>
      <c r="AX869" s="235"/>
      <c r="AY869" s="235"/>
      <c r="AZ869" s="235"/>
      <c r="BA869" s="235"/>
      <c r="BB869" s="235"/>
      <c r="BC869" s="235"/>
      <c r="BD869" s="235"/>
      <c r="BE869" s="235"/>
      <c r="BF869" s="235"/>
      <c r="BG869" s="235"/>
      <c r="BH869" s="235"/>
      <c r="BI869" s="235"/>
      <c r="BJ869" s="235"/>
      <c r="BK869" s="235"/>
      <c r="BL869" s="235"/>
      <c r="BM869" s="235"/>
      <c r="BN869" s="235"/>
      <c r="BO869" s="235"/>
    </row>
    <row r="870" ht="29.25" hidden="1" customHeight="1">
      <c r="A870" s="230"/>
      <c r="B870" s="231"/>
      <c r="C870" s="179"/>
      <c r="D870" s="179"/>
      <c r="E870" s="180"/>
      <c r="F870" s="162"/>
      <c r="G870" s="232"/>
      <c r="H870" s="234"/>
      <c r="I870" s="181"/>
      <c r="J870" s="182"/>
      <c r="K870" s="182"/>
      <c r="L870" s="182"/>
      <c r="M870" s="234"/>
      <c r="N870" s="28"/>
      <c r="O870" s="181"/>
      <c r="P870" s="183"/>
      <c r="Q870" s="104"/>
      <c r="R870" s="233"/>
      <c r="S870" s="164"/>
      <c r="T870" s="164"/>
      <c r="U870" s="162"/>
      <c r="V870" s="235"/>
      <c r="W870" s="235"/>
      <c r="X870" s="235"/>
      <c r="Y870" s="235"/>
      <c r="Z870" s="235"/>
      <c r="AA870" s="235"/>
      <c r="AB870" s="235"/>
      <c r="AC870" s="235"/>
      <c r="AD870" s="235"/>
      <c r="AE870" s="235"/>
      <c r="AF870" s="235"/>
      <c r="AG870" s="235"/>
      <c r="AH870" s="235"/>
      <c r="AI870" s="235"/>
      <c r="AJ870" s="235"/>
      <c r="AK870" s="235"/>
      <c r="AL870" s="235"/>
      <c r="AM870" s="235"/>
      <c r="AN870" s="235"/>
      <c r="AO870" s="235"/>
      <c r="AP870" s="235"/>
      <c r="AQ870" s="235"/>
      <c r="AR870" s="235"/>
      <c r="AS870" s="235"/>
      <c r="AT870" s="235"/>
      <c r="AU870" s="235"/>
      <c r="AV870" s="235"/>
      <c r="AW870" s="235"/>
      <c r="AX870" s="235"/>
      <c r="AY870" s="235"/>
      <c r="AZ870" s="235"/>
      <c r="BA870" s="235"/>
      <c r="BB870" s="235"/>
      <c r="BC870" s="235"/>
      <c r="BD870" s="235"/>
      <c r="BE870" s="235"/>
      <c r="BF870" s="235"/>
      <c r="BG870" s="235"/>
      <c r="BH870" s="235"/>
      <c r="BI870" s="235"/>
      <c r="BJ870" s="235"/>
      <c r="BK870" s="235"/>
      <c r="BL870" s="235"/>
      <c r="BM870" s="235"/>
      <c r="BN870" s="235"/>
      <c r="BO870" s="235"/>
    </row>
    <row r="871" ht="29.25" hidden="1" customHeight="1">
      <c r="A871" s="230"/>
      <c r="B871" s="231"/>
      <c r="C871" s="179"/>
      <c r="D871" s="179"/>
      <c r="E871" s="180"/>
      <c r="F871" s="162"/>
      <c r="G871" s="232"/>
      <c r="H871" s="234"/>
      <c r="I871" s="181"/>
      <c r="J871" s="182"/>
      <c r="K871" s="182"/>
      <c r="L871" s="182"/>
      <c r="M871" s="234"/>
      <c r="N871" s="28"/>
      <c r="O871" s="181"/>
      <c r="P871" s="183"/>
      <c r="Q871" s="104"/>
      <c r="R871" s="233"/>
      <c r="S871" s="164"/>
      <c r="T871" s="164"/>
      <c r="U871" s="162"/>
      <c r="V871" s="235"/>
      <c r="W871" s="235"/>
      <c r="X871" s="235"/>
      <c r="Y871" s="235"/>
      <c r="Z871" s="235"/>
      <c r="AA871" s="235"/>
      <c r="AB871" s="235"/>
      <c r="AC871" s="235"/>
      <c r="AD871" s="235"/>
      <c r="AE871" s="235"/>
      <c r="AF871" s="235"/>
      <c r="AG871" s="235"/>
      <c r="AH871" s="235"/>
      <c r="AI871" s="235"/>
      <c r="AJ871" s="235"/>
      <c r="AK871" s="235"/>
      <c r="AL871" s="235"/>
      <c r="AM871" s="235"/>
      <c r="AN871" s="235"/>
      <c r="AO871" s="235"/>
      <c r="AP871" s="235"/>
      <c r="AQ871" s="235"/>
      <c r="AR871" s="235"/>
      <c r="AS871" s="235"/>
      <c r="AT871" s="235"/>
      <c r="AU871" s="235"/>
      <c r="AV871" s="235"/>
      <c r="AW871" s="235"/>
      <c r="AX871" s="235"/>
      <c r="AY871" s="235"/>
      <c r="AZ871" s="235"/>
      <c r="BA871" s="235"/>
      <c r="BB871" s="235"/>
      <c r="BC871" s="235"/>
      <c r="BD871" s="235"/>
      <c r="BE871" s="235"/>
      <c r="BF871" s="235"/>
      <c r="BG871" s="235"/>
      <c r="BH871" s="235"/>
      <c r="BI871" s="235"/>
      <c r="BJ871" s="235"/>
      <c r="BK871" s="235"/>
      <c r="BL871" s="235"/>
      <c r="BM871" s="235"/>
      <c r="BN871" s="235"/>
      <c r="BO871" s="235"/>
    </row>
    <row r="872" ht="29.25" hidden="1" customHeight="1">
      <c r="A872" s="230"/>
      <c r="B872" s="231"/>
      <c r="C872" s="179"/>
      <c r="D872" s="179"/>
      <c r="E872" s="180"/>
      <c r="F872" s="162"/>
      <c r="G872" s="232"/>
      <c r="H872" s="234"/>
      <c r="I872" s="181"/>
      <c r="J872" s="182"/>
      <c r="K872" s="182"/>
      <c r="L872" s="182"/>
      <c r="M872" s="234"/>
      <c r="N872" s="28"/>
      <c r="O872" s="181"/>
      <c r="P872" s="183"/>
      <c r="Q872" s="104"/>
      <c r="R872" s="233"/>
      <c r="S872" s="164"/>
      <c r="T872" s="164"/>
      <c r="U872" s="162"/>
      <c r="V872" s="235"/>
      <c r="W872" s="235"/>
      <c r="X872" s="235"/>
      <c r="Y872" s="235"/>
      <c r="Z872" s="235"/>
      <c r="AA872" s="235"/>
      <c r="AB872" s="235"/>
      <c r="AC872" s="235"/>
      <c r="AD872" s="235"/>
      <c r="AE872" s="235"/>
      <c r="AF872" s="235"/>
      <c r="AG872" s="235"/>
      <c r="AH872" s="235"/>
      <c r="AI872" s="235"/>
      <c r="AJ872" s="235"/>
      <c r="AK872" s="235"/>
      <c r="AL872" s="235"/>
      <c r="AM872" s="235"/>
      <c r="AN872" s="235"/>
      <c r="AO872" s="235"/>
      <c r="AP872" s="235"/>
      <c r="AQ872" s="235"/>
      <c r="AR872" s="235"/>
      <c r="AS872" s="235"/>
      <c r="AT872" s="235"/>
      <c r="AU872" s="235"/>
      <c r="AV872" s="235"/>
      <c r="AW872" s="235"/>
      <c r="AX872" s="235"/>
      <c r="AY872" s="235"/>
      <c r="AZ872" s="235"/>
      <c r="BA872" s="235"/>
      <c r="BB872" s="235"/>
      <c r="BC872" s="235"/>
      <c r="BD872" s="235"/>
      <c r="BE872" s="235"/>
      <c r="BF872" s="235"/>
      <c r="BG872" s="235"/>
      <c r="BH872" s="235"/>
      <c r="BI872" s="235"/>
      <c r="BJ872" s="235"/>
      <c r="BK872" s="235"/>
      <c r="BL872" s="235"/>
      <c r="BM872" s="235"/>
      <c r="BN872" s="235"/>
      <c r="BO872" s="235"/>
    </row>
    <row r="873" ht="29.25" hidden="1" customHeight="1">
      <c r="A873" s="230"/>
      <c r="B873" s="231"/>
      <c r="C873" s="179"/>
      <c r="D873" s="179"/>
      <c r="E873" s="180"/>
      <c r="F873" s="162"/>
      <c r="G873" s="232"/>
      <c r="H873" s="234"/>
      <c r="I873" s="181"/>
      <c r="J873" s="182"/>
      <c r="K873" s="182"/>
      <c r="L873" s="182"/>
      <c r="M873" s="234"/>
      <c r="N873" s="28"/>
      <c r="O873" s="181"/>
      <c r="P873" s="183"/>
      <c r="Q873" s="104"/>
      <c r="R873" s="233"/>
      <c r="S873" s="164"/>
      <c r="T873" s="164"/>
      <c r="U873" s="162"/>
      <c r="V873" s="235"/>
      <c r="W873" s="235"/>
      <c r="X873" s="235"/>
      <c r="Y873" s="235"/>
      <c r="Z873" s="235"/>
      <c r="AA873" s="235"/>
      <c r="AB873" s="235"/>
      <c r="AC873" s="235"/>
      <c r="AD873" s="235"/>
      <c r="AE873" s="235"/>
      <c r="AF873" s="235"/>
      <c r="AG873" s="235"/>
      <c r="AH873" s="235"/>
      <c r="AI873" s="235"/>
      <c r="AJ873" s="235"/>
      <c r="AK873" s="235"/>
      <c r="AL873" s="235"/>
      <c r="AM873" s="235"/>
      <c r="AN873" s="235"/>
      <c r="AO873" s="235"/>
      <c r="AP873" s="235"/>
      <c r="AQ873" s="235"/>
      <c r="AR873" s="235"/>
      <c r="AS873" s="235"/>
      <c r="AT873" s="235"/>
      <c r="AU873" s="235"/>
      <c r="AV873" s="235"/>
      <c r="AW873" s="235"/>
      <c r="AX873" s="235"/>
      <c r="AY873" s="235"/>
      <c r="AZ873" s="235"/>
      <c r="BA873" s="235"/>
      <c r="BB873" s="235"/>
      <c r="BC873" s="235"/>
      <c r="BD873" s="235"/>
      <c r="BE873" s="235"/>
      <c r="BF873" s="235"/>
      <c r="BG873" s="235"/>
      <c r="BH873" s="235"/>
      <c r="BI873" s="235"/>
      <c r="BJ873" s="235"/>
      <c r="BK873" s="235"/>
      <c r="BL873" s="235"/>
      <c r="BM873" s="235"/>
      <c r="BN873" s="235"/>
      <c r="BO873" s="235"/>
    </row>
    <row r="874" ht="29.25" hidden="1" customHeight="1">
      <c r="A874" s="230"/>
      <c r="B874" s="231"/>
      <c r="C874" s="179"/>
      <c r="D874" s="179"/>
      <c r="E874" s="180"/>
      <c r="F874" s="162"/>
      <c r="G874" s="232"/>
      <c r="H874" s="234"/>
      <c r="I874" s="181"/>
      <c r="J874" s="182"/>
      <c r="K874" s="182"/>
      <c r="L874" s="182"/>
      <c r="M874" s="234"/>
      <c r="N874" s="28"/>
      <c r="O874" s="181"/>
      <c r="P874" s="183"/>
      <c r="Q874" s="104"/>
      <c r="R874" s="233"/>
      <c r="S874" s="164"/>
      <c r="T874" s="164"/>
      <c r="U874" s="162"/>
      <c r="V874" s="235"/>
      <c r="W874" s="235"/>
      <c r="X874" s="235"/>
      <c r="Y874" s="235"/>
      <c r="Z874" s="235"/>
      <c r="AA874" s="235"/>
      <c r="AB874" s="235"/>
      <c r="AC874" s="235"/>
      <c r="AD874" s="235"/>
      <c r="AE874" s="235"/>
      <c r="AF874" s="235"/>
      <c r="AG874" s="235"/>
      <c r="AH874" s="235"/>
      <c r="AI874" s="235"/>
      <c r="AJ874" s="235"/>
      <c r="AK874" s="235"/>
      <c r="AL874" s="235"/>
      <c r="AM874" s="235"/>
      <c r="AN874" s="235"/>
      <c r="AO874" s="235"/>
      <c r="AP874" s="235"/>
      <c r="AQ874" s="235"/>
      <c r="AR874" s="235"/>
      <c r="AS874" s="235"/>
      <c r="AT874" s="235"/>
      <c r="AU874" s="235"/>
      <c r="AV874" s="235"/>
      <c r="AW874" s="235"/>
      <c r="AX874" s="235"/>
      <c r="AY874" s="235"/>
      <c r="AZ874" s="235"/>
      <c r="BA874" s="235"/>
      <c r="BB874" s="235"/>
      <c r="BC874" s="235"/>
      <c r="BD874" s="235"/>
      <c r="BE874" s="235"/>
      <c r="BF874" s="235"/>
      <c r="BG874" s="235"/>
      <c r="BH874" s="235"/>
      <c r="BI874" s="235"/>
      <c r="BJ874" s="235"/>
      <c r="BK874" s="235"/>
      <c r="BL874" s="235"/>
      <c r="BM874" s="235"/>
      <c r="BN874" s="235"/>
      <c r="BO874" s="235"/>
    </row>
    <row r="875" ht="29.25" hidden="1" customHeight="1">
      <c r="A875" s="230"/>
      <c r="B875" s="231"/>
      <c r="C875" s="179"/>
      <c r="D875" s="179"/>
      <c r="E875" s="180"/>
      <c r="F875" s="162"/>
      <c r="G875" s="232"/>
      <c r="H875" s="234"/>
      <c r="I875" s="181"/>
      <c r="J875" s="182"/>
      <c r="K875" s="182"/>
      <c r="L875" s="182"/>
      <c r="M875" s="234"/>
      <c r="N875" s="28"/>
      <c r="O875" s="181"/>
      <c r="P875" s="183"/>
      <c r="Q875" s="104"/>
      <c r="R875" s="233"/>
      <c r="S875" s="164"/>
      <c r="T875" s="164"/>
      <c r="U875" s="162"/>
      <c r="V875" s="235"/>
      <c r="W875" s="235"/>
      <c r="X875" s="235"/>
      <c r="Y875" s="235"/>
      <c r="Z875" s="235"/>
      <c r="AA875" s="235"/>
      <c r="AB875" s="235"/>
      <c r="AC875" s="235"/>
      <c r="AD875" s="235"/>
      <c r="AE875" s="235"/>
      <c r="AF875" s="235"/>
      <c r="AG875" s="235"/>
      <c r="AH875" s="235"/>
      <c r="AI875" s="235"/>
      <c r="AJ875" s="235"/>
      <c r="AK875" s="235"/>
      <c r="AL875" s="235"/>
      <c r="AM875" s="235"/>
      <c r="AN875" s="235"/>
      <c r="AO875" s="235"/>
      <c r="AP875" s="235"/>
      <c r="AQ875" s="235"/>
      <c r="AR875" s="235"/>
      <c r="AS875" s="235"/>
      <c r="AT875" s="235"/>
      <c r="AU875" s="235"/>
      <c r="AV875" s="235"/>
      <c r="AW875" s="235"/>
      <c r="AX875" s="235"/>
      <c r="AY875" s="235"/>
      <c r="AZ875" s="235"/>
      <c r="BA875" s="235"/>
      <c r="BB875" s="235"/>
      <c r="BC875" s="235"/>
      <c r="BD875" s="235"/>
      <c r="BE875" s="235"/>
      <c r="BF875" s="235"/>
      <c r="BG875" s="235"/>
      <c r="BH875" s="235"/>
      <c r="BI875" s="235"/>
      <c r="BJ875" s="235"/>
      <c r="BK875" s="235"/>
      <c r="BL875" s="235"/>
      <c r="BM875" s="235"/>
      <c r="BN875" s="235"/>
      <c r="BO875" s="235"/>
    </row>
    <row r="876" ht="29.25" hidden="1" customHeight="1">
      <c r="A876" s="230"/>
      <c r="B876" s="231"/>
      <c r="C876" s="179"/>
      <c r="D876" s="179"/>
      <c r="E876" s="180"/>
      <c r="F876" s="162"/>
      <c r="G876" s="232"/>
      <c r="H876" s="234"/>
      <c r="I876" s="181"/>
      <c r="J876" s="182"/>
      <c r="K876" s="182"/>
      <c r="L876" s="182"/>
      <c r="M876" s="234"/>
      <c r="N876" s="28"/>
      <c r="O876" s="181"/>
      <c r="P876" s="183"/>
      <c r="Q876" s="104"/>
      <c r="R876" s="233"/>
      <c r="S876" s="164"/>
      <c r="T876" s="164"/>
      <c r="U876" s="162"/>
      <c r="V876" s="235"/>
      <c r="W876" s="235"/>
      <c r="X876" s="235"/>
      <c r="Y876" s="235"/>
      <c r="Z876" s="235"/>
      <c r="AA876" s="235"/>
      <c r="AB876" s="235"/>
      <c r="AC876" s="235"/>
      <c r="AD876" s="235"/>
      <c r="AE876" s="235"/>
      <c r="AF876" s="235"/>
      <c r="AG876" s="235"/>
      <c r="AH876" s="235"/>
      <c r="AI876" s="235"/>
      <c r="AJ876" s="235"/>
      <c r="AK876" s="235"/>
      <c r="AL876" s="235"/>
      <c r="AM876" s="235"/>
      <c r="AN876" s="235"/>
      <c r="AO876" s="235"/>
      <c r="AP876" s="235"/>
      <c r="AQ876" s="235"/>
      <c r="AR876" s="235"/>
      <c r="AS876" s="235"/>
      <c r="AT876" s="235"/>
      <c r="AU876" s="235"/>
      <c r="AV876" s="235"/>
      <c r="AW876" s="235"/>
      <c r="AX876" s="235"/>
      <c r="AY876" s="235"/>
      <c r="AZ876" s="235"/>
      <c r="BA876" s="235"/>
      <c r="BB876" s="235"/>
      <c r="BC876" s="235"/>
      <c r="BD876" s="235"/>
      <c r="BE876" s="235"/>
      <c r="BF876" s="235"/>
      <c r="BG876" s="235"/>
      <c r="BH876" s="235"/>
      <c r="BI876" s="235"/>
      <c r="BJ876" s="235"/>
      <c r="BK876" s="235"/>
      <c r="BL876" s="235"/>
      <c r="BM876" s="235"/>
      <c r="BN876" s="235"/>
      <c r="BO876" s="235"/>
    </row>
    <row r="877" ht="29.25" hidden="1" customHeight="1">
      <c r="A877" s="230"/>
      <c r="B877" s="231"/>
      <c r="C877" s="179"/>
      <c r="D877" s="179"/>
      <c r="E877" s="180"/>
      <c r="F877" s="162"/>
      <c r="G877" s="232"/>
      <c r="H877" s="234"/>
      <c r="I877" s="181"/>
      <c r="J877" s="182"/>
      <c r="K877" s="182"/>
      <c r="L877" s="182"/>
      <c r="M877" s="234"/>
      <c r="N877" s="28"/>
      <c r="O877" s="181"/>
      <c r="P877" s="183"/>
      <c r="Q877" s="104"/>
      <c r="R877" s="233"/>
      <c r="S877" s="164"/>
      <c r="T877" s="164"/>
      <c r="U877" s="162"/>
      <c r="V877" s="235"/>
      <c r="W877" s="235"/>
      <c r="X877" s="235"/>
      <c r="Y877" s="235"/>
      <c r="Z877" s="235"/>
      <c r="AA877" s="235"/>
      <c r="AB877" s="235"/>
      <c r="AC877" s="235"/>
      <c r="AD877" s="235"/>
      <c r="AE877" s="235"/>
      <c r="AF877" s="235"/>
      <c r="AG877" s="235"/>
      <c r="AH877" s="235"/>
      <c r="AI877" s="235"/>
      <c r="AJ877" s="235"/>
      <c r="AK877" s="235"/>
      <c r="AL877" s="235"/>
      <c r="AM877" s="235"/>
      <c r="AN877" s="235"/>
      <c r="AO877" s="235"/>
      <c r="AP877" s="235"/>
      <c r="AQ877" s="235"/>
      <c r="AR877" s="235"/>
      <c r="AS877" s="235"/>
      <c r="AT877" s="235"/>
      <c r="AU877" s="235"/>
      <c r="AV877" s="235"/>
      <c r="AW877" s="235"/>
      <c r="AX877" s="235"/>
      <c r="AY877" s="235"/>
      <c r="AZ877" s="235"/>
      <c r="BA877" s="235"/>
      <c r="BB877" s="235"/>
      <c r="BC877" s="235"/>
      <c r="BD877" s="235"/>
      <c r="BE877" s="235"/>
      <c r="BF877" s="235"/>
      <c r="BG877" s="235"/>
      <c r="BH877" s="235"/>
      <c r="BI877" s="235"/>
      <c r="BJ877" s="235"/>
      <c r="BK877" s="235"/>
      <c r="BL877" s="235"/>
      <c r="BM877" s="235"/>
      <c r="BN877" s="235"/>
      <c r="BO877" s="235"/>
    </row>
    <row r="878" ht="29.25" hidden="1" customHeight="1">
      <c r="A878" s="230"/>
      <c r="B878" s="231"/>
      <c r="C878" s="179"/>
      <c r="D878" s="179"/>
      <c r="E878" s="180"/>
      <c r="F878" s="162"/>
      <c r="G878" s="232"/>
      <c r="H878" s="234"/>
      <c r="I878" s="181"/>
      <c r="J878" s="182"/>
      <c r="K878" s="182"/>
      <c r="L878" s="182"/>
      <c r="M878" s="234"/>
      <c r="N878" s="28"/>
      <c r="O878" s="181"/>
      <c r="P878" s="183"/>
      <c r="Q878" s="104"/>
      <c r="R878" s="233"/>
      <c r="S878" s="164"/>
      <c r="T878" s="164"/>
      <c r="U878" s="162"/>
      <c r="V878" s="235"/>
      <c r="W878" s="235"/>
      <c r="X878" s="235"/>
      <c r="Y878" s="235"/>
      <c r="Z878" s="235"/>
      <c r="AA878" s="235"/>
      <c r="AB878" s="235"/>
      <c r="AC878" s="235"/>
      <c r="AD878" s="235"/>
      <c r="AE878" s="235"/>
      <c r="AF878" s="235"/>
      <c r="AG878" s="235"/>
      <c r="AH878" s="235"/>
      <c r="AI878" s="235"/>
      <c r="AJ878" s="235"/>
      <c r="AK878" s="235"/>
      <c r="AL878" s="235"/>
      <c r="AM878" s="235"/>
      <c r="AN878" s="235"/>
      <c r="AO878" s="235"/>
      <c r="AP878" s="235"/>
      <c r="AQ878" s="235"/>
      <c r="AR878" s="235"/>
      <c r="AS878" s="235"/>
      <c r="AT878" s="235"/>
      <c r="AU878" s="235"/>
      <c r="AV878" s="235"/>
      <c r="AW878" s="235"/>
      <c r="AX878" s="235"/>
      <c r="AY878" s="235"/>
      <c r="AZ878" s="235"/>
      <c r="BA878" s="235"/>
      <c r="BB878" s="235"/>
      <c r="BC878" s="235"/>
      <c r="BD878" s="235"/>
      <c r="BE878" s="235"/>
      <c r="BF878" s="235"/>
      <c r="BG878" s="235"/>
      <c r="BH878" s="235"/>
      <c r="BI878" s="235"/>
      <c r="BJ878" s="235"/>
      <c r="BK878" s="235"/>
      <c r="BL878" s="235"/>
      <c r="BM878" s="235"/>
      <c r="BN878" s="235"/>
      <c r="BO878" s="235"/>
    </row>
    <row r="879" ht="29.25" hidden="1" customHeight="1">
      <c r="A879" s="230"/>
      <c r="B879" s="231"/>
      <c r="C879" s="179"/>
      <c r="D879" s="179"/>
      <c r="E879" s="180"/>
      <c r="F879" s="162"/>
      <c r="G879" s="232"/>
      <c r="H879" s="234"/>
      <c r="I879" s="181"/>
      <c r="J879" s="182"/>
      <c r="K879" s="182"/>
      <c r="L879" s="182"/>
      <c r="M879" s="234"/>
      <c r="N879" s="28"/>
      <c r="O879" s="181"/>
      <c r="P879" s="183"/>
      <c r="Q879" s="104"/>
      <c r="R879" s="233"/>
      <c r="S879" s="164"/>
      <c r="T879" s="164"/>
      <c r="U879" s="162"/>
      <c r="V879" s="235"/>
      <c r="W879" s="235"/>
      <c r="X879" s="235"/>
      <c r="Y879" s="235"/>
      <c r="Z879" s="235"/>
      <c r="AA879" s="235"/>
      <c r="AB879" s="235"/>
      <c r="AC879" s="235"/>
      <c r="AD879" s="235"/>
      <c r="AE879" s="235"/>
      <c r="AF879" s="235"/>
      <c r="AG879" s="235"/>
      <c r="AH879" s="235"/>
      <c r="AI879" s="235"/>
      <c r="AJ879" s="235"/>
      <c r="AK879" s="235"/>
      <c r="AL879" s="235"/>
      <c r="AM879" s="235"/>
      <c r="AN879" s="235"/>
      <c r="AO879" s="235"/>
      <c r="AP879" s="235"/>
      <c r="AQ879" s="235"/>
      <c r="AR879" s="235"/>
      <c r="AS879" s="235"/>
      <c r="AT879" s="235"/>
      <c r="AU879" s="235"/>
      <c r="AV879" s="235"/>
      <c r="AW879" s="235"/>
      <c r="AX879" s="235"/>
      <c r="AY879" s="235"/>
      <c r="AZ879" s="235"/>
      <c r="BA879" s="235"/>
      <c r="BB879" s="235"/>
      <c r="BC879" s="235"/>
      <c r="BD879" s="235"/>
      <c r="BE879" s="235"/>
      <c r="BF879" s="235"/>
      <c r="BG879" s="235"/>
      <c r="BH879" s="235"/>
      <c r="BI879" s="235"/>
      <c r="BJ879" s="235"/>
      <c r="BK879" s="235"/>
      <c r="BL879" s="235"/>
      <c r="BM879" s="235"/>
      <c r="BN879" s="235"/>
      <c r="BO879" s="235"/>
    </row>
    <row r="880" ht="29.25" hidden="1" customHeight="1">
      <c r="A880" s="230"/>
      <c r="B880" s="231"/>
      <c r="C880" s="179"/>
      <c r="D880" s="179"/>
      <c r="E880" s="180"/>
      <c r="F880" s="162"/>
      <c r="G880" s="232"/>
      <c r="H880" s="234"/>
      <c r="I880" s="181"/>
      <c r="J880" s="182"/>
      <c r="K880" s="182"/>
      <c r="L880" s="182"/>
      <c r="M880" s="234"/>
      <c r="N880" s="28"/>
      <c r="O880" s="181"/>
      <c r="P880" s="183"/>
      <c r="Q880" s="104"/>
      <c r="R880" s="233"/>
      <c r="S880" s="164"/>
      <c r="T880" s="164"/>
      <c r="U880" s="162"/>
      <c r="V880" s="235"/>
      <c r="W880" s="235"/>
      <c r="X880" s="235"/>
      <c r="Y880" s="235"/>
      <c r="Z880" s="235"/>
      <c r="AA880" s="235"/>
      <c r="AB880" s="235"/>
      <c r="AC880" s="235"/>
      <c r="AD880" s="235"/>
      <c r="AE880" s="235"/>
      <c r="AF880" s="235"/>
      <c r="AG880" s="235"/>
      <c r="AH880" s="235"/>
      <c r="AI880" s="235"/>
      <c r="AJ880" s="235"/>
      <c r="AK880" s="235"/>
      <c r="AL880" s="235"/>
      <c r="AM880" s="235"/>
      <c r="AN880" s="235"/>
      <c r="AO880" s="235"/>
      <c r="AP880" s="235"/>
      <c r="AQ880" s="235"/>
      <c r="AR880" s="235"/>
      <c r="AS880" s="235"/>
      <c r="AT880" s="235"/>
      <c r="AU880" s="235"/>
      <c r="AV880" s="235"/>
      <c r="AW880" s="235"/>
      <c r="AX880" s="235"/>
      <c r="AY880" s="235"/>
      <c r="AZ880" s="235"/>
      <c r="BA880" s="235"/>
      <c r="BB880" s="235"/>
      <c r="BC880" s="235"/>
      <c r="BD880" s="235"/>
      <c r="BE880" s="235"/>
      <c r="BF880" s="235"/>
      <c r="BG880" s="235"/>
      <c r="BH880" s="235"/>
      <c r="BI880" s="235"/>
      <c r="BJ880" s="235"/>
      <c r="BK880" s="235"/>
      <c r="BL880" s="235"/>
      <c r="BM880" s="235"/>
      <c r="BN880" s="235"/>
      <c r="BO880" s="235"/>
    </row>
    <row r="881" ht="29.25" hidden="1" customHeight="1">
      <c r="A881" s="230"/>
      <c r="B881" s="231"/>
      <c r="C881" s="179"/>
      <c r="D881" s="179"/>
      <c r="E881" s="180"/>
      <c r="F881" s="162"/>
      <c r="G881" s="232"/>
      <c r="H881" s="234"/>
      <c r="I881" s="181"/>
      <c r="J881" s="182"/>
      <c r="K881" s="182"/>
      <c r="L881" s="182"/>
      <c r="M881" s="234"/>
      <c r="N881" s="28"/>
      <c r="O881" s="181"/>
      <c r="P881" s="183"/>
      <c r="Q881" s="104"/>
      <c r="R881" s="233"/>
      <c r="S881" s="164"/>
      <c r="T881" s="164"/>
      <c r="U881" s="162"/>
      <c r="V881" s="235"/>
      <c r="W881" s="235"/>
      <c r="X881" s="235"/>
      <c r="Y881" s="235"/>
      <c r="Z881" s="235"/>
      <c r="AA881" s="235"/>
      <c r="AB881" s="235"/>
      <c r="AC881" s="235"/>
      <c r="AD881" s="235"/>
      <c r="AE881" s="235"/>
      <c r="AF881" s="235"/>
      <c r="AG881" s="235"/>
      <c r="AH881" s="235"/>
      <c r="AI881" s="235"/>
      <c r="AJ881" s="235"/>
      <c r="AK881" s="235"/>
      <c r="AL881" s="235"/>
      <c r="AM881" s="235"/>
      <c r="AN881" s="235"/>
      <c r="AO881" s="235"/>
      <c r="AP881" s="235"/>
      <c r="AQ881" s="235"/>
      <c r="AR881" s="235"/>
      <c r="AS881" s="235"/>
      <c r="AT881" s="235"/>
      <c r="AU881" s="235"/>
      <c r="AV881" s="235"/>
      <c r="AW881" s="235"/>
      <c r="AX881" s="235"/>
      <c r="AY881" s="235"/>
      <c r="AZ881" s="235"/>
      <c r="BA881" s="235"/>
      <c r="BB881" s="235"/>
      <c r="BC881" s="235"/>
      <c r="BD881" s="235"/>
      <c r="BE881" s="235"/>
      <c r="BF881" s="235"/>
      <c r="BG881" s="235"/>
      <c r="BH881" s="235"/>
      <c r="BI881" s="235"/>
      <c r="BJ881" s="235"/>
      <c r="BK881" s="235"/>
      <c r="BL881" s="235"/>
      <c r="BM881" s="235"/>
      <c r="BN881" s="235"/>
      <c r="BO881" s="235"/>
    </row>
    <row r="882" ht="29.25" hidden="1" customHeight="1">
      <c r="A882" s="230"/>
      <c r="B882" s="231"/>
      <c r="C882" s="179"/>
      <c r="D882" s="179"/>
      <c r="E882" s="180"/>
      <c r="F882" s="162"/>
      <c r="G882" s="232"/>
      <c r="H882" s="234"/>
      <c r="I882" s="181"/>
      <c r="J882" s="182"/>
      <c r="K882" s="182"/>
      <c r="L882" s="182"/>
      <c r="M882" s="234"/>
      <c r="N882" s="28"/>
      <c r="O882" s="181"/>
      <c r="P882" s="183"/>
      <c r="Q882" s="104"/>
      <c r="R882" s="233"/>
      <c r="S882" s="164"/>
      <c r="T882" s="164"/>
      <c r="U882" s="162"/>
      <c r="V882" s="235"/>
      <c r="W882" s="235"/>
      <c r="X882" s="235"/>
      <c r="Y882" s="235"/>
      <c r="Z882" s="235"/>
      <c r="AA882" s="235"/>
      <c r="AB882" s="235"/>
      <c r="AC882" s="235"/>
      <c r="AD882" s="235"/>
      <c r="AE882" s="235"/>
      <c r="AF882" s="235"/>
      <c r="AG882" s="235"/>
      <c r="AH882" s="235"/>
      <c r="AI882" s="235"/>
      <c r="AJ882" s="235"/>
      <c r="AK882" s="235"/>
      <c r="AL882" s="235"/>
      <c r="AM882" s="235"/>
      <c r="AN882" s="235"/>
      <c r="AO882" s="235"/>
      <c r="AP882" s="235"/>
      <c r="AQ882" s="235"/>
      <c r="AR882" s="235"/>
      <c r="AS882" s="235"/>
      <c r="AT882" s="235"/>
      <c r="AU882" s="235"/>
      <c r="AV882" s="235"/>
      <c r="AW882" s="235"/>
      <c r="AX882" s="235"/>
      <c r="AY882" s="235"/>
      <c r="AZ882" s="235"/>
      <c r="BA882" s="235"/>
      <c r="BB882" s="235"/>
      <c r="BC882" s="235"/>
      <c r="BD882" s="235"/>
      <c r="BE882" s="235"/>
      <c r="BF882" s="235"/>
      <c r="BG882" s="235"/>
      <c r="BH882" s="235"/>
      <c r="BI882" s="235"/>
      <c r="BJ882" s="235"/>
      <c r="BK882" s="235"/>
      <c r="BL882" s="235"/>
      <c r="BM882" s="235"/>
      <c r="BN882" s="235"/>
      <c r="BO882" s="235"/>
    </row>
    <row r="883" ht="29.25" hidden="1" customHeight="1">
      <c r="A883" s="230"/>
      <c r="B883" s="231"/>
      <c r="C883" s="179"/>
      <c r="D883" s="179"/>
      <c r="E883" s="180"/>
      <c r="F883" s="162"/>
      <c r="G883" s="232"/>
      <c r="H883" s="234"/>
      <c r="I883" s="181"/>
      <c r="J883" s="182"/>
      <c r="K883" s="182"/>
      <c r="L883" s="182"/>
      <c r="M883" s="234"/>
      <c r="N883" s="28"/>
      <c r="O883" s="181"/>
      <c r="P883" s="183"/>
      <c r="Q883" s="104"/>
      <c r="R883" s="233"/>
      <c r="S883" s="164"/>
      <c r="T883" s="164"/>
      <c r="U883" s="162"/>
      <c r="V883" s="235"/>
      <c r="W883" s="235"/>
      <c r="X883" s="235"/>
      <c r="Y883" s="235"/>
      <c r="Z883" s="235"/>
      <c r="AA883" s="235"/>
      <c r="AB883" s="235"/>
      <c r="AC883" s="235"/>
      <c r="AD883" s="235"/>
      <c r="AE883" s="235"/>
      <c r="AF883" s="235"/>
      <c r="AG883" s="235"/>
      <c r="AH883" s="235"/>
      <c r="AI883" s="235"/>
      <c r="AJ883" s="235"/>
      <c r="AK883" s="235"/>
      <c r="AL883" s="235"/>
      <c r="AM883" s="235"/>
      <c r="AN883" s="235"/>
      <c r="AO883" s="235"/>
      <c r="AP883" s="235"/>
      <c r="AQ883" s="235"/>
      <c r="AR883" s="235"/>
      <c r="AS883" s="235"/>
      <c r="AT883" s="235"/>
      <c r="AU883" s="235"/>
      <c r="AV883" s="235"/>
      <c r="AW883" s="235"/>
      <c r="AX883" s="235"/>
      <c r="AY883" s="235"/>
      <c r="AZ883" s="235"/>
      <c r="BA883" s="235"/>
      <c r="BB883" s="235"/>
      <c r="BC883" s="235"/>
      <c r="BD883" s="235"/>
      <c r="BE883" s="235"/>
      <c r="BF883" s="235"/>
      <c r="BG883" s="235"/>
      <c r="BH883" s="235"/>
      <c r="BI883" s="235"/>
      <c r="BJ883" s="235"/>
      <c r="BK883" s="235"/>
      <c r="BL883" s="235"/>
      <c r="BM883" s="235"/>
      <c r="BN883" s="235"/>
      <c r="BO883" s="235"/>
    </row>
    <row r="884" ht="29.25" hidden="1" customHeight="1">
      <c r="A884" s="230"/>
      <c r="B884" s="231"/>
      <c r="C884" s="179"/>
      <c r="D884" s="179"/>
      <c r="E884" s="180"/>
      <c r="F884" s="162"/>
      <c r="G884" s="232"/>
      <c r="H884" s="234"/>
      <c r="I884" s="181"/>
      <c r="J884" s="182"/>
      <c r="K884" s="182"/>
      <c r="L884" s="182"/>
      <c r="M884" s="234"/>
      <c r="N884" s="28"/>
      <c r="O884" s="181"/>
      <c r="P884" s="183"/>
      <c r="Q884" s="104"/>
      <c r="R884" s="233"/>
      <c r="S884" s="164"/>
      <c r="T884" s="164"/>
      <c r="U884" s="162"/>
      <c r="V884" s="235"/>
      <c r="W884" s="235"/>
      <c r="X884" s="235"/>
      <c r="Y884" s="235"/>
      <c r="Z884" s="235"/>
      <c r="AA884" s="235"/>
      <c r="AB884" s="235"/>
      <c r="AC884" s="235"/>
      <c r="AD884" s="235"/>
      <c r="AE884" s="235"/>
      <c r="AF884" s="235"/>
      <c r="AG884" s="235"/>
      <c r="AH884" s="235"/>
      <c r="AI884" s="235"/>
      <c r="AJ884" s="235"/>
      <c r="AK884" s="235"/>
      <c r="AL884" s="235"/>
      <c r="AM884" s="235"/>
      <c r="AN884" s="235"/>
      <c r="AO884" s="235"/>
      <c r="AP884" s="235"/>
      <c r="AQ884" s="235"/>
      <c r="AR884" s="235"/>
      <c r="AS884" s="235"/>
      <c r="AT884" s="235"/>
      <c r="AU884" s="235"/>
      <c r="AV884" s="235"/>
      <c r="AW884" s="235"/>
      <c r="AX884" s="235"/>
      <c r="AY884" s="235"/>
      <c r="AZ884" s="235"/>
      <c r="BA884" s="235"/>
      <c r="BB884" s="235"/>
      <c r="BC884" s="235"/>
      <c r="BD884" s="235"/>
      <c r="BE884" s="235"/>
      <c r="BF884" s="235"/>
      <c r="BG884" s="235"/>
      <c r="BH884" s="235"/>
      <c r="BI884" s="235"/>
      <c r="BJ884" s="235"/>
      <c r="BK884" s="235"/>
      <c r="BL884" s="235"/>
      <c r="BM884" s="235"/>
      <c r="BN884" s="235"/>
      <c r="BO884" s="235"/>
    </row>
    <row r="885" ht="29.25" hidden="1" customHeight="1">
      <c r="A885" s="230"/>
      <c r="B885" s="231"/>
      <c r="C885" s="179"/>
      <c r="D885" s="179"/>
      <c r="E885" s="180"/>
      <c r="F885" s="162"/>
      <c r="G885" s="232"/>
      <c r="H885" s="234"/>
      <c r="I885" s="181"/>
      <c r="J885" s="182"/>
      <c r="K885" s="182"/>
      <c r="L885" s="182"/>
      <c r="M885" s="234"/>
      <c r="N885" s="28"/>
      <c r="O885" s="181"/>
      <c r="P885" s="183"/>
      <c r="Q885" s="104"/>
      <c r="R885" s="233"/>
      <c r="S885" s="164"/>
      <c r="T885" s="164"/>
      <c r="U885" s="162"/>
      <c r="V885" s="235"/>
      <c r="W885" s="235"/>
      <c r="X885" s="235"/>
      <c r="Y885" s="235"/>
      <c r="Z885" s="235"/>
      <c r="AA885" s="235"/>
      <c r="AB885" s="235"/>
      <c r="AC885" s="235"/>
      <c r="AD885" s="235"/>
      <c r="AE885" s="235"/>
      <c r="AF885" s="235"/>
      <c r="AG885" s="235"/>
      <c r="AH885" s="235"/>
      <c r="AI885" s="235"/>
      <c r="AJ885" s="235"/>
      <c r="AK885" s="235"/>
      <c r="AL885" s="235"/>
      <c r="AM885" s="235"/>
      <c r="AN885" s="235"/>
      <c r="AO885" s="235"/>
      <c r="AP885" s="235"/>
      <c r="AQ885" s="235"/>
      <c r="AR885" s="235"/>
      <c r="AS885" s="235"/>
      <c r="AT885" s="235"/>
      <c r="AU885" s="235"/>
      <c r="AV885" s="235"/>
      <c r="AW885" s="235"/>
      <c r="AX885" s="235"/>
      <c r="AY885" s="235"/>
      <c r="AZ885" s="235"/>
      <c r="BA885" s="235"/>
      <c r="BB885" s="235"/>
      <c r="BC885" s="235"/>
      <c r="BD885" s="235"/>
      <c r="BE885" s="235"/>
      <c r="BF885" s="235"/>
      <c r="BG885" s="235"/>
      <c r="BH885" s="235"/>
      <c r="BI885" s="235"/>
      <c r="BJ885" s="235"/>
      <c r="BK885" s="235"/>
      <c r="BL885" s="235"/>
      <c r="BM885" s="235"/>
      <c r="BN885" s="235"/>
      <c r="BO885" s="235"/>
    </row>
    <row r="886" ht="29.25" hidden="1" customHeight="1">
      <c r="A886" s="230"/>
      <c r="B886" s="231"/>
      <c r="C886" s="179"/>
      <c r="D886" s="179"/>
      <c r="E886" s="180"/>
      <c r="F886" s="162"/>
      <c r="G886" s="232"/>
      <c r="H886" s="234"/>
      <c r="I886" s="181"/>
      <c r="J886" s="182"/>
      <c r="K886" s="182"/>
      <c r="L886" s="182"/>
      <c r="M886" s="234"/>
      <c r="N886" s="28"/>
      <c r="O886" s="181"/>
      <c r="P886" s="183"/>
      <c r="Q886" s="104"/>
      <c r="R886" s="233"/>
      <c r="S886" s="164"/>
      <c r="T886" s="164"/>
      <c r="U886" s="162"/>
      <c r="V886" s="235"/>
      <c r="W886" s="235"/>
      <c r="X886" s="235"/>
      <c r="Y886" s="235"/>
      <c r="Z886" s="235"/>
      <c r="AA886" s="235"/>
      <c r="AB886" s="235"/>
      <c r="AC886" s="235"/>
      <c r="AD886" s="235"/>
      <c r="AE886" s="235"/>
      <c r="AF886" s="235"/>
      <c r="AG886" s="235"/>
      <c r="AH886" s="235"/>
      <c r="AI886" s="235"/>
      <c r="AJ886" s="235"/>
      <c r="AK886" s="235"/>
      <c r="AL886" s="235"/>
      <c r="AM886" s="235"/>
      <c r="AN886" s="235"/>
      <c r="AO886" s="235"/>
      <c r="AP886" s="235"/>
      <c r="AQ886" s="235"/>
      <c r="AR886" s="235"/>
      <c r="AS886" s="235"/>
      <c r="AT886" s="235"/>
      <c r="AU886" s="235"/>
      <c r="AV886" s="235"/>
      <c r="AW886" s="235"/>
      <c r="AX886" s="235"/>
      <c r="AY886" s="235"/>
      <c r="AZ886" s="235"/>
      <c r="BA886" s="235"/>
      <c r="BB886" s="235"/>
      <c r="BC886" s="235"/>
      <c r="BD886" s="235"/>
      <c r="BE886" s="235"/>
      <c r="BF886" s="235"/>
      <c r="BG886" s="235"/>
      <c r="BH886" s="235"/>
      <c r="BI886" s="235"/>
      <c r="BJ886" s="235"/>
      <c r="BK886" s="235"/>
      <c r="BL886" s="235"/>
      <c r="BM886" s="235"/>
      <c r="BN886" s="235"/>
      <c r="BO886" s="235"/>
    </row>
    <row r="887" ht="29.25" hidden="1" customHeight="1">
      <c r="A887" s="230"/>
      <c r="B887" s="231"/>
      <c r="C887" s="179"/>
      <c r="D887" s="179"/>
      <c r="E887" s="180"/>
      <c r="F887" s="162"/>
      <c r="G887" s="232"/>
      <c r="H887" s="234"/>
      <c r="I887" s="181"/>
      <c r="J887" s="182"/>
      <c r="K887" s="182"/>
      <c r="L887" s="182"/>
      <c r="M887" s="234"/>
      <c r="N887" s="28"/>
      <c r="O887" s="181"/>
      <c r="P887" s="183"/>
      <c r="Q887" s="104"/>
      <c r="R887" s="233"/>
      <c r="S887" s="164"/>
      <c r="T887" s="164"/>
      <c r="U887" s="162"/>
      <c r="V887" s="235"/>
      <c r="W887" s="235"/>
      <c r="X887" s="235"/>
      <c r="Y887" s="235"/>
      <c r="Z887" s="235"/>
      <c r="AA887" s="235"/>
      <c r="AB887" s="235"/>
      <c r="AC887" s="235"/>
      <c r="AD887" s="235"/>
      <c r="AE887" s="235"/>
      <c r="AF887" s="235"/>
      <c r="AG887" s="235"/>
      <c r="AH887" s="235"/>
      <c r="AI887" s="235"/>
      <c r="AJ887" s="235"/>
      <c r="AK887" s="235"/>
      <c r="AL887" s="235"/>
      <c r="AM887" s="235"/>
      <c r="AN887" s="235"/>
      <c r="AO887" s="235"/>
      <c r="AP887" s="235"/>
      <c r="AQ887" s="235"/>
      <c r="AR887" s="235"/>
      <c r="AS887" s="235"/>
      <c r="AT887" s="235"/>
      <c r="AU887" s="235"/>
      <c r="AV887" s="235"/>
      <c r="AW887" s="235"/>
      <c r="AX887" s="235"/>
      <c r="AY887" s="235"/>
      <c r="AZ887" s="235"/>
      <c r="BA887" s="235"/>
      <c r="BB887" s="235"/>
      <c r="BC887" s="235"/>
      <c r="BD887" s="235"/>
      <c r="BE887" s="235"/>
      <c r="BF887" s="235"/>
      <c r="BG887" s="235"/>
      <c r="BH887" s="235"/>
      <c r="BI887" s="235"/>
      <c r="BJ887" s="235"/>
      <c r="BK887" s="235"/>
      <c r="BL887" s="235"/>
      <c r="BM887" s="235"/>
      <c r="BN887" s="235"/>
      <c r="BO887" s="235"/>
    </row>
    <row r="888" ht="29.25" hidden="1" customHeight="1">
      <c r="A888" s="230"/>
      <c r="B888" s="231"/>
      <c r="C888" s="179"/>
      <c r="D888" s="179"/>
      <c r="E888" s="180"/>
      <c r="F888" s="162"/>
      <c r="G888" s="232"/>
      <c r="H888" s="234"/>
      <c r="I888" s="181"/>
      <c r="J888" s="182"/>
      <c r="K888" s="182"/>
      <c r="L888" s="182"/>
      <c r="M888" s="234"/>
      <c r="N888" s="28"/>
      <c r="O888" s="181"/>
      <c r="P888" s="183"/>
      <c r="Q888" s="104"/>
      <c r="R888" s="233"/>
      <c r="S888" s="164"/>
      <c r="T888" s="164"/>
      <c r="U888" s="162"/>
      <c r="V888" s="235"/>
      <c r="W888" s="235"/>
      <c r="X888" s="235"/>
      <c r="Y888" s="235"/>
      <c r="Z888" s="235"/>
      <c r="AA888" s="235"/>
      <c r="AB888" s="235"/>
      <c r="AC888" s="235"/>
      <c r="AD888" s="235"/>
      <c r="AE888" s="235"/>
      <c r="AF888" s="235"/>
      <c r="AG888" s="235"/>
      <c r="AH888" s="235"/>
      <c r="AI888" s="235"/>
      <c r="AJ888" s="235"/>
      <c r="AK888" s="235"/>
      <c r="AL888" s="235"/>
      <c r="AM888" s="235"/>
      <c r="AN888" s="235"/>
      <c r="AO888" s="235"/>
      <c r="AP888" s="235"/>
      <c r="AQ888" s="235"/>
      <c r="AR888" s="235"/>
      <c r="AS888" s="235"/>
      <c r="AT888" s="235"/>
      <c r="AU888" s="235"/>
      <c r="AV888" s="235"/>
      <c r="AW888" s="235"/>
      <c r="AX888" s="235"/>
      <c r="AY888" s="235"/>
      <c r="AZ888" s="235"/>
      <c r="BA888" s="235"/>
      <c r="BB888" s="235"/>
      <c r="BC888" s="235"/>
      <c r="BD888" s="235"/>
      <c r="BE888" s="235"/>
      <c r="BF888" s="235"/>
      <c r="BG888" s="235"/>
      <c r="BH888" s="235"/>
      <c r="BI888" s="235"/>
      <c r="BJ888" s="235"/>
      <c r="BK888" s="235"/>
      <c r="BL888" s="235"/>
      <c r="BM888" s="235"/>
      <c r="BN888" s="235"/>
      <c r="BO888" s="235"/>
    </row>
    <row r="889" ht="29.25" hidden="1" customHeight="1">
      <c r="A889" s="230"/>
      <c r="B889" s="231"/>
      <c r="C889" s="179"/>
      <c r="D889" s="179"/>
      <c r="E889" s="180"/>
      <c r="F889" s="162"/>
      <c r="G889" s="232"/>
      <c r="H889" s="234"/>
      <c r="I889" s="181"/>
      <c r="J889" s="182"/>
      <c r="K889" s="182"/>
      <c r="L889" s="182"/>
      <c r="M889" s="234"/>
      <c r="N889" s="28"/>
      <c r="O889" s="181"/>
      <c r="P889" s="183"/>
      <c r="Q889" s="104"/>
      <c r="R889" s="233"/>
      <c r="S889" s="164"/>
      <c r="T889" s="164"/>
      <c r="U889" s="162"/>
      <c r="V889" s="235"/>
      <c r="W889" s="235"/>
      <c r="X889" s="235"/>
      <c r="Y889" s="235"/>
      <c r="Z889" s="235"/>
      <c r="AA889" s="235"/>
      <c r="AB889" s="235"/>
      <c r="AC889" s="235"/>
      <c r="AD889" s="235"/>
      <c r="AE889" s="235"/>
      <c r="AF889" s="235"/>
      <c r="AG889" s="235"/>
      <c r="AH889" s="235"/>
      <c r="AI889" s="235"/>
      <c r="AJ889" s="235"/>
      <c r="AK889" s="235"/>
      <c r="AL889" s="235"/>
      <c r="AM889" s="235"/>
      <c r="AN889" s="235"/>
      <c r="AO889" s="235"/>
      <c r="AP889" s="235"/>
      <c r="AQ889" s="235"/>
      <c r="AR889" s="235"/>
      <c r="AS889" s="235"/>
      <c r="AT889" s="235"/>
      <c r="AU889" s="235"/>
      <c r="AV889" s="235"/>
      <c r="AW889" s="235"/>
      <c r="AX889" s="235"/>
      <c r="AY889" s="235"/>
      <c r="AZ889" s="235"/>
      <c r="BA889" s="235"/>
      <c r="BB889" s="235"/>
      <c r="BC889" s="235"/>
      <c r="BD889" s="235"/>
      <c r="BE889" s="235"/>
      <c r="BF889" s="235"/>
      <c r="BG889" s="235"/>
      <c r="BH889" s="235"/>
      <c r="BI889" s="235"/>
      <c r="BJ889" s="235"/>
      <c r="BK889" s="235"/>
      <c r="BL889" s="235"/>
      <c r="BM889" s="235"/>
      <c r="BN889" s="235"/>
      <c r="BO889" s="235"/>
    </row>
    <row r="890" ht="29.25" hidden="1" customHeight="1">
      <c r="A890" s="230"/>
      <c r="B890" s="231"/>
      <c r="C890" s="179"/>
      <c r="D890" s="179"/>
      <c r="E890" s="180"/>
      <c r="F890" s="162"/>
      <c r="G890" s="232"/>
      <c r="H890" s="234"/>
      <c r="I890" s="181"/>
      <c r="J890" s="182"/>
      <c r="K890" s="182"/>
      <c r="L890" s="182"/>
      <c r="M890" s="234"/>
      <c r="N890" s="28"/>
      <c r="O890" s="181"/>
      <c r="P890" s="183"/>
      <c r="Q890" s="104"/>
      <c r="R890" s="233"/>
      <c r="S890" s="164"/>
      <c r="T890" s="164"/>
      <c r="U890" s="162"/>
      <c r="V890" s="235"/>
      <c r="W890" s="235"/>
      <c r="X890" s="235"/>
      <c r="Y890" s="235"/>
      <c r="Z890" s="235"/>
      <c r="AA890" s="235"/>
      <c r="AB890" s="235"/>
      <c r="AC890" s="235"/>
      <c r="AD890" s="235"/>
      <c r="AE890" s="235"/>
      <c r="AF890" s="235"/>
      <c r="AG890" s="235"/>
      <c r="AH890" s="235"/>
      <c r="AI890" s="235"/>
      <c r="AJ890" s="235"/>
      <c r="AK890" s="235"/>
      <c r="AL890" s="235"/>
      <c r="AM890" s="235"/>
      <c r="AN890" s="235"/>
      <c r="AO890" s="235"/>
      <c r="AP890" s="235"/>
      <c r="AQ890" s="235"/>
      <c r="AR890" s="235"/>
      <c r="AS890" s="235"/>
      <c r="AT890" s="235"/>
      <c r="AU890" s="235"/>
      <c r="AV890" s="235"/>
      <c r="AW890" s="235"/>
      <c r="AX890" s="235"/>
      <c r="AY890" s="235"/>
      <c r="AZ890" s="235"/>
      <c r="BA890" s="235"/>
      <c r="BB890" s="235"/>
      <c r="BC890" s="235"/>
      <c r="BD890" s="235"/>
      <c r="BE890" s="235"/>
      <c r="BF890" s="235"/>
      <c r="BG890" s="235"/>
      <c r="BH890" s="235"/>
      <c r="BI890" s="235"/>
      <c r="BJ890" s="235"/>
      <c r="BK890" s="235"/>
      <c r="BL890" s="235"/>
      <c r="BM890" s="235"/>
      <c r="BN890" s="235"/>
      <c r="BO890" s="235"/>
    </row>
    <row r="891" ht="29.25" hidden="1" customHeight="1">
      <c r="A891" s="230"/>
      <c r="B891" s="231"/>
      <c r="C891" s="179"/>
      <c r="D891" s="179"/>
      <c r="E891" s="180"/>
      <c r="F891" s="162"/>
      <c r="G891" s="232"/>
      <c r="H891" s="234"/>
      <c r="I891" s="181"/>
      <c r="J891" s="182"/>
      <c r="K891" s="182"/>
      <c r="L891" s="182"/>
      <c r="M891" s="234"/>
      <c r="N891" s="28"/>
      <c r="O891" s="181"/>
      <c r="P891" s="183"/>
      <c r="Q891" s="104"/>
      <c r="R891" s="233"/>
      <c r="S891" s="164"/>
      <c r="T891" s="164"/>
      <c r="U891" s="162"/>
      <c r="V891" s="235"/>
      <c r="W891" s="235"/>
      <c r="X891" s="235"/>
      <c r="Y891" s="235"/>
      <c r="Z891" s="235"/>
      <c r="AA891" s="235"/>
      <c r="AB891" s="235"/>
      <c r="AC891" s="235"/>
      <c r="AD891" s="235"/>
      <c r="AE891" s="235"/>
      <c r="AF891" s="235"/>
      <c r="AG891" s="235"/>
      <c r="AH891" s="235"/>
      <c r="AI891" s="235"/>
      <c r="AJ891" s="235"/>
      <c r="AK891" s="235"/>
      <c r="AL891" s="235"/>
      <c r="AM891" s="235"/>
      <c r="AN891" s="235"/>
      <c r="AO891" s="235"/>
      <c r="AP891" s="235"/>
      <c r="AQ891" s="235"/>
      <c r="AR891" s="235"/>
      <c r="AS891" s="235"/>
      <c r="AT891" s="235"/>
      <c r="AU891" s="235"/>
      <c r="AV891" s="235"/>
      <c r="AW891" s="235"/>
      <c r="AX891" s="235"/>
      <c r="AY891" s="235"/>
      <c r="AZ891" s="235"/>
      <c r="BA891" s="235"/>
      <c r="BB891" s="235"/>
      <c r="BC891" s="235"/>
      <c r="BD891" s="235"/>
      <c r="BE891" s="235"/>
      <c r="BF891" s="235"/>
      <c r="BG891" s="235"/>
      <c r="BH891" s="235"/>
      <c r="BI891" s="235"/>
      <c r="BJ891" s="235"/>
      <c r="BK891" s="235"/>
      <c r="BL891" s="235"/>
      <c r="BM891" s="235"/>
      <c r="BN891" s="235"/>
      <c r="BO891" s="235"/>
    </row>
    <row r="892" ht="29.25" hidden="1" customHeight="1">
      <c r="A892" s="230"/>
      <c r="B892" s="231"/>
      <c r="C892" s="179"/>
      <c r="D892" s="179"/>
      <c r="E892" s="180"/>
      <c r="F892" s="162"/>
      <c r="G892" s="232"/>
      <c r="H892" s="234"/>
      <c r="I892" s="181"/>
      <c r="J892" s="182"/>
      <c r="K892" s="182"/>
      <c r="L892" s="182"/>
      <c r="M892" s="234"/>
      <c r="N892" s="28"/>
      <c r="O892" s="181"/>
      <c r="P892" s="183"/>
      <c r="Q892" s="104"/>
      <c r="R892" s="233"/>
      <c r="S892" s="164"/>
      <c r="T892" s="164"/>
      <c r="U892" s="162"/>
      <c r="V892" s="235"/>
      <c r="W892" s="235"/>
      <c r="X892" s="235"/>
      <c r="Y892" s="235"/>
      <c r="Z892" s="235"/>
      <c r="AA892" s="235"/>
      <c r="AB892" s="235"/>
      <c r="AC892" s="235"/>
      <c r="AD892" s="235"/>
      <c r="AE892" s="235"/>
      <c r="AF892" s="235"/>
      <c r="AG892" s="235"/>
      <c r="AH892" s="235"/>
      <c r="AI892" s="235"/>
      <c r="AJ892" s="235"/>
      <c r="AK892" s="235"/>
      <c r="AL892" s="235"/>
      <c r="AM892" s="235"/>
      <c r="AN892" s="235"/>
      <c r="AO892" s="235"/>
      <c r="AP892" s="235"/>
      <c r="AQ892" s="235"/>
      <c r="AR892" s="235"/>
      <c r="AS892" s="235"/>
      <c r="AT892" s="235"/>
      <c r="AU892" s="235"/>
      <c r="AV892" s="235"/>
      <c r="AW892" s="235"/>
      <c r="AX892" s="235"/>
      <c r="AY892" s="235"/>
      <c r="AZ892" s="235"/>
      <c r="BA892" s="235"/>
      <c r="BB892" s="235"/>
      <c r="BC892" s="235"/>
      <c r="BD892" s="235"/>
      <c r="BE892" s="235"/>
      <c r="BF892" s="235"/>
      <c r="BG892" s="235"/>
      <c r="BH892" s="235"/>
      <c r="BI892" s="235"/>
      <c r="BJ892" s="235"/>
      <c r="BK892" s="235"/>
      <c r="BL892" s="235"/>
      <c r="BM892" s="235"/>
      <c r="BN892" s="235"/>
      <c r="BO892" s="235"/>
    </row>
    <row r="893" ht="29.25" hidden="1" customHeight="1">
      <c r="A893" s="230"/>
      <c r="B893" s="231"/>
      <c r="C893" s="179"/>
      <c r="D893" s="179"/>
      <c r="E893" s="180"/>
      <c r="F893" s="162"/>
      <c r="G893" s="232"/>
      <c r="H893" s="234"/>
      <c r="I893" s="181"/>
      <c r="J893" s="182"/>
      <c r="K893" s="182"/>
      <c r="L893" s="182"/>
      <c r="M893" s="234"/>
      <c r="N893" s="28"/>
      <c r="O893" s="181"/>
      <c r="P893" s="183"/>
      <c r="Q893" s="104"/>
      <c r="R893" s="233"/>
      <c r="S893" s="164"/>
      <c r="T893" s="164"/>
      <c r="U893" s="162"/>
      <c r="V893" s="235"/>
      <c r="W893" s="235"/>
      <c r="X893" s="235"/>
      <c r="Y893" s="235"/>
      <c r="Z893" s="235"/>
      <c r="AA893" s="235"/>
      <c r="AB893" s="235"/>
      <c r="AC893" s="235"/>
      <c r="AD893" s="235"/>
      <c r="AE893" s="235"/>
      <c r="AF893" s="235"/>
      <c r="AG893" s="235"/>
      <c r="AH893" s="235"/>
      <c r="AI893" s="235"/>
      <c r="AJ893" s="235"/>
      <c r="AK893" s="235"/>
      <c r="AL893" s="235"/>
      <c r="AM893" s="235"/>
      <c r="AN893" s="235"/>
      <c r="AO893" s="235"/>
      <c r="AP893" s="235"/>
      <c r="AQ893" s="235"/>
      <c r="AR893" s="235"/>
      <c r="AS893" s="235"/>
      <c r="AT893" s="235"/>
      <c r="AU893" s="235"/>
      <c r="AV893" s="235"/>
      <c r="AW893" s="235"/>
      <c r="AX893" s="235"/>
      <c r="AY893" s="235"/>
      <c r="AZ893" s="235"/>
      <c r="BA893" s="235"/>
      <c r="BB893" s="235"/>
      <c r="BC893" s="235"/>
      <c r="BD893" s="235"/>
      <c r="BE893" s="235"/>
      <c r="BF893" s="235"/>
      <c r="BG893" s="235"/>
      <c r="BH893" s="235"/>
      <c r="BI893" s="235"/>
      <c r="BJ893" s="235"/>
      <c r="BK893" s="235"/>
      <c r="BL893" s="235"/>
      <c r="BM893" s="235"/>
      <c r="BN893" s="235"/>
      <c r="BO893" s="235"/>
    </row>
    <row r="894" ht="29.25" hidden="1" customHeight="1">
      <c r="A894" s="230"/>
      <c r="B894" s="231"/>
      <c r="C894" s="179"/>
      <c r="D894" s="179"/>
      <c r="E894" s="180"/>
      <c r="F894" s="162"/>
      <c r="G894" s="232"/>
      <c r="H894" s="234"/>
      <c r="I894" s="181"/>
      <c r="J894" s="182"/>
      <c r="K894" s="182"/>
      <c r="L894" s="182"/>
      <c r="M894" s="234"/>
      <c r="N894" s="28"/>
      <c r="O894" s="181"/>
      <c r="P894" s="183"/>
      <c r="Q894" s="104"/>
      <c r="R894" s="233"/>
      <c r="S894" s="164"/>
      <c r="T894" s="164"/>
      <c r="U894" s="162"/>
      <c r="V894" s="235"/>
      <c r="W894" s="235"/>
      <c r="X894" s="235"/>
      <c r="Y894" s="235"/>
      <c r="Z894" s="235"/>
      <c r="AA894" s="235"/>
      <c r="AB894" s="235"/>
      <c r="AC894" s="235"/>
      <c r="AD894" s="235"/>
      <c r="AE894" s="235"/>
      <c r="AF894" s="235"/>
      <c r="AG894" s="235"/>
      <c r="AH894" s="235"/>
      <c r="AI894" s="235"/>
      <c r="AJ894" s="235"/>
      <c r="AK894" s="235"/>
      <c r="AL894" s="235"/>
      <c r="AM894" s="235"/>
      <c r="AN894" s="235"/>
      <c r="AO894" s="235"/>
      <c r="AP894" s="235"/>
      <c r="AQ894" s="235"/>
      <c r="AR894" s="235"/>
      <c r="AS894" s="235"/>
      <c r="AT894" s="235"/>
      <c r="AU894" s="235"/>
      <c r="AV894" s="235"/>
      <c r="AW894" s="235"/>
      <c r="AX894" s="235"/>
      <c r="AY894" s="235"/>
      <c r="AZ894" s="235"/>
      <c r="BA894" s="235"/>
      <c r="BB894" s="235"/>
      <c r="BC894" s="235"/>
      <c r="BD894" s="235"/>
      <c r="BE894" s="235"/>
      <c r="BF894" s="235"/>
      <c r="BG894" s="235"/>
      <c r="BH894" s="235"/>
      <c r="BI894" s="235"/>
      <c r="BJ894" s="235"/>
      <c r="BK894" s="235"/>
      <c r="BL894" s="235"/>
      <c r="BM894" s="235"/>
      <c r="BN894" s="235"/>
      <c r="BO894" s="235"/>
    </row>
    <row r="895" ht="29.25" hidden="1" customHeight="1">
      <c r="A895" s="230"/>
      <c r="B895" s="231"/>
      <c r="C895" s="179"/>
      <c r="D895" s="179"/>
      <c r="E895" s="180"/>
      <c r="F895" s="162"/>
      <c r="G895" s="232"/>
      <c r="H895" s="234"/>
      <c r="I895" s="181"/>
      <c r="J895" s="182"/>
      <c r="K895" s="182"/>
      <c r="L895" s="182"/>
      <c r="M895" s="234"/>
      <c r="N895" s="28"/>
      <c r="O895" s="181"/>
      <c r="P895" s="183"/>
      <c r="Q895" s="104"/>
      <c r="R895" s="233"/>
      <c r="S895" s="164"/>
      <c r="T895" s="164"/>
      <c r="U895" s="162"/>
      <c r="V895" s="235"/>
      <c r="W895" s="235"/>
      <c r="X895" s="235"/>
      <c r="Y895" s="235"/>
      <c r="Z895" s="235"/>
      <c r="AA895" s="235"/>
      <c r="AB895" s="235"/>
      <c r="AC895" s="235"/>
      <c r="AD895" s="235"/>
      <c r="AE895" s="235"/>
      <c r="AF895" s="235"/>
      <c r="AG895" s="235"/>
      <c r="AH895" s="235"/>
      <c r="AI895" s="235"/>
      <c r="AJ895" s="235"/>
      <c r="AK895" s="235"/>
      <c r="AL895" s="235"/>
      <c r="AM895" s="235"/>
      <c r="AN895" s="235"/>
      <c r="AO895" s="235"/>
      <c r="AP895" s="235"/>
      <c r="AQ895" s="235"/>
      <c r="AR895" s="235"/>
      <c r="AS895" s="235"/>
      <c r="AT895" s="235"/>
      <c r="AU895" s="235"/>
      <c r="AV895" s="235"/>
      <c r="AW895" s="235"/>
      <c r="AX895" s="235"/>
      <c r="AY895" s="235"/>
      <c r="AZ895" s="235"/>
      <c r="BA895" s="235"/>
      <c r="BB895" s="235"/>
      <c r="BC895" s="235"/>
      <c r="BD895" s="235"/>
      <c r="BE895" s="235"/>
      <c r="BF895" s="235"/>
      <c r="BG895" s="235"/>
      <c r="BH895" s="235"/>
      <c r="BI895" s="235"/>
      <c r="BJ895" s="235"/>
      <c r="BK895" s="235"/>
      <c r="BL895" s="235"/>
      <c r="BM895" s="235"/>
      <c r="BN895" s="235"/>
      <c r="BO895" s="235"/>
    </row>
    <row r="896" ht="29.25" hidden="1" customHeight="1">
      <c r="A896" s="230"/>
      <c r="B896" s="231"/>
      <c r="C896" s="179"/>
      <c r="D896" s="179"/>
      <c r="E896" s="180"/>
      <c r="F896" s="162"/>
      <c r="G896" s="232"/>
      <c r="H896" s="234"/>
      <c r="I896" s="181"/>
      <c r="J896" s="182"/>
      <c r="K896" s="182"/>
      <c r="L896" s="182"/>
      <c r="M896" s="234"/>
      <c r="N896" s="28"/>
      <c r="O896" s="181"/>
      <c r="P896" s="183"/>
      <c r="Q896" s="104"/>
      <c r="R896" s="233"/>
      <c r="S896" s="164"/>
      <c r="T896" s="164"/>
      <c r="U896" s="162"/>
      <c r="V896" s="235"/>
      <c r="W896" s="235"/>
      <c r="X896" s="235"/>
      <c r="Y896" s="235"/>
      <c r="Z896" s="235"/>
      <c r="AA896" s="235"/>
      <c r="AB896" s="235"/>
      <c r="AC896" s="235"/>
      <c r="AD896" s="235"/>
      <c r="AE896" s="235"/>
      <c r="AF896" s="235"/>
      <c r="AG896" s="235"/>
      <c r="AH896" s="235"/>
      <c r="AI896" s="235"/>
      <c r="AJ896" s="235"/>
      <c r="AK896" s="235"/>
      <c r="AL896" s="235"/>
      <c r="AM896" s="235"/>
      <c r="AN896" s="235"/>
      <c r="AO896" s="235"/>
      <c r="AP896" s="235"/>
      <c r="AQ896" s="235"/>
      <c r="AR896" s="235"/>
      <c r="AS896" s="235"/>
      <c r="AT896" s="235"/>
      <c r="AU896" s="235"/>
      <c r="AV896" s="235"/>
      <c r="AW896" s="235"/>
      <c r="AX896" s="235"/>
      <c r="AY896" s="235"/>
      <c r="AZ896" s="235"/>
      <c r="BA896" s="235"/>
      <c r="BB896" s="235"/>
      <c r="BC896" s="235"/>
      <c r="BD896" s="235"/>
      <c r="BE896" s="235"/>
      <c r="BF896" s="235"/>
      <c r="BG896" s="235"/>
      <c r="BH896" s="235"/>
      <c r="BI896" s="235"/>
      <c r="BJ896" s="235"/>
      <c r="BK896" s="235"/>
      <c r="BL896" s="235"/>
      <c r="BM896" s="235"/>
      <c r="BN896" s="235"/>
      <c r="BO896" s="235"/>
    </row>
    <row r="897" ht="29.25" hidden="1" customHeight="1">
      <c r="A897" s="230"/>
      <c r="B897" s="231"/>
      <c r="C897" s="179"/>
      <c r="D897" s="179"/>
      <c r="E897" s="180"/>
      <c r="F897" s="162"/>
      <c r="G897" s="232"/>
      <c r="H897" s="234"/>
      <c r="I897" s="181"/>
      <c r="J897" s="182"/>
      <c r="K897" s="182"/>
      <c r="L897" s="182"/>
      <c r="M897" s="234"/>
      <c r="N897" s="28"/>
      <c r="O897" s="181"/>
      <c r="P897" s="183"/>
      <c r="Q897" s="104"/>
      <c r="R897" s="233"/>
      <c r="S897" s="164"/>
      <c r="T897" s="164"/>
      <c r="U897" s="162"/>
      <c r="V897" s="235"/>
      <c r="W897" s="235"/>
      <c r="X897" s="235"/>
      <c r="Y897" s="235"/>
      <c r="Z897" s="235"/>
      <c r="AA897" s="235"/>
      <c r="AB897" s="235"/>
      <c r="AC897" s="235"/>
      <c r="AD897" s="235"/>
      <c r="AE897" s="235"/>
      <c r="AF897" s="235"/>
      <c r="AG897" s="235"/>
      <c r="AH897" s="235"/>
      <c r="AI897" s="235"/>
      <c r="AJ897" s="235"/>
      <c r="AK897" s="235"/>
      <c r="AL897" s="235"/>
      <c r="AM897" s="235"/>
      <c r="AN897" s="235"/>
      <c r="AO897" s="235"/>
      <c r="AP897" s="235"/>
      <c r="AQ897" s="235"/>
      <c r="AR897" s="235"/>
      <c r="AS897" s="235"/>
      <c r="AT897" s="235"/>
      <c r="AU897" s="235"/>
      <c r="AV897" s="235"/>
      <c r="AW897" s="235"/>
      <c r="AX897" s="235"/>
      <c r="AY897" s="235"/>
      <c r="AZ897" s="235"/>
      <c r="BA897" s="235"/>
      <c r="BB897" s="235"/>
      <c r="BC897" s="235"/>
      <c r="BD897" s="235"/>
      <c r="BE897" s="235"/>
      <c r="BF897" s="235"/>
      <c r="BG897" s="235"/>
      <c r="BH897" s="235"/>
      <c r="BI897" s="235"/>
      <c r="BJ897" s="235"/>
      <c r="BK897" s="235"/>
      <c r="BL897" s="235"/>
      <c r="BM897" s="235"/>
      <c r="BN897" s="235"/>
      <c r="BO897" s="235"/>
    </row>
    <row r="898" ht="29.25" hidden="1" customHeight="1">
      <c r="A898" s="230"/>
      <c r="B898" s="231"/>
      <c r="C898" s="179"/>
      <c r="D898" s="179"/>
      <c r="E898" s="180"/>
      <c r="F898" s="162"/>
      <c r="G898" s="232"/>
      <c r="H898" s="234"/>
      <c r="I898" s="181"/>
      <c r="J898" s="182"/>
      <c r="K898" s="182"/>
      <c r="L898" s="182"/>
      <c r="M898" s="234"/>
      <c r="N898" s="28"/>
      <c r="O898" s="181"/>
      <c r="P898" s="183"/>
      <c r="Q898" s="104"/>
      <c r="R898" s="233"/>
      <c r="S898" s="164"/>
      <c r="T898" s="164"/>
      <c r="U898" s="162"/>
      <c r="V898" s="235"/>
      <c r="W898" s="235"/>
      <c r="X898" s="235"/>
      <c r="Y898" s="235"/>
      <c r="Z898" s="235"/>
      <c r="AA898" s="235"/>
      <c r="AB898" s="235"/>
      <c r="AC898" s="235"/>
      <c r="AD898" s="235"/>
      <c r="AE898" s="235"/>
      <c r="AF898" s="235"/>
      <c r="AG898" s="235"/>
      <c r="AH898" s="235"/>
      <c r="AI898" s="235"/>
      <c r="AJ898" s="235"/>
      <c r="AK898" s="235"/>
      <c r="AL898" s="235"/>
      <c r="AM898" s="235"/>
      <c r="AN898" s="235"/>
      <c r="AO898" s="235"/>
      <c r="AP898" s="235"/>
      <c r="AQ898" s="235"/>
      <c r="AR898" s="235"/>
      <c r="AS898" s="235"/>
      <c r="AT898" s="235"/>
      <c r="AU898" s="235"/>
      <c r="AV898" s="235"/>
      <c r="AW898" s="235"/>
      <c r="AX898" s="235"/>
      <c r="AY898" s="235"/>
      <c r="AZ898" s="235"/>
      <c r="BA898" s="235"/>
      <c r="BB898" s="235"/>
      <c r="BC898" s="235"/>
      <c r="BD898" s="235"/>
      <c r="BE898" s="235"/>
      <c r="BF898" s="235"/>
      <c r="BG898" s="235"/>
      <c r="BH898" s="235"/>
      <c r="BI898" s="235"/>
      <c r="BJ898" s="235"/>
      <c r="BK898" s="235"/>
      <c r="BL898" s="235"/>
      <c r="BM898" s="235"/>
      <c r="BN898" s="235"/>
      <c r="BO898" s="235"/>
    </row>
    <row r="899" ht="29.25" hidden="1" customHeight="1">
      <c r="A899" s="230"/>
      <c r="B899" s="231"/>
      <c r="C899" s="179"/>
      <c r="D899" s="179"/>
      <c r="E899" s="180"/>
      <c r="F899" s="162"/>
      <c r="G899" s="232"/>
      <c r="H899" s="234"/>
      <c r="I899" s="181"/>
      <c r="J899" s="182"/>
      <c r="K899" s="182"/>
      <c r="L899" s="182"/>
      <c r="M899" s="234"/>
      <c r="N899" s="28"/>
      <c r="O899" s="181"/>
      <c r="P899" s="183"/>
      <c r="Q899" s="104"/>
      <c r="R899" s="233"/>
      <c r="S899" s="164"/>
      <c r="T899" s="164"/>
      <c r="U899" s="162"/>
      <c r="V899" s="235"/>
      <c r="W899" s="235"/>
      <c r="X899" s="235"/>
      <c r="Y899" s="235"/>
      <c r="Z899" s="235"/>
      <c r="AA899" s="235"/>
      <c r="AB899" s="235"/>
      <c r="AC899" s="235"/>
      <c r="AD899" s="235"/>
      <c r="AE899" s="235"/>
      <c r="AF899" s="235"/>
      <c r="AG899" s="235"/>
      <c r="AH899" s="235"/>
      <c r="AI899" s="235"/>
      <c r="AJ899" s="235"/>
      <c r="AK899" s="235"/>
      <c r="AL899" s="235"/>
      <c r="AM899" s="235"/>
      <c r="AN899" s="235"/>
      <c r="AO899" s="235"/>
      <c r="AP899" s="235"/>
      <c r="AQ899" s="235"/>
      <c r="AR899" s="235"/>
      <c r="AS899" s="235"/>
      <c r="AT899" s="235"/>
      <c r="AU899" s="235"/>
      <c r="AV899" s="235"/>
      <c r="AW899" s="235"/>
      <c r="AX899" s="235"/>
      <c r="AY899" s="235"/>
      <c r="AZ899" s="235"/>
      <c r="BA899" s="235"/>
      <c r="BB899" s="235"/>
      <c r="BC899" s="235"/>
      <c r="BD899" s="235"/>
      <c r="BE899" s="235"/>
      <c r="BF899" s="235"/>
      <c r="BG899" s="235"/>
      <c r="BH899" s="235"/>
      <c r="BI899" s="235"/>
      <c r="BJ899" s="235"/>
      <c r="BK899" s="235"/>
      <c r="BL899" s="235"/>
      <c r="BM899" s="235"/>
      <c r="BN899" s="235"/>
      <c r="BO899" s="235"/>
    </row>
    <row r="900" ht="29.25" hidden="1" customHeight="1">
      <c r="A900" s="230"/>
      <c r="B900" s="231"/>
      <c r="C900" s="179"/>
      <c r="D900" s="179"/>
      <c r="E900" s="180"/>
      <c r="F900" s="162"/>
      <c r="G900" s="232"/>
      <c r="H900" s="234"/>
      <c r="I900" s="181"/>
      <c r="J900" s="182"/>
      <c r="K900" s="182"/>
      <c r="L900" s="182"/>
      <c r="M900" s="234"/>
      <c r="N900" s="28"/>
      <c r="O900" s="181"/>
      <c r="P900" s="183"/>
      <c r="Q900" s="104"/>
      <c r="R900" s="233"/>
      <c r="S900" s="164"/>
      <c r="T900" s="164"/>
      <c r="U900" s="162"/>
      <c r="V900" s="235"/>
      <c r="W900" s="235"/>
      <c r="X900" s="235"/>
      <c r="Y900" s="235"/>
      <c r="Z900" s="235"/>
      <c r="AA900" s="235"/>
      <c r="AB900" s="235"/>
      <c r="AC900" s="235"/>
      <c r="AD900" s="235"/>
      <c r="AE900" s="235"/>
      <c r="AF900" s="235"/>
      <c r="AG900" s="235"/>
      <c r="AH900" s="235"/>
      <c r="AI900" s="235"/>
      <c r="AJ900" s="235"/>
      <c r="AK900" s="235"/>
      <c r="AL900" s="235"/>
      <c r="AM900" s="235"/>
      <c r="AN900" s="235"/>
      <c r="AO900" s="235"/>
      <c r="AP900" s="235"/>
      <c r="AQ900" s="235"/>
      <c r="AR900" s="235"/>
      <c r="AS900" s="235"/>
      <c r="AT900" s="235"/>
      <c r="AU900" s="235"/>
      <c r="AV900" s="235"/>
      <c r="AW900" s="235"/>
      <c r="AX900" s="235"/>
      <c r="AY900" s="235"/>
      <c r="AZ900" s="235"/>
      <c r="BA900" s="235"/>
      <c r="BB900" s="235"/>
      <c r="BC900" s="235"/>
      <c r="BD900" s="235"/>
      <c r="BE900" s="235"/>
      <c r="BF900" s="235"/>
      <c r="BG900" s="235"/>
      <c r="BH900" s="235"/>
      <c r="BI900" s="235"/>
      <c r="BJ900" s="235"/>
      <c r="BK900" s="235"/>
      <c r="BL900" s="235"/>
      <c r="BM900" s="235"/>
      <c r="BN900" s="235"/>
      <c r="BO900" s="235"/>
    </row>
    <row r="901" ht="29.25" hidden="1" customHeight="1">
      <c r="A901" s="230"/>
      <c r="B901" s="231"/>
      <c r="C901" s="179"/>
      <c r="D901" s="179"/>
      <c r="E901" s="180"/>
      <c r="F901" s="162"/>
      <c r="G901" s="232"/>
      <c r="H901" s="234"/>
      <c r="I901" s="181"/>
      <c r="J901" s="182"/>
      <c r="K901" s="182"/>
      <c r="L901" s="182"/>
      <c r="M901" s="234"/>
      <c r="N901" s="28"/>
      <c r="O901" s="181"/>
      <c r="P901" s="183"/>
      <c r="Q901" s="104"/>
      <c r="R901" s="233"/>
      <c r="S901" s="164"/>
      <c r="T901" s="164"/>
      <c r="U901" s="162"/>
      <c r="V901" s="235"/>
      <c r="W901" s="235"/>
      <c r="X901" s="235"/>
      <c r="Y901" s="235"/>
      <c r="Z901" s="235"/>
      <c r="AA901" s="235"/>
      <c r="AB901" s="235"/>
      <c r="AC901" s="235"/>
      <c r="AD901" s="235"/>
      <c r="AE901" s="235"/>
      <c r="AF901" s="235"/>
      <c r="AG901" s="235"/>
      <c r="AH901" s="235"/>
      <c r="AI901" s="235"/>
      <c r="AJ901" s="235"/>
      <c r="AK901" s="235"/>
      <c r="AL901" s="235"/>
      <c r="AM901" s="235"/>
      <c r="AN901" s="235"/>
      <c r="AO901" s="235"/>
      <c r="AP901" s="235"/>
      <c r="AQ901" s="235"/>
      <c r="AR901" s="235"/>
      <c r="AS901" s="235"/>
      <c r="AT901" s="235"/>
      <c r="AU901" s="235"/>
      <c r="AV901" s="235"/>
      <c r="AW901" s="235"/>
      <c r="AX901" s="235"/>
      <c r="AY901" s="235"/>
      <c r="AZ901" s="235"/>
      <c r="BA901" s="235"/>
      <c r="BB901" s="235"/>
      <c r="BC901" s="235"/>
      <c r="BD901" s="235"/>
      <c r="BE901" s="235"/>
      <c r="BF901" s="235"/>
      <c r="BG901" s="235"/>
      <c r="BH901" s="235"/>
      <c r="BI901" s="235"/>
      <c r="BJ901" s="235"/>
      <c r="BK901" s="235"/>
      <c r="BL901" s="235"/>
      <c r="BM901" s="235"/>
      <c r="BN901" s="235"/>
      <c r="BO901" s="235"/>
    </row>
    <row r="902" ht="29.25" hidden="1" customHeight="1">
      <c r="A902" s="230"/>
      <c r="B902" s="231"/>
      <c r="C902" s="179"/>
      <c r="D902" s="179"/>
      <c r="E902" s="180"/>
      <c r="F902" s="162"/>
      <c r="G902" s="232"/>
      <c r="H902" s="234"/>
      <c r="I902" s="181"/>
      <c r="J902" s="182"/>
      <c r="K902" s="182"/>
      <c r="L902" s="182"/>
      <c r="M902" s="234"/>
      <c r="N902" s="28"/>
      <c r="O902" s="181"/>
      <c r="P902" s="183"/>
      <c r="Q902" s="104"/>
      <c r="R902" s="233"/>
      <c r="S902" s="164"/>
      <c r="T902" s="164"/>
      <c r="U902" s="162"/>
      <c r="V902" s="235"/>
      <c r="W902" s="235"/>
      <c r="X902" s="235"/>
      <c r="Y902" s="235"/>
      <c r="Z902" s="235"/>
      <c r="AA902" s="235"/>
      <c r="AB902" s="235"/>
      <c r="AC902" s="235"/>
      <c r="AD902" s="235"/>
      <c r="AE902" s="235"/>
      <c r="AF902" s="235"/>
      <c r="AG902" s="235"/>
      <c r="AH902" s="235"/>
      <c r="AI902" s="235"/>
      <c r="AJ902" s="235"/>
      <c r="AK902" s="235"/>
      <c r="AL902" s="235"/>
      <c r="AM902" s="235"/>
      <c r="AN902" s="235"/>
      <c r="AO902" s="235"/>
      <c r="AP902" s="235"/>
      <c r="AQ902" s="235"/>
      <c r="AR902" s="235"/>
      <c r="AS902" s="235"/>
      <c r="AT902" s="235"/>
      <c r="AU902" s="235"/>
      <c r="AV902" s="235"/>
      <c r="AW902" s="235"/>
      <c r="AX902" s="235"/>
      <c r="AY902" s="235"/>
      <c r="AZ902" s="235"/>
      <c r="BA902" s="235"/>
      <c r="BB902" s="235"/>
      <c r="BC902" s="235"/>
      <c r="BD902" s="235"/>
      <c r="BE902" s="235"/>
      <c r="BF902" s="235"/>
      <c r="BG902" s="235"/>
      <c r="BH902" s="235"/>
      <c r="BI902" s="235"/>
      <c r="BJ902" s="235"/>
      <c r="BK902" s="235"/>
      <c r="BL902" s="235"/>
      <c r="BM902" s="235"/>
      <c r="BN902" s="235"/>
      <c r="BO902" s="235"/>
    </row>
    <row r="903" ht="29.25" hidden="1" customHeight="1">
      <c r="A903" s="230"/>
      <c r="B903" s="231"/>
      <c r="C903" s="179"/>
      <c r="D903" s="179"/>
      <c r="E903" s="180"/>
      <c r="F903" s="162"/>
      <c r="G903" s="232"/>
      <c r="H903" s="234"/>
      <c r="I903" s="181"/>
      <c r="J903" s="182"/>
      <c r="K903" s="182"/>
      <c r="L903" s="182"/>
      <c r="M903" s="234"/>
      <c r="N903" s="28"/>
      <c r="O903" s="181"/>
      <c r="P903" s="183"/>
      <c r="Q903" s="104"/>
      <c r="R903" s="233"/>
      <c r="S903" s="164"/>
      <c r="T903" s="164"/>
      <c r="U903" s="162"/>
      <c r="V903" s="235"/>
      <c r="W903" s="235"/>
      <c r="X903" s="235"/>
      <c r="Y903" s="235"/>
      <c r="Z903" s="235"/>
      <c r="AA903" s="235"/>
      <c r="AB903" s="235"/>
      <c r="AC903" s="235"/>
      <c r="AD903" s="235"/>
      <c r="AE903" s="235"/>
      <c r="AF903" s="235"/>
      <c r="AG903" s="235"/>
      <c r="AH903" s="235"/>
      <c r="AI903" s="235"/>
      <c r="AJ903" s="235"/>
      <c r="AK903" s="235"/>
      <c r="AL903" s="235"/>
      <c r="AM903" s="235"/>
      <c r="AN903" s="235"/>
      <c r="AO903" s="235"/>
      <c r="AP903" s="235"/>
      <c r="AQ903" s="235"/>
      <c r="AR903" s="235"/>
      <c r="AS903" s="235"/>
      <c r="AT903" s="235"/>
      <c r="AU903" s="235"/>
      <c r="AV903" s="235"/>
      <c r="AW903" s="235"/>
      <c r="AX903" s="235"/>
      <c r="AY903" s="235"/>
      <c r="AZ903" s="235"/>
      <c r="BA903" s="235"/>
      <c r="BB903" s="235"/>
      <c r="BC903" s="235"/>
      <c r="BD903" s="235"/>
      <c r="BE903" s="235"/>
      <c r="BF903" s="235"/>
      <c r="BG903" s="235"/>
      <c r="BH903" s="235"/>
      <c r="BI903" s="235"/>
      <c r="BJ903" s="235"/>
      <c r="BK903" s="235"/>
      <c r="BL903" s="235"/>
      <c r="BM903" s="235"/>
      <c r="BN903" s="235"/>
      <c r="BO903" s="235"/>
    </row>
    <row r="904" ht="29.25" hidden="1" customHeight="1">
      <c r="A904" s="230"/>
      <c r="B904" s="231"/>
      <c r="C904" s="179"/>
      <c r="D904" s="179"/>
      <c r="E904" s="180"/>
      <c r="F904" s="162"/>
      <c r="G904" s="232"/>
      <c r="H904" s="234"/>
      <c r="I904" s="181"/>
      <c r="J904" s="182"/>
      <c r="K904" s="182"/>
      <c r="L904" s="182"/>
      <c r="M904" s="234"/>
      <c r="N904" s="28"/>
      <c r="O904" s="181"/>
      <c r="P904" s="183"/>
      <c r="Q904" s="104"/>
      <c r="R904" s="233"/>
      <c r="S904" s="164"/>
      <c r="T904" s="164"/>
      <c r="U904" s="162"/>
      <c r="V904" s="235"/>
      <c r="W904" s="235"/>
      <c r="X904" s="235"/>
      <c r="Y904" s="235"/>
      <c r="Z904" s="235"/>
      <c r="AA904" s="235"/>
      <c r="AB904" s="235"/>
      <c r="AC904" s="235"/>
      <c r="AD904" s="235"/>
      <c r="AE904" s="235"/>
      <c r="AF904" s="235"/>
      <c r="AG904" s="235"/>
      <c r="AH904" s="235"/>
      <c r="AI904" s="235"/>
      <c r="AJ904" s="235"/>
      <c r="AK904" s="235"/>
      <c r="AL904" s="235"/>
      <c r="AM904" s="235"/>
      <c r="AN904" s="235"/>
      <c r="AO904" s="235"/>
      <c r="AP904" s="235"/>
      <c r="AQ904" s="235"/>
      <c r="AR904" s="235"/>
      <c r="AS904" s="235"/>
      <c r="AT904" s="235"/>
      <c r="AU904" s="235"/>
      <c r="AV904" s="235"/>
      <c r="AW904" s="235"/>
      <c r="AX904" s="235"/>
      <c r="AY904" s="235"/>
      <c r="AZ904" s="235"/>
      <c r="BA904" s="235"/>
      <c r="BB904" s="235"/>
      <c r="BC904" s="235"/>
      <c r="BD904" s="235"/>
      <c r="BE904" s="235"/>
      <c r="BF904" s="235"/>
      <c r="BG904" s="235"/>
      <c r="BH904" s="235"/>
      <c r="BI904" s="235"/>
      <c r="BJ904" s="235"/>
      <c r="BK904" s="235"/>
      <c r="BL904" s="235"/>
      <c r="BM904" s="235"/>
      <c r="BN904" s="235"/>
      <c r="BO904" s="235"/>
    </row>
    <row r="905" ht="29.25" hidden="1" customHeight="1">
      <c r="A905" s="230"/>
      <c r="B905" s="231"/>
      <c r="C905" s="179"/>
      <c r="D905" s="179"/>
      <c r="E905" s="180"/>
      <c r="F905" s="162"/>
      <c r="G905" s="232"/>
      <c r="H905" s="234"/>
      <c r="I905" s="181"/>
      <c r="J905" s="182"/>
      <c r="K905" s="182"/>
      <c r="L905" s="182"/>
      <c r="M905" s="234"/>
      <c r="N905" s="28"/>
      <c r="O905" s="181"/>
      <c r="P905" s="183"/>
      <c r="Q905" s="104"/>
      <c r="R905" s="233"/>
      <c r="S905" s="164"/>
      <c r="T905" s="164"/>
      <c r="U905" s="162"/>
      <c r="V905" s="235"/>
      <c r="W905" s="235"/>
      <c r="X905" s="235"/>
      <c r="Y905" s="235"/>
      <c r="Z905" s="235"/>
      <c r="AA905" s="235"/>
      <c r="AB905" s="235"/>
      <c r="AC905" s="235"/>
      <c r="AD905" s="235"/>
      <c r="AE905" s="235"/>
      <c r="AF905" s="235"/>
      <c r="AG905" s="235"/>
      <c r="AH905" s="235"/>
      <c r="AI905" s="235"/>
      <c r="AJ905" s="235"/>
      <c r="AK905" s="235"/>
      <c r="AL905" s="235"/>
      <c r="AM905" s="235"/>
      <c r="AN905" s="235"/>
      <c r="AO905" s="235"/>
      <c r="AP905" s="235"/>
      <c r="AQ905" s="235"/>
      <c r="AR905" s="235"/>
      <c r="AS905" s="235"/>
      <c r="AT905" s="235"/>
      <c r="AU905" s="235"/>
      <c r="AV905" s="235"/>
      <c r="AW905" s="235"/>
      <c r="AX905" s="235"/>
      <c r="AY905" s="235"/>
      <c r="AZ905" s="235"/>
      <c r="BA905" s="235"/>
      <c r="BB905" s="235"/>
      <c r="BC905" s="235"/>
      <c r="BD905" s="235"/>
      <c r="BE905" s="235"/>
      <c r="BF905" s="235"/>
      <c r="BG905" s="235"/>
      <c r="BH905" s="235"/>
      <c r="BI905" s="235"/>
      <c r="BJ905" s="235"/>
      <c r="BK905" s="235"/>
      <c r="BL905" s="235"/>
      <c r="BM905" s="235"/>
      <c r="BN905" s="235"/>
      <c r="BO905" s="235"/>
    </row>
    <row r="906" ht="29.25" hidden="1" customHeight="1">
      <c r="A906" s="230"/>
      <c r="B906" s="231"/>
      <c r="C906" s="179"/>
      <c r="D906" s="179"/>
      <c r="E906" s="180"/>
      <c r="F906" s="162"/>
      <c r="G906" s="232"/>
      <c r="H906" s="234"/>
      <c r="I906" s="181"/>
      <c r="J906" s="182"/>
      <c r="K906" s="182"/>
      <c r="L906" s="182"/>
      <c r="M906" s="234"/>
      <c r="N906" s="28"/>
      <c r="O906" s="181"/>
      <c r="P906" s="183"/>
      <c r="Q906" s="104"/>
      <c r="R906" s="233"/>
      <c r="S906" s="164"/>
      <c r="T906" s="164"/>
      <c r="U906" s="162"/>
      <c r="V906" s="235"/>
      <c r="W906" s="235"/>
      <c r="X906" s="235"/>
      <c r="Y906" s="235"/>
      <c r="Z906" s="235"/>
      <c r="AA906" s="235"/>
      <c r="AB906" s="235"/>
      <c r="AC906" s="235"/>
      <c r="AD906" s="235"/>
      <c r="AE906" s="235"/>
      <c r="AF906" s="235"/>
      <c r="AG906" s="235"/>
      <c r="AH906" s="235"/>
      <c r="AI906" s="235"/>
      <c r="AJ906" s="235"/>
      <c r="AK906" s="235"/>
      <c r="AL906" s="235"/>
      <c r="AM906" s="235"/>
      <c r="AN906" s="235"/>
      <c r="AO906" s="235"/>
      <c r="AP906" s="235"/>
      <c r="AQ906" s="235"/>
      <c r="AR906" s="235"/>
      <c r="AS906" s="235"/>
      <c r="AT906" s="235"/>
      <c r="AU906" s="235"/>
      <c r="AV906" s="235"/>
      <c r="AW906" s="235"/>
      <c r="AX906" s="235"/>
      <c r="AY906" s="235"/>
      <c r="AZ906" s="235"/>
      <c r="BA906" s="235"/>
      <c r="BB906" s="235"/>
      <c r="BC906" s="235"/>
      <c r="BD906" s="235"/>
      <c r="BE906" s="235"/>
      <c r="BF906" s="235"/>
      <c r="BG906" s="235"/>
      <c r="BH906" s="235"/>
      <c r="BI906" s="235"/>
      <c r="BJ906" s="235"/>
      <c r="BK906" s="235"/>
      <c r="BL906" s="235"/>
      <c r="BM906" s="235"/>
      <c r="BN906" s="235"/>
      <c r="BO906" s="235"/>
    </row>
    <row r="907" ht="29.25" hidden="1" customHeight="1">
      <c r="A907" s="230"/>
      <c r="B907" s="231"/>
      <c r="C907" s="179"/>
      <c r="D907" s="179"/>
      <c r="E907" s="180"/>
      <c r="F907" s="162"/>
      <c r="G907" s="232"/>
      <c r="H907" s="234"/>
      <c r="I907" s="181"/>
      <c r="J907" s="182"/>
      <c r="K907" s="182"/>
      <c r="L907" s="182"/>
      <c r="M907" s="234"/>
      <c r="N907" s="28"/>
      <c r="O907" s="181"/>
      <c r="P907" s="183"/>
      <c r="Q907" s="104"/>
      <c r="R907" s="233"/>
      <c r="S907" s="164"/>
      <c r="T907" s="164"/>
      <c r="U907" s="162"/>
      <c r="V907" s="235"/>
      <c r="W907" s="235"/>
      <c r="X907" s="235"/>
      <c r="Y907" s="235"/>
      <c r="Z907" s="235"/>
      <c r="AA907" s="235"/>
      <c r="AB907" s="235"/>
      <c r="AC907" s="235"/>
      <c r="AD907" s="235"/>
      <c r="AE907" s="235"/>
      <c r="AF907" s="235"/>
      <c r="AG907" s="235"/>
      <c r="AH907" s="235"/>
      <c r="AI907" s="235"/>
      <c r="AJ907" s="235"/>
      <c r="AK907" s="235"/>
      <c r="AL907" s="235"/>
      <c r="AM907" s="235"/>
      <c r="AN907" s="235"/>
      <c r="AO907" s="235"/>
      <c r="AP907" s="235"/>
      <c r="AQ907" s="235"/>
      <c r="AR907" s="235"/>
      <c r="AS907" s="235"/>
      <c r="AT907" s="235"/>
      <c r="AU907" s="235"/>
      <c r="AV907" s="235"/>
      <c r="AW907" s="235"/>
      <c r="AX907" s="235"/>
      <c r="AY907" s="235"/>
      <c r="AZ907" s="235"/>
      <c r="BA907" s="235"/>
      <c r="BB907" s="235"/>
      <c r="BC907" s="235"/>
      <c r="BD907" s="235"/>
      <c r="BE907" s="235"/>
      <c r="BF907" s="235"/>
      <c r="BG907" s="235"/>
      <c r="BH907" s="235"/>
      <c r="BI907" s="235"/>
      <c r="BJ907" s="235"/>
      <c r="BK907" s="235"/>
      <c r="BL907" s="235"/>
      <c r="BM907" s="235"/>
      <c r="BN907" s="235"/>
      <c r="BO907" s="235"/>
    </row>
    <row r="908" ht="29.25" hidden="1" customHeight="1">
      <c r="A908" s="230"/>
      <c r="B908" s="231"/>
      <c r="C908" s="179"/>
      <c r="D908" s="179"/>
      <c r="E908" s="180"/>
      <c r="F908" s="162"/>
      <c r="G908" s="232"/>
      <c r="H908" s="234"/>
      <c r="I908" s="181"/>
      <c r="J908" s="182"/>
      <c r="K908" s="182"/>
      <c r="L908" s="182"/>
      <c r="M908" s="234"/>
      <c r="N908" s="28"/>
      <c r="O908" s="181"/>
      <c r="P908" s="183"/>
      <c r="Q908" s="104"/>
      <c r="R908" s="233"/>
      <c r="S908" s="164"/>
      <c r="T908" s="164"/>
      <c r="U908" s="162"/>
      <c r="V908" s="235"/>
      <c r="W908" s="235"/>
      <c r="X908" s="235"/>
      <c r="Y908" s="235"/>
      <c r="Z908" s="235"/>
      <c r="AA908" s="235"/>
      <c r="AB908" s="235"/>
      <c r="AC908" s="235"/>
      <c r="AD908" s="235"/>
      <c r="AE908" s="235"/>
      <c r="AF908" s="235"/>
      <c r="AG908" s="235"/>
      <c r="AH908" s="235"/>
      <c r="AI908" s="235"/>
      <c r="AJ908" s="235"/>
      <c r="AK908" s="235"/>
      <c r="AL908" s="235"/>
      <c r="AM908" s="235"/>
      <c r="AN908" s="235"/>
      <c r="AO908" s="235"/>
      <c r="AP908" s="235"/>
      <c r="AQ908" s="235"/>
      <c r="AR908" s="235"/>
      <c r="AS908" s="235"/>
      <c r="AT908" s="235"/>
      <c r="AU908" s="235"/>
      <c r="AV908" s="235"/>
      <c r="AW908" s="235"/>
      <c r="AX908" s="235"/>
      <c r="AY908" s="235"/>
      <c r="AZ908" s="235"/>
      <c r="BA908" s="235"/>
      <c r="BB908" s="235"/>
      <c r="BC908" s="235"/>
      <c r="BD908" s="235"/>
      <c r="BE908" s="235"/>
      <c r="BF908" s="235"/>
      <c r="BG908" s="235"/>
      <c r="BH908" s="235"/>
      <c r="BI908" s="235"/>
      <c r="BJ908" s="235"/>
      <c r="BK908" s="235"/>
      <c r="BL908" s="235"/>
      <c r="BM908" s="235"/>
      <c r="BN908" s="235"/>
      <c r="BO908" s="235"/>
    </row>
    <row r="909" ht="29.25" hidden="1" customHeight="1">
      <c r="A909" s="230"/>
      <c r="B909" s="231"/>
      <c r="C909" s="179"/>
      <c r="D909" s="179"/>
      <c r="E909" s="180"/>
      <c r="F909" s="162"/>
      <c r="G909" s="232"/>
      <c r="H909" s="234"/>
      <c r="I909" s="181"/>
      <c r="J909" s="182"/>
      <c r="K909" s="182"/>
      <c r="L909" s="182"/>
      <c r="M909" s="234"/>
      <c r="N909" s="28"/>
      <c r="O909" s="181"/>
      <c r="P909" s="183"/>
      <c r="Q909" s="104"/>
      <c r="R909" s="233"/>
      <c r="S909" s="164"/>
      <c r="T909" s="164"/>
      <c r="U909" s="162"/>
      <c r="V909" s="235"/>
      <c r="W909" s="235"/>
      <c r="X909" s="235"/>
      <c r="Y909" s="235"/>
      <c r="Z909" s="235"/>
      <c r="AA909" s="235"/>
      <c r="AB909" s="235"/>
      <c r="AC909" s="235"/>
      <c r="AD909" s="235"/>
      <c r="AE909" s="235"/>
      <c r="AF909" s="235"/>
      <c r="AG909" s="235"/>
      <c r="AH909" s="235"/>
      <c r="AI909" s="235"/>
      <c r="AJ909" s="235"/>
      <c r="AK909" s="235"/>
      <c r="AL909" s="235"/>
      <c r="AM909" s="235"/>
      <c r="AN909" s="235"/>
      <c r="AO909" s="235"/>
      <c r="AP909" s="235"/>
      <c r="AQ909" s="235"/>
      <c r="AR909" s="235"/>
      <c r="AS909" s="235"/>
      <c r="AT909" s="235"/>
      <c r="AU909" s="235"/>
      <c r="AV909" s="235"/>
      <c r="AW909" s="235"/>
      <c r="AX909" s="235"/>
      <c r="AY909" s="235"/>
      <c r="AZ909" s="235"/>
      <c r="BA909" s="235"/>
      <c r="BB909" s="235"/>
      <c r="BC909" s="235"/>
      <c r="BD909" s="235"/>
      <c r="BE909" s="235"/>
      <c r="BF909" s="235"/>
      <c r="BG909" s="235"/>
      <c r="BH909" s="235"/>
      <c r="BI909" s="235"/>
      <c r="BJ909" s="235"/>
      <c r="BK909" s="235"/>
      <c r="BL909" s="235"/>
      <c r="BM909" s="235"/>
      <c r="BN909" s="235"/>
      <c r="BO909" s="235"/>
    </row>
    <row r="910" ht="29.25" hidden="1" customHeight="1">
      <c r="A910" s="230"/>
      <c r="B910" s="231"/>
      <c r="C910" s="179"/>
      <c r="D910" s="179"/>
      <c r="E910" s="180"/>
      <c r="F910" s="162"/>
      <c r="G910" s="232"/>
      <c r="H910" s="234"/>
      <c r="I910" s="181"/>
      <c r="J910" s="182"/>
      <c r="K910" s="182"/>
      <c r="L910" s="182"/>
      <c r="M910" s="234"/>
      <c r="N910" s="28"/>
      <c r="O910" s="181"/>
      <c r="P910" s="183"/>
      <c r="Q910" s="104"/>
      <c r="R910" s="233"/>
      <c r="S910" s="164"/>
      <c r="T910" s="164"/>
      <c r="U910" s="162"/>
      <c r="V910" s="235"/>
      <c r="W910" s="235"/>
      <c r="X910" s="235"/>
      <c r="Y910" s="235"/>
      <c r="Z910" s="235"/>
      <c r="AA910" s="235"/>
      <c r="AB910" s="235"/>
      <c r="AC910" s="235"/>
      <c r="AD910" s="235"/>
      <c r="AE910" s="235"/>
      <c r="AF910" s="235"/>
      <c r="AG910" s="235"/>
      <c r="AH910" s="235"/>
      <c r="AI910" s="235"/>
      <c r="AJ910" s="235"/>
      <c r="AK910" s="235"/>
      <c r="AL910" s="235"/>
      <c r="AM910" s="235"/>
      <c r="AN910" s="235"/>
      <c r="AO910" s="235"/>
      <c r="AP910" s="235"/>
      <c r="AQ910" s="235"/>
      <c r="AR910" s="235"/>
      <c r="AS910" s="235"/>
      <c r="AT910" s="235"/>
      <c r="AU910" s="235"/>
      <c r="AV910" s="235"/>
      <c r="AW910" s="235"/>
      <c r="AX910" s="235"/>
      <c r="AY910" s="235"/>
      <c r="AZ910" s="235"/>
      <c r="BA910" s="235"/>
      <c r="BB910" s="235"/>
      <c r="BC910" s="235"/>
      <c r="BD910" s="235"/>
      <c r="BE910" s="235"/>
      <c r="BF910" s="235"/>
      <c r="BG910" s="235"/>
      <c r="BH910" s="235"/>
      <c r="BI910" s="235"/>
      <c r="BJ910" s="235"/>
      <c r="BK910" s="235"/>
      <c r="BL910" s="235"/>
      <c r="BM910" s="235"/>
      <c r="BN910" s="235"/>
      <c r="BO910" s="235"/>
    </row>
    <row r="911" ht="29.25" hidden="1" customHeight="1">
      <c r="A911" s="230"/>
      <c r="B911" s="231"/>
      <c r="C911" s="179"/>
      <c r="D911" s="179"/>
      <c r="E911" s="180"/>
      <c r="F911" s="162"/>
      <c r="G911" s="232"/>
      <c r="H911" s="234"/>
      <c r="I911" s="181"/>
      <c r="J911" s="182"/>
      <c r="K911" s="182"/>
      <c r="L911" s="182"/>
      <c r="M911" s="234"/>
      <c r="N911" s="28"/>
      <c r="O911" s="181"/>
      <c r="P911" s="183"/>
      <c r="Q911" s="104"/>
      <c r="R911" s="233"/>
      <c r="S911" s="164"/>
      <c r="T911" s="164"/>
      <c r="U911" s="162"/>
      <c r="V911" s="235"/>
      <c r="W911" s="235"/>
      <c r="X911" s="235"/>
      <c r="Y911" s="235"/>
      <c r="Z911" s="235"/>
      <c r="AA911" s="235"/>
      <c r="AB911" s="235"/>
      <c r="AC911" s="235"/>
      <c r="AD911" s="235"/>
      <c r="AE911" s="235"/>
      <c r="AF911" s="235"/>
      <c r="AG911" s="235"/>
      <c r="AH911" s="235"/>
      <c r="AI911" s="235"/>
      <c r="AJ911" s="235"/>
      <c r="AK911" s="235"/>
      <c r="AL911" s="235"/>
      <c r="AM911" s="235"/>
      <c r="AN911" s="235"/>
      <c r="AO911" s="235"/>
      <c r="AP911" s="235"/>
      <c r="AQ911" s="235"/>
      <c r="AR911" s="235"/>
      <c r="AS911" s="235"/>
      <c r="AT911" s="235"/>
      <c r="AU911" s="235"/>
      <c r="AV911" s="235"/>
      <c r="AW911" s="235"/>
      <c r="AX911" s="235"/>
      <c r="AY911" s="235"/>
      <c r="AZ911" s="235"/>
      <c r="BA911" s="235"/>
      <c r="BB911" s="235"/>
      <c r="BC911" s="235"/>
      <c r="BD911" s="235"/>
      <c r="BE911" s="235"/>
      <c r="BF911" s="235"/>
      <c r="BG911" s="235"/>
      <c r="BH911" s="235"/>
      <c r="BI911" s="235"/>
      <c r="BJ911" s="235"/>
      <c r="BK911" s="235"/>
      <c r="BL911" s="235"/>
      <c r="BM911" s="235"/>
      <c r="BN911" s="235"/>
      <c r="BO911" s="235"/>
    </row>
    <row r="912" ht="29.25" hidden="1" customHeight="1">
      <c r="A912" s="230"/>
      <c r="B912" s="231"/>
      <c r="C912" s="179"/>
      <c r="D912" s="179"/>
      <c r="E912" s="180"/>
      <c r="F912" s="162"/>
      <c r="G912" s="232"/>
      <c r="H912" s="234"/>
      <c r="I912" s="181"/>
      <c r="J912" s="182"/>
      <c r="K912" s="182"/>
      <c r="L912" s="182"/>
      <c r="M912" s="234"/>
      <c r="N912" s="28"/>
      <c r="O912" s="181"/>
      <c r="P912" s="183"/>
      <c r="Q912" s="104"/>
      <c r="R912" s="233"/>
      <c r="S912" s="164"/>
      <c r="T912" s="164"/>
      <c r="U912" s="162"/>
      <c r="V912" s="235"/>
      <c r="W912" s="235"/>
      <c r="X912" s="235"/>
      <c r="Y912" s="235"/>
      <c r="Z912" s="235"/>
      <c r="AA912" s="235"/>
      <c r="AB912" s="235"/>
      <c r="AC912" s="235"/>
      <c r="AD912" s="235"/>
      <c r="AE912" s="235"/>
      <c r="AF912" s="235"/>
      <c r="AG912" s="235"/>
      <c r="AH912" s="235"/>
      <c r="AI912" s="235"/>
      <c r="AJ912" s="235"/>
      <c r="AK912" s="235"/>
      <c r="AL912" s="235"/>
      <c r="AM912" s="235"/>
      <c r="AN912" s="235"/>
      <c r="AO912" s="235"/>
      <c r="AP912" s="235"/>
      <c r="AQ912" s="235"/>
      <c r="AR912" s="235"/>
      <c r="AS912" s="235"/>
      <c r="AT912" s="235"/>
      <c r="AU912" s="235"/>
      <c r="AV912" s="235"/>
      <c r="AW912" s="235"/>
      <c r="AX912" s="235"/>
      <c r="AY912" s="235"/>
      <c r="AZ912" s="235"/>
      <c r="BA912" s="235"/>
      <c r="BB912" s="235"/>
      <c r="BC912" s="235"/>
      <c r="BD912" s="235"/>
      <c r="BE912" s="235"/>
      <c r="BF912" s="235"/>
      <c r="BG912" s="235"/>
      <c r="BH912" s="235"/>
      <c r="BI912" s="235"/>
      <c r="BJ912" s="235"/>
      <c r="BK912" s="235"/>
      <c r="BL912" s="235"/>
      <c r="BM912" s="235"/>
      <c r="BN912" s="235"/>
      <c r="BO912" s="235"/>
    </row>
    <row r="913" ht="29.25" hidden="1" customHeight="1">
      <c r="A913" s="230"/>
      <c r="B913" s="231"/>
      <c r="C913" s="179"/>
      <c r="D913" s="179"/>
      <c r="E913" s="180"/>
      <c r="F913" s="162"/>
      <c r="G913" s="232"/>
      <c r="H913" s="234"/>
      <c r="I913" s="181"/>
      <c r="J913" s="182"/>
      <c r="K913" s="182"/>
      <c r="L913" s="182"/>
      <c r="M913" s="234"/>
      <c r="N913" s="28"/>
      <c r="O913" s="181"/>
      <c r="P913" s="183"/>
      <c r="Q913" s="104"/>
      <c r="R913" s="233"/>
      <c r="S913" s="164"/>
      <c r="T913" s="164"/>
      <c r="U913" s="162"/>
      <c r="V913" s="235"/>
      <c r="W913" s="235"/>
      <c r="X913" s="235"/>
      <c r="Y913" s="235"/>
      <c r="Z913" s="235"/>
      <c r="AA913" s="235"/>
      <c r="AB913" s="235"/>
      <c r="AC913" s="235"/>
      <c r="AD913" s="235"/>
      <c r="AE913" s="235"/>
      <c r="AF913" s="235"/>
      <c r="AG913" s="235"/>
      <c r="AH913" s="235"/>
      <c r="AI913" s="235"/>
      <c r="AJ913" s="235"/>
      <c r="AK913" s="235"/>
      <c r="AL913" s="235"/>
      <c r="AM913" s="235"/>
      <c r="AN913" s="235"/>
      <c r="AO913" s="235"/>
      <c r="AP913" s="235"/>
      <c r="AQ913" s="235"/>
      <c r="AR913" s="235"/>
      <c r="AS913" s="235"/>
      <c r="AT913" s="235"/>
      <c r="AU913" s="235"/>
      <c r="AV913" s="235"/>
      <c r="AW913" s="235"/>
      <c r="AX913" s="235"/>
      <c r="AY913" s="235"/>
      <c r="AZ913" s="235"/>
      <c r="BA913" s="235"/>
      <c r="BB913" s="235"/>
      <c r="BC913" s="235"/>
      <c r="BD913" s="235"/>
      <c r="BE913" s="235"/>
      <c r="BF913" s="235"/>
      <c r="BG913" s="235"/>
      <c r="BH913" s="235"/>
      <c r="BI913" s="235"/>
      <c r="BJ913" s="235"/>
      <c r="BK913" s="235"/>
      <c r="BL913" s="235"/>
      <c r="BM913" s="235"/>
      <c r="BN913" s="235"/>
      <c r="BO913" s="235"/>
    </row>
    <row r="914" ht="29.25" hidden="1" customHeight="1">
      <c r="A914" s="230"/>
      <c r="B914" s="231"/>
      <c r="C914" s="179"/>
      <c r="D914" s="179"/>
      <c r="E914" s="180"/>
      <c r="F914" s="162"/>
      <c r="G914" s="232"/>
      <c r="H914" s="234"/>
      <c r="I914" s="181"/>
      <c r="J914" s="182"/>
      <c r="K914" s="182"/>
      <c r="L914" s="182"/>
      <c r="M914" s="234"/>
      <c r="N914" s="28"/>
      <c r="O914" s="181"/>
      <c r="P914" s="183"/>
      <c r="Q914" s="104"/>
      <c r="R914" s="233"/>
      <c r="S914" s="164"/>
      <c r="T914" s="164"/>
      <c r="U914" s="162"/>
      <c r="V914" s="235"/>
      <c r="W914" s="235"/>
      <c r="X914" s="235"/>
      <c r="Y914" s="235"/>
      <c r="Z914" s="235"/>
      <c r="AA914" s="235"/>
      <c r="AB914" s="235"/>
      <c r="AC914" s="235"/>
      <c r="AD914" s="235"/>
      <c r="AE914" s="235"/>
      <c r="AF914" s="235"/>
      <c r="AG914" s="235"/>
      <c r="AH914" s="235"/>
      <c r="AI914" s="235"/>
      <c r="AJ914" s="235"/>
      <c r="AK914" s="235"/>
      <c r="AL914" s="235"/>
      <c r="AM914" s="235"/>
      <c r="AN914" s="235"/>
      <c r="AO914" s="235"/>
      <c r="AP914" s="235"/>
      <c r="AQ914" s="235"/>
      <c r="AR914" s="235"/>
      <c r="AS914" s="235"/>
      <c r="AT914" s="235"/>
      <c r="AU914" s="235"/>
      <c r="AV914" s="235"/>
      <c r="AW914" s="235"/>
      <c r="AX914" s="235"/>
      <c r="AY914" s="235"/>
      <c r="AZ914" s="235"/>
      <c r="BA914" s="235"/>
      <c r="BB914" s="235"/>
      <c r="BC914" s="235"/>
      <c r="BD914" s="235"/>
      <c r="BE914" s="235"/>
      <c r="BF914" s="235"/>
      <c r="BG914" s="235"/>
      <c r="BH914" s="235"/>
      <c r="BI914" s="235"/>
      <c r="BJ914" s="235"/>
      <c r="BK914" s="235"/>
      <c r="BL914" s="235"/>
      <c r="BM914" s="235"/>
      <c r="BN914" s="235"/>
      <c r="BO914" s="235"/>
    </row>
    <row r="915" ht="29.25" hidden="1" customHeight="1">
      <c r="A915" s="230"/>
      <c r="B915" s="231"/>
      <c r="C915" s="179"/>
      <c r="D915" s="179"/>
      <c r="E915" s="180"/>
      <c r="F915" s="162"/>
      <c r="G915" s="232"/>
      <c r="H915" s="234"/>
      <c r="I915" s="181"/>
      <c r="J915" s="182"/>
      <c r="K915" s="182"/>
      <c r="L915" s="182"/>
      <c r="M915" s="234"/>
      <c r="N915" s="28"/>
      <c r="O915" s="181"/>
      <c r="P915" s="183"/>
      <c r="Q915" s="104"/>
      <c r="R915" s="233"/>
      <c r="S915" s="164"/>
      <c r="T915" s="164"/>
      <c r="U915" s="162"/>
      <c r="V915" s="235"/>
      <c r="W915" s="235"/>
      <c r="X915" s="235"/>
      <c r="Y915" s="235"/>
      <c r="Z915" s="235"/>
      <c r="AA915" s="235"/>
      <c r="AB915" s="235"/>
      <c r="AC915" s="235"/>
      <c r="AD915" s="235"/>
      <c r="AE915" s="235"/>
      <c r="AF915" s="235"/>
      <c r="AG915" s="235"/>
      <c r="AH915" s="235"/>
      <c r="AI915" s="235"/>
      <c r="AJ915" s="235"/>
      <c r="AK915" s="235"/>
      <c r="AL915" s="235"/>
      <c r="AM915" s="235"/>
      <c r="AN915" s="235"/>
      <c r="AO915" s="235"/>
      <c r="AP915" s="235"/>
      <c r="AQ915" s="235"/>
      <c r="AR915" s="235"/>
      <c r="AS915" s="235"/>
      <c r="AT915" s="235"/>
      <c r="AU915" s="235"/>
      <c r="AV915" s="235"/>
      <c r="AW915" s="235"/>
      <c r="AX915" s="235"/>
      <c r="AY915" s="235"/>
      <c r="AZ915" s="235"/>
      <c r="BA915" s="235"/>
      <c r="BB915" s="235"/>
      <c r="BC915" s="235"/>
      <c r="BD915" s="235"/>
      <c r="BE915" s="235"/>
      <c r="BF915" s="235"/>
      <c r="BG915" s="235"/>
      <c r="BH915" s="235"/>
      <c r="BI915" s="235"/>
      <c r="BJ915" s="235"/>
      <c r="BK915" s="235"/>
      <c r="BL915" s="235"/>
      <c r="BM915" s="235"/>
      <c r="BN915" s="235"/>
      <c r="BO915" s="235"/>
    </row>
    <row r="916" ht="29.25" hidden="1" customHeight="1">
      <c r="A916" s="230"/>
      <c r="B916" s="231"/>
      <c r="C916" s="179"/>
      <c r="D916" s="179"/>
      <c r="E916" s="180"/>
      <c r="F916" s="162"/>
      <c r="G916" s="232"/>
      <c r="H916" s="234"/>
      <c r="I916" s="181"/>
      <c r="J916" s="182"/>
      <c r="K916" s="182"/>
      <c r="L916" s="182"/>
      <c r="M916" s="234"/>
      <c r="N916" s="28"/>
      <c r="O916" s="181"/>
      <c r="P916" s="183"/>
      <c r="Q916" s="104"/>
      <c r="R916" s="233"/>
      <c r="S916" s="164"/>
      <c r="T916" s="164"/>
      <c r="U916" s="162"/>
      <c r="V916" s="235"/>
      <c r="W916" s="235"/>
      <c r="X916" s="235"/>
      <c r="Y916" s="235"/>
      <c r="Z916" s="235"/>
      <c r="AA916" s="235"/>
      <c r="AB916" s="235"/>
      <c r="AC916" s="235"/>
      <c r="AD916" s="235"/>
      <c r="AE916" s="235"/>
      <c r="AF916" s="235"/>
      <c r="AG916" s="235"/>
      <c r="AH916" s="235"/>
      <c r="AI916" s="235"/>
      <c r="AJ916" s="235"/>
      <c r="AK916" s="235"/>
      <c r="AL916" s="235"/>
      <c r="AM916" s="235"/>
      <c r="AN916" s="235"/>
      <c r="AO916" s="235"/>
      <c r="AP916" s="235"/>
      <c r="AQ916" s="235"/>
      <c r="AR916" s="235"/>
      <c r="AS916" s="235"/>
      <c r="AT916" s="235"/>
      <c r="AU916" s="235"/>
      <c r="AV916" s="235"/>
      <c r="AW916" s="235"/>
      <c r="AX916" s="235"/>
      <c r="AY916" s="235"/>
      <c r="AZ916" s="235"/>
      <c r="BA916" s="235"/>
      <c r="BB916" s="235"/>
      <c r="BC916" s="235"/>
      <c r="BD916" s="235"/>
      <c r="BE916" s="235"/>
      <c r="BF916" s="235"/>
      <c r="BG916" s="235"/>
      <c r="BH916" s="235"/>
      <c r="BI916" s="235"/>
      <c r="BJ916" s="235"/>
      <c r="BK916" s="235"/>
      <c r="BL916" s="235"/>
      <c r="BM916" s="235"/>
      <c r="BN916" s="235"/>
      <c r="BO916" s="235"/>
    </row>
    <row r="917" ht="29.25" hidden="1" customHeight="1">
      <c r="A917" s="230"/>
      <c r="B917" s="231"/>
      <c r="C917" s="179"/>
      <c r="D917" s="179"/>
      <c r="E917" s="180"/>
      <c r="F917" s="162"/>
      <c r="G917" s="232"/>
      <c r="H917" s="234"/>
      <c r="I917" s="181"/>
      <c r="J917" s="182"/>
      <c r="K917" s="182"/>
      <c r="L917" s="182"/>
      <c r="M917" s="234"/>
      <c r="N917" s="28"/>
      <c r="O917" s="181"/>
      <c r="P917" s="183"/>
      <c r="Q917" s="104"/>
      <c r="R917" s="233"/>
      <c r="S917" s="164"/>
      <c r="T917" s="164"/>
      <c r="U917" s="162"/>
      <c r="V917" s="235"/>
      <c r="W917" s="235"/>
      <c r="X917" s="235"/>
      <c r="Y917" s="235"/>
      <c r="Z917" s="235"/>
      <c r="AA917" s="235"/>
      <c r="AB917" s="235"/>
      <c r="AC917" s="235"/>
      <c r="AD917" s="235"/>
      <c r="AE917" s="235"/>
      <c r="AF917" s="235"/>
      <c r="AG917" s="235"/>
      <c r="AH917" s="235"/>
      <c r="AI917" s="235"/>
      <c r="AJ917" s="235"/>
      <c r="AK917" s="235"/>
      <c r="AL917" s="235"/>
      <c r="AM917" s="235"/>
      <c r="AN917" s="235"/>
      <c r="AO917" s="235"/>
      <c r="AP917" s="235"/>
      <c r="AQ917" s="235"/>
      <c r="AR917" s="235"/>
      <c r="AS917" s="235"/>
      <c r="AT917" s="235"/>
      <c r="AU917" s="235"/>
      <c r="AV917" s="235"/>
      <c r="AW917" s="235"/>
      <c r="AX917" s="235"/>
      <c r="AY917" s="235"/>
      <c r="AZ917" s="235"/>
      <c r="BA917" s="235"/>
      <c r="BB917" s="235"/>
      <c r="BC917" s="235"/>
      <c r="BD917" s="235"/>
      <c r="BE917" s="235"/>
      <c r="BF917" s="235"/>
      <c r="BG917" s="235"/>
      <c r="BH917" s="235"/>
      <c r="BI917" s="235"/>
      <c r="BJ917" s="235"/>
      <c r="BK917" s="235"/>
      <c r="BL917" s="235"/>
      <c r="BM917" s="235"/>
      <c r="BN917" s="235"/>
      <c r="BO917" s="235"/>
    </row>
    <row r="918" ht="29.25" hidden="1" customHeight="1">
      <c r="A918" s="230"/>
      <c r="B918" s="231"/>
      <c r="C918" s="179"/>
      <c r="D918" s="179"/>
      <c r="E918" s="180"/>
      <c r="F918" s="162"/>
      <c r="G918" s="232"/>
      <c r="H918" s="234"/>
      <c r="I918" s="181"/>
      <c r="J918" s="182"/>
      <c r="K918" s="182"/>
      <c r="L918" s="182"/>
      <c r="M918" s="234"/>
      <c r="N918" s="28"/>
      <c r="O918" s="181"/>
      <c r="P918" s="183"/>
      <c r="Q918" s="104"/>
      <c r="R918" s="233"/>
      <c r="S918" s="164"/>
      <c r="T918" s="164"/>
      <c r="U918" s="162"/>
      <c r="V918" s="235"/>
      <c r="W918" s="235"/>
      <c r="X918" s="235"/>
      <c r="Y918" s="235"/>
      <c r="Z918" s="235"/>
      <c r="AA918" s="235"/>
      <c r="AB918" s="235"/>
      <c r="AC918" s="235"/>
      <c r="AD918" s="235"/>
      <c r="AE918" s="235"/>
      <c r="AF918" s="235"/>
      <c r="AG918" s="235"/>
      <c r="AH918" s="235"/>
      <c r="AI918" s="235"/>
      <c r="AJ918" s="235"/>
      <c r="AK918" s="235"/>
      <c r="AL918" s="235"/>
      <c r="AM918" s="235"/>
      <c r="AN918" s="235"/>
      <c r="AO918" s="235"/>
      <c r="AP918" s="235"/>
      <c r="AQ918" s="235"/>
      <c r="AR918" s="235"/>
      <c r="AS918" s="235"/>
      <c r="AT918" s="235"/>
      <c r="AU918" s="235"/>
      <c r="AV918" s="235"/>
      <c r="AW918" s="235"/>
      <c r="AX918" s="235"/>
      <c r="AY918" s="235"/>
      <c r="AZ918" s="235"/>
      <c r="BA918" s="235"/>
      <c r="BB918" s="235"/>
      <c r="BC918" s="235"/>
      <c r="BD918" s="235"/>
      <c r="BE918" s="235"/>
      <c r="BF918" s="235"/>
      <c r="BG918" s="235"/>
      <c r="BH918" s="235"/>
      <c r="BI918" s="235"/>
      <c r="BJ918" s="235"/>
      <c r="BK918" s="235"/>
      <c r="BL918" s="235"/>
      <c r="BM918" s="235"/>
      <c r="BN918" s="235"/>
      <c r="BO918" s="235"/>
    </row>
    <row r="919" ht="29.25" hidden="1" customHeight="1">
      <c r="A919" s="230"/>
      <c r="B919" s="231"/>
      <c r="C919" s="179"/>
      <c r="D919" s="179"/>
      <c r="E919" s="180"/>
      <c r="F919" s="162"/>
      <c r="G919" s="232"/>
      <c r="H919" s="234"/>
      <c r="I919" s="181"/>
      <c r="J919" s="182"/>
      <c r="K919" s="182"/>
      <c r="L919" s="182"/>
      <c r="M919" s="234"/>
      <c r="N919" s="28"/>
      <c r="O919" s="181"/>
      <c r="P919" s="183"/>
      <c r="Q919" s="104"/>
      <c r="R919" s="233"/>
      <c r="S919" s="164"/>
      <c r="T919" s="164"/>
      <c r="U919" s="162"/>
      <c r="V919" s="235"/>
      <c r="W919" s="235"/>
      <c r="X919" s="235"/>
      <c r="Y919" s="235"/>
      <c r="Z919" s="235"/>
      <c r="AA919" s="235"/>
      <c r="AB919" s="235"/>
      <c r="AC919" s="235"/>
      <c r="AD919" s="235"/>
      <c r="AE919" s="235"/>
      <c r="AF919" s="235"/>
      <c r="AG919" s="235"/>
      <c r="AH919" s="235"/>
      <c r="AI919" s="235"/>
      <c r="AJ919" s="235"/>
      <c r="AK919" s="235"/>
      <c r="AL919" s="235"/>
      <c r="AM919" s="235"/>
      <c r="AN919" s="235"/>
      <c r="AO919" s="235"/>
      <c r="AP919" s="235"/>
      <c r="AQ919" s="235"/>
      <c r="AR919" s="235"/>
      <c r="AS919" s="235"/>
      <c r="AT919" s="235"/>
      <c r="AU919" s="235"/>
      <c r="AV919" s="235"/>
      <c r="AW919" s="235"/>
      <c r="AX919" s="235"/>
      <c r="AY919" s="235"/>
      <c r="AZ919" s="235"/>
      <c r="BA919" s="235"/>
      <c r="BB919" s="235"/>
      <c r="BC919" s="235"/>
      <c r="BD919" s="235"/>
      <c r="BE919" s="235"/>
      <c r="BF919" s="235"/>
      <c r="BG919" s="235"/>
      <c r="BH919" s="235"/>
      <c r="BI919" s="235"/>
      <c r="BJ919" s="235"/>
      <c r="BK919" s="235"/>
      <c r="BL919" s="235"/>
      <c r="BM919" s="235"/>
      <c r="BN919" s="235"/>
      <c r="BO919" s="235"/>
    </row>
    <row r="920" ht="29.25" hidden="1" customHeight="1">
      <c r="A920" s="230"/>
      <c r="B920" s="231"/>
      <c r="C920" s="179"/>
      <c r="D920" s="179"/>
      <c r="E920" s="180"/>
      <c r="F920" s="162"/>
      <c r="G920" s="232"/>
      <c r="H920" s="234"/>
      <c r="I920" s="181"/>
      <c r="J920" s="182"/>
      <c r="K920" s="182"/>
      <c r="L920" s="182"/>
      <c r="M920" s="234"/>
      <c r="N920" s="28"/>
      <c r="O920" s="181"/>
      <c r="P920" s="183"/>
      <c r="Q920" s="104"/>
      <c r="R920" s="233"/>
      <c r="S920" s="164"/>
      <c r="T920" s="164"/>
      <c r="U920" s="162"/>
      <c r="V920" s="235"/>
      <c r="W920" s="235"/>
      <c r="X920" s="235"/>
      <c r="Y920" s="235"/>
      <c r="Z920" s="235"/>
      <c r="AA920" s="235"/>
      <c r="AB920" s="235"/>
      <c r="AC920" s="235"/>
      <c r="AD920" s="235"/>
      <c r="AE920" s="235"/>
      <c r="AF920" s="235"/>
      <c r="AG920" s="235"/>
      <c r="AH920" s="235"/>
      <c r="AI920" s="235"/>
      <c r="AJ920" s="235"/>
      <c r="AK920" s="235"/>
      <c r="AL920" s="235"/>
      <c r="AM920" s="235"/>
      <c r="AN920" s="235"/>
      <c r="AO920" s="235"/>
      <c r="AP920" s="235"/>
      <c r="AQ920" s="235"/>
      <c r="AR920" s="235"/>
      <c r="AS920" s="235"/>
      <c r="AT920" s="235"/>
      <c r="AU920" s="235"/>
      <c r="AV920" s="235"/>
      <c r="AW920" s="235"/>
      <c r="AX920" s="235"/>
      <c r="AY920" s="235"/>
      <c r="AZ920" s="235"/>
      <c r="BA920" s="235"/>
      <c r="BB920" s="235"/>
      <c r="BC920" s="235"/>
      <c r="BD920" s="235"/>
      <c r="BE920" s="235"/>
      <c r="BF920" s="235"/>
      <c r="BG920" s="235"/>
      <c r="BH920" s="235"/>
      <c r="BI920" s="235"/>
      <c r="BJ920" s="235"/>
      <c r="BK920" s="235"/>
      <c r="BL920" s="235"/>
      <c r="BM920" s="235"/>
      <c r="BN920" s="235"/>
      <c r="BO920" s="235"/>
    </row>
    <row r="921" ht="29.25" hidden="1" customHeight="1">
      <c r="A921" s="230"/>
      <c r="B921" s="231"/>
      <c r="C921" s="179"/>
      <c r="D921" s="179"/>
      <c r="E921" s="180"/>
      <c r="F921" s="162"/>
      <c r="G921" s="232"/>
      <c r="H921" s="234"/>
      <c r="I921" s="181"/>
      <c r="J921" s="182"/>
      <c r="K921" s="182"/>
      <c r="L921" s="182"/>
      <c r="M921" s="234"/>
      <c r="N921" s="28"/>
      <c r="O921" s="181"/>
      <c r="P921" s="183"/>
      <c r="Q921" s="104"/>
      <c r="R921" s="233"/>
      <c r="S921" s="164"/>
      <c r="T921" s="164"/>
      <c r="U921" s="162"/>
      <c r="V921" s="235"/>
      <c r="W921" s="235"/>
      <c r="X921" s="235"/>
      <c r="Y921" s="235"/>
      <c r="Z921" s="235"/>
      <c r="AA921" s="235"/>
      <c r="AB921" s="235"/>
      <c r="AC921" s="235"/>
      <c r="AD921" s="235"/>
      <c r="AE921" s="235"/>
      <c r="AF921" s="235"/>
      <c r="AG921" s="235"/>
      <c r="AH921" s="235"/>
      <c r="AI921" s="235"/>
      <c r="AJ921" s="235"/>
      <c r="AK921" s="235"/>
      <c r="AL921" s="235"/>
      <c r="AM921" s="235"/>
      <c r="AN921" s="235"/>
      <c r="AO921" s="235"/>
      <c r="AP921" s="235"/>
      <c r="AQ921" s="235"/>
      <c r="AR921" s="235"/>
      <c r="AS921" s="235"/>
      <c r="AT921" s="235"/>
      <c r="AU921" s="235"/>
      <c r="AV921" s="235"/>
      <c r="AW921" s="235"/>
      <c r="AX921" s="235"/>
      <c r="AY921" s="235"/>
      <c r="AZ921" s="235"/>
      <c r="BA921" s="235"/>
      <c r="BB921" s="235"/>
      <c r="BC921" s="235"/>
      <c r="BD921" s="235"/>
      <c r="BE921" s="235"/>
      <c r="BF921" s="235"/>
      <c r="BG921" s="235"/>
      <c r="BH921" s="235"/>
      <c r="BI921" s="235"/>
      <c r="BJ921" s="235"/>
      <c r="BK921" s="235"/>
      <c r="BL921" s="235"/>
      <c r="BM921" s="235"/>
      <c r="BN921" s="235"/>
      <c r="BO921" s="235"/>
    </row>
    <row r="922" ht="29.25" hidden="1" customHeight="1">
      <c r="A922" s="230"/>
      <c r="B922" s="231"/>
      <c r="C922" s="179"/>
      <c r="D922" s="179"/>
      <c r="E922" s="180"/>
      <c r="F922" s="162"/>
      <c r="G922" s="232"/>
      <c r="H922" s="234"/>
      <c r="I922" s="181"/>
      <c r="J922" s="182"/>
      <c r="K922" s="182"/>
      <c r="L922" s="182"/>
      <c r="M922" s="234"/>
      <c r="N922" s="28"/>
      <c r="O922" s="181"/>
      <c r="P922" s="183"/>
      <c r="Q922" s="104"/>
      <c r="R922" s="233"/>
      <c r="S922" s="164"/>
      <c r="T922" s="164"/>
      <c r="U922" s="162"/>
      <c r="V922" s="235"/>
      <c r="W922" s="235"/>
      <c r="X922" s="235"/>
      <c r="Y922" s="235"/>
      <c r="Z922" s="235"/>
      <c r="AA922" s="235"/>
      <c r="AB922" s="235"/>
      <c r="AC922" s="235"/>
      <c r="AD922" s="235"/>
      <c r="AE922" s="235"/>
      <c r="AF922" s="235"/>
      <c r="AG922" s="235"/>
      <c r="AH922" s="235"/>
      <c r="AI922" s="235"/>
      <c r="AJ922" s="235"/>
      <c r="AK922" s="235"/>
      <c r="AL922" s="235"/>
      <c r="AM922" s="235"/>
      <c r="AN922" s="235"/>
      <c r="AO922" s="235"/>
      <c r="AP922" s="235"/>
      <c r="AQ922" s="235"/>
      <c r="AR922" s="235"/>
      <c r="AS922" s="235"/>
      <c r="AT922" s="235"/>
      <c r="AU922" s="235"/>
      <c r="AV922" s="235"/>
      <c r="AW922" s="235"/>
      <c r="AX922" s="235"/>
      <c r="AY922" s="235"/>
      <c r="AZ922" s="235"/>
      <c r="BA922" s="235"/>
      <c r="BB922" s="235"/>
      <c r="BC922" s="235"/>
      <c r="BD922" s="235"/>
      <c r="BE922" s="235"/>
      <c r="BF922" s="235"/>
      <c r="BG922" s="235"/>
      <c r="BH922" s="235"/>
      <c r="BI922" s="235"/>
      <c r="BJ922" s="235"/>
      <c r="BK922" s="235"/>
      <c r="BL922" s="235"/>
      <c r="BM922" s="235"/>
      <c r="BN922" s="235"/>
      <c r="BO922" s="235"/>
    </row>
    <row r="923" ht="29.25" hidden="1" customHeight="1">
      <c r="A923" s="230"/>
      <c r="B923" s="231"/>
      <c r="C923" s="179"/>
      <c r="D923" s="179"/>
      <c r="E923" s="180"/>
      <c r="F923" s="162"/>
      <c r="G923" s="232"/>
      <c r="H923" s="234"/>
      <c r="I923" s="181"/>
      <c r="J923" s="182"/>
      <c r="K923" s="182"/>
      <c r="L923" s="182"/>
      <c r="M923" s="234"/>
      <c r="N923" s="28"/>
      <c r="O923" s="181"/>
      <c r="P923" s="183"/>
      <c r="Q923" s="104"/>
      <c r="R923" s="233"/>
      <c r="S923" s="164"/>
      <c r="T923" s="164"/>
      <c r="U923" s="162"/>
      <c r="V923" s="235"/>
      <c r="W923" s="235"/>
      <c r="X923" s="235"/>
      <c r="Y923" s="235"/>
      <c r="Z923" s="235"/>
      <c r="AA923" s="235"/>
      <c r="AB923" s="235"/>
      <c r="AC923" s="235"/>
      <c r="AD923" s="235"/>
      <c r="AE923" s="235"/>
      <c r="AF923" s="235"/>
      <c r="AG923" s="235"/>
      <c r="AH923" s="235"/>
      <c r="AI923" s="235"/>
      <c r="AJ923" s="235"/>
      <c r="AK923" s="235"/>
      <c r="AL923" s="235"/>
      <c r="AM923" s="235"/>
      <c r="AN923" s="235"/>
      <c r="AO923" s="235"/>
      <c r="AP923" s="235"/>
      <c r="AQ923" s="235"/>
      <c r="AR923" s="235"/>
      <c r="AS923" s="235"/>
      <c r="AT923" s="235"/>
      <c r="AU923" s="235"/>
      <c r="AV923" s="235"/>
      <c r="AW923" s="235"/>
      <c r="AX923" s="235"/>
      <c r="AY923" s="235"/>
      <c r="AZ923" s="235"/>
      <c r="BA923" s="235"/>
      <c r="BB923" s="235"/>
      <c r="BC923" s="235"/>
      <c r="BD923" s="235"/>
      <c r="BE923" s="235"/>
      <c r="BF923" s="235"/>
      <c r="BG923" s="235"/>
      <c r="BH923" s="235"/>
      <c r="BI923" s="235"/>
      <c r="BJ923" s="235"/>
      <c r="BK923" s="235"/>
      <c r="BL923" s="235"/>
      <c r="BM923" s="235"/>
      <c r="BN923" s="235"/>
      <c r="BO923" s="235"/>
    </row>
    <row r="924" ht="29.25" hidden="1" customHeight="1">
      <c r="A924" s="230"/>
      <c r="B924" s="231"/>
      <c r="C924" s="179"/>
      <c r="D924" s="179"/>
      <c r="E924" s="180"/>
      <c r="F924" s="162"/>
      <c r="G924" s="232"/>
      <c r="H924" s="234"/>
      <c r="I924" s="181"/>
      <c r="J924" s="182"/>
      <c r="K924" s="182"/>
      <c r="L924" s="182"/>
      <c r="M924" s="234"/>
      <c r="N924" s="28"/>
      <c r="O924" s="181"/>
      <c r="P924" s="183"/>
      <c r="Q924" s="104"/>
      <c r="R924" s="233"/>
      <c r="S924" s="164"/>
      <c r="T924" s="164"/>
      <c r="U924" s="162"/>
      <c r="V924" s="235"/>
      <c r="W924" s="235"/>
      <c r="X924" s="235"/>
      <c r="Y924" s="235"/>
      <c r="Z924" s="235"/>
      <c r="AA924" s="235"/>
      <c r="AB924" s="235"/>
      <c r="AC924" s="235"/>
      <c r="AD924" s="235"/>
      <c r="AE924" s="235"/>
      <c r="AF924" s="235"/>
      <c r="AG924" s="235"/>
      <c r="AH924" s="235"/>
      <c r="AI924" s="235"/>
      <c r="AJ924" s="235"/>
      <c r="AK924" s="235"/>
      <c r="AL924" s="235"/>
      <c r="AM924" s="235"/>
      <c r="AN924" s="235"/>
      <c r="AO924" s="235"/>
      <c r="AP924" s="235"/>
      <c r="AQ924" s="235"/>
      <c r="AR924" s="235"/>
      <c r="AS924" s="235"/>
      <c r="AT924" s="235"/>
      <c r="AU924" s="235"/>
      <c r="AV924" s="235"/>
      <c r="AW924" s="235"/>
      <c r="AX924" s="235"/>
      <c r="AY924" s="235"/>
      <c r="AZ924" s="235"/>
      <c r="BA924" s="235"/>
      <c r="BB924" s="235"/>
      <c r="BC924" s="235"/>
      <c r="BD924" s="235"/>
      <c r="BE924" s="235"/>
      <c r="BF924" s="235"/>
      <c r="BG924" s="235"/>
      <c r="BH924" s="235"/>
      <c r="BI924" s="235"/>
      <c r="BJ924" s="235"/>
      <c r="BK924" s="235"/>
      <c r="BL924" s="235"/>
      <c r="BM924" s="235"/>
      <c r="BN924" s="235"/>
      <c r="BO924" s="235"/>
    </row>
    <row r="925" ht="29.25" hidden="1" customHeight="1">
      <c r="A925" s="230"/>
      <c r="B925" s="231"/>
      <c r="C925" s="179"/>
      <c r="D925" s="179"/>
      <c r="E925" s="180"/>
      <c r="F925" s="162"/>
      <c r="G925" s="232"/>
      <c r="H925" s="234"/>
      <c r="I925" s="181"/>
      <c r="J925" s="182"/>
      <c r="K925" s="182"/>
      <c r="L925" s="182"/>
      <c r="M925" s="234"/>
      <c r="N925" s="28"/>
      <c r="O925" s="181"/>
      <c r="P925" s="183"/>
      <c r="Q925" s="104"/>
      <c r="R925" s="233"/>
      <c r="S925" s="164"/>
      <c r="T925" s="164"/>
      <c r="U925" s="162"/>
      <c r="V925" s="235"/>
      <c r="W925" s="235"/>
      <c r="X925" s="235"/>
      <c r="Y925" s="235"/>
      <c r="Z925" s="235"/>
      <c r="AA925" s="235"/>
      <c r="AB925" s="235"/>
      <c r="AC925" s="235"/>
      <c r="AD925" s="235"/>
      <c r="AE925" s="235"/>
      <c r="AF925" s="235"/>
      <c r="AG925" s="235"/>
      <c r="AH925" s="235"/>
      <c r="AI925" s="235"/>
      <c r="AJ925" s="235"/>
      <c r="AK925" s="235"/>
      <c r="AL925" s="235"/>
      <c r="AM925" s="235"/>
      <c r="AN925" s="235"/>
      <c r="AO925" s="235"/>
      <c r="AP925" s="235"/>
      <c r="AQ925" s="235"/>
      <c r="AR925" s="235"/>
      <c r="AS925" s="235"/>
      <c r="AT925" s="235"/>
      <c r="AU925" s="235"/>
      <c r="AV925" s="235"/>
      <c r="AW925" s="235"/>
      <c r="AX925" s="235"/>
      <c r="AY925" s="235"/>
      <c r="AZ925" s="235"/>
      <c r="BA925" s="235"/>
      <c r="BB925" s="235"/>
      <c r="BC925" s="235"/>
      <c r="BD925" s="235"/>
      <c r="BE925" s="235"/>
      <c r="BF925" s="235"/>
      <c r="BG925" s="235"/>
      <c r="BH925" s="235"/>
      <c r="BI925" s="235"/>
      <c r="BJ925" s="235"/>
      <c r="BK925" s="235"/>
      <c r="BL925" s="235"/>
      <c r="BM925" s="235"/>
      <c r="BN925" s="235"/>
      <c r="BO925" s="235"/>
    </row>
    <row r="926" ht="29.25" hidden="1" customHeight="1">
      <c r="A926" s="230"/>
      <c r="B926" s="231"/>
      <c r="C926" s="179"/>
      <c r="D926" s="179"/>
      <c r="E926" s="180"/>
      <c r="F926" s="162"/>
      <c r="G926" s="232"/>
      <c r="H926" s="234"/>
      <c r="I926" s="181"/>
      <c r="J926" s="182"/>
      <c r="K926" s="182"/>
      <c r="L926" s="182"/>
      <c r="M926" s="234"/>
      <c r="N926" s="28"/>
      <c r="O926" s="181"/>
      <c r="P926" s="183"/>
      <c r="Q926" s="104"/>
      <c r="R926" s="233"/>
      <c r="S926" s="164"/>
      <c r="T926" s="164"/>
      <c r="U926" s="162"/>
      <c r="V926" s="235"/>
      <c r="W926" s="235"/>
      <c r="X926" s="235"/>
      <c r="Y926" s="235"/>
      <c r="Z926" s="235"/>
      <c r="AA926" s="235"/>
      <c r="AB926" s="235"/>
      <c r="AC926" s="235"/>
      <c r="AD926" s="235"/>
      <c r="AE926" s="235"/>
      <c r="AF926" s="235"/>
      <c r="AG926" s="235"/>
      <c r="AH926" s="235"/>
      <c r="AI926" s="235"/>
      <c r="AJ926" s="235"/>
      <c r="AK926" s="235"/>
      <c r="AL926" s="235"/>
      <c r="AM926" s="235"/>
      <c r="AN926" s="235"/>
      <c r="AO926" s="235"/>
      <c r="AP926" s="235"/>
      <c r="AQ926" s="235"/>
      <c r="AR926" s="235"/>
      <c r="AS926" s="235"/>
      <c r="AT926" s="235"/>
      <c r="AU926" s="235"/>
      <c r="AV926" s="235"/>
      <c r="AW926" s="235"/>
      <c r="AX926" s="235"/>
      <c r="AY926" s="235"/>
      <c r="AZ926" s="235"/>
      <c r="BA926" s="235"/>
      <c r="BB926" s="235"/>
      <c r="BC926" s="235"/>
      <c r="BD926" s="235"/>
      <c r="BE926" s="235"/>
      <c r="BF926" s="235"/>
      <c r="BG926" s="235"/>
      <c r="BH926" s="235"/>
      <c r="BI926" s="235"/>
      <c r="BJ926" s="235"/>
      <c r="BK926" s="235"/>
      <c r="BL926" s="235"/>
      <c r="BM926" s="235"/>
      <c r="BN926" s="235"/>
      <c r="BO926" s="235"/>
    </row>
    <row r="927" ht="29.25" hidden="1" customHeight="1">
      <c r="A927" s="230"/>
      <c r="B927" s="231"/>
      <c r="C927" s="179"/>
      <c r="D927" s="179"/>
      <c r="E927" s="180"/>
      <c r="F927" s="162"/>
      <c r="G927" s="232"/>
      <c r="H927" s="234"/>
      <c r="I927" s="181"/>
      <c r="J927" s="182"/>
      <c r="K927" s="182"/>
      <c r="L927" s="182"/>
      <c r="M927" s="234"/>
      <c r="N927" s="28"/>
      <c r="O927" s="181"/>
      <c r="P927" s="183"/>
      <c r="Q927" s="104"/>
      <c r="R927" s="233"/>
      <c r="S927" s="164"/>
      <c r="T927" s="164"/>
      <c r="U927" s="162"/>
      <c r="V927" s="235"/>
      <c r="W927" s="235"/>
      <c r="X927" s="235"/>
      <c r="Y927" s="235"/>
      <c r="Z927" s="235"/>
      <c r="AA927" s="235"/>
      <c r="AB927" s="235"/>
      <c r="AC927" s="235"/>
      <c r="AD927" s="235"/>
      <c r="AE927" s="235"/>
      <c r="AF927" s="235"/>
      <c r="AG927" s="235"/>
      <c r="AH927" s="235"/>
      <c r="AI927" s="235"/>
      <c r="AJ927" s="235"/>
      <c r="AK927" s="235"/>
      <c r="AL927" s="235"/>
      <c r="AM927" s="235"/>
      <c r="AN927" s="235"/>
      <c r="AO927" s="235"/>
      <c r="AP927" s="235"/>
      <c r="AQ927" s="235"/>
      <c r="AR927" s="235"/>
      <c r="AS927" s="235"/>
      <c r="AT927" s="235"/>
      <c r="AU927" s="235"/>
      <c r="AV927" s="235"/>
      <c r="AW927" s="235"/>
      <c r="AX927" s="235"/>
      <c r="AY927" s="235"/>
      <c r="AZ927" s="235"/>
      <c r="BA927" s="235"/>
      <c r="BB927" s="235"/>
      <c r="BC927" s="235"/>
      <c r="BD927" s="235"/>
      <c r="BE927" s="235"/>
      <c r="BF927" s="235"/>
      <c r="BG927" s="235"/>
      <c r="BH927" s="235"/>
      <c r="BI927" s="235"/>
      <c r="BJ927" s="235"/>
      <c r="BK927" s="235"/>
      <c r="BL927" s="235"/>
      <c r="BM927" s="235"/>
      <c r="BN927" s="235"/>
      <c r="BO927" s="235"/>
    </row>
    <row r="928" ht="29.25" hidden="1" customHeight="1">
      <c r="A928" s="230"/>
      <c r="B928" s="231"/>
      <c r="C928" s="179"/>
      <c r="D928" s="179"/>
      <c r="E928" s="180"/>
      <c r="F928" s="162"/>
      <c r="G928" s="232"/>
      <c r="H928" s="234"/>
      <c r="I928" s="181"/>
      <c r="J928" s="182"/>
      <c r="K928" s="182"/>
      <c r="L928" s="182"/>
      <c r="M928" s="234"/>
      <c r="N928" s="28"/>
      <c r="O928" s="181"/>
      <c r="P928" s="183"/>
      <c r="Q928" s="104"/>
      <c r="R928" s="233"/>
      <c r="S928" s="164"/>
      <c r="T928" s="164"/>
      <c r="U928" s="162"/>
      <c r="V928" s="235"/>
      <c r="W928" s="235"/>
      <c r="X928" s="235"/>
      <c r="Y928" s="235"/>
      <c r="Z928" s="235"/>
      <c r="AA928" s="235"/>
      <c r="AB928" s="235"/>
      <c r="AC928" s="235"/>
      <c r="AD928" s="235"/>
      <c r="AE928" s="235"/>
      <c r="AF928" s="235"/>
      <c r="AG928" s="235"/>
      <c r="AH928" s="235"/>
      <c r="AI928" s="235"/>
      <c r="AJ928" s="235"/>
      <c r="AK928" s="235"/>
      <c r="AL928" s="235"/>
      <c r="AM928" s="235"/>
      <c r="AN928" s="235"/>
      <c r="AO928" s="235"/>
      <c r="AP928" s="235"/>
      <c r="AQ928" s="235"/>
      <c r="AR928" s="235"/>
      <c r="AS928" s="235"/>
      <c r="AT928" s="235"/>
      <c r="AU928" s="235"/>
      <c r="AV928" s="235"/>
      <c r="AW928" s="235"/>
      <c r="AX928" s="235"/>
      <c r="AY928" s="235"/>
      <c r="AZ928" s="235"/>
      <c r="BA928" s="235"/>
      <c r="BB928" s="235"/>
      <c r="BC928" s="235"/>
      <c r="BD928" s="235"/>
      <c r="BE928" s="235"/>
      <c r="BF928" s="235"/>
      <c r="BG928" s="235"/>
      <c r="BH928" s="235"/>
      <c r="BI928" s="235"/>
      <c r="BJ928" s="235"/>
      <c r="BK928" s="235"/>
      <c r="BL928" s="235"/>
      <c r="BM928" s="235"/>
      <c r="BN928" s="235"/>
      <c r="BO928" s="235"/>
    </row>
    <row r="929" ht="29.25" hidden="1" customHeight="1">
      <c r="A929" s="230"/>
      <c r="B929" s="231"/>
      <c r="C929" s="179"/>
      <c r="D929" s="179"/>
      <c r="E929" s="180"/>
      <c r="F929" s="162"/>
      <c r="G929" s="232"/>
      <c r="H929" s="234"/>
      <c r="I929" s="181"/>
      <c r="J929" s="182"/>
      <c r="K929" s="182"/>
      <c r="L929" s="182"/>
      <c r="M929" s="234"/>
      <c r="N929" s="28"/>
      <c r="O929" s="181"/>
      <c r="P929" s="183"/>
      <c r="Q929" s="104"/>
      <c r="R929" s="233"/>
      <c r="S929" s="164"/>
      <c r="T929" s="164"/>
      <c r="U929" s="162"/>
      <c r="V929" s="235"/>
      <c r="W929" s="235"/>
      <c r="X929" s="235"/>
      <c r="Y929" s="235"/>
      <c r="Z929" s="235"/>
      <c r="AA929" s="235"/>
      <c r="AB929" s="235"/>
      <c r="AC929" s="235"/>
      <c r="AD929" s="235"/>
      <c r="AE929" s="235"/>
      <c r="AF929" s="235"/>
      <c r="AG929" s="235"/>
      <c r="AH929" s="235"/>
      <c r="AI929" s="235"/>
      <c r="AJ929" s="235"/>
      <c r="AK929" s="235"/>
      <c r="AL929" s="235"/>
      <c r="AM929" s="235"/>
      <c r="AN929" s="235"/>
      <c r="AO929" s="235"/>
      <c r="AP929" s="235"/>
      <c r="AQ929" s="235"/>
      <c r="AR929" s="235"/>
      <c r="AS929" s="235"/>
      <c r="AT929" s="235"/>
      <c r="AU929" s="235"/>
      <c r="AV929" s="235"/>
      <c r="AW929" s="235"/>
      <c r="AX929" s="235"/>
      <c r="AY929" s="235"/>
      <c r="AZ929" s="235"/>
      <c r="BA929" s="235"/>
      <c r="BB929" s="235"/>
      <c r="BC929" s="235"/>
      <c r="BD929" s="235"/>
      <c r="BE929" s="235"/>
      <c r="BF929" s="235"/>
      <c r="BG929" s="235"/>
      <c r="BH929" s="235"/>
      <c r="BI929" s="235"/>
      <c r="BJ929" s="235"/>
      <c r="BK929" s="235"/>
      <c r="BL929" s="235"/>
      <c r="BM929" s="235"/>
      <c r="BN929" s="235"/>
      <c r="BO929" s="235"/>
    </row>
    <row r="930" ht="29.25" hidden="1" customHeight="1">
      <c r="A930" s="230"/>
      <c r="B930" s="231"/>
      <c r="C930" s="179"/>
      <c r="D930" s="179"/>
      <c r="E930" s="180"/>
      <c r="F930" s="162"/>
      <c r="G930" s="232"/>
      <c r="H930" s="234"/>
      <c r="I930" s="181"/>
      <c r="J930" s="182"/>
      <c r="K930" s="182"/>
      <c r="L930" s="182"/>
      <c r="M930" s="234"/>
      <c r="N930" s="28"/>
      <c r="O930" s="181"/>
      <c r="P930" s="183"/>
      <c r="Q930" s="104"/>
      <c r="R930" s="233"/>
      <c r="S930" s="164"/>
      <c r="T930" s="164"/>
      <c r="U930" s="162"/>
      <c r="V930" s="235"/>
      <c r="W930" s="235"/>
      <c r="X930" s="235"/>
      <c r="Y930" s="235"/>
      <c r="Z930" s="235"/>
      <c r="AA930" s="235"/>
      <c r="AB930" s="235"/>
      <c r="AC930" s="235"/>
      <c r="AD930" s="235"/>
      <c r="AE930" s="235"/>
      <c r="AF930" s="235"/>
      <c r="AG930" s="235"/>
      <c r="AH930" s="235"/>
      <c r="AI930" s="235"/>
      <c r="AJ930" s="235"/>
      <c r="AK930" s="235"/>
      <c r="AL930" s="235"/>
      <c r="AM930" s="235"/>
      <c r="AN930" s="235"/>
      <c r="AO930" s="235"/>
      <c r="AP930" s="235"/>
      <c r="AQ930" s="235"/>
      <c r="AR930" s="235"/>
      <c r="AS930" s="235"/>
      <c r="AT930" s="235"/>
      <c r="AU930" s="235"/>
      <c r="AV930" s="235"/>
      <c r="AW930" s="235"/>
      <c r="AX930" s="235"/>
      <c r="AY930" s="235"/>
      <c r="AZ930" s="235"/>
      <c r="BA930" s="235"/>
      <c r="BB930" s="235"/>
      <c r="BC930" s="235"/>
      <c r="BD930" s="235"/>
      <c r="BE930" s="235"/>
      <c r="BF930" s="235"/>
      <c r="BG930" s="235"/>
      <c r="BH930" s="235"/>
      <c r="BI930" s="235"/>
      <c r="BJ930" s="235"/>
      <c r="BK930" s="235"/>
      <c r="BL930" s="235"/>
      <c r="BM930" s="235"/>
      <c r="BN930" s="235"/>
      <c r="BO930" s="235"/>
    </row>
    <row r="931" ht="29.25" hidden="1" customHeight="1">
      <c r="A931" s="230"/>
      <c r="B931" s="231"/>
      <c r="C931" s="179"/>
      <c r="D931" s="179"/>
      <c r="E931" s="180"/>
      <c r="F931" s="162"/>
      <c r="G931" s="232"/>
      <c r="H931" s="234"/>
      <c r="I931" s="181"/>
      <c r="J931" s="182"/>
      <c r="K931" s="182"/>
      <c r="L931" s="182"/>
      <c r="M931" s="234"/>
      <c r="N931" s="28"/>
      <c r="O931" s="181"/>
      <c r="P931" s="183"/>
      <c r="Q931" s="104"/>
      <c r="R931" s="233"/>
      <c r="S931" s="164"/>
      <c r="T931" s="164"/>
      <c r="U931" s="162"/>
      <c r="V931" s="235"/>
      <c r="W931" s="235"/>
      <c r="X931" s="235"/>
      <c r="Y931" s="235"/>
      <c r="Z931" s="235"/>
      <c r="AA931" s="235"/>
      <c r="AB931" s="235"/>
      <c r="AC931" s="235"/>
      <c r="AD931" s="235"/>
      <c r="AE931" s="235"/>
      <c r="AF931" s="235"/>
      <c r="AG931" s="235"/>
      <c r="AH931" s="235"/>
      <c r="AI931" s="235"/>
      <c r="AJ931" s="235"/>
      <c r="AK931" s="235"/>
      <c r="AL931" s="235"/>
      <c r="AM931" s="235"/>
      <c r="AN931" s="235"/>
      <c r="AO931" s="235"/>
      <c r="AP931" s="235"/>
      <c r="AQ931" s="235"/>
      <c r="AR931" s="235"/>
      <c r="AS931" s="235"/>
      <c r="AT931" s="235"/>
      <c r="AU931" s="235"/>
      <c r="AV931" s="235"/>
      <c r="AW931" s="235"/>
      <c r="AX931" s="235"/>
      <c r="AY931" s="235"/>
      <c r="AZ931" s="235"/>
      <c r="BA931" s="235"/>
      <c r="BB931" s="235"/>
      <c r="BC931" s="235"/>
      <c r="BD931" s="235"/>
      <c r="BE931" s="235"/>
      <c r="BF931" s="235"/>
      <c r="BG931" s="235"/>
      <c r="BH931" s="235"/>
      <c r="BI931" s="235"/>
      <c r="BJ931" s="235"/>
      <c r="BK931" s="235"/>
      <c r="BL931" s="235"/>
      <c r="BM931" s="235"/>
      <c r="BN931" s="235"/>
      <c r="BO931" s="235"/>
    </row>
    <row r="932" ht="29.25" hidden="1" customHeight="1">
      <c r="A932" s="230"/>
      <c r="B932" s="231"/>
      <c r="C932" s="179"/>
      <c r="D932" s="179"/>
      <c r="E932" s="180"/>
      <c r="F932" s="162"/>
      <c r="G932" s="232"/>
      <c r="H932" s="234"/>
      <c r="I932" s="181"/>
      <c r="J932" s="182"/>
      <c r="K932" s="182"/>
      <c r="L932" s="182"/>
      <c r="M932" s="234"/>
      <c r="N932" s="28"/>
      <c r="O932" s="181"/>
      <c r="P932" s="183"/>
      <c r="Q932" s="104"/>
      <c r="R932" s="233"/>
      <c r="S932" s="164"/>
      <c r="T932" s="164"/>
      <c r="U932" s="162"/>
      <c r="V932" s="235"/>
      <c r="W932" s="235"/>
      <c r="X932" s="235"/>
      <c r="Y932" s="235"/>
      <c r="Z932" s="235"/>
      <c r="AA932" s="235"/>
      <c r="AB932" s="235"/>
      <c r="AC932" s="235"/>
      <c r="AD932" s="235"/>
      <c r="AE932" s="235"/>
      <c r="AF932" s="235"/>
      <c r="AG932" s="235"/>
      <c r="AH932" s="235"/>
      <c r="AI932" s="235"/>
      <c r="AJ932" s="235"/>
      <c r="AK932" s="235"/>
      <c r="AL932" s="235"/>
      <c r="AM932" s="235"/>
      <c r="AN932" s="235"/>
      <c r="AO932" s="235"/>
      <c r="AP932" s="235"/>
      <c r="AQ932" s="235"/>
      <c r="AR932" s="235"/>
      <c r="AS932" s="235"/>
      <c r="AT932" s="235"/>
      <c r="AU932" s="235"/>
      <c r="AV932" s="235"/>
      <c r="AW932" s="235"/>
      <c r="AX932" s="235"/>
      <c r="AY932" s="235"/>
      <c r="AZ932" s="235"/>
      <c r="BA932" s="235"/>
      <c r="BB932" s="235"/>
      <c r="BC932" s="235"/>
      <c r="BD932" s="235"/>
      <c r="BE932" s="235"/>
      <c r="BF932" s="235"/>
      <c r="BG932" s="235"/>
      <c r="BH932" s="235"/>
      <c r="BI932" s="235"/>
      <c r="BJ932" s="235"/>
      <c r="BK932" s="235"/>
      <c r="BL932" s="235"/>
      <c r="BM932" s="235"/>
      <c r="BN932" s="235"/>
      <c r="BO932" s="235"/>
    </row>
    <row r="933" ht="29.25" hidden="1" customHeight="1">
      <c r="A933" s="230"/>
      <c r="B933" s="231"/>
      <c r="C933" s="179"/>
      <c r="D933" s="179"/>
      <c r="E933" s="180"/>
      <c r="F933" s="162"/>
      <c r="G933" s="232"/>
      <c r="H933" s="234"/>
      <c r="I933" s="181"/>
      <c r="J933" s="182"/>
      <c r="K933" s="182"/>
      <c r="L933" s="182"/>
      <c r="M933" s="234"/>
      <c r="N933" s="28"/>
      <c r="O933" s="181"/>
      <c r="P933" s="183"/>
      <c r="Q933" s="104"/>
      <c r="R933" s="233"/>
      <c r="S933" s="164"/>
      <c r="T933" s="164"/>
      <c r="U933" s="162"/>
      <c r="V933" s="235"/>
      <c r="W933" s="235"/>
      <c r="X933" s="235"/>
      <c r="Y933" s="235"/>
      <c r="Z933" s="235"/>
      <c r="AA933" s="235"/>
      <c r="AB933" s="235"/>
      <c r="AC933" s="235"/>
      <c r="AD933" s="235"/>
      <c r="AE933" s="235"/>
      <c r="AF933" s="235"/>
      <c r="AG933" s="235"/>
      <c r="AH933" s="235"/>
      <c r="AI933" s="235"/>
      <c r="AJ933" s="235"/>
      <c r="AK933" s="235"/>
      <c r="AL933" s="235"/>
      <c r="AM933" s="235"/>
      <c r="AN933" s="235"/>
      <c r="AO933" s="235"/>
      <c r="AP933" s="235"/>
      <c r="AQ933" s="235"/>
      <c r="AR933" s="235"/>
      <c r="AS933" s="235"/>
      <c r="AT933" s="235"/>
      <c r="AU933" s="235"/>
      <c r="AV933" s="235"/>
      <c r="AW933" s="235"/>
      <c r="AX933" s="235"/>
      <c r="AY933" s="235"/>
      <c r="AZ933" s="235"/>
      <c r="BA933" s="235"/>
      <c r="BB933" s="235"/>
      <c r="BC933" s="235"/>
      <c r="BD933" s="235"/>
      <c r="BE933" s="235"/>
      <c r="BF933" s="235"/>
      <c r="BG933" s="235"/>
      <c r="BH933" s="235"/>
      <c r="BI933" s="235"/>
      <c r="BJ933" s="235"/>
      <c r="BK933" s="235"/>
      <c r="BL933" s="235"/>
      <c r="BM933" s="235"/>
      <c r="BN933" s="235"/>
      <c r="BO933" s="235"/>
    </row>
    <row r="934" ht="29.25" hidden="1" customHeight="1">
      <c r="A934" s="230"/>
      <c r="B934" s="231"/>
      <c r="C934" s="179"/>
      <c r="D934" s="179"/>
      <c r="E934" s="180"/>
      <c r="F934" s="162"/>
      <c r="G934" s="232"/>
      <c r="H934" s="234"/>
      <c r="I934" s="181"/>
      <c r="J934" s="182"/>
      <c r="K934" s="182"/>
      <c r="L934" s="182"/>
      <c r="M934" s="234"/>
      <c r="N934" s="28"/>
      <c r="O934" s="181"/>
      <c r="P934" s="183"/>
      <c r="Q934" s="104"/>
      <c r="R934" s="233"/>
      <c r="S934" s="164"/>
      <c r="T934" s="164"/>
      <c r="U934" s="162"/>
      <c r="V934" s="235"/>
      <c r="W934" s="235"/>
      <c r="X934" s="235"/>
      <c r="Y934" s="235"/>
      <c r="Z934" s="235"/>
      <c r="AA934" s="235"/>
      <c r="AB934" s="235"/>
      <c r="AC934" s="235"/>
      <c r="AD934" s="235"/>
      <c r="AE934" s="235"/>
      <c r="AF934" s="235"/>
      <c r="AG934" s="235"/>
      <c r="AH934" s="235"/>
      <c r="AI934" s="235"/>
      <c r="AJ934" s="235"/>
      <c r="AK934" s="235"/>
      <c r="AL934" s="235"/>
      <c r="AM934" s="235"/>
      <c r="AN934" s="235"/>
      <c r="AO934" s="235"/>
      <c r="AP934" s="235"/>
      <c r="AQ934" s="235"/>
      <c r="AR934" s="235"/>
      <c r="AS934" s="235"/>
      <c r="AT934" s="235"/>
      <c r="AU934" s="235"/>
      <c r="AV934" s="235"/>
      <c r="AW934" s="235"/>
      <c r="AX934" s="235"/>
      <c r="AY934" s="235"/>
      <c r="AZ934" s="235"/>
      <c r="BA934" s="235"/>
      <c r="BB934" s="235"/>
      <c r="BC934" s="235"/>
      <c r="BD934" s="235"/>
      <c r="BE934" s="235"/>
      <c r="BF934" s="235"/>
      <c r="BG934" s="235"/>
      <c r="BH934" s="235"/>
      <c r="BI934" s="235"/>
      <c r="BJ934" s="235"/>
      <c r="BK934" s="235"/>
      <c r="BL934" s="235"/>
      <c r="BM934" s="235"/>
      <c r="BN934" s="235"/>
      <c r="BO934" s="235"/>
    </row>
    <row r="935" ht="29.25" hidden="1" customHeight="1">
      <c r="A935" s="230"/>
      <c r="B935" s="231"/>
      <c r="C935" s="179"/>
      <c r="D935" s="179"/>
      <c r="E935" s="180"/>
      <c r="F935" s="162"/>
      <c r="G935" s="232"/>
      <c r="H935" s="234"/>
      <c r="I935" s="181"/>
      <c r="J935" s="182"/>
      <c r="K935" s="182"/>
      <c r="L935" s="182"/>
      <c r="M935" s="234"/>
      <c r="N935" s="28"/>
      <c r="O935" s="181"/>
      <c r="P935" s="183"/>
      <c r="Q935" s="104"/>
      <c r="R935" s="233"/>
      <c r="S935" s="164"/>
      <c r="T935" s="164"/>
      <c r="U935" s="162"/>
      <c r="V935" s="235"/>
      <c r="W935" s="235"/>
      <c r="X935" s="235"/>
      <c r="Y935" s="235"/>
      <c r="Z935" s="235"/>
      <c r="AA935" s="235"/>
      <c r="AB935" s="235"/>
      <c r="AC935" s="235"/>
      <c r="AD935" s="235"/>
      <c r="AE935" s="235"/>
      <c r="AF935" s="235"/>
      <c r="AG935" s="235"/>
      <c r="AH935" s="235"/>
      <c r="AI935" s="235"/>
      <c r="AJ935" s="235"/>
      <c r="AK935" s="235"/>
      <c r="AL935" s="235"/>
      <c r="AM935" s="235"/>
      <c r="AN935" s="235"/>
      <c r="AO935" s="235"/>
      <c r="AP935" s="235"/>
      <c r="AQ935" s="235"/>
      <c r="AR935" s="235"/>
      <c r="AS935" s="235"/>
      <c r="AT935" s="235"/>
      <c r="AU935" s="235"/>
      <c r="AV935" s="235"/>
      <c r="AW935" s="235"/>
      <c r="AX935" s="235"/>
      <c r="AY935" s="235"/>
      <c r="AZ935" s="235"/>
      <c r="BA935" s="235"/>
      <c r="BB935" s="235"/>
      <c r="BC935" s="235"/>
      <c r="BD935" s="235"/>
      <c r="BE935" s="235"/>
      <c r="BF935" s="235"/>
      <c r="BG935" s="235"/>
      <c r="BH935" s="235"/>
      <c r="BI935" s="235"/>
      <c r="BJ935" s="235"/>
      <c r="BK935" s="235"/>
      <c r="BL935" s="235"/>
      <c r="BM935" s="235"/>
      <c r="BN935" s="235"/>
      <c r="BO935" s="235"/>
    </row>
    <row r="936" ht="29.25" hidden="1" customHeight="1">
      <c r="A936" s="230"/>
      <c r="B936" s="231"/>
      <c r="C936" s="179"/>
      <c r="D936" s="179"/>
      <c r="E936" s="180"/>
      <c r="F936" s="162"/>
      <c r="G936" s="232"/>
      <c r="H936" s="234"/>
      <c r="I936" s="181"/>
      <c r="J936" s="182"/>
      <c r="K936" s="182"/>
      <c r="L936" s="182"/>
      <c r="M936" s="234"/>
      <c r="N936" s="28"/>
      <c r="O936" s="181"/>
      <c r="P936" s="183"/>
      <c r="Q936" s="104"/>
      <c r="R936" s="233"/>
      <c r="S936" s="164"/>
      <c r="T936" s="164"/>
      <c r="U936" s="162"/>
      <c r="V936" s="235"/>
      <c r="W936" s="235"/>
      <c r="X936" s="235"/>
      <c r="Y936" s="235"/>
      <c r="Z936" s="235"/>
      <c r="AA936" s="235"/>
      <c r="AB936" s="235"/>
      <c r="AC936" s="235"/>
      <c r="AD936" s="235"/>
      <c r="AE936" s="235"/>
      <c r="AF936" s="235"/>
      <c r="AG936" s="235"/>
      <c r="AH936" s="235"/>
      <c r="AI936" s="235"/>
      <c r="AJ936" s="235"/>
      <c r="AK936" s="235"/>
      <c r="AL936" s="235"/>
      <c r="AM936" s="235"/>
      <c r="AN936" s="235"/>
      <c r="AO936" s="235"/>
      <c r="AP936" s="235"/>
      <c r="AQ936" s="235"/>
      <c r="AR936" s="235"/>
      <c r="AS936" s="235"/>
      <c r="AT936" s="235"/>
      <c r="AU936" s="235"/>
      <c r="AV936" s="235"/>
      <c r="AW936" s="235"/>
      <c r="AX936" s="235"/>
      <c r="AY936" s="235"/>
      <c r="AZ936" s="235"/>
      <c r="BA936" s="235"/>
      <c r="BB936" s="235"/>
      <c r="BC936" s="235"/>
      <c r="BD936" s="235"/>
      <c r="BE936" s="235"/>
      <c r="BF936" s="235"/>
      <c r="BG936" s="235"/>
      <c r="BH936" s="235"/>
      <c r="BI936" s="235"/>
      <c r="BJ936" s="235"/>
      <c r="BK936" s="235"/>
      <c r="BL936" s="235"/>
      <c r="BM936" s="235"/>
      <c r="BN936" s="235"/>
      <c r="BO936" s="235"/>
    </row>
    <row r="937" ht="29.25" hidden="1" customHeight="1">
      <c r="A937" s="230"/>
      <c r="B937" s="231"/>
      <c r="C937" s="179"/>
      <c r="D937" s="179"/>
      <c r="E937" s="180"/>
      <c r="F937" s="162"/>
      <c r="G937" s="232"/>
      <c r="H937" s="234"/>
      <c r="I937" s="181"/>
      <c r="J937" s="182"/>
      <c r="K937" s="182"/>
      <c r="L937" s="182"/>
      <c r="M937" s="234"/>
      <c r="N937" s="28"/>
      <c r="O937" s="181"/>
      <c r="P937" s="183"/>
      <c r="Q937" s="104"/>
      <c r="R937" s="233"/>
      <c r="S937" s="164"/>
      <c r="T937" s="164"/>
      <c r="U937" s="162"/>
      <c r="V937" s="235"/>
      <c r="W937" s="235"/>
      <c r="X937" s="235"/>
      <c r="Y937" s="235"/>
      <c r="Z937" s="235"/>
      <c r="AA937" s="235"/>
      <c r="AB937" s="235"/>
      <c r="AC937" s="235"/>
      <c r="AD937" s="235"/>
      <c r="AE937" s="235"/>
      <c r="AF937" s="235"/>
      <c r="AG937" s="235"/>
      <c r="AH937" s="235"/>
      <c r="AI937" s="235"/>
      <c r="AJ937" s="235"/>
      <c r="AK937" s="235"/>
      <c r="AL937" s="235"/>
      <c r="AM937" s="235"/>
      <c r="AN937" s="235"/>
      <c r="AO937" s="235"/>
      <c r="AP937" s="235"/>
      <c r="AQ937" s="235"/>
      <c r="AR937" s="235"/>
      <c r="AS937" s="235"/>
      <c r="AT937" s="235"/>
      <c r="AU937" s="235"/>
      <c r="AV937" s="235"/>
      <c r="AW937" s="235"/>
      <c r="AX937" s="235"/>
      <c r="AY937" s="235"/>
      <c r="AZ937" s="235"/>
      <c r="BA937" s="235"/>
      <c r="BB937" s="235"/>
      <c r="BC937" s="235"/>
      <c r="BD937" s="235"/>
      <c r="BE937" s="235"/>
      <c r="BF937" s="235"/>
      <c r="BG937" s="235"/>
      <c r="BH937" s="235"/>
      <c r="BI937" s="235"/>
      <c r="BJ937" s="235"/>
      <c r="BK937" s="235"/>
      <c r="BL937" s="235"/>
      <c r="BM937" s="235"/>
      <c r="BN937" s="235"/>
      <c r="BO937" s="235"/>
    </row>
    <row r="938" ht="29.25" hidden="1" customHeight="1">
      <c r="A938" s="230"/>
      <c r="B938" s="231"/>
      <c r="C938" s="179"/>
      <c r="D938" s="179"/>
      <c r="E938" s="180"/>
      <c r="F938" s="162"/>
      <c r="G938" s="232"/>
      <c r="H938" s="234"/>
      <c r="I938" s="181"/>
      <c r="J938" s="182"/>
      <c r="K938" s="182"/>
      <c r="L938" s="182"/>
      <c r="M938" s="234"/>
      <c r="N938" s="28"/>
      <c r="O938" s="181"/>
      <c r="P938" s="183"/>
      <c r="Q938" s="104"/>
      <c r="R938" s="233"/>
      <c r="S938" s="164"/>
      <c r="T938" s="164"/>
      <c r="U938" s="162"/>
      <c r="V938" s="235"/>
      <c r="W938" s="235"/>
      <c r="X938" s="235"/>
      <c r="Y938" s="235"/>
      <c r="Z938" s="235"/>
      <c r="AA938" s="235"/>
      <c r="AB938" s="235"/>
      <c r="AC938" s="235"/>
      <c r="AD938" s="235"/>
      <c r="AE938" s="235"/>
      <c r="AF938" s="235"/>
      <c r="AG938" s="235"/>
      <c r="AH938" s="235"/>
      <c r="AI938" s="235"/>
      <c r="AJ938" s="235"/>
      <c r="AK938" s="235"/>
      <c r="AL938" s="235"/>
      <c r="AM938" s="235"/>
      <c r="AN938" s="235"/>
      <c r="AO938" s="235"/>
      <c r="AP938" s="235"/>
      <c r="AQ938" s="235"/>
      <c r="AR938" s="235"/>
      <c r="AS938" s="235"/>
      <c r="AT938" s="235"/>
      <c r="AU938" s="235"/>
      <c r="AV938" s="235"/>
      <c r="AW938" s="235"/>
      <c r="AX938" s="235"/>
      <c r="AY938" s="235"/>
      <c r="AZ938" s="235"/>
      <c r="BA938" s="235"/>
      <c r="BB938" s="235"/>
      <c r="BC938" s="235"/>
      <c r="BD938" s="235"/>
      <c r="BE938" s="235"/>
      <c r="BF938" s="235"/>
      <c r="BG938" s="235"/>
      <c r="BH938" s="235"/>
      <c r="BI938" s="235"/>
      <c r="BJ938" s="235"/>
      <c r="BK938" s="235"/>
      <c r="BL938" s="235"/>
      <c r="BM938" s="235"/>
      <c r="BN938" s="235"/>
      <c r="BO938" s="235"/>
    </row>
    <row r="939" ht="29.25" hidden="1" customHeight="1">
      <c r="A939" s="230"/>
      <c r="B939" s="231"/>
      <c r="C939" s="179"/>
      <c r="D939" s="179"/>
      <c r="E939" s="180"/>
      <c r="F939" s="162"/>
      <c r="G939" s="232"/>
      <c r="H939" s="234"/>
      <c r="I939" s="181"/>
      <c r="J939" s="182"/>
      <c r="K939" s="182"/>
      <c r="L939" s="182"/>
      <c r="M939" s="234"/>
      <c r="N939" s="28"/>
      <c r="O939" s="181"/>
      <c r="P939" s="183"/>
      <c r="Q939" s="104"/>
      <c r="R939" s="233"/>
      <c r="S939" s="164"/>
      <c r="T939" s="164"/>
      <c r="U939" s="162"/>
      <c r="V939" s="235"/>
      <c r="W939" s="235"/>
      <c r="X939" s="235"/>
      <c r="Y939" s="235"/>
      <c r="Z939" s="235"/>
      <c r="AA939" s="235"/>
      <c r="AB939" s="235"/>
      <c r="AC939" s="235"/>
      <c r="AD939" s="235"/>
      <c r="AE939" s="235"/>
      <c r="AF939" s="235"/>
      <c r="AG939" s="235"/>
      <c r="AH939" s="235"/>
      <c r="AI939" s="235"/>
      <c r="AJ939" s="235"/>
      <c r="AK939" s="235"/>
      <c r="AL939" s="235"/>
      <c r="AM939" s="235"/>
      <c r="AN939" s="235"/>
      <c r="AO939" s="235"/>
      <c r="AP939" s="235"/>
      <c r="AQ939" s="235"/>
      <c r="AR939" s="235"/>
      <c r="AS939" s="235"/>
      <c r="AT939" s="235"/>
      <c r="AU939" s="235"/>
      <c r="AV939" s="235"/>
      <c r="AW939" s="235"/>
      <c r="AX939" s="235"/>
      <c r="AY939" s="235"/>
      <c r="AZ939" s="235"/>
      <c r="BA939" s="235"/>
      <c r="BB939" s="235"/>
      <c r="BC939" s="235"/>
      <c r="BD939" s="235"/>
      <c r="BE939" s="235"/>
      <c r="BF939" s="235"/>
      <c r="BG939" s="235"/>
      <c r="BH939" s="235"/>
      <c r="BI939" s="235"/>
      <c r="BJ939" s="235"/>
      <c r="BK939" s="235"/>
      <c r="BL939" s="235"/>
      <c r="BM939" s="235"/>
      <c r="BN939" s="235"/>
      <c r="BO939" s="235"/>
    </row>
    <row r="940" ht="29.25" hidden="1" customHeight="1">
      <c r="A940" s="230"/>
      <c r="B940" s="231"/>
      <c r="C940" s="179"/>
      <c r="D940" s="179"/>
      <c r="E940" s="180"/>
      <c r="F940" s="162"/>
      <c r="G940" s="232"/>
      <c r="H940" s="234"/>
      <c r="I940" s="181"/>
      <c r="J940" s="182"/>
      <c r="K940" s="182"/>
      <c r="L940" s="182"/>
      <c r="M940" s="234"/>
      <c r="N940" s="28"/>
      <c r="O940" s="181"/>
      <c r="P940" s="183"/>
      <c r="Q940" s="104"/>
      <c r="R940" s="233"/>
      <c r="S940" s="164"/>
      <c r="T940" s="164"/>
      <c r="U940" s="162"/>
      <c r="V940" s="235"/>
      <c r="W940" s="235"/>
      <c r="X940" s="235"/>
      <c r="Y940" s="235"/>
      <c r="Z940" s="235"/>
      <c r="AA940" s="235"/>
      <c r="AB940" s="235"/>
      <c r="AC940" s="235"/>
      <c r="AD940" s="235"/>
      <c r="AE940" s="235"/>
      <c r="AF940" s="235"/>
      <c r="AG940" s="235"/>
      <c r="AH940" s="235"/>
      <c r="AI940" s="235"/>
      <c r="AJ940" s="235"/>
      <c r="AK940" s="235"/>
      <c r="AL940" s="235"/>
      <c r="AM940" s="235"/>
      <c r="AN940" s="235"/>
      <c r="AO940" s="235"/>
      <c r="AP940" s="235"/>
      <c r="AQ940" s="235"/>
      <c r="AR940" s="235"/>
      <c r="AS940" s="235"/>
      <c r="AT940" s="235"/>
      <c r="AU940" s="235"/>
      <c r="AV940" s="235"/>
      <c r="AW940" s="235"/>
      <c r="AX940" s="235"/>
      <c r="AY940" s="235"/>
      <c r="AZ940" s="235"/>
      <c r="BA940" s="235"/>
      <c r="BB940" s="235"/>
      <c r="BC940" s="235"/>
      <c r="BD940" s="235"/>
      <c r="BE940" s="235"/>
      <c r="BF940" s="235"/>
      <c r="BG940" s="235"/>
      <c r="BH940" s="235"/>
      <c r="BI940" s="235"/>
      <c r="BJ940" s="235"/>
      <c r="BK940" s="235"/>
      <c r="BL940" s="235"/>
      <c r="BM940" s="235"/>
      <c r="BN940" s="235"/>
      <c r="BO940" s="235"/>
    </row>
    <row r="941" ht="29.25" hidden="1" customHeight="1">
      <c r="A941" s="230"/>
      <c r="B941" s="231"/>
      <c r="C941" s="179"/>
      <c r="D941" s="179"/>
      <c r="E941" s="180"/>
      <c r="F941" s="162"/>
      <c r="G941" s="232"/>
      <c r="H941" s="234"/>
      <c r="I941" s="181"/>
      <c r="J941" s="182"/>
      <c r="K941" s="182"/>
      <c r="L941" s="182"/>
      <c r="M941" s="234"/>
      <c r="N941" s="28"/>
      <c r="O941" s="181"/>
      <c r="P941" s="183"/>
      <c r="Q941" s="104"/>
      <c r="R941" s="233"/>
      <c r="S941" s="164"/>
      <c r="T941" s="164"/>
      <c r="U941" s="162"/>
      <c r="V941" s="235"/>
      <c r="W941" s="235"/>
      <c r="X941" s="235"/>
      <c r="Y941" s="235"/>
      <c r="Z941" s="235"/>
      <c r="AA941" s="235"/>
      <c r="AB941" s="235"/>
      <c r="AC941" s="235"/>
      <c r="AD941" s="235"/>
      <c r="AE941" s="235"/>
      <c r="AF941" s="235"/>
      <c r="AG941" s="235"/>
      <c r="AH941" s="235"/>
      <c r="AI941" s="235"/>
      <c r="AJ941" s="235"/>
      <c r="AK941" s="235"/>
      <c r="AL941" s="235"/>
      <c r="AM941" s="235"/>
      <c r="AN941" s="235"/>
      <c r="AO941" s="235"/>
      <c r="AP941" s="235"/>
      <c r="AQ941" s="235"/>
      <c r="AR941" s="235"/>
      <c r="AS941" s="235"/>
      <c r="AT941" s="235"/>
      <c r="AU941" s="235"/>
      <c r="AV941" s="235"/>
      <c r="AW941" s="235"/>
      <c r="AX941" s="235"/>
      <c r="AY941" s="235"/>
      <c r="AZ941" s="235"/>
      <c r="BA941" s="235"/>
      <c r="BB941" s="235"/>
      <c r="BC941" s="235"/>
      <c r="BD941" s="235"/>
      <c r="BE941" s="235"/>
      <c r="BF941" s="235"/>
      <c r="BG941" s="235"/>
      <c r="BH941" s="235"/>
      <c r="BI941" s="235"/>
      <c r="BJ941" s="235"/>
      <c r="BK941" s="235"/>
      <c r="BL941" s="235"/>
      <c r="BM941" s="235"/>
      <c r="BN941" s="235"/>
      <c r="BO941" s="235"/>
    </row>
    <row r="942" ht="29.25" hidden="1" customHeight="1">
      <c r="A942" s="230"/>
      <c r="B942" s="231"/>
      <c r="C942" s="179"/>
      <c r="D942" s="179"/>
      <c r="E942" s="180"/>
      <c r="F942" s="162"/>
      <c r="G942" s="232"/>
      <c r="H942" s="234"/>
      <c r="I942" s="181"/>
      <c r="J942" s="182"/>
      <c r="K942" s="182"/>
      <c r="L942" s="182"/>
      <c r="M942" s="234"/>
      <c r="N942" s="28"/>
      <c r="O942" s="181"/>
      <c r="P942" s="183"/>
      <c r="Q942" s="104"/>
      <c r="R942" s="233"/>
      <c r="S942" s="164"/>
      <c r="T942" s="164"/>
      <c r="U942" s="162"/>
      <c r="V942" s="235"/>
      <c r="W942" s="235"/>
      <c r="X942" s="235"/>
      <c r="Y942" s="235"/>
      <c r="Z942" s="235"/>
      <c r="AA942" s="235"/>
      <c r="AB942" s="235"/>
      <c r="AC942" s="235"/>
      <c r="AD942" s="235"/>
      <c r="AE942" s="235"/>
      <c r="AF942" s="235"/>
      <c r="AG942" s="235"/>
      <c r="AH942" s="235"/>
      <c r="AI942" s="235"/>
      <c r="AJ942" s="235"/>
      <c r="AK942" s="235"/>
      <c r="AL942" s="235"/>
      <c r="AM942" s="235"/>
      <c r="AN942" s="235"/>
      <c r="AO942" s="235"/>
      <c r="AP942" s="235"/>
      <c r="AQ942" s="235"/>
      <c r="AR942" s="235"/>
      <c r="AS942" s="235"/>
      <c r="AT942" s="235"/>
      <c r="AU942" s="235"/>
      <c r="AV942" s="235"/>
      <c r="AW942" s="235"/>
      <c r="AX942" s="235"/>
      <c r="AY942" s="235"/>
      <c r="AZ942" s="235"/>
      <c r="BA942" s="235"/>
      <c r="BB942" s="235"/>
      <c r="BC942" s="235"/>
      <c r="BD942" s="235"/>
      <c r="BE942" s="235"/>
      <c r="BF942" s="235"/>
      <c r="BG942" s="235"/>
      <c r="BH942" s="235"/>
      <c r="BI942" s="235"/>
      <c r="BJ942" s="235"/>
      <c r="BK942" s="235"/>
      <c r="BL942" s="235"/>
      <c r="BM942" s="235"/>
      <c r="BN942" s="235"/>
      <c r="BO942" s="235"/>
    </row>
    <row r="943" ht="29.25" hidden="1" customHeight="1">
      <c r="A943" s="230"/>
      <c r="B943" s="231"/>
      <c r="C943" s="179"/>
      <c r="D943" s="179"/>
      <c r="E943" s="180"/>
      <c r="F943" s="162"/>
      <c r="G943" s="232"/>
      <c r="H943" s="234"/>
      <c r="I943" s="181"/>
      <c r="J943" s="182"/>
      <c r="K943" s="182"/>
      <c r="L943" s="182"/>
      <c r="M943" s="234"/>
      <c r="N943" s="28"/>
      <c r="O943" s="181"/>
      <c r="P943" s="183"/>
      <c r="Q943" s="104"/>
      <c r="R943" s="233"/>
      <c r="S943" s="164"/>
      <c r="T943" s="164"/>
      <c r="U943" s="162"/>
      <c r="V943" s="235"/>
      <c r="W943" s="235"/>
      <c r="X943" s="235"/>
      <c r="Y943" s="235"/>
      <c r="Z943" s="235"/>
      <c r="AA943" s="235"/>
      <c r="AB943" s="235"/>
      <c r="AC943" s="235"/>
      <c r="AD943" s="235"/>
      <c r="AE943" s="235"/>
      <c r="AF943" s="235"/>
      <c r="AG943" s="235"/>
      <c r="AH943" s="235"/>
      <c r="AI943" s="235"/>
      <c r="AJ943" s="235"/>
      <c r="AK943" s="235"/>
      <c r="AL943" s="235"/>
      <c r="AM943" s="235"/>
      <c r="AN943" s="235"/>
      <c r="AO943" s="235"/>
      <c r="AP943" s="235"/>
      <c r="AQ943" s="235"/>
      <c r="AR943" s="235"/>
      <c r="AS943" s="235"/>
      <c r="AT943" s="235"/>
      <c r="AU943" s="235"/>
      <c r="AV943" s="235"/>
      <c r="AW943" s="235"/>
      <c r="AX943" s="235"/>
      <c r="AY943" s="235"/>
      <c r="AZ943" s="235"/>
      <c r="BA943" s="235"/>
      <c r="BB943" s="235"/>
      <c r="BC943" s="235"/>
      <c r="BD943" s="235"/>
      <c r="BE943" s="235"/>
      <c r="BF943" s="235"/>
      <c r="BG943" s="235"/>
      <c r="BH943" s="235"/>
      <c r="BI943" s="235"/>
      <c r="BJ943" s="235"/>
      <c r="BK943" s="235"/>
      <c r="BL943" s="235"/>
      <c r="BM943" s="235"/>
      <c r="BN943" s="235"/>
      <c r="BO943" s="235"/>
    </row>
    <row r="944" ht="29.25" hidden="1" customHeight="1">
      <c r="A944" s="230"/>
      <c r="B944" s="231"/>
      <c r="C944" s="179"/>
      <c r="D944" s="179"/>
      <c r="E944" s="180"/>
      <c r="F944" s="162"/>
      <c r="G944" s="232"/>
      <c r="H944" s="234"/>
      <c r="I944" s="181"/>
      <c r="J944" s="182"/>
      <c r="K944" s="182"/>
      <c r="L944" s="182"/>
      <c r="M944" s="234"/>
      <c r="N944" s="28"/>
      <c r="O944" s="181"/>
      <c r="P944" s="183"/>
      <c r="Q944" s="104"/>
      <c r="R944" s="233"/>
      <c r="S944" s="164"/>
      <c r="T944" s="164"/>
      <c r="U944" s="162"/>
      <c r="V944" s="235"/>
      <c r="W944" s="235"/>
      <c r="X944" s="235"/>
      <c r="Y944" s="235"/>
      <c r="Z944" s="235"/>
      <c r="AA944" s="235"/>
      <c r="AB944" s="235"/>
      <c r="AC944" s="235"/>
      <c r="AD944" s="235"/>
      <c r="AE944" s="235"/>
      <c r="AF944" s="235"/>
      <c r="AG944" s="235"/>
      <c r="AH944" s="235"/>
      <c r="AI944" s="235"/>
      <c r="AJ944" s="235"/>
      <c r="AK944" s="235"/>
      <c r="AL944" s="235"/>
      <c r="AM944" s="235"/>
      <c r="AN944" s="235"/>
      <c r="AO944" s="235"/>
      <c r="AP944" s="235"/>
      <c r="AQ944" s="235"/>
      <c r="AR944" s="235"/>
      <c r="AS944" s="235"/>
      <c r="AT944" s="235"/>
      <c r="AU944" s="235"/>
      <c r="AV944" s="235"/>
      <c r="AW944" s="235"/>
      <c r="AX944" s="235"/>
      <c r="AY944" s="235"/>
      <c r="AZ944" s="235"/>
      <c r="BA944" s="235"/>
      <c r="BB944" s="235"/>
      <c r="BC944" s="235"/>
      <c r="BD944" s="235"/>
      <c r="BE944" s="235"/>
      <c r="BF944" s="235"/>
      <c r="BG944" s="235"/>
      <c r="BH944" s="235"/>
      <c r="BI944" s="235"/>
      <c r="BJ944" s="235"/>
      <c r="BK944" s="235"/>
      <c r="BL944" s="235"/>
      <c r="BM944" s="235"/>
      <c r="BN944" s="235"/>
      <c r="BO944" s="235"/>
    </row>
    <row r="945" ht="29.25" hidden="1" customHeight="1">
      <c r="A945" s="230"/>
      <c r="B945" s="231"/>
      <c r="C945" s="179"/>
      <c r="D945" s="179"/>
      <c r="E945" s="180"/>
      <c r="F945" s="162"/>
      <c r="G945" s="232"/>
      <c r="H945" s="234"/>
      <c r="I945" s="181"/>
      <c r="J945" s="182"/>
      <c r="K945" s="182"/>
      <c r="L945" s="182"/>
      <c r="M945" s="234"/>
      <c r="N945" s="28"/>
      <c r="O945" s="181"/>
      <c r="P945" s="183"/>
      <c r="Q945" s="104"/>
      <c r="R945" s="233"/>
      <c r="S945" s="164"/>
      <c r="T945" s="164"/>
      <c r="U945" s="162"/>
      <c r="V945" s="235"/>
      <c r="W945" s="235"/>
      <c r="X945" s="235"/>
      <c r="Y945" s="235"/>
      <c r="Z945" s="235"/>
      <c r="AA945" s="235"/>
      <c r="AB945" s="235"/>
      <c r="AC945" s="235"/>
      <c r="AD945" s="235"/>
      <c r="AE945" s="235"/>
      <c r="AF945" s="235"/>
      <c r="AG945" s="235"/>
      <c r="AH945" s="235"/>
      <c r="AI945" s="235"/>
      <c r="AJ945" s="235"/>
      <c r="AK945" s="235"/>
      <c r="AL945" s="235"/>
      <c r="AM945" s="235"/>
      <c r="AN945" s="235"/>
      <c r="AO945" s="235"/>
      <c r="AP945" s="235"/>
      <c r="AQ945" s="235"/>
      <c r="AR945" s="235"/>
      <c r="AS945" s="235"/>
      <c r="AT945" s="235"/>
      <c r="AU945" s="235"/>
      <c r="AV945" s="235"/>
      <c r="AW945" s="235"/>
      <c r="AX945" s="235"/>
      <c r="AY945" s="235"/>
      <c r="AZ945" s="235"/>
      <c r="BA945" s="235"/>
      <c r="BB945" s="235"/>
      <c r="BC945" s="235"/>
      <c r="BD945" s="235"/>
      <c r="BE945" s="235"/>
      <c r="BF945" s="235"/>
      <c r="BG945" s="235"/>
      <c r="BH945" s="235"/>
      <c r="BI945" s="235"/>
      <c r="BJ945" s="235"/>
      <c r="BK945" s="235"/>
      <c r="BL945" s="235"/>
      <c r="BM945" s="235"/>
      <c r="BN945" s="235"/>
      <c r="BO945" s="235"/>
    </row>
    <row r="946" ht="29.25" hidden="1" customHeight="1">
      <c r="A946" s="230"/>
      <c r="B946" s="231"/>
      <c r="C946" s="179"/>
      <c r="D946" s="179"/>
      <c r="E946" s="180"/>
      <c r="F946" s="162"/>
      <c r="G946" s="232"/>
      <c r="H946" s="234"/>
      <c r="I946" s="181"/>
      <c r="J946" s="182"/>
      <c r="K946" s="182"/>
      <c r="L946" s="182"/>
      <c r="M946" s="234"/>
      <c r="N946" s="28"/>
      <c r="O946" s="181"/>
      <c r="P946" s="183"/>
      <c r="Q946" s="104"/>
      <c r="R946" s="233"/>
      <c r="S946" s="164"/>
      <c r="T946" s="164"/>
      <c r="U946" s="162"/>
      <c r="V946" s="235"/>
      <c r="W946" s="235"/>
      <c r="X946" s="235"/>
      <c r="Y946" s="235"/>
      <c r="Z946" s="235"/>
      <c r="AA946" s="235"/>
      <c r="AB946" s="235"/>
      <c r="AC946" s="235"/>
      <c r="AD946" s="235"/>
      <c r="AE946" s="235"/>
      <c r="AF946" s="235"/>
      <c r="AG946" s="235"/>
      <c r="AH946" s="235"/>
      <c r="AI946" s="235"/>
      <c r="AJ946" s="235"/>
      <c r="AK946" s="235"/>
      <c r="AL946" s="235"/>
      <c r="AM946" s="235"/>
      <c r="AN946" s="235"/>
      <c r="AO946" s="235"/>
      <c r="AP946" s="235"/>
      <c r="AQ946" s="235"/>
      <c r="AR946" s="235"/>
      <c r="AS946" s="235"/>
      <c r="AT946" s="235"/>
      <c r="AU946" s="235"/>
      <c r="AV946" s="235"/>
      <c r="AW946" s="235"/>
      <c r="AX946" s="235"/>
      <c r="AY946" s="235"/>
      <c r="AZ946" s="235"/>
      <c r="BA946" s="235"/>
      <c r="BB946" s="235"/>
      <c r="BC946" s="235"/>
      <c r="BD946" s="235"/>
      <c r="BE946" s="235"/>
      <c r="BF946" s="235"/>
      <c r="BG946" s="235"/>
      <c r="BH946" s="235"/>
      <c r="BI946" s="235"/>
      <c r="BJ946" s="235"/>
      <c r="BK946" s="235"/>
      <c r="BL946" s="235"/>
      <c r="BM946" s="235"/>
      <c r="BN946" s="235"/>
      <c r="BO946" s="235"/>
    </row>
    <row r="947" ht="29.25" hidden="1" customHeight="1">
      <c r="A947" s="230"/>
      <c r="B947" s="231"/>
      <c r="C947" s="179"/>
      <c r="D947" s="179"/>
      <c r="E947" s="180"/>
      <c r="F947" s="162"/>
      <c r="G947" s="232"/>
      <c r="H947" s="234"/>
      <c r="I947" s="181"/>
      <c r="J947" s="182"/>
      <c r="K947" s="182"/>
      <c r="L947" s="182"/>
      <c r="M947" s="234"/>
      <c r="N947" s="28"/>
      <c r="O947" s="181"/>
      <c r="P947" s="183"/>
      <c r="Q947" s="104"/>
      <c r="R947" s="233"/>
      <c r="S947" s="164"/>
      <c r="T947" s="164"/>
      <c r="U947" s="162"/>
      <c r="V947" s="235"/>
      <c r="W947" s="235"/>
      <c r="X947" s="235"/>
      <c r="Y947" s="235"/>
      <c r="Z947" s="235"/>
      <c r="AA947" s="235"/>
      <c r="AB947" s="235"/>
      <c r="AC947" s="235"/>
      <c r="AD947" s="235"/>
      <c r="AE947" s="235"/>
      <c r="AF947" s="235"/>
      <c r="AG947" s="235"/>
      <c r="AH947" s="235"/>
      <c r="AI947" s="235"/>
      <c r="AJ947" s="235"/>
      <c r="AK947" s="235"/>
      <c r="AL947" s="235"/>
      <c r="AM947" s="235"/>
      <c r="AN947" s="235"/>
      <c r="AO947" s="235"/>
      <c r="AP947" s="235"/>
      <c r="AQ947" s="235"/>
      <c r="AR947" s="235"/>
      <c r="AS947" s="235"/>
      <c r="AT947" s="235"/>
      <c r="AU947" s="235"/>
      <c r="AV947" s="235"/>
      <c r="AW947" s="235"/>
      <c r="AX947" s="235"/>
      <c r="AY947" s="235"/>
      <c r="AZ947" s="235"/>
      <c r="BA947" s="235"/>
      <c r="BB947" s="235"/>
      <c r="BC947" s="235"/>
      <c r="BD947" s="235"/>
      <c r="BE947" s="235"/>
      <c r="BF947" s="235"/>
      <c r="BG947" s="235"/>
      <c r="BH947" s="235"/>
      <c r="BI947" s="235"/>
      <c r="BJ947" s="235"/>
      <c r="BK947" s="235"/>
      <c r="BL947" s="235"/>
      <c r="BM947" s="235"/>
      <c r="BN947" s="235"/>
      <c r="BO947" s="235"/>
    </row>
    <row r="948" ht="29.25" hidden="1" customHeight="1">
      <c r="A948" s="230"/>
      <c r="B948" s="231"/>
      <c r="C948" s="179"/>
      <c r="D948" s="179"/>
      <c r="E948" s="180"/>
      <c r="F948" s="162"/>
      <c r="G948" s="232"/>
      <c r="H948" s="234"/>
      <c r="I948" s="181"/>
      <c r="J948" s="182"/>
      <c r="K948" s="182"/>
      <c r="L948" s="182"/>
      <c r="M948" s="234"/>
      <c r="N948" s="28"/>
      <c r="O948" s="181"/>
      <c r="P948" s="183"/>
      <c r="Q948" s="104"/>
      <c r="R948" s="233"/>
      <c r="S948" s="164"/>
      <c r="T948" s="164"/>
      <c r="U948" s="162"/>
      <c r="V948" s="235"/>
      <c r="W948" s="235"/>
      <c r="X948" s="235"/>
      <c r="Y948" s="235"/>
      <c r="Z948" s="235"/>
      <c r="AA948" s="235"/>
      <c r="AB948" s="235"/>
      <c r="AC948" s="235"/>
      <c r="AD948" s="235"/>
      <c r="AE948" s="235"/>
      <c r="AF948" s="235"/>
      <c r="AG948" s="235"/>
      <c r="AH948" s="235"/>
      <c r="AI948" s="235"/>
      <c r="AJ948" s="235"/>
      <c r="AK948" s="235"/>
      <c r="AL948" s="235"/>
      <c r="AM948" s="235"/>
      <c r="AN948" s="235"/>
      <c r="AO948" s="235"/>
      <c r="AP948" s="235"/>
      <c r="AQ948" s="235"/>
      <c r="AR948" s="235"/>
      <c r="AS948" s="235"/>
      <c r="AT948" s="235"/>
      <c r="AU948" s="235"/>
      <c r="AV948" s="235"/>
      <c r="AW948" s="235"/>
      <c r="AX948" s="235"/>
      <c r="AY948" s="235"/>
      <c r="AZ948" s="235"/>
      <c r="BA948" s="235"/>
      <c r="BB948" s="235"/>
      <c r="BC948" s="235"/>
      <c r="BD948" s="235"/>
      <c r="BE948" s="235"/>
      <c r="BF948" s="235"/>
      <c r="BG948" s="235"/>
      <c r="BH948" s="235"/>
      <c r="BI948" s="235"/>
      <c r="BJ948" s="235"/>
      <c r="BK948" s="235"/>
      <c r="BL948" s="235"/>
      <c r="BM948" s="235"/>
      <c r="BN948" s="235"/>
      <c r="BO948" s="235"/>
    </row>
    <row r="949" ht="29.25" hidden="1" customHeight="1">
      <c r="A949" s="230"/>
      <c r="B949" s="231"/>
      <c r="C949" s="179"/>
      <c r="D949" s="179"/>
      <c r="E949" s="180"/>
      <c r="F949" s="162"/>
      <c r="G949" s="232"/>
      <c r="H949" s="234"/>
      <c r="I949" s="181"/>
      <c r="J949" s="182"/>
      <c r="K949" s="182"/>
      <c r="L949" s="182"/>
      <c r="M949" s="234"/>
      <c r="N949" s="28"/>
      <c r="O949" s="181"/>
      <c r="P949" s="183"/>
      <c r="Q949" s="104"/>
      <c r="R949" s="233"/>
      <c r="S949" s="164"/>
      <c r="T949" s="164"/>
      <c r="U949" s="162"/>
      <c r="V949" s="235"/>
      <c r="W949" s="235"/>
      <c r="X949" s="235"/>
      <c r="Y949" s="235"/>
      <c r="Z949" s="235"/>
      <c r="AA949" s="235"/>
      <c r="AB949" s="235"/>
      <c r="AC949" s="235"/>
      <c r="AD949" s="235"/>
      <c r="AE949" s="235"/>
      <c r="AF949" s="235"/>
      <c r="AG949" s="235"/>
      <c r="AH949" s="235"/>
      <c r="AI949" s="235"/>
      <c r="AJ949" s="235"/>
      <c r="AK949" s="235"/>
      <c r="AL949" s="235"/>
      <c r="AM949" s="235"/>
      <c r="AN949" s="235"/>
      <c r="AO949" s="235"/>
      <c r="AP949" s="235"/>
      <c r="AQ949" s="235"/>
      <c r="AR949" s="235"/>
      <c r="AS949" s="235"/>
      <c r="AT949" s="235"/>
      <c r="AU949" s="235"/>
      <c r="AV949" s="235"/>
      <c r="AW949" s="235"/>
      <c r="AX949" s="235"/>
      <c r="AY949" s="235"/>
      <c r="AZ949" s="235"/>
      <c r="BA949" s="235"/>
      <c r="BB949" s="235"/>
      <c r="BC949" s="235"/>
      <c r="BD949" s="235"/>
      <c r="BE949" s="235"/>
      <c r="BF949" s="235"/>
      <c r="BG949" s="235"/>
      <c r="BH949" s="235"/>
      <c r="BI949" s="235"/>
      <c r="BJ949" s="235"/>
      <c r="BK949" s="235"/>
      <c r="BL949" s="235"/>
      <c r="BM949" s="235"/>
      <c r="BN949" s="235"/>
      <c r="BO949" s="235"/>
    </row>
    <row r="950" ht="29.25" hidden="1" customHeight="1">
      <c r="A950" s="230"/>
      <c r="B950" s="231"/>
      <c r="C950" s="179"/>
      <c r="D950" s="179"/>
      <c r="E950" s="180"/>
      <c r="F950" s="162"/>
      <c r="G950" s="232"/>
      <c r="H950" s="234"/>
      <c r="I950" s="181"/>
      <c r="J950" s="182"/>
      <c r="K950" s="182"/>
      <c r="L950" s="182"/>
      <c r="M950" s="234"/>
      <c r="N950" s="28"/>
      <c r="O950" s="181"/>
      <c r="P950" s="183"/>
      <c r="Q950" s="104"/>
      <c r="R950" s="233"/>
      <c r="S950" s="164"/>
      <c r="T950" s="164"/>
      <c r="U950" s="162"/>
      <c r="V950" s="235"/>
      <c r="W950" s="235"/>
      <c r="X950" s="235"/>
      <c r="Y950" s="235"/>
      <c r="Z950" s="235"/>
      <c r="AA950" s="235"/>
      <c r="AB950" s="235"/>
      <c r="AC950" s="235"/>
      <c r="AD950" s="235"/>
      <c r="AE950" s="235"/>
      <c r="AF950" s="235"/>
      <c r="AG950" s="235"/>
      <c r="AH950" s="235"/>
      <c r="AI950" s="235"/>
      <c r="AJ950" s="235"/>
      <c r="AK950" s="235"/>
      <c r="AL950" s="235"/>
      <c r="AM950" s="235"/>
      <c r="AN950" s="235"/>
      <c r="AO950" s="235"/>
      <c r="AP950" s="235"/>
      <c r="AQ950" s="235"/>
      <c r="AR950" s="235"/>
      <c r="AS950" s="235"/>
      <c r="AT950" s="235"/>
      <c r="AU950" s="235"/>
      <c r="AV950" s="235"/>
      <c r="AW950" s="235"/>
      <c r="AX950" s="235"/>
      <c r="AY950" s="235"/>
      <c r="AZ950" s="235"/>
      <c r="BA950" s="235"/>
      <c r="BB950" s="235"/>
      <c r="BC950" s="235"/>
      <c r="BD950" s="235"/>
      <c r="BE950" s="235"/>
      <c r="BF950" s="235"/>
      <c r="BG950" s="235"/>
      <c r="BH950" s="235"/>
      <c r="BI950" s="235"/>
      <c r="BJ950" s="235"/>
      <c r="BK950" s="235"/>
      <c r="BL950" s="235"/>
      <c r="BM950" s="235"/>
      <c r="BN950" s="235"/>
      <c r="BO950" s="235"/>
    </row>
    <row r="951" ht="29.25" hidden="1" customHeight="1">
      <c r="A951" s="230"/>
      <c r="B951" s="231"/>
      <c r="C951" s="179"/>
      <c r="D951" s="179"/>
      <c r="E951" s="180"/>
      <c r="F951" s="162"/>
      <c r="G951" s="232"/>
      <c r="H951" s="234"/>
      <c r="I951" s="181"/>
      <c r="J951" s="182"/>
      <c r="K951" s="182"/>
      <c r="L951" s="182"/>
      <c r="M951" s="234"/>
      <c r="N951" s="28"/>
      <c r="O951" s="181"/>
      <c r="P951" s="183"/>
      <c r="Q951" s="104"/>
      <c r="R951" s="233"/>
      <c r="S951" s="164"/>
      <c r="T951" s="164"/>
      <c r="U951" s="162"/>
      <c r="V951" s="235"/>
      <c r="W951" s="235"/>
      <c r="X951" s="235"/>
      <c r="Y951" s="235"/>
      <c r="Z951" s="235"/>
      <c r="AA951" s="235"/>
      <c r="AB951" s="235"/>
      <c r="AC951" s="235"/>
      <c r="AD951" s="235"/>
      <c r="AE951" s="235"/>
      <c r="AF951" s="235"/>
      <c r="AG951" s="235"/>
      <c r="AH951" s="235"/>
      <c r="AI951" s="235"/>
      <c r="AJ951" s="235"/>
      <c r="AK951" s="235"/>
      <c r="AL951" s="235"/>
      <c r="AM951" s="235"/>
      <c r="AN951" s="235"/>
      <c r="AO951" s="235"/>
      <c r="AP951" s="235"/>
      <c r="AQ951" s="235"/>
      <c r="AR951" s="235"/>
      <c r="AS951" s="235"/>
      <c r="AT951" s="235"/>
      <c r="AU951" s="235"/>
      <c r="AV951" s="235"/>
      <c r="AW951" s="235"/>
      <c r="AX951" s="235"/>
      <c r="AY951" s="235"/>
      <c r="AZ951" s="235"/>
      <c r="BA951" s="235"/>
      <c r="BB951" s="235"/>
      <c r="BC951" s="235"/>
      <c r="BD951" s="235"/>
      <c r="BE951" s="235"/>
      <c r="BF951" s="235"/>
      <c r="BG951" s="235"/>
      <c r="BH951" s="235"/>
      <c r="BI951" s="235"/>
      <c r="BJ951" s="235"/>
      <c r="BK951" s="235"/>
      <c r="BL951" s="235"/>
      <c r="BM951" s="235"/>
      <c r="BN951" s="235"/>
      <c r="BO951" s="235"/>
    </row>
    <row r="952" ht="29.25" hidden="1" customHeight="1">
      <c r="A952" s="230"/>
      <c r="B952" s="231"/>
      <c r="C952" s="179"/>
      <c r="D952" s="179"/>
      <c r="E952" s="180"/>
      <c r="F952" s="162"/>
      <c r="G952" s="232"/>
      <c r="H952" s="234"/>
      <c r="I952" s="181"/>
      <c r="J952" s="182"/>
      <c r="K952" s="182"/>
      <c r="L952" s="182"/>
      <c r="M952" s="234"/>
      <c r="N952" s="28"/>
      <c r="O952" s="181"/>
      <c r="P952" s="183"/>
      <c r="Q952" s="104"/>
      <c r="R952" s="233"/>
      <c r="S952" s="164"/>
      <c r="T952" s="164"/>
      <c r="U952" s="162"/>
      <c r="V952" s="235"/>
      <c r="W952" s="235"/>
      <c r="X952" s="235"/>
      <c r="Y952" s="235"/>
      <c r="Z952" s="235"/>
      <c r="AA952" s="235"/>
      <c r="AB952" s="235"/>
      <c r="AC952" s="235"/>
      <c r="AD952" s="235"/>
      <c r="AE952" s="235"/>
      <c r="AF952" s="235"/>
      <c r="AG952" s="235"/>
      <c r="AH952" s="235"/>
      <c r="AI952" s="235"/>
      <c r="AJ952" s="235"/>
      <c r="AK952" s="235"/>
      <c r="AL952" s="235"/>
      <c r="AM952" s="235"/>
      <c r="AN952" s="235"/>
      <c r="AO952" s="235"/>
      <c r="AP952" s="235"/>
      <c r="AQ952" s="235"/>
      <c r="AR952" s="235"/>
      <c r="AS952" s="235"/>
      <c r="AT952" s="235"/>
      <c r="AU952" s="235"/>
      <c r="AV952" s="235"/>
      <c r="AW952" s="235"/>
      <c r="AX952" s="235"/>
      <c r="AY952" s="235"/>
      <c r="AZ952" s="235"/>
      <c r="BA952" s="235"/>
      <c r="BB952" s="235"/>
      <c r="BC952" s="235"/>
      <c r="BD952" s="235"/>
      <c r="BE952" s="235"/>
      <c r="BF952" s="235"/>
      <c r="BG952" s="235"/>
      <c r="BH952" s="235"/>
      <c r="BI952" s="235"/>
      <c r="BJ952" s="235"/>
      <c r="BK952" s="235"/>
      <c r="BL952" s="235"/>
      <c r="BM952" s="235"/>
      <c r="BN952" s="235"/>
      <c r="BO952" s="235"/>
    </row>
    <row r="953" ht="29.25" hidden="1" customHeight="1">
      <c r="A953" s="230"/>
      <c r="B953" s="231"/>
      <c r="C953" s="179"/>
      <c r="D953" s="179"/>
      <c r="E953" s="180"/>
      <c r="F953" s="162"/>
      <c r="G953" s="232"/>
      <c r="H953" s="234"/>
      <c r="I953" s="181"/>
      <c r="J953" s="182"/>
      <c r="K953" s="182"/>
      <c r="L953" s="182"/>
      <c r="M953" s="234"/>
      <c r="N953" s="28"/>
      <c r="O953" s="181"/>
      <c r="P953" s="183"/>
      <c r="Q953" s="104"/>
      <c r="R953" s="233"/>
      <c r="S953" s="164"/>
      <c r="T953" s="164"/>
      <c r="U953" s="162"/>
      <c r="V953" s="235"/>
      <c r="W953" s="235"/>
      <c r="X953" s="235"/>
      <c r="Y953" s="235"/>
      <c r="Z953" s="235"/>
      <c r="AA953" s="235"/>
      <c r="AB953" s="235"/>
      <c r="AC953" s="235"/>
      <c r="AD953" s="235"/>
      <c r="AE953" s="235"/>
      <c r="AF953" s="235"/>
      <c r="AG953" s="235"/>
      <c r="AH953" s="235"/>
      <c r="AI953" s="235"/>
      <c r="AJ953" s="235"/>
      <c r="AK953" s="235"/>
      <c r="AL953" s="235"/>
      <c r="AM953" s="235"/>
      <c r="AN953" s="235"/>
      <c r="AO953" s="235"/>
      <c r="AP953" s="235"/>
      <c r="AQ953" s="235"/>
      <c r="AR953" s="235"/>
      <c r="AS953" s="235"/>
      <c r="AT953" s="235"/>
      <c r="AU953" s="235"/>
      <c r="AV953" s="235"/>
      <c r="AW953" s="235"/>
      <c r="AX953" s="235"/>
      <c r="AY953" s="235"/>
      <c r="AZ953" s="235"/>
      <c r="BA953" s="235"/>
      <c r="BB953" s="235"/>
      <c r="BC953" s="235"/>
      <c r="BD953" s="235"/>
      <c r="BE953" s="235"/>
      <c r="BF953" s="235"/>
      <c r="BG953" s="235"/>
      <c r="BH953" s="235"/>
      <c r="BI953" s="235"/>
      <c r="BJ953" s="235"/>
      <c r="BK953" s="235"/>
      <c r="BL953" s="235"/>
      <c r="BM953" s="235"/>
      <c r="BN953" s="235"/>
      <c r="BO953" s="235"/>
    </row>
    <row r="954" ht="29.25" hidden="1" customHeight="1">
      <c r="A954" s="230"/>
      <c r="B954" s="231"/>
      <c r="C954" s="179"/>
      <c r="D954" s="179"/>
      <c r="E954" s="180"/>
      <c r="F954" s="162"/>
      <c r="G954" s="232"/>
      <c r="H954" s="234"/>
      <c r="I954" s="181"/>
      <c r="J954" s="182"/>
      <c r="K954" s="182"/>
      <c r="L954" s="182"/>
      <c r="M954" s="234"/>
      <c r="N954" s="28"/>
      <c r="O954" s="181"/>
      <c r="P954" s="183"/>
      <c r="Q954" s="104"/>
      <c r="R954" s="233"/>
      <c r="S954" s="164"/>
      <c r="T954" s="164"/>
      <c r="U954" s="162"/>
      <c r="V954" s="235"/>
      <c r="W954" s="235"/>
      <c r="X954" s="235"/>
      <c r="Y954" s="235"/>
      <c r="Z954" s="235"/>
      <c r="AA954" s="235"/>
      <c r="AB954" s="235"/>
      <c r="AC954" s="235"/>
      <c r="AD954" s="235"/>
      <c r="AE954" s="235"/>
      <c r="AF954" s="235"/>
      <c r="AG954" s="235"/>
      <c r="AH954" s="235"/>
      <c r="AI954" s="235"/>
      <c r="AJ954" s="235"/>
      <c r="AK954" s="235"/>
      <c r="AL954" s="235"/>
      <c r="AM954" s="235"/>
      <c r="AN954" s="235"/>
      <c r="AO954" s="235"/>
      <c r="AP954" s="235"/>
      <c r="AQ954" s="235"/>
      <c r="AR954" s="235"/>
      <c r="AS954" s="235"/>
      <c r="AT954" s="235"/>
      <c r="AU954" s="235"/>
      <c r="AV954" s="235"/>
      <c r="AW954" s="235"/>
      <c r="AX954" s="235"/>
      <c r="AY954" s="235"/>
      <c r="AZ954" s="235"/>
      <c r="BA954" s="235"/>
      <c r="BB954" s="235"/>
      <c r="BC954" s="235"/>
      <c r="BD954" s="235"/>
      <c r="BE954" s="235"/>
      <c r="BF954" s="235"/>
      <c r="BG954" s="235"/>
      <c r="BH954" s="235"/>
      <c r="BI954" s="235"/>
      <c r="BJ954" s="235"/>
      <c r="BK954" s="235"/>
      <c r="BL954" s="235"/>
      <c r="BM954" s="235"/>
      <c r="BN954" s="235"/>
      <c r="BO954" s="235"/>
    </row>
    <row r="955" ht="29.25" hidden="1" customHeight="1">
      <c r="A955" s="230"/>
      <c r="B955" s="231"/>
      <c r="C955" s="179"/>
      <c r="D955" s="179"/>
      <c r="E955" s="180"/>
      <c r="F955" s="162"/>
      <c r="G955" s="232"/>
      <c r="H955" s="234"/>
      <c r="I955" s="181"/>
      <c r="J955" s="182"/>
      <c r="K955" s="182"/>
      <c r="L955" s="182"/>
      <c r="M955" s="234"/>
      <c r="N955" s="28"/>
      <c r="O955" s="181"/>
      <c r="P955" s="183"/>
      <c r="Q955" s="104"/>
      <c r="R955" s="233"/>
      <c r="S955" s="164"/>
      <c r="T955" s="164"/>
      <c r="U955" s="162"/>
      <c r="V955" s="235"/>
      <c r="W955" s="235"/>
      <c r="X955" s="235"/>
      <c r="Y955" s="235"/>
      <c r="Z955" s="235"/>
      <c r="AA955" s="235"/>
      <c r="AB955" s="235"/>
      <c r="AC955" s="235"/>
      <c r="AD955" s="235"/>
      <c r="AE955" s="235"/>
      <c r="AF955" s="235"/>
      <c r="AG955" s="235"/>
      <c r="AH955" s="235"/>
      <c r="AI955" s="235"/>
      <c r="AJ955" s="235"/>
      <c r="AK955" s="235"/>
      <c r="AL955" s="235"/>
      <c r="AM955" s="235"/>
      <c r="AN955" s="235"/>
      <c r="AO955" s="235"/>
      <c r="AP955" s="235"/>
      <c r="AQ955" s="235"/>
      <c r="AR955" s="235"/>
      <c r="AS955" s="235"/>
      <c r="AT955" s="235"/>
      <c r="AU955" s="235"/>
      <c r="AV955" s="235"/>
      <c r="AW955" s="235"/>
      <c r="AX955" s="235"/>
      <c r="AY955" s="235"/>
      <c r="AZ955" s="235"/>
      <c r="BA955" s="235"/>
      <c r="BB955" s="235"/>
      <c r="BC955" s="235"/>
      <c r="BD955" s="235"/>
      <c r="BE955" s="235"/>
      <c r="BF955" s="235"/>
      <c r="BG955" s="235"/>
      <c r="BH955" s="235"/>
      <c r="BI955" s="235"/>
      <c r="BJ955" s="235"/>
      <c r="BK955" s="235"/>
      <c r="BL955" s="235"/>
      <c r="BM955" s="235"/>
      <c r="BN955" s="235"/>
      <c r="BO955" s="235"/>
    </row>
    <row r="956" ht="29.25" hidden="1" customHeight="1">
      <c r="A956" s="230"/>
      <c r="B956" s="231"/>
      <c r="C956" s="179"/>
      <c r="D956" s="179"/>
      <c r="E956" s="180"/>
      <c r="F956" s="162"/>
      <c r="G956" s="232"/>
      <c r="H956" s="234"/>
      <c r="I956" s="181"/>
      <c r="J956" s="182"/>
      <c r="K956" s="182"/>
      <c r="L956" s="182"/>
      <c r="M956" s="234"/>
      <c r="N956" s="28"/>
      <c r="O956" s="181"/>
      <c r="P956" s="183"/>
      <c r="Q956" s="104"/>
      <c r="R956" s="233"/>
      <c r="S956" s="164"/>
      <c r="T956" s="164"/>
      <c r="U956" s="162"/>
      <c r="V956" s="235"/>
      <c r="W956" s="235"/>
      <c r="X956" s="235"/>
      <c r="Y956" s="235"/>
      <c r="Z956" s="235"/>
      <c r="AA956" s="235"/>
      <c r="AB956" s="235"/>
      <c r="AC956" s="235"/>
      <c r="AD956" s="235"/>
      <c r="AE956" s="235"/>
      <c r="AF956" s="235"/>
      <c r="AG956" s="235"/>
      <c r="AH956" s="235"/>
      <c r="AI956" s="235"/>
      <c r="AJ956" s="235"/>
      <c r="AK956" s="235"/>
      <c r="AL956" s="235"/>
      <c r="AM956" s="235"/>
      <c r="AN956" s="235"/>
      <c r="AO956" s="235"/>
      <c r="AP956" s="235"/>
      <c r="AQ956" s="235"/>
      <c r="AR956" s="235"/>
      <c r="AS956" s="235"/>
      <c r="AT956" s="235"/>
      <c r="AU956" s="235"/>
      <c r="AV956" s="235"/>
      <c r="AW956" s="235"/>
      <c r="AX956" s="235"/>
      <c r="AY956" s="235"/>
      <c r="AZ956" s="235"/>
      <c r="BA956" s="235"/>
      <c r="BB956" s="235"/>
      <c r="BC956" s="235"/>
      <c r="BD956" s="235"/>
      <c r="BE956" s="235"/>
      <c r="BF956" s="235"/>
      <c r="BG956" s="235"/>
      <c r="BH956" s="235"/>
      <c r="BI956" s="235"/>
      <c r="BJ956" s="235"/>
      <c r="BK956" s="235"/>
      <c r="BL956" s="235"/>
      <c r="BM956" s="235"/>
      <c r="BN956" s="235"/>
      <c r="BO956" s="235"/>
    </row>
    <row r="957" ht="29.25" hidden="1" customHeight="1">
      <c r="A957" s="230"/>
      <c r="B957" s="231"/>
      <c r="C957" s="179"/>
      <c r="D957" s="179"/>
      <c r="E957" s="180"/>
      <c r="F957" s="162"/>
      <c r="G957" s="232"/>
      <c r="H957" s="234"/>
      <c r="I957" s="181"/>
      <c r="J957" s="182"/>
      <c r="K957" s="182"/>
      <c r="L957" s="182"/>
      <c r="M957" s="234"/>
      <c r="N957" s="28"/>
      <c r="O957" s="181"/>
      <c r="P957" s="183"/>
      <c r="Q957" s="104"/>
      <c r="R957" s="233"/>
      <c r="S957" s="164"/>
      <c r="T957" s="164"/>
      <c r="U957" s="162"/>
      <c r="V957" s="235"/>
      <c r="W957" s="235"/>
      <c r="X957" s="235"/>
      <c r="Y957" s="235"/>
      <c r="Z957" s="235"/>
      <c r="AA957" s="235"/>
      <c r="AB957" s="235"/>
      <c r="AC957" s="235"/>
      <c r="AD957" s="235"/>
      <c r="AE957" s="235"/>
      <c r="AF957" s="235"/>
      <c r="AG957" s="235"/>
      <c r="AH957" s="235"/>
      <c r="AI957" s="235"/>
      <c r="AJ957" s="235"/>
      <c r="AK957" s="235"/>
      <c r="AL957" s="235"/>
      <c r="AM957" s="235"/>
      <c r="AN957" s="235"/>
      <c r="AO957" s="235"/>
      <c r="AP957" s="235"/>
      <c r="AQ957" s="235"/>
      <c r="AR957" s="235"/>
      <c r="AS957" s="235"/>
      <c r="AT957" s="235"/>
      <c r="AU957" s="235"/>
      <c r="AV957" s="235"/>
      <c r="AW957" s="235"/>
      <c r="AX957" s="235"/>
      <c r="AY957" s="235"/>
      <c r="AZ957" s="235"/>
      <c r="BA957" s="235"/>
      <c r="BB957" s="235"/>
      <c r="BC957" s="235"/>
      <c r="BD957" s="235"/>
      <c r="BE957" s="235"/>
      <c r="BF957" s="235"/>
      <c r="BG957" s="235"/>
      <c r="BH957" s="235"/>
      <c r="BI957" s="235"/>
      <c r="BJ957" s="235"/>
      <c r="BK957" s="235"/>
      <c r="BL957" s="235"/>
      <c r="BM957" s="235"/>
      <c r="BN957" s="235"/>
      <c r="BO957" s="235"/>
    </row>
    <row r="958" ht="29.25" hidden="1" customHeight="1">
      <c r="A958" s="230"/>
      <c r="B958" s="231"/>
      <c r="C958" s="179"/>
      <c r="D958" s="179"/>
      <c r="E958" s="180"/>
      <c r="F958" s="162"/>
      <c r="G958" s="232"/>
      <c r="H958" s="234"/>
      <c r="I958" s="181"/>
      <c r="J958" s="182"/>
      <c r="K958" s="182"/>
      <c r="L958" s="182"/>
      <c r="M958" s="234"/>
      <c r="N958" s="28"/>
      <c r="O958" s="181"/>
      <c r="P958" s="183"/>
      <c r="Q958" s="104"/>
      <c r="R958" s="233"/>
      <c r="S958" s="164"/>
      <c r="T958" s="164"/>
      <c r="U958" s="162"/>
      <c r="V958" s="235"/>
      <c r="W958" s="235"/>
      <c r="X958" s="235"/>
      <c r="Y958" s="235"/>
      <c r="Z958" s="235"/>
      <c r="AA958" s="235"/>
      <c r="AB958" s="235"/>
      <c r="AC958" s="235"/>
      <c r="AD958" s="235"/>
      <c r="AE958" s="235"/>
      <c r="AF958" s="235"/>
      <c r="AG958" s="235"/>
      <c r="AH958" s="235"/>
      <c r="AI958" s="235"/>
      <c r="AJ958" s="235"/>
      <c r="AK958" s="235"/>
      <c r="AL958" s="235"/>
      <c r="AM958" s="235"/>
      <c r="AN958" s="235"/>
      <c r="AO958" s="235"/>
      <c r="AP958" s="235"/>
      <c r="AQ958" s="235"/>
      <c r="AR958" s="235"/>
      <c r="AS958" s="235"/>
      <c r="AT958" s="235"/>
      <c r="AU958" s="235"/>
      <c r="AV958" s="235"/>
      <c r="AW958" s="235"/>
      <c r="AX958" s="235"/>
      <c r="AY958" s="235"/>
      <c r="AZ958" s="235"/>
      <c r="BA958" s="235"/>
      <c r="BB958" s="235"/>
      <c r="BC958" s="235"/>
      <c r="BD958" s="235"/>
      <c r="BE958" s="235"/>
      <c r="BF958" s="235"/>
      <c r="BG958" s="235"/>
      <c r="BH958" s="235"/>
      <c r="BI958" s="235"/>
      <c r="BJ958" s="235"/>
      <c r="BK958" s="235"/>
      <c r="BL958" s="235"/>
      <c r="BM958" s="235"/>
      <c r="BN958" s="235"/>
      <c r="BO958" s="235"/>
    </row>
    <row r="959" ht="29.25" hidden="1" customHeight="1">
      <c r="A959" s="230"/>
      <c r="B959" s="231"/>
      <c r="C959" s="179"/>
      <c r="D959" s="179"/>
      <c r="E959" s="180"/>
      <c r="F959" s="162"/>
      <c r="G959" s="232"/>
      <c r="H959" s="234"/>
      <c r="I959" s="181"/>
      <c r="J959" s="182"/>
      <c r="K959" s="182"/>
      <c r="L959" s="182"/>
      <c r="M959" s="234"/>
      <c r="N959" s="28"/>
      <c r="O959" s="181"/>
      <c r="P959" s="183"/>
      <c r="Q959" s="104"/>
      <c r="R959" s="233"/>
      <c r="S959" s="164"/>
      <c r="T959" s="164"/>
      <c r="U959" s="162"/>
      <c r="V959" s="235"/>
      <c r="W959" s="235"/>
      <c r="X959" s="235"/>
      <c r="Y959" s="235"/>
      <c r="Z959" s="235"/>
      <c r="AA959" s="235"/>
      <c r="AB959" s="235"/>
      <c r="AC959" s="235"/>
      <c r="AD959" s="235"/>
      <c r="AE959" s="235"/>
      <c r="AF959" s="235"/>
      <c r="AG959" s="235"/>
      <c r="AH959" s="235"/>
      <c r="AI959" s="235"/>
      <c r="AJ959" s="235"/>
      <c r="AK959" s="235"/>
      <c r="AL959" s="235"/>
      <c r="AM959" s="235"/>
      <c r="AN959" s="235"/>
      <c r="AO959" s="235"/>
      <c r="AP959" s="235"/>
      <c r="AQ959" s="235"/>
      <c r="AR959" s="235"/>
      <c r="AS959" s="235"/>
      <c r="AT959" s="235"/>
      <c r="AU959" s="235"/>
      <c r="AV959" s="235"/>
      <c r="AW959" s="235"/>
      <c r="AX959" s="235"/>
      <c r="AY959" s="235"/>
      <c r="AZ959" s="235"/>
      <c r="BA959" s="235"/>
      <c r="BB959" s="235"/>
      <c r="BC959" s="235"/>
      <c r="BD959" s="235"/>
      <c r="BE959" s="235"/>
      <c r="BF959" s="235"/>
      <c r="BG959" s="235"/>
      <c r="BH959" s="235"/>
      <c r="BI959" s="235"/>
      <c r="BJ959" s="235"/>
      <c r="BK959" s="235"/>
      <c r="BL959" s="235"/>
      <c r="BM959" s="235"/>
      <c r="BN959" s="235"/>
      <c r="BO959" s="235"/>
    </row>
    <row r="960" ht="29.25" hidden="1" customHeight="1">
      <c r="A960" s="230"/>
      <c r="B960" s="231"/>
      <c r="C960" s="179"/>
      <c r="D960" s="179"/>
      <c r="E960" s="180"/>
      <c r="F960" s="162"/>
      <c r="G960" s="232"/>
      <c r="H960" s="234"/>
      <c r="I960" s="181"/>
      <c r="J960" s="182"/>
      <c r="K960" s="182"/>
      <c r="L960" s="182"/>
      <c r="M960" s="234"/>
      <c r="N960" s="28"/>
      <c r="O960" s="181"/>
      <c r="P960" s="183"/>
      <c r="Q960" s="104"/>
      <c r="R960" s="233"/>
      <c r="S960" s="164"/>
      <c r="T960" s="164"/>
      <c r="U960" s="162"/>
      <c r="V960" s="235"/>
      <c r="W960" s="235"/>
      <c r="X960" s="235"/>
      <c r="Y960" s="235"/>
      <c r="Z960" s="235"/>
      <c r="AA960" s="235"/>
      <c r="AB960" s="235"/>
      <c r="AC960" s="235"/>
      <c r="AD960" s="235"/>
      <c r="AE960" s="235"/>
      <c r="AF960" s="235"/>
      <c r="AG960" s="235"/>
      <c r="AH960" s="235"/>
      <c r="AI960" s="235"/>
      <c r="AJ960" s="235"/>
      <c r="AK960" s="235"/>
      <c r="AL960" s="235"/>
      <c r="AM960" s="235"/>
      <c r="AN960" s="235"/>
      <c r="AO960" s="235"/>
      <c r="AP960" s="235"/>
      <c r="AQ960" s="235"/>
      <c r="AR960" s="235"/>
      <c r="AS960" s="235"/>
      <c r="AT960" s="235"/>
      <c r="AU960" s="235"/>
      <c r="AV960" s="235"/>
      <c r="AW960" s="235"/>
      <c r="AX960" s="235"/>
      <c r="AY960" s="235"/>
      <c r="AZ960" s="235"/>
      <c r="BA960" s="235"/>
      <c r="BB960" s="235"/>
      <c r="BC960" s="235"/>
      <c r="BD960" s="235"/>
      <c r="BE960" s="235"/>
      <c r="BF960" s="235"/>
      <c r="BG960" s="235"/>
      <c r="BH960" s="235"/>
      <c r="BI960" s="235"/>
      <c r="BJ960" s="235"/>
      <c r="BK960" s="235"/>
      <c r="BL960" s="235"/>
      <c r="BM960" s="235"/>
      <c r="BN960" s="235"/>
      <c r="BO960" s="235"/>
    </row>
    <row r="961" ht="29.25" hidden="1" customHeight="1">
      <c r="A961" s="230"/>
      <c r="B961" s="231"/>
      <c r="C961" s="179"/>
      <c r="D961" s="179"/>
      <c r="E961" s="180"/>
      <c r="F961" s="162"/>
      <c r="G961" s="232"/>
      <c r="H961" s="234"/>
      <c r="I961" s="181"/>
      <c r="J961" s="182"/>
      <c r="K961" s="182"/>
      <c r="L961" s="182"/>
      <c r="M961" s="234"/>
      <c r="N961" s="28"/>
      <c r="O961" s="181"/>
      <c r="P961" s="183"/>
      <c r="Q961" s="104"/>
      <c r="R961" s="233"/>
      <c r="S961" s="164"/>
      <c r="T961" s="164"/>
      <c r="U961" s="162"/>
      <c r="V961" s="235"/>
      <c r="W961" s="235"/>
      <c r="X961" s="235"/>
      <c r="Y961" s="235"/>
      <c r="Z961" s="235"/>
      <c r="AA961" s="235"/>
      <c r="AB961" s="235"/>
      <c r="AC961" s="235"/>
      <c r="AD961" s="235"/>
      <c r="AE961" s="235"/>
      <c r="AF961" s="235"/>
      <c r="AG961" s="235"/>
      <c r="AH961" s="235"/>
      <c r="AI961" s="235"/>
      <c r="AJ961" s="235"/>
      <c r="AK961" s="235"/>
      <c r="AL961" s="235"/>
      <c r="AM961" s="235"/>
      <c r="AN961" s="235"/>
      <c r="AO961" s="235"/>
      <c r="AP961" s="235"/>
      <c r="AQ961" s="235"/>
      <c r="AR961" s="235"/>
      <c r="AS961" s="235"/>
      <c r="AT961" s="235"/>
      <c r="AU961" s="235"/>
      <c r="AV961" s="235"/>
      <c r="AW961" s="235"/>
      <c r="AX961" s="235"/>
      <c r="AY961" s="235"/>
      <c r="AZ961" s="235"/>
      <c r="BA961" s="235"/>
      <c r="BB961" s="235"/>
      <c r="BC961" s="235"/>
      <c r="BD961" s="235"/>
      <c r="BE961" s="235"/>
      <c r="BF961" s="235"/>
      <c r="BG961" s="235"/>
      <c r="BH961" s="235"/>
      <c r="BI961" s="235"/>
      <c r="BJ961" s="235"/>
      <c r="BK961" s="235"/>
      <c r="BL961" s="235"/>
      <c r="BM961" s="235"/>
      <c r="BN961" s="235"/>
      <c r="BO961" s="235"/>
    </row>
    <row r="962" ht="29.25" hidden="1" customHeight="1">
      <c r="A962" s="230"/>
      <c r="B962" s="231"/>
      <c r="C962" s="179"/>
      <c r="D962" s="179"/>
      <c r="E962" s="180"/>
      <c r="F962" s="162"/>
      <c r="G962" s="232"/>
      <c r="H962" s="234"/>
      <c r="I962" s="181"/>
      <c r="J962" s="182"/>
      <c r="K962" s="182"/>
      <c r="L962" s="182"/>
      <c r="M962" s="234"/>
      <c r="N962" s="28"/>
      <c r="O962" s="181"/>
      <c r="P962" s="183"/>
      <c r="Q962" s="104"/>
      <c r="R962" s="233"/>
      <c r="S962" s="164"/>
      <c r="T962" s="164"/>
      <c r="U962" s="162"/>
      <c r="V962" s="235"/>
      <c r="W962" s="235"/>
      <c r="X962" s="235"/>
      <c r="Y962" s="235"/>
      <c r="Z962" s="235"/>
      <c r="AA962" s="235"/>
      <c r="AB962" s="235"/>
      <c r="AC962" s="235"/>
      <c r="AD962" s="235"/>
      <c r="AE962" s="235"/>
      <c r="AF962" s="235"/>
      <c r="AG962" s="235"/>
      <c r="AH962" s="235"/>
      <c r="AI962" s="235"/>
      <c r="AJ962" s="235"/>
      <c r="AK962" s="235"/>
      <c r="AL962" s="235"/>
      <c r="AM962" s="235"/>
      <c r="AN962" s="235"/>
      <c r="AO962" s="235"/>
      <c r="AP962" s="235"/>
      <c r="AQ962" s="235"/>
      <c r="AR962" s="235"/>
      <c r="AS962" s="235"/>
      <c r="AT962" s="235"/>
      <c r="AU962" s="235"/>
      <c r="AV962" s="235"/>
      <c r="AW962" s="235"/>
      <c r="AX962" s="235"/>
      <c r="AY962" s="235"/>
      <c r="AZ962" s="235"/>
      <c r="BA962" s="235"/>
      <c r="BB962" s="235"/>
      <c r="BC962" s="235"/>
      <c r="BD962" s="235"/>
      <c r="BE962" s="235"/>
      <c r="BF962" s="235"/>
      <c r="BG962" s="235"/>
      <c r="BH962" s="235"/>
      <c r="BI962" s="235"/>
      <c r="BJ962" s="235"/>
      <c r="BK962" s="235"/>
      <c r="BL962" s="235"/>
      <c r="BM962" s="235"/>
      <c r="BN962" s="235"/>
      <c r="BO962" s="235"/>
    </row>
    <row r="963" ht="29.25" hidden="1" customHeight="1">
      <c r="A963" s="230"/>
      <c r="B963" s="231"/>
      <c r="C963" s="179"/>
      <c r="D963" s="179"/>
      <c r="E963" s="180"/>
      <c r="F963" s="162"/>
      <c r="G963" s="232"/>
      <c r="H963" s="234"/>
      <c r="I963" s="181"/>
      <c r="J963" s="182"/>
      <c r="K963" s="182"/>
      <c r="L963" s="182"/>
      <c r="M963" s="234"/>
      <c r="N963" s="28"/>
      <c r="O963" s="181"/>
      <c r="P963" s="183"/>
      <c r="Q963" s="104"/>
      <c r="R963" s="233"/>
      <c r="S963" s="164"/>
      <c r="T963" s="164"/>
      <c r="U963" s="162"/>
      <c r="V963" s="235"/>
      <c r="W963" s="235"/>
      <c r="X963" s="235"/>
      <c r="Y963" s="235"/>
      <c r="Z963" s="235"/>
      <c r="AA963" s="235"/>
      <c r="AB963" s="235"/>
      <c r="AC963" s="235"/>
      <c r="AD963" s="235"/>
      <c r="AE963" s="235"/>
      <c r="AF963" s="235"/>
      <c r="AG963" s="235"/>
      <c r="AH963" s="235"/>
      <c r="AI963" s="235"/>
      <c r="AJ963" s="235"/>
      <c r="AK963" s="235"/>
      <c r="AL963" s="235"/>
      <c r="AM963" s="235"/>
      <c r="AN963" s="235"/>
      <c r="AO963" s="235"/>
      <c r="AP963" s="235"/>
      <c r="AQ963" s="235"/>
      <c r="AR963" s="235"/>
      <c r="AS963" s="235"/>
      <c r="AT963" s="235"/>
      <c r="AU963" s="235"/>
      <c r="AV963" s="235"/>
      <c r="AW963" s="235"/>
      <c r="AX963" s="235"/>
      <c r="AY963" s="235"/>
      <c r="AZ963" s="235"/>
      <c r="BA963" s="235"/>
      <c r="BB963" s="235"/>
      <c r="BC963" s="235"/>
      <c r="BD963" s="235"/>
      <c r="BE963" s="235"/>
      <c r="BF963" s="235"/>
      <c r="BG963" s="235"/>
      <c r="BH963" s="235"/>
      <c r="BI963" s="235"/>
      <c r="BJ963" s="235"/>
      <c r="BK963" s="235"/>
      <c r="BL963" s="235"/>
      <c r="BM963" s="235"/>
      <c r="BN963" s="235"/>
      <c r="BO963" s="235"/>
    </row>
    <row r="964" ht="29.25" hidden="1" customHeight="1">
      <c r="A964" s="230"/>
      <c r="B964" s="231"/>
      <c r="C964" s="179"/>
      <c r="D964" s="179"/>
      <c r="E964" s="180"/>
      <c r="F964" s="162"/>
      <c r="G964" s="232"/>
      <c r="H964" s="234"/>
      <c r="I964" s="181"/>
      <c r="J964" s="182"/>
      <c r="K964" s="182"/>
      <c r="L964" s="182"/>
      <c r="M964" s="234"/>
      <c r="N964" s="28"/>
      <c r="O964" s="181"/>
      <c r="P964" s="183"/>
      <c r="Q964" s="104"/>
      <c r="R964" s="233"/>
      <c r="S964" s="164"/>
      <c r="T964" s="164"/>
      <c r="U964" s="162"/>
      <c r="V964" s="235"/>
      <c r="W964" s="235"/>
      <c r="X964" s="235"/>
      <c r="Y964" s="235"/>
      <c r="Z964" s="235"/>
      <c r="AA964" s="235"/>
      <c r="AB964" s="235"/>
      <c r="AC964" s="235"/>
      <c r="AD964" s="235"/>
      <c r="AE964" s="235"/>
      <c r="AF964" s="235"/>
      <c r="AG964" s="235"/>
      <c r="AH964" s="235"/>
      <c r="AI964" s="235"/>
      <c r="AJ964" s="235"/>
      <c r="AK964" s="235"/>
      <c r="AL964" s="235"/>
      <c r="AM964" s="235"/>
      <c r="AN964" s="235"/>
      <c r="AO964" s="235"/>
      <c r="AP964" s="235"/>
      <c r="AQ964" s="235"/>
      <c r="AR964" s="235"/>
      <c r="AS964" s="235"/>
      <c r="AT964" s="235"/>
      <c r="AU964" s="235"/>
      <c r="AV964" s="235"/>
      <c r="AW964" s="235"/>
      <c r="AX964" s="235"/>
      <c r="AY964" s="235"/>
      <c r="AZ964" s="235"/>
      <c r="BA964" s="235"/>
      <c r="BB964" s="235"/>
      <c r="BC964" s="235"/>
      <c r="BD964" s="235"/>
      <c r="BE964" s="235"/>
      <c r="BF964" s="235"/>
      <c r="BG964" s="235"/>
      <c r="BH964" s="235"/>
      <c r="BI964" s="235"/>
      <c r="BJ964" s="235"/>
      <c r="BK964" s="235"/>
      <c r="BL964" s="235"/>
      <c r="BM964" s="235"/>
      <c r="BN964" s="235"/>
      <c r="BO964" s="235"/>
    </row>
    <row r="965" ht="29.25" hidden="1" customHeight="1">
      <c r="A965" s="230"/>
      <c r="B965" s="231"/>
      <c r="C965" s="179"/>
      <c r="D965" s="179"/>
      <c r="E965" s="180"/>
      <c r="F965" s="162"/>
      <c r="G965" s="232"/>
      <c r="H965" s="234"/>
      <c r="I965" s="181"/>
      <c r="J965" s="182"/>
      <c r="K965" s="182"/>
      <c r="L965" s="182"/>
      <c r="M965" s="234"/>
      <c r="N965" s="28"/>
      <c r="O965" s="181"/>
      <c r="P965" s="183"/>
      <c r="Q965" s="104"/>
      <c r="R965" s="233"/>
      <c r="S965" s="164"/>
      <c r="T965" s="164"/>
      <c r="U965" s="162"/>
      <c r="V965" s="235"/>
      <c r="W965" s="235"/>
      <c r="X965" s="235"/>
      <c r="Y965" s="235"/>
      <c r="Z965" s="235"/>
      <c r="AA965" s="235"/>
      <c r="AB965" s="235"/>
      <c r="AC965" s="235"/>
      <c r="AD965" s="235"/>
      <c r="AE965" s="235"/>
      <c r="AF965" s="235"/>
      <c r="AG965" s="235"/>
      <c r="AH965" s="235"/>
      <c r="AI965" s="235"/>
      <c r="AJ965" s="235"/>
      <c r="AK965" s="235"/>
      <c r="AL965" s="235"/>
      <c r="AM965" s="235"/>
      <c r="AN965" s="235"/>
      <c r="AO965" s="235"/>
      <c r="AP965" s="235"/>
      <c r="AQ965" s="235"/>
      <c r="AR965" s="235"/>
      <c r="AS965" s="235"/>
      <c r="AT965" s="235"/>
      <c r="AU965" s="235"/>
      <c r="AV965" s="235"/>
      <c r="AW965" s="235"/>
      <c r="AX965" s="235"/>
      <c r="AY965" s="235"/>
      <c r="AZ965" s="235"/>
      <c r="BA965" s="235"/>
      <c r="BB965" s="235"/>
      <c r="BC965" s="235"/>
      <c r="BD965" s="235"/>
      <c r="BE965" s="235"/>
      <c r="BF965" s="235"/>
      <c r="BG965" s="235"/>
      <c r="BH965" s="235"/>
      <c r="BI965" s="235"/>
      <c r="BJ965" s="235"/>
      <c r="BK965" s="235"/>
      <c r="BL965" s="235"/>
      <c r="BM965" s="235"/>
      <c r="BN965" s="235"/>
      <c r="BO965" s="235"/>
    </row>
    <row r="966" ht="29.25" hidden="1" customHeight="1">
      <c r="A966" s="230"/>
      <c r="B966" s="231"/>
      <c r="C966" s="179"/>
      <c r="D966" s="179"/>
      <c r="E966" s="180"/>
      <c r="F966" s="162"/>
      <c r="G966" s="232"/>
      <c r="H966" s="234"/>
      <c r="I966" s="181"/>
      <c r="J966" s="182"/>
      <c r="K966" s="182"/>
      <c r="L966" s="182"/>
      <c r="M966" s="234"/>
      <c r="N966" s="28"/>
      <c r="O966" s="181"/>
      <c r="P966" s="183"/>
      <c r="Q966" s="104"/>
      <c r="R966" s="233"/>
      <c r="S966" s="164"/>
      <c r="T966" s="164"/>
      <c r="U966" s="162"/>
      <c r="V966" s="235"/>
      <c r="W966" s="235"/>
      <c r="X966" s="235"/>
      <c r="Y966" s="235"/>
      <c r="Z966" s="235"/>
      <c r="AA966" s="235"/>
      <c r="AB966" s="235"/>
      <c r="AC966" s="235"/>
      <c r="AD966" s="235"/>
      <c r="AE966" s="235"/>
      <c r="AF966" s="235"/>
      <c r="AG966" s="235"/>
      <c r="AH966" s="235"/>
      <c r="AI966" s="235"/>
      <c r="AJ966" s="235"/>
      <c r="AK966" s="235"/>
      <c r="AL966" s="235"/>
      <c r="AM966" s="235"/>
      <c r="AN966" s="235"/>
      <c r="AO966" s="235"/>
      <c r="AP966" s="235"/>
      <c r="AQ966" s="235"/>
      <c r="AR966" s="235"/>
      <c r="AS966" s="235"/>
      <c r="AT966" s="235"/>
      <c r="AU966" s="235"/>
      <c r="AV966" s="235"/>
      <c r="AW966" s="235"/>
      <c r="AX966" s="235"/>
      <c r="AY966" s="235"/>
      <c r="AZ966" s="235"/>
      <c r="BA966" s="235"/>
      <c r="BB966" s="235"/>
      <c r="BC966" s="235"/>
      <c r="BD966" s="235"/>
      <c r="BE966" s="235"/>
      <c r="BF966" s="235"/>
      <c r="BG966" s="235"/>
      <c r="BH966" s="235"/>
      <c r="BI966" s="235"/>
      <c r="BJ966" s="235"/>
      <c r="BK966" s="235"/>
      <c r="BL966" s="235"/>
      <c r="BM966" s="235"/>
      <c r="BN966" s="235"/>
      <c r="BO966" s="235"/>
    </row>
    <row r="967" ht="29.25" hidden="1" customHeight="1">
      <c r="A967" s="230"/>
      <c r="B967" s="231"/>
      <c r="C967" s="179"/>
      <c r="D967" s="179"/>
      <c r="E967" s="180"/>
      <c r="F967" s="162"/>
      <c r="G967" s="232"/>
      <c r="H967" s="234"/>
      <c r="I967" s="181"/>
      <c r="J967" s="182"/>
      <c r="K967" s="182"/>
      <c r="L967" s="182"/>
      <c r="M967" s="234"/>
      <c r="N967" s="28"/>
      <c r="O967" s="181"/>
      <c r="P967" s="183"/>
      <c r="Q967" s="104"/>
      <c r="R967" s="233"/>
      <c r="S967" s="164"/>
      <c r="T967" s="164"/>
      <c r="U967" s="162"/>
      <c r="V967" s="235"/>
      <c r="W967" s="235"/>
      <c r="X967" s="235"/>
      <c r="Y967" s="235"/>
      <c r="Z967" s="235"/>
      <c r="AA967" s="235"/>
      <c r="AB967" s="235"/>
      <c r="AC967" s="235"/>
      <c r="AD967" s="235"/>
      <c r="AE967" s="235"/>
      <c r="AF967" s="235"/>
      <c r="AG967" s="235"/>
      <c r="AH967" s="235"/>
      <c r="AI967" s="235"/>
      <c r="AJ967" s="235"/>
      <c r="AK967" s="235"/>
      <c r="AL967" s="235"/>
      <c r="AM967" s="235"/>
      <c r="AN967" s="235"/>
      <c r="AO967" s="235"/>
      <c r="AP967" s="235"/>
      <c r="AQ967" s="235"/>
      <c r="AR967" s="235"/>
      <c r="AS967" s="235"/>
      <c r="AT967" s="235"/>
      <c r="AU967" s="235"/>
      <c r="AV967" s="235"/>
      <c r="AW967" s="235"/>
      <c r="AX967" s="235"/>
      <c r="AY967" s="235"/>
      <c r="AZ967" s="235"/>
      <c r="BA967" s="235"/>
      <c r="BB967" s="235"/>
      <c r="BC967" s="235"/>
      <c r="BD967" s="235"/>
      <c r="BE967" s="235"/>
      <c r="BF967" s="235"/>
      <c r="BG967" s="235"/>
      <c r="BH967" s="235"/>
      <c r="BI967" s="235"/>
      <c r="BJ967" s="235"/>
      <c r="BK967" s="235"/>
      <c r="BL967" s="235"/>
      <c r="BM967" s="235"/>
      <c r="BN967" s="235"/>
      <c r="BO967" s="235"/>
    </row>
    <row r="968" ht="29.25" hidden="1" customHeight="1">
      <c r="A968" s="230"/>
      <c r="B968" s="231"/>
      <c r="C968" s="179"/>
      <c r="D968" s="179"/>
      <c r="E968" s="180"/>
      <c r="F968" s="162"/>
      <c r="G968" s="232"/>
      <c r="H968" s="234"/>
      <c r="I968" s="181"/>
      <c r="J968" s="182"/>
      <c r="K968" s="182"/>
      <c r="L968" s="182"/>
      <c r="M968" s="234"/>
      <c r="N968" s="28"/>
      <c r="O968" s="181"/>
      <c r="P968" s="183"/>
      <c r="Q968" s="104"/>
      <c r="R968" s="233"/>
      <c r="S968" s="164"/>
      <c r="T968" s="164"/>
      <c r="U968" s="162"/>
      <c r="V968" s="235"/>
      <c r="W968" s="235"/>
      <c r="X968" s="235"/>
      <c r="Y968" s="235"/>
      <c r="Z968" s="235"/>
      <c r="AA968" s="235"/>
      <c r="AB968" s="235"/>
      <c r="AC968" s="235"/>
      <c r="AD968" s="235"/>
      <c r="AE968" s="235"/>
      <c r="AF968" s="235"/>
      <c r="AG968" s="235"/>
      <c r="AH968" s="235"/>
      <c r="AI968" s="235"/>
      <c r="AJ968" s="235"/>
      <c r="AK968" s="235"/>
      <c r="AL968" s="235"/>
      <c r="AM968" s="235"/>
      <c r="AN968" s="235"/>
      <c r="AO968" s="235"/>
      <c r="AP968" s="235"/>
      <c r="AQ968" s="235"/>
      <c r="AR968" s="235"/>
      <c r="AS968" s="235"/>
      <c r="AT968" s="235"/>
      <c r="AU968" s="235"/>
      <c r="AV968" s="235"/>
      <c r="AW968" s="235"/>
      <c r="AX968" s="235"/>
      <c r="AY968" s="235"/>
      <c r="AZ968" s="235"/>
      <c r="BA968" s="235"/>
      <c r="BB968" s="235"/>
      <c r="BC968" s="235"/>
      <c r="BD968" s="235"/>
      <c r="BE968" s="235"/>
      <c r="BF968" s="235"/>
      <c r="BG968" s="235"/>
      <c r="BH968" s="235"/>
      <c r="BI968" s="235"/>
      <c r="BJ968" s="235"/>
      <c r="BK968" s="235"/>
      <c r="BL968" s="235"/>
      <c r="BM968" s="235"/>
      <c r="BN968" s="235"/>
      <c r="BO968" s="235"/>
    </row>
    <row r="969" ht="29.25" hidden="1" customHeight="1">
      <c r="A969" s="230"/>
      <c r="B969" s="231"/>
      <c r="C969" s="179"/>
      <c r="D969" s="179"/>
      <c r="E969" s="180"/>
      <c r="F969" s="162"/>
      <c r="G969" s="232"/>
      <c r="H969" s="234"/>
      <c r="I969" s="181"/>
      <c r="J969" s="182"/>
      <c r="K969" s="182"/>
      <c r="L969" s="182"/>
      <c r="M969" s="234"/>
      <c r="N969" s="28"/>
      <c r="O969" s="181"/>
      <c r="P969" s="183"/>
      <c r="Q969" s="104"/>
      <c r="R969" s="233"/>
      <c r="S969" s="164"/>
      <c r="T969" s="164"/>
      <c r="U969" s="162"/>
      <c r="V969" s="235"/>
      <c r="W969" s="235"/>
      <c r="X969" s="235"/>
      <c r="Y969" s="235"/>
      <c r="Z969" s="235"/>
      <c r="AA969" s="235"/>
      <c r="AB969" s="235"/>
      <c r="AC969" s="235"/>
      <c r="AD969" s="235"/>
      <c r="AE969" s="235"/>
      <c r="AF969" s="235"/>
      <c r="AG969" s="235"/>
      <c r="AH969" s="235"/>
      <c r="AI969" s="235"/>
      <c r="AJ969" s="235"/>
      <c r="AK969" s="235"/>
      <c r="AL969" s="235"/>
      <c r="AM969" s="235"/>
      <c r="AN969" s="235"/>
      <c r="AO969" s="235"/>
      <c r="AP969" s="235"/>
      <c r="AQ969" s="235"/>
      <c r="AR969" s="235"/>
      <c r="AS969" s="235"/>
      <c r="AT969" s="235"/>
      <c r="AU969" s="235"/>
      <c r="AV969" s="235"/>
      <c r="AW969" s="235"/>
      <c r="AX969" s="235"/>
      <c r="AY969" s="235"/>
      <c r="AZ969" s="235"/>
      <c r="BA969" s="235"/>
      <c r="BB969" s="235"/>
      <c r="BC969" s="235"/>
      <c r="BD969" s="235"/>
      <c r="BE969" s="235"/>
      <c r="BF969" s="235"/>
      <c r="BG969" s="235"/>
      <c r="BH969" s="235"/>
      <c r="BI969" s="235"/>
      <c r="BJ969" s="235"/>
      <c r="BK969" s="235"/>
      <c r="BL969" s="235"/>
      <c r="BM969" s="235"/>
      <c r="BN969" s="235"/>
      <c r="BO969" s="235"/>
    </row>
    <row r="970" ht="29.25" hidden="1" customHeight="1">
      <c r="A970" s="230"/>
      <c r="B970" s="231"/>
      <c r="C970" s="179"/>
      <c r="D970" s="179"/>
      <c r="E970" s="180"/>
      <c r="F970" s="162"/>
      <c r="G970" s="232"/>
      <c r="H970" s="234"/>
      <c r="I970" s="181"/>
      <c r="J970" s="182"/>
      <c r="K970" s="182"/>
      <c r="L970" s="182"/>
      <c r="M970" s="234"/>
      <c r="N970" s="28"/>
      <c r="O970" s="181"/>
      <c r="P970" s="183"/>
      <c r="Q970" s="104"/>
      <c r="R970" s="233"/>
      <c r="S970" s="164"/>
      <c r="T970" s="164"/>
      <c r="U970" s="162"/>
      <c r="V970" s="235"/>
      <c r="W970" s="235"/>
      <c r="X970" s="235"/>
      <c r="Y970" s="235"/>
      <c r="Z970" s="235"/>
      <c r="AA970" s="235"/>
      <c r="AB970" s="235"/>
      <c r="AC970" s="235"/>
      <c r="AD970" s="235"/>
      <c r="AE970" s="235"/>
      <c r="AF970" s="235"/>
      <c r="AG970" s="235"/>
      <c r="AH970" s="235"/>
      <c r="AI970" s="235"/>
      <c r="AJ970" s="235"/>
      <c r="AK970" s="235"/>
      <c r="AL970" s="235"/>
      <c r="AM970" s="235"/>
      <c r="AN970" s="235"/>
      <c r="AO970" s="235"/>
      <c r="AP970" s="235"/>
      <c r="AQ970" s="235"/>
      <c r="AR970" s="235"/>
      <c r="AS970" s="235"/>
      <c r="AT970" s="235"/>
      <c r="AU970" s="235"/>
      <c r="AV970" s="235"/>
      <c r="AW970" s="235"/>
      <c r="AX970" s="235"/>
      <c r="AY970" s="235"/>
      <c r="AZ970" s="235"/>
      <c r="BA970" s="235"/>
      <c r="BB970" s="235"/>
      <c r="BC970" s="235"/>
      <c r="BD970" s="235"/>
      <c r="BE970" s="235"/>
      <c r="BF970" s="235"/>
      <c r="BG970" s="235"/>
      <c r="BH970" s="235"/>
      <c r="BI970" s="235"/>
      <c r="BJ970" s="235"/>
      <c r="BK970" s="235"/>
      <c r="BL970" s="235"/>
      <c r="BM970" s="235"/>
      <c r="BN970" s="235"/>
      <c r="BO970" s="235"/>
    </row>
    <row r="971" ht="29.25" hidden="1" customHeight="1">
      <c r="A971" s="230"/>
      <c r="B971" s="231"/>
      <c r="C971" s="179"/>
      <c r="D971" s="179"/>
      <c r="E971" s="180"/>
      <c r="F971" s="162"/>
      <c r="G971" s="232"/>
      <c r="H971" s="234"/>
      <c r="I971" s="181"/>
      <c r="J971" s="182"/>
      <c r="K971" s="182"/>
      <c r="L971" s="182"/>
      <c r="M971" s="234"/>
      <c r="N971" s="28"/>
      <c r="O971" s="181"/>
      <c r="P971" s="183"/>
      <c r="Q971" s="104"/>
      <c r="R971" s="233"/>
      <c r="S971" s="164"/>
      <c r="T971" s="164"/>
      <c r="U971" s="162"/>
      <c r="V971" s="235"/>
      <c r="W971" s="235"/>
      <c r="X971" s="235"/>
      <c r="Y971" s="235"/>
      <c r="Z971" s="235"/>
      <c r="AA971" s="235"/>
      <c r="AB971" s="235"/>
      <c r="AC971" s="235"/>
      <c r="AD971" s="235"/>
      <c r="AE971" s="235"/>
      <c r="AF971" s="235"/>
      <c r="AG971" s="235"/>
      <c r="AH971" s="235"/>
      <c r="AI971" s="235"/>
      <c r="AJ971" s="235"/>
      <c r="AK971" s="235"/>
      <c r="AL971" s="235"/>
      <c r="AM971" s="235"/>
      <c r="AN971" s="235"/>
      <c r="AO971" s="235"/>
      <c r="AP971" s="235"/>
      <c r="AQ971" s="235"/>
      <c r="AR971" s="235"/>
      <c r="AS971" s="235"/>
      <c r="AT971" s="235"/>
      <c r="AU971" s="235"/>
      <c r="AV971" s="235"/>
      <c r="AW971" s="235"/>
      <c r="AX971" s="235"/>
      <c r="AY971" s="235"/>
      <c r="AZ971" s="235"/>
      <c r="BA971" s="235"/>
      <c r="BB971" s="235"/>
      <c r="BC971" s="235"/>
      <c r="BD971" s="235"/>
      <c r="BE971" s="235"/>
      <c r="BF971" s="235"/>
      <c r="BG971" s="235"/>
      <c r="BH971" s="235"/>
      <c r="BI971" s="235"/>
      <c r="BJ971" s="235"/>
      <c r="BK971" s="235"/>
      <c r="BL971" s="235"/>
      <c r="BM971" s="235"/>
      <c r="BN971" s="235"/>
      <c r="BO971" s="235"/>
    </row>
    <row r="972" ht="29.25" hidden="1" customHeight="1">
      <c r="A972" s="230"/>
      <c r="B972" s="231"/>
      <c r="C972" s="179"/>
      <c r="D972" s="179"/>
      <c r="E972" s="180"/>
      <c r="F972" s="162"/>
      <c r="G972" s="232"/>
      <c r="H972" s="234"/>
      <c r="I972" s="181"/>
      <c r="J972" s="182"/>
      <c r="K972" s="182"/>
      <c r="L972" s="182"/>
      <c r="M972" s="234"/>
      <c r="N972" s="28"/>
      <c r="O972" s="181"/>
      <c r="P972" s="183"/>
      <c r="Q972" s="104"/>
      <c r="R972" s="233"/>
      <c r="S972" s="164"/>
      <c r="T972" s="164"/>
      <c r="U972" s="162"/>
      <c r="V972" s="235"/>
      <c r="W972" s="235"/>
      <c r="X972" s="235"/>
      <c r="Y972" s="235"/>
      <c r="Z972" s="235"/>
      <c r="AA972" s="235"/>
      <c r="AB972" s="235"/>
      <c r="AC972" s="235"/>
      <c r="AD972" s="235"/>
      <c r="AE972" s="235"/>
      <c r="AF972" s="235"/>
      <c r="AG972" s="235"/>
      <c r="AH972" s="235"/>
      <c r="AI972" s="235"/>
      <c r="AJ972" s="235"/>
      <c r="AK972" s="235"/>
      <c r="AL972" s="235"/>
      <c r="AM972" s="235"/>
      <c r="AN972" s="235"/>
      <c r="AO972" s="235"/>
      <c r="AP972" s="235"/>
      <c r="AQ972" s="235"/>
      <c r="AR972" s="235"/>
      <c r="AS972" s="235"/>
      <c r="AT972" s="235"/>
      <c r="AU972" s="235"/>
      <c r="AV972" s="235"/>
      <c r="AW972" s="235"/>
      <c r="AX972" s="235"/>
      <c r="AY972" s="235"/>
      <c r="AZ972" s="235"/>
      <c r="BA972" s="235"/>
      <c r="BB972" s="235"/>
      <c r="BC972" s="235"/>
      <c r="BD972" s="235"/>
      <c r="BE972" s="235"/>
      <c r="BF972" s="235"/>
      <c r="BG972" s="235"/>
      <c r="BH972" s="235"/>
      <c r="BI972" s="235"/>
      <c r="BJ972" s="235"/>
      <c r="BK972" s="235"/>
      <c r="BL972" s="235"/>
      <c r="BM972" s="235"/>
      <c r="BN972" s="235"/>
      <c r="BO972" s="235"/>
    </row>
    <row r="973" ht="29.25" hidden="1" customHeight="1">
      <c r="A973" s="230"/>
      <c r="B973" s="231"/>
      <c r="C973" s="179"/>
      <c r="D973" s="179"/>
      <c r="E973" s="180"/>
      <c r="F973" s="162"/>
      <c r="G973" s="232"/>
      <c r="H973" s="234"/>
      <c r="I973" s="181"/>
      <c r="J973" s="182"/>
      <c r="K973" s="182"/>
      <c r="L973" s="182"/>
      <c r="M973" s="234"/>
      <c r="N973" s="28"/>
      <c r="O973" s="181"/>
      <c r="P973" s="183"/>
      <c r="Q973" s="104"/>
      <c r="R973" s="233"/>
      <c r="S973" s="164"/>
      <c r="T973" s="164"/>
      <c r="U973" s="162"/>
      <c r="V973" s="235"/>
      <c r="W973" s="235"/>
      <c r="X973" s="235"/>
      <c r="Y973" s="235"/>
      <c r="Z973" s="235"/>
      <c r="AA973" s="235"/>
      <c r="AB973" s="235"/>
      <c r="AC973" s="235"/>
      <c r="AD973" s="235"/>
      <c r="AE973" s="235"/>
      <c r="AF973" s="235"/>
      <c r="AG973" s="235"/>
      <c r="AH973" s="235"/>
      <c r="AI973" s="235"/>
      <c r="AJ973" s="235"/>
      <c r="AK973" s="235"/>
      <c r="AL973" s="235"/>
      <c r="AM973" s="235"/>
      <c r="AN973" s="235"/>
      <c r="AO973" s="235"/>
      <c r="AP973" s="235"/>
      <c r="AQ973" s="235"/>
      <c r="AR973" s="235"/>
      <c r="AS973" s="235"/>
      <c r="AT973" s="235"/>
      <c r="AU973" s="235"/>
      <c r="AV973" s="235"/>
      <c r="AW973" s="235"/>
      <c r="AX973" s="235"/>
      <c r="AY973" s="235"/>
      <c r="AZ973" s="235"/>
      <c r="BA973" s="235"/>
      <c r="BB973" s="235"/>
      <c r="BC973" s="235"/>
      <c r="BD973" s="235"/>
      <c r="BE973" s="235"/>
      <c r="BF973" s="235"/>
      <c r="BG973" s="235"/>
      <c r="BH973" s="235"/>
      <c r="BI973" s="235"/>
      <c r="BJ973" s="235"/>
      <c r="BK973" s="235"/>
      <c r="BL973" s="235"/>
      <c r="BM973" s="235"/>
      <c r="BN973" s="235"/>
      <c r="BO973" s="235"/>
    </row>
    <row r="974" ht="29.25" hidden="1" customHeight="1">
      <c r="A974" s="230"/>
      <c r="B974" s="231"/>
      <c r="C974" s="179"/>
      <c r="D974" s="179"/>
      <c r="E974" s="180"/>
      <c r="F974" s="162"/>
      <c r="G974" s="232"/>
      <c r="H974" s="234"/>
      <c r="I974" s="181"/>
      <c r="J974" s="182"/>
      <c r="K974" s="182"/>
      <c r="L974" s="182"/>
      <c r="M974" s="234"/>
      <c r="N974" s="28"/>
      <c r="O974" s="181"/>
      <c r="P974" s="183"/>
      <c r="Q974" s="104"/>
      <c r="R974" s="233"/>
      <c r="S974" s="164"/>
      <c r="T974" s="164"/>
      <c r="U974" s="162"/>
      <c r="V974" s="235"/>
      <c r="W974" s="235"/>
      <c r="X974" s="235"/>
      <c r="Y974" s="235"/>
      <c r="Z974" s="235"/>
      <c r="AA974" s="235"/>
      <c r="AB974" s="235"/>
      <c r="AC974" s="235"/>
      <c r="AD974" s="235"/>
      <c r="AE974" s="235"/>
      <c r="AF974" s="235"/>
      <c r="AG974" s="235"/>
      <c r="AH974" s="235"/>
      <c r="AI974" s="235"/>
      <c r="AJ974" s="235"/>
      <c r="AK974" s="235"/>
      <c r="AL974" s="235"/>
      <c r="AM974" s="235"/>
      <c r="AN974" s="235"/>
      <c r="AO974" s="235"/>
      <c r="AP974" s="235"/>
      <c r="AQ974" s="235"/>
      <c r="AR974" s="235"/>
      <c r="AS974" s="235"/>
      <c r="AT974" s="235"/>
      <c r="AU974" s="235"/>
      <c r="AV974" s="235"/>
      <c r="AW974" s="235"/>
      <c r="AX974" s="235"/>
      <c r="AY974" s="235"/>
      <c r="AZ974" s="235"/>
      <c r="BA974" s="235"/>
      <c r="BB974" s="235"/>
      <c r="BC974" s="235"/>
      <c r="BD974" s="235"/>
      <c r="BE974" s="235"/>
      <c r="BF974" s="235"/>
      <c r="BG974" s="235"/>
      <c r="BH974" s="235"/>
      <c r="BI974" s="235"/>
      <c r="BJ974" s="235"/>
      <c r="BK974" s="235"/>
      <c r="BL974" s="235"/>
      <c r="BM974" s="235"/>
      <c r="BN974" s="235"/>
      <c r="BO974" s="235"/>
    </row>
    <row r="975" ht="29.25" hidden="1" customHeight="1">
      <c r="A975" s="230"/>
      <c r="B975" s="231"/>
      <c r="C975" s="179"/>
      <c r="D975" s="179"/>
      <c r="E975" s="180"/>
      <c r="F975" s="162"/>
      <c r="G975" s="232"/>
      <c r="H975" s="234"/>
      <c r="I975" s="181"/>
      <c r="J975" s="182"/>
      <c r="K975" s="182"/>
      <c r="L975" s="182"/>
      <c r="M975" s="234"/>
      <c r="N975" s="28"/>
      <c r="O975" s="181"/>
      <c r="P975" s="183"/>
      <c r="Q975" s="104"/>
      <c r="R975" s="233"/>
      <c r="S975" s="164"/>
      <c r="T975" s="164"/>
      <c r="U975" s="162"/>
      <c r="V975" s="235"/>
      <c r="W975" s="235"/>
      <c r="X975" s="235"/>
      <c r="Y975" s="235"/>
      <c r="Z975" s="235"/>
      <c r="AA975" s="235"/>
      <c r="AB975" s="235"/>
      <c r="AC975" s="235"/>
      <c r="AD975" s="235"/>
      <c r="AE975" s="235"/>
      <c r="AF975" s="235"/>
      <c r="AG975" s="235"/>
      <c r="AH975" s="235"/>
      <c r="AI975" s="235"/>
      <c r="AJ975" s="235"/>
      <c r="AK975" s="235"/>
      <c r="AL975" s="235"/>
      <c r="AM975" s="235"/>
      <c r="AN975" s="235"/>
      <c r="AO975" s="235"/>
      <c r="AP975" s="235"/>
      <c r="AQ975" s="235"/>
      <c r="AR975" s="235"/>
      <c r="AS975" s="235"/>
      <c r="AT975" s="235"/>
      <c r="AU975" s="235"/>
      <c r="AV975" s="235"/>
      <c r="AW975" s="235"/>
      <c r="AX975" s="235"/>
      <c r="AY975" s="235"/>
      <c r="AZ975" s="235"/>
      <c r="BA975" s="235"/>
      <c r="BB975" s="235"/>
      <c r="BC975" s="235"/>
      <c r="BD975" s="235"/>
      <c r="BE975" s="235"/>
      <c r="BF975" s="235"/>
      <c r="BG975" s="235"/>
      <c r="BH975" s="235"/>
      <c r="BI975" s="235"/>
      <c r="BJ975" s="235"/>
      <c r="BK975" s="235"/>
      <c r="BL975" s="235"/>
      <c r="BM975" s="235"/>
      <c r="BN975" s="235"/>
      <c r="BO975" s="235"/>
    </row>
    <row r="976" ht="29.25" hidden="1" customHeight="1">
      <c r="A976" s="230"/>
      <c r="B976" s="231"/>
      <c r="C976" s="179"/>
      <c r="D976" s="179"/>
      <c r="E976" s="180"/>
      <c r="F976" s="162"/>
      <c r="G976" s="232"/>
      <c r="H976" s="234"/>
      <c r="I976" s="181"/>
      <c r="J976" s="182"/>
      <c r="K976" s="182"/>
      <c r="L976" s="182"/>
      <c r="M976" s="234"/>
      <c r="N976" s="28"/>
      <c r="O976" s="181"/>
      <c r="P976" s="183"/>
      <c r="Q976" s="104"/>
      <c r="R976" s="233"/>
      <c r="S976" s="164"/>
      <c r="T976" s="164"/>
      <c r="U976" s="162"/>
      <c r="V976" s="235"/>
      <c r="W976" s="235"/>
      <c r="X976" s="235"/>
      <c r="Y976" s="235"/>
      <c r="Z976" s="235"/>
      <c r="AA976" s="235"/>
      <c r="AB976" s="235"/>
      <c r="AC976" s="235"/>
      <c r="AD976" s="235"/>
      <c r="AE976" s="235"/>
      <c r="AF976" s="235"/>
      <c r="AG976" s="235"/>
      <c r="AH976" s="235"/>
      <c r="AI976" s="235"/>
      <c r="AJ976" s="235"/>
      <c r="AK976" s="235"/>
      <c r="AL976" s="235"/>
      <c r="AM976" s="235"/>
      <c r="AN976" s="235"/>
      <c r="AO976" s="235"/>
      <c r="AP976" s="235"/>
      <c r="AQ976" s="235"/>
      <c r="AR976" s="235"/>
      <c r="AS976" s="235"/>
      <c r="AT976" s="235"/>
      <c r="AU976" s="235"/>
      <c r="AV976" s="235"/>
      <c r="AW976" s="235"/>
      <c r="AX976" s="235"/>
      <c r="AY976" s="235"/>
      <c r="AZ976" s="235"/>
      <c r="BA976" s="235"/>
      <c r="BB976" s="235"/>
      <c r="BC976" s="235"/>
      <c r="BD976" s="235"/>
      <c r="BE976" s="235"/>
      <c r="BF976" s="235"/>
      <c r="BG976" s="235"/>
      <c r="BH976" s="235"/>
      <c r="BI976" s="235"/>
      <c r="BJ976" s="235"/>
      <c r="BK976" s="235"/>
      <c r="BL976" s="235"/>
      <c r="BM976" s="235"/>
      <c r="BN976" s="235"/>
      <c r="BO976" s="235"/>
    </row>
    <row r="977" ht="29.25" hidden="1" customHeight="1">
      <c r="A977" s="230"/>
      <c r="B977" s="231"/>
      <c r="C977" s="179"/>
      <c r="D977" s="179"/>
      <c r="E977" s="180"/>
      <c r="F977" s="162"/>
      <c r="G977" s="232"/>
      <c r="H977" s="234"/>
      <c r="I977" s="181"/>
      <c r="J977" s="182"/>
      <c r="K977" s="182"/>
      <c r="L977" s="182"/>
      <c r="M977" s="234"/>
      <c r="N977" s="28"/>
      <c r="O977" s="181"/>
      <c r="P977" s="183"/>
      <c r="Q977" s="104"/>
      <c r="R977" s="233"/>
      <c r="S977" s="164"/>
      <c r="T977" s="164"/>
      <c r="U977" s="162"/>
      <c r="V977" s="235"/>
      <c r="W977" s="235"/>
      <c r="X977" s="235"/>
      <c r="Y977" s="235"/>
      <c r="Z977" s="235"/>
      <c r="AA977" s="235"/>
      <c r="AB977" s="235"/>
      <c r="AC977" s="235"/>
      <c r="AD977" s="235"/>
      <c r="AE977" s="235"/>
      <c r="AF977" s="235"/>
      <c r="AG977" s="235"/>
      <c r="AH977" s="235"/>
      <c r="AI977" s="235"/>
      <c r="AJ977" s="235"/>
      <c r="AK977" s="235"/>
      <c r="AL977" s="235"/>
      <c r="AM977" s="235"/>
      <c r="AN977" s="235"/>
      <c r="AO977" s="235"/>
      <c r="AP977" s="235"/>
      <c r="AQ977" s="235"/>
      <c r="AR977" s="235"/>
      <c r="AS977" s="235"/>
      <c r="AT977" s="235"/>
      <c r="AU977" s="235"/>
      <c r="AV977" s="235"/>
      <c r="AW977" s="235"/>
      <c r="AX977" s="235"/>
      <c r="AY977" s="235"/>
      <c r="AZ977" s="235"/>
      <c r="BA977" s="235"/>
      <c r="BB977" s="235"/>
      <c r="BC977" s="235"/>
      <c r="BD977" s="235"/>
      <c r="BE977" s="235"/>
      <c r="BF977" s="235"/>
      <c r="BG977" s="235"/>
      <c r="BH977" s="235"/>
      <c r="BI977" s="235"/>
      <c r="BJ977" s="235"/>
      <c r="BK977" s="235"/>
      <c r="BL977" s="235"/>
      <c r="BM977" s="235"/>
      <c r="BN977" s="235"/>
      <c r="BO977" s="235"/>
    </row>
    <row r="978" ht="29.25" hidden="1" customHeight="1">
      <c r="A978" s="230"/>
      <c r="B978" s="231"/>
      <c r="C978" s="179"/>
      <c r="D978" s="179"/>
      <c r="E978" s="180"/>
      <c r="F978" s="162"/>
      <c r="G978" s="232"/>
      <c r="H978" s="234"/>
      <c r="I978" s="181"/>
      <c r="J978" s="182"/>
      <c r="K978" s="182"/>
      <c r="L978" s="182"/>
      <c r="M978" s="234"/>
      <c r="N978" s="28"/>
      <c r="O978" s="181"/>
      <c r="P978" s="183"/>
      <c r="Q978" s="104"/>
      <c r="R978" s="233"/>
      <c r="S978" s="164"/>
      <c r="T978" s="164"/>
      <c r="U978" s="162"/>
      <c r="V978" s="235"/>
      <c r="W978" s="235"/>
      <c r="X978" s="235"/>
      <c r="Y978" s="235"/>
      <c r="Z978" s="235"/>
      <c r="AA978" s="235"/>
      <c r="AB978" s="235"/>
      <c r="AC978" s="235"/>
      <c r="AD978" s="235"/>
      <c r="AE978" s="235"/>
      <c r="AF978" s="235"/>
      <c r="AG978" s="235"/>
      <c r="AH978" s="235"/>
      <c r="AI978" s="235"/>
      <c r="AJ978" s="235"/>
      <c r="AK978" s="235"/>
      <c r="AL978" s="235"/>
      <c r="AM978" s="235"/>
      <c r="AN978" s="235"/>
      <c r="AO978" s="235"/>
      <c r="AP978" s="235"/>
      <c r="AQ978" s="235"/>
      <c r="AR978" s="235"/>
      <c r="AS978" s="235"/>
      <c r="AT978" s="235"/>
      <c r="AU978" s="235"/>
      <c r="AV978" s="235"/>
      <c r="AW978" s="235"/>
      <c r="AX978" s="235"/>
      <c r="AY978" s="235"/>
      <c r="AZ978" s="235"/>
      <c r="BA978" s="235"/>
      <c r="BB978" s="235"/>
      <c r="BC978" s="235"/>
      <c r="BD978" s="235"/>
      <c r="BE978" s="235"/>
      <c r="BF978" s="235"/>
      <c r="BG978" s="235"/>
      <c r="BH978" s="235"/>
      <c r="BI978" s="235"/>
      <c r="BJ978" s="235"/>
      <c r="BK978" s="235"/>
      <c r="BL978" s="235"/>
      <c r="BM978" s="235"/>
      <c r="BN978" s="235"/>
      <c r="BO978" s="235"/>
    </row>
    <row r="979" ht="29.25" hidden="1" customHeight="1">
      <c r="A979" s="230"/>
      <c r="B979" s="231"/>
      <c r="C979" s="179"/>
      <c r="D979" s="179"/>
      <c r="E979" s="180"/>
      <c r="F979" s="162"/>
      <c r="G979" s="232"/>
      <c r="H979" s="234"/>
      <c r="I979" s="181"/>
      <c r="J979" s="182"/>
      <c r="K979" s="182"/>
      <c r="L979" s="182"/>
      <c r="M979" s="234"/>
      <c r="N979" s="28"/>
      <c r="O979" s="181"/>
      <c r="P979" s="183"/>
      <c r="Q979" s="104"/>
      <c r="R979" s="233"/>
      <c r="S979" s="164"/>
      <c r="T979" s="164"/>
      <c r="U979" s="162"/>
      <c r="V979" s="235"/>
      <c r="W979" s="235"/>
      <c r="X979" s="235"/>
      <c r="Y979" s="235"/>
      <c r="Z979" s="235"/>
      <c r="AA979" s="235"/>
      <c r="AB979" s="235"/>
      <c r="AC979" s="235"/>
      <c r="AD979" s="235"/>
      <c r="AE979" s="235"/>
      <c r="AF979" s="235"/>
      <c r="AG979" s="235"/>
      <c r="AH979" s="235"/>
      <c r="AI979" s="235"/>
      <c r="AJ979" s="235"/>
      <c r="AK979" s="235"/>
      <c r="AL979" s="235"/>
      <c r="AM979" s="235"/>
      <c r="AN979" s="235"/>
      <c r="AO979" s="235"/>
      <c r="AP979" s="235"/>
      <c r="AQ979" s="235"/>
      <c r="AR979" s="235"/>
      <c r="AS979" s="235"/>
      <c r="AT979" s="235"/>
      <c r="AU979" s="235"/>
      <c r="AV979" s="235"/>
      <c r="AW979" s="235"/>
      <c r="AX979" s="235"/>
      <c r="AY979" s="235"/>
      <c r="AZ979" s="235"/>
      <c r="BA979" s="235"/>
      <c r="BB979" s="235"/>
      <c r="BC979" s="235"/>
      <c r="BD979" s="235"/>
      <c r="BE979" s="235"/>
      <c r="BF979" s="235"/>
      <c r="BG979" s="235"/>
      <c r="BH979" s="235"/>
      <c r="BI979" s="235"/>
      <c r="BJ979" s="235"/>
      <c r="BK979" s="235"/>
      <c r="BL979" s="235"/>
      <c r="BM979" s="235"/>
      <c r="BN979" s="235"/>
      <c r="BO979" s="235"/>
    </row>
    <row r="980" ht="29.25" hidden="1" customHeight="1">
      <c r="A980" s="230"/>
      <c r="B980" s="231"/>
      <c r="C980" s="179"/>
      <c r="D980" s="179"/>
      <c r="E980" s="180"/>
      <c r="F980" s="162"/>
      <c r="G980" s="232"/>
      <c r="H980" s="234"/>
      <c r="I980" s="181"/>
      <c r="J980" s="182"/>
      <c r="K980" s="182"/>
      <c r="L980" s="182"/>
      <c r="M980" s="234"/>
      <c r="N980" s="28"/>
      <c r="O980" s="181"/>
      <c r="P980" s="183"/>
      <c r="Q980" s="104"/>
      <c r="R980" s="233"/>
      <c r="S980" s="164"/>
      <c r="T980" s="164"/>
      <c r="U980" s="162"/>
      <c r="V980" s="235"/>
      <c r="W980" s="235"/>
      <c r="X980" s="235"/>
      <c r="Y980" s="235"/>
      <c r="Z980" s="235"/>
      <c r="AA980" s="235"/>
      <c r="AB980" s="235"/>
      <c r="AC980" s="235"/>
      <c r="AD980" s="235"/>
      <c r="AE980" s="235"/>
      <c r="AF980" s="235"/>
      <c r="AG980" s="235"/>
      <c r="AH980" s="235"/>
      <c r="AI980" s="235"/>
      <c r="AJ980" s="235"/>
      <c r="AK980" s="235"/>
      <c r="AL980" s="235"/>
      <c r="AM980" s="235"/>
      <c r="AN980" s="235"/>
      <c r="AO980" s="235"/>
      <c r="AP980" s="235"/>
      <c r="AQ980" s="235"/>
      <c r="AR980" s="235"/>
      <c r="AS980" s="235"/>
      <c r="AT980" s="235"/>
      <c r="AU980" s="235"/>
      <c r="AV980" s="235"/>
      <c r="AW980" s="235"/>
      <c r="AX980" s="235"/>
      <c r="AY980" s="235"/>
      <c r="AZ980" s="235"/>
      <c r="BA980" s="235"/>
      <c r="BB980" s="235"/>
      <c r="BC980" s="235"/>
      <c r="BD980" s="235"/>
      <c r="BE980" s="235"/>
      <c r="BF980" s="235"/>
      <c r="BG980" s="235"/>
      <c r="BH980" s="235"/>
      <c r="BI980" s="235"/>
      <c r="BJ980" s="235"/>
      <c r="BK980" s="235"/>
      <c r="BL980" s="235"/>
      <c r="BM980" s="235"/>
      <c r="BN980" s="235"/>
      <c r="BO980" s="235"/>
    </row>
    <row r="981" ht="29.25" hidden="1" customHeight="1">
      <c r="A981" s="230"/>
      <c r="B981" s="231"/>
      <c r="C981" s="179"/>
      <c r="D981" s="179"/>
      <c r="E981" s="180"/>
      <c r="F981" s="162"/>
      <c r="G981" s="232"/>
      <c r="H981" s="234"/>
      <c r="I981" s="181"/>
      <c r="J981" s="182"/>
      <c r="K981" s="182"/>
      <c r="L981" s="182"/>
      <c r="M981" s="234"/>
      <c r="N981" s="28"/>
      <c r="O981" s="181"/>
      <c r="P981" s="183"/>
      <c r="Q981" s="104"/>
      <c r="R981" s="233"/>
      <c r="S981" s="164"/>
      <c r="T981" s="164"/>
      <c r="U981" s="162"/>
      <c r="V981" s="235"/>
      <c r="W981" s="235"/>
      <c r="X981" s="235"/>
      <c r="Y981" s="235"/>
      <c r="Z981" s="235"/>
      <c r="AA981" s="235"/>
      <c r="AB981" s="235"/>
      <c r="AC981" s="235"/>
      <c r="AD981" s="235"/>
      <c r="AE981" s="235"/>
      <c r="AF981" s="235"/>
      <c r="AG981" s="235"/>
      <c r="AH981" s="235"/>
      <c r="AI981" s="235"/>
      <c r="AJ981" s="235"/>
      <c r="AK981" s="235"/>
      <c r="AL981" s="235"/>
      <c r="AM981" s="235"/>
      <c r="AN981" s="235"/>
      <c r="AO981" s="235"/>
      <c r="AP981" s="235"/>
      <c r="AQ981" s="235"/>
      <c r="AR981" s="235"/>
      <c r="AS981" s="235"/>
      <c r="AT981" s="235"/>
      <c r="AU981" s="235"/>
      <c r="AV981" s="235"/>
      <c r="AW981" s="235"/>
      <c r="AX981" s="235"/>
      <c r="AY981" s="235"/>
      <c r="AZ981" s="235"/>
      <c r="BA981" s="235"/>
      <c r="BB981" s="235"/>
      <c r="BC981" s="235"/>
      <c r="BD981" s="235"/>
      <c r="BE981" s="235"/>
      <c r="BF981" s="235"/>
      <c r="BG981" s="235"/>
      <c r="BH981" s="235"/>
      <c r="BI981" s="235"/>
      <c r="BJ981" s="235"/>
      <c r="BK981" s="235"/>
      <c r="BL981" s="235"/>
      <c r="BM981" s="235"/>
      <c r="BN981" s="235"/>
      <c r="BO981" s="235"/>
    </row>
    <row r="982" ht="29.25" hidden="1" customHeight="1">
      <c r="A982" s="230"/>
      <c r="B982" s="231"/>
      <c r="C982" s="179"/>
      <c r="D982" s="179"/>
      <c r="E982" s="180"/>
      <c r="F982" s="162"/>
      <c r="G982" s="232"/>
      <c r="H982" s="234"/>
      <c r="I982" s="181"/>
      <c r="J982" s="182"/>
      <c r="K982" s="182"/>
      <c r="L982" s="182"/>
      <c r="M982" s="234"/>
      <c r="N982" s="28"/>
      <c r="O982" s="181"/>
      <c r="P982" s="183"/>
      <c r="Q982" s="104"/>
      <c r="R982" s="233"/>
      <c r="S982" s="164"/>
      <c r="T982" s="164"/>
      <c r="U982" s="162"/>
      <c r="V982" s="235"/>
      <c r="W982" s="235"/>
      <c r="X982" s="235"/>
      <c r="Y982" s="235"/>
      <c r="Z982" s="235"/>
      <c r="AA982" s="235"/>
      <c r="AB982" s="235"/>
      <c r="AC982" s="235"/>
      <c r="AD982" s="235"/>
      <c r="AE982" s="235"/>
      <c r="AF982" s="235"/>
      <c r="AG982" s="235"/>
      <c r="AH982" s="235"/>
      <c r="AI982" s="235"/>
      <c r="AJ982" s="235"/>
      <c r="AK982" s="235"/>
      <c r="AL982" s="235"/>
      <c r="AM982" s="235"/>
      <c r="AN982" s="235"/>
      <c r="AO982" s="235"/>
      <c r="AP982" s="235"/>
      <c r="AQ982" s="235"/>
      <c r="AR982" s="235"/>
      <c r="AS982" s="235"/>
      <c r="AT982" s="235"/>
      <c r="AU982" s="235"/>
      <c r="AV982" s="235"/>
      <c r="AW982" s="235"/>
      <c r="AX982" s="235"/>
      <c r="AY982" s="235"/>
      <c r="AZ982" s="235"/>
      <c r="BA982" s="235"/>
      <c r="BB982" s="235"/>
      <c r="BC982" s="235"/>
      <c r="BD982" s="235"/>
      <c r="BE982" s="235"/>
      <c r="BF982" s="235"/>
      <c r="BG982" s="235"/>
      <c r="BH982" s="235"/>
      <c r="BI982" s="235"/>
      <c r="BJ982" s="235"/>
      <c r="BK982" s="235"/>
      <c r="BL982" s="235"/>
      <c r="BM982" s="235"/>
      <c r="BN982" s="235"/>
      <c r="BO982" s="235"/>
    </row>
    <row r="983" ht="29.25" hidden="1" customHeight="1">
      <c r="A983" s="230"/>
      <c r="B983" s="231"/>
      <c r="C983" s="179"/>
      <c r="D983" s="179"/>
      <c r="E983" s="180"/>
      <c r="F983" s="162"/>
      <c r="G983" s="232"/>
      <c r="H983" s="234"/>
      <c r="I983" s="181"/>
      <c r="J983" s="182"/>
      <c r="K983" s="182"/>
      <c r="L983" s="182"/>
      <c r="M983" s="234"/>
      <c r="N983" s="28"/>
      <c r="O983" s="181"/>
      <c r="P983" s="183"/>
      <c r="Q983" s="104"/>
      <c r="R983" s="233"/>
      <c r="S983" s="164"/>
      <c r="T983" s="164"/>
      <c r="U983" s="162"/>
      <c r="V983" s="235"/>
      <c r="W983" s="235"/>
      <c r="X983" s="235"/>
      <c r="Y983" s="235"/>
      <c r="Z983" s="235"/>
      <c r="AA983" s="235"/>
      <c r="AB983" s="235"/>
      <c r="AC983" s="235"/>
      <c r="AD983" s="235"/>
      <c r="AE983" s="235"/>
      <c r="AF983" s="235"/>
      <c r="AG983" s="235"/>
      <c r="AH983" s="235"/>
      <c r="AI983" s="235"/>
      <c r="AJ983" s="235"/>
      <c r="AK983" s="235"/>
      <c r="AL983" s="235"/>
      <c r="AM983" s="235"/>
      <c r="AN983" s="235"/>
      <c r="AO983" s="235"/>
      <c r="AP983" s="235"/>
      <c r="AQ983" s="235"/>
      <c r="AR983" s="235"/>
      <c r="AS983" s="235"/>
      <c r="AT983" s="235"/>
      <c r="AU983" s="235"/>
      <c r="AV983" s="235"/>
      <c r="AW983" s="235"/>
      <c r="AX983" s="235"/>
      <c r="AY983" s="235"/>
      <c r="AZ983" s="235"/>
      <c r="BA983" s="235"/>
      <c r="BB983" s="235"/>
      <c r="BC983" s="235"/>
      <c r="BD983" s="235"/>
      <c r="BE983" s="235"/>
      <c r="BF983" s="235"/>
      <c r="BG983" s="235"/>
      <c r="BH983" s="235"/>
      <c r="BI983" s="235"/>
      <c r="BJ983" s="235"/>
      <c r="BK983" s="235"/>
      <c r="BL983" s="235"/>
      <c r="BM983" s="235"/>
      <c r="BN983" s="235"/>
      <c r="BO983" s="235"/>
    </row>
    <row r="984" ht="29.25" hidden="1" customHeight="1">
      <c r="A984" s="230"/>
      <c r="B984" s="231"/>
      <c r="C984" s="179"/>
      <c r="D984" s="179"/>
      <c r="E984" s="180"/>
      <c r="F984" s="162"/>
      <c r="G984" s="232"/>
      <c r="H984" s="234"/>
      <c r="I984" s="181"/>
      <c r="J984" s="182"/>
      <c r="K984" s="182"/>
      <c r="L984" s="182"/>
      <c r="M984" s="234"/>
      <c r="N984" s="28"/>
      <c r="O984" s="181"/>
      <c r="P984" s="183"/>
      <c r="Q984" s="104"/>
      <c r="R984" s="233"/>
      <c r="S984" s="164"/>
      <c r="T984" s="164"/>
      <c r="U984" s="162"/>
      <c r="V984" s="235"/>
      <c r="W984" s="235"/>
      <c r="X984" s="235"/>
      <c r="Y984" s="235"/>
      <c r="Z984" s="235"/>
      <c r="AA984" s="235"/>
      <c r="AB984" s="235"/>
      <c r="AC984" s="235"/>
      <c r="AD984" s="235"/>
      <c r="AE984" s="235"/>
      <c r="AF984" s="235"/>
      <c r="AG984" s="235"/>
      <c r="AH984" s="235"/>
      <c r="AI984" s="235"/>
      <c r="AJ984" s="235"/>
      <c r="AK984" s="235"/>
      <c r="AL984" s="235"/>
      <c r="AM984" s="235"/>
      <c r="AN984" s="235"/>
      <c r="AO984" s="235"/>
      <c r="AP984" s="235"/>
      <c r="AQ984" s="235"/>
      <c r="AR984" s="235"/>
      <c r="AS984" s="235"/>
      <c r="AT984" s="235"/>
      <c r="AU984" s="235"/>
      <c r="AV984" s="235"/>
      <c r="AW984" s="235"/>
      <c r="AX984" s="235"/>
      <c r="AY984" s="235"/>
      <c r="AZ984" s="235"/>
      <c r="BA984" s="235"/>
      <c r="BB984" s="235"/>
      <c r="BC984" s="235"/>
      <c r="BD984" s="235"/>
      <c r="BE984" s="235"/>
      <c r="BF984" s="235"/>
      <c r="BG984" s="235"/>
      <c r="BH984" s="235"/>
      <c r="BI984" s="235"/>
      <c r="BJ984" s="235"/>
      <c r="BK984" s="235"/>
      <c r="BL984" s="235"/>
      <c r="BM984" s="235"/>
      <c r="BN984" s="235"/>
      <c r="BO984" s="235"/>
    </row>
    <row r="985" ht="29.25" hidden="1" customHeight="1">
      <c r="A985" s="230"/>
      <c r="B985" s="231"/>
      <c r="C985" s="179"/>
      <c r="D985" s="179"/>
      <c r="E985" s="180"/>
      <c r="F985" s="162"/>
      <c r="G985" s="232"/>
      <c r="H985" s="234"/>
      <c r="I985" s="181"/>
      <c r="J985" s="182"/>
      <c r="K985" s="182"/>
      <c r="L985" s="182"/>
      <c r="M985" s="234"/>
      <c r="N985" s="28"/>
      <c r="O985" s="181"/>
      <c r="P985" s="183"/>
      <c r="Q985" s="104"/>
      <c r="R985" s="233"/>
      <c r="S985" s="164"/>
      <c r="T985" s="164"/>
      <c r="U985" s="162"/>
      <c r="V985" s="235"/>
      <c r="W985" s="235"/>
      <c r="X985" s="235"/>
      <c r="Y985" s="235"/>
      <c r="Z985" s="235"/>
      <c r="AA985" s="235"/>
      <c r="AB985" s="235"/>
      <c r="AC985" s="235"/>
      <c r="AD985" s="235"/>
      <c r="AE985" s="235"/>
      <c r="AF985" s="235"/>
      <c r="AG985" s="235"/>
      <c r="AH985" s="235"/>
      <c r="AI985" s="235"/>
      <c r="AJ985" s="235"/>
      <c r="AK985" s="235"/>
      <c r="AL985" s="235"/>
      <c r="AM985" s="235"/>
      <c r="AN985" s="235"/>
      <c r="AO985" s="235"/>
      <c r="AP985" s="235"/>
      <c r="AQ985" s="235"/>
      <c r="AR985" s="235"/>
      <c r="AS985" s="235"/>
      <c r="AT985" s="235"/>
      <c r="AU985" s="235"/>
      <c r="AV985" s="235"/>
      <c r="AW985" s="235"/>
      <c r="AX985" s="235"/>
      <c r="AY985" s="235"/>
      <c r="AZ985" s="235"/>
      <c r="BA985" s="235"/>
      <c r="BB985" s="235"/>
      <c r="BC985" s="235"/>
      <c r="BD985" s="235"/>
      <c r="BE985" s="235"/>
      <c r="BF985" s="235"/>
      <c r="BG985" s="235"/>
      <c r="BH985" s="235"/>
      <c r="BI985" s="235"/>
      <c r="BJ985" s="235"/>
      <c r="BK985" s="235"/>
      <c r="BL985" s="235"/>
      <c r="BM985" s="235"/>
      <c r="BN985" s="235"/>
      <c r="BO985" s="235"/>
    </row>
    <row r="986" ht="29.25" hidden="1" customHeight="1">
      <c r="A986" s="230"/>
      <c r="B986" s="231"/>
      <c r="C986" s="179"/>
      <c r="D986" s="179"/>
      <c r="E986" s="180"/>
      <c r="F986" s="162"/>
      <c r="G986" s="232"/>
      <c r="H986" s="234"/>
      <c r="I986" s="181"/>
      <c r="J986" s="182"/>
      <c r="K986" s="182"/>
      <c r="L986" s="182"/>
      <c r="M986" s="234"/>
      <c r="N986" s="28"/>
      <c r="O986" s="181"/>
      <c r="P986" s="183"/>
      <c r="Q986" s="104"/>
      <c r="R986" s="233"/>
      <c r="S986" s="164"/>
      <c r="T986" s="164"/>
      <c r="U986" s="162"/>
      <c r="V986" s="235"/>
      <c r="W986" s="235"/>
      <c r="X986" s="235"/>
      <c r="Y986" s="235"/>
      <c r="Z986" s="235"/>
      <c r="AA986" s="235"/>
      <c r="AB986" s="235"/>
      <c r="AC986" s="235"/>
      <c r="AD986" s="235"/>
      <c r="AE986" s="235"/>
      <c r="AF986" s="235"/>
      <c r="AG986" s="235"/>
      <c r="AH986" s="235"/>
      <c r="AI986" s="235"/>
      <c r="AJ986" s="235"/>
      <c r="AK986" s="235"/>
      <c r="AL986" s="235"/>
      <c r="AM986" s="235"/>
      <c r="AN986" s="235"/>
      <c r="AO986" s="235"/>
      <c r="AP986" s="235"/>
      <c r="AQ986" s="235"/>
      <c r="AR986" s="235"/>
      <c r="AS986" s="235"/>
      <c r="AT986" s="235"/>
      <c r="AU986" s="235"/>
      <c r="AV986" s="235"/>
      <c r="AW986" s="235"/>
      <c r="AX986" s="235"/>
      <c r="AY986" s="235"/>
      <c r="AZ986" s="235"/>
      <c r="BA986" s="235"/>
      <c r="BB986" s="235"/>
      <c r="BC986" s="235"/>
      <c r="BD986" s="235"/>
      <c r="BE986" s="235"/>
      <c r="BF986" s="235"/>
      <c r="BG986" s="235"/>
      <c r="BH986" s="235"/>
      <c r="BI986" s="235"/>
      <c r="BJ986" s="235"/>
      <c r="BK986" s="235"/>
      <c r="BL986" s="235"/>
      <c r="BM986" s="235"/>
      <c r="BN986" s="235"/>
      <c r="BO986" s="235"/>
    </row>
    <row r="987" ht="29.25" hidden="1" customHeight="1">
      <c r="A987" s="230"/>
      <c r="B987" s="231"/>
      <c r="C987" s="179"/>
      <c r="D987" s="179"/>
      <c r="E987" s="180"/>
      <c r="F987" s="162"/>
      <c r="G987" s="232"/>
      <c r="H987" s="234"/>
      <c r="I987" s="181"/>
      <c r="J987" s="182"/>
      <c r="K987" s="182"/>
      <c r="L987" s="182"/>
      <c r="M987" s="234"/>
      <c r="N987" s="28"/>
      <c r="O987" s="181"/>
      <c r="P987" s="183"/>
      <c r="Q987" s="104"/>
      <c r="R987" s="233"/>
      <c r="S987" s="164"/>
      <c r="T987" s="164"/>
      <c r="U987" s="162"/>
      <c r="V987" s="235"/>
      <c r="W987" s="235"/>
      <c r="X987" s="235"/>
      <c r="Y987" s="235"/>
      <c r="Z987" s="235"/>
      <c r="AA987" s="235"/>
      <c r="AB987" s="235"/>
      <c r="AC987" s="235"/>
      <c r="AD987" s="235"/>
      <c r="AE987" s="235"/>
      <c r="AF987" s="235"/>
      <c r="AG987" s="235"/>
      <c r="AH987" s="235"/>
      <c r="AI987" s="235"/>
      <c r="AJ987" s="235"/>
      <c r="AK987" s="235"/>
      <c r="AL987" s="235"/>
      <c r="AM987" s="235"/>
      <c r="AN987" s="235"/>
      <c r="AO987" s="235"/>
      <c r="AP987" s="235"/>
      <c r="AQ987" s="235"/>
      <c r="AR987" s="235"/>
      <c r="AS987" s="235"/>
      <c r="AT987" s="235"/>
      <c r="AU987" s="235"/>
      <c r="AV987" s="235"/>
      <c r="AW987" s="235"/>
      <c r="AX987" s="235"/>
      <c r="AY987" s="235"/>
      <c r="AZ987" s="235"/>
      <c r="BA987" s="235"/>
      <c r="BB987" s="235"/>
      <c r="BC987" s="235"/>
      <c r="BD987" s="235"/>
      <c r="BE987" s="235"/>
      <c r="BF987" s="235"/>
      <c r="BG987" s="235"/>
      <c r="BH987" s="235"/>
      <c r="BI987" s="235"/>
      <c r="BJ987" s="235"/>
      <c r="BK987" s="235"/>
      <c r="BL987" s="235"/>
      <c r="BM987" s="235"/>
      <c r="BN987" s="235"/>
      <c r="BO987" s="235"/>
    </row>
    <row r="988" ht="29.25" hidden="1" customHeight="1">
      <c r="A988" s="230"/>
      <c r="B988" s="231"/>
      <c r="C988" s="179"/>
      <c r="D988" s="179"/>
      <c r="E988" s="180"/>
      <c r="F988" s="162"/>
      <c r="G988" s="232"/>
      <c r="H988" s="234"/>
      <c r="I988" s="181"/>
      <c r="J988" s="182"/>
      <c r="K988" s="182"/>
      <c r="L988" s="182"/>
      <c r="M988" s="234"/>
      <c r="N988" s="28"/>
      <c r="O988" s="181"/>
      <c r="P988" s="183"/>
      <c r="Q988" s="104"/>
      <c r="R988" s="233"/>
      <c r="S988" s="164"/>
      <c r="T988" s="164"/>
      <c r="U988" s="162"/>
      <c r="V988" s="235"/>
      <c r="W988" s="235"/>
      <c r="X988" s="235"/>
      <c r="Y988" s="235"/>
      <c r="Z988" s="235"/>
      <c r="AA988" s="235"/>
      <c r="AB988" s="235"/>
      <c r="AC988" s="235"/>
      <c r="AD988" s="235"/>
      <c r="AE988" s="235"/>
      <c r="AF988" s="235"/>
      <c r="AG988" s="235"/>
      <c r="AH988" s="235"/>
      <c r="AI988" s="235"/>
      <c r="AJ988" s="235"/>
      <c r="AK988" s="235"/>
      <c r="AL988" s="235"/>
      <c r="AM988" s="235"/>
      <c r="AN988" s="235"/>
      <c r="AO988" s="235"/>
      <c r="AP988" s="235"/>
      <c r="AQ988" s="235"/>
      <c r="AR988" s="235"/>
      <c r="AS988" s="235"/>
      <c r="AT988" s="235"/>
      <c r="AU988" s="235"/>
      <c r="AV988" s="235"/>
      <c r="AW988" s="235"/>
      <c r="AX988" s="235"/>
      <c r="AY988" s="235"/>
      <c r="AZ988" s="235"/>
      <c r="BA988" s="235"/>
      <c r="BB988" s="235"/>
      <c r="BC988" s="235"/>
      <c r="BD988" s="235"/>
      <c r="BE988" s="235"/>
      <c r="BF988" s="235"/>
      <c r="BG988" s="235"/>
      <c r="BH988" s="235"/>
      <c r="BI988" s="235"/>
      <c r="BJ988" s="235"/>
      <c r="BK988" s="235"/>
      <c r="BL988" s="235"/>
      <c r="BM988" s="235"/>
      <c r="BN988" s="235"/>
      <c r="BO988" s="235"/>
    </row>
    <row r="989" ht="29.25" hidden="1" customHeight="1">
      <c r="A989" s="230"/>
      <c r="B989" s="231"/>
      <c r="C989" s="179"/>
      <c r="D989" s="179"/>
      <c r="E989" s="180"/>
      <c r="F989" s="162"/>
      <c r="G989" s="232"/>
      <c r="H989" s="234"/>
      <c r="I989" s="181"/>
      <c r="J989" s="182"/>
      <c r="K989" s="182"/>
      <c r="L989" s="182"/>
      <c r="M989" s="234"/>
      <c r="N989" s="28"/>
      <c r="O989" s="181"/>
      <c r="P989" s="183"/>
      <c r="Q989" s="104"/>
      <c r="R989" s="233"/>
      <c r="S989" s="164"/>
      <c r="T989" s="164"/>
      <c r="U989" s="162"/>
      <c r="V989" s="235"/>
      <c r="W989" s="235"/>
      <c r="X989" s="235"/>
      <c r="Y989" s="235"/>
      <c r="Z989" s="235"/>
      <c r="AA989" s="235"/>
      <c r="AB989" s="235"/>
      <c r="AC989" s="235"/>
      <c r="AD989" s="235"/>
      <c r="AE989" s="235"/>
      <c r="AF989" s="235"/>
      <c r="AG989" s="235"/>
      <c r="AH989" s="235"/>
      <c r="AI989" s="235"/>
      <c r="AJ989" s="235"/>
      <c r="AK989" s="235"/>
      <c r="AL989" s="235"/>
      <c r="AM989" s="235"/>
      <c r="AN989" s="235"/>
      <c r="AO989" s="235"/>
      <c r="AP989" s="235"/>
      <c r="AQ989" s="235"/>
      <c r="AR989" s="235"/>
      <c r="AS989" s="235"/>
      <c r="AT989" s="235"/>
      <c r="AU989" s="235"/>
      <c r="AV989" s="235"/>
      <c r="AW989" s="235"/>
      <c r="AX989" s="235"/>
      <c r="AY989" s="235"/>
      <c r="AZ989" s="235"/>
      <c r="BA989" s="235"/>
      <c r="BB989" s="235"/>
      <c r="BC989" s="235"/>
      <c r="BD989" s="235"/>
      <c r="BE989" s="235"/>
      <c r="BF989" s="235"/>
      <c r="BG989" s="235"/>
      <c r="BH989" s="235"/>
      <c r="BI989" s="235"/>
      <c r="BJ989" s="235"/>
      <c r="BK989" s="235"/>
      <c r="BL989" s="235"/>
      <c r="BM989" s="235"/>
      <c r="BN989" s="235"/>
      <c r="BO989" s="235"/>
    </row>
    <row r="990" ht="29.25" hidden="1" customHeight="1">
      <c r="A990" s="230"/>
      <c r="B990" s="231"/>
      <c r="C990" s="179"/>
      <c r="D990" s="179"/>
      <c r="E990" s="180"/>
      <c r="F990" s="162"/>
      <c r="G990" s="232"/>
      <c r="H990" s="234"/>
      <c r="I990" s="181"/>
      <c r="J990" s="182"/>
      <c r="K990" s="182"/>
      <c r="L990" s="182"/>
      <c r="M990" s="234"/>
      <c r="N990" s="28"/>
      <c r="O990" s="181"/>
      <c r="P990" s="183"/>
      <c r="Q990" s="104"/>
      <c r="R990" s="233"/>
      <c r="S990" s="164"/>
      <c r="T990" s="164"/>
      <c r="U990" s="162"/>
      <c r="V990" s="235"/>
      <c r="W990" s="235"/>
      <c r="X990" s="235"/>
      <c r="Y990" s="235"/>
      <c r="Z990" s="235"/>
      <c r="AA990" s="235"/>
      <c r="AB990" s="235"/>
      <c r="AC990" s="235"/>
      <c r="AD990" s="235"/>
      <c r="AE990" s="235"/>
      <c r="AF990" s="235"/>
      <c r="AG990" s="235"/>
      <c r="AH990" s="235"/>
      <c r="AI990" s="235"/>
      <c r="AJ990" s="235"/>
      <c r="AK990" s="235"/>
      <c r="AL990" s="235"/>
      <c r="AM990" s="235"/>
      <c r="AN990" s="235"/>
      <c r="AO990" s="235"/>
      <c r="AP990" s="235"/>
      <c r="AQ990" s="235"/>
      <c r="AR990" s="235"/>
      <c r="AS990" s="235"/>
      <c r="AT990" s="235"/>
      <c r="AU990" s="235"/>
      <c r="AV990" s="235"/>
      <c r="AW990" s="235"/>
      <c r="AX990" s="235"/>
      <c r="AY990" s="235"/>
      <c r="AZ990" s="235"/>
      <c r="BA990" s="235"/>
      <c r="BB990" s="235"/>
      <c r="BC990" s="235"/>
      <c r="BD990" s="235"/>
      <c r="BE990" s="235"/>
      <c r="BF990" s="235"/>
      <c r="BG990" s="235"/>
      <c r="BH990" s="235"/>
      <c r="BI990" s="235"/>
      <c r="BJ990" s="235"/>
      <c r="BK990" s="235"/>
      <c r="BL990" s="235"/>
      <c r="BM990" s="235"/>
      <c r="BN990" s="235"/>
      <c r="BO990" s="235"/>
    </row>
    <row r="991" ht="29.25" hidden="1" customHeight="1">
      <c r="A991" s="230"/>
      <c r="B991" s="231"/>
      <c r="C991" s="179"/>
      <c r="D991" s="179"/>
      <c r="E991" s="180"/>
      <c r="F991" s="162"/>
      <c r="G991" s="232"/>
      <c r="H991" s="234"/>
      <c r="I991" s="181"/>
      <c r="J991" s="182"/>
      <c r="K991" s="182"/>
      <c r="L991" s="182"/>
      <c r="M991" s="234"/>
      <c r="N991" s="28"/>
      <c r="O991" s="181"/>
      <c r="P991" s="183"/>
      <c r="Q991" s="104"/>
      <c r="R991" s="233"/>
      <c r="S991" s="164"/>
      <c r="T991" s="164"/>
      <c r="U991" s="162"/>
      <c r="V991" s="235"/>
      <c r="W991" s="235"/>
      <c r="X991" s="235"/>
      <c r="Y991" s="235"/>
      <c r="Z991" s="235"/>
      <c r="AA991" s="235"/>
      <c r="AB991" s="235"/>
      <c r="AC991" s="235"/>
      <c r="AD991" s="235"/>
      <c r="AE991" s="235"/>
      <c r="AF991" s="235"/>
      <c r="AG991" s="235"/>
      <c r="AH991" s="235"/>
      <c r="AI991" s="235"/>
      <c r="AJ991" s="235"/>
      <c r="AK991" s="235"/>
      <c r="AL991" s="235"/>
      <c r="AM991" s="235"/>
      <c r="AN991" s="235"/>
      <c r="AO991" s="235"/>
      <c r="AP991" s="235"/>
      <c r="AQ991" s="235"/>
      <c r="AR991" s="235"/>
      <c r="AS991" s="235"/>
      <c r="AT991" s="235"/>
      <c r="AU991" s="235"/>
      <c r="AV991" s="235"/>
      <c r="AW991" s="235"/>
      <c r="AX991" s="235"/>
      <c r="AY991" s="235"/>
      <c r="AZ991" s="235"/>
      <c r="BA991" s="235"/>
      <c r="BB991" s="235"/>
      <c r="BC991" s="235"/>
      <c r="BD991" s="235"/>
      <c r="BE991" s="235"/>
      <c r="BF991" s="235"/>
      <c r="BG991" s="235"/>
      <c r="BH991" s="235"/>
      <c r="BI991" s="235"/>
      <c r="BJ991" s="235"/>
      <c r="BK991" s="235"/>
      <c r="BL991" s="235"/>
      <c r="BM991" s="235"/>
      <c r="BN991" s="235"/>
      <c r="BO991" s="235"/>
    </row>
    <row r="992" ht="29.25" hidden="1" customHeight="1">
      <c r="A992" s="230"/>
      <c r="B992" s="231"/>
      <c r="C992" s="179"/>
      <c r="D992" s="179"/>
      <c r="E992" s="180"/>
      <c r="F992" s="162"/>
      <c r="G992" s="232"/>
      <c r="H992" s="234"/>
      <c r="I992" s="181"/>
      <c r="J992" s="182"/>
      <c r="K992" s="182"/>
      <c r="L992" s="182"/>
      <c r="M992" s="234"/>
      <c r="N992" s="28"/>
      <c r="O992" s="181"/>
      <c r="P992" s="183"/>
      <c r="Q992" s="104"/>
      <c r="R992" s="233"/>
      <c r="S992" s="164"/>
      <c r="T992" s="164"/>
      <c r="U992" s="162"/>
      <c r="V992" s="235"/>
      <c r="W992" s="235"/>
      <c r="X992" s="235"/>
      <c r="Y992" s="235"/>
      <c r="Z992" s="235"/>
      <c r="AA992" s="235"/>
      <c r="AB992" s="235"/>
      <c r="AC992" s="235"/>
      <c r="AD992" s="235"/>
      <c r="AE992" s="235"/>
      <c r="AF992" s="235"/>
      <c r="AG992" s="235"/>
      <c r="AH992" s="235"/>
      <c r="AI992" s="235"/>
      <c r="AJ992" s="235"/>
      <c r="AK992" s="235"/>
      <c r="AL992" s="235"/>
      <c r="AM992" s="235"/>
      <c r="AN992" s="235"/>
      <c r="AO992" s="235"/>
      <c r="AP992" s="235"/>
      <c r="AQ992" s="235"/>
      <c r="AR992" s="235"/>
      <c r="AS992" s="235"/>
      <c r="AT992" s="235"/>
      <c r="AU992" s="235"/>
      <c r="AV992" s="235"/>
      <c r="AW992" s="235"/>
      <c r="AX992" s="235"/>
      <c r="AY992" s="235"/>
      <c r="AZ992" s="235"/>
      <c r="BA992" s="235"/>
      <c r="BB992" s="235"/>
      <c r="BC992" s="235"/>
      <c r="BD992" s="235"/>
      <c r="BE992" s="235"/>
      <c r="BF992" s="235"/>
      <c r="BG992" s="235"/>
      <c r="BH992" s="235"/>
      <c r="BI992" s="235"/>
      <c r="BJ992" s="235"/>
      <c r="BK992" s="235"/>
      <c r="BL992" s="235"/>
      <c r="BM992" s="235"/>
      <c r="BN992" s="235"/>
      <c r="BO992" s="235"/>
    </row>
    <row r="993" ht="29.25" hidden="1" customHeight="1">
      <c r="A993" s="230"/>
      <c r="B993" s="231"/>
      <c r="C993" s="179"/>
      <c r="D993" s="179"/>
      <c r="E993" s="180"/>
      <c r="F993" s="162"/>
      <c r="G993" s="232"/>
      <c r="H993" s="234"/>
      <c r="I993" s="181"/>
      <c r="J993" s="182"/>
      <c r="K993" s="182"/>
      <c r="L993" s="182"/>
      <c r="M993" s="234"/>
      <c r="N993" s="28"/>
      <c r="O993" s="181"/>
      <c r="P993" s="183"/>
      <c r="Q993" s="104"/>
      <c r="R993" s="233"/>
      <c r="S993" s="164"/>
      <c r="T993" s="164"/>
      <c r="U993" s="162"/>
      <c r="V993" s="235"/>
      <c r="W993" s="235"/>
      <c r="X993" s="235"/>
      <c r="Y993" s="235"/>
      <c r="Z993" s="235"/>
      <c r="AA993" s="235"/>
      <c r="AB993" s="235"/>
      <c r="AC993" s="235"/>
      <c r="AD993" s="235"/>
      <c r="AE993" s="235"/>
      <c r="AF993" s="235"/>
      <c r="AG993" s="235"/>
      <c r="AH993" s="235"/>
      <c r="AI993" s="235"/>
      <c r="AJ993" s="235"/>
      <c r="AK993" s="235"/>
      <c r="AL993" s="235"/>
      <c r="AM993" s="235"/>
      <c r="AN993" s="235"/>
      <c r="AO993" s="235"/>
      <c r="AP993" s="235"/>
      <c r="AQ993" s="235"/>
      <c r="AR993" s="235"/>
      <c r="AS993" s="235"/>
      <c r="AT993" s="235"/>
      <c r="AU993" s="235"/>
      <c r="AV993" s="235"/>
      <c r="AW993" s="235"/>
      <c r="AX993" s="235"/>
      <c r="AY993" s="235"/>
      <c r="AZ993" s="235"/>
      <c r="BA993" s="235"/>
      <c r="BB993" s="235"/>
      <c r="BC993" s="235"/>
      <c r="BD993" s="235"/>
      <c r="BE993" s="235"/>
      <c r="BF993" s="235"/>
      <c r="BG993" s="235"/>
      <c r="BH993" s="235"/>
      <c r="BI993" s="235"/>
      <c r="BJ993" s="235"/>
      <c r="BK993" s="235"/>
      <c r="BL993" s="235"/>
      <c r="BM993" s="235"/>
      <c r="BN993" s="235"/>
      <c r="BO993" s="235"/>
    </row>
    <row r="994" ht="29.25" hidden="1" customHeight="1">
      <c r="A994" s="230"/>
      <c r="B994" s="231"/>
      <c r="C994" s="179"/>
      <c r="D994" s="179"/>
      <c r="E994" s="180"/>
      <c r="F994" s="162"/>
      <c r="G994" s="232"/>
      <c r="H994" s="234"/>
      <c r="I994" s="181"/>
      <c r="J994" s="182"/>
      <c r="K994" s="182"/>
      <c r="L994" s="182"/>
      <c r="M994" s="234"/>
      <c r="N994" s="28"/>
      <c r="O994" s="181"/>
      <c r="P994" s="183"/>
      <c r="Q994" s="104"/>
      <c r="R994" s="233"/>
      <c r="S994" s="164"/>
      <c r="T994" s="164"/>
      <c r="U994" s="162"/>
      <c r="V994" s="235"/>
      <c r="W994" s="235"/>
      <c r="X994" s="235"/>
      <c r="Y994" s="235"/>
      <c r="Z994" s="235"/>
      <c r="AA994" s="235"/>
      <c r="AB994" s="235"/>
      <c r="AC994" s="235"/>
      <c r="AD994" s="235"/>
      <c r="AE994" s="235"/>
      <c r="AF994" s="235"/>
      <c r="AG994" s="235"/>
      <c r="AH994" s="235"/>
      <c r="AI994" s="235"/>
      <c r="AJ994" s="235"/>
      <c r="AK994" s="235"/>
      <c r="AL994" s="235"/>
      <c r="AM994" s="235"/>
      <c r="AN994" s="235"/>
      <c r="AO994" s="235"/>
      <c r="AP994" s="235"/>
      <c r="AQ994" s="235"/>
      <c r="AR994" s="235"/>
      <c r="AS994" s="235"/>
      <c r="AT994" s="235"/>
      <c r="AU994" s="235"/>
      <c r="AV994" s="235"/>
      <c r="AW994" s="235"/>
      <c r="AX994" s="235"/>
      <c r="AY994" s="235"/>
      <c r="AZ994" s="235"/>
      <c r="BA994" s="235"/>
      <c r="BB994" s="235"/>
      <c r="BC994" s="235"/>
      <c r="BD994" s="235"/>
      <c r="BE994" s="235"/>
      <c r="BF994" s="235"/>
      <c r="BG994" s="235"/>
      <c r="BH994" s="235"/>
      <c r="BI994" s="235"/>
      <c r="BJ994" s="235"/>
      <c r="BK994" s="235"/>
      <c r="BL994" s="235"/>
      <c r="BM994" s="235"/>
      <c r="BN994" s="235"/>
      <c r="BO994" s="235"/>
    </row>
    <row r="995" ht="29.25" hidden="1" customHeight="1">
      <c r="A995" s="230"/>
      <c r="B995" s="231"/>
      <c r="C995" s="179"/>
      <c r="D995" s="179"/>
      <c r="E995" s="180"/>
      <c r="F995" s="162"/>
      <c r="G995" s="232"/>
      <c r="H995" s="234"/>
      <c r="I995" s="181"/>
      <c r="J995" s="182"/>
      <c r="K995" s="182"/>
      <c r="L995" s="182"/>
      <c r="M995" s="234"/>
      <c r="N995" s="28"/>
      <c r="O995" s="181"/>
      <c r="P995" s="183"/>
      <c r="Q995" s="104"/>
      <c r="R995" s="233"/>
      <c r="S995" s="164"/>
      <c r="T995" s="164"/>
      <c r="U995" s="162"/>
      <c r="V995" s="235"/>
      <c r="W995" s="235"/>
      <c r="X995" s="235"/>
      <c r="Y995" s="235"/>
      <c r="Z995" s="235"/>
      <c r="AA995" s="235"/>
      <c r="AB995" s="235"/>
      <c r="AC995" s="235"/>
      <c r="AD995" s="235"/>
      <c r="AE995" s="235"/>
      <c r="AF995" s="235"/>
      <c r="AG995" s="235"/>
      <c r="AH995" s="235"/>
      <c r="AI995" s="235"/>
      <c r="AJ995" s="235"/>
      <c r="AK995" s="235"/>
      <c r="AL995" s="235"/>
      <c r="AM995" s="235"/>
      <c r="AN995" s="235"/>
      <c r="AO995" s="235"/>
      <c r="AP995" s="235"/>
      <c r="AQ995" s="235"/>
      <c r="AR995" s="235"/>
      <c r="AS995" s="235"/>
      <c r="AT995" s="235"/>
      <c r="AU995" s="235"/>
      <c r="AV995" s="235"/>
      <c r="AW995" s="235"/>
      <c r="AX995" s="235"/>
      <c r="AY995" s="235"/>
      <c r="AZ995" s="235"/>
      <c r="BA995" s="235"/>
      <c r="BB995" s="235"/>
      <c r="BC995" s="235"/>
      <c r="BD995" s="235"/>
      <c r="BE995" s="235"/>
      <c r="BF995" s="235"/>
      <c r="BG995" s="235"/>
      <c r="BH995" s="235"/>
      <c r="BI995" s="235"/>
      <c r="BJ995" s="235"/>
      <c r="BK995" s="235"/>
      <c r="BL995" s="235"/>
      <c r="BM995" s="235"/>
      <c r="BN995" s="235"/>
      <c r="BO995" s="235"/>
    </row>
    <row r="996" ht="29.25" hidden="1" customHeight="1">
      <c r="A996" s="230"/>
      <c r="B996" s="231"/>
      <c r="C996" s="179"/>
      <c r="D996" s="179"/>
      <c r="E996" s="180"/>
      <c r="F996" s="162"/>
      <c r="G996" s="232"/>
      <c r="H996" s="234"/>
      <c r="I996" s="181"/>
      <c r="J996" s="182"/>
      <c r="K996" s="182"/>
      <c r="L996" s="182"/>
      <c r="M996" s="234"/>
      <c r="N996" s="28"/>
      <c r="O996" s="181"/>
      <c r="P996" s="183"/>
      <c r="Q996" s="104"/>
      <c r="R996" s="233"/>
      <c r="S996" s="164"/>
      <c r="T996" s="164"/>
      <c r="U996" s="162"/>
      <c r="V996" s="235"/>
      <c r="W996" s="235"/>
      <c r="X996" s="235"/>
      <c r="Y996" s="235"/>
      <c r="Z996" s="235"/>
      <c r="AA996" s="235"/>
      <c r="AB996" s="235"/>
      <c r="AC996" s="235"/>
      <c r="AD996" s="235"/>
      <c r="AE996" s="235"/>
      <c r="AF996" s="235"/>
      <c r="AG996" s="235"/>
      <c r="AH996" s="235"/>
      <c r="AI996" s="235"/>
      <c r="AJ996" s="235"/>
      <c r="AK996" s="235"/>
      <c r="AL996" s="235"/>
      <c r="AM996" s="235"/>
      <c r="AN996" s="235"/>
      <c r="AO996" s="235"/>
      <c r="AP996" s="235"/>
      <c r="AQ996" s="235"/>
      <c r="AR996" s="235"/>
      <c r="AS996" s="235"/>
      <c r="AT996" s="235"/>
      <c r="AU996" s="235"/>
      <c r="AV996" s="235"/>
      <c r="AW996" s="235"/>
      <c r="AX996" s="235"/>
      <c r="AY996" s="235"/>
      <c r="AZ996" s="235"/>
      <c r="BA996" s="235"/>
      <c r="BB996" s="235"/>
      <c r="BC996" s="235"/>
      <c r="BD996" s="235"/>
      <c r="BE996" s="235"/>
      <c r="BF996" s="235"/>
      <c r="BG996" s="235"/>
      <c r="BH996" s="235"/>
      <c r="BI996" s="235"/>
      <c r="BJ996" s="235"/>
      <c r="BK996" s="235"/>
      <c r="BL996" s="235"/>
      <c r="BM996" s="235"/>
      <c r="BN996" s="235"/>
      <c r="BO996" s="235"/>
    </row>
    <row r="997" ht="29.25" hidden="1" customHeight="1">
      <c r="A997" s="230"/>
      <c r="B997" s="231"/>
      <c r="C997" s="179"/>
      <c r="D997" s="179"/>
      <c r="E997" s="180"/>
      <c r="F997" s="162"/>
      <c r="G997" s="232"/>
      <c r="H997" s="234"/>
      <c r="I997" s="181"/>
      <c r="J997" s="182"/>
      <c r="K997" s="182"/>
      <c r="L997" s="182"/>
      <c r="M997" s="234"/>
      <c r="N997" s="28"/>
      <c r="O997" s="181"/>
      <c r="P997" s="183"/>
      <c r="Q997" s="104"/>
      <c r="R997" s="233"/>
      <c r="S997" s="164"/>
      <c r="T997" s="164"/>
      <c r="U997" s="162"/>
      <c r="V997" s="235"/>
      <c r="W997" s="235"/>
      <c r="X997" s="235"/>
      <c r="Y997" s="235"/>
      <c r="Z997" s="235"/>
      <c r="AA997" s="235"/>
      <c r="AB997" s="235"/>
      <c r="AC997" s="235"/>
      <c r="AD997" s="235"/>
      <c r="AE997" s="235"/>
      <c r="AF997" s="235"/>
      <c r="AG997" s="235"/>
      <c r="AH997" s="235"/>
      <c r="AI997" s="235"/>
      <c r="AJ997" s="235"/>
      <c r="AK997" s="235"/>
      <c r="AL997" s="235"/>
      <c r="AM997" s="235"/>
      <c r="AN997" s="235"/>
      <c r="AO997" s="235"/>
      <c r="AP997" s="235"/>
      <c r="AQ997" s="235"/>
      <c r="AR997" s="235"/>
      <c r="AS997" s="235"/>
      <c r="AT997" s="235"/>
      <c r="AU997" s="235"/>
      <c r="AV997" s="235"/>
      <c r="AW997" s="235"/>
      <c r="AX997" s="235"/>
      <c r="AY997" s="235"/>
      <c r="AZ997" s="235"/>
      <c r="BA997" s="235"/>
      <c r="BB997" s="235"/>
      <c r="BC997" s="235"/>
      <c r="BD997" s="235"/>
      <c r="BE997" s="235"/>
      <c r="BF997" s="235"/>
      <c r="BG997" s="235"/>
      <c r="BH997" s="235"/>
      <c r="BI997" s="235"/>
      <c r="BJ997" s="235"/>
      <c r="BK997" s="235"/>
      <c r="BL997" s="235"/>
      <c r="BM997" s="235"/>
      <c r="BN997" s="235"/>
      <c r="BO997" s="235"/>
    </row>
    <row r="998" ht="29.25" hidden="1" customHeight="1">
      <c r="A998" s="230"/>
      <c r="B998" s="231"/>
      <c r="C998" s="179"/>
      <c r="D998" s="179"/>
      <c r="E998" s="180"/>
      <c r="F998" s="162"/>
      <c r="G998" s="232"/>
      <c r="H998" s="234"/>
      <c r="I998" s="181"/>
      <c r="J998" s="182"/>
      <c r="K998" s="182"/>
      <c r="L998" s="182"/>
      <c r="M998" s="234"/>
      <c r="N998" s="28"/>
      <c r="O998" s="181"/>
      <c r="P998" s="183"/>
      <c r="Q998" s="104"/>
      <c r="R998" s="233"/>
      <c r="S998" s="164"/>
      <c r="T998" s="164"/>
      <c r="U998" s="162"/>
      <c r="V998" s="235"/>
      <c r="W998" s="235"/>
      <c r="X998" s="235"/>
      <c r="Y998" s="235"/>
      <c r="Z998" s="235"/>
      <c r="AA998" s="235"/>
      <c r="AB998" s="235"/>
      <c r="AC998" s="235"/>
      <c r="AD998" s="235"/>
      <c r="AE998" s="235"/>
      <c r="AF998" s="235"/>
      <c r="AG998" s="235"/>
      <c r="AH998" s="235"/>
      <c r="AI998" s="235"/>
      <c r="AJ998" s="235"/>
      <c r="AK998" s="235"/>
      <c r="AL998" s="235"/>
      <c r="AM998" s="235"/>
      <c r="AN998" s="235"/>
      <c r="AO998" s="235"/>
      <c r="AP998" s="235"/>
      <c r="AQ998" s="235"/>
      <c r="AR998" s="235"/>
      <c r="AS998" s="235"/>
      <c r="AT998" s="235"/>
      <c r="AU998" s="235"/>
      <c r="AV998" s="235"/>
      <c r="AW998" s="235"/>
      <c r="AX998" s="235"/>
      <c r="AY998" s="235"/>
      <c r="AZ998" s="235"/>
      <c r="BA998" s="235"/>
      <c r="BB998" s="235"/>
      <c r="BC998" s="235"/>
      <c r="BD998" s="235"/>
      <c r="BE998" s="235"/>
      <c r="BF998" s="235"/>
      <c r="BG998" s="235"/>
      <c r="BH998" s="235"/>
      <c r="BI998" s="235"/>
      <c r="BJ998" s="235"/>
      <c r="BK998" s="235"/>
      <c r="BL998" s="235"/>
      <c r="BM998" s="235"/>
      <c r="BN998" s="235"/>
      <c r="BO998" s="235"/>
    </row>
    <row r="999" ht="29.25" hidden="1" customHeight="1">
      <c r="A999" s="230"/>
      <c r="B999" s="231"/>
      <c r="C999" s="179"/>
      <c r="D999" s="179"/>
      <c r="E999" s="180"/>
      <c r="F999" s="162"/>
      <c r="G999" s="232"/>
      <c r="H999" s="234"/>
      <c r="I999" s="181"/>
      <c r="J999" s="182"/>
      <c r="K999" s="182"/>
      <c r="L999" s="182"/>
      <c r="M999" s="234"/>
      <c r="N999" s="28"/>
      <c r="O999" s="181"/>
      <c r="P999" s="183"/>
      <c r="Q999" s="104"/>
      <c r="R999" s="233"/>
      <c r="S999" s="164"/>
      <c r="T999" s="164"/>
      <c r="U999" s="162"/>
      <c r="V999" s="235"/>
      <c r="W999" s="235"/>
      <c r="X999" s="235"/>
      <c r="Y999" s="235"/>
      <c r="Z999" s="235"/>
      <c r="AA999" s="235"/>
      <c r="AB999" s="235"/>
      <c r="AC999" s="235"/>
      <c r="AD999" s="235"/>
      <c r="AE999" s="235"/>
      <c r="AF999" s="235"/>
      <c r="AG999" s="235"/>
      <c r="AH999" s="235"/>
      <c r="AI999" s="235"/>
      <c r="AJ999" s="235"/>
      <c r="AK999" s="235"/>
      <c r="AL999" s="235"/>
      <c r="AM999" s="235"/>
      <c r="AN999" s="235"/>
      <c r="AO999" s="235"/>
      <c r="AP999" s="235"/>
      <c r="AQ999" s="235"/>
      <c r="AR999" s="235"/>
      <c r="AS999" s="235"/>
      <c r="AT999" s="235"/>
      <c r="AU999" s="235"/>
      <c r="AV999" s="235"/>
      <c r="AW999" s="235"/>
      <c r="AX999" s="235"/>
      <c r="AY999" s="235"/>
      <c r="AZ999" s="235"/>
      <c r="BA999" s="235"/>
      <c r="BB999" s="235"/>
      <c r="BC999" s="235"/>
      <c r="BD999" s="235"/>
      <c r="BE999" s="235"/>
      <c r="BF999" s="235"/>
      <c r="BG999" s="235"/>
      <c r="BH999" s="235"/>
      <c r="BI999" s="235"/>
      <c r="BJ999" s="235"/>
      <c r="BK999" s="235"/>
      <c r="BL999" s="235"/>
      <c r="BM999" s="235"/>
      <c r="BN999" s="235"/>
      <c r="BO999" s="235"/>
    </row>
    <row r="1000" ht="29.25" hidden="1" customHeight="1">
      <c r="A1000" s="230"/>
      <c r="B1000" s="231"/>
      <c r="C1000" s="179"/>
      <c r="D1000" s="179"/>
      <c r="E1000" s="180"/>
      <c r="F1000" s="162"/>
      <c r="G1000" s="232"/>
      <c r="H1000" s="234"/>
      <c r="I1000" s="181"/>
      <c r="J1000" s="182"/>
      <c r="K1000" s="182"/>
      <c r="L1000" s="182"/>
      <c r="M1000" s="234"/>
      <c r="N1000" s="28"/>
      <c r="O1000" s="181"/>
      <c r="P1000" s="183"/>
      <c r="Q1000" s="104"/>
      <c r="R1000" s="233"/>
      <c r="S1000" s="164"/>
      <c r="T1000" s="164"/>
      <c r="U1000" s="162"/>
      <c r="V1000" s="235"/>
      <c r="W1000" s="235"/>
      <c r="X1000" s="235"/>
      <c r="Y1000" s="235"/>
      <c r="Z1000" s="235"/>
      <c r="AA1000" s="235"/>
      <c r="AB1000" s="235"/>
      <c r="AC1000" s="235"/>
      <c r="AD1000" s="235"/>
      <c r="AE1000" s="235"/>
      <c r="AF1000" s="235"/>
      <c r="AG1000" s="235"/>
      <c r="AH1000" s="235"/>
      <c r="AI1000" s="235"/>
      <c r="AJ1000" s="235"/>
      <c r="AK1000" s="235"/>
      <c r="AL1000" s="235"/>
      <c r="AM1000" s="235"/>
      <c r="AN1000" s="235"/>
      <c r="AO1000" s="235"/>
      <c r="AP1000" s="235"/>
      <c r="AQ1000" s="235"/>
      <c r="AR1000" s="235"/>
      <c r="AS1000" s="235"/>
      <c r="AT1000" s="235"/>
      <c r="AU1000" s="235"/>
      <c r="AV1000" s="235"/>
      <c r="AW1000" s="235"/>
      <c r="AX1000" s="235"/>
      <c r="AY1000" s="235"/>
      <c r="AZ1000" s="235"/>
      <c r="BA1000" s="235"/>
      <c r="BB1000" s="235"/>
      <c r="BC1000" s="235"/>
      <c r="BD1000" s="235"/>
      <c r="BE1000" s="235"/>
      <c r="BF1000" s="235"/>
      <c r="BG1000" s="235"/>
      <c r="BH1000" s="235"/>
      <c r="BI1000" s="235"/>
      <c r="BJ1000" s="235"/>
      <c r="BK1000" s="235"/>
      <c r="BL1000" s="235"/>
      <c r="BM1000" s="235"/>
      <c r="BN1000" s="235"/>
      <c r="BO1000" s="235"/>
    </row>
    <row r="1001" ht="29.25" hidden="1" customHeight="1">
      <c r="A1001" s="230"/>
      <c r="B1001" s="231"/>
      <c r="C1001" s="179"/>
      <c r="D1001" s="179"/>
      <c r="E1001" s="180"/>
      <c r="F1001" s="162"/>
      <c r="G1001" s="232"/>
      <c r="H1001" s="234"/>
      <c r="I1001" s="181"/>
      <c r="J1001" s="182"/>
      <c r="K1001" s="182"/>
      <c r="L1001" s="182"/>
      <c r="M1001" s="234"/>
      <c r="N1001" s="28"/>
      <c r="O1001" s="181"/>
      <c r="P1001" s="183"/>
      <c r="Q1001" s="104"/>
      <c r="R1001" s="233"/>
      <c r="S1001" s="164"/>
      <c r="T1001" s="164"/>
      <c r="U1001" s="162"/>
      <c r="V1001" s="235"/>
      <c r="W1001" s="235"/>
      <c r="X1001" s="235"/>
      <c r="Y1001" s="235"/>
      <c r="Z1001" s="235"/>
      <c r="AA1001" s="235"/>
      <c r="AB1001" s="235"/>
      <c r="AC1001" s="235"/>
      <c r="AD1001" s="235"/>
      <c r="AE1001" s="235"/>
      <c r="AF1001" s="235"/>
      <c r="AG1001" s="235"/>
      <c r="AH1001" s="235"/>
      <c r="AI1001" s="235"/>
      <c r="AJ1001" s="235"/>
      <c r="AK1001" s="235"/>
      <c r="AL1001" s="235"/>
      <c r="AM1001" s="235"/>
      <c r="AN1001" s="235"/>
      <c r="AO1001" s="235"/>
      <c r="AP1001" s="235"/>
      <c r="AQ1001" s="235"/>
      <c r="AR1001" s="235"/>
      <c r="AS1001" s="235"/>
      <c r="AT1001" s="235"/>
      <c r="AU1001" s="235"/>
      <c r="AV1001" s="235"/>
      <c r="AW1001" s="235"/>
      <c r="AX1001" s="235"/>
      <c r="AY1001" s="235"/>
      <c r="AZ1001" s="235"/>
      <c r="BA1001" s="235"/>
      <c r="BB1001" s="235"/>
      <c r="BC1001" s="235"/>
      <c r="BD1001" s="235"/>
      <c r="BE1001" s="235"/>
      <c r="BF1001" s="235"/>
      <c r="BG1001" s="235"/>
      <c r="BH1001" s="235"/>
      <c r="BI1001" s="235"/>
      <c r="BJ1001" s="235"/>
      <c r="BK1001" s="235"/>
      <c r="BL1001" s="235"/>
      <c r="BM1001" s="235"/>
      <c r="BN1001" s="235"/>
      <c r="BO1001" s="235"/>
    </row>
    <row r="1002" ht="29.25" hidden="1" customHeight="1">
      <c r="A1002" s="230"/>
      <c r="B1002" s="231"/>
      <c r="C1002" s="179"/>
      <c r="D1002" s="179"/>
      <c r="E1002" s="180"/>
      <c r="F1002" s="162"/>
      <c r="G1002" s="232"/>
      <c r="H1002" s="234"/>
      <c r="I1002" s="181"/>
      <c r="J1002" s="182"/>
      <c r="K1002" s="182"/>
      <c r="L1002" s="182"/>
      <c r="M1002" s="234"/>
      <c r="N1002" s="28"/>
      <c r="O1002" s="181"/>
      <c r="P1002" s="183"/>
      <c r="Q1002" s="104"/>
      <c r="R1002" s="233"/>
      <c r="S1002" s="164"/>
      <c r="T1002" s="164"/>
      <c r="U1002" s="162"/>
      <c r="V1002" s="235"/>
      <c r="W1002" s="235"/>
      <c r="X1002" s="235"/>
      <c r="Y1002" s="235"/>
      <c r="Z1002" s="235"/>
      <c r="AA1002" s="235"/>
      <c r="AB1002" s="235"/>
      <c r="AC1002" s="235"/>
      <c r="AD1002" s="235"/>
      <c r="AE1002" s="235"/>
      <c r="AF1002" s="235"/>
      <c r="AG1002" s="235"/>
      <c r="AH1002" s="235"/>
      <c r="AI1002" s="235"/>
      <c r="AJ1002" s="235"/>
      <c r="AK1002" s="235"/>
      <c r="AL1002" s="235"/>
      <c r="AM1002" s="235"/>
      <c r="AN1002" s="235"/>
      <c r="AO1002" s="235"/>
      <c r="AP1002" s="235"/>
      <c r="AQ1002" s="235"/>
      <c r="AR1002" s="235"/>
      <c r="AS1002" s="235"/>
      <c r="AT1002" s="235"/>
      <c r="AU1002" s="235"/>
      <c r="AV1002" s="235"/>
      <c r="AW1002" s="235"/>
      <c r="AX1002" s="235"/>
      <c r="AY1002" s="235"/>
      <c r="AZ1002" s="235"/>
      <c r="BA1002" s="235"/>
      <c r="BB1002" s="235"/>
      <c r="BC1002" s="235"/>
      <c r="BD1002" s="235"/>
      <c r="BE1002" s="235"/>
      <c r="BF1002" s="235"/>
      <c r="BG1002" s="235"/>
      <c r="BH1002" s="235"/>
      <c r="BI1002" s="235"/>
      <c r="BJ1002" s="235"/>
      <c r="BK1002" s="235"/>
      <c r="BL1002" s="235"/>
      <c r="BM1002" s="235"/>
      <c r="BN1002" s="235"/>
      <c r="BO1002" s="235"/>
    </row>
    <row r="1003" ht="29.25" hidden="1" customHeight="1">
      <c r="A1003" s="230"/>
      <c r="B1003" s="231"/>
      <c r="C1003" s="179"/>
      <c r="D1003" s="179"/>
      <c r="E1003" s="180"/>
      <c r="F1003" s="162"/>
      <c r="G1003" s="232"/>
      <c r="H1003" s="234"/>
      <c r="I1003" s="181"/>
      <c r="J1003" s="182"/>
      <c r="K1003" s="182"/>
      <c r="L1003" s="182"/>
      <c r="M1003" s="234"/>
      <c r="N1003" s="28"/>
      <c r="O1003" s="181"/>
      <c r="P1003" s="183"/>
      <c r="Q1003" s="104"/>
      <c r="R1003" s="233"/>
      <c r="S1003" s="164"/>
      <c r="T1003" s="164"/>
      <c r="U1003" s="162"/>
      <c r="V1003" s="235"/>
      <c r="W1003" s="235"/>
      <c r="X1003" s="235"/>
      <c r="Y1003" s="235"/>
      <c r="Z1003" s="235"/>
      <c r="AA1003" s="235"/>
      <c r="AB1003" s="235"/>
      <c r="AC1003" s="235"/>
      <c r="AD1003" s="235"/>
      <c r="AE1003" s="235"/>
      <c r="AF1003" s="235"/>
      <c r="AG1003" s="235"/>
      <c r="AH1003" s="235"/>
      <c r="AI1003" s="235"/>
      <c r="AJ1003" s="235"/>
      <c r="AK1003" s="235"/>
      <c r="AL1003" s="235"/>
      <c r="AM1003" s="235"/>
      <c r="AN1003" s="235"/>
      <c r="AO1003" s="235"/>
      <c r="AP1003" s="235"/>
      <c r="AQ1003" s="235"/>
      <c r="AR1003" s="235"/>
      <c r="AS1003" s="235"/>
      <c r="AT1003" s="235"/>
      <c r="AU1003" s="235"/>
      <c r="AV1003" s="235"/>
      <c r="AW1003" s="235"/>
      <c r="AX1003" s="235"/>
      <c r="AY1003" s="235"/>
      <c r="AZ1003" s="235"/>
      <c r="BA1003" s="235"/>
      <c r="BB1003" s="235"/>
      <c r="BC1003" s="235"/>
      <c r="BD1003" s="235"/>
      <c r="BE1003" s="235"/>
      <c r="BF1003" s="235"/>
      <c r="BG1003" s="235"/>
      <c r="BH1003" s="235"/>
      <c r="BI1003" s="235"/>
      <c r="BJ1003" s="235"/>
      <c r="BK1003" s="235"/>
      <c r="BL1003" s="235"/>
      <c r="BM1003" s="235"/>
      <c r="BN1003" s="235"/>
      <c r="BO1003" s="235"/>
    </row>
    <row r="1004" ht="29.25" hidden="1" customHeight="1">
      <c r="A1004" s="230"/>
      <c r="B1004" s="231"/>
      <c r="C1004" s="179"/>
      <c r="D1004" s="179"/>
      <c r="E1004" s="180"/>
      <c r="F1004" s="162"/>
      <c r="G1004" s="232"/>
      <c r="H1004" s="234"/>
      <c r="I1004" s="181"/>
      <c r="J1004" s="182"/>
      <c r="K1004" s="182"/>
      <c r="L1004" s="182"/>
      <c r="M1004" s="234"/>
      <c r="N1004" s="28"/>
      <c r="O1004" s="181"/>
      <c r="P1004" s="183"/>
      <c r="Q1004" s="104"/>
      <c r="R1004" s="233"/>
      <c r="S1004" s="164"/>
      <c r="T1004" s="164"/>
      <c r="U1004" s="162"/>
      <c r="V1004" s="235"/>
      <c r="W1004" s="235"/>
      <c r="X1004" s="235"/>
      <c r="Y1004" s="235"/>
      <c r="Z1004" s="235"/>
      <c r="AA1004" s="235"/>
      <c r="AB1004" s="235"/>
      <c r="AC1004" s="235"/>
      <c r="AD1004" s="235"/>
      <c r="AE1004" s="235"/>
      <c r="AF1004" s="235"/>
      <c r="AG1004" s="235"/>
      <c r="AH1004" s="235"/>
      <c r="AI1004" s="235"/>
      <c r="AJ1004" s="235"/>
      <c r="AK1004" s="235"/>
      <c r="AL1004" s="235"/>
      <c r="AM1004" s="235"/>
      <c r="AN1004" s="235"/>
      <c r="AO1004" s="235"/>
      <c r="AP1004" s="235"/>
      <c r="AQ1004" s="235"/>
      <c r="AR1004" s="235"/>
      <c r="AS1004" s="235"/>
      <c r="AT1004" s="235"/>
      <c r="AU1004" s="235"/>
      <c r="AV1004" s="235"/>
      <c r="AW1004" s="235"/>
      <c r="AX1004" s="235"/>
      <c r="AY1004" s="235"/>
      <c r="AZ1004" s="235"/>
      <c r="BA1004" s="235"/>
      <c r="BB1004" s="235"/>
      <c r="BC1004" s="235"/>
      <c r="BD1004" s="235"/>
      <c r="BE1004" s="235"/>
      <c r="BF1004" s="235"/>
      <c r="BG1004" s="235"/>
      <c r="BH1004" s="235"/>
      <c r="BI1004" s="235"/>
      <c r="BJ1004" s="235"/>
      <c r="BK1004" s="235"/>
      <c r="BL1004" s="235"/>
      <c r="BM1004" s="235"/>
      <c r="BN1004" s="235"/>
      <c r="BO1004" s="235"/>
    </row>
    <row r="1005" ht="29.25" hidden="1" customHeight="1">
      <c r="A1005" s="230"/>
      <c r="B1005" s="231"/>
      <c r="C1005" s="179"/>
      <c r="D1005" s="179"/>
      <c r="E1005" s="180"/>
      <c r="F1005" s="162"/>
      <c r="G1005" s="232"/>
      <c r="H1005" s="234"/>
      <c r="I1005" s="181"/>
      <c r="J1005" s="182"/>
      <c r="K1005" s="182"/>
      <c r="L1005" s="182"/>
      <c r="M1005" s="234"/>
      <c r="N1005" s="28"/>
      <c r="O1005" s="181"/>
      <c r="P1005" s="183"/>
      <c r="Q1005" s="104"/>
      <c r="R1005" s="233"/>
      <c r="S1005" s="164"/>
      <c r="T1005" s="164"/>
      <c r="U1005" s="162"/>
      <c r="V1005" s="235"/>
      <c r="W1005" s="235"/>
      <c r="X1005" s="235"/>
      <c r="Y1005" s="235"/>
      <c r="Z1005" s="235"/>
      <c r="AA1005" s="235"/>
      <c r="AB1005" s="235"/>
      <c r="AC1005" s="235"/>
      <c r="AD1005" s="235"/>
      <c r="AE1005" s="235"/>
      <c r="AF1005" s="235"/>
      <c r="AG1005" s="235"/>
      <c r="AH1005" s="235"/>
      <c r="AI1005" s="235"/>
      <c r="AJ1005" s="235"/>
      <c r="AK1005" s="235"/>
      <c r="AL1005" s="235"/>
      <c r="AM1005" s="235"/>
      <c r="AN1005" s="235"/>
      <c r="AO1005" s="235"/>
      <c r="AP1005" s="235"/>
      <c r="AQ1005" s="235"/>
      <c r="AR1005" s="235"/>
      <c r="AS1005" s="235"/>
      <c r="AT1005" s="235"/>
      <c r="AU1005" s="235"/>
      <c r="AV1005" s="235"/>
      <c r="AW1005" s="235"/>
      <c r="AX1005" s="235"/>
      <c r="AY1005" s="235"/>
      <c r="AZ1005" s="235"/>
      <c r="BA1005" s="235"/>
      <c r="BB1005" s="235"/>
      <c r="BC1005" s="235"/>
      <c r="BD1005" s="235"/>
      <c r="BE1005" s="235"/>
      <c r="BF1005" s="235"/>
      <c r="BG1005" s="235"/>
      <c r="BH1005" s="235"/>
      <c r="BI1005" s="235"/>
      <c r="BJ1005" s="235"/>
      <c r="BK1005" s="235"/>
      <c r="BL1005" s="235"/>
      <c r="BM1005" s="235"/>
      <c r="BN1005" s="235"/>
      <c r="BO1005" s="235"/>
    </row>
    <row r="1006" ht="29.25" hidden="1" customHeight="1">
      <c r="A1006" s="230"/>
      <c r="B1006" s="231"/>
      <c r="C1006" s="179"/>
      <c r="D1006" s="179"/>
      <c r="E1006" s="180"/>
      <c r="F1006" s="162"/>
      <c r="G1006" s="232"/>
      <c r="H1006" s="234"/>
      <c r="I1006" s="181"/>
      <c r="J1006" s="182"/>
      <c r="K1006" s="182"/>
      <c r="L1006" s="182"/>
      <c r="M1006" s="234"/>
      <c r="N1006" s="28"/>
      <c r="O1006" s="181"/>
      <c r="P1006" s="183"/>
      <c r="Q1006" s="104"/>
      <c r="R1006" s="233"/>
      <c r="S1006" s="164"/>
      <c r="T1006" s="164"/>
      <c r="U1006" s="162"/>
      <c r="V1006" s="235"/>
      <c r="W1006" s="235"/>
      <c r="X1006" s="235"/>
      <c r="Y1006" s="235"/>
      <c r="Z1006" s="235"/>
      <c r="AA1006" s="235"/>
      <c r="AB1006" s="235"/>
      <c r="AC1006" s="235"/>
      <c r="AD1006" s="235"/>
      <c r="AE1006" s="235"/>
      <c r="AF1006" s="235"/>
      <c r="AG1006" s="235"/>
      <c r="AH1006" s="235"/>
      <c r="AI1006" s="235"/>
      <c r="AJ1006" s="235"/>
      <c r="AK1006" s="235"/>
      <c r="AL1006" s="235"/>
      <c r="AM1006" s="235"/>
      <c r="AN1006" s="235"/>
      <c r="AO1006" s="235"/>
      <c r="AP1006" s="235"/>
      <c r="AQ1006" s="235"/>
      <c r="AR1006" s="235"/>
      <c r="AS1006" s="235"/>
      <c r="AT1006" s="235"/>
      <c r="AU1006" s="235"/>
      <c r="AV1006" s="235"/>
      <c r="AW1006" s="235"/>
      <c r="AX1006" s="235"/>
      <c r="AY1006" s="235"/>
      <c r="AZ1006" s="235"/>
      <c r="BA1006" s="235"/>
      <c r="BB1006" s="235"/>
      <c r="BC1006" s="235"/>
      <c r="BD1006" s="235"/>
      <c r="BE1006" s="235"/>
      <c r="BF1006" s="235"/>
      <c r="BG1006" s="235"/>
      <c r="BH1006" s="235"/>
      <c r="BI1006" s="235"/>
      <c r="BJ1006" s="235"/>
      <c r="BK1006" s="235"/>
      <c r="BL1006" s="235"/>
      <c r="BM1006" s="235"/>
      <c r="BN1006" s="235"/>
      <c r="BO1006" s="235"/>
    </row>
    <row r="1007" ht="29.25" hidden="1" customHeight="1">
      <c r="A1007" s="230"/>
      <c r="B1007" s="231"/>
      <c r="C1007" s="179"/>
      <c r="D1007" s="179"/>
      <c r="E1007" s="180"/>
      <c r="F1007" s="162"/>
      <c r="G1007" s="232"/>
      <c r="H1007" s="234"/>
      <c r="I1007" s="181"/>
      <c r="J1007" s="182"/>
      <c r="K1007" s="182"/>
      <c r="L1007" s="182"/>
      <c r="M1007" s="234"/>
      <c r="N1007" s="28"/>
      <c r="O1007" s="181"/>
      <c r="P1007" s="183"/>
      <c r="Q1007" s="104"/>
      <c r="R1007" s="233"/>
      <c r="S1007" s="164"/>
      <c r="T1007" s="164"/>
      <c r="U1007" s="162"/>
      <c r="V1007" s="235"/>
      <c r="W1007" s="235"/>
      <c r="X1007" s="235"/>
      <c r="Y1007" s="235"/>
      <c r="Z1007" s="235"/>
      <c r="AA1007" s="235"/>
      <c r="AB1007" s="235"/>
      <c r="AC1007" s="235"/>
      <c r="AD1007" s="235"/>
      <c r="AE1007" s="235"/>
      <c r="AF1007" s="235"/>
      <c r="AG1007" s="235"/>
      <c r="AH1007" s="235"/>
      <c r="AI1007" s="235"/>
      <c r="AJ1007" s="235"/>
      <c r="AK1007" s="235"/>
      <c r="AL1007" s="235"/>
      <c r="AM1007" s="235"/>
      <c r="AN1007" s="235"/>
      <c r="AO1007" s="235"/>
      <c r="AP1007" s="235"/>
      <c r="AQ1007" s="235"/>
      <c r="AR1007" s="235"/>
      <c r="AS1007" s="235"/>
      <c r="AT1007" s="235"/>
      <c r="AU1007" s="235"/>
      <c r="AV1007" s="235"/>
      <c r="AW1007" s="235"/>
      <c r="AX1007" s="235"/>
      <c r="AY1007" s="235"/>
      <c r="AZ1007" s="235"/>
      <c r="BA1007" s="235"/>
      <c r="BB1007" s="235"/>
      <c r="BC1007" s="235"/>
      <c r="BD1007" s="235"/>
      <c r="BE1007" s="235"/>
      <c r="BF1007" s="235"/>
      <c r="BG1007" s="235"/>
      <c r="BH1007" s="235"/>
      <c r="BI1007" s="235"/>
      <c r="BJ1007" s="235"/>
      <c r="BK1007" s="235"/>
      <c r="BL1007" s="235"/>
      <c r="BM1007" s="235"/>
      <c r="BN1007" s="235"/>
      <c r="BO1007" s="235"/>
    </row>
    <row r="1008" ht="29.25" hidden="1" customHeight="1">
      <c r="A1008" s="230"/>
      <c r="B1008" s="231"/>
      <c r="C1008" s="179"/>
      <c r="D1008" s="179"/>
      <c r="E1008" s="180"/>
      <c r="F1008" s="162"/>
      <c r="G1008" s="232"/>
      <c r="H1008" s="234"/>
      <c r="I1008" s="181"/>
      <c r="J1008" s="182"/>
      <c r="K1008" s="182"/>
      <c r="L1008" s="182"/>
      <c r="M1008" s="234"/>
      <c r="N1008" s="28"/>
      <c r="O1008" s="181"/>
      <c r="P1008" s="183"/>
      <c r="Q1008" s="104"/>
      <c r="R1008" s="233"/>
      <c r="S1008" s="164"/>
      <c r="T1008" s="164"/>
      <c r="U1008" s="162"/>
      <c r="V1008" s="235"/>
      <c r="W1008" s="235"/>
      <c r="X1008" s="235"/>
      <c r="Y1008" s="235"/>
      <c r="Z1008" s="235"/>
      <c r="AA1008" s="235"/>
      <c r="AB1008" s="235"/>
      <c r="AC1008" s="235"/>
      <c r="AD1008" s="235"/>
      <c r="AE1008" s="235"/>
      <c r="AF1008" s="235"/>
      <c r="AG1008" s="235"/>
      <c r="AH1008" s="235"/>
      <c r="AI1008" s="235"/>
      <c r="AJ1008" s="235"/>
      <c r="AK1008" s="235"/>
      <c r="AL1008" s="235"/>
      <c r="AM1008" s="235"/>
      <c r="AN1008" s="235"/>
      <c r="AO1008" s="235"/>
      <c r="AP1008" s="235"/>
      <c r="AQ1008" s="235"/>
      <c r="AR1008" s="235"/>
      <c r="AS1008" s="235"/>
      <c r="AT1008" s="235"/>
      <c r="AU1008" s="235"/>
      <c r="AV1008" s="235"/>
      <c r="AW1008" s="235"/>
      <c r="AX1008" s="235"/>
      <c r="AY1008" s="235"/>
      <c r="AZ1008" s="235"/>
      <c r="BA1008" s="235"/>
      <c r="BB1008" s="235"/>
      <c r="BC1008" s="235"/>
      <c r="BD1008" s="235"/>
      <c r="BE1008" s="235"/>
      <c r="BF1008" s="235"/>
      <c r="BG1008" s="235"/>
      <c r="BH1008" s="235"/>
      <c r="BI1008" s="235"/>
      <c r="BJ1008" s="235"/>
      <c r="BK1008" s="235"/>
      <c r="BL1008" s="235"/>
      <c r="BM1008" s="235"/>
      <c r="BN1008" s="235"/>
      <c r="BO1008" s="235"/>
    </row>
    <row r="1009" ht="29.25" hidden="1" customHeight="1">
      <c r="A1009" s="230"/>
      <c r="B1009" s="231"/>
      <c r="C1009" s="179"/>
      <c r="D1009" s="179"/>
      <c r="E1009" s="180"/>
      <c r="F1009" s="162"/>
      <c r="G1009" s="232"/>
      <c r="H1009" s="234"/>
      <c r="I1009" s="181"/>
      <c r="J1009" s="182"/>
      <c r="K1009" s="182"/>
      <c r="L1009" s="182"/>
      <c r="M1009" s="234"/>
      <c r="N1009" s="28"/>
      <c r="O1009" s="181"/>
      <c r="P1009" s="183"/>
      <c r="Q1009" s="104"/>
      <c r="R1009" s="233"/>
      <c r="S1009" s="164"/>
      <c r="T1009" s="164"/>
      <c r="U1009" s="162"/>
      <c r="V1009" s="235"/>
      <c r="W1009" s="235"/>
      <c r="X1009" s="235"/>
      <c r="Y1009" s="235"/>
      <c r="Z1009" s="235"/>
      <c r="AA1009" s="235"/>
      <c r="AB1009" s="235"/>
      <c r="AC1009" s="235"/>
      <c r="AD1009" s="235"/>
      <c r="AE1009" s="235"/>
      <c r="AF1009" s="235"/>
      <c r="AG1009" s="235"/>
      <c r="AH1009" s="235"/>
      <c r="AI1009" s="235"/>
      <c r="AJ1009" s="235"/>
      <c r="AK1009" s="235"/>
      <c r="AL1009" s="235"/>
      <c r="AM1009" s="235"/>
      <c r="AN1009" s="235"/>
      <c r="AO1009" s="235"/>
      <c r="AP1009" s="235"/>
      <c r="AQ1009" s="235"/>
      <c r="AR1009" s="235"/>
      <c r="AS1009" s="235"/>
      <c r="AT1009" s="235"/>
      <c r="AU1009" s="235"/>
      <c r="AV1009" s="235"/>
      <c r="AW1009" s="235"/>
      <c r="AX1009" s="235"/>
      <c r="AY1009" s="235"/>
      <c r="AZ1009" s="235"/>
      <c r="BA1009" s="235"/>
      <c r="BB1009" s="235"/>
      <c r="BC1009" s="235"/>
      <c r="BD1009" s="235"/>
      <c r="BE1009" s="235"/>
      <c r="BF1009" s="235"/>
      <c r="BG1009" s="235"/>
      <c r="BH1009" s="235"/>
      <c r="BI1009" s="235"/>
      <c r="BJ1009" s="235"/>
      <c r="BK1009" s="235"/>
      <c r="BL1009" s="235"/>
      <c r="BM1009" s="235"/>
      <c r="BN1009" s="235"/>
      <c r="BO1009" s="235"/>
    </row>
    <row r="1010" ht="29.25" hidden="1" customHeight="1">
      <c r="A1010" s="230"/>
      <c r="B1010" s="231"/>
      <c r="C1010" s="179"/>
      <c r="D1010" s="179"/>
      <c r="E1010" s="180"/>
      <c r="F1010" s="162"/>
      <c r="G1010" s="232"/>
      <c r="H1010" s="234"/>
      <c r="I1010" s="181"/>
      <c r="J1010" s="182"/>
      <c r="K1010" s="182"/>
      <c r="L1010" s="182"/>
      <c r="M1010" s="234"/>
      <c r="N1010" s="28"/>
      <c r="O1010" s="181"/>
      <c r="P1010" s="183"/>
      <c r="Q1010" s="104"/>
      <c r="R1010" s="233"/>
      <c r="S1010" s="164"/>
      <c r="T1010" s="164"/>
      <c r="U1010" s="162"/>
      <c r="V1010" s="235"/>
      <c r="W1010" s="235"/>
      <c r="X1010" s="235"/>
      <c r="Y1010" s="235"/>
      <c r="Z1010" s="235"/>
      <c r="AA1010" s="235"/>
      <c r="AB1010" s="235"/>
      <c r="AC1010" s="235"/>
      <c r="AD1010" s="235"/>
      <c r="AE1010" s="235"/>
      <c r="AF1010" s="235"/>
      <c r="AG1010" s="235"/>
      <c r="AH1010" s="235"/>
      <c r="AI1010" s="235"/>
      <c r="AJ1010" s="235"/>
      <c r="AK1010" s="235"/>
      <c r="AL1010" s="235"/>
      <c r="AM1010" s="235"/>
      <c r="AN1010" s="235"/>
      <c r="AO1010" s="235"/>
      <c r="AP1010" s="235"/>
      <c r="AQ1010" s="235"/>
      <c r="AR1010" s="235"/>
      <c r="AS1010" s="235"/>
      <c r="AT1010" s="235"/>
      <c r="AU1010" s="235"/>
      <c r="AV1010" s="235"/>
      <c r="AW1010" s="235"/>
      <c r="AX1010" s="235"/>
      <c r="AY1010" s="235"/>
      <c r="AZ1010" s="235"/>
      <c r="BA1010" s="235"/>
      <c r="BB1010" s="235"/>
      <c r="BC1010" s="235"/>
      <c r="BD1010" s="235"/>
      <c r="BE1010" s="235"/>
      <c r="BF1010" s="235"/>
      <c r="BG1010" s="235"/>
      <c r="BH1010" s="235"/>
      <c r="BI1010" s="235"/>
      <c r="BJ1010" s="235"/>
      <c r="BK1010" s="235"/>
      <c r="BL1010" s="235"/>
      <c r="BM1010" s="235"/>
      <c r="BN1010" s="235"/>
      <c r="BO1010" s="235"/>
    </row>
    <row r="1011" ht="29.25" hidden="1" customHeight="1">
      <c r="A1011" s="230"/>
      <c r="B1011" s="231"/>
      <c r="C1011" s="179"/>
      <c r="D1011" s="179"/>
      <c r="E1011" s="180"/>
      <c r="F1011" s="162"/>
      <c r="G1011" s="232"/>
      <c r="H1011" s="234"/>
      <c r="I1011" s="181"/>
      <c r="J1011" s="182"/>
      <c r="K1011" s="182"/>
      <c r="L1011" s="182"/>
      <c r="M1011" s="234"/>
      <c r="N1011" s="28"/>
      <c r="O1011" s="181"/>
      <c r="P1011" s="183"/>
      <c r="Q1011" s="104"/>
      <c r="R1011" s="233"/>
      <c r="S1011" s="164"/>
      <c r="T1011" s="164"/>
      <c r="U1011" s="162"/>
      <c r="V1011" s="235"/>
      <c r="W1011" s="235"/>
      <c r="X1011" s="235"/>
      <c r="Y1011" s="235"/>
      <c r="Z1011" s="235"/>
      <c r="AA1011" s="235"/>
      <c r="AB1011" s="235"/>
      <c r="AC1011" s="235"/>
      <c r="AD1011" s="235"/>
      <c r="AE1011" s="235"/>
      <c r="AF1011" s="235"/>
      <c r="AG1011" s="235"/>
      <c r="AH1011" s="235"/>
      <c r="AI1011" s="235"/>
      <c r="AJ1011" s="235"/>
      <c r="AK1011" s="235"/>
      <c r="AL1011" s="235"/>
      <c r="AM1011" s="235"/>
      <c r="AN1011" s="235"/>
      <c r="AO1011" s="235"/>
      <c r="AP1011" s="235"/>
      <c r="AQ1011" s="235"/>
      <c r="AR1011" s="235"/>
      <c r="AS1011" s="235"/>
      <c r="AT1011" s="235"/>
      <c r="AU1011" s="235"/>
      <c r="AV1011" s="235"/>
      <c r="AW1011" s="235"/>
      <c r="AX1011" s="235"/>
      <c r="AY1011" s="235"/>
      <c r="AZ1011" s="235"/>
      <c r="BA1011" s="235"/>
      <c r="BB1011" s="235"/>
      <c r="BC1011" s="235"/>
      <c r="BD1011" s="235"/>
      <c r="BE1011" s="235"/>
      <c r="BF1011" s="235"/>
      <c r="BG1011" s="235"/>
      <c r="BH1011" s="235"/>
      <c r="BI1011" s="235"/>
      <c r="BJ1011" s="235"/>
      <c r="BK1011" s="235"/>
      <c r="BL1011" s="235"/>
      <c r="BM1011" s="235"/>
      <c r="BN1011" s="235"/>
      <c r="BO1011" s="235"/>
    </row>
    <row r="1012" ht="29.25" hidden="1" customHeight="1">
      <c r="A1012" s="230"/>
      <c r="B1012" s="231"/>
      <c r="C1012" s="179"/>
      <c r="D1012" s="179"/>
      <c r="E1012" s="180"/>
      <c r="F1012" s="162"/>
      <c r="G1012" s="232"/>
      <c r="H1012" s="234"/>
      <c r="I1012" s="181"/>
      <c r="J1012" s="182"/>
      <c r="K1012" s="182"/>
      <c r="L1012" s="182"/>
      <c r="M1012" s="234"/>
      <c r="N1012" s="28"/>
      <c r="O1012" s="181"/>
      <c r="P1012" s="183"/>
      <c r="Q1012" s="104"/>
      <c r="R1012" s="233"/>
      <c r="S1012" s="164"/>
      <c r="T1012" s="164"/>
      <c r="U1012" s="162"/>
      <c r="V1012" s="235"/>
      <c r="W1012" s="235"/>
      <c r="X1012" s="235"/>
      <c r="Y1012" s="235"/>
      <c r="Z1012" s="235"/>
      <c r="AA1012" s="235"/>
      <c r="AB1012" s="235"/>
      <c r="AC1012" s="235"/>
      <c r="AD1012" s="235"/>
      <c r="AE1012" s="235"/>
      <c r="AF1012" s="235"/>
      <c r="AG1012" s="235"/>
      <c r="AH1012" s="235"/>
      <c r="AI1012" s="235"/>
      <c r="AJ1012" s="235"/>
      <c r="AK1012" s="235"/>
      <c r="AL1012" s="235"/>
      <c r="AM1012" s="235"/>
      <c r="AN1012" s="235"/>
      <c r="AO1012" s="235"/>
      <c r="AP1012" s="235"/>
      <c r="AQ1012" s="235"/>
      <c r="AR1012" s="235"/>
      <c r="AS1012" s="235"/>
      <c r="AT1012" s="235"/>
      <c r="AU1012" s="235"/>
      <c r="AV1012" s="235"/>
      <c r="AW1012" s="235"/>
      <c r="AX1012" s="235"/>
      <c r="AY1012" s="235"/>
      <c r="AZ1012" s="235"/>
      <c r="BA1012" s="235"/>
      <c r="BB1012" s="235"/>
      <c r="BC1012" s="235"/>
      <c r="BD1012" s="235"/>
      <c r="BE1012" s="235"/>
      <c r="BF1012" s="235"/>
      <c r="BG1012" s="235"/>
      <c r="BH1012" s="235"/>
      <c r="BI1012" s="235"/>
      <c r="BJ1012" s="235"/>
      <c r="BK1012" s="235"/>
      <c r="BL1012" s="235"/>
      <c r="BM1012" s="235"/>
      <c r="BN1012" s="235"/>
      <c r="BO1012" s="235"/>
    </row>
    <row r="1013" ht="29.25" hidden="1" customHeight="1">
      <c r="A1013" s="230"/>
      <c r="B1013" s="231"/>
      <c r="C1013" s="179"/>
      <c r="D1013" s="179"/>
      <c r="E1013" s="180"/>
      <c r="F1013" s="162"/>
      <c r="G1013" s="232"/>
      <c r="H1013" s="234"/>
      <c r="I1013" s="181"/>
      <c r="J1013" s="182"/>
      <c r="K1013" s="182"/>
      <c r="L1013" s="182"/>
      <c r="M1013" s="234"/>
      <c r="N1013" s="28"/>
      <c r="O1013" s="181"/>
      <c r="P1013" s="183"/>
      <c r="Q1013" s="104"/>
      <c r="R1013" s="233"/>
      <c r="S1013" s="164"/>
      <c r="T1013" s="164"/>
      <c r="U1013" s="162"/>
      <c r="V1013" s="235"/>
      <c r="W1013" s="235"/>
      <c r="X1013" s="235"/>
      <c r="Y1013" s="235"/>
      <c r="Z1013" s="235"/>
      <c r="AA1013" s="235"/>
      <c r="AB1013" s="235"/>
      <c r="AC1013" s="235"/>
      <c r="AD1013" s="235"/>
      <c r="AE1013" s="235"/>
      <c r="AF1013" s="235"/>
      <c r="AG1013" s="235"/>
      <c r="AH1013" s="235"/>
      <c r="AI1013" s="235"/>
      <c r="AJ1013" s="235"/>
      <c r="AK1013" s="235"/>
      <c r="AL1013" s="235"/>
      <c r="AM1013" s="235"/>
      <c r="AN1013" s="235"/>
      <c r="AO1013" s="235"/>
      <c r="AP1013" s="235"/>
      <c r="AQ1013" s="235"/>
      <c r="AR1013" s="235"/>
      <c r="AS1013" s="235"/>
      <c r="AT1013" s="235"/>
      <c r="AU1013" s="235"/>
      <c r="AV1013" s="235"/>
      <c r="AW1013" s="235"/>
      <c r="AX1013" s="235"/>
      <c r="AY1013" s="235"/>
      <c r="AZ1013" s="235"/>
      <c r="BA1013" s="235"/>
      <c r="BB1013" s="235"/>
      <c r="BC1013" s="235"/>
      <c r="BD1013" s="235"/>
      <c r="BE1013" s="235"/>
      <c r="BF1013" s="235"/>
      <c r="BG1013" s="235"/>
      <c r="BH1013" s="235"/>
      <c r="BI1013" s="235"/>
      <c r="BJ1013" s="235"/>
      <c r="BK1013" s="235"/>
      <c r="BL1013" s="235"/>
      <c r="BM1013" s="235"/>
      <c r="BN1013" s="235"/>
      <c r="BO1013" s="235"/>
    </row>
    <row r="1014" ht="29.25" hidden="1" customHeight="1">
      <c r="A1014" s="230"/>
      <c r="B1014" s="231"/>
      <c r="C1014" s="179"/>
      <c r="D1014" s="179"/>
      <c r="E1014" s="180"/>
      <c r="F1014" s="162"/>
      <c r="G1014" s="232"/>
      <c r="H1014" s="234"/>
      <c r="I1014" s="181"/>
      <c r="J1014" s="182"/>
      <c r="K1014" s="182"/>
      <c r="L1014" s="182"/>
      <c r="M1014" s="234"/>
      <c r="N1014" s="28"/>
      <c r="O1014" s="181"/>
      <c r="P1014" s="183"/>
      <c r="Q1014" s="104"/>
      <c r="R1014" s="233"/>
      <c r="S1014" s="164"/>
      <c r="T1014" s="164"/>
      <c r="U1014" s="162"/>
      <c r="V1014" s="235"/>
      <c r="W1014" s="235"/>
      <c r="X1014" s="235"/>
      <c r="Y1014" s="235"/>
      <c r="Z1014" s="235"/>
      <c r="AA1014" s="235"/>
      <c r="AB1014" s="235"/>
      <c r="AC1014" s="235"/>
      <c r="AD1014" s="235"/>
      <c r="AE1014" s="235"/>
      <c r="AF1014" s="235"/>
      <c r="AG1014" s="235"/>
      <c r="AH1014" s="235"/>
      <c r="AI1014" s="235"/>
      <c r="AJ1014" s="235"/>
      <c r="AK1014" s="235"/>
      <c r="AL1014" s="235"/>
      <c r="AM1014" s="235"/>
      <c r="AN1014" s="235"/>
      <c r="AO1014" s="235"/>
      <c r="AP1014" s="235"/>
      <c r="AQ1014" s="235"/>
      <c r="AR1014" s="235"/>
      <c r="AS1014" s="235"/>
      <c r="AT1014" s="235"/>
      <c r="AU1014" s="235"/>
      <c r="AV1014" s="235"/>
      <c r="AW1014" s="235"/>
      <c r="AX1014" s="235"/>
      <c r="AY1014" s="235"/>
      <c r="AZ1014" s="235"/>
      <c r="BA1014" s="235"/>
      <c r="BB1014" s="235"/>
      <c r="BC1014" s="235"/>
      <c r="BD1014" s="235"/>
      <c r="BE1014" s="235"/>
      <c r="BF1014" s="235"/>
      <c r="BG1014" s="235"/>
      <c r="BH1014" s="235"/>
      <c r="BI1014" s="235"/>
      <c r="BJ1014" s="235"/>
      <c r="BK1014" s="235"/>
      <c r="BL1014" s="235"/>
      <c r="BM1014" s="235"/>
      <c r="BN1014" s="235"/>
      <c r="BO1014" s="235"/>
    </row>
    <row r="1015" ht="29.25" hidden="1" customHeight="1">
      <c r="A1015" s="230"/>
      <c r="B1015" s="231"/>
      <c r="C1015" s="179"/>
      <c r="D1015" s="179"/>
      <c r="E1015" s="180"/>
      <c r="F1015" s="162"/>
      <c r="G1015" s="232"/>
      <c r="H1015" s="234"/>
      <c r="I1015" s="181"/>
      <c r="J1015" s="182"/>
      <c r="K1015" s="182"/>
      <c r="L1015" s="182"/>
      <c r="M1015" s="234"/>
      <c r="N1015" s="28"/>
      <c r="O1015" s="181"/>
      <c r="P1015" s="183"/>
      <c r="Q1015" s="104"/>
      <c r="R1015" s="233"/>
      <c r="S1015" s="164"/>
      <c r="T1015" s="164"/>
      <c r="U1015" s="162"/>
      <c r="V1015" s="235"/>
      <c r="W1015" s="235"/>
      <c r="X1015" s="235"/>
      <c r="Y1015" s="235"/>
      <c r="Z1015" s="235"/>
      <c r="AA1015" s="235"/>
      <c r="AB1015" s="235"/>
      <c r="AC1015" s="235"/>
      <c r="AD1015" s="235"/>
      <c r="AE1015" s="235"/>
      <c r="AF1015" s="235"/>
      <c r="AG1015" s="235"/>
      <c r="AH1015" s="235"/>
      <c r="AI1015" s="235"/>
      <c r="AJ1015" s="235"/>
      <c r="AK1015" s="235"/>
      <c r="AL1015" s="235"/>
      <c r="AM1015" s="235"/>
      <c r="AN1015" s="235"/>
      <c r="AO1015" s="235"/>
      <c r="AP1015" s="235"/>
      <c r="AQ1015" s="235"/>
      <c r="AR1015" s="235"/>
      <c r="AS1015" s="235"/>
      <c r="AT1015" s="235"/>
      <c r="AU1015" s="235"/>
      <c r="AV1015" s="235"/>
      <c r="AW1015" s="235"/>
      <c r="AX1015" s="235"/>
      <c r="AY1015" s="235"/>
      <c r="AZ1015" s="235"/>
      <c r="BA1015" s="235"/>
      <c r="BB1015" s="235"/>
      <c r="BC1015" s="235"/>
      <c r="BD1015" s="235"/>
      <c r="BE1015" s="235"/>
      <c r="BF1015" s="235"/>
      <c r="BG1015" s="235"/>
      <c r="BH1015" s="235"/>
      <c r="BI1015" s="235"/>
      <c r="BJ1015" s="235"/>
      <c r="BK1015" s="235"/>
      <c r="BL1015" s="235"/>
      <c r="BM1015" s="235"/>
      <c r="BN1015" s="235"/>
      <c r="BO1015" s="235"/>
    </row>
    <row r="1016" ht="29.25" hidden="1" customHeight="1">
      <c r="A1016" s="230"/>
      <c r="B1016" s="231"/>
      <c r="C1016" s="179"/>
      <c r="D1016" s="179"/>
      <c r="E1016" s="180"/>
      <c r="F1016" s="162"/>
      <c r="G1016" s="232"/>
      <c r="H1016" s="234"/>
      <c r="I1016" s="181"/>
      <c r="J1016" s="182"/>
      <c r="K1016" s="182"/>
      <c r="L1016" s="182"/>
      <c r="M1016" s="234"/>
      <c r="N1016" s="28"/>
      <c r="O1016" s="181"/>
      <c r="P1016" s="183"/>
      <c r="Q1016" s="104"/>
      <c r="R1016" s="233"/>
      <c r="S1016" s="164"/>
      <c r="T1016" s="164"/>
      <c r="U1016" s="162"/>
      <c r="V1016" s="235"/>
      <c r="W1016" s="235"/>
      <c r="X1016" s="235"/>
      <c r="Y1016" s="235"/>
      <c r="Z1016" s="235"/>
      <c r="AA1016" s="235"/>
      <c r="AB1016" s="235"/>
      <c r="AC1016" s="235"/>
      <c r="AD1016" s="235"/>
      <c r="AE1016" s="235"/>
      <c r="AF1016" s="235"/>
      <c r="AG1016" s="235"/>
      <c r="AH1016" s="235"/>
      <c r="AI1016" s="235"/>
      <c r="AJ1016" s="235"/>
      <c r="AK1016" s="235"/>
      <c r="AL1016" s="235"/>
      <c r="AM1016" s="235"/>
      <c r="AN1016" s="235"/>
      <c r="AO1016" s="235"/>
      <c r="AP1016" s="235"/>
      <c r="AQ1016" s="235"/>
      <c r="AR1016" s="235"/>
      <c r="AS1016" s="235"/>
      <c r="AT1016" s="235"/>
      <c r="AU1016" s="235"/>
      <c r="AV1016" s="235"/>
      <c r="AW1016" s="235"/>
      <c r="AX1016" s="235"/>
      <c r="AY1016" s="235"/>
      <c r="AZ1016" s="235"/>
      <c r="BA1016" s="235"/>
      <c r="BB1016" s="235"/>
      <c r="BC1016" s="235"/>
      <c r="BD1016" s="235"/>
      <c r="BE1016" s="235"/>
      <c r="BF1016" s="235"/>
      <c r="BG1016" s="235"/>
      <c r="BH1016" s="235"/>
      <c r="BI1016" s="235"/>
      <c r="BJ1016" s="235"/>
      <c r="BK1016" s="235"/>
      <c r="BL1016" s="235"/>
      <c r="BM1016" s="235"/>
      <c r="BN1016" s="235"/>
      <c r="BO1016" s="235"/>
    </row>
    <row r="1017" ht="29.25" hidden="1" customHeight="1">
      <c r="A1017" s="230"/>
      <c r="B1017" s="231"/>
      <c r="C1017" s="179"/>
      <c r="D1017" s="179"/>
      <c r="E1017" s="180"/>
      <c r="F1017" s="162"/>
      <c r="G1017" s="232"/>
      <c r="H1017" s="234"/>
      <c r="I1017" s="181"/>
      <c r="J1017" s="182"/>
      <c r="K1017" s="182"/>
      <c r="L1017" s="182"/>
      <c r="M1017" s="234"/>
      <c r="N1017" s="28"/>
      <c r="O1017" s="181"/>
      <c r="P1017" s="183"/>
      <c r="Q1017" s="104"/>
      <c r="R1017" s="233"/>
      <c r="S1017" s="164"/>
      <c r="T1017" s="164"/>
      <c r="U1017" s="162"/>
      <c r="V1017" s="235"/>
      <c r="W1017" s="235"/>
      <c r="X1017" s="235"/>
      <c r="Y1017" s="235"/>
      <c r="Z1017" s="235"/>
      <c r="AA1017" s="235"/>
      <c r="AB1017" s="235"/>
      <c r="AC1017" s="235"/>
      <c r="AD1017" s="235"/>
      <c r="AE1017" s="235"/>
      <c r="AF1017" s="235"/>
      <c r="AG1017" s="235"/>
      <c r="AH1017" s="235"/>
      <c r="AI1017" s="235"/>
      <c r="AJ1017" s="235"/>
      <c r="AK1017" s="235"/>
      <c r="AL1017" s="235"/>
      <c r="AM1017" s="235"/>
      <c r="AN1017" s="235"/>
      <c r="AO1017" s="235"/>
      <c r="AP1017" s="235"/>
      <c r="AQ1017" s="235"/>
      <c r="AR1017" s="235"/>
      <c r="AS1017" s="235"/>
      <c r="AT1017" s="235"/>
      <c r="AU1017" s="235"/>
      <c r="AV1017" s="235"/>
      <c r="AW1017" s="235"/>
      <c r="AX1017" s="235"/>
      <c r="AY1017" s="235"/>
      <c r="AZ1017" s="235"/>
      <c r="BA1017" s="235"/>
      <c r="BB1017" s="235"/>
      <c r="BC1017" s="235"/>
      <c r="BD1017" s="235"/>
      <c r="BE1017" s="235"/>
      <c r="BF1017" s="235"/>
      <c r="BG1017" s="235"/>
      <c r="BH1017" s="235"/>
      <c r="BI1017" s="235"/>
      <c r="BJ1017" s="235"/>
      <c r="BK1017" s="235"/>
      <c r="BL1017" s="235"/>
      <c r="BM1017" s="235"/>
      <c r="BN1017" s="235"/>
      <c r="BO1017" s="235"/>
    </row>
    <row r="1018" ht="29.25" hidden="1" customHeight="1">
      <c r="A1018" s="230"/>
      <c r="B1018" s="231"/>
      <c r="C1018" s="179"/>
      <c r="D1018" s="179"/>
      <c r="E1018" s="180"/>
      <c r="F1018" s="162"/>
      <c r="G1018" s="232"/>
      <c r="H1018" s="234"/>
      <c r="I1018" s="181"/>
      <c r="J1018" s="182"/>
      <c r="K1018" s="182"/>
      <c r="L1018" s="182"/>
      <c r="M1018" s="234"/>
      <c r="N1018" s="28"/>
      <c r="O1018" s="181"/>
      <c r="P1018" s="183"/>
      <c r="Q1018" s="104"/>
      <c r="R1018" s="233"/>
      <c r="S1018" s="164"/>
      <c r="T1018" s="164"/>
      <c r="U1018" s="162"/>
      <c r="V1018" s="235"/>
      <c r="W1018" s="235"/>
      <c r="X1018" s="235"/>
      <c r="Y1018" s="235"/>
      <c r="Z1018" s="235"/>
      <c r="AA1018" s="235"/>
      <c r="AB1018" s="235"/>
      <c r="AC1018" s="235"/>
      <c r="AD1018" s="235"/>
      <c r="AE1018" s="235"/>
      <c r="AF1018" s="235"/>
      <c r="AG1018" s="235"/>
      <c r="AH1018" s="235"/>
      <c r="AI1018" s="235"/>
      <c r="AJ1018" s="235"/>
      <c r="AK1018" s="235"/>
      <c r="AL1018" s="235"/>
      <c r="AM1018" s="235"/>
      <c r="AN1018" s="235"/>
      <c r="AO1018" s="235"/>
      <c r="AP1018" s="235"/>
      <c r="AQ1018" s="235"/>
      <c r="AR1018" s="235"/>
      <c r="AS1018" s="235"/>
      <c r="AT1018" s="235"/>
      <c r="AU1018" s="235"/>
      <c r="AV1018" s="235"/>
      <c r="AW1018" s="235"/>
      <c r="AX1018" s="235"/>
      <c r="AY1018" s="235"/>
      <c r="AZ1018" s="235"/>
      <c r="BA1018" s="235"/>
      <c r="BB1018" s="235"/>
      <c r="BC1018" s="235"/>
      <c r="BD1018" s="235"/>
      <c r="BE1018" s="235"/>
      <c r="BF1018" s="235"/>
      <c r="BG1018" s="235"/>
      <c r="BH1018" s="235"/>
      <c r="BI1018" s="235"/>
      <c r="BJ1018" s="235"/>
      <c r="BK1018" s="235"/>
      <c r="BL1018" s="235"/>
      <c r="BM1018" s="235"/>
      <c r="BN1018" s="235"/>
      <c r="BO1018" s="235"/>
    </row>
    <row r="1019" ht="29.25" hidden="1" customHeight="1">
      <c r="A1019" s="230"/>
      <c r="B1019" s="231"/>
      <c r="C1019" s="179"/>
      <c r="D1019" s="179"/>
      <c r="E1019" s="180"/>
      <c r="F1019" s="162"/>
      <c r="G1019" s="232"/>
      <c r="H1019" s="234"/>
      <c r="I1019" s="181"/>
      <c r="J1019" s="182"/>
      <c r="K1019" s="182"/>
      <c r="L1019" s="182"/>
      <c r="M1019" s="234"/>
      <c r="N1019" s="28"/>
      <c r="O1019" s="181"/>
      <c r="P1019" s="183"/>
      <c r="Q1019" s="104"/>
      <c r="R1019" s="233"/>
      <c r="S1019" s="164"/>
      <c r="T1019" s="164"/>
      <c r="U1019" s="162"/>
      <c r="V1019" s="235"/>
      <c r="W1019" s="235"/>
      <c r="X1019" s="235"/>
      <c r="Y1019" s="235"/>
      <c r="Z1019" s="235"/>
      <c r="AA1019" s="235"/>
      <c r="AB1019" s="235"/>
      <c r="AC1019" s="235"/>
      <c r="AD1019" s="235"/>
      <c r="AE1019" s="235"/>
      <c r="AF1019" s="235"/>
      <c r="AG1019" s="235"/>
      <c r="AH1019" s="235"/>
      <c r="AI1019" s="235"/>
      <c r="AJ1019" s="235"/>
      <c r="AK1019" s="235"/>
      <c r="AL1019" s="235"/>
      <c r="AM1019" s="235"/>
      <c r="AN1019" s="235"/>
      <c r="AO1019" s="235"/>
      <c r="AP1019" s="235"/>
      <c r="AQ1019" s="235"/>
      <c r="AR1019" s="235"/>
      <c r="AS1019" s="235"/>
      <c r="AT1019" s="235"/>
      <c r="AU1019" s="235"/>
      <c r="AV1019" s="235"/>
      <c r="AW1019" s="235"/>
      <c r="AX1019" s="235"/>
      <c r="AY1019" s="235"/>
      <c r="AZ1019" s="235"/>
      <c r="BA1019" s="235"/>
      <c r="BB1019" s="235"/>
      <c r="BC1019" s="235"/>
      <c r="BD1019" s="235"/>
      <c r="BE1019" s="235"/>
      <c r="BF1019" s="235"/>
      <c r="BG1019" s="235"/>
      <c r="BH1019" s="235"/>
      <c r="BI1019" s="235"/>
      <c r="BJ1019" s="235"/>
      <c r="BK1019" s="235"/>
      <c r="BL1019" s="235"/>
      <c r="BM1019" s="235"/>
      <c r="BN1019" s="235"/>
      <c r="BO1019" s="235"/>
    </row>
    <row r="1020" ht="29.25" hidden="1" customHeight="1">
      <c r="A1020" s="230"/>
      <c r="B1020" s="231"/>
      <c r="C1020" s="179"/>
      <c r="D1020" s="179"/>
      <c r="E1020" s="180"/>
      <c r="F1020" s="162"/>
      <c r="G1020" s="232"/>
      <c r="H1020" s="234"/>
      <c r="I1020" s="181"/>
      <c r="J1020" s="182"/>
      <c r="K1020" s="182"/>
      <c r="L1020" s="182"/>
      <c r="M1020" s="234"/>
      <c r="N1020" s="28"/>
      <c r="O1020" s="181"/>
      <c r="P1020" s="183"/>
      <c r="Q1020" s="104"/>
      <c r="R1020" s="233"/>
      <c r="S1020" s="164"/>
      <c r="T1020" s="164"/>
      <c r="U1020" s="162"/>
      <c r="V1020" s="235"/>
      <c r="W1020" s="235"/>
      <c r="X1020" s="235"/>
      <c r="Y1020" s="235"/>
      <c r="Z1020" s="235"/>
      <c r="AA1020" s="235"/>
      <c r="AB1020" s="235"/>
      <c r="AC1020" s="235"/>
      <c r="AD1020" s="235"/>
      <c r="AE1020" s="235"/>
      <c r="AF1020" s="235"/>
      <c r="AG1020" s="235"/>
      <c r="AH1020" s="235"/>
      <c r="AI1020" s="235"/>
      <c r="AJ1020" s="235"/>
      <c r="AK1020" s="235"/>
      <c r="AL1020" s="235"/>
      <c r="AM1020" s="235"/>
      <c r="AN1020" s="235"/>
      <c r="AO1020" s="235"/>
      <c r="AP1020" s="235"/>
      <c r="AQ1020" s="235"/>
      <c r="AR1020" s="235"/>
      <c r="AS1020" s="235"/>
      <c r="AT1020" s="235"/>
      <c r="AU1020" s="235"/>
      <c r="AV1020" s="235"/>
      <c r="AW1020" s="235"/>
      <c r="AX1020" s="235"/>
      <c r="AY1020" s="235"/>
      <c r="AZ1020" s="235"/>
      <c r="BA1020" s="235"/>
      <c r="BB1020" s="235"/>
      <c r="BC1020" s="235"/>
      <c r="BD1020" s="235"/>
      <c r="BE1020" s="235"/>
      <c r="BF1020" s="235"/>
      <c r="BG1020" s="235"/>
      <c r="BH1020" s="235"/>
      <c r="BI1020" s="235"/>
      <c r="BJ1020" s="235"/>
      <c r="BK1020" s="235"/>
      <c r="BL1020" s="235"/>
      <c r="BM1020" s="235"/>
      <c r="BN1020" s="235"/>
      <c r="BO1020" s="235"/>
    </row>
    <row r="1021" ht="29.25" hidden="1" customHeight="1">
      <c r="A1021" s="230"/>
      <c r="B1021" s="231"/>
      <c r="C1021" s="179"/>
      <c r="D1021" s="179"/>
      <c r="E1021" s="180"/>
      <c r="F1021" s="162"/>
      <c r="G1021" s="232"/>
      <c r="H1021" s="234"/>
      <c r="I1021" s="181"/>
      <c r="J1021" s="182"/>
      <c r="K1021" s="182"/>
      <c r="L1021" s="182"/>
      <c r="M1021" s="234"/>
      <c r="N1021" s="28"/>
      <c r="O1021" s="181"/>
      <c r="P1021" s="183"/>
      <c r="Q1021" s="104"/>
      <c r="R1021" s="233"/>
      <c r="S1021" s="164"/>
      <c r="T1021" s="164"/>
      <c r="U1021" s="162"/>
      <c r="V1021" s="235"/>
      <c r="W1021" s="235"/>
      <c r="X1021" s="235"/>
      <c r="Y1021" s="235"/>
      <c r="Z1021" s="235"/>
      <c r="AA1021" s="235"/>
      <c r="AB1021" s="235"/>
      <c r="AC1021" s="235"/>
      <c r="AD1021" s="235"/>
      <c r="AE1021" s="235"/>
      <c r="AF1021" s="235"/>
      <c r="AG1021" s="235"/>
      <c r="AH1021" s="235"/>
      <c r="AI1021" s="235"/>
      <c r="AJ1021" s="235"/>
      <c r="AK1021" s="235"/>
      <c r="AL1021" s="235"/>
      <c r="AM1021" s="235"/>
      <c r="AN1021" s="235"/>
      <c r="AO1021" s="235"/>
      <c r="AP1021" s="235"/>
      <c r="AQ1021" s="235"/>
      <c r="AR1021" s="235"/>
      <c r="AS1021" s="235"/>
      <c r="AT1021" s="235"/>
      <c r="AU1021" s="235"/>
      <c r="AV1021" s="235"/>
      <c r="AW1021" s="235"/>
      <c r="AX1021" s="235"/>
      <c r="AY1021" s="235"/>
      <c r="AZ1021" s="235"/>
      <c r="BA1021" s="235"/>
      <c r="BB1021" s="235"/>
      <c r="BC1021" s="235"/>
      <c r="BD1021" s="235"/>
      <c r="BE1021" s="235"/>
      <c r="BF1021" s="235"/>
      <c r="BG1021" s="235"/>
      <c r="BH1021" s="235"/>
      <c r="BI1021" s="235"/>
      <c r="BJ1021" s="235"/>
      <c r="BK1021" s="235"/>
      <c r="BL1021" s="235"/>
      <c r="BM1021" s="235"/>
      <c r="BN1021" s="235"/>
      <c r="BO1021" s="235"/>
    </row>
    <row r="1022" ht="29.25" hidden="1" customHeight="1">
      <c r="A1022" s="230"/>
      <c r="B1022" s="231"/>
      <c r="C1022" s="179"/>
      <c r="D1022" s="179"/>
      <c r="E1022" s="180"/>
      <c r="F1022" s="162"/>
      <c r="G1022" s="232"/>
      <c r="H1022" s="234"/>
      <c r="I1022" s="181"/>
      <c r="J1022" s="182"/>
      <c r="K1022" s="182"/>
      <c r="L1022" s="182"/>
      <c r="M1022" s="234"/>
      <c r="N1022" s="28"/>
      <c r="O1022" s="181"/>
      <c r="P1022" s="183"/>
      <c r="Q1022" s="104"/>
      <c r="R1022" s="233"/>
      <c r="S1022" s="164"/>
      <c r="T1022" s="164"/>
      <c r="U1022" s="162"/>
      <c r="V1022" s="235"/>
      <c r="W1022" s="235"/>
      <c r="X1022" s="235"/>
      <c r="Y1022" s="235"/>
      <c r="Z1022" s="235"/>
      <c r="AA1022" s="235"/>
      <c r="AB1022" s="235"/>
      <c r="AC1022" s="235"/>
      <c r="AD1022" s="235"/>
      <c r="AE1022" s="235"/>
      <c r="AF1022" s="235"/>
      <c r="AG1022" s="235"/>
      <c r="AH1022" s="235"/>
      <c r="AI1022" s="235"/>
      <c r="AJ1022" s="235"/>
      <c r="AK1022" s="235"/>
      <c r="AL1022" s="235"/>
      <c r="AM1022" s="235"/>
      <c r="AN1022" s="235"/>
      <c r="AO1022" s="235"/>
      <c r="AP1022" s="235"/>
      <c r="AQ1022" s="235"/>
      <c r="AR1022" s="235"/>
      <c r="AS1022" s="235"/>
      <c r="AT1022" s="235"/>
      <c r="AU1022" s="235"/>
      <c r="AV1022" s="235"/>
      <c r="AW1022" s="235"/>
      <c r="AX1022" s="235"/>
      <c r="AY1022" s="235"/>
      <c r="AZ1022" s="235"/>
      <c r="BA1022" s="235"/>
      <c r="BB1022" s="235"/>
      <c r="BC1022" s="235"/>
      <c r="BD1022" s="235"/>
      <c r="BE1022" s="235"/>
      <c r="BF1022" s="235"/>
      <c r="BG1022" s="235"/>
      <c r="BH1022" s="235"/>
      <c r="BI1022" s="235"/>
      <c r="BJ1022" s="235"/>
      <c r="BK1022" s="235"/>
      <c r="BL1022" s="235"/>
      <c r="BM1022" s="235"/>
      <c r="BN1022" s="235"/>
      <c r="BO1022" s="235"/>
    </row>
    <row r="1023" ht="29.25" hidden="1" customHeight="1">
      <c r="A1023" s="230"/>
      <c r="B1023" s="231"/>
      <c r="C1023" s="179"/>
      <c r="D1023" s="179"/>
      <c r="E1023" s="180"/>
      <c r="F1023" s="162"/>
      <c r="G1023" s="232"/>
      <c r="H1023" s="234"/>
      <c r="I1023" s="181"/>
      <c r="J1023" s="182"/>
      <c r="K1023" s="182"/>
      <c r="L1023" s="182"/>
      <c r="M1023" s="234"/>
      <c r="N1023" s="28"/>
      <c r="O1023" s="181"/>
      <c r="P1023" s="183"/>
      <c r="Q1023" s="104"/>
      <c r="R1023" s="233"/>
      <c r="S1023" s="164"/>
      <c r="T1023" s="164"/>
      <c r="U1023" s="162"/>
      <c r="V1023" s="235"/>
      <c r="W1023" s="235"/>
      <c r="X1023" s="235"/>
      <c r="Y1023" s="235"/>
      <c r="Z1023" s="235"/>
      <c r="AA1023" s="235"/>
      <c r="AB1023" s="235"/>
      <c r="AC1023" s="235"/>
      <c r="AD1023" s="235"/>
      <c r="AE1023" s="235"/>
      <c r="AF1023" s="235"/>
      <c r="AG1023" s="235"/>
      <c r="AH1023" s="235"/>
      <c r="AI1023" s="235"/>
      <c r="AJ1023" s="235"/>
      <c r="AK1023" s="235"/>
      <c r="AL1023" s="235"/>
      <c r="AM1023" s="235"/>
      <c r="AN1023" s="235"/>
      <c r="AO1023" s="235"/>
      <c r="AP1023" s="235"/>
      <c r="AQ1023" s="235"/>
      <c r="AR1023" s="235"/>
      <c r="AS1023" s="235"/>
      <c r="AT1023" s="235"/>
      <c r="AU1023" s="235"/>
      <c r="AV1023" s="235"/>
      <c r="AW1023" s="235"/>
      <c r="AX1023" s="235"/>
      <c r="AY1023" s="235"/>
      <c r="AZ1023" s="235"/>
      <c r="BA1023" s="235"/>
      <c r="BB1023" s="235"/>
      <c r="BC1023" s="235"/>
      <c r="BD1023" s="235"/>
      <c r="BE1023" s="235"/>
      <c r="BF1023" s="235"/>
      <c r="BG1023" s="235"/>
      <c r="BH1023" s="235"/>
      <c r="BI1023" s="235"/>
      <c r="BJ1023" s="235"/>
      <c r="BK1023" s="235"/>
      <c r="BL1023" s="235"/>
      <c r="BM1023" s="235"/>
      <c r="BN1023" s="235"/>
      <c r="BO1023" s="235"/>
    </row>
    <row r="1024" ht="29.25" hidden="1" customHeight="1">
      <c r="A1024" s="230"/>
      <c r="B1024" s="231"/>
      <c r="C1024" s="179"/>
      <c r="D1024" s="179"/>
      <c r="E1024" s="180"/>
      <c r="F1024" s="162"/>
      <c r="G1024" s="232"/>
      <c r="H1024" s="234"/>
      <c r="I1024" s="181"/>
      <c r="J1024" s="182"/>
      <c r="K1024" s="182"/>
      <c r="L1024" s="182"/>
      <c r="M1024" s="234"/>
      <c r="N1024" s="28"/>
      <c r="O1024" s="181"/>
      <c r="P1024" s="183"/>
      <c r="Q1024" s="104"/>
      <c r="R1024" s="233"/>
      <c r="S1024" s="164"/>
      <c r="T1024" s="164"/>
      <c r="U1024" s="162"/>
      <c r="V1024" s="235"/>
      <c r="W1024" s="235"/>
      <c r="X1024" s="235"/>
      <c r="Y1024" s="235"/>
      <c r="Z1024" s="235"/>
      <c r="AA1024" s="235"/>
      <c r="AB1024" s="235"/>
      <c r="AC1024" s="235"/>
      <c r="AD1024" s="235"/>
      <c r="AE1024" s="235"/>
      <c r="AF1024" s="235"/>
      <c r="AG1024" s="235"/>
      <c r="AH1024" s="235"/>
      <c r="AI1024" s="235"/>
      <c r="AJ1024" s="235"/>
      <c r="AK1024" s="235"/>
      <c r="AL1024" s="235"/>
      <c r="AM1024" s="235"/>
      <c r="AN1024" s="235"/>
      <c r="AO1024" s="235"/>
      <c r="AP1024" s="235"/>
      <c r="AQ1024" s="235"/>
      <c r="AR1024" s="235"/>
      <c r="AS1024" s="235"/>
      <c r="AT1024" s="235"/>
      <c r="AU1024" s="235"/>
      <c r="AV1024" s="235"/>
      <c r="AW1024" s="235"/>
      <c r="AX1024" s="235"/>
      <c r="AY1024" s="235"/>
      <c r="AZ1024" s="235"/>
      <c r="BA1024" s="235"/>
      <c r="BB1024" s="235"/>
      <c r="BC1024" s="235"/>
      <c r="BD1024" s="235"/>
      <c r="BE1024" s="235"/>
      <c r="BF1024" s="235"/>
      <c r="BG1024" s="235"/>
      <c r="BH1024" s="235"/>
      <c r="BI1024" s="235"/>
      <c r="BJ1024" s="235"/>
      <c r="BK1024" s="235"/>
      <c r="BL1024" s="235"/>
      <c r="BM1024" s="235"/>
      <c r="BN1024" s="235"/>
      <c r="BO1024" s="235"/>
    </row>
    <row r="1025" ht="29.25" hidden="1" customHeight="1">
      <c r="A1025" s="230"/>
      <c r="B1025" s="231"/>
      <c r="C1025" s="179"/>
      <c r="D1025" s="179"/>
      <c r="E1025" s="180"/>
      <c r="F1025" s="162"/>
      <c r="G1025" s="232"/>
      <c r="H1025" s="234"/>
      <c r="I1025" s="181"/>
      <c r="J1025" s="182"/>
      <c r="K1025" s="182"/>
      <c r="L1025" s="182"/>
      <c r="M1025" s="234"/>
      <c r="N1025" s="28"/>
      <c r="O1025" s="181"/>
      <c r="P1025" s="183"/>
      <c r="Q1025" s="104"/>
      <c r="R1025" s="233"/>
      <c r="S1025" s="164"/>
      <c r="T1025" s="164"/>
      <c r="U1025" s="162"/>
      <c r="V1025" s="235"/>
      <c r="W1025" s="235"/>
      <c r="X1025" s="235"/>
      <c r="Y1025" s="235"/>
      <c r="Z1025" s="235"/>
      <c r="AA1025" s="235"/>
      <c r="AB1025" s="235"/>
      <c r="AC1025" s="235"/>
      <c r="AD1025" s="235"/>
      <c r="AE1025" s="235"/>
      <c r="AF1025" s="235"/>
      <c r="AG1025" s="235"/>
      <c r="AH1025" s="235"/>
      <c r="AI1025" s="235"/>
      <c r="AJ1025" s="235"/>
      <c r="AK1025" s="235"/>
      <c r="AL1025" s="235"/>
      <c r="AM1025" s="235"/>
      <c r="AN1025" s="235"/>
      <c r="AO1025" s="235"/>
      <c r="AP1025" s="235"/>
      <c r="AQ1025" s="235"/>
      <c r="AR1025" s="235"/>
      <c r="AS1025" s="235"/>
      <c r="AT1025" s="235"/>
      <c r="AU1025" s="235"/>
      <c r="AV1025" s="235"/>
      <c r="AW1025" s="235"/>
      <c r="AX1025" s="235"/>
      <c r="AY1025" s="235"/>
      <c r="AZ1025" s="235"/>
      <c r="BA1025" s="235"/>
      <c r="BB1025" s="235"/>
      <c r="BC1025" s="235"/>
      <c r="BD1025" s="235"/>
      <c r="BE1025" s="235"/>
      <c r="BF1025" s="235"/>
      <c r="BG1025" s="235"/>
      <c r="BH1025" s="235"/>
      <c r="BI1025" s="235"/>
      <c r="BJ1025" s="235"/>
      <c r="BK1025" s="235"/>
      <c r="BL1025" s="235"/>
      <c r="BM1025" s="235"/>
      <c r="BN1025" s="235"/>
      <c r="BO1025" s="235"/>
    </row>
    <row r="1026" ht="29.25" hidden="1" customHeight="1">
      <c r="A1026" s="230"/>
      <c r="B1026" s="231"/>
      <c r="C1026" s="179"/>
      <c r="D1026" s="179"/>
      <c r="E1026" s="180"/>
      <c r="F1026" s="162"/>
      <c r="G1026" s="232"/>
      <c r="H1026" s="234"/>
      <c r="I1026" s="181"/>
      <c r="J1026" s="182"/>
      <c r="K1026" s="182"/>
      <c r="L1026" s="182"/>
      <c r="M1026" s="234"/>
      <c r="N1026" s="28"/>
      <c r="O1026" s="181"/>
      <c r="P1026" s="183"/>
      <c r="Q1026" s="104"/>
      <c r="R1026" s="233"/>
      <c r="S1026" s="164"/>
      <c r="T1026" s="164"/>
      <c r="U1026" s="162"/>
      <c r="V1026" s="235"/>
      <c r="W1026" s="235"/>
      <c r="X1026" s="235"/>
      <c r="Y1026" s="235"/>
      <c r="Z1026" s="235"/>
      <c r="AA1026" s="235"/>
      <c r="AB1026" s="235"/>
      <c r="AC1026" s="235"/>
      <c r="AD1026" s="235"/>
      <c r="AE1026" s="235"/>
      <c r="AF1026" s="235"/>
      <c r="AG1026" s="235"/>
      <c r="AH1026" s="235"/>
      <c r="AI1026" s="235"/>
      <c r="AJ1026" s="235"/>
      <c r="AK1026" s="235"/>
      <c r="AL1026" s="235"/>
      <c r="AM1026" s="235"/>
      <c r="AN1026" s="235"/>
      <c r="AO1026" s="235"/>
      <c r="AP1026" s="235"/>
      <c r="AQ1026" s="235"/>
      <c r="AR1026" s="235"/>
      <c r="AS1026" s="235"/>
      <c r="AT1026" s="235"/>
      <c r="AU1026" s="235"/>
      <c r="AV1026" s="235"/>
      <c r="AW1026" s="235"/>
      <c r="AX1026" s="235"/>
      <c r="AY1026" s="235"/>
      <c r="AZ1026" s="235"/>
      <c r="BA1026" s="235"/>
      <c r="BB1026" s="235"/>
      <c r="BC1026" s="235"/>
      <c r="BD1026" s="235"/>
      <c r="BE1026" s="235"/>
      <c r="BF1026" s="235"/>
      <c r="BG1026" s="235"/>
      <c r="BH1026" s="235"/>
      <c r="BI1026" s="235"/>
      <c r="BJ1026" s="235"/>
      <c r="BK1026" s="235"/>
      <c r="BL1026" s="235"/>
      <c r="BM1026" s="235"/>
      <c r="BN1026" s="235"/>
      <c r="BO1026" s="235"/>
    </row>
    <row r="1027" ht="29.25" hidden="1" customHeight="1">
      <c r="A1027" s="230"/>
      <c r="B1027" s="231"/>
      <c r="C1027" s="179"/>
      <c r="D1027" s="179"/>
      <c r="E1027" s="180"/>
      <c r="F1027" s="162"/>
      <c r="G1027" s="232"/>
      <c r="H1027" s="234"/>
      <c r="I1027" s="181"/>
      <c r="J1027" s="182"/>
      <c r="K1027" s="182"/>
      <c r="L1027" s="182"/>
      <c r="M1027" s="234"/>
      <c r="N1027" s="28"/>
      <c r="O1027" s="181"/>
      <c r="P1027" s="183"/>
      <c r="Q1027" s="104"/>
      <c r="R1027" s="233"/>
      <c r="S1027" s="164"/>
      <c r="T1027" s="164"/>
      <c r="U1027" s="162"/>
      <c r="V1027" s="235"/>
      <c r="W1027" s="235"/>
      <c r="X1027" s="235"/>
      <c r="Y1027" s="235"/>
      <c r="Z1027" s="235"/>
      <c r="AA1027" s="235"/>
      <c r="AB1027" s="235"/>
      <c r="AC1027" s="235"/>
      <c r="AD1027" s="235"/>
      <c r="AE1027" s="235"/>
      <c r="AF1027" s="235"/>
      <c r="AG1027" s="235"/>
      <c r="AH1027" s="235"/>
      <c r="AI1027" s="235"/>
      <c r="AJ1027" s="235"/>
      <c r="AK1027" s="235"/>
      <c r="AL1027" s="235"/>
      <c r="AM1027" s="235"/>
      <c r="AN1027" s="235"/>
      <c r="AO1027" s="235"/>
      <c r="AP1027" s="235"/>
      <c r="AQ1027" s="235"/>
      <c r="AR1027" s="235"/>
      <c r="AS1027" s="235"/>
      <c r="AT1027" s="235"/>
      <c r="AU1027" s="235"/>
      <c r="AV1027" s="235"/>
      <c r="AW1027" s="235"/>
      <c r="AX1027" s="235"/>
      <c r="AY1027" s="235"/>
      <c r="AZ1027" s="235"/>
      <c r="BA1027" s="235"/>
      <c r="BB1027" s="235"/>
      <c r="BC1027" s="235"/>
      <c r="BD1027" s="235"/>
      <c r="BE1027" s="235"/>
      <c r="BF1027" s="235"/>
      <c r="BG1027" s="235"/>
      <c r="BH1027" s="235"/>
      <c r="BI1027" s="235"/>
      <c r="BJ1027" s="235"/>
      <c r="BK1027" s="235"/>
      <c r="BL1027" s="235"/>
      <c r="BM1027" s="235"/>
      <c r="BN1027" s="235"/>
      <c r="BO1027" s="235"/>
    </row>
    <row r="1028" ht="29.25" hidden="1" customHeight="1">
      <c r="A1028" s="230"/>
      <c r="B1028" s="231"/>
      <c r="C1028" s="179"/>
      <c r="D1028" s="179"/>
      <c r="E1028" s="180"/>
      <c r="F1028" s="162"/>
      <c r="G1028" s="232"/>
      <c r="H1028" s="234"/>
      <c r="I1028" s="181"/>
      <c r="J1028" s="182"/>
      <c r="K1028" s="182"/>
      <c r="L1028" s="182"/>
      <c r="M1028" s="234"/>
      <c r="N1028" s="28"/>
      <c r="O1028" s="181"/>
      <c r="P1028" s="183"/>
      <c r="Q1028" s="104"/>
      <c r="R1028" s="233"/>
      <c r="S1028" s="164"/>
      <c r="T1028" s="164"/>
      <c r="U1028" s="162"/>
      <c r="V1028" s="235"/>
      <c r="W1028" s="235"/>
      <c r="X1028" s="235"/>
      <c r="Y1028" s="235"/>
      <c r="Z1028" s="235"/>
      <c r="AA1028" s="235"/>
      <c r="AB1028" s="235"/>
      <c r="AC1028" s="235"/>
      <c r="AD1028" s="235"/>
      <c r="AE1028" s="235"/>
      <c r="AF1028" s="235"/>
      <c r="AG1028" s="235"/>
      <c r="AH1028" s="235"/>
      <c r="AI1028" s="235"/>
      <c r="AJ1028" s="235"/>
      <c r="AK1028" s="235"/>
      <c r="AL1028" s="235"/>
      <c r="AM1028" s="235"/>
      <c r="AN1028" s="235"/>
      <c r="AO1028" s="235"/>
      <c r="AP1028" s="235"/>
      <c r="AQ1028" s="235"/>
      <c r="AR1028" s="235"/>
      <c r="AS1028" s="235"/>
      <c r="AT1028" s="235"/>
      <c r="AU1028" s="235"/>
      <c r="AV1028" s="235"/>
      <c r="AW1028" s="235"/>
      <c r="AX1028" s="235"/>
      <c r="AY1028" s="235"/>
      <c r="AZ1028" s="235"/>
      <c r="BA1028" s="235"/>
      <c r="BB1028" s="235"/>
      <c r="BC1028" s="235"/>
      <c r="BD1028" s="235"/>
      <c r="BE1028" s="235"/>
      <c r="BF1028" s="235"/>
      <c r="BG1028" s="235"/>
      <c r="BH1028" s="235"/>
      <c r="BI1028" s="235"/>
      <c r="BJ1028" s="235"/>
      <c r="BK1028" s="235"/>
      <c r="BL1028" s="235"/>
      <c r="BM1028" s="235"/>
      <c r="BN1028" s="235"/>
      <c r="BO1028" s="235"/>
    </row>
    <row r="1029" ht="29.25" hidden="1" customHeight="1">
      <c r="A1029" s="230"/>
      <c r="B1029" s="231"/>
      <c r="C1029" s="179"/>
      <c r="D1029" s="179"/>
      <c r="E1029" s="180"/>
      <c r="F1029" s="162"/>
      <c r="G1029" s="232"/>
      <c r="H1029" s="234"/>
      <c r="I1029" s="181"/>
      <c r="J1029" s="182"/>
      <c r="K1029" s="182"/>
      <c r="L1029" s="182"/>
      <c r="M1029" s="234"/>
      <c r="N1029" s="28"/>
      <c r="O1029" s="181"/>
      <c r="P1029" s="183"/>
      <c r="Q1029" s="104"/>
      <c r="R1029" s="233"/>
      <c r="S1029" s="164"/>
      <c r="T1029" s="164"/>
      <c r="U1029" s="162"/>
      <c r="V1029" s="235"/>
      <c r="W1029" s="235"/>
      <c r="X1029" s="235"/>
      <c r="Y1029" s="235"/>
      <c r="Z1029" s="235"/>
      <c r="AA1029" s="235"/>
      <c r="AB1029" s="235"/>
      <c r="AC1029" s="235"/>
      <c r="AD1029" s="235"/>
      <c r="AE1029" s="235"/>
      <c r="AF1029" s="235"/>
      <c r="AG1029" s="235"/>
      <c r="AH1029" s="235"/>
      <c r="AI1029" s="235"/>
      <c r="AJ1029" s="235"/>
      <c r="AK1029" s="235"/>
      <c r="AL1029" s="235"/>
      <c r="AM1029" s="235"/>
      <c r="AN1029" s="235"/>
      <c r="AO1029" s="235"/>
      <c r="AP1029" s="235"/>
      <c r="AQ1029" s="235"/>
      <c r="AR1029" s="235"/>
      <c r="AS1029" s="235"/>
      <c r="AT1029" s="235"/>
      <c r="AU1029" s="235"/>
      <c r="AV1029" s="235"/>
      <c r="AW1029" s="235"/>
      <c r="AX1029" s="235"/>
      <c r="AY1029" s="235"/>
      <c r="AZ1029" s="235"/>
      <c r="BA1029" s="235"/>
      <c r="BB1029" s="235"/>
      <c r="BC1029" s="235"/>
      <c r="BD1029" s="235"/>
      <c r="BE1029" s="235"/>
      <c r="BF1029" s="235"/>
      <c r="BG1029" s="235"/>
      <c r="BH1029" s="235"/>
      <c r="BI1029" s="235"/>
      <c r="BJ1029" s="235"/>
      <c r="BK1029" s="235"/>
      <c r="BL1029" s="235"/>
      <c r="BM1029" s="235"/>
      <c r="BN1029" s="235"/>
      <c r="BO1029" s="235"/>
    </row>
    <row r="1030" ht="29.25" hidden="1" customHeight="1">
      <c r="A1030" s="230"/>
      <c r="B1030" s="231"/>
      <c r="C1030" s="179"/>
      <c r="D1030" s="179"/>
      <c r="E1030" s="180"/>
      <c r="F1030" s="162"/>
      <c r="G1030" s="232"/>
      <c r="H1030" s="234"/>
      <c r="I1030" s="181"/>
      <c r="J1030" s="182"/>
      <c r="K1030" s="182"/>
      <c r="L1030" s="182"/>
      <c r="M1030" s="234"/>
      <c r="N1030" s="28"/>
      <c r="O1030" s="181"/>
      <c r="P1030" s="183"/>
      <c r="Q1030" s="104"/>
      <c r="R1030" s="233"/>
      <c r="S1030" s="164"/>
      <c r="T1030" s="164"/>
      <c r="U1030" s="162"/>
      <c r="V1030" s="235"/>
      <c r="W1030" s="235"/>
      <c r="X1030" s="235"/>
      <c r="Y1030" s="235"/>
      <c r="Z1030" s="235"/>
      <c r="AA1030" s="235"/>
      <c r="AB1030" s="235"/>
      <c r="AC1030" s="235"/>
      <c r="AD1030" s="235"/>
      <c r="AE1030" s="235"/>
      <c r="AF1030" s="235"/>
      <c r="AG1030" s="235"/>
      <c r="AH1030" s="235"/>
      <c r="AI1030" s="235"/>
      <c r="AJ1030" s="235"/>
      <c r="AK1030" s="235"/>
      <c r="AL1030" s="235"/>
      <c r="AM1030" s="235"/>
      <c r="AN1030" s="235"/>
      <c r="AO1030" s="235"/>
      <c r="AP1030" s="235"/>
      <c r="AQ1030" s="235"/>
      <c r="AR1030" s="235"/>
      <c r="AS1030" s="235"/>
      <c r="AT1030" s="235"/>
      <c r="AU1030" s="235"/>
      <c r="AV1030" s="235"/>
      <c r="AW1030" s="235"/>
      <c r="AX1030" s="235"/>
      <c r="AY1030" s="235"/>
      <c r="AZ1030" s="235"/>
      <c r="BA1030" s="235"/>
      <c r="BB1030" s="235"/>
      <c r="BC1030" s="235"/>
      <c r="BD1030" s="235"/>
      <c r="BE1030" s="235"/>
      <c r="BF1030" s="235"/>
      <c r="BG1030" s="235"/>
      <c r="BH1030" s="235"/>
      <c r="BI1030" s="235"/>
      <c r="BJ1030" s="235"/>
      <c r="BK1030" s="235"/>
      <c r="BL1030" s="235"/>
      <c r="BM1030" s="235"/>
      <c r="BN1030" s="235"/>
      <c r="BO1030" s="235"/>
    </row>
    <row r="1031" ht="29.25" hidden="1" customHeight="1">
      <c r="A1031" s="230"/>
      <c r="B1031" s="231"/>
      <c r="C1031" s="179"/>
      <c r="D1031" s="179"/>
      <c r="E1031" s="180"/>
      <c r="F1031" s="162"/>
      <c r="G1031" s="232"/>
      <c r="H1031" s="234"/>
      <c r="I1031" s="181"/>
      <c r="J1031" s="182"/>
      <c r="K1031" s="182"/>
      <c r="L1031" s="182"/>
      <c r="M1031" s="234"/>
      <c r="N1031" s="28"/>
      <c r="O1031" s="181"/>
      <c r="P1031" s="183"/>
      <c r="Q1031" s="104"/>
      <c r="R1031" s="233"/>
      <c r="S1031" s="164"/>
      <c r="T1031" s="164"/>
      <c r="U1031" s="162"/>
      <c r="V1031" s="235"/>
      <c r="W1031" s="235"/>
      <c r="X1031" s="235"/>
      <c r="Y1031" s="235"/>
      <c r="Z1031" s="235"/>
      <c r="AA1031" s="235"/>
      <c r="AB1031" s="235"/>
      <c r="AC1031" s="235"/>
      <c r="AD1031" s="235"/>
      <c r="AE1031" s="235"/>
      <c r="AF1031" s="235"/>
      <c r="AG1031" s="235"/>
      <c r="AH1031" s="235"/>
      <c r="AI1031" s="235"/>
      <c r="AJ1031" s="235"/>
      <c r="AK1031" s="235"/>
      <c r="AL1031" s="235"/>
      <c r="AM1031" s="235"/>
      <c r="AN1031" s="235"/>
      <c r="AO1031" s="235"/>
      <c r="AP1031" s="235"/>
      <c r="AQ1031" s="235"/>
      <c r="AR1031" s="235"/>
      <c r="AS1031" s="235"/>
      <c r="AT1031" s="235"/>
      <c r="AU1031" s="235"/>
      <c r="AV1031" s="235"/>
      <c r="AW1031" s="235"/>
      <c r="AX1031" s="235"/>
      <c r="AY1031" s="235"/>
      <c r="AZ1031" s="235"/>
      <c r="BA1031" s="235"/>
      <c r="BB1031" s="235"/>
      <c r="BC1031" s="235"/>
      <c r="BD1031" s="235"/>
      <c r="BE1031" s="235"/>
      <c r="BF1031" s="235"/>
      <c r="BG1031" s="235"/>
      <c r="BH1031" s="235"/>
      <c r="BI1031" s="235"/>
      <c r="BJ1031" s="235"/>
      <c r="BK1031" s="235"/>
      <c r="BL1031" s="235"/>
      <c r="BM1031" s="235"/>
      <c r="BN1031" s="235"/>
      <c r="BO1031" s="235"/>
    </row>
    <row r="1032" ht="29.25" hidden="1" customHeight="1">
      <c r="A1032" s="230"/>
      <c r="B1032" s="231"/>
      <c r="C1032" s="179"/>
      <c r="D1032" s="179"/>
      <c r="E1032" s="180"/>
      <c r="F1032" s="162"/>
      <c r="G1032" s="232"/>
      <c r="H1032" s="234"/>
      <c r="I1032" s="181"/>
      <c r="J1032" s="182"/>
      <c r="K1032" s="182"/>
      <c r="L1032" s="182"/>
      <c r="M1032" s="234"/>
      <c r="N1032" s="28"/>
      <c r="O1032" s="181"/>
      <c r="P1032" s="183"/>
      <c r="Q1032" s="104"/>
      <c r="R1032" s="233"/>
      <c r="S1032" s="164"/>
      <c r="T1032" s="164"/>
      <c r="U1032" s="162"/>
      <c r="V1032" s="235"/>
      <c r="W1032" s="235"/>
      <c r="X1032" s="235"/>
      <c r="Y1032" s="235"/>
      <c r="Z1032" s="235"/>
      <c r="AA1032" s="235"/>
      <c r="AB1032" s="235"/>
      <c r="AC1032" s="235"/>
      <c r="AD1032" s="235"/>
      <c r="AE1032" s="235"/>
      <c r="AF1032" s="235"/>
      <c r="AG1032" s="235"/>
      <c r="AH1032" s="235"/>
      <c r="AI1032" s="235"/>
      <c r="AJ1032" s="235"/>
      <c r="AK1032" s="235"/>
      <c r="AL1032" s="235"/>
      <c r="AM1032" s="235"/>
      <c r="AN1032" s="235"/>
      <c r="AO1032" s="235"/>
      <c r="AP1032" s="235"/>
      <c r="AQ1032" s="235"/>
      <c r="AR1032" s="235"/>
      <c r="AS1032" s="235"/>
      <c r="AT1032" s="235"/>
      <c r="AU1032" s="235"/>
      <c r="AV1032" s="235"/>
      <c r="AW1032" s="235"/>
      <c r="AX1032" s="235"/>
      <c r="AY1032" s="235"/>
      <c r="AZ1032" s="235"/>
      <c r="BA1032" s="235"/>
      <c r="BB1032" s="235"/>
      <c r="BC1032" s="235"/>
      <c r="BD1032" s="235"/>
      <c r="BE1032" s="235"/>
      <c r="BF1032" s="235"/>
      <c r="BG1032" s="235"/>
      <c r="BH1032" s="235"/>
      <c r="BI1032" s="235"/>
      <c r="BJ1032" s="235"/>
      <c r="BK1032" s="235"/>
      <c r="BL1032" s="235"/>
      <c r="BM1032" s="235"/>
      <c r="BN1032" s="235"/>
      <c r="BO1032" s="235"/>
    </row>
    <row r="1033" ht="29.25" hidden="1" customHeight="1">
      <c r="A1033" s="230"/>
      <c r="B1033" s="231"/>
      <c r="C1033" s="179"/>
      <c r="D1033" s="179"/>
      <c r="E1033" s="180"/>
      <c r="F1033" s="162"/>
      <c r="G1033" s="232"/>
      <c r="H1033" s="234"/>
      <c r="I1033" s="181"/>
      <c r="J1033" s="182"/>
      <c r="K1033" s="182"/>
      <c r="L1033" s="182"/>
      <c r="M1033" s="234"/>
      <c r="N1033" s="28"/>
      <c r="O1033" s="181"/>
      <c r="P1033" s="183"/>
      <c r="Q1033" s="104"/>
      <c r="R1033" s="233"/>
      <c r="S1033" s="164"/>
      <c r="T1033" s="164"/>
      <c r="U1033" s="162"/>
      <c r="V1033" s="235"/>
      <c r="W1033" s="235"/>
      <c r="X1033" s="235"/>
      <c r="Y1033" s="235"/>
      <c r="Z1033" s="235"/>
      <c r="AA1033" s="235"/>
      <c r="AB1033" s="235"/>
      <c r="AC1033" s="235"/>
      <c r="AD1033" s="235"/>
      <c r="AE1033" s="235"/>
      <c r="AF1033" s="235"/>
      <c r="AG1033" s="235"/>
      <c r="AH1033" s="235"/>
      <c r="AI1033" s="235"/>
      <c r="AJ1033" s="235"/>
      <c r="AK1033" s="235"/>
      <c r="AL1033" s="235"/>
      <c r="AM1033" s="235"/>
      <c r="AN1033" s="235"/>
      <c r="AO1033" s="235"/>
      <c r="AP1033" s="235"/>
      <c r="AQ1033" s="235"/>
      <c r="AR1033" s="235"/>
      <c r="AS1033" s="235"/>
      <c r="AT1033" s="235"/>
      <c r="AU1033" s="235"/>
      <c r="AV1033" s="235"/>
      <c r="AW1033" s="235"/>
      <c r="AX1033" s="235"/>
      <c r="AY1033" s="235"/>
      <c r="AZ1033" s="235"/>
      <c r="BA1033" s="235"/>
      <c r="BB1033" s="235"/>
      <c r="BC1033" s="235"/>
      <c r="BD1033" s="235"/>
      <c r="BE1033" s="235"/>
      <c r="BF1033" s="235"/>
      <c r="BG1033" s="235"/>
      <c r="BH1033" s="235"/>
      <c r="BI1033" s="235"/>
      <c r="BJ1033" s="235"/>
      <c r="BK1033" s="235"/>
      <c r="BL1033" s="235"/>
      <c r="BM1033" s="235"/>
      <c r="BN1033" s="235"/>
      <c r="BO1033" s="235"/>
    </row>
    <row r="1034" ht="29.25" hidden="1" customHeight="1">
      <c r="A1034" s="230"/>
      <c r="B1034" s="231"/>
      <c r="C1034" s="179"/>
      <c r="D1034" s="179"/>
      <c r="E1034" s="180"/>
      <c r="F1034" s="162"/>
      <c r="G1034" s="232"/>
      <c r="H1034" s="234"/>
      <c r="I1034" s="181"/>
      <c r="J1034" s="182"/>
      <c r="K1034" s="182"/>
      <c r="L1034" s="182"/>
      <c r="M1034" s="234"/>
      <c r="N1034" s="28"/>
      <c r="O1034" s="181"/>
      <c r="P1034" s="183"/>
      <c r="Q1034" s="104"/>
      <c r="R1034" s="233"/>
      <c r="S1034" s="164"/>
      <c r="T1034" s="164"/>
      <c r="U1034" s="162"/>
      <c r="V1034" s="235"/>
      <c r="W1034" s="235"/>
      <c r="X1034" s="235"/>
      <c r="Y1034" s="235"/>
      <c r="Z1034" s="235"/>
      <c r="AA1034" s="235"/>
      <c r="AB1034" s="235"/>
      <c r="AC1034" s="235"/>
      <c r="AD1034" s="235"/>
      <c r="AE1034" s="235"/>
      <c r="AF1034" s="235"/>
      <c r="AG1034" s="235"/>
      <c r="AH1034" s="235"/>
      <c r="AI1034" s="235"/>
      <c r="AJ1034" s="235"/>
      <c r="AK1034" s="235"/>
      <c r="AL1034" s="235"/>
      <c r="AM1034" s="235"/>
      <c r="AN1034" s="235"/>
      <c r="AO1034" s="235"/>
      <c r="AP1034" s="235"/>
      <c r="AQ1034" s="235"/>
      <c r="AR1034" s="235"/>
      <c r="AS1034" s="235"/>
      <c r="AT1034" s="235"/>
      <c r="AU1034" s="235"/>
      <c r="AV1034" s="235"/>
      <c r="AW1034" s="235"/>
      <c r="AX1034" s="235"/>
      <c r="AY1034" s="235"/>
      <c r="AZ1034" s="235"/>
      <c r="BA1034" s="235"/>
      <c r="BB1034" s="235"/>
      <c r="BC1034" s="235"/>
      <c r="BD1034" s="235"/>
      <c r="BE1034" s="235"/>
      <c r="BF1034" s="235"/>
      <c r="BG1034" s="235"/>
      <c r="BH1034" s="235"/>
      <c r="BI1034" s="235"/>
      <c r="BJ1034" s="235"/>
      <c r="BK1034" s="235"/>
      <c r="BL1034" s="235"/>
      <c r="BM1034" s="235"/>
      <c r="BN1034" s="235"/>
      <c r="BO1034" s="235"/>
    </row>
    <row r="1035" ht="29.25" hidden="1" customHeight="1">
      <c r="A1035" s="230"/>
      <c r="B1035" s="231"/>
      <c r="C1035" s="179"/>
      <c r="D1035" s="179"/>
      <c r="E1035" s="180"/>
      <c r="F1035" s="162"/>
      <c r="G1035" s="232"/>
      <c r="H1035" s="234"/>
      <c r="I1035" s="181"/>
      <c r="J1035" s="182"/>
      <c r="K1035" s="182"/>
      <c r="L1035" s="182"/>
      <c r="M1035" s="234"/>
      <c r="N1035" s="28"/>
      <c r="O1035" s="181"/>
      <c r="P1035" s="183"/>
      <c r="Q1035" s="104"/>
      <c r="R1035" s="233"/>
      <c r="S1035" s="164"/>
      <c r="T1035" s="164"/>
      <c r="U1035" s="162"/>
      <c r="V1035" s="235"/>
      <c r="W1035" s="235"/>
      <c r="X1035" s="235"/>
      <c r="Y1035" s="235"/>
      <c r="Z1035" s="235"/>
      <c r="AA1035" s="235"/>
      <c r="AB1035" s="235"/>
      <c r="AC1035" s="235"/>
      <c r="AD1035" s="235"/>
      <c r="AE1035" s="235"/>
      <c r="AF1035" s="235"/>
      <c r="AG1035" s="235"/>
      <c r="AH1035" s="235"/>
      <c r="AI1035" s="235"/>
      <c r="AJ1035" s="235"/>
      <c r="AK1035" s="235"/>
      <c r="AL1035" s="235"/>
      <c r="AM1035" s="235"/>
      <c r="AN1035" s="235"/>
      <c r="AO1035" s="235"/>
      <c r="AP1035" s="235"/>
      <c r="AQ1035" s="235"/>
      <c r="AR1035" s="235"/>
      <c r="AS1035" s="235"/>
      <c r="AT1035" s="235"/>
      <c r="AU1035" s="235"/>
      <c r="AV1035" s="235"/>
      <c r="AW1035" s="235"/>
      <c r="AX1035" s="235"/>
      <c r="AY1035" s="235"/>
      <c r="AZ1035" s="235"/>
      <c r="BA1035" s="235"/>
      <c r="BB1035" s="235"/>
      <c r="BC1035" s="235"/>
      <c r="BD1035" s="235"/>
      <c r="BE1035" s="235"/>
      <c r="BF1035" s="235"/>
      <c r="BG1035" s="235"/>
      <c r="BH1035" s="235"/>
      <c r="BI1035" s="235"/>
      <c r="BJ1035" s="235"/>
      <c r="BK1035" s="235"/>
      <c r="BL1035" s="235"/>
      <c r="BM1035" s="235"/>
      <c r="BN1035" s="235"/>
      <c r="BO1035" s="235"/>
    </row>
    <row r="1036" ht="29.25" hidden="1" customHeight="1">
      <c r="A1036" s="230"/>
      <c r="B1036" s="231"/>
      <c r="C1036" s="179"/>
      <c r="D1036" s="179"/>
      <c r="E1036" s="180"/>
      <c r="F1036" s="162"/>
      <c r="G1036" s="232"/>
      <c r="H1036" s="234"/>
      <c r="I1036" s="181"/>
      <c r="J1036" s="182"/>
      <c r="K1036" s="182"/>
      <c r="L1036" s="182"/>
      <c r="M1036" s="234"/>
      <c r="N1036" s="28"/>
      <c r="O1036" s="181"/>
      <c r="P1036" s="183"/>
      <c r="Q1036" s="104"/>
      <c r="R1036" s="233"/>
      <c r="S1036" s="164"/>
      <c r="T1036" s="164"/>
      <c r="U1036" s="162"/>
      <c r="V1036" s="235"/>
      <c r="W1036" s="235"/>
      <c r="X1036" s="235"/>
      <c r="Y1036" s="235"/>
      <c r="Z1036" s="235"/>
      <c r="AA1036" s="235"/>
      <c r="AB1036" s="235"/>
      <c r="AC1036" s="235"/>
      <c r="AD1036" s="235"/>
      <c r="AE1036" s="235"/>
      <c r="AF1036" s="235"/>
      <c r="AG1036" s="235"/>
      <c r="AH1036" s="235"/>
      <c r="AI1036" s="235"/>
      <c r="AJ1036" s="235"/>
      <c r="AK1036" s="235"/>
      <c r="AL1036" s="235"/>
      <c r="AM1036" s="235"/>
      <c r="AN1036" s="235"/>
      <c r="AO1036" s="235"/>
      <c r="AP1036" s="235"/>
      <c r="AQ1036" s="235"/>
      <c r="AR1036" s="235"/>
      <c r="AS1036" s="235"/>
      <c r="AT1036" s="235"/>
      <c r="AU1036" s="235"/>
      <c r="AV1036" s="235"/>
      <c r="AW1036" s="235"/>
      <c r="AX1036" s="235"/>
      <c r="AY1036" s="235"/>
      <c r="AZ1036" s="235"/>
      <c r="BA1036" s="235"/>
      <c r="BB1036" s="235"/>
      <c r="BC1036" s="235"/>
      <c r="BD1036" s="235"/>
      <c r="BE1036" s="235"/>
      <c r="BF1036" s="235"/>
      <c r="BG1036" s="235"/>
      <c r="BH1036" s="235"/>
      <c r="BI1036" s="235"/>
      <c r="BJ1036" s="235"/>
      <c r="BK1036" s="235"/>
      <c r="BL1036" s="235"/>
      <c r="BM1036" s="235"/>
      <c r="BN1036" s="235"/>
      <c r="BO1036" s="235"/>
    </row>
    <row r="1037" ht="29.25" hidden="1" customHeight="1">
      <c r="A1037" s="230"/>
      <c r="B1037" s="231"/>
      <c r="C1037" s="179"/>
      <c r="D1037" s="179"/>
      <c r="E1037" s="180"/>
      <c r="F1037" s="162"/>
      <c r="G1037" s="232"/>
      <c r="H1037" s="234"/>
      <c r="I1037" s="181"/>
      <c r="J1037" s="182"/>
      <c r="K1037" s="182"/>
      <c r="L1037" s="182"/>
      <c r="M1037" s="234"/>
      <c r="N1037" s="28"/>
      <c r="O1037" s="181"/>
      <c r="P1037" s="183"/>
      <c r="Q1037" s="104"/>
      <c r="R1037" s="233"/>
      <c r="S1037" s="164"/>
      <c r="T1037" s="164"/>
      <c r="U1037" s="162"/>
      <c r="V1037" s="235"/>
      <c r="W1037" s="235"/>
      <c r="X1037" s="235"/>
      <c r="Y1037" s="235"/>
      <c r="Z1037" s="235"/>
      <c r="AA1037" s="235"/>
      <c r="AB1037" s="235"/>
      <c r="AC1037" s="235"/>
      <c r="AD1037" s="235"/>
      <c r="AE1037" s="235"/>
      <c r="AF1037" s="235"/>
      <c r="AG1037" s="235"/>
      <c r="AH1037" s="235"/>
      <c r="AI1037" s="235"/>
      <c r="AJ1037" s="235"/>
      <c r="AK1037" s="235"/>
      <c r="AL1037" s="235"/>
      <c r="AM1037" s="235"/>
      <c r="AN1037" s="235"/>
      <c r="AO1037" s="235"/>
      <c r="AP1037" s="235"/>
      <c r="AQ1037" s="235"/>
      <c r="AR1037" s="235"/>
      <c r="AS1037" s="235"/>
      <c r="AT1037" s="235"/>
      <c r="AU1037" s="235"/>
      <c r="AV1037" s="235"/>
      <c r="AW1037" s="235"/>
      <c r="AX1037" s="235"/>
      <c r="AY1037" s="235"/>
      <c r="AZ1037" s="235"/>
      <c r="BA1037" s="235"/>
      <c r="BB1037" s="235"/>
      <c r="BC1037" s="235"/>
      <c r="BD1037" s="235"/>
      <c r="BE1037" s="235"/>
      <c r="BF1037" s="235"/>
      <c r="BG1037" s="235"/>
      <c r="BH1037" s="235"/>
      <c r="BI1037" s="235"/>
      <c r="BJ1037" s="235"/>
      <c r="BK1037" s="235"/>
      <c r="BL1037" s="235"/>
      <c r="BM1037" s="235"/>
      <c r="BN1037" s="235"/>
      <c r="BO1037" s="235"/>
    </row>
    <row r="1038" ht="29.25" hidden="1" customHeight="1">
      <c r="A1038" s="230"/>
      <c r="B1038" s="231"/>
      <c r="C1038" s="179"/>
      <c r="D1038" s="179"/>
      <c r="E1038" s="180"/>
      <c r="F1038" s="162"/>
      <c r="G1038" s="232"/>
      <c r="H1038" s="234"/>
      <c r="I1038" s="181"/>
      <c r="J1038" s="182"/>
      <c r="K1038" s="182"/>
      <c r="L1038" s="182"/>
      <c r="M1038" s="234"/>
      <c r="N1038" s="28"/>
      <c r="O1038" s="181"/>
      <c r="P1038" s="183"/>
      <c r="Q1038" s="104"/>
      <c r="R1038" s="233"/>
      <c r="S1038" s="164"/>
      <c r="T1038" s="164"/>
      <c r="U1038" s="162"/>
      <c r="V1038" s="235"/>
      <c r="W1038" s="235"/>
      <c r="X1038" s="235"/>
      <c r="Y1038" s="235"/>
      <c r="Z1038" s="235"/>
      <c r="AA1038" s="235"/>
      <c r="AB1038" s="235"/>
      <c r="AC1038" s="235"/>
      <c r="AD1038" s="235"/>
      <c r="AE1038" s="235"/>
      <c r="AF1038" s="235"/>
      <c r="AG1038" s="235"/>
      <c r="AH1038" s="235"/>
      <c r="AI1038" s="235"/>
      <c r="AJ1038" s="235"/>
      <c r="AK1038" s="235"/>
      <c r="AL1038" s="235"/>
      <c r="AM1038" s="235"/>
      <c r="AN1038" s="235"/>
      <c r="AO1038" s="235"/>
      <c r="AP1038" s="235"/>
      <c r="AQ1038" s="235"/>
      <c r="AR1038" s="235"/>
      <c r="AS1038" s="235"/>
      <c r="AT1038" s="235"/>
      <c r="AU1038" s="235"/>
      <c r="AV1038" s="235"/>
      <c r="AW1038" s="235"/>
      <c r="AX1038" s="235"/>
      <c r="AY1038" s="235"/>
      <c r="AZ1038" s="235"/>
      <c r="BA1038" s="235"/>
      <c r="BB1038" s="235"/>
      <c r="BC1038" s="235"/>
      <c r="BD1038" s="235"/>
      <c r="BE1038" s="235"/>
      <c r="BF1038" s="235"/>
      <c r="BG1038" s="235"/>
      <c r="BH1038" s="235"/>
      <c r="BI1038" s="235"/>
      <c r="BJ1038" s="235"/>
      <c r="BK1038" s="235"/>
      <c r="BL1038" s="235"/>
      <c r="BM1038" s="235"/>
      <c r="BN1038" s="235"/>
      <c r="BO1038" s="235"/>
    </row>
    <row r="1039" ht="29.25" hidden="1" customHeight="1">
      <c r="A1039" s="230"/>
      <c r="B1039" s="231"/>
      <c r="C1039" s="179"/>
      <c r="D1039" s="179"/>
      <c r="E1039" s="180"/>
      <c r="F1039" s="162"/>
      <c r="G1039" s="232"/>
      <c r="H1039" s="234"/>
      <c r="I1039" s="181"/>
      <c r="J1039" s="182"/>
      <c r="K1039" s="182"/>
      <c r="L1039" s="182"/>
      <c r="M1039" s="234"/>
      <c r="N1039" s="28"/>
      <c r="O1039" s="181"/>
      <c r="P1039" s="183"/>
      <c r="Q1039" s="104"/>
      <c r="R1039" s="233"/>
      <c r="S1039" s="164"/>
      <c r="T1039" s="164"/>
      <c r="U1039" s="162"/>
      <c r="V1039" s="235"/>
      <c r="W1039" s="235"/>
      <c r="X1039" s="235"/>
      <c r="Y1039" s="235"/>
      <c r="Z1039" s="235"/>
      <c r="AA1039" s="235"/>
      <c r="AB1039" s="235"/>
      <c r="AC1039" s="235"/>
      <c r="AD1039" s="235"/>
      <c r="AE1039" s="235"/>
      <c r="AF1039" s="235"/>
      <c r="AG1039" s="235"/>
      <c r="AH1039" s="235"/>
      <c r="AI1039" s="235"/>
      <c r="AJ1039" s="235"/>
      <c r="AK1039" s="235"/>
      <c r="AL1039" s="235"/>
      <c r="AM1039" s="235"/>
      <c r="AN1039" s="235"/>
      <c r="AO1039" s="235"/>
      <c r="AP1039" s="235"/>
      <c r="AQ1039" s="235"/>
      <c r="AR1039" s="235"/>
      <c r="AS1039" s="235"/>
      <c r="AT1039" s="235"/>
      <c r="AU1039" s="235"/>
      <c r="AV1039" s="235"/>
      <c r="AW1039" s="235"/>
      <c r="AX1039" s="235"/>
      <c r="AY1039" s="235"/>
      <c r="AZ1039" s="235"/>
      <c r="BA1039" s="235"/>
      <c r="BB1039" s="235"/>
      <c r="BC1039" s="235"/>
      <c r="BD1039" s="235"/>
      <c r="BE1039" s="235"/>
      <c r="BF1039" s="235"/>
      <c r="BG1039" s="235"/>
      <c r="BH1039" s="235"/>
      <c r="BI1039" s="235"/>
      <c r="BJ1039" s="235"/>
      <c r="BK1039" s="235"/>
      <c r="BL1039" s="235"/>
      <c r="BM1039" s="235"/>
      <c r="BN1039" s="235"/>
      <c r="BO1039" s="235"/>
    </row>
    <row r="1040" ht="29.25" hidden="1" customHeight="1">
      <c r="A1040" s="230"/>
      <c r="B1040" s="231"/>
      <c r="C1040" s="179"/>
      <c r="D1040" s="179"/>
      <c r="E1040" s="180"/>
      <c r="F1040" s="162"/>
      <c r="G1040" s="232"/>
      <c r="H1040" s="234"/>
      <c r="I1040" s="181"/>
      <c r="J1040" s="182"/>
      <c r="K1040" s="182"/>
      <c r="L1040" s="182"/>
      <c r="M1040" s="234"/>
      <c r="N1040" s="28"/>
      <c r="O1040" s="181"/>
      <c r="P1040" s="183"/>
      <c r="Q1040" s="104"/>
      <c r="R1040" s="233"/>
      <c r="S1040" s="164"/>
      <c r="T1040" s="164"/>
      <c r="U1040" s="162"/>
      <c r="V1040" s="235"/>
      <c r="W1040" s="235"/>
      <c r="X1040" s="235"/>
      <c r="Y1040" s="235"/>
      <c r="Z1040" s="235"/>
      <c r="AA1040" s="235"/>
      <c r="AB1040" s="235"/>
      <c r="AC1040" s="235"/>
      <c r="AD1040" s="235"/>
      <c r="AE1040" s="235"/>
      <c r="AF1040" s="235"/>
      <c r="AG1040" s="235"/>
      <c r="AH1040" s="235"/>
      <c r="AI1040" s="235"/>
      <c r="AJ1040" s="235"/>
      <c r="AK1040" s="235"/>
      <c r="AL1040" s="235"/>
      <c r="AM1040" s="235"/>
      <c r="AN1040" s="235"/>
      <c r="AO1040" s="235"/>
      <c r="AP1040" s="235"/>
      <c r="AQ1040" s="235"/>
      <c r="AR1040" s="235"/>
      <c r="AS1040" s="235"/>
      <c r="AT1040" s="235"/>
      <c r="AU1040" s="235"/>
      <c r="AV1040" s="235"/>
      <c r="AW1040" s="235"/>
      <c r="AX1040" s="235"/>
      <c r="AY1040" s="235"/>
      <c r="AZ1040" s="235"/>
      <c r="BA1040" s="235"/>
      <c r="BB1040" s="235"/>
      <c r="BC1040" s="235"/>
      <c r="BD1040" s="235"/>
      <c r="BE1040" s="235"/>
      <c r="BF1040" s="235"/>
      <c r="BG1040" s="235"/>
      <c r="BH1040" s="235"/>
      <c r="BI1040" s="235"/>
      <c r="BJ1040" s="235"/>
      <c r="BK1040" s="235"/>
      <c r="BL1040" s="235"/>
      <c r="BM1040" s="235"/>
      <c r="BN1040" s="235"/>
      <c r="BO1040" s="235"/>
    </row>
    <row r="1041" ht="29.25" hidden="1" customHeight="1">
      <c r="A1041" s="230"/>
      <c r="B1041" s="231"/>
      <c r="C1041" s="179"/>
      <c r="D1041" s="179"/>
      <c r="E1041" s="180"/>
      <c r="F1041" s="162"/>
      <c r="G1041" s="232"/>
      <c r="H1041" s="234"/>
      <c r="I1041" s="181"/>
      <c r="J1041" s="182"/>
      <c r="K1041" s="182"/>
      <c r="L1041" s="182"/>
      <c r="M1041" s="234"/>
      <c r="N1041" s="28"/>
      <c r="O1041" s="181"/>
      <c r="P1041" s="183"/>
      <c r="Q1041" s="104"/>
      <c r="R1041" s="233"/>
      <c r="S1041" s="164"/>
      <c r="T1041" s="164"/>
      <c r="U1041" s="162"/>
      <c r="V1041" s="235"/>
      <c r="W1041" s="235"/>
      <c r="X1041" s="235"/>
      <c r="Y1041" s="235"/>
      <c r="Z1041" s="235"/>
      <c r="AA1041" s="235"/>
      <c r="AB1041" s="235"/>
      <c r="AC1041" s="235"/>
      <c r="AD1041" s="235"/>
      <c r="AE1041" s="235"/>
      <c r="AF1041" s="235"/>
      <c r="AG1041" s="235"/>
      <c r="AH1041" s="235"/>
      <c r="AI1041" s="235"/>
      <c r="AJ1041" s="235"/>
      <c r="AK1041" s="235"/>
      <c r="AL1041" s="235"/>
      <c r="AM1041" s="235"/>
      <c r="AN1041" s="235"/>
      <c r="AO1041" s="235"/>
      <c r="AP1041" s="235"/>
      <c r="AQ1041" s="235"/>
      <c r="AR1041" s="235"/>
      <c r="AS1041" s="235"/>
      <c r="AT1041" s="235"/>
      <c r="AU1041" s="235"/>
      <c r="AV1041" s="235"/>
      <c r="AW1041" s="235"/>
      <c r="AX1041" s="235"/>
      <c r="AY1041" s="235"/>
      <c r="AZ1041" s="235"/>
      <c r="BA1041" s="235"/>
      <c r="BB1041" s="235"/>
      <c r="BC1041" s="235"/>
      <c r="BD1041" s="235"/>
      <c r="BE1041" s="235"/>
      <c r="BF1041" s="235"/>
      <c r="BG1041" s="235"/>
      <c r="BH1041" s="235"/>
      <c r="BI1041" s="235"/>
      <c r="BJ1041" s="235"/>
      <c r="BK1041" s="235"/>
      <c r="BL1041" s="235"/>
      <c r="BM1041" s="235"/>
      <c r="BN1041" s="235"/>
      <c r="BO1041" s="235"/>
    </row>
    <row r="1042" ht="29.25" hidden="1" customHeight="1">
      <c r="A1042" s="230"/>
      <c r="B1042" s="231"/>
      <c r="C1042" s="179"/>
      <c r="D1042" s="179"/>
      <c r="E1042" s="180"/>
      <c r="F1042" s="162"/>
      <c r="G1042" s="232"/>
      <c r="H1042" s="234"/>
      <c r="I1042" s="181"/>
      <c r="J1042" s="182"/>
      <c r="K1042" s="182"/>
      <c r="L1042" s="182"/>
      <c r="M1042" s="234"/>
      <c r="N1042" s="28"/>
      <c r="O1042" s="181"/>
      <c r="P1042" s="183"/>
      <c r="Q1042" s="104"/>
      <c r="R1042" s="233"/>
      <c r="S1042" s="164"/>
      <c r="T1042" s="164"/>
      <c r="U1042" s="162"/>
      <c r="V1042" s="235"/>
      <c r="W1042" s="235"/>
      <c r="X1042" s="235"/>
      <c r="Y1042" s="235"/>
      <c r="Z1042" s="235"/>
      <c r="AA1042" s="235"/>
      <c r="AB1042" s="235"/>
      <c r="AC1042" s="235"/>
      <c r="AD1042" s="235"/>
      <c r="AE1042" s="235"/>
      <c r="AF1042" s="235"/>
      <c r="AG1042" s="235"/>
      <c r="AH1042" s="235"/>
      <c r="AI1042" s="235"/>
      <c r="AJ1042" s="235"/>
      <c r="AK1042" s="235"/>
      <c r="AL1042" s="235"/>
      <c r="AM1042" s="235"/>
      <c r="AN1042" s="235"/>
      <c r="AO1042" s="235"/>
      <c r="AP1042" s="235"/>
      <c r="AQ1042" s="235"/>
      <c r="AR1042" s="235"/>
      <c r="AS1042" s="235"/>
      <c r="AT1042" s="235"/>
      <c r="AU1042" s="235"/>
      <c r="AV1042" s="235"/>
      <c r="AW1042" s="235"/>
      <c r="AX1042" s="235"/>
      <c r="AY1042" s="235"/>
      <c r="AZ1042" s="235"/>
      <c r="BA1042" s="235"/>
      <c r="BB1042" s="235"/>
      <c r="BC1042" s="235"/>
      <c r="BD1042" s="235"/>
      <c r="BE1042" s="235"/>
      <c r="BF1042" s="235"/>
      <c r="BG1042" s="235"/>
      <c r="BH1042" s="235"/>
      <c r="BI1042" s="235"/>
      <c r="BJ1042" s="235"/>
      <c r="BK1042" s="235"/>
      <c r="BL1042" s="235"/>
      <c r="BM1042" s="235"/>
      <c r="BN1042" s="235"/>
      <c r="BO1042" s="235"/>
    </row>
    <row r="1043" ht="29.25" hidden="1" customHeight="1">
      <c r="A1043" s="230"/>
      <c r="B1043" s="231"/>
      <c r="C1043" s="179"/>
      <c r="D1043" s="179"/>
      <c r="E1043" s="180"/>
      <c r="F1043" s="162"/>
      <c r="G1043" s="232"/>
      <c r="H1043" s="234"/>
      <c r="I1043" s="181"/>
      <c r="J1043" s="182"/>
      <c r="K1043" s="182"/>
      <c r="L1043" s="182"/>
      <c r="M1043" s="234"/>
      <c r="N1043" s="28"/>
      <c r="O1043" s="181"/>
      <c r="P1043" s="183"/>
      <c r="Q1043" s="104"/>
      <c r="R1043" s="233"/>
      <c r="S1043" s="164"/>
      <c r="T1043" s="164"/>
      <c r="U1043" s="162"/>
      <c r="V1043" s="235"/>
      <c r="W1043" s="235"/>
      <c r="X1043" s="235"/>
      <c r="Y1043" s="235"/>
      <c r="Z1043" s="235"/>
      <c r="AA1043" s="235"/>
      <c r="AB1043" s="235"/>
      <c r="AC1043" s="235"/>
      <c r="AD1043" s="235"/>
      <c r="AE1043" s="235"/>
      <c r="AF1043" s="235"/>
      <c r="AG1043" s="235"/>
      <c r="AH1043" s="235"/>
      <c r="AI1043" s="235"/>
      <c r="AJ1043" s="235"/>
      <c r="AK1043" s="235"/>
      <c r="AL1043" s="235"/>
      <c r="AM1043" s="235"/>
      <c r="AN1043" s="235"/>
      <c r="AO1043" s="235"/>
      <c r="AP1043" s="235"/>
      <c r="AQ1043" s="235"/>
      <c r="AR1043" s="235"/>
      <c r="AS1043" s="235"/>
      <c r="AT1043" s="235"/>
      <c r="AU1043" s="235"/>
      <c r="AV1043" s="235"/>
      <c r="AW1043" s="235"/>
      <c r="AX1043" s="235"/>
      <c r="AY1043" s="235"/>
      <c r="AZ1043" s="235"/>
      <c r="BA1043" s="235"/>
      <c r="BB1043" s="235"/>
      <c r="BC1043" s="235"/>
      <c r="BD1043" s="235"/>
      <c r="BE1043" s="235"/>
      <c r="BF1043" s="235"/>
      <c r="BG1043" s="235"/>
      <c r="BH1043" s="235"/>
      <c r="BI1043" s="235"/>
      <c r="BJ1043" s="235"/>
      <c r="BK1043" s="235"/>
      <c r="BL1043" s="235"/>
      <c r="BM1043" s="235"/>
      <c r="BN1043" s="235"/>
      <c r="BO1043" s="235"/>
    </row>
    <row r="1044" ht="29.25" hidden="1" customHeight="1">
      <c r="A1044" s="230"/>
      <c r="B1044" s="231"/>
      <c r="C1044" s="179"/>
      <c r="D1044" s="179"/>
      <c r="E1044" s="180"/>
      <c r="F1044" s="162"/>
      <c r="G1044" s="232"/>
      <c r="H1044" s="234"/>
      <c r="I1044" s="181"/>
      <c r="J1044" s="182"/>
      <c r="K1044" s="182"/>
      <c r="L1044" s="182"/>
      <c r="M1044" s="234"/>
      <c r="N1044" s="28"/>
      <c r="O1044" s="181"/>
      <c r="P1044" s="183"/>
      <c r="Q1044" s="104"/>
      <c r="R1044" s="233"/>
      <c r="S1044" s="164"/>
      <c r="T1044" s="164"/>
      <c r="U1044" s="162"/>
      <c r="V1044" s="235"/>
      <c r="W1044" s="235"/>
      <c r="X1044" s="235"/>
      <c r="Y1044" s="235"/>
      <c r="Z1044" s="235"/>
      <c r="AA1044" s="235"/>
      <c r="AB1044" s="235"/>
      <c r="AC1044" s="235"/>
      <c r="AD1044" s="235"/>
      <c r="AE1044" s="235"/>
      <c r="AF1044" s="235"/>
      <c r="AG1044" s="235"/>
      <c r="AH1044" s="235"/>
      <c r="AI1044" s="235"/>
      <c r="AJ1044" s="235"/>
      <c r="AK1044" s="235"/>
      <c r="AL1044" s="235"/>
      <c r="AM1044" s="235"/>
      <c r="AN1044" s="235"/>
      <c r="AO1044" s="235"/>
      <c r="AP1044" s="235"/>
      <c r="AQ1044" s="235"/>
      <c r="AR1044" s="235"/>
      <c r="AS1044" s="235"/>
      <c r="AT1044" s="235"/>
      <c r="AU1044" s="235"/>
      <c r="AV1044" s="235"/>
      <c r="AW1044" s="235"/>
      <c r="AX1044" s="235"/>
      <c r="AY1044" s="235"/>
      <c r="AZ1044" s="235"/>
      <c r="BA1044" s="235"/>
      <c r="BB1044" s="235"/>
      <c r="BC1044" s="235"/>
      <c r="BD1044" s="235"/>
      <c r="BE1044" s="235"/>
      <c r="BF1044" s="235"/>
      <c r="BG1044" s="235"/>
      <c r="BH1044" s="235"/>
      <c r="BI1044" s="235"/>
      <c r="BJ1044" s="235"/>
      <c r="BK1044" s="235"/>
      <c r="BL1044" s="235"/>
      <c r="BM1044" s="235"/>
      <c r="BN1044" s="235"/>
      <c r="BO1044" s="235"/>
    </row>
    <row r="1045" ht="29.25" hidden="1" customHeight="1">
      <c r="A1045" s="230"/>
      <c r="B1045" s="231"/>
      <c r="C1045" s="179"/>
      <c r="D1045" s="179"/>
      <c r="E1045" s="180"/>
      <c r="F1045" s="162"/>
      <c r="G1045" s="232"/>
      <c r="H1045" s="234"/>
      <c r="I1045" s="181"/>
      <c r="J1045" s="182"/>
      <c r="K1045" s="182"/>
      <c r="L1045" s="182"/>
      <c r="M1045" s="234"/>
      <c r="N1045" s="28"/>
      <c r="O1045" s="181"/>
      <c r="P1045" s="183"/>
      <c r="Q1045" s="104"/>
      <c r="R1045" s="233"/>
      <c r="S1045" s="164"/>
      <c r="T1045" s="164"/>
      <c r="U1045" s="162"/>
      <c r="V1045" s="235"/>
      <c r="W1045" s="235"/>
      <c r="X1045" s="235"/>
      <c r="Y1045" s="235"/>
      <c r="Z1045" s="235"/>
      <c r="AA1045" s="235"/>
      <c r="AB1045" s="235"/>
      <c r="AC1045" s="235"/>
      <c r="AD1045" s="235"/>
      <c r="AE1045" s="235"/>
      <c r="AF1045" s="235"/>
      <c r="AG1045" s="235"/>
      <c r="AH1045" s="235"/>
      <c r="AI1045" s="235"/>
      <c r="AJ1045" s="235"/>
      <c r="AK1045" s="235"/>
      <c r="AL1045" s="235"/>
      <c r="AM1045" s="235"/>
      <c r="AN1045" s="235"/>
      <c r="AO1045" s="235"/>
      <c r="AP1045" s="235"/>
      <c r="AQ1045" s="235"/>
      <c r="AR1045" s="235"/>
      <c r="AS1045" s="235"/>
      <c r="AT1045" s="235"/>
      <c r="AU1045" s="235"/>
      <c r="AV1045" s="235"/>
      <c r="AW1045" s="235"/>
      <c r="AX1045" s="235"/>
      <c r="AY1045" s="235"/>
      <c r="AZ1045" s="235"/>
      <c r="BA1045" s="235"/>
      <c r="BB1045" s="235"/>
      <c r="BC1045" s="235"/>
      <c r="BD1045" s="235"/>
      <c r="BE1045" s="235"/>
      <c r="BF1045" s="235"/>
      <c r="BG1045" s="235"/>
      <c r="BH1045" s="235"/>
      <c r="BI1045" s="235"/>
      <c r="BJ1045" s="235"/>
      <c r="BK1045" s="235"/>
      <c r="BL1045" s="235"/>
      <c r="BM1045" s="235"/>
      <c r="BN1045" s="235"/>
      <c r="BO1045" s="235"/>
    </row>
    <row r="1046" ht="29.25" hidden="1" customHeight="1">
      <c r="A1046" s="230"/>
      <c r="B1046" s="231"/>
      <c r="C1046" s="179"/>
      <c r="D1046" s="179"/>
      <c r="E1046" s="180"/>
      <c r="F1046" s="162"/>
      <c r="G1046" s="232"/>
      <c r="H1046" s="234"/>
      <c r="I1046" s="181"/>
      <c r="J1046" s="182"/>
      <c r="K1046" s="182"/>
      <c r="L1046" s="182"/>
      <c r="M1046" s="234"/>
      <c r="N1046" s="28"/>
      <c r="O1046" s="181"/>
      <c r="P1046" s="183"/>
      <c r="Q1046" s="104"/>
      <c r="R1046" s="233"/>
      <c r="S1046" s="164"/>
      <c r="T1046" s="164"/>
      <c r="U1046" s="162"/>
      <c r="V1046" s="235"/>
      <c r="W1046" s="235"/>
      <c r="X1046" s="235"/>
      <c r="Y1046" s="235"/>
      <c r="Z1046" s="235"/>
      <c r="AA1046" s="235"/>
      <c r="AB1046" s="235"/>
      <c r="AC1046" s="235"/>
      <c r="AD1046" s="235"/>
      <c r="AE1046" s="235"/>
      <c r="AF1046" s="235"/>
      <c r="AG1046" s="235"/>
      <c r="AH1046" s="235"/>
      <c r="AI1046" s="235"/>
      <c r="AJ1046" s="235"/>
      <c r="AK1046" s="235"/>
      <c r="AL1046" s="235"/>
      <c r="AM1046" s="235"/>
      <c r="AN1046" s="235"/>
      <c r="AO1046" s="235"/>
      <c r="AP1046" s="235"/>
      <c r="AQ1046" s="235"/>
      <c r="AR1046" s="235"/>
      <c r="AS1046" s="235"/>
      <c r="AT1046" s="235"/>
      <c r="AU1046" s="235"/>
      <c r="AV1046" s="235"/>
      <c r="AW1046" s="235"/>
      <c r="AX1046" s="235"/>
      <c r="AY1046" s="235"/>
      <c r="AZ1046" s="235"/>
      <c r="BA1046" s="235"/>
      <c r="BB1046" s="235"/>
      <c r="BC1046" s="235"/>
      <c r="BD1046" s="235"/>
      <c r="BE1046" s="235"/>
      <c r="BF1046" s="235"/>
      <c r="BG1046" s="235"/>
      <c r="BH1046" s="235"/>
      <c r="BI1046" s="235"/>
      <c r="BJ1046" s="235"/>
      <c r="BK1046" s="235"/>
      <c r="BL1046" s="235"/>
      <c r="BM1046" s="235"/>
      <c r="BN1046" s="235"/>
      <c r="BO1046" s="235"/>
    </row>
    <row r="1047" ht="29.25" hidden="1" customHeight="1">
      <c r="A1047" s="230"/>
      <c r="B1047" s="231"/>
      <c r="C1047" s="179"/>
      <c r="D1047" s="179"/>
      <c r="E1047" s="180"/>
      <c r="F1047" s="162"/>
      <c r="G1047" s="232"/>
      <c r="H1047" s="234"/>
      <c r="I1047" s="181"/>
      <c r="J1047" s="182"/>
      <c r="K1047" s="182"/>
      <c r="L1047" s="182"/>
      <c r="M1047" s="234"/>
      <c r="N1047" s="28"/>
      <c r="O1047" s="181"/>
      <c r="P1047" s="183"/>
      <c r="Q1047" s="104"/>
      <c r="R1047" s="233"/>
      <c r="S1047" s="164"/>
      <c r="T1047" s="164"/>
      <c r="U1047" s="162"/>
      <c r="V1047" s="235"/>
      <c r="W1047" s="235"/>
      <c r="X1047" s="235"/>
      <c r="Y1047" s="235"/>
      <c r="Z1047" s="235"/>
      <c r="AA1047" s="235"/>
      <c r="AB1047" s="235"/>
      <c r="AC1047" s="235"/>
      <c r="AD1047" s="235"/>
      <c r="AE1047" s="235"/>
      <c r="AF1047" s="235"/>
      <c r="AG1047" s="235"/>
      <c r="AH1047" s="235"/>
      <c r="AI1047" s="235"/>
      <c r="AJ1047" s="235"/>
      <c r="AK1047" s="235"/>
      <c r="AL1047" s="235"/>
      <c r="AM1047" s="235"/>
      <c r="AN1047" s="235"/>
      <c r="AO1047" s="235"/>
      <c r="AP1047" s="235"/>
      <c r="AQ1047" s="235"/>
      <c r="AR1047" s="235"/>
      <c r="AS1047" s="235"/>
      <c r="AT1047" s="235"/>
      <c r="AU1047" s="235"/>
      <c r="AV1047" s="235"/>
      <c r="AW1047" s="235"/>
      <c r="AX1047" s="235"/>
      <c r="AY1047" s="235"/>
      <c r="AZ1047" s="235"/>
      <c r="BA1047" s="235"/>
      <c r="BB1047" s="235"/>
      <c r="BC1047" s="235"/>
      <c r="BD1047" s="235"/>
      <c r="BE1047" s="235"/>
      <c r="BF1047" s="235"/>
      <c r="BG1047" s="235"/>
      <c r="BH1047" s="235"/>
      <c r="BI1047" s="235"/>
      <c r="BJ1047" s="235"/>
      <c r="BK1047" s="235"/>
      <c r="BL1047" s="235"/>
      <c r="BM1047" s="235"/>
      <c r="BN1047" s="235"/>
      <c r="BO1047" s="235"/>
    </row>
    <row r="1048" ht="29.25" hidden="1" customHeight="1">
      <c r="A1048" s="230"/>
      <c r="B1048" s="231"/>
      <c r="C1048" s="179"/>
      <c r="D1048" s="179"/>
      <c r="E1048" s="180"/>
      <c r="F1048" s="162"/>
      <c r="G1048" s="232"/>
      <c r="H1048" s="234"/>
      <c r="I1048" s="181"/>
      <c r="J1048" s="182"/>
      <c r="K1048" s="182"/>
      <c r="L1048" s="182"/>
      <c r="M1048" s="234"/>
      <c r="N1048" s="28"/>
      <c r="O1048" s="181"/>
      <c r="P1048" s="183"/>
      <c r="Q1048" s="104"/>
      <c r="R1048" s="233"/>
      <c r="S1048" s="164"/>
      <c r="T1048" s="164"/>
      <c r="U1048" s="162"/>
      <c r="V1048" s="235"/>
      <c r="W1048" s="235"/>
      <c r="X1048" s="235"/>
      <c r="Y1048" s="235"/>
      <c r="Z1048" s="235"/>
      <c r="AA1048" s="235"/>
      <c r="AB1048" s="235"/>
      <c r="AC1048" s="235"/>
      <c r="AD1048" s="235"/>
      <c r="AE1048" s="235"/>
      <c r="AF1048" s="235"/>
      <c r="AG1048" s="235"/>
      <c r="AH1048" s="235"/>
      <c r="AI1048" s="235"/>
      <c r="AJ1048" s="235"/>
      <c r="AK1048" s="235"/>
      <c r="AL1048" s="235"/>
      <c r="AM1048" s="235"/>
      <c r="AN1048" s="235"/>
      <c r="AO1048" s="235"/>
      <c r="AP1048" s="235"/>
      <c r="AQ1048" s="235"/>
      <c r="AR1048" s="235"/>
      <c r="AS1048" s="235"/>
      <c r="AT1048" s="235"/>
      <c r="AU1048" s="235"/>
      <c r="AV1048" s="235"/>
      <c r="AW1048" s="235"/>
      <c r="AX1048" s="235"/>
      <c r="AY1048" s="235"/>
      <c r="AZ1048" s="235"/>
      <c r="BA1048" s="235"/>
      <c r="BB1048" s="235"/>
      <c r="BC1048" s="235"/>
      <c r="BD1048" s="235"/>
      <c r="BE1048" s="235"/>
      <c r="BF1048" s="235"/>
      <c r="BG1048" s="235"/>
      <c r="BH1048" s="235"/>
      <c r="BI1048" s="235"/>
      <c r="BJ1048" s="235"/>
      <c r="BK1048" s="235"/>
      <c r="BL1048" s="235"/>
      <c r="BM1048" s="235"/>
      <c r="BN1048" s="235"/>
      <c r="BO1048" s="235"/>
    </row>
    <row r="1049" ht="29.25" hidden="1" customHeight="1">
      <c r="A1049" s="230"/>
      <c r="B1049" s="231"/>
      <c r="C1049" s="179"/>
      <c r="D1049" s="179"/>
      <c r="E1049" s="180"/>
      <c r="F1049" s="162"/>
      <c r="G1049" s="232"/>
      <c r="H1049" s="234"/>
      <c r="I1049" s="181"/>
      <c r="J1049" s="182"/>
      <c r="K1049" s="182"/>
      <c r="L1049" s="182"/>
      <c r="M1049" s="234"/>
      <c r="N1049" s="28"/>
      <c r="O1049" s="181"/>
      <c r="P1049" s="183"/>
      <c r="Q1049" s="104"/>
      <c r="R1049" s="233"/>
      <c r="S1049" s="164"/>
      <c r="T1049" s="164"/>
      <c r="U1049" s="162"/>
      <c r="V1049" s="235"/>
      <c r="W1049" s="235"/>
      <c r="X1049" s="235"/>
      <c r="Y1049" s="235"/>
      <c r="Z1049" s="235"/>
      <c r="AA1049" s="235"/>
      <c r="AB1049" s="235"/>
      <c r="AC1049" s="235"/>
      <c r="AD1049" s="235"/>
      <c r="AE1049" s="235"/>
      <c r="AF1049" s="235"/>
      <c r="AG1049" s="235"/>
      <c r="AH1049" s="235"/>
      <c r="AI1049" s="235"/>
      <c r="AJ1049" s="235"/>
      <c r="AK1049" s="235"/>
      <c r="AL1049" s="235"/>
      <c r="AM1049" s="235"/>
      <c r="AN1049" s="235"/>
      <c r="AO1049" s="235"/>
      <c r="AP1049" s="235"/>
      <c r="AQ1049" s="235"/>
      <c r="AR1049" s="235"/>
      <c r="AS1049" s="235"/>
      <c r="AT1049" s="235"/>
      <c r="AU1049" s="235"/>
      <c r="AV1049" s="235"/>
      <c r="AW1049" s="235"/>
      <c r="AX1049" s="235"/>
      <c r="AY1049" s="235"/>
      <c r="AZ1049" s="235"/>
      <c r="BA1049" s="235"/>
      <c r="BB1049" s="235"/>
      <c r="BC1049" s="235"/>
      <c r="BD1049" s="235"/>
      <c r="BE1049" s="235"/>
      <c r="BF1049" s="235"/>
      <c r="BG1049" s="235"/>
      <c r="BH1049" s="235"/>
      <c r="BI1049" s="235"/>
      <c r="BJ1049" s="235"/>
      <c r="BK1049" s="235"/>
      <c r="BL1049" s="235"/>
      <c r="BM1049" s="235"/>
      <c r="BN1049" s="235"/>
      <c r="BO1049" s="235"/>
    </row>
    <row r="1050" ht="29.25" hidden="1" customHeight="1">
      <c r="A1050" s="230"/>
      <c r="B1050" s="231"/>
      <c r="C1050" s="179"/>
      <c r="D1050" s="179"/>
      <c r="E1050" s="180"/>
      <c r="F1050" s="162"/>
      <c r="G1050" s="232"/>
      <c r="H1050" s="234"/>
      <c r="I1050" s="181"/>
      <c r="J1050" s="182"/>
      <c r="K1050" s="182"/>
      <c r="L1050" s="182"/>
      <c r="M1050" s="234"/>
      <c r="N1050" s="28"/>
      <c r="O1050" s="181"/>
      <c r="P1050" s="183"/>
      <c r="Q1050" s="104"/>
      <c r="R1050" s="233"/>
      <c r="S1050" s="164"/>
      <c r="T1050" s="164"/>
      <c r="U1050" s="162"/>
      <c r="V1050" s="235"/>
      <c r="W1050" s="235"/>
      <c r="X1050" s="235"/>
      <c r="Y1050" s="235"/>
      <c r="Z1050" s="235"/>
      <c r="AA1050" s="235"/>
      <c r="AB1050" s="235"/>
      <c r="AC1050" s="235"/>
      <c r="AD1050" s="235"/>
      <c r="AE1050" s="235"/>
      <c r="AF1050" s="235"/>
      <c r="AG1050" s="235"/>
      <c r="AH1050" s="235"/>
      <c r="AI1050" s="235"/>
      <c r="AJ1050" s="235"/>
      <c r="AK1050" s="235"/>
      <c r="AL1050" s="235"/>
      <c r="AM1050" s="235"/>
      <c r="AN1050" s="235"/>
      <c r="AO1050" s="235"/>
      <c r="AP1050" s="235"/>
      <c r="AQ1050" s="235"/>
      <c r="AR1050" s="235"/>
      <c r="AS1050" s="235"/>
      <c r="AT1050" s="235"/>
      <c r="AU1050" s="235"/>
      <c r="AV1050" s="235"/>
      <c r="AW1050" s="235"/>
      <c r="AX1050" s="235"/>
      <c r="AY1050" s="235"/>
      <c r="AZ1050" s="235"/>
      <c r="BA1050" s="235"/>
      <c r="BB1050" s="235"/>
      <c r="BC1050" s="235"/>
      <c r="BD1050" s="235"/>
      <c r="BE1050" s="235"/>
      <c r="BF1050" s="235"/>
      <c r="BG1050" s="235"/>
      <c r="BH1050" s="235"/>
      <c r="BI1050" s="235"/>
      <c r="BJ1050" s="235"/>
      <c r="BK1050" s="235"/>
      <c r="BL1050" s="235"/>
      <c r="BM1050" s="235"/>
      <c r="BN1050" s="235"/>
      <c r="BO1050" s="235"/>
    </row>
    <row r="1051" ht="29.25" hidden="1" customHeight="1">
      <c r="A1051" s="230"/>
      <c r="B1051" s="231"/>
      <c r="C1051" s="179"/>
      <c r="D1051" s="179"/>
      <c r="E1051" s="180"/>
      <c r="F1051" s="162"/>
      <c r="G1051" s="232"/>
      <c r="H1051" s="234"/>
      <c r="I1051" s="181"/>
      <c r="J1051" s="182"/>
      <c r="K1051" s="182"/>
      <c r="L1051" s="182"/>
      <c r="M1051" s="234"/>
      <c r="N1051" s="28"/>
      <c r="O1051" s="181"/>
      <c r="P1051" s="183"/>
      <c r="Q1051" s="104"/>
      <c r="R1051" s="233"/>
      <c r="S1051" s="164"/>
      <c r="T1051" s="164"/>
      <c r="U1051" s="162"/>
      <c r="V1051" s="235"/>
      <c r="W1051" s="235"/>
      <c r="X1051" s="235"/>
      <c r="Y1051" s="235"/>
      <c r="Z1051" s="235"/>
      <c r="AA1051" s="235"/>
      <c r="AB1051" s="235"/>
      <c r="AC1051" s="235"/>
      <c r="AD1051" s="235"/>
      <c r="AE1051" s="235"/>
      <c r="AF1051" s="235"/>
      <c r="AG1051" s="235"/>
      <c r="AH1051" s="235"/>
      <c r="AI1051" s="235"/>
      <c r="AJ1051" s="235"/>
      <c r="AK1051" s="235"/>
      <c r="AL1051" s="235"/>
      <c r="AM1051" s="235"/>
      <c r="AN1051" s="235"/>
      <c r="AO1051" s="235"/>
      <c r="AP1051" s="235"/>
      <c r="AQ1051" s="235"/>
      <c r="AR1051" s="235"/>
      <c r="AS1051" s="235"/>
      <c r="AT1051" s="235"/>
      <c r="AU1051" s="235"/>
      <c r="AV1051" s="235"/>
      <c r="AW1051" s="235"/>
      <c r="AX1051" s="235"/>
      <c r="AY1051" s="235"/>
      <c r="AZ1051" s="235"/>
      <c r="BA1051" s="235"/>
      <c r="BB1051" s="235"/>
      <c r="BC1051" s="235"/>
      <c r="BD1051" s="235"/>
      <c r="BE1051" s="235"/>
      <c r="BF1051" s="235"/>
      <c r="BG1051" s="235"/>
      <c r="BH1051" s="235"/>
      <c r="BI1051" s="235"/>
      <c r="BJ1051" s="235"/>
      <c r="BK1051" s="235"/>
      <c r="BL1051" s="235"/>
      <c r="BM1051" s="235"/>
      <c r="BN1051" s="235"/>
      <c r="BO1051" s="235"/>
    </row>
    <row r="1052" ht="29.25" hidden="1" customHeight="1">
      <c r="A1052" s="230"/>
      <c r="B1052" s="231"/>
      <c r="C1052" s="179"/>
      <c r="D1052" s="179"/>
      <c r="E1052" s="180"/>
      <c r="F1052" s="162"/>
      <c r="G1052" s="232"/>
      <c r="H1052" s="234"/>
      <c r="I1052" s="181"/>
      <c r="J1052" s="182"/>
      <c r="K1052" s="182"/>
      <c r="L1052" s="182"/>
      <c r="M1052" s="234"/>
      <c r="N1052" s="28"/>
      <c r="O1052" s="181"/>
      <c r="P1052" s="183"/>
      <c r="Q1052" s="104"/>
      <c r="R1052" s="233"/>
      <c r="S1052" s="164"/>
      <c r="T1052" s="164"/>
      <c r="U1052" s="162"/>
      <c r="V1052" s="235"/>
      <c r="W1052" s="235"/>
      <c r="X1052" s="235"/>
      <c r="Y1052" s="235"/>
      <c r="Z1052" s="235"/>
      <c r="AA1052" s="235"/>
      <c r="AB1052" s="235"/>
      <c r="AC1052" s="235"/>
      <c r="AD1052" s="235"/>
      <c r="AE1052" s="235"/>
      <c r="AF1052" s="235"/>
      <c r="AG1052" s="235"/>
      <c r="AH1052" s="235"/>
      <c r="AI1052" s="235"/>
      <c r="AJ1052" s="235"/>
      <c r="AK1052" s="235"/>
      <c r="AL1052" s="235"/>
      <c r="AM1052" s="235"/>
      <c r="AN1052" s="235"/>
      <c r="AO1052" s="235"/>
      <c r="AP1052" s="235"/>
      <c r="AQ1052" s="235"/>
      <c r="AR1052" s="235"/>
      <c r="AS1052" s="235"/>
      <c r="AT1052" s="235"/>
      <c r="AU1052" s="235"/>
      <c r="AV1052" s="235"/>
      <c r="AW1052" s="235"/>
      <c r="AX1052" s="235"/>
      <c r="AY1052" s="235"/>
      <c r="AZ1052" s="235"/>
      <c r="BA1052" s="235"/>
      <c r="BB1052" s="235"/>
      <c r="BC1052" s="235"/>
      <c r="BD1052" s="235"/>
      <c r="BE1052" s="235"/>
      <c r="BF1052" s="235"/>
      <c r="BG1052" s="235"/>
      <c r="BH1052" s="235"/>
      <c r="BI1052" s="235"/>
      <c r="BJ1052" s="235"/>
      <c r="BK1052" s="235"/>
      <c r="BL1052" s="235"/>
      <c r="BM1052" s="235"/>
      <c r="BN1052" s="235"/>
      <c r="BO1052" s="235"/>
    </row>
    <row r="1053" ht="29.25" hidden="1" customHeight="1">
      <c r="A1053" s="230"/>
      <c r="B1053" s="231"/>
      <c r="C1053" s="179"/>
      <c r="D1053" s="179"/>
      <c r="E1053" s="180"/>
      <c r="F1053" s="162"/>
      <c r="G1053" s="232"/>
      <c r="H1053" s="234"/>
      <c r="I1053" s="181"/>
      <c r="J1053" s="182"/>
      <c r="K1053" s="182"/>
      <c r="L1053" s="182"/>
      <c r="M1053" s="234"/>
      <c r="N1053" s="28"/>
      <c r="O1053" s="181"/>
      <c r="P1053" s="183"/>
      <c r="Q1053" s="104"/>
      <c r="R1053" s="233"/>
      <c r="S1053" s="164"/>
      <c r="T1053" s="164"/>
      <c r="U1053" s="162"/>
      <c r="V1053" s="235"/>
      <c r="W1053" s="235"/>
      <c r="X1053" s="235"/>
      <c r="Y1053" s="235"/>
      <c r="Z1053" s="235"/>
      <c r="AA1053" s="235"/>
      <c r="AB1053" s="235"/>
      <c r="AC1053" s="235"/>
      <c r="AD1053" s="235"/>
      <c r="AE1053" s="235"/>
      <c r="AF1053" s="235"/>
      <c r="AG1053" s="235"/>
      <c r="AH1053" s="235"/>
      <c r="AI1053" s="235"/>
      <c r="AJ1053" s="235"/>
      <c r="AK1053" s="235"/>
      <c r="AL1053" s="235"/>
      <c r="AM1053" s="235"/>
      <c r="AN1053" s="235"/>
      <c r="AO1053" s="235"/>
      <c r="AP1053" s="235"/>
      <c r="AQ1053" s="235"/>
      <c r="AR1053" s="235"/>
      <c r="AS1053" s="235"/>
      <c r="AT1053" s="235"/>
      <c r="AU1053" s="235"/>
      <c r="AV1053" s="235"/>
      <c r="AW1053" s="235"/>
      <c r="AX1053" s="235"/>
      <c r="AY1053" s="235"/>
      <c r="AZ1053" s="235"/>
      <c r="BA1053" s="235"/>
      <c r="BB1053" s="235"/>
      <c r="BC1053" s="235"/>
      <c r="BD1053" s="235"/>
      <c r="BE1053" s="235"/>
      <c r="BF1053" s="235"/>
      <c r="BG1053" s="235"/>
      <c r="BH1053" s="235"/>
      <c r="BI1053" s="235"/>
      <c r="BJ1053" s="235"/>
      <c r="BK1053" s="235"/>
      <c r="BL1053" s="235"/>
      <c r="BM1053" s="235"/>
      <c r="BN1053" s="235"/>
      <c r="BO1053" s="235"/>
    </row>
    <row r="1054" ht="29.25" hidden="1" customHeight="1">
      <c r="A1054" s="230"/>
      <c r="B1054" s="231"/>
      <c r="C1054" s="179"/>
      <c r="D1054" s="179"/>
      <c r="E1054" s="180"/>
      <c r="F1054" s="162"/>
      <c r="G1054" s="232"/>
      <c r="H1054" s="234"/>
      <c r="I1054" s="181"/>
      <c r="J1054" s="182"/>
      <c r="K1054" s="182"/>
      <c r="L1054" s="182"/>
      <c r="M1054" s="234"/>
      <c r="N1054" s="28"/>
      <c r="O1054" s="181"/>
      <c r="P1054" s="183"/>
      <c r="Q1054" s="104"/>
      <c r="R1054" s="233"/>
      <c r="S1054" s="164"/>
      <c r="T1054" s="164"/>
      <c r="U1054" s="162"/>
      <c r="V1054" s="235"/>
      <c r="W1054" s="235"/>
      <c r="X1054" s="235"/>
      <c r="Y1054" s="235"/>
      <c r="Z1054" s="235"/>
      <c r="AA1054" s="235"/>
      <c r="AB1054" s="235"/>
      <c r="AC1054" s="235"/>
      <c r="AD1054" s="235"/>
      <c r="AE1054" s="235"/>
      <c r="AF1054" s="235"/>
      <c r="AG1054" s="235"/>
      <c r="AH1054" s="235"/>
      <c r="AI1054" s="235"/>
      <c r="AJ1054" s="235"/>
      <c r="AK1054" s="235"/>
      <c r="AL1054" s="235"/>
      <c r="AM1054" s="235"/>
      <c r="AN1054" s="235"/>
      <c r="AO1054" s="235"/>
      <c r="AP1054" s="235"/>
      <c r="AQ1054" s="235"/>
      <c r="AR1054" s="235"/>
      <c r="AS1054" s="235"/>
      <c r="AT1054" s="235"/>
      <c r="AU1054" s="235"/>
      <c r="AV1054" s="235"/>
      <c r="AW1054" s="235"/>
      <c r="AX1054" s="235"/>
      <c r="AY1054" s="235"/>
      <c r="AZ1054" s="235"/>
      <c r="BA1054" s="235"/>
      <c r="BB1054" s="235"/>
      <c r="BC1054" s="235"/>
      <c r="BD1054" s="235"/>
      <c r="BE1054" s="235"/>
      <c r="BF1054" s="235"/>
      <c r="BG1054" s="235"/>
      <c r="BH1054" s="235"/>
      <c r="BI1054" s="235"/>
      <c r="BJ1054" s="235"/>
      <c r="BK1054" s="235"/>
      <c r="BL1054" s="235"/>
      <c r="BM1054" s="235"/>
      <c r="BN1054" s="235"/>
      <c r="BO1054" s="235"/>
    </row>
    <row r="1055" ht="29.25" hidden="1" customHeight="1">
      <c r="A1055" s="230"/>
      <c r="B1055" s="231"/>
      <c r="C1055" s="179"/>
      <c r="D1055" s="179"/>
      <c r="E1055" s="180"/>
      <c r="F1055" s="162"/>
      <c r="G1055" s="232"/>
      <c r="H1055" s="234"/>
      <c r="I1055" s="181"/>
      <c r="J1055" s="182"/>
      <c r="K1055" s="182"/>
      <c r="L1055" s="182"/>
      <c r="M1055" s="234"/>
      <c r="N1055" s="28"/>
      <c r="O1055" s="181"/>
      <c r="P1055" s="183"/>
      <c r="Q1055" s="104"/>
      <c r="R1055" s="233"/>
      <c r="S1055" s="164"/>
      <c r="T1055" s="164"/>
      <c r="U1055" s="162"/>
      <c r="V1055" s="235"/>
      <c r="W1055" s="235"/>
      <c r="X1055" s="235"/>
      <c r="Y1055" s="235"/>
      <c r="Z1055" s="235"/>
      <c r="AA1055" s="235"/>
      <c r="AB1055" s="235"/>
      <c r="AC1055" s="235"/>
      <c r="AD1055" s="235"/>
      <c r="AE1055" s="235"/>
      <c r="AF1055" s="235"/>
      <c r="AG1055" s="235"/>
      <c r="AH1055" s="235"/>
      <c r="AI1055" s="235"/>
      <c r="AJ1055" s="235"/>
      <c r="AK1055" s="235"/>
      <c r="AL1055" s="235"/>
      <c r="AM1055" s="235"/>
      <c r="AN1055" s="235"/>
      <c r="AO1055" s="235"/>
      <c r="AP1055" s="235"/>
      <c r="AQ1055" s="235"/>
      <c r="AR1055" s="235"/>
      <c r="AS1055" s="235"/>
      <c r="AT1055" s="235"/>
      <c r="AU1055" s="235"/>
      <c r="AV1055" s="235"/>
      <c r="AW1055" s="235"/>
      <c r="AX1055" s="235"/>
      <c r="AY1055" s="235"/>
      <c r="AZ1055" s="235"/>
      <c r="BA1055" s="235"/>
      <c r="BB1055" s="235"/>
      <c r="BC1055" s="235"/>
      <c r="BD1055" s="235"/>
      <c r="BE1055" s="235"/>
      <c r="BF1055" s="235"/>
      <c r="BG1055" s="235"/>
      <c r="BH1055" s="235"/>
      <c r="BI1055" s="235"/>
      <c r="BJ1055" s="235"/>
      <c r="BK1055" s="235"/>
      <c r="BL1055" s="235"/>
      <c r="BM1055" s="235"/>
      <c r="BN1055" s="235"/>
      <c r="BO1055" s="235"/>
    </row>
    <row r="1056" ht="29.25" hidden="1" customHeight="1">
      <c r="A1056" s="230"/>
      <c r="B1056" s="231"/>
      <c r="C1056" s="179"/>
      <c r="D1056" s="179"/>
      <c r="E1056" s="180"/>
      <c r="F1056" s="162"/>
      <c r="G1056" s="232"/>
      <c r="H1056" s="234"/>
      <c r="I1056" s="181"/>
      <c r="J1056" s="182"/>
      <c r="K1056" s="182"/>
      <c r="L1056" s="182"/>
      <c r="M1056" s="234"/>
      <c r="N1056" s="28"/>
      <c r="O1056" s="181"/>
      <c r="P1056" s="183"/>
      <c r="Q1056" s="104"/>
      <c r="R1056" s="233"/>
      <c r="S1056" s="164"/>
      <c r="T1056" s="164"/>
      <c r="U1056" s="162"/>
      <c r="V1056" s="235"/>
      <c r="W1056" s="235"/>
      <c r="X1056" s="235"/>
      <c r="Y1056" s="235"/>
      <c r="Z1056" s="235"/>
      <c r="AA1056" s="235"/>
      <c r="AB1056" s="235"/>
      <c r="AC1056" s="235"/>
      <c r="AD1056" s="235"/>
      <c r="AE1056" s="235"/>
      <c r="AF1056" s="235"/>
      <c r="AG1056" s="235"/>
      <c r="AH1056" s="235"/>
      <c r="AI1056" s="235"/>
      <c r="AJ1056" s="235"/>
      <c r="AK1056" s="235"/>
      <c r="AL1056" s="235"/>
      <c r="AM1056" s="235"/>
      <c r="AN1056" s="235"/>
      <c r="AO1056" s="235"/>
      <c r="AP1056" s="235"/>
      <c r="AQ1056" s="235"/>
      <c r="AR1056" s="235"/>
      <c r="AS1056" s="235"/>
      <c r="AT1056" s="235"/>
      <c r="AU1056" s="235"/>
      <c r="AV1056" s="235"/>
      <c r="AW1056" s="235"/>
      <c r="AX1056" s="235"/>
      <c r="AY1056" s="235"/>
      <c r="AZ1056" s="235"/>
      <c r="BA1056" s="235"/>
      <c r="BB1056" s="235"/>
      <c r="BC1056" s="235"/>
      <c r="BD1056" s="235"/>
      <c r="BE1056" s="235"/>
      <c r="BF1056" s="235"/>
      <c r="BG1056" s="235"/>
      <c r="BH1056" s="235"/>
      <c r="BI1056" s="235"/>
      <c r="BJ1056" s="235"/>
      <c r="BK1056" s="235"/>
      <c r="BL1056" s="235"/>
      <c r="BM1056" s="235"/>
      <c r="BN1056" s="235"/>
      <c r="BO1056" s="235"/>
    </row>
    <row r="1057" ht="29.25" hidden="1" customHeight="1">
      <c r="A1057" s="230"/>
      <c r="B1057" s="231"/>
      <c r="C1057" s="179"/>
      <c r="D1057" s="179"/>
      <c r="E1057" s="180"/>
      <c r="F1057" s="162"/>
      <c r="G1057" s="232"/>
      <c r="H1057" s="234"/>
      <c r="I1057" s="181"/>
      <c r="J1057" s="182"/>
      <c r="K1057" s="182"/>
      <c r="L1057" s="182"/>
      <c r="M1057" s="234"/>
      <c r="N1057" s="28"/>
      <c r="O1057" s="181"/>
      <c r="P1057" s="183"/>
      <c r="Q1057" s="104"/>
      <c r="R1057" s="233"/>
      <c r="S1057" s="164"/>
      <c r="T1057" s="164"/>
      <c r="U1057" s="162"/>
      <c r="V1057" s="235"/>
      <c r="W1057" s="235"/>
      <c r="X1057" s="235"/>
      <c r="Y1057" s="235"/>
      <c r="Z1057" s="235"/>
      <c r="AA1057" s="235"/>
      <c r="AB1057" s="235"/>
      <c r="AC1057" s="235"/>
      <c r="AD1057" s="235"/>
      <c r="AE1057" s="235"/>
      <c r="AF1057" s="235"/>
      <c r="AG1057" s="235"/>
      <c r="AH1057" s="235"/>
      <c r="AI1057" s="235"/>
      <c r="AJ1057" s="235"/>
      <c r="AK1057" s="235"/>
      <c r="AL1057" s="235"/>
      <c r="AM1057" s="235"/>
      <c r="AN1057" s="235"/>
      <c r="AO1057" s="235"/>
      <c r="AP1057" s="235"/>
      <c r="AQ1057" s="235"/>
      <c r="AR1057" s="235"/>
      <c r="AS1057" s="235"/>
      <c r="AT1057" s="235"/>
      <c r="AU1057" s="235"/>
      <c r="AV1057" s="235"/>
      <c r="AW1057" s="235"/>
      <c r="AX1057" s="235"/>
      <c r="AY1057" s="235"/>
      <c r="AZ1057" s="235"/>
      <c r="BA1057" s="235"/>
      <c r="BB1057" s="235"/>
      <c r="BC1057" s="235"/>
      <c r="BD1057" s="235"/>
      <c r="BE1057" s="235"/>
      <c r="BF1057" s="235"/>
      <c r="BG1057" s="235"/>
      <c r="BH1057" s="235"/>
      <c r="BI1057" s="235"/>
      <c r="BJ1057" s="235"/>
      <c r="BK1057" s="235"/>
      <c r="BL1057" s="235"/>
      <c r="BM1057" s="235"/>
      <c r="BN1057" s="235"/>
      <c r="BO1057" s="235"/>
    </row>
    <row r="1058" ht="29.25" hidden="1" customHeight="1">
      <c r="A1058" s="230"/>
      <c r="B1058" s="231"/>
      <c r="C1058" s="179"/>
      <c r="D1058" s="179"/>
      <c r="E1058" s="180"/>
      <c r="F1058" s="162"/>
      <c r="G1058" s="232"/>
      <c r="H1058" s="234"/>
      <c r="I1058" s="181"/>
      <c r="J1058" s="182"/>
      <c r="K1058" s="182"/>
      <c r="L1058" s="182"/>
      <c r="M1058" s="234"/>
      <c r="N1058" s="28"/>
      <c r="O1058" s="181"/>
      <c r="P1058" s="183"/>
      <c r="Q1058" s="104"/>
      <c r="R1058" s="233"/>
      <c r="S1058" s="164"/>
      <c r="T1058" s="164"/>
      <c r="U1058" s="162"/>
      <c r="V1058" s="235"/>
      <c r="W1058" s="235"/>
      <c r="X1058" s="235"/>
      <c r="Y1058" s="235"/>
      <c r="Z1058" s="235"/>
      <c r="AA1058" s="235"/>
      <c r="AB1058" s="235"/>
      <c r="AC1058" s="235"/>
      <c r="AD1058" s="235"/>
      <c r="AE1058" s="235"/>
      <c r="AF1058" s="235"/>
      <c r="AG1058" s="235"/>
      <c r="AH1058" s="235"/>
      <c r="AI1058" s="235"/>
      <c r="AJ1058" s="235"/>
      <c r="AK1058" s="235"/>
      <c r="AL1058" s="235"/>
      <c r="AM1058" s="235"/>
      <c r="AN1058" s="235"/>
      <c r="AO1058" s="235"/>
      <c r="AP1058" s="235"/>
      <c r="AQ1058" s="235"/>
      <c r="AR1058" s="235"/>
      <c r="AS1058" s="235"/>
      <c r="AT1058" s="235"/>
      <c r="AU1058" s="235"/>
      <c r="AV1058" s="235"/>
      <c r="AW1058" s="235"/>
      <c r="AX1058" s="235"/>
      <c r="AY1058" s="235"/>
      <c r="AZ1058" s="235"/>
      <c r="BA1058" s="235"/>
      <c r="BB1058" s="235"/>
      <c r="BC1058" s="235"/>
      <c r="BD1058" s="235"/>
      <c r="BE1058" s="235"/>
      <c r="BF1058" s="235"/>
      <c r="BG1058" s="235"/>
      <c r="BH1058" s="235"/>
      <c r="BI1058" s="235"/>
      <c r="BJ1058" s="235"/>
      <c r="BK1058" s="235"/>
      <c r="BL1058" s="235"/>
      <c r="BM1058" s="235"/>
      <c r="BN1058" s="235"/>
      <c r="BO1058" s="235"/>
    </row>
    <row r="1059" ht="29.25" hidden="1" customHeight="1">
      <c r="A1059" s="230"/>
      <c r="B1059" s="231"/>
      <c r="C1059" s="179"/>
      <c r="D1059" s="179"/>
      <c r="E1059" s="180"/>
      <c r="F1059" s="162"/>
      <c r="G1059" s="232"/>
      <c r="H1059" s="234"/>
      <c r="I1059" s="181"/>
      <c r="J1059" s="182"/>
      <c r="K1059" s="182"/>
      <c r="L1059" s="182"/>
      <c r="M1059" s="234"/>
      <c r="N1059" s="28"/>
      <c r="O1059" s="181"/>
      <c r="P1059" s="183"/>
      <c r="Q1059" s="104"/>
      <c r="R1059" s="233"/>
      <c r="S1059" s="164"/>
      <c r="T1059" s="164"/>
      <c r="U1059" s="162"/>
      <c r="V1059" s="235"/>
      <c r="W1059" s="235"/>
      <c r="X1059" s="235"/>
      <c r="Y1059" s="235"/>
      <c r="Z1059" s="235"/>
      <c r="AA1059" s="235"/>
      <c r="AB1059" s="235"/>
      <c r="AC1059" s="235"/>
      <c r="AD1059" s="235"/>
      <c r="AE1059" s="235"/>
      <c r="AF1059" s="235"/>
      <c r="AG1059" s="235"/>
      <c r="AH1059" s="235"/>
      <c r="AI1059" s="235"/>
      <c r="AJ1059" s="235"/>
      <c r="AK1059" s="235"/>
      <c r="AL1059" s="235"/>
      <c r="AM1059" s="235"/>
      <c r="AN1059" s="235"/>
      <c r="AO1059" s="235"/>
      <c r="AP1059" s="235"/>
      <c r="AQ1059" s="235"/>
      <c r="AR1059" s="235"/>
      <c r="AS1059" s="235"/>
      <c r="AT1059" s="235"/>
      <c r="AU1059" s="235"/>
      <c r="AV1059" s="235"/>
      <c r="AW1059" s="235"/>
      <c r="AX1059" s="235"/>
      <c r="AY1059" s="235"/>
      <c r="AZ1059" s="235"/>
      <c r="BA1059" s="235"/>
      <c r="BB1059" s="235"/>
      <c r="BC1059" s="235"/>
      <c r="BD1059" s="235"/>
      <c r="BE1059" s="235"/>
      <c r="BF1059" s="235"/>
      <c r="BG1059" s="235"/>
      <c r="BH1059" s="235"/>
      <c r="BI1059" s="235"/>
      <c r="BJ1059" s="235"/>
      <c r="BK1059" s="235"/>
      <c r="BL1059" s="235"/>
      <c r="BM1059" s="235"/>
      <c r="BN1059" s="235"/>
      <c r="BO1059" s="235"/>
    </row>
    <row r="1060" ht="29.25" hidden="1" customHeight="1">
      <c r="A1060" s="230"/>
      <c r="B1060" s="231"/>
      <c r="C1060" s="179"/>
      <c r="D1060" s="179"/>
      <c r="E1060" s="180"/>
      <c r="F1060" s="162"/>
      <c r="G1060" s="232"/>
      <c r="H1060" s="234"/>
      <c r="I1060" s="181"/>
      <c r="J1060" s="182"/>
      <c r="K1060" s="182"/>
      <c r="L1060" s="182"/>
      <c r="M1060" s="234"/>
      <c r="N1060" s="28"/>
      <c r="O1060" s="181"/>
      <c r="P1060" s="183"/>
      <c r="Q1060" s="104"/>
      <c r="R1060" s="233"/>
      <c r="S1060" s="164"/>
      <c r="T1060" s="164"/>
      <c r="U1060" s="162"/>
      <c r="V1060" s="235"/>
      <c r="W1060" s="235"/>
      <c r="X1060" s="235"/>
      <c r="Y1060" s="235"/>
      <c r="Z1060" s="235"/>
      <c r="AA1060" s="235"/>
      <c r="AB1060" s="235"/>
      <c r="AC1060" s="235"/>
      <c r="AD1060" s="235"/>
      <c r="AE1060" s="235"/>
      <c r="AF1060" s="235"/>
      <c r="AG1060" s="235"/>
      <c r="AH1060" s="235"/>
      <c r="AI1060" s="235"/>
      <c r="AJ1060" s="235"/>
      <c r="AK1060" s="235"/>
      <c r="AL1060" s="235"/>
      <c r="AM1060" s="235"/>
      <c r="AN1060" s="235"/>
      <c r="AO1060" s="235"/>
      <c r="AP1060" s="235"/>
      <c r="AQ1060" s="235"/>
      <c r="AR1060" s="235"/>
      <c r="AS1060" s="235"/>
      <c r="AT1060" s="235"/>
      <c r="AU1060" s="235"/>
      <c r="AV1060" s="235"/>
      <c r="AW1060" s="235"/>
      <c r="AX1060" s="235"/>
      <c r="AY1060" s="235"/>
      <c r="AZ1060" s="235"/>
      <c r="BA1060" s="235"/>
      <c r="BB1060" s="235"/>
      <c r="BC1060" s="235"/>
      <c r="BD1060" s="235"/>
      <c r="BE1060" s="235"/>
      <c r="BF1060" s="235"/>
      <c r="BG1060" s="235"/>
      <c r="BH1060" s="235"/>
      <c r="BI1060" s="235"/>
      <c r="BJ1060" s="235"/>
      <c r="BK1060" s="235"/>
      <c r="BL1060" s="235"/>
      <c r="BM1060" s="235"/>
      <c r="BN1060" s="235"/>
      <c r="BO1060" s="235"/>
    </row>
    <row r="1061" ht="29.25" hidden="1" customHeight="1">
      <c r="A1061" s="230"/>
      <c r="B1061" s="231"/>
      <c r="C1061" s="179"/>
      <c r="D1061" s="179"/>
      <c r="E1061" s="180"/>
      <c r="F1061" s="162"/>
      <c r="G1061" s="232"/>
      <c r="H1061" s="234"/>
      <c r="I1061" s="181"/>
      <c r="J1061" s="182"/>
      <c r="K1061" s="182"/>
      <c r="L1061" s="182"/>
      <c r="M1061" s="234"/>
      <c r="N1061" s="28"/>
      <c r="O1061" s="181"/>
      <c r="P1061" s="183"/>
      <c r="Q1061" s="104"/>
      <c r="R1061" s="233"/>
      <c r="S1061" s="164"/>
      <c r="T1061" s="164"/>
      <c r="U1061" s="162"/>
      <c r="V1061" s="235"/>
      <c r="W1061" s="235"/>
      <c r="X1061" s="235"/>
      <c r="Y1061" s="235"/>
      <c r="Z1061" s="235"/>
      <c r="AA1061" s="235"/>
      <c r="AB1061" s="235"/>
      <c r="AC1061" s="235"/>
      <c r="AD1061" s="235"/>
      <c r="AE1061" s="235"/>
      <c r="AF1061" s="235"/>
      <c r="AG1061" s="235"/>
      <c r="AH1061" s="235"/>
      <c r="AI1061" s="235"/>
      <c r="AJ1061" s="235"/>
      <c r="AK1061" s="235"/>
      <c r="AL1061" s="235"/>
      <c r="AM1061" s="235"/>
      <c r="AN1061" s="235"/>
      <c r="AO1061" s="235"/>
      <c r="AP1061" s="235"/>
      <c r="AQ1061" s="235"/>
      <c r="AR1061" s="235"/>
      <c r="AS1061" s="235"/>
      <c r="AT1061" s="235"/>
      <c r="AU1061" s="235"/>
      <c r="AV1061" s="235"/>
      <c r="AW1061" s="235"/>
      <c r="AX1061" s="235"/>
      <c r="AY1061" s="235"/>
      <c r="AZ1061" s="235"/>
      <c r="BA1061" s="235"/>
      <c r="BB1061" s="235"/>
      <c r="BC1061" s="235"/>
      <c r="BD1061" s="235"/>
      <c r="BE1061" s="235"/>
      <c r="BF1061" s="235"/>
      <c r="BG1061" s="235"/>
      <c r="BH1061" s="235"/>
      <c r="BI1061" s="235"/>
      <c r="BJ1061" s="235"/>
      <c r="BK1061" s="235"/>
      <c r="BL1061" s="235"/>
      <c r="BM1061" s="235"/>
      <c r="BN1061" s="235"/>
      <c r="BO1061" s="235"/>
    </row>
    <row r="1062" ht="29.25" hidden="1" customHeight="1">
      <c r="A1062" s="230"/>
      <c r="B1062" s="231"/>
      <c r="C1062" s="179"/>
      <c r="D1062" s="179"/>
      <c r="E1062" s="180"/>
      <c r="F1062" s="162"/>
      <c r="G1062" s="232"/>
      <c r="H1062" s="234"/>
      <c r="I1062" s="181"/>
      <c r="J1062" s="182"/>
      <c r="K1062" s="182"/>
      <c r="L1062" s="182"/>
      <c r="M1062" s="234"/>
      <c r="N1062" s="28"/>
      <c r="O1062" s="181"/>
      <c r="P1062" s="183"/>
      <c r="Q1062" s="104"/>
      <c r="R1062" s="233"/>
      <c r="S1062" s="164"/>
      <c r="T1062" s="164"/>
      <c r="U1062" s="162"/>
      <c r="V1062" s="235"/>
      <c r="W1062" s="235"/>
      <c r="X1062" s="235"/>
      <c r="Y1062" s="235"/>
      <c r="Z1062" s="235"/>
      <c r="AA1062" s="235"/>
      <c r="AB1062" s="235"/>
      <c r="AC1062" s="235"/>
      <c r="AD1062" s="235"/>
      <c r="AE1062" s="235"/>
      <c r="AF1062" s="235"/>
      <c r="AG1062" s="235"/>
      <c r="AH1062" s="235"/>
      <c r="AI1062" s="235"/>
      <c r="AJ1062" s="235"/>
      <c r="AK1062" s="235"/>
      <c r="AL1062" s="235"/>
      <c r="AM1062" s="235"/>
      <c r="AN1062" s="235"/>
      <c r="AO1062" s="235"/>
      <c r="AP1062" s="235"/>
      <c r="AQ1062" s="235"/>
      <c r="AR1062" s="235"/>
      <c r="AS1062" s="235"/>
      <c r="AT1062" s="235"/>
      <c r="AU1062" s="235"/>
      <c r="AV1062" s="235"/>
      <c r="AW1062" s="235"/>
      <c r="AX1062" s="235"/>
      <c r="AY1062" s="235"/>
      <c r="AZ1062" s="235"/>
      <c r="BA1062" s="235"/>
      <c r="BB1062" s="235"/>
      <c r="BC1062" s="235"/>
      <c r="BD1062" s="235"/>
      <c r="BE1062" s="235"/>
      <c r="BF1062" s="235"/>
      <c r="BG1062" s="235"/>
      <c r="BH1062" s="235"/>
      <c r="BI1062" s="235"/>
      <c r="BJ1062" s="235"/>
      <c r="BK1062" s="235"/>
      <c r="BL1062" s="235"/>
      <c r="BM1062" s="235"/>
      <c r="BN1062" s="235"/>
      <c r="BO1062" s="235"/>
    </row>
    <row r="1063" ht="29.25" hidden="1" customHeight="1">
      <c r="A1063" s="230"/>
      <c r="B1063" s="231"/>
      <c r="C1063" s="179"/>
      <c r="D1063" s="179"/>
      <c r="E1063" s="180"/>
      <c r="F1063" s="162"/>
      <c r="G1063" s="232"/>
      <c r="H1063" s="234"/>
      <c r="I1063" s="181"/>
      <c r="J1063" s="182"/>
      <c r="K1063" s="182"/>
      <c r="L1063" s="182"/>
      <c r="M1063" s="234"/>
      <c r="N1063" s="28"/>
      <c r="O1063" s="181"/>
      <c r="P1063" s="183"/>
      <c r="Q1063" s="104"/>
      <c r="R1063" s="233"/>
      <c r="S1063" s="164"/>
      <c r="T1063" s="164"/>
      <c r="U1063" s="162"/>
      <c r="V1063" s="235"/>
      <c r="W1063" s="235"/>
      <c r="X1063" s="235"/>
      <c r="Y1063" s="235"/>
      <c r="Z1063" s="235"/>
      <c r="AA1063" s="235"/>
      <c r="AB1063" s="235"/>
      <c r="AC1063" s="235"/>
      <c r="AD1063" s="235"/>
      <c r="AE1063" s="235"/>
      <c r="AF1063" s="235"/>
      <c r="AG1063" s="235"/>
      <c r="AH1063" s="235"/>
      <c r="AI1063" s="235"/>
      <c r="AJ1063" s="235"/>
      <c r="AK1063" s="235"/>
      <c r="AL1063" s="235"/>
      <c r="AM1063" s="235"/>
      <c r="AN1063" s="235"/>
      <c r="AO1063" s="235"/>
      <c r="AP1063" s="235"/>
      <c r="AQ1063" s="235"/>
      <c r="AR1063" s="235"/>
      <c r="AS1063" s="235"/>
      <c r="AT1063" s="235"/>
      <c r="AU1063" s="235"/>
      <c r="AV1063" s="235"/>
      <c r="AW1063" s="235"/>
      <c r="AX1063" s="235"/>
      <c r="AY1063" s="235"/>
      <c r="AZ1063" s="235"/>
      <c r="BA1063" s="235"/>
      <c r="BB1063" s="235"/>
      <c r="BC1063" s="235"/>
      <c r="BD1063" s="235"/>
      <c r="BE1063" s="235"/>
      <c r="BF1063" s="235"/>
      <c r="BG1063" s="235"/>
      <c r="BH1063" s="235"/>
      <c r="BI1063" s="235"/>
      <c r="BJ1063" s="235"/>
      <c r="BK1063" s="235"/>
      <c r="BL1063" s="235"/>
      <c r="BM1063" s="235"/>
      <c r="BN1063" s="235"/>
      <c r="BO1063" s="235"/>
    </row>
    <row r="1064" ht="29.25" hidden="1" customHeight="1">
      <c r="A1064" s="230"/>
      <c r="B1064" s="231"/>
      <c r="C1064" s="179"/>
      <c r="D1064" s="179"/>
      <c r="E1064" s="180"/>
      <c r="F1064" s="162"/>
      <c r="G1064" s="232"/>
      <c r="H1064" s="234"/>
      <c r="I1064" s="181"/>
      <c r="J1064" s="182"/>
      <c r="K1064" s="182"/>
      <c r="L1064" s="182"/>
      <c r="M1064" s="234"/>
      <c r="N1064" s="28"/>
      <c r="O1064" s="181"/>
      <c r="P1064" s="183"/>
      <c r="Q1064" s="104"/>
      <c r="R1064" s="233"/>
      <c r="S1064" s="164"/>
      <c r="T1064" s="164"/>
      <c r="U1064" s="162"/>
      <c r="V1064" s="235"/>
      <c r="W1064" s="235"/>
      <c r="X1064" s="235"/>
      <c r="Y1064" s="235"/>
      <c r="Z1064" s="235"/>
      <c r="AA1064" s="235"/>
      <c r="AB1064" s="235"/>
      <c r="AC1064" s="235"/>
      <c r="AD1064" s="235"/>
      <c r="AE1064" s="235"/>
      <c r="AF1064" s="235"/>
      <c r="AG1064" s="235"/>
      <c r="AH1064" s="235"/>
      <c r="AI1064" s="235"/>
      <c r="AJ1064" s="235"/>
      <c r="AK1064" s="235"/>
      <c r="AL1064" s="235"/>
      <c r="AM1064" s="235"/>
      <c r="AN1064" s="235"/>
      <c r="AO1064" s="235"/>
      <c r="AP1064" s="235"/>
      <c r="AQ1064" s="235"/>
      <c r="AR1064" s="235"/>
      <c r="AS1064" s="235"/>
      <c r="AT1064" s="235"/>
      <c r="AU1064" s="235"/>
      <c r="AV1064" s="235"/>
      <c r="AW1064" s="235"/>
      <c r="AX1064" s="235"/>
      <c r="AY1064" s="235"/>
      <c r="AZ1064" s="235"/>
      <c r="BA1064" s="235"/>
      <c r="BB1064" s="235"/>
      <c r="BC1064" s="235"/>
      <c r="BD1064" s="235"/>
      <c r="BE1064" s="235"/>
      <c r="BF1064" s="235"/>
      <c r="BG1064" s="235"/>
      <c r="BH1064" s="235"/>
      <c r="BI1064" s="235"/>
      <c r="BJ1064" s="235"/>
      <c r="BK1064" s="235"/>
      <c r="BL1064" s="235"/>
      <c r="BM1064" s="235"/>
      <c r="BN1064" s="235"/>
      <c r="BO1064" s="235"/>
    </row>
    <row r="1065" ht="29.25" hidden="1" customHeight="1">
      <c r="A1065" s="230"/>
      <c r="B1065" s="231"/>
      <c r="C1065" s="179"/>
      <c r="D1065" s="179"/>
      <c r="E1065" s="180"/>
      <c r="F1065" s="162"/>
      <c r="G1065" s="232"/>
      <c r="H1065" s="234"/>
      <c r="I1065" s="181"/>
      <c r="J1065" s="182"/>
      <c r="K1065" s="182"/>
      <c r="L1065" s="182"/>
      <c r="M1065" s="234"/>
      <c r="N1065" s="28"/>
      <c r="O1065" s="181"/>
      <c r="P1065" s="183"/>
      <c r="Q1065" s="104"/>
      <c r="R1065" s="233"/>
      <c r="S1065" s="164"/>
      <c r="T1065" s="164"/>
      <c r="U1065" s="162"/>
      <c r="V1065" s="235"/>
      <c r="W1065" s="235"/>
      <c r="X1065" s="235"/>
      <c r="Y1065" s="235"/>
      <c r="Z1065" s="235"/>
      <c r="AA1065" s="235"/>
      <c r="AB1065" s="235"/>
      <c r="AC1065" s="235"/>
      <c r="AD1065" s="235"/>
      <c r="AE1065" s="235"/>
      <c r="AF1065" s="235"/>
      <c r="AG1065" s="235"/>
      <c r="AH1065" s="235"/>
      <c r="AI1065" s="235"/>
      <c r="AJ1065" s="235"/>
      <c r="AK1065" s="235"/>
      <c r="AL1065" s="235"/>
      <c r="AM1065" s="235"/>
      <c r="AN1065" s="235"/>
      <c r="AO1065" s="235"/>
      <c r="AP1065" s="235"/>
      <c r="AQ1065" s="235"/>
      <c r="AR1065" s="235"/>
      <c r="AS1065" s="235"/>
      <c r="AT1065" s="235"/>
      <c r="AU1065" s="235"/>
      <c r="AV1065" s="235"/>
      <c r="AW1065" s="235"/>
      <c r="AX1065" s="235"/>
      <c r="AY1065" s="235"/>
      <c r="AZ1065" s="235"/>
      <c r="BA1065" s="235"/>
      <c r="BB1065" s="235"/>
      <c r="BC1065" s="235"/>
      <c r="BD1065" s="235"/>
      <c r="BE1065" s="235"/>
      <c r="BF1065" s="235"/>
      <c r="BG1065" s="235"/>
      <c r="BH1065" s="235"/>
      <c r="BI1065" s="235"/>
      <c r="BJ1065" s="235"/>
      <c r="BK1065" s="235"/>
      <c r="BL1065" s="235"/>
      <c r="BM1065" s="235"/>
      <c r="BN1065" s="235"/>
      <c r="BO1065" s="235"/>
    </row>
    <row r="1066" ht="29.25" hidden="1" customHeight="1">
      <c r="A1066" s="230"/>
      <c r="B1066" s="231"/>
      <c r="C1066" s="179"/>
      <c r="D1066" s="179"/>
      <c r="E1066" s="180"/>
      <c r="F1066" s="162"/>
      <c r="G1066" s="232"/>
      <c r="H1066" s="234"/>
      <c r="I1066" s="181"/>
      <c r="J1066" s="182"/>
      <c r="K1066" s="182"/>
      <c r="L1066" s="182"/>
      <c r="M1066" s="234"/>
      <c r="N1066" s="28"/>
      <c r="O1066" s="181"/>
      <c r="P1066" s="183"/>
      <c r="Q1066" s="104"/>
      <c r="R1066" s="233"/>
      <c r="S1066" s="164"/>
      <c r="T1066" s="164"/>
      <c r="U1066" s="162"/>
      <c r="V1066" s="235"/>
      <c r="W1066" s="235"/>
      <c r="X1066" s="235"/>
      <c r="Y1066" s="235"/>
      <c r="Z1066" s="235"/>
      <c r="AA1066" s="235"/>
      <c r="AB1066" s="235"/>
      <c r="AC1066" s="235"/>
      <c r="AD1066" s="235"/>
      <c r="AE1066" s="235"/>
      <c r="AF1066" s="235"/>
      <c r="AG1066" s="235"/>
      <c r="AH1066" s="235"/>
      <c r="AI1066" s="235"/>
      <c r="AJ1066" s="235"/>
      <c r="AK1066" s="235"/>
      <c r="AL1066" s="235"/>
      <c r="AM1066" s="235"/>
      <c r="AN1066" s="235"/>
      <c r="AO1066" s="235"/>
      <c r="AP1066" s="235"/>
      <c r="AQ1066" s="235"/>
      <c r="AR1066" s="235"/>
      <c r="AS1066" s="235"/>
      <c r="AT1066" s="235"/>
      <c r="AU1066" s="235"/>
      <c r="AV1066" s="235"/>
      <c r="AW1066" s="235"/>
      <c r="AX1066" s="235"/>
      <c r="AY1066" s="235"/>
      <c r="AZ1066" s="235"/>
      <c r="BA1066" s="235"/>
      <c r="BB1066" s="235"/>
      <c r="BC1066" s="235"/>
      <c r="BD1066" s="235"/>
      <c r="BE1066" s="235"/>
      <c r="BF1066" s="235"/>
      <c r="BG1066" s="235"/>
      <c r="BH1066" s="235"/>
      <c r="BI1066" s="235"/>
      <c r="BJ1066" s="235"/>
      <c r="BK1066" s="235"/>
      <c r="BL1066" s="235"/>
      <c r="BM1066" s="235"/>
      <c r="BN1066" s="235"/>
      <c r="BO1066" s="235"/>
    </row>
    <row r="1067" ht="29.25" hidden="1" customHeight="1">
      <c r="A1067" s="230"/>
      <c r="B1067" s="231"/>
      <c r="C1067" s="179"/>
      <c r="D1067" s="179"/>
      <c r="E1067" s="180"/>
      <c r="F1067" s="162"/>
      <c r="G1067" s="232"/>
      <c r="H1067" s="234"/>
      <c r="I1067" s="181"/>
      <c r="J1067" s="182"/>
      <c r="K1067" s="182"/>
      <c r="L1067" s="182"/>
      <c r="M1067" s="234"/>
      <c r="N1067" s="28"/>
      <c r="O1067" s="181"/>
      <c r="P1067" s="183"/>
      <c r="Q1067" s="104"/>
      <c r="R1067" s="233"/>
      <c r="S1067" s="164"/>
      <c r="T1067" s="164"/>
      <c r="U1067" s="162"/>
      <c r="V1067" s="235"/>
      <c r="W1067" s="235"/>
      <c r="X1067" s="235"/>
      <c r="Y1067" s="235"/>
      <c r="Z1067" s="235"/>
      <c r="AA1067" s="235"/>
      <c r="AB1067" s="235"/>
      <c r="AC1067" s="235"/>
      <c r="AD1067" s="235"/>
      <c r="AE1067" s="235"/>
      <c r="AF1067" s="235"/>
      <c r="AG1067" s="235"/>
      <c r="AH1067" s="235"/>
      <c r="AI1067" s="235"/>
      <c r="AJ1067" s="235"/>
      <c r="AK1067" s="235"/>
      <c r="AL1067" s="235"/>
      <c r="AM1067" s="235"/>
      <c r="AN1067" s="235"/>
      <c r="AO1067" s="235"/>
      <c r="AP1067" s="235"/>
      <c r="AQ1067" s="235"/>
      <c r="AR1067" s="235"/>
      <c r="AS1067" s="235"/>
      <c r="AT1067" s="235"/>
      <c r="AU1067" s="235"/>
      <c r="AV1067" s="235"/>
      <c r="AW1067" s="235"/>
      <c r="AX1067" s="235"/>
      <c r="AY1067" s="235"/>
      <c r="AZ1067" s="235"/>
      <c r="BA1067" s="235"/>
      <c r="BB1067" s="235"/>
      <c r="BC1067" s="235"/>
      <c r="BD1067" s="235"/>
      <c r="BE1067" s="235"/>
      <c r="BF1067" s="235"/>
      <c r="BG1067" s="235"/>
      <c r="BH1067" s="235"/>
      <c r="BI1067" s="235"/>
      <c r="BJ1067" s="235"/>
      <c r="BK1067" s="235"/>
      <c r="BL1067" s="235"/>
      <c r="BM1067" s="235"/>
      <c r="BN1067" s="235"/>
      <c r="BO1067" s="235"/>
    </row>
    <row r="1068" ht="29.25" hidden="1" customHeight="1">
      <c r="A1068" s="230"/>
      <c r="B1068" s="231"/>
      <c r="C1068" s="179"/>
      <c r="D1068" s="179"/>
      <c r="E1068" s="180"/>
      <c r="F1068" s="162"/>
      <c r="G1068" s="232"/>
      <c r="H1068" s="234"/>
      <c r="I1068" s="181"/>
      <c r="J1068" s="182"/>
      <c r="K1068" s="182"/>
      <c r="L1068" s="182"/>
      <c r="M1068" s="234"/>
      <c r="N1068" s="28"/>
      <c r="O1068" s="181"/>
      <c r="P1068" s="183"/>
      <c r="Q1068" s="104"/>
      <c r="R1068" s="233"/>
      <c r="S1068" s="164"/>
      <c r="T1068" s="164"/>
      <c r="U1068" s="162"/>
      <c r="V1068" s="235"/>
      <c r="W1068" s="235"/>
      <c r="X1068" s="235"/>
      <c r="Y1068" s="235"/>
      <c r="Z1068" s="235"/>
      <c r="AA1068" s="235"/>
      <c r="AB1068" s="235"/>
      <c r="AC1068" s="235"/>
      <c r="AD1068" s="235"/>
      <c r="AE1068" s="235"/>
      <c r="AF1068" s="235"/>
      <c r="AG1068" s="235"/>
      <c r="AH1068" s="235"/>
      <c r="AI1068" s="235"/>
      <c r="AJ1068" s="235"/>
      <c r="AK1068" s="235"/>
      <c r="AL1068" s="235"/>
      <c r="AM1068" s="235"/>
      <c r="AN1068" s="235"/>
      <c r="AO1068" s="235"/>
      <c r="AP1068" s="235"/>
      <c r="AQ1068" s="235"/>
      <c r="AR1068" s="235"/>
      <c r="AS1068" s="235"/>
      <c r="AT1068" s="235"/>
      <c r="AU1068" s="235"/>
      <c r="AV1068" s="235"/>
      <c r="AW1068" s="235"/>
      <c r="AX1068" s="235"/>
      <c r="AY1068" s="235"/>
      <c r="AZ1068" s="235"/>
      <c r="BA1068" s="235"/>
      <c r="BB1068" s="235"/>
      <c r="BC1068" s="235"/>
      <c r="BD1068" s="235"/>
      <c r="BE1068" s="235"/>
      <c r="BF1068" s="235"/>
      <c r="BG1068" s="235"/>
      <c r="BH1068" s="235"/>
      <c r="BI1068" s="235"/>
      <c r="BJ1068" s="235"/>
      <c r="BK1068" s="235"/>
      <c r="BL1068" s="235"/>
      <c r="BM1068" s="235"/>
      <c r="BN1068" s="235"/>
      <c r="BO1068" s="235"/>
    </row>
    <row r="1069" ht="29.25" hidden="1" customHeight="1">
      <c r="A1069" s="230"/>
      <c r="B1069" s="231"/>
      <c r="C1069" s="179"/>
      <c r="D1069" s="179"/>
      <c r="E1069" s="180"/>
      <c r="F1069" s="162"/>
      <c r="G1069" s="232"/>
      <c r="H1069" s="234"/>
      <c r="I1069" s="181"/>
      <c r="J1069" s="182"/>
      <c r="K1069" s="182"/>
      <c r="L1069" s="182"/>
      <c r="M1069" s="234"/>
      <c r="N1069" s="28"/>
      <c r="O1069" s="181"/>
      <c r="P1069" s="183"/>
      <c r="Q1069" s="104"/>
      <c r="R1069" s="233"/>
      <c r="S1069" s="164"/>
      <c r="T1069" s="164"/>
      <c r="U1069" s="162"/>
      <c r="V1069" s="235"/>
      <c r="W1069" s="235"/>
      <c r="X1069" s="235"/>
      <c r="Y1069" s="235"/>
      <c r="Z1069" s="235"/>
      <c r="AA1069" s="235"/>
      <c r="AB1069" s="235"/>
      <c r="AC1069" s="235"/>
      <c r="AD1069" s="235"/>
      <c r="AE1069" s="235"/>
      <c r="AF1069" s="235"/>
      <c r="AG1069" s="235"/>
      <c r="AH1069" s="235"/>
      <c r="AI1069" s="235"/>
      <c r="AJ1069" s="235"/>
      <c r="AK1069" s="235"/>
      <c r="AL1069" s="235"/>
      <c r="AM1069" s="235"/>
      <c r="AN1069" s="235"/>
      <c r="AO1069" s="235"/>
      <c r="AP1069" s="235"/>
      <c r="AQ1069" s="235"/>
      <c r="AR1069" s="235"/>
      <c r="AS1069" s="235"/>
      <c r="AT1069" s="235"/>
      <c r="AU1069" s="235"/>
      <c r="AV1069" s="235"/>
      <c r="AW1069" s="235"/>
      <c r="AX1069" s="235"/>
      <c r="AY1069" s="235"/>
      <c r="AZ1069" s="235"/>
      <c r="BA1069" s="235"/>
      <c r="BB1069" s="235"/>
      <c r="BC1069" s="235"/>
      <c r="BD1069" s="235"/>
      <c r="BE1069" s="235"/>
      <c r="BF1069" s="235"/>
      <c r="BG1069" s="235"/>
      <c r="BH1069" s="235"/>
      <c r="BI1069" s="235"/>
      <c r="BJ1069" s="235"/>
      <c r="BK1069" s="235"/>
      <c r="BL1069" s="235"/>
      <c r="BM1069" s="235"/>
      <c r="BN1069" s="235"/>
      <c r="BO1069" s="235"/>
    </row>
    <row r="1070" ht="29.25" hidden="1" customHeight="1">
      <c r="A1070" s="230"/>
      <c r="B1070" s="231"/>
      <c r="C1070" s="179"/>
      <c r="D1070" s="179"/>
      <c r="E1070" s="180"/>
      <c r="F1070" s="162"/>
      <c r="G1070" s="232"/>
      <c r="H1070" s="234"/>
      <c r="I1070" s="181"/>
      <c r="J1070" s="182"/>
      <c r="K1070" s="182"/>
      <c r="L1070" s="182"/>
      <c r="M1070" s="234"/>
      <c r="N1070" s="28"/>
      <c r="O1070" s="181"/>
      <c r="P1070" s="183"/>
      <c r="Q1070" s="104"/>
      <c r="R1070" s="233"/>
      <c r="S1070" s="164"/>
      <c r="T1070" s="164"/>
      <c r="U1070" s="162"/>
      <c r="V1070" s="235"/>
      <c r="W1070" s="235"/>
      <c r="X1070" s="235"/>
      <c r="Y1070" s="235"/>
      <c r="Z1070" s="235"/>
      <c r="AA1070" s="235"/>
      <c r="AB1070" s="235"/>
      <c r="AC1070" s="235"/>
      <c r="AD1070" s="235"/>
      <c r="AE1070" s="235"/>
      <c r="AF1070" s="235"/>
      <c r="AG1070" s="235"/>
      <c r="AH1070" s="235"/>
      <c r="AI1070" s="235"/>
      <c r="AJ1070" s="235"/>
      <c r="AK1070" s="235"/>
      <c r="AL1070" s="235"/>
      <c r="AM1070" s="235"/>
      <c r="AN1070" s="235"/>
      <c r="AO1070" s="235"/>
      <c r="AP1070" s="235"/>
      <c r="AQ1070" s="235"/>
      <c r="AR1070" s="235"/>
      <c r="AS1070" s="235"/>
      <c r="AT1070" s="235"/>
      <c r="AU1070" s="235"/>
      <c r="AV1070" s="235"/>
      <c r="AW1070" s="235"/>
      <c r="AX1070" s="235"/>
      <c r="AY1070" s="235"/>
      <c r="AZ1070" s="235"/>
      <c r="BA1070" s="235"/>
      <c r="BB1070" s="235"/>
      <c r="BC1070" s="235"/>
      <c r="BD1070" s="235"/>
      <c r="BE1070" s="235"/>
      <c r="BF1070" s="235"/>
      <c r="BG1070" s="235"/>
      <c r="BH1070" s="235"/>
      <c r="BI1070" s="235"/>
      <c r="BJ1070" s="235"/>
      <c r="BK1070" s="235"/>
      <c r="BL1070" s="235"/>
      <c r="BM1070" s="235"/>
      <c r="BN1070" s="235"/>
      <c r="BO1070" s="235"/>
    </row>
    <row r="1071" ht="29.25" hidden="1" customHeight="1">
      <c r="A1071" s="230"/>
      <c r="B1071" s="231"/>
      <c r="C1071" s="179"/>
      <c r="D1071" s="179"/>
      <c r="E1071" s="180"/>
      <c r="F1071" s="162"/>
      <c r="G1071" s="232"/>
      <c r="H1071" s="234"/>
      <c r="I1071" s="181"/>
      <c r="J1071" s="182"/>
      <c r="K1071" s="182"/>
      <c r="L1071" s="182"/>
      <c r="M1071" s="234"/>
      <c r="N1071" s="28"/>
      <c r="O1071" s="181"/>
      <c r="P1071" s="183"/>
      <c r="Q1071" s="104"/>
      <c r="R1071" s="233"/>
      <c r="S1071" s="164"/>
      <c r="T1071" s="164"/>
      <c r="U1071" s="162"/>
      <c r="V1071" s="235"/>
      <c r="W1071" s="235"/>
      <c r="X1071" s="235"/>
      <c r="Y1071" s="235"/>
      <c r="Z1071" s="235"/>
      <c r="AA1071" s="235"/>
      <c r="AB1071" s="235"/>
      <c r="AC1071" s="235"/>
      <c r="AD1071" s="235"/>
      <c r="AE1071" s="235"/>
      <c r="AF1071" s="235"/>
      <c r="AG1071" s="235"/>
      <c r="AH1071" s="235"/>
      <c r="AI1071" s="235"/>
      <c r="AJ1071" s="235"/>
      <c r="AK1071" s="235"/>
      <c r="AL1071" s="235"/>
      <c r="AM1071" s="235"/>
      <c r="AN1071" s="235"/>
      <c r="AO1071" s="235"/>
      <c r="AP1071" s="235"/>
      <c r="AQ1071" s="235"/>
      <c r="AR1071" s="235"/>
      <c r="AS1071" s="235"/>
      <c r="AT1071" s="235"/>
      <c r="AU1071" s="235"/>
      <c r="AV1071" s="235"/>
      <c r="AW1071" s="235"/>
      <c r="AX1071" s="235"/>
      <c r="AY1071" s="235"/>
      <c r="AZ1071" s="235"/>
      <c r="BA1071" s="235"/>
      <c r="BB1071" s="235"/>
      <c r="BC1071" s="235"/>
      <c r="BD1071" s="235"/>
      <c r="BE1071" s="235"/>
      <c r="BF1071" s="235"/>
      <c r="BG1071" s="235"/>
      <c r="BH1071" s="235"/>
      <c r="BI1071" s="235"/>
      <c r="BJ1071" s="235"/>
      <c r="BK1071" s="235"/>
      <c r="BL1071" s="235"/>
      <c r="BM1071" s="235"/>
      <c r="BN1071" s="235"/>
      <c r="BO1071" s="235"/>
    </row>
    <row r="1072" ht="29.25" hidden="1" customHeight="1">
      <c r="A1072" s="230"/>
      <c r="B1072" s="231"/>
      <c r="C1072" s="179"/>
      <c r="D1072" s="179"/>
      <c r="E1072" s="180"/>
      <c r="F1072" s="162"/>
      <c r="G1072" s="232"/>
      <c r="H1072" s="234"/>
      <c r="I1072" s="181"/>
      <c r="J1072" s="182"/>
      <c r="K1072" s="182"/>
      <c r="L1072" s="182"/>
      <c r="M1072" s="234"/>
      <c r="N1072" s="28"/>
      <c r="O1072" s="181"/>
      <c r="P1072" s="183"/>
      <c r="Q1072" s="104"/>
      <c r="R1072" s="233"/>
      <c r="S1072" s="164"/>
      <c r="T1072" s="164"/>
      <c r="U1072" s="162"/>
      <c r="V1072" s="235"/>
      <c r="W1072" s="235"/>
      <c r="X1072" s="235"/>
      <c r="Y1072" s="235"/>
      <c r="Z1072" s="235"/>
      <c r="AA1072" s="235"/>
      <c r="AB1072" s="235"/>
      <c r="AC1072" s="235"/>
      <c r="AD1072" s="235"/>
      <c r="AE1072" s="235"/>
      <c r="AF1072" s="235"/>
      <c r="AG1072" s="235"/>
      <c r="AH1072" s="235"/>
      <c r="AI1072" s="235"/>
      <c r="AJ1072" s="235"/>
      <c r="AK1072" s="235"/>
      <c r="AL1072" s="235"/>
      <c r="AM1072" s="235"/>
      <c r="AN1072" s="235"/>
      <c r="AO1072" s="235"/>
      <c r="AP1072" s="235"/>
      <c r="AQ1072" s="235"/>
      <c r="AR1072" s="235"/>
      <c r="AS1072" s="235"/>
      <c r="AT1072" s="235"/>
      <c r="AU1072" s="235"/>
      <c r="AV1072" s="235"/>
      <c r="AW1072" s="235"/>
      <c r="AX1072" s="235"/>
      <c r="AY1072" s="235"/>
      <c r="AZ1072" s="235"/>
      <c r="BA1072" s="235"/>
      <c r="BB1072" s="235"/>
      <c r="BC1072" s="235"/>
      <c r="BD1072" s="235"/>
      <c r="BE1072" s="235"/>
      <c r="BF1072" s="235"/>
      <c r="BG1072" s="235"/>
      <c r="BH1072" s="235"/>
      <c r="BI1072" s="235"/>
      <c r="BJ1072" s="235"/>
      <c r="BK1072" s="235"/>
      <c r="BL1072" s="235"/>
      <c r="BM1072" s="235"/>
      <c r="BN1072" s="235"/>
      <c r="BO1072" s="235"/>
    </row>
    <row r="1073" ht="29.25" hidden="1" customHeight="1">
      <c r="A1073" s="230"/>
      <c r="B1073" s="231"/>
      <c r="C1073" s="179"/>
      <c r="D1073" s="179"/>
      <c r="E1073" s="180"/>
      <c r="F1073" s="162"/>
      <c r="G1073" s="232"/>
      <c r="H1073" s="234"/>
      <c r="I1073" s="181"/>
      <c r="J1073" s="182"/>
      <c r="K1073" s="182"/>
      <c r="L1073" s="182"/>
      <c r="M1073" s="234"/>
      <c r="N1073" s="28"/>
      <c r="O1073" s="181"/>
      <c r="P1073" s="183"/>
      <c r="Q1073" s="104"/>
      <c r="R1073" s="233"/>
      <c r="S1073" s="164"/>
      <c r="T1073" s="164"/>
      <c r="U1073" s="162"/>
      <c r="V1073" s="235"/>
      <c r="W1073" s="235"/>
      <c r="X1073" s="235"/>
      <c r="Y1073" s="235"/>
      <c r="Z1073" s="235"/>
      <c r="AA1073" s="235"/>
      <c r="AB1073" s="235"/>
      <c r="AC1073" s="235"/>
      <c r="AD1073" s="235"/>
      <c r="AE1073" s="235"/>
      <c r="AF1073" s="235"/>
      <c r="AG1073" s="235"/>
      <c r="AH1073" s="235"/>
      <c r="AI1073" s="235"/>
      <c r="AJ1073" s="235"/>
      <c r="AK1073" s="235"/>
      <c r="AL1073" s="235"/>
      <c r="AM1073" s="235"/>
      <c r="AN1073" s="235"/>
      <c r="AO1073" s="235"/>
      <c r="AP1073" s="235"/>
      <c r="AQ1073" s="235"/>
      <c r="AR1073" s="235"/>
      <c r="AS1073" s="235"/>
      <c r="AT1073" s="235"/>
      <c r="AU1073" s="235"/>
      <c r="AV1073" s="235"/>
      <c r="AW1073" s="235"/>
      <c r="AX1073" s="235"/>
      <c r="AY1073" s="235"/>
      <c r="AZ1073" s="235"/>
      <c r="BA1073" s="235"/>
      <c r="BB1073" s="235"/>
      <c r="BC1073" s="235"/>
      <c r="BD1073" s="235"/>
      <c r="BE1073" s="235"/>
      <c r="BF1073" s="235"/>
      <c r="BG1073" s="235"/>
      <c r="BH1073" s="235"/>
      <c r="BI1073" s="235"/>
      <c r="BJ1073" s="235"/>
      <c r="BK1073" s="235"/>
      <c r="BL1073" s="235"/>
      <c r="BM1073" s="235"/>
      <c r="BN1073" s="235"/>
      <c r="BO1073" s="235"/>
    </row>
    <row r="1074" ht="29.25" hidden="1" customHeight="1">
      <c r="A1074" s="230"/>
      <c r="B1074" s="231"/>
      <c r="C1074" s="179"/>
      <c r="D1074" s="179"/>
      <c r="E1074" s="180"/>
      <c r="F1074" s="162"/>
      <c r="G1074" s="232"/>
      <c r="H1074" s="234"/>
      <c r="I1074" s="181"/>
      <c r="J1074" s="182"/>
      <c r="K1074" s="182"/>
      <c r="L1074" s="182"/>
      <c r="M1074" s="234"/>
      <c r="N1074" s="28"/>
      <c r="O1074" s="181"/>
      <c r="P1074" s="183"/>
      <c r="Q1074" s="104"/>
      <c r="R1074" s="233"/>
      <c r="S1074" s="164"/>
      <c r="T1074" s="164"/>
      <c r="U1074" s="162"/>
      <c r="V1074" s="235"/>
      <c r="W1074" s="235"/>
      <c r="X1074" s="235"/>
      <c r="Y1074" s="235"/>
      <c r="Z1074" s="235"/>
      <c r="AA1074" s="235"/>
      <c r="AB1074" s="235"/>
      <c r="AC1074" s="235"/>
      <c r="AD1074" s="235"/>
      <c r="AE1074" s="235"/>
      <c r="AF1074" s="235"/>
      <c r="AG1074" s="235"/>
      <c r="AH1074" s="235"/>
      <c r="AI1074" s="235"/>
      <c r="AJ1074" s="235"/>
      <c r="AK1074" s="235"/>
      <c r="AL1074" s="235"/>
      <c r="AM1074" s="235"/>
      <c r="AN1074" s="235"/>
      <c r="AO1074" s="235"/>
      <c r="AP1074" s="235"/>
      <c r="AQ1074" s="235"/>
      <c r="AR1074" s="235"/>
      <c r="AS1074" s="235"/>
      <c r="AT1074" s="235"/>
      <c r="AU1074" s="235"/>
      <c r="AV1074" s="235"/>
      <c r="AW1074" s="235"/>
      <c r="AX1074" s="235"/>
      <c r="AY1074" s="235"/>
      <c r="AZ1074" s="235"/>
      <c r="BA1074" s="235"/>
      <c r="BB1074" s="235"/>
      <c r="BC1074" s="235"/>
      <c r="BD1074" s="235"/>
      <c r="BE1074" s="235"/>
      <c r="BF1074" s="235"/>
      <c r="BG1074" s="235"/>
      <c r="BH1074" s="235"/>
      <c r="BI1074" s="235"/>
      <c r="BJ1074" s="235"/>
      <c r="BK1074" s="235"/>
      <c r="BL1074" s="235"/>
      <c r="BM1074" s="235"/>
      <c r="BN1074" s="235"/>
      <c r="BO1074" s="235"/>
    </row>
    <row r="1075" ht="29.25" hidden="1" customHeight="1">
      <c r="A1075" s="230"/>
      <c r="B1075" s="231"/>
      <c r="C1075" s="179"/>
      <c r="D1075" s="179"/>
      <c r="E1075" s="180"/>
      <c r="F1075" s="162"/>
      <c r="G1075" s="232"/>
      <c r="H1075" s="234"/>
      <c r="I1075" s="181"/>
      <c r="J1075" s="182"/>
      <c r="K1075" s="182"/>
      <c r="L1075" s="182"/>
      <c r="M1075" s="234"/>
      <c r="N1075" s="28"/>
      <c r="O1075" s="181"/>
      <c r="P1075" s="183"/>
      <c r="Q1075" s="104"/>
      <c r="R1075" s="233"/>
      <c r="S1075" s="164"/>
      <c r="T1075" s="164"/>
      <c r="U1075" s="162"/>
      <c r="V1075" s="235"/>
      <c r="W1075" s="235"/>
      <c r="X1075" s="235"/>
      <c r="Y1075" s="235"/>
      <c r="Z1075" s="235"/>
      <c r="AA1075" s="235"/>
      <c r="AB1075" s="235"/>
      <c r="AC1075" s="235"/>
      <c r="AD1075" s="235"/>
      <c r="AE1075" s="235"/>
      <c r="AF1075" s="235"/>
      <c r="AG1075" s="235"/>
      <c r="AH1075" s="235"/>
      <c r="AI1075" s="235"/>
      <c r="AJ1075" s="235"/>
      <c r="AK1075" s="235"/>
      <c r="AL1075" s="235"/>
      <c r="AM1075" s="235"/>
      <c r="AN1075" s="235"/>
      <c r="AO1075" s="235"/>
      <c r="AP1075" s="235"/>
      <c r="AQ1075" s="235"/>
      <c r="AR1075" s="235"/>
      <c r="AS1075" s="235"/>
      <c r="AT1075" s="235"/>
      <c r="AU1075" s="235"/>
      <c r="AV1075" s="235"/>
      <c r="AW1075" s="235"/>
      <c r="AX1075" s="235"/>
      <c r="AY1075" s="235"/>
      <c r="AZ1075" s="235"/>
      <c r="BA1075" s="235"/>
      <c r="BB1075" s="235"/>
      <c r="BC1075" s="235"/>
      <c r="BD1075" s="235"/>
      <c r="BE1075" s="235"/>
      <c r="BF1075" s="235"/>
      <c r="BG1075" s="235"/>
      <c r="BH1075" s="235"/>
      <c r="BI1075" s="235"/>
      <c r="BJ1075" s="235"/>
      <c r="BK1075" s="235"/>
      <c r="BL1075" s="235"/>
      <c r="BM1075" s="235"/>
      <c r="BN1075" s="235"/>
      <c r="BO1075" s="235"/>
    </row>
    <row r="1076" ht="29.25" hidden="1" customHeight="1">
      <c r="A1076" s="230"/>
      <c r="B1076" s="231"/>
      <c r="C1076" s="179"/>
      <c r="D1076" s="179"/>
      <c r="E1076" s="180"/>
      <c r="F1076" s="162"/>
      <c r="G1076" s="232"/>
      <c r="H1076" s="234"/>
      <c r="I1076" s="181"/>
      <c r="J1076" s="182"/>
      <c r="K1076" s="182"/>
      <c r="L1076" s="182"/>
      <c r="M1076" s="234"/>
      <c r="N1076" s="28"/>
      <c r="O1076" s="181"/>
      <c r="P1076" s="183"/>
      <c r="Q1076" s="104"/>
      <c r="R1076" s="233"/>
      <c r="S1076" s="164"/>
      <c r="T1076" s="164"/>
      <c r="U1076" s="162"/>
      <c r="V1076" s="235"/>
      <c r="W1076" s="235"/>
      <c r="X1076" s="235"/>
      <c r="Y1076" s="235"/>
      <c r="Z1076" s="235"/>
      <c r="AA1076" s="235"/>
      <c r="AB1076" s="235"/>
      <c r="AC1076" s="235"/>
      <c r="AD1076" s="235"/>
      <c r="AE1076" s="235"/>
      <c r="AF1076" s="235"/>
      <c r="AG1076" s="235"/>
      <c r="AH1076" s="235"/>
      <c r="AI1076" s="235"/>
      <c r="AJ1076" s="235"/>
      <c r="AK1076" s="235"/>
      <c r="AL1076" s="235"/>
      <c r="AM1076" s="235"/>
      <c r="AN1076" s="235"/>
      <c r="AO1076" s="235"/>
      <c r="AP1076" s="235"/>
      <c r="AQ1076" s="235"/>
      <c r="AR1076" s="235"/>
      <c r="AS1076" s="235"/>
      <c r="AT1076" s="235"/>
      <c r="AU1076" s="235"/>
      <c r="AV1076" s="235"/>
      <c r="AW1076" s="235"/>
      <c r="AX1076" s="235"/>
      <c r="AY1076" s="235"/>
      <c r="AZ1076" s="235"/>
      <c r="BA1076" s="235"/>
      <c r="BB1076" s="235"/>
      <c r="BC1076" s="235"/>
      <c r="BD1076" s="235"/>
      <c r="BE1076" s="235"/>
      <c r="BF1076" s="235"/>
      <c r="BG1076" s="235"/>
      <c r="BH1076" s="235"/>
      <c r="BI1076" s="235"/>
      <c r="BJ1076" s="235"/>
      <c r="BK1076" s="235"/>
      <c r="BL1076" s="235"/>
      <c r="BM1076" s="235"/>
      <c r="BN1076" s="235"/>
      <c r="BO1076" s="235"/>
    </row>
    <row r="1077" ht="29.25" hidden="1" customHeight="1">
      <c r="A1077" s="230"/>
      <c r="B1077" s="231"/>
      <c r="C1077" s="179"/>
      <c r="D1077" s="179"/>
      <c r="E1077" s="180"/>
      <c r="F1077" s="162"/>
      <c r="G1077" s="232"/>
      <c r="H1077" s="234"/>
      <c r="I1077" s="181"/>
      <c r="J1077" s="182"/>
      <c r="K1077" s="182"/>
      <c r="L1077" s="182"/>
      <c r="M1077" s="234"/>
      <c r="N1077" s="28"/>
      <c r="O1077" s="181"/>
      <c r="P1077" s="183"/>
      <c r="Q1077" s="104"/>
      <c r="R1077" s="233"/>
      <c r="S1077" s="164"/>
      <c r="T1077" s="164"/>
      <c r="U1077" s="162"/>
      <c r="V1077" s="235"/>
      <c r="W1077" s="235"/>
      <c r="X1077" s="235"/>
      <c r="Y1077" s="235"/>
      <c r="Z1077" s="235"/>
      <c r="AA1077" s="235"/>
      <c r="AB1077" s="235"/>
      <c r="AC1077" s="235"/>
      <c r="AD1077" s="235"/>
      <c r="AE1077" s="235"/>
      <c r="AF1077" s="235"/>
      <c r="AG1077" s="235"/>
      <c r="AH1077" s="235"/>
      <c r="AI1077" s="235"/>
      <c r="AJ1077" s="235"/>
      <c r="AK1077" s="235"/>
      <c r="AL1077" s="235"/>
      <c r="AM1077" s="235"/>
      <c r="AN1077" s="235"/>
      <c r="AO1077" s="235"/>
      <c r="AP1077" s="235"/>
      <c r="AQ1077" s="235"/>
      <c r="AR1077" s="235"/>
      <c r="AS1077" s="235"/>
      <c r="AT1077" s="235"/>
      <c r="AU1077" s="235"/>
      <c r="AV1077" s="235"/>
      <c r="AW1077" s="235"/>
      <c r="AX1077" s="235"/>
      <c r="AY1077" s="235"/>
      <c r="AZ1077" s="235"/>
      <c r="BA1077" s="235"/>
      <c r="BB1077" s="235"/>
      <c r="BC1077" s="235"/>
      <c r="BD1077" s="235"/>
      <c r="BE1077" s="235"/>
      <c r="BF1077" s="235"/>
      <c r="BG1077" s="235"/>
      <c r="BH1077" s="235"/>
      <c r="BI1077" s="235"/>
      <c r="BJ1077" s="235"/>
      <c r="BK1077" s="235"/>
      <c r="BL1077" s="235"/>
      <c r="BM1077" s="235"/>
      <c r="BN1077" s="235"/>
      <c r="BO1077" s="235"/>
    </row>
    <row r="1078" ht="29.25" hidden="1" customHeight="1">
      <c r="A1078" s="230"/>
      <c r="B1078" s="231"/>
      <c r="C1078" s="179"/>
      <c r="D1078" s="179"/>
      <c r="E1078" s="180"/>
      <c r="F1078" s="162"/>
      <c r="G1078" s="232"/>
      <c r="H1078" s="234"/>
      <c r="I1078" s="181"/>
      <c r="J1078" s="182"/>
      <c r="K1078" s="182"/>
      <c r="L1078" s="182"/>
      <c r="M1078" s="234"/>
      <c r="N1078" s="28"/>
      <c r="O1078" s="181"/>
      <c r="P1078" s="183"/>
      <c r="Q1078" s="104"/>
      <c r="R1078" s="233"/>
      <c r="S1078" s="164"/>
      <c r="T1078" s="164"/>
      <c r="U1078" s="162"/>
      <c r="V1078" s="235"/>
      <c r="W1078" s="235"/>
      <c r="X1078" s="235"/>
      <c r="Y1078" s="235"/>
      <c r="Z1078" s="235"/>
      <c r="AA1078" s="235"/>
      <c r="AB1078" s="235"/>
      <c r="AC1078" s="235"/>
      <c r="AD1078" s="235"/>
      <c r="AE1078" s="235"/>
      <c r="AF1078" s="235"/>
      <c r="AG1078" s="235"/>
      <c r="AH1078" s="235"/>
      <c r="AI1078" s="235"/>
      <c r="AJ1078" s="235"/>
      <c r="AK1078" s="235"/>
      <c r="AL1078" s="235"/>
      <c r="AM1078" s="235"/>
      <c r="AN1078" s="235"/>
      <c r="AO1078" s="235"/>
      <c r="AP1078" s="235"/>
      <c r="AQ1078" s="235"/>
      <c r="AR1078" s="235"/>
      <c r="AS1078" s="235"/>
      <c r="AT1078" s="235"/>
      <c r="AU1078" s="235"/>
      <c r="AV1078" s="235"/>
      <c r="AW1078" s="235"/>
      <c r="AX1078" s="235"/>
      <c r="AY1078" s="235"/>
      <c r="AZ1078" s="235"/>
      <c r="BA1078" s="235"/>
      <c r="BB1078" s="235"/>
      <c r="BC1078" s="235"/>
      <c r="BD1078" s="235"/>
      <c r="BE1078" s="235"/>
      <c r="BF1078" s="235"/>
      <c r="BG1078" s="235"/>
      <c r="BH1078" s="235"/>
      <c r="BI1078" s="235"/>
      <c r="BJ1078" s="235"/>
      <c r="BK1078" s="235"/>
      <c r="BL1078" s="235"/>
      <c r="BM1078" s="235"/>
      <c r="BN1078" s="235"/>
      <c r="BO1078" s="235"/>
    </row>
    <row r="1079" ht="29.25" hidden="1" customHeight="1">
      <c r="A1079" s="230"/>
      <c r="B1079" s="231"/>
      <c r="C1079" s="179"/>
      <c r="D1079" s="179"/>
      <c r="E1079" s="180"/>
      <c r="F1079" s="162"/>
      <c r="G1079" s="232"/>
      <c r="H1079" s="234"/>
      <c r="I1079" s="181"/>
      <c r="J1079" s="182"/>
      <c r="K1079" s="182"/>
      <c r="L1079" s="182"/>
      <c r="M1079" s="234"/>
      <c r="N1079" s="28"/>
      <c r="O1079" s="181"/>
      <c r="P1079" s="183"/>
      <c r="Q1079" s="104"/>
      <c r="R1079" s="233"/>
      <c r="S1079" s="164"/>
      <c r="T1079" s="164"/>
      <c r="U1079" s="162"/>
      <c r="V1079" s="235"/>
      <c r="W1079" s="235"/>
      <c r="X1079" s="235"/>
      <c r="Y1079" s="235"/>
      <c r="Z1079" s="235"/>
      <c r="AA1079" s="235"/>
      <c r="AB1079" s="235"/>
      <c r="AC1079" s="235"/>
      <c r="AD1079" s="235"/>
      <c r="AE1079" s="235"/>
      <c r="AF1079" s="235"/>
      <c r="AG1079" s="235"/>
      <c r="AH1079" s="235"/>
      <c r="AI1079" s="235"/>
      <c r="AJ1079" s="235"/>
      <c r="AK1079" s="235"/>
      <c r="AL1079" s="235"/>
      <c r="AM1079" s="235"/>
      <c r="AN1079" s="235"/>
      <c r="AO1079" s="235"/>
      <c r="AP1079" s="235"/>
      <c r="AQ1079" s="235"/>
      <c r="AR1079" s="235"/>
      <c r="AS1079" s="235"/>
      <c r="AT1079" s="235"/>
      <c r="AU1079" s="235"/>
      <c r="AV1079" s="235"/>
      <c r="AW1079" s="235"/>
      <c r="AX1079" s="235"/>
      <c r="AY1079" s="235"/>
      <c r="AZ1079" s="235"/>
      <c r="BA1079" s="235"/>
      <c r="BB1079" s="235"/>
      <c r="BC1079" s="235"/>
      <c r="BD1079" s="235"/>
      <c r="BE1079" s="235"/>
      <c r="BF1079" s="235"/>
      <c r="BG1079" s="235"/>
      <c r="BH1079" s="235"/>
      <c r="BI1079" s="235"/>
      <c r="BJ1079" s="235"/>
      <c r="BK1079" s="235"/>
      <c r="BL1079" s="235"/>
      <c r="BM1079" s="235"/>
      <c r="BN1079" s="235"/>
      <c r="BO1079" s="235"/>
    </row>
    <row r="1080" ht="29.25" hidden="1" customHeight="1">
      <c r="A1080" s="230"/>
      <c r="B1080" s="231"/>
      <c r="C1080" s="179"/>
      <c r="D1080" s="179"/>
      <c r="E1080" s="180"/>
      <c r="F1080" s="162"/>
      <c r="G1080" s="232"/>
      <c r="H1080" s="234"/>
      <c r="I1080" s="181"/>
      <c r="J1080" s="182"/>
      <c r="K1080" s="182"/>
      <c r="L1080" s="182"/>
      <c r="M1080" s="234"/>
      <c r="N1080" s="28"/>
      <c r="O1080" s="181"/>
      <c r="P1080" s="183"/>
      <c r="Q1080" s="104"/>
      <c r="R1080" s="233"/>
      <c r="S1080" s="164"/>
      <c r="T1080" s="164"/>
      <c r="U1080" s="162"/>
      <c r="V1080" s="235"/>
      <c r="W1080" s="235"/>
      <c r="X1080" s="235"/>
      <c r="Y1080" s="235"/>
      <c r="Z1080" s="235"/>
      <c r="AA1080" s="235"/>
      <c r="AB1080" s="235"/>
      <c r="AC1080" s="235"/>
      <c r="AD1080" s="235"/>
      <c r="AE1080" s="235"/>
      <c r="AF1080" s="235"/>
      <c r="AG1080" s="235"/>
      <c r="AH1080" s="235"/>
      <c r="AI1080" s="235"/>
      <c r="AJ1080" s="235"/>
      <c r="AK1080" s="235"/>
      <c r="AL1080" s="235"/>
      <c r="AM1080" s="235"/>
      <c r="AN1080" s="235"/>
      <c r="AO1080" s="235"/>
      <c r="AP1080" s="235"/>
      <c r="AQ1080" s="235"/>
      <c r="AR1080" s="235"/>
      <c r="AS1080" s="235"/>
      <c r="AT1080" s="235"/>
      <c r="AU1080" s="235"/>
      <c r="AV1080" s="235"/>
      <c r="AW1080" s="235"/>
      <c r="AX1080" s="235"/>
      <c r="AY1080" s="235"/>
      <c r="AZ1080" s="235"/>
      <c r="BA1080" s="235"/>
      <c r="BB1080" s="235"/>
      <c r="BC1080" s="235"/>
      <c r="BD1080" s="235"/>
      <c r="BE1080" s="235"/>
      <c r="BF1080" s="235"/>
      <c r="BG1080" s="235"/>
      <c r="BH1080" s="235"/>
      <c r="BI1080" s="235"/>
      <c r="BJ1080" s="235"/>
      <c r="BK1080" s="235"/>
      <c r="BL1080" s="235"/>
      <c r="BM1080" s="235"/>
      <c r="BN1080" s="235"/>
      <c r="BO1080" s="235"/>
    </row>
    <row r="1081" ht="29.25" hidden="1" customHeight="1">
      <c r="A1081" s="230"/>
      <c r="B1081" s="231"/>
      <c r="C1081" s="179"/>
      <c r="D1081" s="179"/>
      <c r="E1081" s="180"/>
      <c r="F1081" s="162"/>
      <c r="G1081" s="232"/>
      <c r="H1081" s="234"/>
      <c r="I1081" s="181"/>
      <c r="J1081" s="182"/>
      <c r="K1081" s="182"/>
      <c r="L1081" s="182"/>
      <c r="M1081" s="234"/>
      <c r="N1081" s="28"/>
      <c r="O1081" s="181"/>
      <c r="P1081" s="183"/>
      <c r="Q1081" s="104"/>
      <c r="R1081" s="233"/>
      <c r="S1081" s="164"/>
      <c r="T1081" s="164"/>
      <c r="U1081" s="162"/>
      <c r="V1081" s="235"/>
      <c r="W1081" s="235"/>
      <c r="X1081" s="235"/>
      <c r="Y1081" s="235"/>
      <c r="Z1081" s="235"/>
      <c r="AA1081" s="235"/>
      <c r="AB1081" s="235"/>
      <c r="AC1081" s="235"/>
      <c r="AD1081" s="235"/>
      <c r="AE1081" s="235"/>
      <c r="AF1081" s="235"/>
      <c r="AG1081" s="235"/>
      <c r="AH1081" s="235"/>
      <c r="AI1081" s="235"/>
      <c r="AJ1081" s="235"/>
      <c r="AK1081" s="235"/>
      <c r="AL1081" s="235"/>
      <c r="AM1081" s="235"/>
      <c r="AN1081" s="235"/>
      <c r="AO1081" s="235"/>
      <c r="AP1081" s="235"/>
      <c r="AQ1081" s="235"/>
      <c r="AR1081" s="235"/>
      <c r="AS1081" s="235"/>
      <c r="AT1081" s="235"/>
      <c r="AU1081" s="235"/>
      <c r="AV1081" s="235"/>
      <c r="AW1081" s="235"/>
      <c r="AX1081" s="235"/>
      <c r="AY1081" s="235"/>
      <c r="AZ1081" s="235"/>
      <c r="BA1081" s="235"/>
      <c r="BB1081" s="235"/>
      <c r="BC1081" s="235"/>
      <c r="BD1081" s="235"/>
      <c r="BE1081" s="235"/>
      <c r="BF1081" s="235"/>
      <c r="BG1081" s="235"/>
      <c r="BH1081" s="235"/>
      <c r="BI1081" s="235"/>
      <c r="BJ1081" s="235"/>
      <c r="BK1081" s="235"/>
      <c r="BL1081" s="235"/>
      <c r="BM1081" s="235"/>
      <c r="BN1081" s="235"/>
      <c r="BO1081" s="235"/>
    </row>
    <row r="1082" ht="29.25" hidden="1" customHeight="1">
      <c r="A1082" s="230"/>
      <c r="B1082" s="231"/>
      <c r="C1082" s="179"/>
      <c r="D1082" s="179"/>
      <c r="E1082" s="180"/>
      <c r="F1082" s="162"/>
      <c r="G1082" s="232"/>
      <c r="H1082" s="234"/>
      <c r="I1082" s="181"/>
      <c r="J1082" s="182"/>
      <c r="K1082" s="182"/>
      <c r="L1082" s="182"/>
      <c r="M1082" s="234"/>
      <c r="N1082" s="28"/>
      <c r="O1082" s="181"/>
      <c r="P1082" s="183"/>
      <c r="Q1082" s="104"/>
      <c r="R1082" s="233"/>
      <c r="S1082" s="164"/>
      <c r="T1082" s="164"/>
      <c r="U1082" s="162"/>
      <c r="V1082" s="235"/>
      <c r="W1082" s="235"/>
      <c r="X1082" s="235"/>
      <c r="Y1082" s="235"/>
      <c r="Z1082" s="235"/>
      <c r="AA1082" s="235"/>
      <c r="AB1082" s="235"/>
      <c r="AC1082" s="235"/>
      <c r="AD1082" s="235"/>
      <c r="AE1082" s="235"/>
      <c r="AF1082" s="235"/>
      <c r="AG1082" s="235"/>
      <c r="AH1082" s="235"/>
      <c r="AI1082" s="235"/>
      <c r="AJ1082" s="235"/>
      <c r="AK1082" s="235"/>
      <c r="AL1082" s="235"/>
      <c r="AM1082" s="235"/>
      <c r="AN1082" s="235"/>
      <c r="AO1082" s="235"/>
      <c r="AP1082" s="235"/>
      <c r="AQ1082" s="235"/>
      <c r="AR1082" s="235"/>
      <c r="AS1082" s="235"/>
      <c r="AT1082" s="235"/>
      <c r="AU1082" s="235"/>
      <c r="AV1082" s="235"/>
      <c r="AW1082" s="235"/>
      <c r="AX1082" s="235"/>
      <c r="AY1082" s="235"/>
      <c r="AZ1082" s="235"/>
      <c r="BA1082" s="235"/>
      <c r="BB1082" s="235"/>
      <c r="BC1082" s="235"/>
      <c r="BD1082" s="235"/>
      <c r="BE1082" s="235"/>
      <c r="BF1082" s="235"/>
      <c r="BG1082" s="235"/>
      <c r="BH1082" s="235"/>
      <c r="BI1082" s="235"/>
      <c r="BJ1082" s="235"/>
      <c r="BK1082" s="235"/>
      <c r="BL1082" s="235"/>
      <c r="BM1082" s="235"/>
      <c r="BN1082" s="235"/>
      <c r="BO1082" s="235"/>
    </row>
    <row r="1083" ht="29.25" hidden="1" customHeight="1">
      <c r="A1083" s="230"/>
      <c r="B1083" s="231"/>
      <c r="C1083" s="179"/>
      <c r="D1083" s="179"/>
      <c r="E1083" s="180"/>
      <c r="F1083" s="162"/>
      <c r="G1083" s="232"/>
      <c r="H1083" s="234"/>
      <c r="I1083" s="181"/>
      <c r="J1083" s="182"/>
      <c r="K1083" s="182"/>
      <c r="L1083" s="182"/>
      <c r="M1083" s="234"/>
      <c r="N1083" s="28"/>
      <c r="O1083" s="181"/>
      <c r="P1083" s="183"/>
      <c r="Q1083" s="104"/>
      <c r="R1083" s="233"/>
      <c r="S1083" s="164"/>
      <c r="T1083" s="164"/>
      <c r="U1083" s="162"/>
      <c r="V1083" s="235"/>
      <c r="W1083" s="235"/>
      <c r="X1083" s="235"/>
      <c r="Y1083" s="235"/>
      <c r="Z1083" s="235"/>
      <c r="AA1083" s="235"/>
      <c r="AB1083" s="235"/>
      <c r="AC1083" s="235"/>
      <c r="AD1083" s="235"/>
      <c r="AE1083" s="235"/>
      <c r="AF1083" s="235"/>
      <c r="AG1083" s="235"/>
      <c r="AH1083" s="235"/>
      <c r="AI1083" s="235"/>
      <c r="AJ1083" s="235"/>
      <c r="AK1083" s="235"/>
      <c r="AL1083" s="235"/>
      <c r="AM1083" s="235"/>
      <c r="AN1083" s="235"/>
      <c r="AO1083" s="235"/>
      <c r="AP1083" s="235"/>
      <c r="AQ1083" s="235"/>
      <c r="AR1083" s="235"/>
      <c r="AS1083" s="235"/>
      <c r="AT1083" s="235"/>
      <c r="AU1083" s="235"/>
      <c r="AV1083" s="235"/>
      <c r="AW1083" s="235"/>
      <c r="AX1083" s="235"/>
      <c r="AY1083" s="235"/>
      <c r="AZ1083" s="235"/>
      <c r="BA1083" s="235"/>
      <c r="BB1083" s="235"/>
      <c r="BC1083" s="235"/>
      <c r="BD1083" s="235"/>
      <c r="BE1083" s="235"/>
      <c r="BF1083" s="235"/>
      <c r="BG1083" s="235"/>
      <c r="BH1083" s="235"/>
      <c r="BI1083" s="235"/>
      <c r="BJ1083" s="235"/>
      <c r="BK1083" s="235"/>
      <c r="BL1083" s="235"/>
      <c r="BM1083" s="235"/>
      <c r="BN1083" s="235"/>
      <c r="BO1083" s="235"/>
    </row>
    <row r="1084" ht="29.25" hidden="1" customHeight="1">
      <c r="A1084" s="230"/>
      <c r="B1084" s="231"/>
      <c r="C1084" s="179"/>
      <c r="D1084" s="179"/>
      <c r="E1084" s="180"/>
      <c r="F1084" s="162"/>
      <c r="G1084" s="232"/>
      <c r="H1084" s="234"/>
      <c r="I1084" s="181"/>
      <c r="J1084" s="182"/>
      <c r="K1084" s="182"/>
      <c r="L1084" s="182"/>
      <c r="M1084" s="234"/>
      <c r="N1084" s="28"/>
      <c r="O1084" s="181"/>
      <c r="P1084" s="183"/>
      <c r="Q1084" s="104"/>
      <c r="R1084" s="233"/>
      <c r="S1084" s="164"/>
      <c r="T1084" s="164"/>
      <c r="U1084" s="162"/>
      <c r="V1084" s="235"/>
      <c r="W1084" s="235"/>
      <c r="X1084" s="235"/>
      <c r="Y1084" s="235"/>
      <c r="Z1084" s="235"/>
      <c r="AA1084" s="235"/>
      <c r="AB1084" s="235"/>
      <c r="AC1084" s="235"/>
      <c r="AD1084" s="235"/>
      <c r="AE1084" s="235"/>
      <c r="AF1084" s="235"/>
      <c r="AG1084" s="235"/>
      <c r="AH1084" s="235"/>
      <c r="AI1084" s="235"/>
      <c r="AJ1084" s="235"/>
      <c r="AK1084" s="235"/>
      <c r="AL1084" s="235"/>
      <c r="AM1084" s="235"/>
      <c r="AN1084" s="235"/>
      <c r="AO1084" s="235"/>
      <c r="AP1084" s="235"/>
      <c r="AQ1084" s="235"/>
      <c r="AR1084" s="235"/>
      <c r="AS1084" s="235"/>
      <c r="AT1084" s="235"/>
      <c r="AU1084" s="235"/>
      <c r="AV1084" s="235"/>
      <c r="AW1084" s="235"/>
      <c r="AX1084" s="235"/>
      <c r="AY1084" s="235"/>
      <c r="AZ1084" s="235"/>
      <c r="BA1084" s="235"/>
      <c r="BB1084" s="235"/>
      <c r="BC1084" s="235"/>
      <c r="BD1084" s="235"/>
      <c r="BE1084" s="235"/>
      <c r="BF1084" s="235"/>
      <c r="BG1084" s="235"/>
      <c r="BH1084" s="235"/>
      <c r="BI1084" s="235"/>
      <c r="BJ1084" s="235"/>
      <c r="BK1084" s="235"/>
      <c r="BL1084" s="235"/>
      <c r="BM1084" s="235"/>
      <c r="BN1084" s="235"/>
      <c r="BO1084" s="235"/>
    </row>
    <row r="1085" ht="29.25" hidden="1" customHeight="1">
      <c r="A1085" s="230"/>
      <c r="B1085" s="231"/>
      <c r="C1085" s="179"/>
      <c r="D1085" s="179"/>
      <c r="E1085" s="180"/>
      <c r="F1085" s="162"/>
      <c r="G1085" s="232"/>
      <c r="H1085" s="234"/>
      <c r="I1085" s="181"/>
      <c r="J1085" s="182"/>
      <c r="K1085" s="182"/>
      <c r="L1085" s="182"/>
      <c r="M1085" s="234"/>
      <c r="N1085" s="28"/>
      <c r="O1085" s="181"/>
      <c r="P1085" s="183"/>
      <c r="Q1085" s="104"/>
      <c r="R1085" s="233"/>
      <c r="S1085" s="164"/>
      <c r="T1085" s="164"/>
      <c r="U1085" s="162"/>
      <c r="V1085" s="235"/>
      <c r="W1085" s="235"/>
      <c r="X1085" s="235"/>
      <c r="Y1085" s="235"/>
      <c r="Z1085" s="235"/>
      <c r="AA1085" s="235"/>
      <c r="AB1085" s="235"/>
      <c r="AC1085" s="235"/>
      <c r="AD1085" s="235"/>
      <c r="AE1085" s="235"/>
      <c r="AF1085" s="235"/>
      <c r="AG1085" s="235"/>
      <c r="AH1085" s="235"/>
      <c r="AI1085" s="235"/>
      <c r="AJ1085" s="235"/>
      <c r="AK1085" s="235"/>
      <c r="AL1085" s="235"/>
      <c r="AM1085" s="235"/>
      <c r="AN1085" s="235"/>
      <c r="AO1085" s="235"/>
      <c r="AP1085" s="235"/>
      <c r="AQ1085" s="235"/>
      <c r="AR1085" s="235"/>
      <c r="AS1085" s="235"/>
      <c r="AT1085" s="235"/>
      <c r="AU1085" s="235"/>
      <c r="AV1085" s="235"/>
      <c r="AW1085" s="235"/>
      <c r="AX1085" s="235"/>
      <c r="AY1085" s="235"/>
      <c r="AZ1085" s="235"/>
      <c r="BA1085" s="235"/>
      <c r="BB1085" s="235"/>
      <c r="BC1085" s="235"/>
      <c r="BD1085" s="235"/>
      <c r="BE1085" s="235"/>
      <c r="BF1085" s="235"/>
      <c r="BG1085" s="235"/>
      <c r="BH1085" s="235"/>
      <c r="BI1085" s="235"/>
      <c r="BJ1085" s="235"/>
      <c r="BK1085" s="235"/>
      <c r="BL1085" s="235"/>
      <c r="BM1085" s="235"/>
      <c r="BN1085" s="235"/>
      <c r="BO1085" s="235"/>
    </row>
    <row r="1086" ht="29.25" hidden="1" customHeight="1">
      <c r="A1086" s="230"/>
      <c r="B1086" s="231"/>
      <c r="C1086" s="179"/>
      <c r="D1086" s="179"/>
      <c r="E1086" s="180"/>
      <c r="F1086" s="162"/>
      <c r="G1086" s="232"/>
      <c r="H1086" s="234"/>
      <c r="I1086" s="181"/>
      <c r="J1086" s="182"/>
      <c r="K1086" s="182"/>
      <c r="L1086" s="182"/>
      <c r="M1086" s="234"/>
      <c r="N1086" s="28"/>
      <c r="O1086" s="181"/>
      <c r="P1086" s="183"/>
      <c r="Q1086" s="104"/>
      <c r="R1086" s="233"/>
      <c r="S1086" s="164"/>
      <c r="T1086" s="164"/>
      <c r="U1086" s="162"/>
      <c r="V1086" s="235"/>
      <c r="W1086" s="235"/>
      <c r="X1086" s="235"/>
      <c r="Y1086" s="235"/>
      <c r="Z1086" s="235"/>
      <c r="AA1086" s="235"/>
      <c r="AB1086" s="235"/>
      <c r="AC1086" s="235"/>
      <c r="AD1086" s="235"/>
      <c r="AE1086" s="235"/>
      <c r="AF1086" s="235"/>
      <c r="AG1086" s="235"/>
      <c r="AH1086" s="235"/>
      <c r="AI1086" s="235"/>
      <c r="AJ1086" s="235"/>
      <c r="AK1086" s="235"/>
      <c r="AL1086" s="235"/>
      <c r="AM1086" s="235"/>
      <c r="AN1086" s="235"/>
      <c r="AO1086" s="235"/>
      <c r="AP1086" s="235"/>
      <c r="AQ1086" s="235"/>
      <c r="AR1086" s="235"/>
      <c r="AS1086" s="235"/>
      <c r="AT1086" s="235"/>
      <c r="AU1086" s="235"/>
      <c r="AV1086" s="235"/>
      <c r="AW1086" s="235"/>
      <c r="AX1086" s="235"/>
      <c r="AY1086" s="235"/>
      <c r="AZ1086" s="235"/>
      <c r="BA1086" s="235"/>
      <c r="BB1086" s="235"/>
      <c r="BC1086" s="235"/>
      <c r="BD1086" s="235"/>
      <c r="BE1086" s="235"/>
      <c r="BF1086" s="235"/>
      <c r="BG1086" s="235"/>
      <c r="BH1086" s="235"/>
      <c r="BI1086" s="235"/>
      <c r="BJ1086" s="235"/>
      <c r="BK1086" s="235"/>
      <c r="BL1086" s="235"/>
      <c r="BM1086" s="235"/>
      <c r="BN1086" s="235"/>
      <c r="BO1086" s="235"/>
    </row>
    <row r="1087" ht="29.25" hidden="1" customHeight="1">
      <c r="A1087" s="230"/>
      <c r="B1087" s="231"/>
      <c r="C1087" s="179"/>
      <c r="D1087" s="179"/>
      <c r="E1087" s="180"/>
      <c r="F1087" s="162"/>
      <c r="G1087" s="232"/>
      <c r="H1087" s="234"/>
      <c r="I1087" s="181"/>
      <c r="J1087" s="182"/>
      <c r="K1087" s="182"/>
      <c r="L1087" s="182"/>
      <c r="M1087" s="234"/>
      <c r="N1087" s="28"/>
      <c r="O1087" s="181"/>
      <c r="P1087" s="183"/>
      <c r="Q1087" s="104"/>
      <c r="R1087" s="233"/>
      <c r="S1087" s="164"/>
      <c r="T1087" s="164"/>
      <c r="U1087" s="162"/>
      <c r="V1087" s="235"/>
      <c r="W1087" s="235"/>
      <c r="X1087" s="235"/>
      <c r="Y1087" s="235"/>
      <c r="Z1087" s="235"/>
      <c r="AA1087" s="235"/>
      <c r="AB1087" s="235"/>
      <c r="AC1087" s="235"/>
      <c r="AD1087" s="235"/>
      <c r="AE1087" s="235"/>
      <c r="AF1087" s="235"/>
      <c r="AG1087" s="235"/>
      <c r="AH1087" s="235"/>
      <c r="AI1087" s="235"/>
      <c r="AJ1087" s="235"/>
      <c r="AK1087" s="235"/>
      <c r="AL1087" s="235"/>
      <c r="AM1087" s="235"/>
      <c r="AN1087" s="235"/>
      <c r="AO1087" s="235"/>
      <c r="AP1087" s="235"/>
      <c r="AQ1087" s="235"/>
      <c r="AR1087" s="235"/>
      <c r="AS1087" s="235"/>
      <c r="AT1087" s="235"/>
      <c r="AU1087" s="235"/>
      <c r="AV1087" s="235"/>
      <c r="AW1087" s="235"/>
      <c r="AX1087" s="235"/>
      <c r="AY1087" s="235"/>
      <c r="AZ1087" s="235"/>
      <c r="BA1087" s="235"/>
      <c r="BB1087" s="235"/>
      <c r="BC1087" s="235"/>
      <c r="BD1087" s="235"/>
      <c r="BE1087" s="235"/>
      <c r="BF1087" s="235"/>
      <c r="BG1087" s="235"/>
      <c r="BH1087" s="235"/>
      <c r="BI1087" s="235"/>
      <c r="BJ1087" s="235"/>
      <c r="BK1087" s="235"/>
      <c r="BL1087" s="235"/>
      <c r="BM1087" s="235"/>
      <c r="BN1087" s="235"/>
      <c r="BO1087" s="235"/>
    </row>
    <row r="1088" ht="29.25" hidden="1" customHeight="1">
      <c r="A1088" s="230"/>
      <c r="B1088" s="231"/>
      <c r="C1088" s="179"/>
      <c r="D1088" s="179"/>
      <c r="E1088" s="180"/>
      <c r="F1088" s="162"/>
      <c r="G1088" s="232"/>
      <c r="H1088" s="234"/>
      <c r="I1088" s="181"/>
      <c r="J1088" s="182"/>
      <c r="K1088" s="182"/>
      <c r="L1088" s="182"/>
      <c r="M1088" s="234"/>
      <c r="N1088" s="28"/>
      <c r="O1088" s="181"/>
      <c r="P1088" s="183"/>
      <c r="Q1088" s="104"/>
      <c r="R1088" s="233"/>
      <c r="S1088" s="164"/>
      <c r="T1088" s="164"/>
      <c r="U1088" s="162"/>
      <c r="V1088" s="235"/>
      <c r="W1088" s="235"/>
      <c r="X1088" s="235"/>
      <c r="Y1088" s="235"/>
      <c r="Z1088" s="235"/>
      <c r="AA1088" s="235"/>
      <c r="AB1088" s="235"/>
      <c r="AC1088" s="235"/>
      <c r="AD1088" s="235"/>
      <c r="AE1088" s="235"/>
      <c r="AF1088" s="235"/>
      <c r="AG1088" s="235"/>
      <c r="AH1088" s="235"/>
      <c r="AI1088" s="235"/>
      <c r="AJ1088" s="235"/>
      <c r="AK1088" s="235"/>
      <c r="AL1088" s="235"/>
      <c r="AM1088" s="235"/>
      <c r="AN1088" s="235"/>
      <c r="AO1088" s="235"/>
      <c r="AP1088" s="235"/>
      <c r="AQ1088" s="235"/>
      <c r="AR1088" s="235"/>
      <c r="AS1088" s="235"/>
      <c r="AT1088" s="235"/>
      <c r="AU1088" s="235"/>
      <c r="AV1088" s="235"/>
      <c r="AW1088" s="235"/>
      <c r="AX1088" s="235"/>
      <c r="AY1088" s="235"/>
      <c r="AZ1088" s="235"/>
      <c r="BA1088" s="235"/>
      <c r="BB1088" s="235"/>
      <c r="BC1088" s="235"/>
      <c r="BD1088" s="235"/>
      <c r="BE1088" s="235"/>
      <c r="BF1088" s="235"/>
      <c r="BG1088" s="235"/>
      <c r="BH1088" s="235"/>
      <c r="BI1088" s="235"/>
      <c r="BJ1088" s="235"/>
      <c r="BK1088" s="235"/>
      <c r="BL1088" s="235"/>
      <c r="BM1088" s="235"/>
      <c r="BN1088" s="235"/>
      <c r="BO1088" s="235"/>
    </row>
    <row r="1089" ht="29.25" hidden="1" customHeight="1">
      <c r="A1089" s="230"/>
      <c r="B1089" s="231"/>
      <c r="C1089" s="179"/>
      <c r="D1089" s="179"/>
      <c r="E1089" s="180"/>
      <c r="F1089" s="162"/>
      <c r="G1089" s="232"/>
      <c r="H1089" s="234"/>
      <c r="I1089" s="181"/>
      <c r="J1089" s="182"/>
      <c r="K1089" s="182"/>
      <c r="L1089" s="182"/>
      <c r="M1089" s="234"/>
      <c r="N1089" s="28"/>
      <c r="O1089" s="181"/>
      <c r="P1089" s="183"/>
      <c r="Q1089" s="104"/>
      <c r="R1089" s="233"/>
      <c r="S1089" s="164"/>
      <c r="T1089" s="164"/>
      <c r="U1089" s="162"/>
      <c r="V1089" s="235"/>
      <c r="W1089" s="235"/>
      <c r="X1089" s="235"/>
      <c r="Y1089" s="235"/>
      <c r="Z1089" s="235"/>
      <c r="AA1089" s="235"/>
      <c r="AB1089" s="235"/>
      <c r="AC1089" s="235"/>
      <c r="AD1089" s="235"/>
      <c r="AE1089" s="235"/>
      <c r="AF1089" s="235"/>
      <c r="AG1089" s="235"/>
      <c r="AH1089" s="235"/>
      <c r="AI1089" s="235"/>
      <c r="AJ1089" s="235"/>
      <c r="AK1089" s="235"/>
      <c r="AL1089" s="235"/>
      <c r="AM1089" s="235"/>
      <c r="AN1089" s="235"/>
      <c r="AO1089" s="235"/>
      <c r="AP1089" s="235"/>
      <c r="AQ1089" s="235"/>
      <c r="AR1089" s="235"/>
      <c r="AS1089" s="235"/>
      <c r="AT1089" s="235"/>
      <c r="AU1089" s="235"/>
      <c r="AV1089" s="235"/>
      <c r="AW1089" s="235"/>
      <c r="AX1089" s="235"/>
      <c r="AY1089" s="235"/>
      <c r="AZ1089" s="235"/>
      <c r="BA1089" s="235"/>
      <c r="BB1089" s="235"/>
      <c r="BC1089" s="235"/>
      <c r="BD1089" s="235"/>
      <c r="BE1089" s="235"/>
      <c r="BF1089" s="235"/>
      <c r="BG1089" s="235"/>
      <c r="BH1089" s="235"/>
      <c r="BI1089" s="235"/>
      <c r="BJ1089" s="235"/>
      <c r="BK1089" s="235"/>
      <c r="BL1089" s="235"/>
      <c r="BM1089" s="235"/>
      <c r="BN1089" s="235"/>
      <c r="BO1089" s="235"/>
    </row>
    <row r="1090" ht="29.25" hidden="1" customHeight="1">
      <c r="A1090" s="230"/>
      <c r="B1090" s="231"/>
      <c r="C1090" s="179"/>
      <c r="D1090" s="179"/>
      <c r="E1090" s="180"/>
      <c r="F1090" s="162"/>
      <c r="G1090" s="232"/>
      <c r="H1090" s="234"/>
      <c r="I1090" s="181"/>
      <c r="J1090" s="182"/>
      <c r="K1090" s="182"/>
      <c r="L1090" s="182"/>
      <c r="M1090" s="234"/>
      <c r="N1090" s="28"/>
      <c r="O1090" s="181"/>
      <c r="P1090" s="183"/>
      <c r="Q1090" s="104"/>
      <c r="R1090" s="233"/>
      <c r="S1090" s="164"/>
      <c r="T1090" s="164"/>
      <c r="U1090" s="162"/>
      <c r="V1090" s="235"/>
      <c r="W1090" s="235"/>
      <c r="X1090" s="235"/>
      <c r="Y1090" s="235"/>
      <c r="Z1090" s="235"/>
      <c r="AA1090" s="235"/>
      <c r="AB1090" s="235"/>
      <c r="AC1090" s="235"/>
      <c r="AD1090" s="235"/>
      <c r="AE1090" s="235"/>
      <c r="AF1090" s="235"/>
      <c r="AG1090" s="235"/>
      <c r="AH1090" s="235"/>
      <c r="AI1090" s="235"/>
      <c r="AJ1090" s="235"/>
      <c r="AK1090" s="235"/>
      <c r="AL1090" s="235"/>
      <c r="AM1090" s="235"/>
      <c r="AN1090" s="235"/>
      <c r="AO1090" s="235"/>
      <c r="AP1090" s="235"/>
      <c r="AQ1090" s="235"/>
      <c r="AR1090" s="235"/>
      <c r="AS1090" s="235"/>
      <c r="AT1090" s="235"/>
      <c r="AU1090" s="235"/>
      <c r="AV1090" s="235"/>
      <c r="AW1090" s="235"/>
      <c r="AX1090" s="235"/>
      <c r="AY1090" s="235"/>
      <c r="AZ1090" s="235"/>
      <c r="BA1090" s="235"/>
      <c r="BB1090" s="235"/>
      <c r="BC1090" s="235"/>
      <c r="BD1090" s="235"/>
      <c r="BE1090" s="235"/>
      <c r="BF1090" s="235"/>
      <c r="BG1090" s="235"/>
      <c r="BH1090" s="235"/>
      <c r="BI1090" s="235"/>
      <c r="BJ1090" s="235"/>
      <c r="BK1090" s="235"/>
      <c r="BL1090" s="235"/>
      <c r="BM1090" s="235"/>
      <c r="BN1090" s="235"/>
      <c r="BO1090" s="235"/>
    </row>
    <row r="1091" ht="29.25" hidden="1" customHeight="1">
      <c r="A1091" s="230"/>
      <c r="B1091" s="231"/>
      <c r="C1091" s="179"/>
      <c r="D1091" s="179"/>
      <c r="E1091" s="180"/>
      <c r="F1091" s="162"/>
      <c r="G1091" s="232"/>
      <c r="H1091" s="234"/>
      <c r="I1091" s="181"/>
      <c r="J1091" s="182"/>
      <c r="K1091" s="182"/>
      <c r="L1091" s="182"/>
      <c r="M1091" s="234"/>
      <c r="N1091" s="28"/>
      <c r="O1091" s="181"/>
      <c r="P1091" s="183"/>
      <c r="Q1091" s="104"/>
      <c r="R1091" s="233"/>
      <c r="S1091" s="164"/>
      <c r="T1091" s="164"/>
      <c r="U1091" s="162"/>
      <c r="V1091" s="235"/>
      <c r="W1091" s="235"/>
      <c r="X1091" s="235"/>
      <c r="Y1091" s="235"/>
      <c r="Z1091" s="235"/>
      <c r="AA1091" s="235"/>
      <c r="AB1091" s="235"/>
      <c r="AC1091" s="235"/>
      <c r="AD1091" s="235"/>
      <c r="AE1091" s="235"/>
      <c r="AF1091" s="235"/>
      <c r="AG1091" s="235"/>
      <c r="AH1091" s="235"/>
      <c r="AI1091" s="235"/>
      <c r="AJ1091" s="235"/>
      <c r="AK1091" s="235"/>
      <c r="AL1091" s="235"/>
      <c r="AM1091" s="235"/>
      <c r="AN1091" s="235"/>
      <c r="AO1091" s="235"/>
      <c r="AP1091" s="235"/>
      <c r="AQ1091" s="235"/>
      <c r="AR1091" s="235"/>
      <c r="AS1091" s="235"/>
      <c r="AT1091" s="235"/>
      <c r="AU1091" s="235"/>
      <c r="AV1091" s="235"/>
      <c r="AW1091" s="235"/>
      <c r="AX1091" s="235"/>
      <c r="AY1091" s="235"/>
      <c r="AZ1091" s="235"/>
      <c r="BA1091" s="235"/>
      <c r="BB1091" s="235"/>
      <c r="BC1091" s="235"/>
      <c r="BD1091" s="235"/>
      <c r="BE1091" s="235"/>
      <c r="BF1091" s="235"/>
      <c r="BG1091" s="235"/>
      <c r="BH1091" s="235"/>
      <c r="BI1091" s="235"/>
      <c r="BJ1091" s="235"/>
      <c r="BK1091" s="235"/>
      <c r="BL1091" s="235"/>
      <c r="BM1091" s="235"/>
      <c r="BN1091" s="235"/>
      <c r="BO1091" s="235"/>
    </row>
    <row r="1092" ht="29.25" hidden="1" customHeight="1">
      <c r="A1092" s="230"/>
      <c r="B1092" s="231"/>
      <c r="C1092" s="179"/>
      <c r="D1092" s="179"/>
      <c r="E1092" s="180"/>
      <c r="F1092" s="162"/>
      <c r="G1092" s="232"/>
      <c r="H1092" s="234"/>
      <c r="I1092" s="181"/>
      <c r="J1092" s="182"/>
      <c r="K1092" s="182"/>
      <c r="L1092" s="182"/>
      <c r="M1092" s="234"/>
      <c r="N1092" s="28"/>
      <c r="O1092" s="181"/>
      <c r="P1092" s="183"/>
      <c r="Q1092" s="104"/>
      <c r="R1092" s="233"/>
      <c r="S1092" s="164"/>
      <c r="T1092" s="164"/>
      <c r="U1092" s="162"/>
      <c r="V1092" s="235"/>
      <c r="W1092" s="235"/>
      <c r="X1092" s="235"/>
      <c r="Y1092" s="235"/>
      <c r="Z1092" s="235"/>
      <c r="AA1092" s="235"/>
      <c r="AB1092" s="235"/>
      <c r="AC1092" s="235"/>
      <c r="AD1092" s="235"/>
      <c r="AE1092" s="235"/>
      <c r="AF1092" s="235"/>
      <c r="AG1092" s="235"/>
      <c r="AH1092" s="235"/>
      <c r="AI1092" s="235"/>
      <c r="AJ1092" s="235"/>
      <c r="AK1092" s="235"/>
      <c r="AL1092" s="235"/>
      <c r="AM1092" s="235"/>
      <c r="AN1092" s="235"/>
      <c r="AO1092" s="235"/>
      <c r="AP1092" s="235"/>
      <c r="AQ1092" s="235"/>
      <c r="AR1092" s="235"/>
      <c r="AS1092" s="235"/>
      <c r="AT1092" s="235"/>
      <c r="AU1092" s="235"/>
      <c r="AV1092" s="235"/>
      <c r="AW1092" s="235"/>
      <c r="AX1092" s="235"/>
      <c r="AY1092" s="235"/>
      <c r="AZ1092" s="235"/>
      <c r="BA1092" s="235"/>
      <c r="BB1092" s="235"/>
      <c r="BC1092" s="235"/>
      <c r="BD1092" s="235"/>
      <c r="BE1092" s="235"/>
      <c r="BF1092" s="235"/>
      <c r="BG1092" s="235"/>
      <c r="BH1092" s="235"/>
      <c r="BI1092" s="235"/>
      <c r="BJ1092" s="235"/>
      <c r="BK1092" s="235"/>
      <c r="BL1092" s="235"/>
      <c r="BM1092" s="235"/>
      <c r="BN1092" s="235"/>
      <c r="BO1092" s="235"/>
    </row>
    <row r="1093" ht="29.25" hidden="1" customHeight="1">
      <c r="A1093" s="230"/>
      <c r="B1093" s="231"/>
      <c r="C1093" s="179"/>
      <c r="D1093" s="179"/>
      <c r="E1093" s="180"/>
      <c r="F1093" s="162"/>
      <c r="G1093" s="232"/>
      <c r="H1093" s="234"/>
      <c r="I1093" s="181"/>
      <c r="J1093" s="182"/>
      <c r="K1093" s="182"/>
      <c r="L1093" s="182"/>
      <c r="M1093" s="234"/>
      <c r="N1093" s="28"/>
      <c r="O1093" s="181"/>
      <c r="P1093" s="183"/>
      <c r="Q1093" s="104"/>
      <c r="R1093" s="233"/>
      <c r="S1093" s="164"/>
      <c r="T1093" s="164"/>
      <c r="U1093" s="162"/>
      <c r="V1093" s="235"/>
      <c r="W1093" s="235"/>
      <c r="X1093" s="235"/>
      <c r="Y1093" s="235"/>
      <c r="Z1093" s="235"/>
      <c r="AA1093" s="235"/>
      <c r="AB1093" s="235"/>
      <c r="AC1093" s="235"/>
      <c r="AD1093" s="235"/>
      <c r="AE1093" s="235"/>
      <c r="AF1093" s="235"/>
      <c r="AG1093" s="235"/>
      <c r="AH1093" s="235"/>
      <c r="AI1093" s="235"/>
      <c r="AJ1093" s="235"/>
      <c r="AK1093" s="235"/>
      <c r="AL1093" s="235"/>
      <c r="AM1093" s="235"/>
      <c r="AN1093" s="235"/>
      <c r="AO1093" s="235"/>
      <c r="AP1093" s="235"/>
      <c r="AQ1093" s="235"/>
      <c r="AR1093" s="235"/>
      <c r="AS1093" s="235"/>
      <c r="AT1093" s="235"/>
      <c r="AU1093" s="235"/>
      <c r="AV1093" s="235"/>
      <c r="AW1093" s="235"/>
      <c r="AX1093" s="235"/>
      <c r="AY1093" s="235"/>
      <c r="AZ1093" s="235"/>
      <c r="BA1093" s="235"/>
      <c r="BB1093" s="235"/>
      <c r="BC1093" s="235"/>
      <c r="BD1093" s="235"/>
      <c r="BE1093" s="235"/>
      <c r="BF1093" s="235"/>
      <c r="BG1093" s="235"/>
      <c r="BH1093" s="235"/>
      <c r="BI1093" s="235"/>
      <c r="BJ1093" s="235"/>
      <c r="BK1093" s="235"/>
      <c r="BL1093" s="235"/>
      <c r="BM1093" s="235"/>
      <c r="BN1093" s="235"/>
      <c r="BO1093" s="235"/>
    </row>
    <row r="1094" ht="29.25" hidden="1" customHeight="1">
      <c r="A1094" s="230"/>
      <c r="B1094" s="231"/>
      <c r="C1094" s="179"/>
      <c r="D1094" s="179"/>
      <c r="E1094" s="180"/>
      <c r="F1094" s="162"/>
      <c r="G1094" s="232"/>
      <c r="H1094" s="234"/>
      <c r="I1094" s="181"/>
      <c r="J1094" s="182"/>
      <c r="K1094" s="182"/>
      <c r="L1094" s="182"/>
      <c r="M1094" s="234"/>
      <c r="N1094" s="28"/>
      <c r="O1094" s="181"/>
      <c r="P1094" s="183"/>
      <c r="Q1094" s="104"/>
      <c r="R1094" s="233"/>
      <c r="S1094" s="164"/>
      <c r="T1094" s="164"/>
      <c r="U1094" s="162"/>
      <c r="V1094" s="235"/>
      <c r="W1094" s="235"/>
      <c r="X1094" s="235"/>
      <c r="Y1094" s="235"/>
      <c r="Z1094" s="235"/>
      <c r="AA1094" s="235"/>
      <c r="AB1094" s="235"/>
      <c r="AC1094" s="235"/>
      <c r="AD1094" s="235"/>
      <c r="AE1094" s="235"/>
      <c r="AF1094" s="235"/>
      <c r="AG1094" s="235"/>
      <c r="AH1094" s="235"/>
      <c r="AI1094" s="235"/>
      <c r="AJ1094" s="235"/>
      <c r="AK1094" s="235"/>
      <c r="AL1094" s="235"/>
      <c r="AM1094" s="235"/>
      <c r="AN1094" s="235"/>
      <c r="AO1094" s="235"/>
      <c r="AP1094" s="235"/>
      <c r="AQ1094" s="235"/>
      <c r="AR1094" s="235"/>
      <c r="AS1094" s="235"/>
      <c r="AT1094" s="235"/>
      <c r="AU1094" s="235"/>
      <c r="AV1094" s="235"/>
      <c r="AW1094" s="235"/>
      <c r="AX1094" s="235"/>
      <c r="AY1094" s="235"/>
      <c r="AZ1094" s="235"/>
      <c r="BA1094" s="235"/>
      <c r="BB1094" s="235"/>
      <c r="BC1094" s="235"/>
      <c r="BD1094" s="235"/>
      <c r="BE1094" s="235"/>
      <c r="BF1094" s="235"/>
      <c r="BG1094" s="235"/>
      <c r="BH1094" s="235"/>
      <c r="BI1094" s="235"/>
      <c r="BJ1094" s="235"/>
      <c r="BK1094" s="235"/>
      <c r="BL1094" s="235"/>
      <c r="BM1094" s="235"/>
      <c r="BN1094" s="235"/>
      <c r="BO1094" s="235"/>
    </row>
    <row r="1095" ht="29.25" hidden="1" customHeight="1">
      <c r="A1095" s="230"/>
      <c r="B1095" s="231"/>
      <c r="C1095" s="179"/>
      <c r="D1095" s="179"/>
      <c r="E1095" s="180"/>
      <c r="F1095" s="162"/>
      <c r="G1095" s="232"/>
      <c r="H1095" s="234"/>
      <c r="I1095" s="181"/>
      <c r="J1095" s="182"/>
      <c r="K1095" s="182"/>
      <c r="L1095" s="182"/>
      <c r="M1095" s="234"/>
      <c r="N1095" s="28"/>
      <c r="O1095" s="181"/>
      <c r="P1095" s="183"/>
      <c r="Q1095" s="104"/>
      <c r="R1095" s="233"/>
      <c r="S1095" s="164"/>
      <c r="T1095" s="164"/>
      <c r="U1095" s="162"/>
      <c r="V1095" s="235"/>
      <c r="W1095" s="235"/>
      <c r="X1095" s="235"/>
      <c r="Y1095" s="235"/>
      <c r="Z1095" s="235"/>
      <c r="AA1095" s="235"/>
      <c r="AB1095" s="235"/>
      <c r="AC1095" s="235"/>
      <c r="AD1095" s="235"/>
      <c r="AE1095" s="235"/>
      <c r="AF1095" s="235"/>
      <c r="AG1095" s="235"/>
      <c r="AH1095" s="235"/>
      <c r="AI1095" s="235"/>
      <c r="AJ1095" s="235"/>
      <c r="AK1095" s="235"/>
      <c r="AL1095" s="235"/>
      <c r="AM1095" s="235"/>
      <c r="AN1095" s="235"/>
      <c r="AO1095" s="235"/>
      <c r="AP1095" s="235"/>
      <c r="AQ1095" s="235"/>
      <c r="AR1095" s="235"/>
      <c r="AS1095" s="235"/>
      <c r="AT1095" s="235"/>
      <c r="AU1095" s="235"/>
      <c r="AV1095" s="235"/>
      <c r="AW1095" s="235"/>
      <c r="AX1095" s="235"/>
      <c r="AY1095" s="235"/>
      <c r="AZ1095" s="235"/>
      <c r="BA1095" s="235"/>
      <c r="BB1095" s="235"/>
      <c r="BC1095" s="235"/>
      <c r="BD1095" s="235"/>
      <c r="BE1095" s="235"/>
      <c r="BF1095" s="235"/>
      <c r="BG1095" s="235"/>
      <c r="BH1095" s="235"/>
      <c r="BI1095" s="235"/>
      <c r="BJ1095" s="235"/>
      <c r="BK1095" s="235"/>
      <c r="BL1095" s="235"/>
      <c r="BM1095" s="235"/>
      <c r="BN1095" s="235"/>
      <c r="BO1095" s="235"/>
    </row>
    <row r="1096" ht="29.25" hidden="1" customHeight="1">
      <c r="A1096" s="230"/>
      <c r="B1096" s="231"/>
      <c r="C1096" s="179"/>
      <c r="D1096" s="179"/>
      <c r="E1096" s="180"/>
      <c r="F1096" s="162"/>
      <c r="G1096" s="232"/>
      <c r="H1096" s="234"/>
      <c r="I1096" s="181"/>
      <c r="J1096" s="182"/>
      <c r="K1096" s="182"/>
      <c r="L1096" s="182"/>
      <c r="M1096" s="234"/>
      <c r="N1096" s="28"/>
      <c r="O1096" s="181"/>
      <c r="P1096" s="183"/>
      <c r="Q1096" s="104"/>
      <c r="R1096" s="233"/>
      <c r="S1096" s="164"/>
      <c r="T1096" s="164"/>
      <c r="U1096" s="162"/>
      <c r="V1096" s="235"/>
      <c r="W1096" s="235"/>
      <c r="X1096" s="235"/>
      <c r="Y1096" s="235"/>
      <c r="Z1096" s="235"/>
      <c r="AA1096" s="235"/>
      <c r="AB1096" s="235"/>
      <c r="AC1096" s="235"/>
      <c r="AD1096" s="235"/>
      <c r="AE1096" s="235"/>
      <c r="AF1096" s="235"/>
      <c r="AG1096" s="235"/>
      <c r="AH1096" s="235"/>
      <c r="AI1096" s="235"/>
      <c r="AJ1096" s="235"/>
      <c r="AK1096" s="235"/>
      <c r="AL1096" s="235"/>
      <c r="AM1096" s="235"/>
      <c r="AN1096" s="235"/>
      <c r="AO1096" s="235"/>
      <c r="AP1096" s="235"/>
      <c r="AQ1096" s="235"/>
      <c r="AR1096" s="235"/>
      <c r="AS1096" s="235"/>
      <c r="AT1096" s="235"/>
      <c r="AU1096" s="235"/>
      <c r="AV1096" s="235"/>
      <c r="AW1096" s="235"/>
      <c r="AX1096" s="235"/>
      <c r="AY1096" s="235"/>
      <c r="AZ1096" s="235"/>
      <c r="BA1096" s="235"/>
      <c r="BB1096" s="235"/>
      <c r="BC1096" s="235"/>
      <c r="BD1096" s="235"/>
      <c r="BE1096" s="235"/>
      <c r="BF1096" s="235"/>
      <c r="BG1096" s="235"/>
      <c r="BH1096" s="235"/>
      <c r="BI1096" s="235"/>
      <c r="BJ1096" s="235"/>
      <c r="BK1096" s="235"/>
      <c r="BL1096" s="235"/>
      <c r="BM1096" s="235"/>
      <c r="BN1096" s="235"/>
      <c r="BO1096" s="235"/>
    </row>
    <row r="1097" ht="29.25" hidden="1" customHeight="1">
      <c r="A1097" s="230"/>
      <c r="B1097" s="231"/>
      <c r="C1097" s="179"/>
      <c r="D1097" s="179"/>
      <c r="E1097" s="180"/>
      <c r="F1097" s="162"/>
      <c r="G1097" s="232"/>
      <c r="H1097" s="234"/>
      <c r="I1097" s="181"/>
      <c r="J1097" s="182"/>
      <c r="K1097" s="182"/>
      <c r="L1097" s="182"/>
      <c r="M1097" s="234"/>
      <c r="N1097" s="28"/>
      <c r="O1097" s="181"/>
      <c r="P1097" s="183"/>
      <c r="Q1097" s="104"/>
      <c r="R1097" s="233"/>
      <c r="S1097" s="164"/>
      <c r="T1097" s="164"/>
      <c r="U1097" s="162"/>
      <c r="V1097" s="235"/>
      <c r="W1097" s="235"/>
      <c r="X1097" s="235"/>
      <c r="Y1097" s="235"/>
      <c r="Z1097" s="235"/>
      <c r="AA1097" s="235"/>
      <c r="AB1097" s="235"/>
      <c r="AC1097" s="235"/>
      <c r="AD1097" s="235"/>
      <c r="AE1097" s="235"/>
      <c r="AF1097" s="235"/>
      <c r="AG1097" s="235"/>
      <c r="AH1097" s="235"/>
      <c r="AI1097" s="235"/>
      <c r="AJ1097" s="235"/>
      <c r="AK1097" s="235"/>
      <c r="AL1097" s="235"/>
      <c r="AM1097" s="235"/>
      <c r="AN1097" s="235"/>
      <c r="AO1097" s="235"/>
      <c r="AP1097" s="235"/>
      <c r="AQ1097" s="235"/>
      <c r="AR1097" s="235"/>
      <c r="AS1097" s="235"/>
      <c r="AT1097" s="235"/>
      <c r="AU1097" s="235"/>
      <c r="AV1097" s="235"/>
      <c r="AW1097" s="235"/>
      <c r="AX1097" s="235"/>
      <c r="AY1097" s="235"/>
      <c r="AZ1097" s="235"/>
      <c r="BA1097" s="235"/>
      <c r="BB1097" s="235"/>
      <c r="BC1097" s="235"/>
      <c r="BD1097" s="235"/>
      <c r="BE1097" s="235"/>
      <c r="BF1097" s="235"/>
      <c r="BG1097" s="235"/>
      <c r="BH1097" s="235"/>
      <c r="BI1097" s="235"/>
      <c r="BJ1097" s="235"/>
      <c r="BK1097" s="235"/>
      <c r="BL1097" s="235"/>
      <c r="BM1097" s="235"/>
      <c r="BN1097" s="235"/>
      <c r="BO1097" s="235"/>
    </row>
    <row r="1098" ht="29.25" hidden="1" customHeight="1">
      <c r="A1098" s="230"/>
      <c r="B1098" s="231"/>
      <c r="C1098" s="179"/>
      <c r="D1098" s="179"/>
      <c r="E1098" s="180"/>
      <c r="F1098" s="162"/>
      <c r="G1098" s="232"/>
      <c r="H1098" s="234"/>
      <c r="I1098" s="181"/>
      <c r="J1098" s="182"/>
      <c r="K1098" s="182"/>
      <c r="L1098" s="182"/>
      <c r="M1098" s="234"/>
      <c r="N1098" s="28"/>
      <c r="O1098" s="181"/>
      <c r="P1098" s="183"/>
      <c r="Q1098" s="104"/>
      <c r="R1098" s="233"/>
      <c r="S1098" s="164"/>
      <c r="T1098" s="164"/>
      <c r="U1098" s="162"/>
      <c r="V1098" s="235"/>
      <c r="W1098" s="235"/>
      <c r="X1098" s="235"/>
      <c r="Y1098" s="235"/>
      <c r="Z1098" s="235"/>
      <c r="AA1098" s="235"/>
      <c r="AB1098" s="235"/>
      <c r="AC1098" s="235"/>
      <c r="AD1098" s="235"/>
      <c r="AE1098" s="235"/>
      <c r="AF1098" s="235"/>
      <c r="AG1098" s="235"/>
      <c r="AH1098" s="235"/>
      <c r="AI1098" s="235"/>
      <c r="AJ1098" s="235"/>
      <c r="AK1098" s="235"/>
      <c r="AL1098" s="235"/>
      <c r="AM1098" s="235"/>
      <c r="AN1098" s="235"/>
      <c r="AO1098" s="235"/>
      <c r="AP1098" s="235"/>
      <c r="AQ1098" s="235"/>
      <c r="AR1098" s="235"/>
      <c r="AS1098" s="235"/>
      <c r="AT1098" s="235"/>
      <c r="AU1098" s="235"/>
      <c r="AV1098" s="235"/>
      <c r="AW1098" s="235"/>
      <c r="AX1098" s="235"/>
      <c r="AY1098" s="235"/>
      <c r="AZ1098" s="235"/>
      <c r="BA1098" s="235"/>
      <c r="BB1098" s="235"/>
      <c r="BC1098" s="235"/>
      <c r="BD1098" s="235"/>
      <c r="BE1098" s="235"/>
      <c r="BF1098" s="235"/>
      <c r="BG1098" s="235"/>
      <c r="BH1098" s="235"/>
      <c r="BI1098" s="235"/>
      <c r="BJ1098" s="235"/>
      <c r="BK1098" s="235"/>
      <c r="BL1098" s="235"/>
      <c r="BM1098" s="235"/>
      <c r="BN1098" s="235"/>
      <c r="BO1098" s="235"/>
    </row>
    <row r="1099" ht="29.25" hidden="1" customHeight="1">
      <c r="A1099" s="230"/>
      <c r="B1099" s="231"/>
      <c r="C1099" s="179"/>
      <c r="D1099" s="179"/>
      <c r="E1099" s="180"/>
      <c r="F1099" s="162"/>
      <c r="G1099" s="232"/>
      <c r="H1099" s="234"/>
      <c r="I1099" s="181"/>
      <c r="J1099" s="182"/>
      <c r="K1099" s="182"/>
      <c r="L1099" s="182"/>
      <c r="M1099" s="234"/>
      <c r="N1099" s="28"/>
      <c r="O1099" s="181"/>
      <c r="P1099" s="183"/>
      <c r="Q1099" s="104"/>
      <c r="R1099" s="233"/>
      <c r="S1099" s="164"/>
      <c r="T1099" s="164"/>
      <c r="U1099" s="162"/>
      <c r="V1099" s="235"/>
      <c r="W1099" s="235"/>
      <c r="X1099" s="235"/>
      <c r="Y1099" s="235"/>
      <c r="Z1099" s="235"/>
      <c r="AA1099" s="235"/>
      <c r="AB1099" s="235"/>
      <c r="AC1099" s="235"/>
      <c r="AD1099" s="235"/>
      <c r="AE1099" s="235"/>
      <c r="AF1099" s="235"/>
      <c r="AG1099" s="235"/>
      <c r="AH1099" s="235"/>
      <c r="AI1099" s="235"/>
      <c r="AJ1099" s="235"/>
      <c r="AK1099" s="235"/>
      <c r="AL1099" s="235"/>
      <c r="AM1099" s="235"/>
      <c r="AN1099" s="235"/>
      <c r="AO1099" s="235"/>
      <c r="AP1099" s="235"/>
      <c r="AQ1099" s="235"/>
      <c r="AR1099" s="235"/>
      <c r="AS1099" s="235"/>
      <c r="AT1099" s="235"/>
      <c r="AU1099" s="235"/>
      <c r="AV1099" s="235"/>
      <c r="AW1099" s="235"/>
      <c r="AX1099" s="235"/>
      <c r="AY1099" s="235"/>
      <c r="AZ1099" s="235"/>
      <c r="BA1099" s="235"/>
      <c r="BB1099" s="235"/>
      <c r="BC1099" s="235"/>
      <c r="BD1099" s="235"/>
      <c r="BE1099" s="235"/>
      <c r="BF1099" s="235"/>
      <c r="BG1099" s="235"/>
      <c r="BH1099" s="235"/>
      <c r="BI1099" s="235"/>
      <c r="BJ1099" s="235"/>
      <c r="BK1099" s="235"/>
      <c r="BL1099" s="235"/>
      <c r="BM1099" s="235"/>
      <c r="BN1099" s="235"/>
      <c r="BO1099" s="235"/>
    </row>
    <row r="1100" ht="29.25" hidden="1" customHeight="1">
      <c r="A1100" s="230"/>
      <c r="B1100" s="231"/>
      <c r="C1100" s="179"/>
      <c r="D1100" s="179"/>
      <c r="E1100" s="180"/>
      <c r="F1100" s="162"/>
      <c r="G1100" s="232"/>
      <c r="H1100" s="234"/>
      <c r="I1100" s="181"/>
      <c r="J1100" s="182"/>
      <c r="K1100" s="182"/>
      <c r="L1100" s="182"/>
      <c r="M1100" s="234"/>
      <c r="N1100" s="28"/>
      <c r="O1100" s="181"/>
      <c r="P1100" s="183"/>
      <c r="Q1100" s="104"/>
      <c r="R1100" s="233"/>
      <c r="S1100" s="164"/>
      <c r="T1100" s="164"/>
      <c r="U1100" s="162"/>
      <c r="V1100" s="235"/>
      <c r="W1100" s="235"/>
      <c r="X1100" s="235"/>
      <c r="Y1100" s="235"/>
      <c r="Z1100" s="235"/>
      <c r="AA1100" s="235"/>
      <c r="AB1100" s="235"/>
      <c r="AC1100" s="235"/>
      <c r="AD1100" s="235"/>
      <c r="AE1100" s="235"/>
      <c r="AF1100" s="235"/>
      <c r="AG1100" s="235"/>
      <c r="AH1100" s="235"/>
      <c r="AI1100" s="235"/>
      <c r="AJ1100" s="235"/>
      <c r="AK1100" s="235"/>
      <c r="AL1100" s="235"/>
      <c r="AM1100" s="235"/>
      <c r="AN1100" s="235"/>
      <c r="AO1100" s="235"/>
      <c r="AP1100" s="235"/>
      <c r="AQ1100" s="235"/>
      <c r="AR1100" s="235"/>
      <c r="AS1100" s="235"/>
      <c r="AT1100" s="235"/>
      <c r="AU1100" s="235"/>
      <c r="AV1100" s="235"/>
      <c r="AW1100" s="235"/>
      <c r="AX1100" s="235"/>
      <c r="AY1100" s="235"/>
      <c r="AZ1100" s="235"/>
      <c r="BA1100" s="235"/>
      <c r="BB1100" s="235"/>
      <c r="BC1100" s="235"/>
      <c r="BD1100" s="235"/>
      <c r="BE1100" s="235"/>
      <c r="BF1100" s="235"/>
      <c r="BG1100" s="235"/>
      <c r="BH1100" s="235"/>
      <c r="BI1100" s="235"/>
      <c r="BJ1100" s="235"/>
      <c r="BK1100" s="235"/>
      <c r="BL1100" s="235"/>
      <c r="BM1100" s="235"/>
      <c r="BN1100" s="235"/>
      <c r="BO1100" s="235"/>
    </row>
    <row r="1101" ht="29.25" hidden="1" customHeight="1">
      <c r="A1101" s="230"/>
      <c r="B1101" s="231"/>
      <c r="C1101" s="179"/>
      <c r="D1101" s="179"/>
      <c r="E1101" s="180"/>
      <c r="F1101" s="162"/>
      <c r="G1101" s="232"/>
      <c r="H1101" s="234"/>
      <c r="I1101" s="181"/>
      <c r="J1101" s="182"/>
      <c r="K1101" s="182"/>
      <c r="L1101" s="182"/>
      <c r="M1101" s="234"/>
      <c r="N1101" s="28"/>
      <c r="O1101" s="181"/>
      <c r="P1101" s="183"/>
      <c r="Q1101" s="104"/>
      <c r="R1101" s="233"/>
      <c r="S1101" s="164"/>
      <c r="T1101" s="164"/>
      <c r="U1101" s="162"/>
      <c r="V1101" s="235"/>
      <c r="W1101" s="235"/>
      <c r="X1101" s="235"/>
      <c r="Y1101" s="235"/>
      <c r="Z1101" s="235"/>
      <c r="AA1101" s="235"/>
      <c r="AB1101" s="235"/>
      <c r="AC1101" s="235"/>
      <c r="AD1101" s="235"/>
      <c r="AE1101" s="235"/>
      <c r="AF1101" s="235"/>
      <c r="AG1101" s="235"/>
      <c r="AH1101" s="235"/>
      <c r="AI1101" s="235"/>
      <c r="AJ1101" s="235"/>
      <c r="AK1101" s="235"/>
      <c r="AL1101" s="235"/>
      <c r="AM1101" s="235"/>
      <c r="AN1101" s="235"/>
      <c r="AO1101" s="235"/>
      <c r="AP1101" s="235"/>
      <c r="AQ1101" s="235"/>
      <c r="AR1101" s="235"/>
      <c r="AS1101" s="235"/>
      <c r="AT1101" s="235"/>
      <c r="AU1101" s="235"/>
      <c r="AV1101" s="235"/>
      <c r="AW1101" s="235"/>
      <c r="AX1101" s="235"/>
      <c r="AY1101" s="235"/>
      <c r="AZ1101" s="235"/>
      <c r="BA1101" s="235"/>
      <c r="BB1101" s="235"/>
      <c r="BC1101" s="235"/>
      <c r="BD1101" s="235"/>
      <c r="BE1101" s="235"/>
      <c r="BF1101" s="235"/>
      <c r="BG1101" s="235"/>
      <c r="BH1101" s="235"/>
      <c r="BI1101" s="235"/>
      <c r="BJ1101" s="235"/>
      <c r="BK1101" s="235"/>
      <c r="BL1101" s="235"/>
      <c r="BM1101" s="235"/>
      <c r="BN1101" s="235"/>
      <c r="BO1101" s="235"/>
    </row>
    <row r="1102" ht="29.25" hidden="1" customHeight="1">
      <c r="A1102" s="230"/>
      <c r="B1102" s="231"/>
      <c r="C1102" s="179"/>
      <c r="D1102" s="179"/>
      <c r="E1102" s="180"/>
      <c r="F1102" s="162"/>
      <c r="G1102" s="232"/>
      <c r="H1102" s="234"/>
      <c r="I1102" s="181"/>
      <c r="J1102" s="182"/>
      <c r="K1102" s="182"/>
      <c r="L1102" s="182"/>
      <c r="M1102" s="234"/>
      <c r="N1102" s="28"/>
      <c r="O1102" s="181"/>
      <c r="P1102" s="183"/>
      <c r="Q1102" s="104"/>
      <c r="R1102" s="233"/>
      <c r="S1102" s="164"/>
      <c r="T1102" s="164"/>
      <c r="U1102" s="162"/>
      <c r="V1102" s="235"/>
      <c r="W1102" s="235"/>
      <c r="X1102" s="235"/>
      <c r="Y1102" s="235"/>
      <c r="Z1102" s="235"/>
      <c r="AA1102" s="235"/>
      <c r="AB1102" s="235"/>
      <c r="AC1102" s="235"/>
      <c r="AD1102" s="235"/>
      <c r="AE1102" s="235"/>
      <c r="AF1102" s="235"/>
      <c r="AG1102" s="235"/>
      <c r="AH1102" s="235"/>
      <c r="AI1102" s="235"/>
      <c r="AJ1102" s="235"/>
      <c r="AK1102" s="235"/>
      <c r="AL1102" s="235"/>
      <c r="AM1102" s="235"/>
      <c r="AN1102" s="235"/>
      <c r="AO1102" s="235"/>
      <c r="AP1102" s="235"/>
      <c r="AQ1102" s="235"/>
      <c r="AR1102" s="235"/>
      <c r="AS1102" s="235"/>
      <c r="AT1102" s="235"/>
      <c r="AU1102" s="235"/>
      <c r="AV1102" s="235"/>
      <c r="AW1102" s="235"/>
      <c r="AX1102" s="235"/>
      <c r="AY1102" s="235"/>
      <c r="AZ1102" s="235"/>
      <c r="BA1102" s="235"/>
      <c r="BB1102" s="235"/>
      <c r="BC1102" s="235"/>
      <c r="BD1102" s="235"/>
      <c r="BE1102" s="235"/>
      <c r="BF1102" s="235"/>
      <c r="BG1102" s="235"/>
      <c r="BH1102" s="235"/>
      <c r="BI1102" s="235"/>
      <c r="BJ1102" s="235"/>
      <c r="BK1102" s="235"/>
      <c r="BL1102" s="235"/>
      <c r="BM1102" s="235"/>
      <c r="BN1102" s="235"/>
      <c r="BO1102" s="235"/>
    </row>
    <row r="1103" ht="29.25" hidden="1" customHeight="1">
      <c r="A1103" s="230"/>
      <c r="B1103" s="231"/>
      <c r="C1103" s="179"/>
      <c r="D1103" s="179"/>
      <c r="E1103" s="180"/>
      <c r="F1103" s="162"/>
      <c r="G1103" s="232"/>
      <c r="H1103" s="234"/>
      <c r="I1103" s="181"/>
      <c r="J1103" s="182"/>
      <c r="K1103" s="182"/>
      <c r="L1103" s="182"/>
      <c r="M1103" s="234"/>
      <c r="N1103" s="28"/>
      <c r="O1103" s="181"/>
      <c r="P1103" s="183"/>
      <c r="Q1103" s="104"/>
      <c r="R1103" s="233"/>
      <c r="S1103" s="164"/>
      <c r="T1103" s="164"/>
      <c r="U1103" s="162"/>
      <c r="V1103" s="235"/>
      <c r="W1103" s="235"/>
      <c r="X1103" s="235"/>
      <c r="Y1103" s="235"/>
      <c r="Z1103" s="235"/>
      <c r="AA1103" s="235"/>
      <c r="AB1103" s="235"/>
      <c r="AC1103" s="235"/>
      <c r="AD1103" s="235"/>
      <c r="AE1103" s="235"/>
      <c r="AF1103" s="235"/>
      <c r="AG1103" s="235"/>
      <c r="AH1103" s="235"/>
      <c r="AI1103" s="235"/>
      <c r="AJ1103" s="235"/>
      <c r="AK1103" s="235"/>
      <c r="AL1103" s="235"/>
      <c r="AM1103" s="235"/>
      <c r="AN1103" s="235"/>
      <c r="AO1103" s="235"/>
      <c r="AP1103" s="235"/>
      <c r="AQ1103" s="235"/>
      <c r="AR1103" s="235"/>
      <c r="AS1103" s="235"/>
      <c r="AT1103" s="235"/>
      <c r="AU1103" s="235"/>
      <c r="AV1103" s="235"/>
      <c r="AW1103" s="235"/>
      <c r="AX1103" s="235"/>
      <c r="AY1103" s="235"/>
      <c r="AZ1103" s="235"/>
      <c r="BA1103" s="235"/>
      <c r="BB1103" s="235"/>
      <c r="BC1103" s="235"/>
      <c r="BD1103" s="235"/>
      <c r="BE1103" s="235"/>
      <c r="BF1103" s="235"/>
      <c r="BG1103" s="235"/>
      <c r="BH1103" s="235"/>
      <c r="BI1103" s="235"/>
      <c r="BJ1103" s="235"/>
      <c r="BK1103" s="235"/>
      <c r="BL1103" s="235"/>
      <c r="BM1103" s="235"/>
      <c r="BN1103" s="235"/>
      <c r="BO1103" s="235"/>
    </row>
    <row r="1104" ht="29.25" hidden="1" customHeight="1">
      <c r="A1104" s="230"/>
      <c r="B1104" s="231"/>
      <c r="C1104" s="179"/>
      <c r="D1104" s="179"/>
      <c r="E1104" s="180"/>
      <c r="F1104" s="162"/>
      <c r="G1104" s="232"/>
      <c r="H1104" s="234"/>
      <c r="I1104" s="181"/>
      <c r="J1104" s="182"/>
      <c r="K1104" s="182"/>
      <c r="L1104" s="182"/>
      <c r="M1104" s="234"/>
      <c r="N1104" s="28"/>
      <c r="O1104" s="181"/>
      <c r="P1104" s="183"/>
      <c r="Q1104" s="104"/>
      <c r="R1104" s="233"/>
      <c r="S1104" s="164"/>
      <c r="T1104" s="164"/>
      <c r="U1104" s="162"/>
      <c r="V1104" s="235"/>
      <c r="W1104" s="235"/>
      <c r="X1104" s="235"/>
      <c r="Y1104" s="235"/>
      <c r="Z1104" s="235"/>
      <c r="AA1104" s="235"/>
      <c r="AB1104" s="235"/>
      <c r="AC1104" s="235"/>
      <c r="AD1104" s="235"/>
      <c r="AE1104" s="235"/>
      <c r="AF1104" s="235"/>
      <c r="AG1104" s="235"/>
      <c r="AH1104" s="235"/>
      <c r="AI1104" s="235"/>
      <c r="AJ1104" s="235"/>
      <c r="AK1104" s="235"/>
      <c r="AL1104" s="235"/>
      <c r="AM1104" s="235"/>
      <c r="AN1104" s="235"/>
      <c r="AO1104" s="235"/>
      <c r="AP1104" s="235"/>
      <c r="AQ1104" s="235"/>
      <c r="AR1104" s="235"/>
      <c r="AS1104" s="235"/>
      <c r="AT1104" s="235"/>
      <c r="AU1104" s="235"/>
      <c r="AV1104" s="235"/>
      <c r="AW1104" s="235"/>
      <c r="AX1104" s="235"/>
      <c r="AY1104" s="235"/>
      <c r="AZ1104" s="235"/>
      <c r="BA1104" s="235"/>
      <c r="BB1104" s="235"/>
      <c r="BC1104" s="235"/>
      <c r="BD1104" s="235"/>
      <c r="BE1104" s="235"/>
      <c r="BF1104" s="235"/>
      <c r="BG1104" s="235"/>
      <c r="BH1104" s="235"/>
      <c r="BI1104" s="235"/>
      <c r="BJ1104" s="235"/>
      <c r="BK1104" s="235"/>
      <c r="BL1104" s="235"/>
      <c r="BM1104" s="235"/>
      <c r="BN1104" s="235"/>
      <c r="BO1104" s="235"/>
    </row>
    <row r="1105" ht="29.25" hidden="1" customHeight="1">
      <c r="A1105" s="230"/>
      <c r="B1105" s="231"/>
      <c r="C1105" s="179"/>
      <c r="D1105" s="179"/>
      <c r="E1105" s="180"/>
      <c r="F1105" s="162"/>
      <c r="G1105" s="232"/>
      <c r="H1105" s="234"/>
      <c r="I1105" s="181"/>
      <c r="J1105" s="182"/>
      <c r="K1105" s="182"/>
      <c r="L1105" s="182"/>
      <c r="M1105" s="234"/>
      <c r="N1105" s="28"/>
      <c r="O1105" s="181"/>
      <c r="P1105" s="183"/>
      <c r="Q1105" s="104"/>
      <c r="R1105" s="233"/>
      <c r="S1105" s="164"/>
      <c r="T1105" s="164"/>
      <c r="U1105" s="162"/>
      <c r="V1105" s="235"/>
      <c r="W1105" s="235"/>
      <c r="X1105" s="235"/>
      <c r="Y1105" s="235"/>
      <c r="Z1105" s="235"/>
      <c r="AA1105" s="235"/>
      <c r="AB1105" s="235"/>
      <c r="AC1105" s="235"/>
      <c r="AD1105" s="235"/>
      <c r="AE1105" s="235"/>
      <c r="AF1105" s="235"/>
      <c r="AG1105" s="235"/>
      <c r="AH1105" s="235"/>
      <c r="AI1105" s="235"/>
      <c r="AJ1105" s="235"/>
      <c r="AK1105" s="235"/>
      <c r="AL1105" s="235"/>
      <c r="AM1105" s="235"/>
      <c r="AN1105" s="235"/>
      <c r="AO1105" s="235"/>
      <c r="AP1105" s="235"/>
      <c r="AQ1105" s="235"/>
      <c r="AR1105" s="235"/>
      <c r="AS1105" s="235"/>
      <c r="AT1105" s="235"/>
      <c r="AU1105" s="235"/>
      <c r="AV1105" s="235"/>
      <c r="AW1105" s="235"/>
      <c r="AX1105" s="235"/>
      <c r="AY1105" s="235"/>
      <c r="AZ1105" s="235"/>
      <c r="BA1105" s="235"/>
      <c r="BB1105" s="235"/>
      <c r="BC1105" s="235"/>
      <c r="BD1105" s="235"/>
      <c r="BE1105" s="235"/>
      <c r="BF1105" s="235"/>
      <c r="BG1105" s="235"/>
      <c r="BH1105" s="235"/>
      <c r="BI1105" s="235"/>
      <c r="BJ1105" s="235"/>
      <c r="BK1105" s="235"/>
      <c r="BL1105" s="235"/>
      <c r="BM1105" s="235"/>
      <c r="BN1105" s="235"/>
      <c r="BO1105" s="235"/>
    </row>
    <row r="1106" ht="29.25" hidden="1" customHeight="1">
      <c r="A1106" s="230"/>
      <c r="B1106" s="231"/>
      <c r="C1106" s="179"/>
      <c r="D1106" s="179"/>
      <c r="E1106" s="180"/>
      <c r="F1106" s="162"/>
      <c r="G1106" s="232"/>
      <c r="H1106" s="234"/>
      <c r="I1106" s="181"/>
      <c r="J1106" s="182"/>
      <c r="K1106" s="182"/>
      <c r="L1106" s="182"/>
      <c r="M1106" s="234"/>
      <c r="N1106" s="28"/>
      <c r="O1106" s="181"/>
      <c r="P1106" s="183"/>
      <c r="Q1106" s="104"/>
      <c r="R1106" s="233"/>
      <c r="S1106" s="164"/>
      <c r="T1106" s="164"/>
      <c r="U1106" s="162"/>
      <c r="V1106" s="235"/>
      <c r="W1106" s="235"/>
      <c r="X1106" s="235"/>
      <c r="Y1106" s="235"/>
      <c r="Z1106" s="235"/>
      <c r="AA1106" s="235"/>
      <c r="AB1106" s="235"/>
      <c r="AC1106" s="235"/>
      <c r="AD1106" s="235"/>
      <c r="AE1106" s="235"/>
      <c r="AF1106" s="235"/>
      <c r="AG1106" s="235"/>
      <c r="AH1106" s="235"/>
      <c r="AI1106" s="235"/>
      <c r="AJ1106" s="235"/>
      <c r="AK1106" s="235"/>
      <c r="AL1106" s="235"/>
      <c r="AM1106" s="235"/>
      <c r="AN1106" s="235"/>
      <c r="AO1106" s="235"/>
      <c r="AP1106" s="235"/>
      <c r="AQ1106" s="235"/>
      <c r="AR1106" s="235"/>
      <c r="AS1106" s="235"/>
      <c r="AT1106" s="235"/>
      <c r="AU1106" s="235"/>
      <c r="AV1106" s="235"/>
      <c r="AW1106" s="235"/>
      <c r="AX1106" s="235"/>
      <c r="AY1106" s="235"/>
      <c r="AZ1106" s="235"/>
      <c r="BA1106" s="235"/>
      <c r="BB1106" s="235"/>
      <c r="BC1106" s="235"/>
      <c r="BD1106" s="235"/>
      <c r="BE1106" s="235"/>
      <c r="BF1106" s="235"/>
      <c r="BG1106" s="235"/>
      <c r="BH1106" s="235"/>
      <c r="BI1106" s="235"/>
      <c r="BJ1106" s="235"/>
      <c r="BK1106" s="235"/>
      <c r="BL1106" s="235"/>
      <c r="BM1106" s="235"/>
      <c r="BN1106" s="235"/>
      <c r="BO1106" s="235"/>
    </row>
    <row r="1107" ht="29.25" hidden="1" customHeight="1">
      <c r="A1107" s="230"/>
      <c r="B1107" s="231"/>
      <c r="C1107" s="179"/>
      <c r="D1107" s="179"/>
      <c r="E1107" s="180"/>
      <c r="F1107" s="162"/>
      <c r="G1107" s="232"/>
      <c r="H1107" s="234"/>
      <c r="I1107" s="181"/>
      <c r="J1107" s="182"/>
      <c r="K1107" s="182"/>
      <c r="L1107" s="182"/>
      <c r="M1107" s="234"/>
      <c r="N1107" s="28"/>
      <c r="O1107" s="181"/>
      <c r="P1107" s="183"/>
      <c r="Q1107" s="104"/>
      <c r="R1107" s="233"/>
      <c r="S1107" s="164"/>
      <c r="T1107" s="164"/>
      <c r="U1107" s="162"/>
      <c r="V1107" s="235"/>
      <c r="W1107" s="235"/>
      <c r="X1107" s="235"/>
      <c r="Y1107" s="235"/>
      <c r="Z1107" s="235"/>
      <c r="AA1107" s="235"/>
      <c r="AB1107" s="235"/>
      <c r="AC1107" s="235"/>
      <c r="AD1107" s="235"/>
      <c r="AE1107" s="235"/>
      <c r="AF1107" s="235"/>
      <c r="AG1107" s="235"/>
      <c r="AH1107" s="235"/>
      <c r="AI1107" s="235"/>
      <c r="AJ1107" s="235"/>
      <c r="AK1107" s="235"/>
      <c r="AL1107" s="235"/>
      <c r="AM1107" s="235"/>
      <c r="AN1107" s="235"/>
      <c r="AO1107" s="235"/>
      <c r="AP1107" s="235"/>
      <c r="AQ1107" s="235"/>
      <c r="AR1107" s="235"/>
      <c r="AS1107" s="235"/>
      <c r="AT1107" s="235"/>
      <c r="AU1107" s="235"/>
      <c r="AV1107" s="235"/>
      <c r="AW1107" s="235"/>
      <c r="AX1107" s="235"/>
      <c r="AY1107" s="235"/>
      <c r="AZ1107" s="235"/>
      <c r="BA1107" s="235"/>
      <c r="BB1107" s="235"/>
      <c r="BC1107" s="235"/>
      <c r="BD1107" s="235"/>
      <c r="BE1107" s="235"/>
      <c r="BF1107" s="235"/>
      <c r="BG1107" s="235"/>
      <c r="BH1107" s="235"/>
      <c r="BI1107" s="235"/>
      <c r="BJ1107" s="235"/>
      <c r="BK1107" s="235"/>
      <c r="BL1107" s="235"/>
      <c r="BM1107" s="235"/>
      <c r="BN1107" s="235"/>
      <c r="BO1107" s="235"/>
    </row>
    <row r="1108" ht="29.25" hidden="1" customHeight="1">
      <c r="A1108" s="230"/>
      <c r="B1108" s="231"/>
      <c r="C1108" s="179"/>
      <c r="D1108" s="179"/>
      <c r="E1108" s="180"/>
      <c r="F1108" s="162"/>
      <c r="G1108" s="232"/>
      <c r="H1108" s="234"/>
      <c r="I1108" s="181"/>
      <c r="J1108" s="182"/>
      <c r="K1108" s="182"/>
      <c r="L1108" s="182"/>
      <c r="M1108" s="234"/>
      <c r="N1108" s="28"/>
      <c r="O1108" s="181"/>
      <c r="P1108" s="183"/>
      <c r="Q1108" s="104"/>
      <c r="R1108" s="233"/>
      <c r="S1108" s="164"/>
      <c r="T1108" s="164"/>
      <c r="U1108" s="162"/>
      <c r="V1108" s="235"/>
      <c r="W1108" s="235"/>
      <c r="X1108" s="235"/>
      <c r="Y1108" s="235"/>
      <c r="Z1108" s="235"/>
      <c r="AA1108" s="235"/>
      <c r="AB1108" s="235"/>
      <c r="AC1108" s="235"/>
      <c r="AD1108" s="235"/>
      <c r="AE1108" s="235"/>
      <c r="AF1108" s="235"/>
      <c r="AG1108" s="235"/>
      <c r="AH1108" s="235"/>
      <c r="AI1108" s="235"/>
      <c r="AJ1108" s="235"/>
      <c r="AK1108" s="235"/>
      <c r="AL1108" s="235"/>
      <c r="AM1108" s="235"/>
      <c r="AN1108" s="235"/>
      <c r="AO1108" s="235"/>
      <c r="AP1108" s="235"/>
      <c r="AQ1108" s="235"/>
      <c r="AR1108" s="235"/>
      <c r="AS1108" s="235"/>
      <c r="AT1108" s="235"/>
      <c r="AU1108" s="235"/>
      <c r="AV1108" s="235"/>
      <c r="AW1108" s="235"/>
      <c r="AX1108" s="235"/>
      <c r="AY1108" s="235"/>
      <c r="AZ1108" s="235"/>
      <c r="BA1108" s="235"/>
      <c r="BB1108" s="235"/>
      <c r="BC1108" s="235"/>
      <c r="BD1108" s="235"/>
      <c r="BE1108" s="235"/>
      <c r="BF1108" s="235"/>
      <c r="BG1108" s="235"/>
      <c r="BH1108" s="235"/>
      <c r="BI1108" s="235"/>
      <c r="BJ1108" s="235"/>
      <c r="BK1108" s="235"/>
      <c r="BL1108" s="235"/>
      <c r="BM1108" s="235"/>
      <c r="BN1108" s="235"/>
      <c r="BO1108" s="235"/>
    </row>
    <row r="1109" ht="29.25" hidden="1" customHeight="1">
      <c r="A1109" s="230"/>
      <c r="B1109" s="231"/>
      <c r="C1109" s="179"/>
      <c r="D1109" s="179"/>
      <c r="E1109" s="180"/>
      <c r="F1109" s="162"/>
      <c r="G1109" s="232"/>
      <c r="H1109" s="234"/>
      <c r="I1109" s="181"/>
      <c r="J1109" s="182"/>
      <c r="K1109" s="182"/>
      <c r="L1109" s="182"/>
      <c r="M1109" s="234"/>
      <c r="N1109" s="28"/>
      <c r="O1109" s="181"/>
      <c r="P1109" s="183"/>
      <c r="Q1109" s="104"/>
      <c r="R1109" s="233"/>
      <c r="S1109" s="164"/>
      <c r="T1109" s="164"/>
      <c r="U1109" s="162"/>
      <c r="V1109" s="235"/>
      <c r="W1109" s="235"/>
      <c r="X1109" s="235"/>
      <c r="Y1109" s="235"/>
      <c r="Z1109" s="235"/>
      <c r="AA1109" s="235"/>
      <c r="AB1109" s="235"/>
      <c r="AC1109" s="235"/>
      <c r="AD1109" s="235"/>
      <c r="AE1109" s="235"/>
      <c r="AF1109" s="235"/>
      <c r="AG1109" s="235"/>
      <c r="AH1109" s="235"/>
      <c r="AI1109" s="235"/>
      <c r="AJ1109" s="235"/>
      <c r="AK1109" s="235"/>
      <c r="AL1109" s="235"/>
      <c r="AM1109" s="235"/>
      <c r="AN1109" s="235"/>
      <c r="AO1109" s="235"/>
      <c r="AP1109" s="235"/>
      <c r="AQ1109" s="235"/>
      <c r="AR1109" s="235"/>
      <c r="AS1109" s="235"/>
      <c r="AT1109" s="235"/>
      <c r="AU1109" s="235"/>
      <c r="AV1109" s="235"/>
      <c r="AW1109" s="235"/>
      <c r="AX1109" s="235"/>
      <c r="AY1109" s="235"/>
      <c r="AZ1109" s="235"/>
      <c r="BA1109" s="235"/>
      <c r="BB1109" s="235"/>
      <c r="BC1109" s="235"/>
      <c r="BD1109" s="235"/>
      <c r="BE1109" s="235"/>
      <c r="BF1109" s="235"/>
      <c r="BG1109" s="235"/>
      <c r="BH1109" s="235"/>
      <c r="BI1109" s="235"/>
      <c r="BJ1109" s="235"/>
      <c r="BK1109" s="235"/>
      <c r="BL1109" s="235"/>
      <c r="BM1109" s="235"/>
      <c r="BN1109" s="235"/>
      <c r="BO1109" s="235"/>
    </row>
    <row r="1110" ht="29.25" hidden="1" customHeight="1">
      <c r="A1110" s="230"/>
      <c r="B1110" s="231"/>
      <c r="C1110" s="179"/>
      <c r="D1110" s="179"/>
      <c r="E1110" s="180"/>
      <c r="F1110" s="162"/>
      <c r="G1110" s="232"/>
      <c r="H1110" s="234"/>
      <c r="I1110" s="181"/>
      <c r="J1110" s="182"/>
      <c r="K1110" s="182"/>
      <c r="L1110" s="182"/>
      <c r="M1110" s="234"/>
      <c r="N1110" s="28"/>
      <c r="O1110" s="181"/>
      <c r="P1110" s="183"/>
      <c r="Q1110" s="104"/>
      <c r="R1110" s="233"/>
      <c r="S1110" s="164"/>
      <c r="T1110" s="164"/>
      <c r="U1110" s="162"/>
      <c r="V1110" s="235"/>
      <c r="W1110" s="235"/>
      <c r="X1110" s="235"/>
      <c r="Y1110" s="235"/>
      <c r="Z1110" s="235"/>
      <c r="AA1110" s="235"/>
      <c r="AB1110" s="235"/>
      <c r="AC1110" s="235"/>
      <c r="AD1110" s="235"/>
      <c r="AE1110" s="235"/>
      <c r="AF1110" s="235"/>
      <c r="AG1110" s="235"/>
      <c r="AH1110" s="235"/>
      <c r="AI1110" s="235"/>
      <c r="AJ1110" s="235"/>
      <c r="AK1110" s="235"/>
      <c r="AL1110" s="235"/>
      <c r="AM1110" s="235"/>
      <c r="AN1110" s="235"/>
      <c r="AO1110" s="235"/>
      <c r="AP1110" s="235"/>
      <c r="AQ1110" s="235"/>
      <c r="AR1110" s="235"/>
      <c r="AS1110" s="235"/>
      <c r="AT1110" s="235"/>
      <c r="AU1110" s="235"/>
      <c r="AV1110" s="235"/>
      <c r="AW1110" s="235"/>
      <c r="AX1110" s="235"/>
      <c r="AY1110" s="235"/>
      <c r="AZ1110" s="235"/>
      <c r="BA1110" s="235"/>
      <c r="BB1110" s="235"/>
      <c r="BC1110" s="235"/>
      <c r="BD1110" s="235"/>
      <c r="BE1110" s="235"/>
      <c r="BF1110" s="235"/>
      <c r="BG1110" s="235"/>
      <c r="BH1110" s="235"/>
      <c r="BI1110" s="235"/>
      <c r="BJ1110" s="235"/>
      <c r="BK1110" s="235"/>
      <c r="BL1110" s="235"/>
      <c r="BM1110" s="235"/>
      <c r="BN1110" s="235"/>
      <c r="BO1110" s="235"/>
    </row>
    <row r="1111" ht="29.25" hidden="1" customHeight="1">
      <c r="A1111" s="230"/>
      <c r="B1111" s="231"/>
      <c r="C1111" s="179"/>
      <c r="D1111" s="179"/>
      <c r="E1111" s="180"/>
      <c r="F1111" s="162"/>
      <c r="G1111" s="232"/>
      <c r="H1111" s="234"/>
      <c r="I1111" s="181"/>
      <c r="J1111" s="182"/>
      <c r="K1111" s="182"/>
      <c r="L1111" s="182"/>
      <c r="M1111" s="234"/>
      <c r="N1111" s="28"/>
      <c r="O1111" s="181"/>
      <c r="P1111" s="183"/>
      <c r="Q1111" s="104"/>
      <c r="R1111" s="233"/>
      <c r="S1111" s="164"/>
      <c r="T1111" s="164"/>
      <c r="U1111" s="162"/>
      <c r="V1111" s="235"/>
      <c r="W1111" s="235"/>
      <c r="X1111" s="235"/>
      <c r="Y1111" s="235"/>
      <c r="Z1111" s="235"/>
      <c r="AA1111" s="235"/>
      <c r="AB1111" s="235"/>
      <c r="AC1111" s="235"/>
      <c r="AD1111" s="235"/>
      <c r="AE1111" s="235"/>
      <c r="AF1111" s="235"/>
      <c r="AG1111" s="235"/>
      <c r="AH1111" s="235"/>
      <c r="AI1111" s="235"/>
      <c r="AJ1111" s="235"/>
      <c r="AK1111" s="235"/>
      <c r="AL1111" s="235"/>
      <c r="AM1111" s="235"/>
      <c r="AN1111" s="235"/>
      <c r="AO1111" s="235"/>
      <c r="AP1111" s="235"/>
      <c r="AQ1111" s="235"/>
      <c r="AR1111" s="235"/>
      <c r="AS1111" s="235"/>
      <c r="AT1111" s="235"/>
      <c r="AU1111" s="235"/>
      <c r="AV1111" s="235"/>
      <c r="AW1111" s="235"/>
      <c r="AX1111" s="235"/>
      <c r="AY1111" s="235"/>
      <c r="AZ1111" s="235"/>
      <c r="BA1111" s="235"/>
      <c r="BB1111" s="235"/>
      <c r="BC1111" s="235"/>
      <c r="BD1111" s="235"/>
      <c r="BE1111" s="235"/>
      <c r="BF1111" s="235"/>
      <c r="BG1111" s="235"/>
      <c r="BH1111" s="235"/>
      <c r="BI1111" s="235"/>
      <c r="BJ1111" s="235"/>
      <c r="BK1111" s="235"/>
      <c r="BL1111" s="235"/>
      <c r="BM1111" s="235"/>
      <c r="BN1111" s="235"/>
      <c r="BO1111" s="235"/>
    </row>
    <row r="1112" ht="29.25" hidden="1" customHeight="1">
      <c r="A1112" s="230"/>
      <c r="B1112" s="231"/>
      <c r="C1112" s="179"/>
      <c r="D1112" s="179"/>
      <c r="E1112" s="180"/>
      <c r="F1112" s="162"/>
      <c r="G1112" s="232"/>
      <c r="H1112" s="234"/>
      <c r="I1112" s="181"/>
      <c r="J1112" s="182"/>
      <c r="K1112" s="182"/>
      <c r="L1112" s="182"/>
      <c r="M1112" s="234"/>
      <c r="N1112" s="28"/>
      <c r="O1112" s="181"/>
      <c r="P1112" s="183"/>
      <c r="Q1112" s="104"/>
      <c r="R1112" s="233"/>
      <c r="S1112" s="164"/>
      <c r="T1112" s="164"/>
      <c r="U1112" s="162"/>
      <c r="V1112" s="235"/>
      <c r="W1112" s="235"/>
      <c r="X1112" s="235"/>
      <c r="Y1112" s="235"/>
      <c r="Z1112" s="235"/>
      <c r="AA1112" s="235"/>
      <c r="AB1112" s="235"/>
      <c r="AC1112" s="235"/>
      <c r="AD1112" s="235"/>
      <c r="AE1112" s="235"/>
      <c r="AF1112" s="235"/>
      <c r="AG1112" s="235"/>
      <c r="AH1112" s="235"/>
      <c r="AI1112" s="235"/>
      <c r="AJ1112" s="235"/>
      <c r="AK1112" s="235"/>
      <c r="AL1112" s="235"/>
      <c r="AM1112" s="235"/>
      <c r="AN1112" s="235"/>
      <c r="AO1112" s="235"/>
      <c r="AP1112" s="235"/>
      <c r="AQ1112" s="235"/>
      <c r="AR1112" s="235"/>
      <c r="AS1112" s="235"/>
      <c r="AT1112" s="235"/>
      <c r="AU1112" s="235"/>
      <c r="AV1112" s="235"/>
      <c r="AW1112" s="235"/>
      <c r="AX1112" s="235"/>
      <c r="AY1112" s="235"/>
      <c r="AZ1112" s="235"/>
      <c r="BA1112" s="235"/>
      <c r="BB1112" s="235"/>
      <c r="BC1112" s="235"/>
      <c r="BD1112" s="235"/>
      <c r="BE1112" s="235"/>
      <c r="BF1112" s="235"/>
      <c r="BG1112" s="235"/>
      <c r="BH1112" s="235"/>
      <c r="BI1112" s="235"/>
      <c r="BJ1112" s="235"/>
      <c r="BK1112" s="235"/>
      <c r="BL1112" s="235"/>
      <c r="BM1112" s="235"/>
      <c r="BN1112" s="235"/>
      <c r="BO1112" s="235"/>
    </row>
    <row r="1113" ht="29.25" hidden="1" customHeight="1">
      <c r="A1113" s="230"/>
      <c r="B1113" s="231"/>
      <c r="C1113" s="179"/>
      <c r="D1113" s="179"/>
      <c r="E1113" s="180"/>
      <c r="F1113" s="162"/>
      <c r="G1113" s="232"/>
      <c r="H1113" s="234"/>
      <c r="I1113" s="181"/>
      <c r="J1113" s="182"/>
      <c r="K1113" s="182"/>
      <c r="L1113" s="182"/>
      <c r="M1113" s="234"/>
      <c r="N1113" s="28"/>
      <c r="O1113" s="181"/>
      <c r="P1113" s="183"/>
      <c r="Q1113" s="104"/>
      <c r="R1113" s="233"/>
      <c r="S1113" s="164"/>
      <c r="T1113" s="164"/>
      <c r="U1113" s="162"/>
      <c r="V1113" s="235"/>
      <c r="W1113" s="235"/>
      <c r="X1113" s="235"/>
      <c r="Y1113" s="235"/>
      <c r="Z1113" s="235"/>
      <c r="AA1113" s="235"/>
      <c r="AB1113" s="235"/>
      <c r="AC1113" s="235"/>
      <c r="AD1113" s="235"/>
      <c r="AE1113" s="235"/>
      <c r="AF1113" s="235"/>
      <c r="AG1113" s="235"/>
      <c r="AH1113" s="235"/>
      <c r="AI1113" s="235"/>
      <c r="AJ1113" s="235"/>
      <c r="AK1113" s="235"/>
      <c r="AL1113" s="235"/>
      <c r="AM1113" s="235"/>
      <c r="AN1113" s="235"/>
      <c r="AO1113" s="235"/>
      <c r="AP1113" s="235"/>
      <c r="AQ1113" s="235"/>
      <c r="AR1113" s="235"/>
      <c r="AS1113" s="235"/>
      <c r="AT1113" s="235"/>
      <c r="AU1113" s="235"/>
      <c r="AV1113" s="235"/>
      <c r="AW1113" s="235"/>
      <c r="AX1113" s="235"/>
      <c r="AY1113" s="235"/>
      <c r="AZ1113" s="235"/>
      <c r="BA1113" s="235"/>
      <c r="BB1113" s="235"/>
      <c r="BC1113" s="235"/>
      <c r="BD1113" s="235"/>
      <c r="BE1113" s="235"/>
      <c r="BF1113" s="235"/>
      <c r="BG1113" s="235"/>
      <c r="BH1113" s="235"/>
      <c r="BI1113" s="235"/>
      <c r="BJ1113" s="235"/>
      <c r="BK1113" s="235"/>
      <c r="BL1113" s="235"/>
      <c r="BM1113" s="235"/>
      <c r="BN1113" s="235"/>
      <c r="BO1113" s="235"/>
    </row>
    <row r="1114" ht="29.25" hidden="1" customHeight="1">
      <c r="A1114" s="230"/>
      <c r="B1114" s="231"/>
      <c r="C1114" s="179"/>
      <c r="D1114" s="179"/>
      <c r="E1114" s="180"/>
      <c r="F1114" s="162"/>
      <c r="G1114" s="232"/>
      <c r="H1114" s="234"/>
      <c r="I1114" s="181"/>
      <c r="J1114" s="182"/>
      <c r="K1114" s="182"/>
      <c r="L1114" s="182"/>
      <c r="M1114" s="234"/>
      <c r="N1114" s="28"/>
      <c r="O1114" s="181"/>
      <c r="P1114" s="183"/>
      <c r="Q1114" s="104"/>
      <c r="R1114" s="233"/>
      <c r="S1114" s="164"/>
      <c r="T1114" s="164"/>
      <c r="U1114" s="162"/>
      <c r="V1114" s="235"/>
      <c r="W1114" s="235"/>
      <c r="X1114" s="235"/>
      <c r="Y1114" s="235"/>
      <c r="Z1114" s="235"/>
      <c r="AA1114" s="235"/>
      <c r="AB1114" s="235"/>
      <c r="AC1114" s="235"/>
      <c r="AD1114" s="235"/>
      <c r="AE1114" s="235"/>
      <c r="AF1114" s="235"/>
      <c r="AG1114" s="235"/>
      <c r="AH1114" s="235"/>
      <c r="AI1114" s="235"/>
      <c r="AJ1114" s="235"/>
      <c r="AK1114" s="235"/>
      <c r="AL1114" s="235"/>
      <c r="AM1114" s="235"/>
      <c r="AN1114" s="235"/>
      <c r="AO1114" s="235"/>
      <c r="AP1114" s="235"/>
      <c r="AQ1114" s="235"/>
      <c r="AR1114" s="235"/>
      <c r="AS1114" s="235"/>
      <c r="AT1114" s="235"/>
      <c r="AU1114" s="235"/>
      <c r="AV1114" s="235"/>
      <c r="AW1114" s="235"/>
      <c r="AX1114" s="235"/>
      <c r="AY1114" s="235"/>
      <c r="AZ1114" s="235"/>
      <c r="BA1114" s="235"/>
      <c r="BB1114" s="235"/>
      <c r="BC1114" s="235"/>
      <c r="BD1114" s="235"/>
      <c r="BE1114" s="235"/>
      <c r="BF1114" s="235"/>
      <c r="BG1114" s="235"/>
      <c r="BH1114" s="235"/>
      <c r="BI1114" s="235"/>
      <c r="BJ1114" s="235"/>
      <c r="BK1114" s="235"/>
      <c r="BL1114" s="235"/>
      <c r="BM1114" s="235"/>
      <c r="BN1114" s="235"/>
      <c r="BO1114" s="235"/>
    </row>
    <row r="1115" ht="29.25" hidden="1" customHeight="1">
      <c r="A1115" s="230"/>
      <c r="B1115" s="231"/>
      <c r="C1115" s="179"/>
      <c r="D1115" s="179"/>
      <c r="E1115" s="180"/>
      <c r="F1115" s="162"/>
      <c r="G1115" s="232"/>
      <c r="H1115" s="234"/>
      <c r="I1115" s="181"/>
      <c r="J1115" s="182"/>
      <c r="K1115" s="182"/>
      <c r="L1115" s="182"/>
      <c r="M1115" s="234"/>
      <c r="N1115" s="28"/>
      <c r="O1115" s="181"/>
      <c r="P1115" s="183"/>
      <c r="Q1115" s="104"/>
      <c r="R1115" s="233"/>
      <c r="S1115" s="164"/>
      <c r="T1115" s="164"/>
      <c r="U1115" s="162"/>
      <c r="V1115" s="235"/>
      <c r="W1115" s="235"/>
      <c r="X1115" s="235"/>
      <c r="Y1115" s="235"/>
      <c r="Z1115" s="235"/>
      <c r="AA1115" s="235"/>
      <c r="AB1115" s="235"/>
      <c r="AC1115" s="235"/>
      <c r="AD1115" s="235"/>
      <c r="AE1115" s="235"/>
      <c r="AF1115" s="235"/>
      <c r="AG1115" s="235"/>
      <c r="AH1115" s="235"/>
      <c r="AI1115" s="235"/>
      <c r="AJ1115" s="235"/>
      <c r="AK1115" s="235"/>
      <c r="AL1115" s="235"/>
      <c r="AM1115" s="235"/>
      <c r="AN1115" s="235"/>
      <c r="AO1115" s="235"/>
      <c r="AP1115" s="235"/>
      <c r="AQ1115" s="235"/>
      <c r="AR1115" s="235"/>
      <c r="AS1115" s="235"/>
      <c r="AT1115" s="235"/>
      <c r="AU1115" s="235"/>
      <c r="AV1115" s="235"/>
      <c r="AW1115" s="235"/>
      <c r="AX1115" s="235"/>
      <c r="AY1115" s="235"/>
      <c r="AZ1115" s="235"/>
      <c r="BA1115" s="235"/>
      <c r="BB1115" s="235"/>
      <c r="BC1115" s="235"/>
      <c r="BD1115" s="235"/>
      <c r="BE1115" s="235"/>
      <c r="BF1115" s="235"/>
      <c r="BG1115" s="235"/>
      <c r="BH1115" s="235"/>
      <c r="BI1115" s="235"/>
      <c r="BJ1115" s="235"/>
      <c r="BK1115" s="235"/>
      <c r="BL1115" s="235"/>
      <c r="BM1115" s="235"/>
      <c r="BN1115" s="235"/>
      <c r="BO1115" s="235"/>
    </row>
    <row r="1116" ht="29.25" hidden="1" customHeight="1">
      <c r="A1116" s="230"/>
      <c r="B1116" s="231"/>
      <c r="C1116" s="179"/>
      <c r="D1116" s="179"/>
      <c r="E1116" s="180"/>
      <c r="F1116" s="162"/>
      <c r="G1116" s="232"/>
      <c r="H1116" s="234"/>
      <c r="I1116" s="181"/>
      <c r="J1116" s="182"/>
      <c r="K1116" s="182"/>
      <c r="L1116" s="182"/>
      <c r="M1116" s="234"/>
      <c r="N1116" s="28"/>
      <c r="O1116" s="181"/>
      <c r="P1116" s="183"/>
      <c r="Q1116" s="104"/>
      <c r="R1116" s="233"/>
      <c r="S1116" s="164"/>
      <c r="T1116" s="164"/>
      <c r="U1116" s="162"/>
      <c r="V1116" s="235"/>
      <c r="W1116" s="235"/>
      <c r="X1116" s="235"/>
      <c r="Y1116" s="235"/>
      <c r="Z1116" s="235"/>
      <c r="AA1116" s="235"/>
      <c r="AB1116" s="235"/>
      <c r="AC1116" s="235"/>
      <c r="AD1116" s="235"/>
      <c r="AE1116" s="235"/>
      <c r="AF1116" s="235"/>
      <c r="AG1116" s="235"/>
      <c r="AH1116" s="235"/>
      <c r="AI1116" s="235"/>
      <c r="AJ1116" s="235"/>
      <c r="AK1116" s="235"/>
      <c r="AL1116" s="235"/>
      <c r="AM1116" s="235"/>
      <c r="AN1116" s="235"/>
      <c r="AO1116" s="235"/>
      <c r="AP1116" s="235"/>
      <c r="AQ1116" s="235"/>
      <c r="AR1116" s="235"/>
      <c r="AS1116" s="235"/>
      <c r="AT1116" s="235"/>
      <c r="AU1116" s="235"/>
      <c r="AV1116" s="235"/>
      <c r="AW1116" s="235"/>
      <c r="AX1116" s="235"/>
      <c r="AY1116" s="235"/>
      <c r="AZ1116" s="235"/>
      <c r="BA1116" s="235"/>
      <c r="BB1116" s="235"/>
      <c r="BC1116" s="235"/>
      <c r="BD1116" s="235"/>
      <c r="BE1116" s="235"/>
      <c r="BF1116" s="235"/>
      <c r="BG1116" s="235"/>
      <c r="BH1116" s="235"/>
      <c r="BI1116" s="235"/>
      <c r="BJ1116" s="235"/>
      <c r="BK1116" s="235"/>
      <c r="BL1116" s="235"/>
      <c r="BM1116" s="235"/>
      <c r="BN1116" s="235"/>
      <c r="BO1116" s="235"/>
    </row>
    <row r="1117" ht="29.25" hidden="1" customHeight="1">
      <c r="A1117" s="230"/>
      <c r="B1117" s="231"/>
      <c r="C1117" s="179"/>
      <c r="D1117" s="179"/>
      <c r="E1117" s="180"/>
      <c r="F1117" s="162"/>
      <c r="G1117" s="232"/>
      <c r="H1117" s="234"/>
      <c r="I1117" s="181"/>
      <c r="J1117" s="182"/>
      <c r="K1117" s="182"/>
      <c r="L1117" s="182"/>
      <c r="M1117" s="234"/>
      <c r="N1117" s="28"/>
      <c r="O1117" s="181"/>
      <c r="P1117" s="183"/>
      <c r="Q1117" s="104"/>
      <c r="R1117" s="233"/>
      <c r="S1117" s="164"/>
      <c r="T1117" s="164"/>
      <c r="U1117" s="162"/>
      <c r="V1117" s="235"/>
      <c r="W1117" s="235"/>
      <c r="X1117" s="235"/>
      <c r="Y1117" s="235"/>
      <c r="Z1117" s="235"/>
      <c r="AA1117" s="235"/>
      <c r="AB1117" s="235"/>
      <c r="AC1117" s="235"/>
      <c r="AD1117" s="235"/>
      <c r="AE1117" s="235"/>
      <c r="AF1117" s="235"/>
      <c r="AG1117" s="235"/>
      <c r="AH1117" s="235"/>
      <c r="AI1117" s="235"/>
      <c r="AJ1117" s="235"/>
      <c r="AK1117" s="235"/>
      <c r="AL1117" s="235"/>
      <c r="AM1117" s="235"/>
      <c r="AN1117" s="235"/>
      <c r="AO1117" s="235"/>
      <c r="AP1117" s="235"/>
      <c r="AQ1117" s="235"/>
      <c r="AR1117" s="235"/>
      <c r="AS1117" s="235"/>
      <c r="AT1117" s="235"/>
      <c r="AU1117" s="235"/>
      <c r="AV1117" s="235"/>
      <c r="AW1117" s="235"/>
      <c r="AX1117" s="235"/>
      <c r="AY1117" s="235"/>
      <c r="AZ1117" s="235"/>
      <c r="BA1117" s="235"/>
      <c r="BB1117" s="235"/>
      <c r="BC1117" s="235"/>
      <c r="BD1117" s="235"/>
      <c r="BE1117" s="235"/>
      <c r="BF1117" s="235"/>
      <c r="BG1117" s="235"/>
      <c r="BH1117" s="235"/>
      <c r="BI1117" s="235"/>
      <c r="BJ1117" s="235"/>
      <c r="BK1117" s="235"/>
      <c r="BL1117" s="235"/>
      <c r="BM1117" s="235"/>
      <c r="BN1117" s="235"/>
      <c r="BO1117" s="235"/>
    </row>
    <row r="1118" ht="29.25" hidden="1" customHeight="1">
      <c r="A1118" s="230"/>
      <c r="B1118" s="231"/>
      <c r="C1118" s="179"/>
      <c r="D1118" s="179"/>
      <c r="E1118" s="180"/>
      <c r="F1118" s="162"/>
      <c r="G1118" s="232"/>
      <c r="H1118" s="234"/>
      <c r="I1118" s="181"/>
      <c r="J1118" s="182"/>
      <c r="K1118" s="182"/>
      <c r="L1118" s="182"/>
      <c r="M1118" s="234"/>
      <c r="N1118" s="28"/>
      <c r="O1118" s="181"/>
      <c r="P1118" s="183"/>
      <c r="Q1118" s="104"/>
      <c r="R1118" s="233"/>
      <c r="S1118" s="164"/>
      <c r="T1118" s="164"/>
      <c r="U1118" s="162"/>
      <c r="V1118" s="235"/>
      <c r="W1118" s="235"/>
      <c r="X1118" s="235"/>
      <c r="Y1118" s="235"/>
      <c r="Z1118" s="235"/>
      <c r="AA1118" s="235"/>
      <c r="AB1118" s="235"/>
      <c r="AC1118" s="235"/>
      <c r="AD1118" s="235"/>
      <c r="AE1118" s="235"/>
      <c r="AF1118" s="235"/>
      <c r="AG1118" s="235"/>
      <c r="AH1118" s="235"/>
      <c r="AI1118" s="235"/>
      <c r="AJ1118" s="235"/>
      <c r="AK1118" s="235"/>
      <c r="AL1118" s="235"/>
      <c r="AM1118" s="235"/>
      <c r="AN1118" s="235"/>
      <c r="AO1118" s="235"/>
      <c r="AP1118" s="235"/>
      <c r="AQ1118" s="235"/>
      <c r="AR1118" s="235"/>
      <c r="AS1118" s="235"/>
      <c r="AT1118" s="235"/>
      <c r="AU1118" s="235"/>
      <c r="AV1118" s="235"/>
      <c r="AW1118" s="235"/>
      <c r="AX1118" s="235"/>
      <c r="AY1118" s="235"/>
      <c r="AZ1118" s="235"/>
      <c r="BA1118" s="235"/>
      <c r="BB1118" s="235"/>
      <c r="BC1118" s="235"/>
      <c r="BD1118" s="235"/>
      <c r="BE1118" s="235"/>
      <c r="BF1118" s="235"/>
      <c r="BG1118" s="235"/>
      <c r="BH1118" s="235"/>
      <c r="BI1118" s="235"/>
      <c r="BJ1118" s="235"/>
      <c r="BK1118" s="235"/>
      <c r="BL1118" s="235"/>
      <c r="BM1118" s="235"/>
      <c r="BN1118" s="235"/>
      <c r="BO1118" s="235"/>
    </row>
    <row r="1119" ht="29.25" hidden="1" customHeight="1">
      <c r="A1119" s="230"/>
      <c r="B1119" s="231"/>
      <c r="C1119" s="179"/>
      <c r="D1119" s="179"/>
      <c r="E1119" s="180"/>
      <c r="F1119" s="162"/>
      <c r="G1119" s="232"/>
      <c r="H1119" s="234"/>
      <c r="I1119" s="181"/>
      <c r="J1119" s="182"/>
      <c r="K1119" s="182"/>
      <c r="L1119" s="182"/>
      <c r="M1119" s="234"/>
      <c r="N1119" s="28"/>
      <c r="O1119" s="181"/>
      <c r="P1119" s="183"/>
      <c r="Q1119" s="104"/>
      <c r="R1119" s="233"/>
      <c r="S1119" s="164"/>
      <c r="T1119" s="164"/>
      <c r="U1119" s="162"/>
      <c r="V1119" s="235"/>
      <c r="W1119" s="235"/>
      <c r="X1119" s="235"/>
      <c r="Y1119" s="235"/>
      <c r="Z1119" s="235"/>
      <c r="AA1119" s="235"/>
      <c r="AB1119" s="235"/>
      <c r="AC1119" s="235"/>
      <c r="AD1119" s="235"/>
      <c r="AE1119" s="235"/>
      <c r="AF1119" s="235"/>
      <c r="AG1119" s="235"/>
      <c r="AH1119" s="235"/>
      <c r="AI1119" s="235"/>
      <c r="AJ1119" s="235"/>
      <c r="AK1119" s="235"/>
      <c r="AL1119" s="235"/>
      <c r="AM1119" s="235"/>
      <c r="AN1119" s="235"/>
      <c r="AO1119" s="235"/>
      <c r="AP1119" s="235"/>
      <c r="AQ1119" s="235"/>
      <c r="AR1119" s="235"/>
      <c r="AS1119" s="235"/>
      <c r="AT1119" s="235"/>
      <c r="AU1119" s="235"/>
      <c r="AV1119" s="235"/>
      <c r="AW1119" s="235"/>
      <c r="AX1119" s="235"/>
      <c r="AY1119" s="235"/>
      <c r="AZ1119" s="235"/>
      <c r="BA1119" s="235"/>
      <c r="BB1119" s="235"/>
      <c r="BC1119" s="235"/>
      <c r="BD1119" s="235"/>
      <c r="BE1119" s="235"/>
      <c r="BF1119" s="235"/>
      <c r="BG1119" s="235"/>
      <c r="BH1119" s="235"/>
      <c r="BI1119" s="235"/>
      <c r="BJ1119" s="235"/>
      <c r="BK1119" s="235"/>
      <c r="BL1119" s="235"/>
      <c r="BM1119" s="235"/>
      <c r="BN1119" s="235"/>
      <c r="BO1119" s="235"/>
    </row>
    <row r="1120" ht="29.25" hidden="1" customHeight="1">
      <c r="A1120" s="230"/>
      <c r="B1120" s="231"/>
      <c r="C1120" s="179"/>
      <c r="D1120" s="179"/>
      <c r="E1120" s="180"/>
      <c r="F1120" s="162"/>
      <c r="G1120" s="232"/>
      <c r="H1120" s="234"/>
      <c r="I1120" s="181"/>
      <c r="J1120" s="182"/>
      <c r="K1120" s="182"/>
      <c r="L1120" s="182"/>
      <c r="M1120" s="234"/>
      <c r="N1120" s="28"/>
      <c r="O1120" s="181"/>
      <c r="P1120" s="183"/>
      <c r="Q1120" s="104"/>
      <c r="R1120" s="233"/>
      <c r="S1120" s="164"/>
      <c r="T1120" s="164"/>
      <c r="U1120" s="162"/>
      <c r="V1120" s="235"/>
      <c r="W1120" s="235"/>
      <c r="X1120" s="235"/>
      <c r="Y1120" s="235"/>
      <c r="Z1120" s="235"/>
      <c r="AA1120" s="235"/>
      <c r="AB1120" s="235"/>
      <c r="AC1120" s="235"/>
      <c r="AD1120" s="235"/>
      <c r="AE1120" s="235"/>
      <c r="AF1120" s="235"/>
      <c r="AG1120" s="235"/>
      <c r="AH1120" s="235"/>
      <c r="AI1120" s="235"/>
      <c r="AJ1120" s="235"/>
      <c r="AK1120" s="235"/>
      <c r="AL1120" s="235"/>
      <c r="AM1120" s="235"/>
      <c r="AN1120" s="235"/>
      <c r="AO1120" s="235"/>
      <c r="AP1120" s="235"/>
      <c r="AQ1120" s="235"/>
      <c r="AR1120" s="235"/>
      <c r="AS1120" s="235"/>
      <c r="AT1120" s="235"/>
      <c r="AU1120" s="235"/>
      <c r="AV1120" s="235"/>
      <c r="AW1120" s="235"/>
      <c r="AX1120" s="235"/>
      <c r="AY1120" s="235"/>
      <c r="AZ1120" s="235"/>
      <c r="BA1120" s="235"/>
      <c r="BB1120" s="235"/>
      <c r="BC1120" s="235"/>
      <c r="BD1120" s="235"/>
      <c r="BE1120" s="235"/>
      <c r="BF1120" s="235"/>
      <c r="BG1120" s="235"/>
      <c r="BH1120" s="235"/>
      <c r="BI1120" s="235"/>
      <c r="BJ1120" s="235"/>
      <c r="BK1120" s="235"/>
      <c r="BL1120" s="235"/>
      <c r="BM1120" s="235"/>
      <c r="BN1120" s="235"/>
      <c r="BO1120" s="235"/>
    </row>
    <row r="1121" ht="29.25" hidden="1" customHeight="1">
      <c r="A1121" s="230"/>
      <c r="B1121" s="231"/>
      <c r="C1121" s="179"/>
      <c r="D1121" s="179"/>
      <c r="E1121" s="180"/>
      <c r="F1121" s="162"/>
      <c r="G1121" s="232"/>
      <c r="H1121" s="234"/>
      <c r="I1121" s="181"/>
      <c r="J1121" s="182"/>
      <c r="K1121" s="182"/>
      <c r="L1121" s="182"/>
      <c r="M1121" s="234"/>
      <c r="N1121" s="28"/>
      <c r="O1121" s="181"/>
      <c r="P1121" s="183"/>
      <c r="Q1121" s="104"/>
      <c r="R1121" s="233"/>
      <c r="S1121" s="164"/>
      <c r="T1121" s="164"/>
      <c r="U1121" s="162"/>
      <c r="V1121" s="235"/>
      <c r="W1121" s="235"/>
      <c r="X1121" s="235"/>
      <c r="Y1121" s="235"/>
      <c r="Z1121" s="235"/>
      <c r="AA1121" s="235"/>
      <c r="AB1121" s="235"/>
      <c r="AC1121" s="235"/>
      <c r="AD1121" s="235"/>
      <c r="AE1121" s="235"/>
      <c r="AF1121" s="235"/>
      <c r="AG1121" s="235"/>
      <c r="AH1121" s="235"/>
      <c r="AI1121" s="235"/>
      <c r="AJ1121" s="235"/>
      <c r="AK1121" s="235"/>
      <c r="AL1121" s="235"/>
      <c r="AM1121" s="235"/>
      <c r="AN1121" s="235"/>
      <c r="AO1121" s="235"/>
      <c r="AP1121" s="235"/>
      <c r="AQ1121" s="235"/>
      <c r="AR1121" s="235"/>
      <c r="AS1121" s="235"/>
      <c r="AT1121" s="235"/>
      <c r="AU1121" s="235"/>
      <c r="AV1121" s="235"/>
      <c r="AW1121" s="235"/>
      <c r="AX1121" s="235"/>
      <c r="AY1121" s="235"/>
      <c r="AZ1121" s="235"/>
      <c r="BA1121" s="235"/>
      <c r="BB1121" s="235"/>
      <c r="BC1121" s="235"/>
      <c r="BD1121" s="235"/>
      <c r="BE1121" s="235"/>
      <c r="BF1121" s="235"/>
      <c r="BG1121" s="235"/>
      <c r="BH1121" s="235"/>
      <c r="BI1121" s="235"/>
      <c r="BJ1121" s="235"/>
      <c r="BK1121" s="235"/>
      <c r="BL1121" s="235"/>
      <c r="BM1121" s="235"/>
      <c r="BN1121" s="235"/>
      <c r="BO1121" s="235"/>
    </row>
    <row r="1122" ht="29.25" hidden="1" customHeight="1">
      <c r="A1122" s="230"/>
      <c r="B1122" s="231"/>
      <c r="C1122" s="179"/>
      <c r="D1122" s="179"/>
      <c r="E1122" s="180"/>
      <c r="F1122" s="162"/>
      <c r="G1122" s="232"/>
      <c r="H1122" s="234"/>
      <c r="I1122" s="181"/>
      <c r="J1122" s="182"/>
      <c r="K1122" s="182"/>
      <c r="L1122" s="182"/>
      <c r="M1122" s="234"/>
      <c r="N1122" s="28"/>
      <c r="O1122" s="181"/>
      <c r="P1122" s="183"/>
      <c r="Q1122" s="104"/>
      <c r="R1122" s="233"/>
      <c r="S1122" s="164"/>
      <c r="T1122" s="164"/>
      <c r="U1122" s="162"/>
      <c r="V1122" s="235"/>
      <c r="W1122" s="235"/>
      <c r="X1122" s="235"/>
      <c r="Y1122" s="235"/>
      <c r="Z1122" s="235"/>
      <c r="AA1122" s="235"/>
      <c r="AB1122" s="235"/>
      <c r="AC1122" s="235"/>
      <c r="AD1122" s="235"/>
      <c r="AE1122" s="235"/>
      <c r="AF1122" s="235"/>
      <c r="AG1122" s="235"/>
      <c r="AH1122" s="235"/>
      <c r="AI1122" s="235"/>
      <c r="AJ1122" s="235"/>
      <c r="AK1122" s="235"/>
      <c r="AL1122" s="235"/>
      <c r="AM1122" s="235"/>
      <c r="AN1122" s="235"/>
      <c r="AO1122" s="235"/>
      <c r="AP1122" s="235"/>
      <c r="AQ1122" s="235"/>
      <c r="AR1122" s="235"/>
      <c r="AS1122" s="235"/>
      <c r="AT1122" s="235"/>
      <c r="AU1122" s="235"/>
      <c r="AV1122" s="235"/>
      <c r="AW1122" s="235"/>
      <c r="AX1122" s="235"/>
      <c r="AY1122" s="235"/>
      <c r="AZ1122" s="235"/>
      <c r="BA1122" s="235"/>
      <c r="BB1122" s="235"/>
      <c r="BC1122" s="235"/>
      <c r="BD1122" s="235"/>
      <c r="BE1122" s="235"/>
      <c r="BF1122" s="235"/>
      <c r="BG1122" s="235"/>
      <c r="BH1122" s="235"/>
      <c r="BI1122" s="235"/>
      <c r="BJ1122" s="235"/>
      <c r="BK1122" s="235"/>
      <c r="BL1122" s="235"/>
      <c r="BM1122" s="235"/>
      <c r="BN1122" s="235"/>
      <c r="BO1122" s="235"/>
    </row>
    <row r="1123" ht="29.25" hidden="1" customHeight="1">
      <c r="A1123" s="230"/>
      <c r="B1123" s="231"/>
      <c r="C1123" s="179"/>
      <c r="D1123" s="179"/>
      <c r="E1123" s="180"/>
      <c r="F1123" s="162"/>
      <c r="G1123" s="232"/>
      <c r="H1123" s="234"/>
      <c r="I1123" s="181"/>
      <c r="J1123" s="182"/>
      <c r="K1123" s="182"/>
      <c r="L1123" s="182"/>
      <c r="M1123" s="234"/>
      <c r="N1123" s="28"/>
      <c r="O1123" s="181"/>
      <c r="P1123" s="183"/>
      <c r="Q1123" s="104"/>
      <c r="R1123" s="233"/>
      <c r="S1123" s="164"/>
      <c r="T1123" s="164"/>
      <c r="U1123" s="162"/>
      <c r="V1123" s="235"/>
      <c r="W1123" s="235"/>
      <c r="X1123" s="235"/>
      <c r="Y1123" s="235"/>
      <c r="Z1123" s="235"/>
      <c r="AA1123" s="235"/>
      <c r="AB1123" s="235"/>
      <c r="AC1123" s="235"/>
      <c r="AD1123" s="235"/>
      <c r="AE1123" s="235"/>
      <c r="AF1123" s="235"/>
      <c r="AG1123" s="235"/>
      <c r="AH1123" s="235"/>
      <c r="AI1123" s="235"/>
      <c r="AJ1123" s="235"/>
      <c r="AK1123" s="235"/>
      <c r="AL1123" s="235"/>
      <c r="AM1123" s="235"/>
      <c r="AN1123" s="235"/>
      <c r="AO1123" s="235"/>
      <c r="AP1123" s="235"/>
      <c r="AQ1123" s="235"/>
      <c r="AR1123" s="235"/>
      <c r="AS1123" s="235"/>
      <c r="AT1123" s="235"/>
      <c r="AU1123" s="235"/>
      <c r="AV1123" s="235"/>
      <c r="AW1123" s="235"/>
      <c r="AX1123" s="235"/>
      <c r="AY1123" s="235"/>
      <c r="AZ1123" s="235"/>
      <c r="BA1123" s="235"/>
      <c r="BB1123" s="235"/>
      <c r="BC1123" s="235"/>
      <c r="BD1123" s="235"/>
      <c r="BE1123" s="235"/>
      <c r="BF1123" s="235"/>
      <c r="BG1123" s="235"/>
      <c r="BH1123" s="235"/>
      <c r="BI1123" s="235"/>
      <c r="BJ1123" s="235"/>
      <c r="BK1123" s="235"/>
      <c r="BL1123" s="235"/>
      <c r="BM1123" s="235"/>
      <c r="BN1123" s="235"/>
      <c r="BO1123" s="235"/>
    </row>
    <row r="1124" ht="29.25" hidden="1" customHeight="1">
      <c r="A1124" s="230"/>
      <c r="B1124" s="231"/>
      <c r="C1124" s="179"/>
      <c r="D1124" s="179"/>
      <c r="E1124" s="180"/>
      <c r="F1124" s="162"/>
      <c r="G1124" s="232"/>
      <c r="H1124" s="234"/>
      <c r="I1124" s="181"/>
      <c r="J1124" s="182"/>
      <c r="K1124" s="182"/>
      <c r="L1124" s="182"/>
      <c r="M1124" s="234"/>
      <c r="N1124" s="28"/>
      <c r="O1124" s="181"/>
      <c r="P1124" s="183"/>
      <c r="Q1124" s="104"/>
      <c r="R1124" s="233"/>
      <c r="S1124" s="164"/>
      <c r="T1124" s="164"/>
      <c r="U1124" s="162"/>
      <c r="V1124" s="235"/>
      <c r="W1124" s="235"/>
      <c r="X1124" s="235"/>
      <c r="Y1124" s="235"/>
      <c r="Z1124" s="235"/>
      <c r="AA1124" s="235"/>
      <c r="AB1124" s="235"/>
      <c r="AC1124" s="235"/>
      <c r="AD1124" s="235"/>
      <c r="AE1124" s="235"/>
      <c r="AF1124" s="235"/>
      <c r="AG1124" s="235"/>
      <c r="AH1124" s="235"/>
      <c r="AI1124" s="235"/>
      <c r="AJ1124" s="235"/>
      <c r="AK1124" s="235"/>
      <c r="AL1124" s="235"/>
      <c r="AM1124" s="235"/>
      <c r="AN1124" s="235"/>
      <c r="AO1124" s="235"/>
      <c r="AP1124" s="235"/>
      <c r="AQ1124" s="235"/>
      <c r="AR1124" s="235"/>
      <c r="AS1124" s="235"/>
      <c r="AT1124" s="235"/>
      <c r="AU1124" s="235"/>
      <c r="AV1124" s="235"/>
      <c r="AW1124" s="235"/>
      <c r="AX1124" s="235"/>
      <c r="AY1124" s="235"/>
      <c r="AZ1124" s="235"/>
      <c r="BA1124" s="235"/>
      <c r="BB1124" s="235"/>
      <c r="BC1124" s="235"/>
      <c r="BD1124" s="235"/>
      <c r="BE1124" s="235"/>
      <c r="BF1124" s="235"/>
      <c r="BG1124" s="235"/>
      <c r="BH1124" s="235"/>
      <c r="BI1124" s="235"/>
      <c r="BJ1124" s="235"/>
      <c r="BK1124" s="235"/>
      <c r="BL1124" s="235"/>
      <c r="BM1124" s="235"/>
      <c r="BN1124" s="235"/>
      <c r="BO1124" s="235"/>
    </row>
    <row r="1125" ht="29.25" hidden="1" customHeight="1">
      <c r="A1125" s="230"/>
      <c r="B1125" s="231"/>
      <c r="C1125" s="179"/>
      <c r="D1125" s="179"/>
      <c r="E1125" s="180"/>
      <c r="F1125" s="162"/>
      <c r="G1125" s="232"/>
      <c r="H1125" s="234"/>
      <c r="I1125" s="181"/>
      <c r="J1125" s="182"/>
      <c r="K1125" s="182"/>
      <c r="L1125" s="182"/>
      <c r="M1125" s="234"/>
      <c r="N1125" s="28"/>
      <c r="O1125" s="181"/>
      <c r="P1125" s="183"/>
      <c r="Q1125" s="104"/>
      <c r="R1125" s="233"/>
      <c r="S1125" s="164"/>
      <c r="T1125" s="164"/>
      <c r="U1125" s="162"/>
      <c r="V1125" s="235"/>
      <c r="W1125" s="235"/>
      <c r="X1125" s="235"/>
      <c r="Y1125" s="235"/>
      <c r="Z1125" s="235"/>
      <c r="AA1125" s="235"/>
      <c r="AB1125" s="235"/>
      <c r="AC1125" s="235"/>
      <c r="AD1125" s="235"/>
      <c r="AE1125" s="235"/>
      <c r="AF1125" s="235"/>
      <c r="AG1125" s="235"/>
      <c r="AH1125" s="235"/>
      <c r="AI1125" s="235"/>
      <c r="AJ1125" s="235"/>
      <c r="AK1125" s="235"/>
      <c r="AL1125" s="235"/>
      <c r="AM1125" s="235"/>
      <c r="AN1125" s="235"/>
      <c r="AO1125" s="235"/>
      <c r="AP1125" s="235"/>
      <c r="AQ1125" s="235"/>
      <c r="AR1125" s="235"/>
      <c r="AS1125" s="235"/>
      <c r="AT1125" s="235"/>
      <c r="AU1125" s="235"/>
      <c r="AV1125" s="235"/>
      <c r="AW1125" s="235"/>
      <c r="AX1125" s="235"/>
      <c r="AY1125" s="235"/>
      <c r="AZ1125" s="235"/>
      <c r="BA1125" s="235"/>
      <c r="BB1125" s="235"/>
      <c r="BC1125" s="235"/>
      <c r="BD1125" s="235"/>
      <c r="BE1125" s="235"/>
      <c r="BF1125" s="235"/>
      <c r="BG1125" s="235"/>
      <c r="BH1125" s="235"/>
      <c r="BI1125" s="235"/>
      <c r="BJ1125" s="235"/>
      <c r="BK1125" s="235"/>
      <c r="BL1125" s="235"/>
      <c r="BM1125" s="235"/>
      <c r="BN1125" s="235"/>
      <c r="BO1125" s="235"/>
    </row>
    <row r="1126" ht="29.25" hidden="1" customHeight="1">
      <c r="A1126" s="230"/>
      <c r="B1126" s="231"/>
      <c r="C1126" s="179"/>
      <c r="D1126" s="179"/>
      <c r="E1126" s="180"/>
      <c r="F1126" s="162"/>
      <c r="G1126" s="232"/>
      <c r="H1126" s="234"/>
      <c r="I1126" s="181"/>
      <c r="J1126" s="182"/>
      <c r="K1126" s="182"/>
      <c r="L1126" s="182"/>
      <c r="M1126" s="234"/>
      <c r="N1126" s="28"/>
      <c r="O1126" s="181"/>
      <c r="P1126" s="183"/>
      <c r="Q1126" s="104"/>
      <c r="R1126" s="233"/>
      <c r="S1126" s="164"/>
      <c r="T1126" s="164"/>
      <c r="U1126" s="162"/>
      <c r="V1126" s="235"/>
      <c r="W1126" s="235"/>
      <c r="X1126" s="235"/>
      <c r="Y1126" s="235"/>
      <c r="Z1126" s="235"/>
      <c r="AA1126" s="235"/>
      <c r="AB1126" s="235"/>
      <c r="AC1126" s="235"/>
      <c r="AD1126" s="235"/>
      <c r="AE1126" s="235"/>
      <c r="AF1126" s="235"/>
      <c r="AG1126" s="235"/>
      <c r="AH1126" s="235"/>
      <c r="AI1126" s="235"/>
      <c r="AJ1126" s="235"/>
      <c r="AK1126" s="235"/>
      <c r="AL1126" s="235"/>
      <c r="AM1126" s="235"/>
      <c r="AN1126" s="235"/>
      <c r="AO1126" s="235"/>
      <c r="AP1126" s="235"/>
      <c r="AQ1126" s="235"/>
      <c r="AR1126" s="235"/>
      <c r="AS1126" s="235"/>
      <c r="AT1126" s="235"/>
      <c r="AU1126" s="235"/>
      <c r="AV1126" s="235"/>
      <c r="AW1126" s="235"/>
      <c r="AX1126" s="235"/>
      <c r="AY1126" s="235"/>
      <c r="AZ1126" s="235"/>
      <c r="BA1126" s="235"/>
      <c r="BB1126" s="235"/>
      <c r="BC1126" s="235"/>
      <c r="BD1126" s="235"/>
      <c r="BE1126" s="235"/>
      <c r="BF1126" s="235"/>
      <c r="BG1126" s="235"/>
      <c r="BH1126" s="235"/>
      <c r="BI1126" s="235"/>
      <c r="BJ1126" s="235"/>
      <c r="BK1126" s="235"/>
      <c r="BL1126" s="235"/>
      <c r="BM1126" s="235"/>
      <c r="BN1126" s="235"/>
      <c r="BO1126" s="235"/>
    </row>
    <row r="1127" ht="29.25" hidden="1" customHeight="1">
      <c r="A1127" s="230"/>
      <c r="B1127" s="231"/>
      <c r="C1127" s="179"/>
      <c r="D1127" s="179"/>
      <c r="E1127" s="180"/>
      <c r="F1127" s="162"/>
      <c r="G1127" s="232"/>
      <c r="H1127" s="234"/>
      <c r="I1127" s="181"/>
      <c r="J1127" s="182"/>
      <c r="K1127" s="182"/>
      <c r="L1127" s="182"/>
      <c r="M1127" s="234"/>
      <c r="N1127" s="28"/>
      <c r="O1127" s="181"/>
      <c r="P1127" s="183"/>
      <c r="Q1127" s="104"/>
      <c r="R1127" s="233"/>
      <c r="S1127" s="164"/>
      <c r="T1127" s="164"/>
      <c r="U1127" s="162"/>
      <c r="V1127" s="235"/>
      <c r="W1127" s="235"/>
      <c r="X1127" s="235"/>
      <c r="Y1127" s="235"/>
      <c r="Z1127" s="235"/>
      <c r="AA1127" s="235"/>
      <c r="AB1127" s="235"/>
      <c r="AC1127" s="235"/>
      <c r="AD1127" s="235"/>
      <c r="AE1127" s="235"/>
      <c r="AF1127" s="235"/>
      <c r="AG1127" s="235"/>
      <c r="AH1127" s="235"/>
      <c r="AI1127" s="235"/>
      <c r="AJ1127" s="235"/>
      <c r="AK1127" s="235"/>
      <c r="AL1127" s="235"/>
      <c r="AM1127" s="235"/>
      <c r="AN1127" s="235"/>
      <c r="AO1127" s="235"/>
      <c r="AP1127" s="235"/>
      <c r="AQ1127" s="235"/>
      <c r="AR1127" s="235"/>
      <c r="AS1127" s="235"/>
      <c r="AT1127" s="235"/>
      <c r="AU1127" s="235"/>
      <c r="AV1127" s="235"/>
      <c r="AW1127" s="235"/>
      <c r="AX1127" s="235"/>
      <c r="AY1127" s="235"/>
      <c r="AZ1127" s="235"/>
      <c r="BA1127" s="235"/>
      <c r="BB1127" s="235"/>
      <c r="BC1127" s="235"/>
      <c r="BD1127" s="235"/>
      <c r="BE1127" s="235"/>
      <c r="BF1127" s="235"/>
      <c r="BG1127" s="235"/>
      <c r="BH1127" s="235"/>
      <c r="BI1127" s="235"/>
      <c r="BJ1127" s="235"/>
      <c r="BK1127" s="235"/>
      <c r="BL1127" s="235"/>
      <c r="BM1127" s="235"/>
      <c r="BN1127" s="235"/>
      <c r="BO1127" s="235"/>
    </row>
    <row r="1128" ht="29.25" hidden="1" customHeight="1">
      <c r="A1128" s="230"/>
      <c r="B1128" s="231"/>
      <c r="C1128" s="179"/>
      <c r="D1128" s="179"/>
      <c r="E1128" s="180"/>
      <c r="F1128" s="162"/>
      <c r="G1128" s="232"/>
      <c r="H1128" s="234"/>
      <c r="I1128" s="181"/>
      <c r="J1128" s="182"/>
      <c r="K1128" s="182"/>
      <c r="L1128" s="182"/>
      <c r="M1128" s="234"/>
      <c r="N1128" s="28"/>
      <c r="O1128" s="181"/>
      <c r="P1128" s="183"/>
      <c r="Q1128" s="104"/>
      <c r="R1128" s="233"/>
      <c r="S1128" s="164"/>
      <c r="T1128" s="164"/>
      <c r="U1128" s="162"/>
      <c r="V1128" s="235"/>
      <c r="W1128" s="235"/>
      <c r="X1128" s="235"/>
      <c r="Y1128" s="235"/>
      <c r="Z1128" s="235"/>
      <c r="AA1128" s="235"/>
      <c r="AB1128" s="235"/>
      <c r="AC1128" s="235"/>
      <c r="AD1128" s="235"/>
      <c r="AE1128" s="235"/>
      <c r="AF1128" s="235"/>
      <c r="AG1128" s="235"/>
      <c r="AH1128" s="235"/>
      <c r="AI1128" s="235"/>
      <c r="AJ1128" s="235"/>
      <c r="AK1128" s="235"/>
      <c r="AL1128" s="235"/>
      <c r="AM1128" s="235"/>
      <c r="AN1128" s="235"/>
      <c r="AO1128" s="235"/>
      <c r="AP1128" s="235"/>
      <c r="AQ1128" s="235"/>
      <c r="AR1128" s="235"/>
      <c r="AS1128" s="235"/>
      <c r="AT1128" s="235"/>
      <c r="AU1128" s="235"/>
      <c r="AV1128" s="235"/>
      <c r="AW1128" s="235"/>
      <c r="AX1128" s="235"/>
      <c r="AY1128" s="235"/>
      <c r="AZ1128" s="235"/>
      <c r="BA1128" s="235"/>
      <c r="BB1128" s="235"/>
      <c r="BC1128" s="235"/>
      <c r="BD1128" s="235"/>
      <c r="BE1128" s="235"/>
      <c r="BF1128" s="235"/>
      <c r="BG1128" s="235"/>
      <c r="BH1128" s="235"/>
      <c r="BI1128" s="235"/>
      <c r="BJ1128" s="235"/>
      <c r="BK1128" s="235"/>
      <c r="BL1128" s="235"/>
      <c r="BM1128" s="235"/>
      <c r="BN1128" s="235"/>
      <c r="BO1128" s="235"/>
    </row>
    <row r="1129" ht="29.25" hidden="1" customHeight="1">
      <c r="A1129" s="230"/>
      <c r="B1129" s="231"/>
      <c r="C1129" s="179"/>
      <c r="D1129" s="179"/>
      <c r="E1129" s="180"/>
      <c r="F1129" s="162"/>
      <c r="G1129" s="232"/>
      <c r="H1129" s="234"/>
      <c r="I1129" s="181"/>
      <c r="J1129" s="182"/>
      <c r="K1129" s="182"/>
      <c r="L1129" s="182"/>
      <c r="M1129" s="234"/>
      <c r="N1129" s="28"/>
      <c r="O1129" s="181"/>
      <c r="P1129" s="183"/>
      <c r="Q1129" s="104"/>
      <c r="R1129" s="233"/>
      <c r="S1129" s="164"/>
      <c r="T1129" s="164"/>
      <c r="U1129" s="162"/>
      <c r="V1129" s="235"/>
      <c r="W1129" s="235"/>
      <c r="X1129" s="235"/>
      <c r="Y1129" s="235"/>
      <c r="Z1129" s="235"/>
      <c r="AA1129" s="235"/>
      <c r="AB1129" s="235"/>
      <c r="AC1129" s="235"/>
      <c r="AD1129" s="235"/>
      <c r="AE1129" s="235"/>
      <c r="AF1129" s="235"/>
      <c r="AG1129" s="235"/>
      <c r="AH1129" s="235"/>
      <c r="AI1129" s="235"/>
      <c r="AJ1129" s="235"/>
      <c r="AK1129" s="235"/>
      <c r="AL1129" s="235"/>
      <c r="AM1129" s="235"/>
      <c r="AN1129" s="235"/>
      <c r="AO1129" s="235"/>
      <c r="AP1129" s="235"/>
      <c r="AQ1129" s="235"/>
      <c r="AR1129" s="235"/>
      <c r="AS1129" s="235"/>
      <c r="AT1129" s="235"/>
      <c r="AU1129" s="235"/>
      <c r="AV1129" s="235"/>
      <c r="AW1129" s="235"/>
      <c r="AX1129" s="235"/>
      <c r="AY1129" s="235"/>
      <c r="AZ1129" s="235"/>
      <c r="BA1129" s="235"/>
      <c r="BB1129" s="235"/>
      <c r="BC1129" s="235"/>
      <c r="BD1129" s="235"/>
      <c r="BE1129" s="235"/>
      <c r="BF1129" s="235"/>
      <c r="BG1129" s="235"/>
      <c r="BH1129" s="235"/>
      <c r="BI1129" s="235"/>
      <c r="BJ1129" s="235"/>
      <c r="BK1129" s="235"/>
      <c r="BL1129" s="235"/>
      <c r="BM1129" s="235"/>
      <c r="BN1129" s="235"/>
      <c r="BO1129" s="235"/>
    </row>
    <row r="1130" ht="29.25" hidden="1" customHeight="1">
      <c r="A1130" s="230"/>
      <c r="B1130" s="231"/>
      <c r="C1130" s="179"/>
      <c r="D1130" s="179"/>
      <c r="E1130" s="180"/>
      <c r="F1130" s="162"/>
      <c r="G1130" s="232"/>
      <c r="H1130" s="234"/>
      <c r="I1130" s="181"/>
      <c r="J1130" s="182"/>
      <c r="K1130" s="182"/>
      <c r="L1130" s="182"/>
      <c r="M1130" s="234"/>
      <c r="N1130" s="28"/>
      <c r="O1130" s="181"/>
      <c r="P1130" s="183"/>
      <c r="Q1130" s="104"/>
      <c r="R1130" s="233"/>
      <c r="S1130" s="164"/>
      <c r="T1130" s="164"/>
      <c r="U1130" s="162"/>
      <c r="V1130" s="235"/>
      <c r="W1130" s="235"/>
      <c r="X1130" s="235"/>
      <c r="Y1130" s="235"/>
      <c r="Z1130" s="235"/>
      <c r="AA1130" s="235"/>
      <c r="AB1130" s="235"/>
      <c r="AC1130" s="235"/>
      <c r="AD1130" s="235"/>
      <c r="AE1130" s="235"/>
      <c r="AF1130" s="235"/>
      <c r="AG1130" s="235"/>
      <c r="AH1130" s="235"/>
      <c r="AI1130" s="235"/>
      <c r="AJ1130" s="235"/>
      <c r="AK1130" s="235"/>
      <c r="AL1130" s="235"/>
      <c r="AM1130" s="235"/>
      <c r="AN1130" s="235"/>
      <c r="AO1130" s="235"/>
      <c r="AP1130" s="235"/>
      <c r="AQ1130" s="235"/>
      <c r="AR1130" s="235"/>
      <c r="AS1130" s="235"/>
      <c r="AT1130" s="235"/>
      <c r="AU1130" s="235"/>
      <c r="AV1130" s="235"/>
      <c r="AW1130" s="235"/>
      <c r="AX1130" s="235"/>
      <c r="AY1130" s="235"/>
      <c r="AZ1130" s="235"/>
      <c r="BA1130" s="235"/>
      <c r="BB1130" s="235"/>
      <c r="BC1130" s="235"/>
      <c r="BD1130" s="235"/>
      <c r="BE1130" s="235"/>
      <c r="BF1130" s="235"/>
      <c r="BG1130" s="235"/>
      <c r="BH1130" s="235"/>
      <c r="BI1130" s="235"/>
      <c r="BJ1130" s="235"/>
      <c r="BK1130" s="235"/>
      <c r="BL1130" s="235"/>
      <c r="BM1130" s="235"/>
      <c r="BN1130" s="235"/>
      <c r="BO1130" s="235"/>
    </row>
    <row r="1131" ht="29.25" hidden="1" customHeight="1">
      <c r="A1131" s="230"/>
      <c r="B1131" s="231"/>
      <c r="C1131" s="179"/>
      <c r="D1131" s="179"/>
      <c r="E1131" s="180"/>
      <c r="F1131" s="162"/>
      <c r="G1131" s="232"/>
      <c r="H1131" s="234"/>
      <c r="I1131" s="181"/>
      <c r="J1131" s="182"/>
      <c r="K1131" s="182"/>
      <c r="L1131" s="182"/>
      <c r="M1131" s="234"/>
      <c r="N1131" s="28"/>
      <c r="O1131" s="181"/>
      <c r="P1131" s="183"/>
      <c r="Q1131" s="104"/>
      <c r="R1131" s="233"/>
      <c r="S1131" s="164"/>
      <c r="T1131" s="164"/>
      <c r="U1131" s="162"/>
      <c r="V1131" s="235"/>
      <c r="W1131" s="235"/>
      <c r="X1131" s="235"/>
      <c r="Y1131" s="235"/>
      <c r="Z1131" s="235"/>
      <c r="AA1131" s="235"/>
      <c r="AB1131" s="235"/>
      <c r="AC1131" s="235"/>
      <c r="AD1131" s="235"/>
      <c r="AE1131" s="235"/>
      <c r="AF1131" s="235"/>
      <c r="AG1131" s="235"/>
      <c r="AH1131" s="235"/>
      <c r="AI1131" s="235"/>
      <c r="AJ1131" s="235"/>
      <c r="AK1131" s="235"/>
      <c r="AL1131" s="235"/>
      <c r="AM1131" s="235"/>
      <c r="AN1131" s="235"/>
      <c r="AO1131" s="235"/>
      <c r="AP1131" s="235"/>
      <c r="AQ1131" s="235"/>
      <c r="AR1131" s="235"/>
      <c r="AS1131" s="235"/>
      <c r="AT1131" s="235"/>
      <c r="AU1131" s="235"/>
      <c r="AV1131" s="235"/>
      <c r="AW1131" s="235"/>
      <c r="AX1131" s="235"/>
      <c r="AY1131" s="235"/>
      <c r="AZ1131" s="235"/>
      <c r="BA1131" s="235"/>
      <c r="BB1131" s="235"/>
      <c r="BC1131" s="235"/>
      <c r="BD1131" s="235"/>
      <c r="BE1131" s="235"/>
      <c r="BF1131" s="235"/>
      <c r="BG1131" s="235"/>
      <c r="BH1131" s="235"/>
      <c r="BI1131" s="235"/>
      <c r="BJ1131" s="235"/>
      <c r="BK1131" s="235"/>
      <c r="BL1131" s="235"/>
      <c r="BM1131" s="235"/>
      <c r="BN1131" s="235"/>
      <c r="BO1131" s="235"/>
    </row>
    <row r="1132" ht="29.25" hidden="1" customHeight="1">
      <c r="A1132" s="230"/>
      <c r="B1132" s="231"/>
      <c r="C1132" s="179"/>
      <c r="D1132" s="179"/>
      <c r="E1132" s="180"/>
      <c r="F1132" s="162"/>
      <c r="G1132" s="232"/>
      <c r="H1132" s="234"/>
      <c r="I1132" s="181"/>
      <c r="J1132" s="182"/>
      <c r="K1132" s="182"/>
      <c r="L1132" s="182"/>
      <c r="M1132" s="234"/>
      <c r="N1132" s="28"/>
      <c r="O1132" s="181"/>
      <c r="P1132" s="183"/>
      <c r="Q1132" s="104"/>
      <c r="R1132" s="233"/>
      <c r="S1132" s="164"/>
      <c r="T1132" s="164"/>
      <c r="U1132" s="162"/>
      <c r="V1132" s="235"/>
      <c r="W1132" s="235"/>
      <c r="X1132" s="235"/>
      <c r="Y1132" s="235"/>
      <c r="Z1132" s="235"/>
      <c r="AA1132" s="235"/>
      <c r="AB1132" s="235"/>
      <c r="AC1132" s="235"/>
      <c r="AD1132" s="235"/>
      <c r="AE1132" s="235"/>
      <c r="AF1132" s="235"/>
      <c r="AG1132" s="235"/>
      <c r="AH1132" s="235"/>
      <c r="AI1132" s="235"/>
      <c r="AJ1132" s="235"/>
      <c r="AK1132" s="235"/>
      <c r="AL1132" s="235"/>
      <c r="AM1132" s="235"/>
      <c r="AN1132" s="235"/>
      <c r="AO1132" s="235"/>
      <c r="AP1132" s="235"/>
      <c r="AQ1132" s="235"/>
      <c r="AR1132" s="235"/>
      <c r="AS1132" s="235"/>
      <c r="AT1132" s="235"/>
      <c r="AU1132" s="235"/>
      <c r="AV1132" s="235"/>
      <c r="AW1132" s="235"/>
      <c r="AX1132" s="235"/>
      <c r="AY1132" s="235"/>
      <c r="AZ1132" s="235"/>
      <c r="BA1132" s="235"/>
      <c r="BB1132" s="235"/>
      <c r="BC1132" s="235"/>
      <c r="BD1132" s="235"/>
      <c r="BE1132" s="235"/>
      <c r="BF1132" s="235"/>
      <c r="BG1132" s="235"/>
      <c r="BH1132" s="235"/>
      <c r="BI1132" s="235"/>
      <c r="BJ1132" s="235"/>
      <c r="BK1132" s="235"/>
      <c r="BL1132" s="235"/>
      <c r="BM1132" s="235"/>
      <c r="BN1132" s="235"/>
      <c r="BO1132" s="235"/>
    </row>
    <row r="1133" ht="29.25" hidden="1" customHeight="1">
      <c r="A1133" s="230"/>
      <c r="B1133" s="231"/>
      <c r="C1133" s="179"/>
      <c r="D1133" s="179"/>
      <c r="E1133" s="180"/>
      <c r="F1133" s="162"/>
      <c r="G1133" s="232"/>
      <c r="H1133" s="234"/>
      <c r="I1133" s="181"/>
      <c r="J1133" s="182"/>
      <c r="K1133" s="182"/>
      <c r="L1133" s="182"/>
      <c r="M1133" s="234"/>
      <c r="N1133" s="28"/>
      <c r="O1133" s="181"/>
      <c r="P1133" s="183"/>
      <c r="Q1133" s="104"/>
      <c r="R1133" s="233"/>
      <c r="S1133" s="164"/>
      <c r="T1133" s="164"/>
      <c r="U1133" s="162"/>
      <c r="V1133" s="235"/>
      <c r="W1133" s="235"/>
      <c r="X1133" s="235"/>
      <c r="Y1133" s="235"/>
      <c r="Z1133" s="235"/>
      <c r="AA1133" s="235"/>
      <c r="AB1133" s="235"/>
      <c r="AC1133" s="235"/>
      <c r="AD1133" s="235"/>
      <c r="AE1133" s="235"/>
      <c r="AF1133" s="235"/>
      <c r="AG1133" s="235"/>
      <c r="AH1133" s="235"/>
      <c r="AI1133" s="235"/>
      <c r="AJ1133" s="235"/>
      <c r="AK1133" s="235"/>
      <c r="AL1133" s="235"/>
      <c r="AM1133" s="235"/>
      <c r="AN1133" s="235"/>
      <c r="AO1133" s="235"/>
      <c r="AP1133" s="235"/>
      <c r="AQ1133" s="235"/>
      <c r="AR1133" s="235"/>
      <c r="AS1133" s="235"/>
      <c r="AT1133" s="235"/>
      <c r="AU1133" s="235"/>
      <c r="AV1133" s="235"/>
      <c r="AW1133" s="235"/>
      <c r="AX1133" s="235"/>
      <c r="AY1133" s="235"/>
      <c r="AZ1133" s="235"/>
      <c r="BA1133" s="235"/>
      <c r="BB1133" s="235"/>
      <c r="BC1133" s="235"/>
      <c r="BD1133" s="235"/>
      <c r="BE1133" s="235"/>
      <c r="BF1133" s="235"/>
      <c r="BG1133" s="235"/>
      <c r="BH1133" s="235"/>
      <c r="BI1133" s="235"/>
      <c r="BJ1133" s="235"/>
      <c r="BK1133" s="235"/>
      <c r="BL1133" s="235"/>
      <c r="BM1133" s="235"/>
      <c r="BN1133" s="235"/>
      <c r="BO1133" s="235"/>
    </row>
    <row r="1134" ht="29.25" hidden="1" customHeight="1">
      <c r="A1134" s="230"/>
      <c r="B1134" s="231"/>
      <c r="C1134" s="179"/>
      <c r="D1134" s="179"/>
      <c r="E1134" s="180"/>
      <c r="F1134" s="162"/>
      <c r="G1134" s="232"/>
      <c r="H1134" s="234"/>
      <c r="I1134" s="181"/>
      <c r="J1134" s="182"/>
      <c r="K1134" s="182"/>
      <c r="L1134" s="182"/>
      <c r="M1134" s="234"/>
      <c r="N1134" s="28"/>
      <c r="O1134" s="181"/>
      <c r="P1134" s="183"/>
      <c r="Q1134" s="104"/>
      <c r="R1134" s="233"/>
      <c r="S1134" s="164"/>
      <c r="T1134" s="164"/>
      <c r="U1134" s="162"/>
      <c r="V1134" s="235"/>
      <c r="W1134" s="235"/>
      <c r="X1134" s="235"/>
      <c r="Y1134" s="235"/>
      <c r="Z1134" s="235"/>
      <c r="AA1134" s="235"/>
      <c r="AB1134" s="235"/>
      <c r="AC1134" s="235"/>
      <c r="AD1134" s="235"/>
      <c r="AE1134" s="235"/>
      <c r="AF1134" s="235"/>
      <c r="AG1134" s="235"/>
      <c r="AH1134" s="235"/>
      <c r="AI1134" s="235"/>
      <c r="AJ1134" s="235"/>
      <c r="AK1134" s="235"/>
      <c r="AL1134" s="235"/>
      <c r="AM1134" s="235"/>
      <c r="AN1134" s="235"/>
      <c r="AO1134" s="235"/>
      <c r="AP1134" s="235"/>
      <c r="AQ1134" s="235"/>
      <c r="AR1134" s="235"/>
      <c r="AS1134" s="235"/>
      <c r="AT1134" s="235"/>
      <c r="AU1134" s="235"/>
      <c r="AV1134" s="235"/>
      <c r="AW1134" s="235"/>
      <c r="AX1134" s="235"/>
      <c r="AY1134" s="235"/>
      <c r="AZ1134" s="235"/>
      <c r="BA1134" s="235"/>
      <c r="BB1134" s="235"/>
      <c r="BC1134" s="235"/>
      <c r="BD1134" s="235"/>
      <c r="BE1134" s="235"/>
      <c r="BF1134" s="235"/>
      <c r="BG1134" s="235"/>
      <c r="BH1134" s="235"/>
      <c r="BI1134" s="235"/>
      <c r="BJ1134" s="235"/>
      <c r="BK1134" s="235"/>
      <c r="BL1134" s="235"/>
      <c r="BM1134" s="235"/>
      <c r="BN1134" s="235"/>
      <c r="BO1134" s="235"/>
    </row>
    <row r="1135" ht="29.25" hidden="1" customHeight="1">
      <c r="A1135" s="230"/>
      <c r="B1135" s="231"/>
      <c r="C1135" s="179"/>
      <c r="D1135" s="179"/>
      <c r="E1135" s="180"/>
      <c r="F1135" s="162"/>
      <c r="G1135" s="232"/>
      <c r="H1135" s="234"/>
      <c r="I1135" s="181"/>
      <c r="J1135" s="182"/>
      <c r="K1135" s="182"/>
      <c r="L1135" s="182"/>
      <c r="M1135" s="234"/>
      <c r="N1135" s="28"/>
      <c r="O1135" s="181"/>
      <c r="P1135" s="183"/>
      <c r="Q1135" s="104"/>
      <c r="R1135" s="233"/>
      <c r="S1135" s="164"/>
      <c r="T1135" s="164"/>
      <c r="U1135" s="162"/>
      <c r="V1135" s="235"/>
      <c r="W1135" s="235"/>
      <c r="X1135" s="235"/>
      <c r="Y1135" s="235"/>
      <c r="Z1135" s="235"/>
      <c r="AA1135" s="235"/>
      <c r="AB1135" s="235"/>
      <c r="AC1135" s="235"/>
      <c r="AD1135" s="235"/>
      <c r="AE1135" s="235"/>
      <c r="AF1135" s="235"/>
      <c r="AG1135" s="235"/>
      <c r="AH1135" s="235"/>
      <c r="AI1135" s="235"/>
      <c r="AJ1135" s="235"/>
      <c r="AK1135" s="235"/>
      <c r="AL1135" s="235"/>
      <c r="AM1135" s="235"/>
      <c r="AN1135" s="235"/>
      <c r="AO1135" s="235"/>
      <c r="AP1135" s="235"/>
      <c r="AQ1135" s="235"/>
      <c r="AR1135" s="235"/>
      <c r="AS1135" s="235"/>
      <c r="AT1135" s="235"/>
      <c r="AU1135" s="235"/>
      <c r="AV1135" s="235"/>
      <c r="AW1135" s="235"/>
      <c r="AX1135" s="235"/>
      <c r="AY1135" s="235"/>
      <c r="AZ1135" s="235"/>
      <c r="BA1135" s="235"/>
      <c r="BB1135" s="235"/>
      <c r="BC1135" s="235"/>
      <c r="BD1135" s="235"/>
      <c r="BE1135" s="235"/>
      <c r="BF1135" s="235"/>
      <c r="BG1135" s="235"/>
      <c r="BH1135" s="235"/>
      <c r="BI1135" s="235"/>
      <c r="BJ1135" s="235"/>
      <c r="BK1135" s="235"/>
      <c r="BL1135" s="235"/>
      <c r="BM1135" s="235"/>
      <c r="BN1135" s="235"/>
      <c r="BO1135" s="235"/>
    </row>
    <row r="1136" ht="29.25" hidden="1" customHeight="1">
      <c r="A1136" s="230"/>
      <c r="B1136" s="231"/>
      <c r="C1136" s="179"/>
      <c r="D1136" s="179"/>
      <c r="E1136" s="180"/>
      <c r="F1136" s="162"/>
      <c r="G1136" s="232"/>
      <c r="H1136" s="234"/>
      <c r="I1136" s="181"/>
      <c r="J1136" s="182"/>
      <c r="K1136" s="182"/>
      <c r="L1136" s="182"/>
      <c r="M1136" s="234"/>
      <c r="N1136" s="28"/>
      <c r="O1136" s="181"/>
      <c r="P1136" s="183"/>
      <c r="Q1136" s="104"/>
      <c r="R1136" s="233"/>
      <c r="S1136" s="164"/>
      <c r="T1136" s="164"/>
      <c r="U1136" s="162"/>
      <c r="V1136" s="235"/>
      <c r="W1136" s="235"/>
      <c r="X1136" s="235"/>
      <c r="Y1136" s="235"/>
      <c r="Z1136" s="235"/>
      <c r="AA1136" s="235"/>
      <c r="AB1136" s="235"/>
      <c r="AC1136" s="235"/>
      <c r="AD1136" s="235"/>
      <c r="AE1136" s="235"/>
      <c r="AF1136" s="235"/>
      <c r="AG1136" s="235"/>
      <c r="AH1136" s="235"/>
      <c r="AI1136" s="235"/>
      <c r="AJ1136" s="235"/>
      <c r="AK1136" s="235"/>
      <c r="AL1136" s="235"/>
      <c r="AM1136" s="235"/>
      <c r="AN1136" s="235"/>
      <c r="AO1136" s="235"/>
      <c r="AP1136" s="235"/>
      <c r="AQ1136" s="235"/>
      <c r="AR1136" s="235"/>
      <c r="AS1136" s="235"/>
      <c r="AT1136" s="235"/>
      <c r="AU1136" s="235"/>
      <c r="AV1136" s="235"/>
      <c r="AW1136" s="235"/>
      <c r="AX1136" s="235"/>
      <c r="AY1136" s="235"/>
      <c r="AZ1136" s="235"/>
      <c r="BA1136" s="235"/>
      <c r="BB1136" s="235"/>
      <c r="BC1136" s="235"/>
      <c r="BD1136" s="235"/>
      <c r="BE1136" s="235"/>
      <c r="BF1136" s="235"/>
      <c r="BG1136" s="235"/>
      <c r="BH1136" s="235"/>
      <c r="BI1136" s="235"/>
      <c r="BJ1136" s="235"/>
      <c r="BK1136" s="235"/>
      <c r="BL1136" s="235"/>
      <c r="BM1136" s="235"/>
      <c r="BN1136" s="235"/>
      <c r="BO1136" s="235"/>
    </row>
    <row r="1137" ht="29.25" hidden="1" customHeight="1">
      <c r="A1137" s="230"/>
      <c r="B1137" s="231"/>
      <c r="C1137" s="179"/>
      <c r="D1137" s="179"/>
      <c r="E1137" s="180"/>
      <c r="F1137" s="162"/>
      <c r="G1137" s="232"/>
      <c r="H1137" s="234"/>
      <c r="I1137" s="181"/>
      <c r="J1137" s="182"/>
      <c r="K1137" s="182"/>
      <c r="L1137" s="182"/>
      <c r="M1137" s="234"/>
      <c r="N1137" s="28"/>
      <c r="O1137" s="181"/>
      <c r="P1137" s="183"/>
      <c r="Q1137" s="104"/>
      <c r="R1137" s="233"/>
      <c r="S1137" s="164"/>
      <c r="T1137" s="164"/>
      <c r="U1137" s="162"/>
      <c r="V1137" s="235"/>
      <c r="W1137" s="235"/>
      <c r="X1137" s="235"/>
      <c r="Y1137" s="235"/>
      <c r="Z1137" s="235"/>
      <c r="AA1137" s="235"/>
      <c r="AB1137" s="235"/>
      <c r="AC1137" s="235"/>
      <c r="AD1137" s="235"/>
      <c r="AE1137" s="235"/>
      <c r="AF1137" s="235"/>
      <c r="AG1137" s="235"/>
      <c r="AH1137" s="235"/>
      <c r="AI1137" s="235"/>
      <c r="AJ1137" s="235"/>
      <c r="AK1137" s="235"/>
      <c r="AL1137" s="235"/>
      <c r="AM1137" s="235"/>
      <c r="AN1137" s="235"/>
      <c r="AO1137" s="235"/>
      <c r="AP1137" s="235"/>
      <c r="AQ1137" s="235"/>
      <c r="AR1137" s="235"/>
      <c r="AS1137" s="235"/>
      <c r="AT1137" s="235"/>
      <c r="AU1137" s="235"/>
      <c r="AV1137" s="235"/>
      <c r="AW1137" s="235"/>
      <c r="AX1137" s="235"/>
      <c r="AY1137" s="235"/>
      <c r="AZ1137" s="235"/>
      <c r="BA1137" s="235"/>
      <c r="BB1137" s="235"/>
      <c r="BC1137" s="235"/>
      <c r="BD1137" s="235"/>
      <c r="BE1137" s="235"/>
      <c r="BF1137" s="235"/>
      <c r="BG1137" s="235"/>
      <c r="BH1137" s="235"/>
      <c r="BI1137" s="235"/>
      <c r="BJ1137" s="235"/>
      <c r="BK1137" s="235"/>
      <c r="BL1137" s="235"/>
      <c r="BM1137" s="235"/>
      <c r="BN1137" s="235"/>
      <c r="BO1137" s="235"/>
    </row>
    <row r="1138" ht="29.25" hidden="1" customHeight="1">
      <c r="A1138" s="230"/>
      <c r="B1138" s="231"/>
      <c r="C1138" s="179"/>
      <c r="D1138" s="179"/>
      <c r="E1138" s="180"/>
      <c r="F1138" s="162"/>
      <c r="G1138" s="232"/>
      <c r="H1138" s="234"/>
      <c r="I1138" s="181"/>
      <c r="J1138" s="182"/>
      <c r="K1138" s="182"/>
      <c r="L1138" s="182"/>
      <c r="M1138" s="234"/>
      <c r="N1138" s="28"/>
      <c r="O1138" s="181"/>
      <c r="P1138" s="183"/>
      <c r="Q1138" s="104"/>
      <c r="R1138" s="233"/>
      <c r="S1138" s="164"/>
      <c r="T1138" s="164"/>
      <c r="U1138" s="162"/>
      <c r="V1138" s="235"/>
      <c r="W1138" s="235"/>
      <c r="X1138" s="235"/>
      <c r="Y1138" s="235"/>
      <c r="Z1138" s="235"/>
      <c r="AA1138" s="235"/>
      <c r="AB1138" s="235"/>
      <c r="AC1138" s="235"/>
      <c r="AD1138" s="235"/>
      <c r="AE1138" s="235"/>
      <c r="AF1138" s="235"/>
      <c r="AG1138" s="235"/>
      <c r="AH1138" s="235"/>
      <c r="AI1138" s="235"/>
      <c r="AJ1138" s="235"/>
      <c r="AK1138" s="235"/>
      <c r="AL1138" s="235"/>
      <c r="AM1138" s="235"/>
      <c r="AN1138" s="235"/>
      <c r="AO1138" s="235"/>
      <c r="AP1138" s="235"/>
      <c r="AQ1138" s="235"/>
      <c r="AR1138" s="235"/>
      <c r="AS1138" s="235"/>
      <c r="AT1138" s="235"/>
      <c r="AU1138" s="235"/>
      <c r="AV1138" s="235"/>
      <c r="AW1138" s="235"/>
      <c r="AX1138" s="235"/>
      <c r="AY1138" s="235"/>
      <c r="AZ1138" s="235"/>
      <c r="BA1138" s="235"/>
      <c r="BB1138" s="235"/>
      <c r="BC1138" s="235"/>
      <c r="BD1138" s="235"/>
      <c r="BE1138" s="235"/>
      <c r="BF1138" s="235"/>
      <c r="BG1138" s="235"/>
      <c r="BH1138" s="235"/>
      <c r="BI1138" s="235"/>
      <c r="BJ1138" s="235"/>
      <c r="BK1138" s="235"/>
      <c r="BL1138" s="235"/>
      <c r="BM1138" s="235"/>
      <c r="BN1138" s="235"/>
      <c r="BO1138" s="235"/>
    </row>
    <row r="1139" ht="29.25" hidden="1" customHeight="1">
      <c r="A1139" s="230"/>
      <c r="B1139" s="231"/>
      <c r="C1139" s="179"/>
      <c r="D1139" s="179"/>
      <c r="E1139" s="180"/>
      <c r="F1139" s="162"/>
      <c r="G1139" s="232"/>
      <c r="H1139" s="234"/>
      <c r="I1139" s="181"/>
      <c r="J1139" s="182"/>
      <c r="K1139" s="182"/>
      <c r="L1139" s="182"/>
      <c r="M1139" s="234"/>
      <c r="N1139" s="28"/>
      <c r="O1139" s="181"/>
      <c r="P1139" s="183"/>
      <c r="Q1139" s="104"/>
      <c r="R1139" s="233"/>
      <c r="S1139" s="164"/>
      <c r="T1139" s="164"/>
      <c r="U1139" s="162"/>
      <c r="V1139" s="235"/>
      <c r="W1139" s="235"/>
      <c r="X1139" s="235"/>
      <c r="Y1139" s="235"/>
      <c r="Z1139" s="235"/>
      <c r="AA1139" s="235"/>
      <c r="AB1139" s="235"/>
      <c r="AC1139" s="235"/>
      <c r="AD1139" s="235"/>
      <c r="AE1139" s="235"/>
      <c r="AF1139" s="235"/>
      <c r="AG1139" s="235"/>
      <c r="AH1139" s="235"/>
      <c r="AI1139" s="235"/>
      <c r="AJ1139" s="235"/>
      <c r="AK1139" s="235"/>
      <c r="AL1139" s="235"/>
      <c r="AM1139" s="235"/>
      <c r="AN1139" s="235"/>
      <c r="AO1139" s="235"/>
      <c r="AP1139" s="235"/>
      <c r="AQ1139" s="235"/>
      <c r="AR1139" s="235"/>
      <c r="AS1139" s="235"/>
      <c r="AT1139" s="235"/>
      <c r="AU1139" s="235"/>
      <c r="AV1139" s="235"/>
      <c r="AW1139" s="235"/>
      <c r="AX1139" s="235"/>
      <c r="AY1139" s="235"/>
      <c r="AZ1139" s="235"/>
      <c r="BA1139" s="235"/>
      <c r="BB1139" s="235"/>
      <c r="BC1139" s="235"/>
      <c r="BD1139" s="235"/>
      <c r="BE1139" s="235"/>
      <c r="BF1139" s="235"/>
      <c r="BG1139" s="235"/>
      <c r="BH1139" s="235"/>
      <c r="BI1139" s="235"/>
      <c r="BJ1139" s="235"/>
      <c r="BK1139" s="235"/>
      <c r="BL1139" s="235"/>
      <c r="BM1139" s="235"/>
      <c r="BN1139" s="235"/>
      <c r="BO1139" s="235"/>
    </row>
    <row r="1140" ht="29.25" hidden="1" customHeight="1">
      <c r="A1140" s="230"/>
      <c r="B1140" s="231"/>
      <c r="C1140" s="179"/>
      <c r="D1140" s="179"/>
      <c r="E1140" s="180"/>
      <c r="F1140" s="162"/>
      <c r="G1140" s="232"/>
      <c r="H1140" s="234"/>
      <c r="I1140" s="181"/>
      <c r="J1140" s="182"/>
      <c r="K1140" s="182"/>
      <c r="L1140" s="182"/>
      <c r="M1140" s="234"/>
      <c r="N1140" s="28"/>
      <c r="O1140" s="181"/>
      <c r="P1140" s="183"/>
      <c r="Q1140" s="104"/>
      <c r="R1140" s="233"/>
      <c r="S1140" s="164"/>
      <c r="T1140" s="164"/>
      <c r="U1140" s="162"/>
      <c r="V1140" s="235"/>
      <c r="W1140" s="235"/>
      <c r="X1140" s="235"/>
      <c r="Y1140" s="235"/>
      <c r="Z1140" s="235"/>
      <c r="AA1140" s="235"/>
      <c r="AB1140" s="235"/>
      <c r="AC1140" s="235"/>
      <c r="AD1140" s="235"/>
      <c r="AE1140" s="235"/>
      <c r="AF1140" s="235"/>
      <c r="AG1140" s="235"/>
      <c r="AH1140" s="235"/>
      <c r="AI1140" s="235"/>
      <c r="AJ1140" s="235"/>
      <c r="AK1140" s="235"/>
      <c r="AL1140" s="235"/>
      <c r="AM1140" s="235"/>
      <c r="AN1140" s="235"/>
      <c r="AO1140" s="235"/>
      <c r="AP1140" s="235"/>
      <c r="AQ1140" s="235"/>
      <c r="AR1140" s="235"/>
      <c r="AS1140" s="235"/>
      <c r="AT1140" s="235"/>
      <c r="AU1140" s="235"/>
      <c r="AV1140" s="235"/>
      <c r="AW1140" s="235"/>
      <c r="AX1140" s="235"/>
      <c r="AY1140" s="235"/>
      <c r="AZ1140" s="235"/>
      <c r="BA1140" s="235"/>
      <c r="BB1140" s="235"/>
      <c r="BC1140" s="235"/>
      <c r="BD1140" s="235"/>
      <c r="BE1140" s="235"/>
      <c r="BF1140" s="235"/>
      <c r="BG1140" s="235"/>
      <c r="BH1140" s="235"/>
      <c r="BI1140" s="235"/>
      <c r="BJ1140" s="235"/>
      <c r="BK1140" s="235"/>
      <c r="BL1140" s="235"/>
      <c r="BM1140" s="235"/>
      <c r="BN1140" s="235"/>
      <c r="BO1140" s="235"/>
    </row>
    <row r="1141" ht="29.25" hidden="1" customHeight="1">
      <c r="A1141" s="230"/>
      <c r="B1141" s="231"/>
      <c r="C1141" s="179"/>
      <c r="D1141" s="179"/>
      <c r="E1141" s="180"/>
      <c r="F1141" s="162"/>
      <c r="G1141" s="232"/>
      <c r="H1141" s="234"/>
      <c r="I1141" s="181"/>
      <c r="J1141" s="182"/>
      <c r="K1141" s="182"/>
      <c r="L1141" s="182"/>
      <c r="M1141" s="234"/>
      <c r="N1141" s="28"/>
      <c r="O1141" s="181"/>
      <c r="P1141" s="183"/>
      <c r="Q1141" s="104"/>
      <c r="R1141" s="233"/>
      <c r="S1141" s="164"/>
      <c r="T1141" s="164"/>
      <c r="U1141" s="162"/>
      <c r="V1141" s="235"/>
      <c r="W1141" s="235"/>
      <c r="X1141" s="235"/>
      <c r="Y1141" s="235"/>
      <c r="Z1141" s="235"/>
      <c r="AA1141" s="235"/>
      <c r="AB1141" s="235"/>
      <c r="AC1141" s="235"/>
      <c r="AD1141" s="235"/>
      <c r="AE1141" s="235"/>
      <c r="AF1141" s="235"/>
      <c r="AG1141" s="235"/>
      <c r="AH1141" s="235"/>
      <c r="AI1141" s="235"/>
      <c r="AJ1141" s="235"/>
      <c r="AK1141" s="235"/>
      <c r="AL1141" s="235"/>
      <c r="AM1141" s="235"/>
      <c r="AN1141" s="235"/>
      <c r="AO1141" s="235"/>
      <c r="AP1141" s="235"/>
      <c r="AQ1141" s="235"/>
      <c r="AR1141" s="235"/>
      <c r="AS1141" s="235"/>
      <c r="AT1141" s="235"/>
      <c r="AU1141" s="235"/>
      <c r="AV1141" s="235"/>
      <c r="AW1141" s="235"/>
      <c r="AX1141" s="235"/>
      <c r="AY1141" s="235"/>
      <c r="AZ1141" s="235"/>
      <c r="BA1141" s="235"/>
      <c r="BB1141" s="235"/>
      <c r="BC1141" s="235"/>
      <c r="BD1141" s="235"/>
      <c r="BE1141" s="235"/>
      <c r="BF1141" s="235"/>
      <c r="BG1141" s="235"/>
      <c r="BH1141" s="235"/>
      <c r="BI1141" s="235"/>
      <c r="BJ1141" s="235"/>
      <c r="BK1141" s="235"/>
      <c r="BL1141" s="235"/>
      <c r="BM1141" s="235"/>
      <c r="BN1141" s="235"/>
      <c r="BO1141" s="235"/>
    </row>
    <row r="1142" ht="29.25" hidden="1" customHeight="1">
      <c r="A1142" s="230"/>
      <c r="B1142" s="231"/>
      <c r="C1142" s="179"/>
      <c r="D1142" s="179"/>
      <c r="E1142" s="180"/>
      <c r="F1142" s="162"/>
      <c r="G1142" s="232"/>
      <c r="H1142" s="234"/>
      <c r="I1142" s="181"/>
      <c r="J1142" s="182"/>
      <c r="K1142" s="182"/>
      <c r="L1142" s="182"/>
      <c r="M1142" s="234"/>
      <c r="N1142" s="28"/>
      <c r="O1142" s="181"/>
      <c r="P1142" s="183"/>
      <c r="Q1142" s="104"/>
      <c r="R1142" s="233"/>
      <c r="S1142" s="164"/>
      <c r="T1142" s="164"/>
      <c r="U1142" s="162"/>
      <c r="V1142" s="235"/>
      <c r="W1142" s="235"/>
      <c r="X1142" s="235"/>
      <c r="Y1142" s="235"/>
      <c r="Z1142" s="235"/>
      <c r="AA1142" s="235"/>
      <c r="AB1142" s="235"/>
      <c r="AC1142" s="235"/>
      <c r="AD1142" s="235"/>
      <c r="AE1142" s="235"/>
      <c r="AF1142" s="235"/>
      <c r="AG1142" s="235"/>
      <c r="AH1142" s="235"/>
      <c r="AI1142" s="235"/>
      <c r="AJ1142" s="235"/>
      <c r="AK1142" s="235"/>
      <c r="AL1142" s="235"/>
      <c r="AM1142" s="235"/>
      <c r="AN1142" s="235"/>
      <c r="AO1142" s="235"/>
      <c r="AP1142" s="235"/>
      <c r="AQ1142" s="235"/>
      <c r="AR1142" s="235"/>
      <c r="AS1142" s="235"/>
      <c r="AT1142" s="235"/>
      <c r="AU1142" s="235"/>
      <c r="AV1142" s="235"/>
      <c r="AW1142" s="235"/>
      <c r="AX1142" s="235"/>
      <c r="AY1142" s="235"/>
      <c r="AZ1142" s="235"/>
      <c r="BA1142" s="235"/>
      <c r="BB1142" s="235"/>
      <c r="BC1142" s="235"/>
      <c r="BD1142" s="235"/>
      <c r="BE1142" s="235"/>
      <c r="BF1142" s="235"/>
      <c r="BG1142" s="235"/>
      <c r="BH1142" s="235"/>
      <c r="BI1142" s="235"/>
      <c r="BJ1142" s="235"/>
      <c r="BK1142" s="235"/>
      <c r="BL1142" s="235"/>
      <c r="BM1142" s="235"/>
      <c r="BN1142" s="235"/>
      <c r="BO1142" s="235"/>
    </row>
    <row r="1143" ht="29.25" hidden="1" customHeight="1">
      <c r="A1143" s="230"/>
      <c r="B1143" s="231"/>
      <c r="C1143" s="179"/>
      <c r="D1143" s="179"/>
      <c r="E1143" s="180"/>
      <c r="F1143" s="162"/>
      <c r="G1143" s="232"/>
      <c r="H1143" s="234"/>
      <c r="I1143" s="181"/>
      <c r="J1143" s="182"/>
      <c r="K1143" s="182"/>
      <c r="L1143" s="182"/>
      <c r="M1143" s="234"/>
      <c r="N1143" s="28"/>
      <c r="O1143" s="181"/>
      <c r="P1143" s="183"/>
      <c r="Q1143" s="104"/>
      <c r="R1143" s="233"/>
      <c r="S1143" s="164"/>
      <c r="T1143" s="164"/>
      <c r="U1143" s="162"/>
      <c r="V1143" s="235"/>
      <c r="W1143" s="235"/>
      <c r="X1143" s="235"/>
      <c r="Y1143" s="235"/>
      <c r="Z1143" s="235"/>
      <c r="AA1143" s="235"/>
      <c r="AB1143" s="235"/>
      <c r="AC1143" s="235"/>
      <c r="AD1143" s="235"/>
      <c r="AE1143" s="235"/>
      <c r="AF1143" s="235"/>
      <c r="AG1143" s="235"/>
      <c r="AH1143" s="235"/>
      <c r="AI1143" s="235"/>
      <c r="AJ1143" s="235"/>
      <c r="AK1143" s="235"/>
      <c r="AL1143" s="235"/>
      <c r="AM1143" s="235"/>
      <c r="AN1143" s="235"/>
      <c r="AO1143" s="235"/>
      <c r="AP1143" s="235"/>
      <c r="AQ1143" s="235"/>
      <c r="AR1143" s="235"/>
      <c r="AS1143" s="235"/>
      <c r="AT1143" s="235"/>
      <c r="AU1143" s="235"/>
      <c r="AV1143" s="235"/>
      <c r="AW1143" s="235"/>
      <c r="AX1143" s="235"/>
      <c r="AY1143" s="235"/>
      <c r="AZ1143" s="235"/>
      <c r="BA1143" s="235"/>
      <c r="BB1143" s="235"/>
      <c r="BC1143" s="235"/>
      <c r="BD1143" s="235"/>
      <c r="BE1143" s="235"/>
      <c r="BF1143" s="235"/>
      <c r="BG1143" s="235"/>
      <c r="BH1143" s="235"/>
      <c r="BI1143" s="235"/>
      <c r="BJ1143" s="235"/>
      <c r="BK1143" s="235"/>
      <c r="BL1143" s="235"/>
      <c r="BM1143" s="235"/>
      <c r="BN1143" s="235"/>
      <c r="BO1143" s="235"/>
    </row>
    <row r="1144" ht="29.25" hidden="1" customHeight="1">
      <c r="A1144" s="230"/>
      <c r="B1144" s="231"/>
      <c r="C1144" s="179"/>
      <c r="D1144" s="179"/>
      <c r="E1144" s="180"/>
      <c r="F1144" s="162"/>
      <c r="G1144" s="232"/>
      <c r="H1144" s="234"/>
      <c r="I1144" s="181"/>
      <c r="J1144" s="182"/>
      <c r="K1144" s="182"/>
      <c r="L1144" s="182"/>
      <c r="M1144" s="234"/>
      <c r="N1144" s="28"/>
      <c r="O1144" s="181"/>
      <c r="P1144" s="183"/>
      <c r="Q1144" s="104"/>
      <c r="R1144" s="233"/>
      <c r="S1144" s="164"/>
      <c r="T1144" s="164"/>
      <c r="U1144" s="162"/>
      <c r="V1144" s="235"/>
      <c r="W1144" s="235"/>
      <c r="X1144" s="235"/>
      <c r="Y1144" s="235"/>
      <c r="Z1144" s="235"/>
      <c r="AA1144" s="235"/>
      <c r="AB1144" s="235"/>
      <c r="AC1144" s="235"/>
      <c r="AD1144" s="235"/>
      <c r="AE1144" s="235"/>
      <c r="AF1144" s="235"/>
      <c r="AG1144" s="235"/>
      <c r="AH1144" s="235"/>
      <c r="AI1144" s="235"/>
      <c r="AJ1144" s="235"/>
      <c r="AK1144" s="235"/>
      <c r="AL1144" s="235"/>
      <c r="AM1144" s="235"/>
      <c r="AN1144" s="235"/>
      <c r="AO1144" s="235"/>
      <c r="AP1144" s="235"/>
      <c r="AQ1144" s="235"/>
      <c r="AR1144" s="235"/>
      <c r="AS1144" s="235"/>
      <c r="AT1144" s="235"/>
      <c r="AU1144" s="235"/>
      <c r="AV1144" s="235"/>
      <c r="AW1144" s="235"/>
      <c r="AX1144" s="235"/>
      <c r="AY1144" s="235"/>
      <c r="AZ1144" s="235"/>
      <c r="BA1144" s="235"/>
      <c r="BB1144" s="235"/>
      <c r="BC1144" s="235"/>
      <c r="BD1144" s="235"/>
      <c r="BE1144" s="235"/>
      <c r="BF1144" s="235"/>
      <c r="BG1144" s="235"/>
      <c r="BH1144" s="235"/>
      <c r="BI1144" s="235"/>
      <c r="BJ1144" s="235"/>
      <c r="BK1144" s="235"/>
      <c r="BL1144" s="235"/>
      <c r="BM1144" s="235"/>
      <c r="BN1144" s="235"/>
      <c r="BO1144" s="235"/>
    </row>
    <row r="1145" ht="29.25" hidden="1" customHeight="1">
      <c r="A1145" s="230"/>
      <c r="B1145" s="231"/>
      <c r="C1145" s="179"/>
      <c r="D1145" s="179"/>
      <c r="E1145" s="180"/>
      <c r="F1145" s="162"/>
      <c r="G1145" s="232"/>
      <c r="H1145" s="234"/>
      <c r="I1145" s="181"/>
      <c r="J1145" s="182"/>
      <c r="K1145" s="182"/>
      <c r="L1145" s="182"/>
      <c r="M1145" s="234"/>
      <c r="N1145" s="28"/>
      <c r="O1145" s="181"/>
      <c r="P1145" s="183"/>
      <c r="Q1145" s="104"/>
      <c r="R1145" s="233"/>
      <c r="S1145" s="164"/>
      <c r="T1145" s="164"/>
      <c r="U1145" s="162"/>
      <c r="V1145" s="235"/>
      <c r="W1145" s="235"/>
      <c r="X1145" s="235"/>
      <c r="Y1145" s="235"/>
      <c r="Z1145" s="235"/>
      <c r="AA1145" s="235"/>
      <c r="AB1145" s="235"/>
      <c r="AC1145" s="235"/>
      <c r="AD1145" s="235"/>
      <c r="AE1145" s="235"/>
      <c r="AF1145" s="235"/>
      <c r="AG1145" s="235"/>
      <c r="AH1145" s="235"/>
      <c r="AI1145" s="235"/>
      <c r="AJ1145" s="235"/>
      <c r="AK1145" s="235"/>
      <c r="AL1145" s="235"/>
      <c r="AM1145" s="235"/>
      <c r="AN1145" s="235"/>
      <c r="AO1145" s="235"/>
      <c r="AP1145" s="235"/>
      <c r="AQ1145" s="235"/>
      <c r="AR1145" s="235"/>
      <c r="AS1145" s="235"/>
      <c r="AT1145" s="235"/>
      <c r="AU1145" s="235"/>
      <c r="AV1145" s="235"/>
      <c r="AW1145" s="235"/>
      <c r="AX1145" s="235"/>
      <c r="AY1145" s="235"/>
      <c r="AZ1145" s="235"/>
      <c r="BA1145" s="235"/>
      <c r="BB1145" s="235"/>
      <c r="BC1145" s="235"/>
      <c r="BD1145" s="235"/>
      <c r="BE1145" s="235"/>
      <c r="BF1145" s="235"/>
      <c r="BG1145" s="235"/>
      <c r="BH1145" s="235"/>
      <c r="BI1145" s="235"/>
      <c r="BJ1145" s="235"/>
      <c r="BK1145" s="235"/>
      <c r="BL1145" s="235"/>
      <c r="BM1145" s="235"/>
      <c r="BN1145" s="235"/>
      <c r="BO1145" s="235"/>
    </row>
    <row r="1146" ht="29.25" hidden="1" customHeight="1">
      <c r="A1146" s="230"/>
      <c r="B1146" s="231"/>
      <c r="C1146" s="179"/>
      <c r="D1146" s="179"/>
      <c r="E1146" s="180"/>
      <c r="F1146" s="162"/>
      <c r="G1146" s="232"/>
      <c r="H1146" s="234"/>
      <c r="I1146" s="181"/>
      <c r="J1146" s="182"/>
      <c r="K1146" s="182"/>
      <c r="L1146" s="182"/>
      <c r="M1146" s="234"/>
      <c r="N1146" s="28"/>
      <c r="O1146" s="181"/>
      <c r="P1146" s="183"/>
      <c r="Q1146" s="104"/>
      <c r="R1146" s="233"/>
      <c r="S1146" s="164"/>
      <c r="T1146" s="164"/>
      <c r="U1146" s="162"/>
      <c r="V1146" s="235"/>
      <c r="W1146" s="235"/>
      <c r="X1146" s="235"/>
      <c r="Y1146" s="235"/>
      <c r="Z1146" s="235"/>
      <c r="AA1146" s="235"/>
      <c r="AB1146" s="235"/>
      <c r="AC1146" s="235"/>
      <c r="AD1146" s="235"/>
      <c r="AE1146" s="235"/>
      <c r="AF1146" s="235"/>
      <c r="AG1146" s="235"/>
      <c r="AH1146" s="235"/>
      <c r="AI1146" s="235"/>
      <c r="AJ1146" s="235"/>
      <c r="AK1146" s="235"/>
      <c r="AL1146" s="235"/>
      <c r="AM1146" s="235"/>
      <c r="AN1146" s="235"/>
      <c r="AO1146" s="235"/>
      <c r="AP1146" s="235"/>
      <c r="AQ1146" s="235"/>
      <c r="AR1146" s="235"/>
      <c r="AS1146" s="235"/>
      <c r="AT1146" s="235"/>
      <c r="AU1146" s="235"/>
      <c r="AV1146" s="235"/>
      <c r="AW1146" s="235"/>
      <c r="AX1146" s="235"/>
      <c r="AY1146" s="235"/>
      <c r="AZ1146" s="235"/>
      <c r="BA1146" s="235"/>
      <c r="BB1146" s="235"/>
      <c r="BC1146" s="235"/>
      <c r="BD1146" s="235"/>
      <c r="BE1146" s="235"/>
      <c r="BF1146" s="235"/>
      <c r="BG1146" s="235"/>
      <c r="BH1146" s="235"/>
      <c r="BI1146" s="235"/>
      <c r="BJ1146" s="235"/>
      <c r="BK1146" s="235"/>
      <c r="BL1146" s="235"/>
      <c r="BM1146" s="235"/>
      <c r="BN1146" s="235"/>
      <c r="BO1146" s="235"/>
    </row>
    <row r="1147" ht="29.25" hidden="1" customHeight="1">
      <c r="A1147" s="230"/>
      <c r="B1147" s="231"/>
      <c r="C1147" s="179"/>
      <c r="D1147" s="179"/>
      <c r="E1147" s="180"/>
      <c r="F1147" s="162"/>
      <c r="G1147" s="232"/>
      <c r="H1147" s="234"/>
      <c r="I1147" s="181"/>
      <c r="J1147" s="182"/>
      <c r="K1147" s="182"/>
      <c r="L1147" s="182"/>
      <c r="M1147" s="234"/>
      <c r="N1147" s="28"/>
      <c r="O1147" s="181"/>
      <c r="P1147" s="183"/>
      <c r="Q1147" s="104"/>
      <c r="R1147" s="233"/>
      <c r="S1147" s="164"/>
      <c r="T1147" s="164"/>
      <c r="U1147" s="162"/>
      <c r="V1147" s="235"/>
      <c r="W1147" s="235"/>
      <c r="X1147" s="235"/>
      <c r="Y1147" s="235"/>
      <c r="Z1147" s="235"/>
      <c r="AA1147" s="235"/>
      <c r="AB1147" s="235"/>
      <c r="AC1147" s="235"/>
      <c r="AD1147" s="235"/>
      <c r="AE1147" s="235"/>
      <c r="AF1147" s="235"/>
      <c r="AG1147" s="235"/>
      <c r="AH1147" s="235"/>
      <c r="AI1147" s="235"/>
      <c r="AJ1147" s="235"/>
      <c r="AK1147" s="235"/>
      <c r="AL1147" s="235"/>
      <c r="AM1147" s="235"/>
      <c r="AN1147" s="235"/>
      <c r="AO1147" s="235"/>
      <c r="AP1147" s="235"/>
      <c r="AQ1147" s="235"/>
      <c r="AR1147" s="235"/>
      <c r="AS1147" s="235"/>
      <c r="AT1147" s="235"/>
      <c r="AU1147" s="235"/>
      <c r="AV1147" s="235"/>
      <c r="AW1147" s="235"/>
      <c r="AX1147" s="235"/>
      <c r="AY1147" s="235"/>
      <c r="AZ1147" s="235"/>
      <c r="BA1147" s="235"/>
      <c r="BB1147" s="235"/>
      <c r="BC1147" s="235"/>
      <c r="BD1147" s="235"/>
      <c r="BE1147" s="235"/>
      <c r="BF1147" s="235"/>
      <c r="BG1147" s="235"/>
      <c r="BH1147" s="235"/>
      <c r="BI1147" s="235"/>
      <c r="BJ1147" s="235"/>
      <c r="BK1147" s="235"/>
      <c r="BL1147" s="235"/>
      <c r="BM1147" s="235"/>
      <c r="BN1147" s="235"/>
      <c r="BO1147" s="235"/>
    </row>
    <row r="1148" ht="29.25" hidden="1" customHeight="1">
      <c r="A1148" s="230"/>
      <c r="B1148" s="231"/>
      <c r="C1148" s="179"/>
      <c r="D1148" s="179"/>
      <c r="E1148" s="180"/>
      <c r="F1148" s="162"/>
      <c r="G1148" s="232"/>
      <c r="H1148" s="234"/>
      <c r="I1148" s="181"/>
      <c r="J1148" s="182"/>
      <c r="K1148" s="182"/>
      <c r="L1148" s="182"/>
      <c r="M1148" s="234"/>
      <c r="N1148" s="28"/>
      <c r="O1148" s="181"/>
      <c r="P1148" s="183"/>
      <c r="Q1148" s="104"/>
      <c r="R1148" s="233"/>
      <c r="S1148" s="164"/>
      <c r="T1148" s="164"/>
      <c r="U1148" s="162"/>
      <c r="V1148" s="235"/>
      <c r="W1148" s="235"/>
      <c r="X1148" s="235"/>
      <c r="Y1148" s="235"/>
      <c r="Z1148" s="235"/>
      <c r="AA1148" s="235"/>
      <c r="AB1148" s="235"/>
      <c r="AC1148" s="235"/>
      <c r="AD1148" s="235"/>
      <c r="AE1148" s="235"/>
      <c r="AF1148" s="235"/>
      <c r="AG1148" s="235"/>
      <c r="AH1148" s="235"/>
      <c r="AI1148" s="235"/>
      <c r="AJ1148" s="235"/>
      <c r="AK1148" s="235"/>
      <c r="AL1148" s="235"/>
      <c r="AM1148" s="235"/>
      <c r="AN1148" s="235"/>
      <c r="AO1148" s="235"/>
      <c r="AP1148" s="235"/>
      <c r="AQ1148" s="235"/>
      <c r="AR1148" s="235"/>
      <c r="AS1148" s="235"/>
      <c r="AT1148" s="235"/>
      <c r="AU1148" s="235"/>
      <c r="AV1148" s="235"/>
      <c r="AW1148" s="235"/>
      <c r="AX1148" s="235"/>
      <c r="AY1148" s="235"/>
      <c r="AZ1148" s="235"/>
      <c r="BA1148" s="235"/>
      <c r="BB1148" s="235"/>
      <c r="BC1148" s="235"/>
      <c r="BD1148" s="235"/>
      <c r="BE1148" s="235"/>
      <c r="BF1148" s="235"/>
      <c r="BG1148" s="235"/>
      <c r="BH1148" s="235"/>
      <c r="BI1148" s="235"/>
      <c r="BJ1148" s="235"/>
      <c r="BK1148" s="235"/>
      <c r="BL1148" s="235"/>
      <c r="BM1148" s="235"/>
      <c r="BN1148" s="235"/>
      <c r="BO1148" s="235"/>
    </row>
    <row r="1149" ht="29.25" hidden="1" customHeight="1">
      <c r="A1149" s="230"/>
      <c r="B1149" s="231"/>
      <c r="C1149" s="179"/>
      <c r="D1149" s="179"/>
      <c r="E1149" s="180"/>
      <c r="F1149" s="162"/>
      <c r="G1149" s="232"/>
      <c r="H1149" s="234"/>
      <c r="I1149" s="181"/>
      <c r="J1149" s="182"/>
      <c r="K1149" s="182"/>
      <c r="L1149" s="182"/>
      <c r="M1149" s="234"/>
      <c r="N1149" s="28"/>
      <c r="O1149" s="181"/>
      <c r="P1149" s="183"/>
      <c r="Q1149" s="104"/>
      <c r="R1149" s="233"/>
      <c r="S1149" s="164"/>
      <c r="T1149" s="164"/>
      <c r="U1149" s="162"/>
      <c r="V1149" s="235"/>
      <c r="W1149" s="235"/>
      <c r="X1149" s="235"/>
      <c r="Y1149" s="235"/>
      <c r="Z1149" s="235"/>
      <c r="AA1149" s="235"/>
      <c r="AB1149" s="235"/>
      <c r="AC1149" s="235"/>
      <c r="AD1149" s="235"/>
      <c r="AE1149" s="235"/>
      <c r="AF1149" s="235"/>
      <c r="AG1149" s="235"/>
      <c r="AH1149" s="235"/>
      <c r="AI1149" s="235"/>
      <c r="AJ1149" s="235"/>
      <c r="AK1149" s="235"/>
      <c r="AL1149" s="235"/>
      <c r="AM1149" s="235"/>
      <c r="AN1149" s="235"/>
      <c r="AO1149" s="235"/>
      <c r="AP1149" s="235"/>
      <c r="AQ1149" s="235"/>
      <c r="AR1149" s="235"/>
      <c r="AS1149" s="235"/>
      <c r="AT1149" s="235"/>
      <c r="AU1149" s="235"/>
      <c r="AV1149" s="235"/>
      <c r="AW1149" s="235"/>
      <c r="AX1149" s="235"/>
      <c r="AY1149" s="235"/>
      <c r="AZ1149" s="235"/>
      <c r="BA1149" s="235"/>
      <c r="BB1149" s="235"/>
      <c r="BC1149" s="235"/>
      <c r="BD1149" s="235"/>
      <c r="BE1149" s="235"/>
      <c r="BF1149" s="235"/>
      <c r="BG1149" s="235"/>
      <c r="BH1149" s="235"/>
      <c r="BI1149" s="235"/>
      <c r="BJ1149" s="235"/>
      <c r="BK1149" s="235"/>
      <c r="BL1149" s="235"/>
      <c r="BM1149" s="235"/>
      <c r="BN1149" s="235"/>
      <c r="BO1149" s="235"/>
    </row>
    <row r="1150" ht="29.25" hidden="1" customHeight="1">
      <c r="A1150" s="230"/>
      <c r="B1150" s="231"/>
      <c r="C1150" s="179"/>
      <c r="D1150" s="179"/>
      <c r="E1150" s="180"/>
      <c r="F1150" s="162"/>
      <c r="G1150" s="232"/>
      <c r="H1150" s="234"/>
      <c r="I1150" s="181"/>
      <c r="J1150" s="182"/>
      <c r="K1150" s="182"/>
      <c r="L1150" s="182"/>
      <c r="M1150" s="234"/>
      <c r="N1150" s="28"/>
      <c r="O1150" s="181"/>
      <c r="P1150" s="183"/>
      <c r="Q1150" s="104"/>
      <c r="R1150" s="233"/>
      <c r="S1150" s="164"/>
      <c r="T1150" s="164"/>
      <c r="U1150" s="162"/>
      <c r="V1150" s="235"/>
      <c r="W1150" s="235"/>
      <c r="X1150" s="235"/>
      <c r="Y1150" s="235"/>
      <c r="Z1150" s="235"/>
      <c r="AA1150" s="235"/>
      <c r="AB1150" s="235"/>
      <c r="AC1150" s="235"/>
      <c r="AD1150" s="235"/>
      <c r="AE1150" s="235"/>
      <c r="AF1150" s="235"/>
      <c r="AG1150" s="235"/>
      <c r="AH1150" s="235"/>
      <c r="AI1150" s="235"/>
      <c r="AJ1150" s="235"/>
      <c r="AK1150" s="235"/>
      <c r="AL1150" s="235"/>
      <c r="AM1150" s="235"/>
      <c r="AN1150" s="235"/>
      <c r="AO1150" s="235"/>
      <c r="AP1150" s="235"/>
      <c r="AQ1150" s="235"/>
      <c r="AR1150" s="235"/>
      <c r="AS1150" s="235"/>
      <c r="AT1150" s="235"/>
      <c r="AU1150" s="235"/>
      <c r="AV1150" s="235"/>
      <c r="AW1150" s="235"/>
      <c r="AX1150" s="235"/>
      <c r="AY1150" s="235"/>
      <c r="AZ1150" s="235"/>
      <c r="BA1150" s="235"/>
      <c r="BB1150" s="235"/>
      <c r="BC1150" s="235"/>
      <c r="BD1150" s="235"/>
      <c r="BE1150" s="235"/>
      <c r="BF1150" s="235"/>
      <c r="BG1150" s="235"/>
      <c r="BH1150" s="235"/>
      <c r="BI1150" s="235"/>
      <c r="BJ1150" s="235"/>
      <c r="BK1150" s="235"/>
      <c r="BL1150" s="235"/>
      <c r="BM1150" s="235"/>
      <c r="BN1150" s="235"/>
      <c r="BO1150" s="235"/>
    </row>
    <row r="1151" ht="29.25" hidden="1" customHeight="1">
      <c r="A1151" s="230"/>
      <c r="B1151" s="231"/>
      <c r="C1151" s="179"/>
      <c r="D1151" s="179"/>
      <c r="E1151" s="180"/>
      <c r="F1151" s="162"/>
      <c r="G1151" s="232"/>
      <c r="H1151" s="234"/>
      <c r="I1151" s="181"/>
      <c r="J1151" s="182"/>
      <c r="K1151" s="182"/>
      <c r="L1151" s="182"/>
      <c r="M1151" s="234"/>
      <c r="N1151" s="28"/>
      <c r="O1151" s="181"/>
      <c r="P1151" s="183"/>
      <c r="Q1151" s="104"/>
      <c r="R1151" s="233"/>
      <c r="S1151" s="164"/>
      <c r="T1151" s="164"/>
      <c r="U1151" s="162"/>
      <c r="V1151" s="235"/>
      <c r="W1151" s="235"/>
      <c r="X1151" s="235"/>
      <c r="Y1151" s="235"/>
      <c r="Z1151" s="235"/>
      <c r="AA1151" s="235"/>
      <c r="AB1151" s="235"/>
      <c r="AC1151" s="235"/>
      <c r="AD1151" s="235"/>
      <c r="AE1151" s="235"/>
      <c r="AF1151" s="235"/>
      <c r="AG1151" s="235"/>
      <c r="AH1151" s="235"/>
      <c r="AI1151" s="235"/>
      <c r="AJ1151" s="235"/>
      <c r="AK1151" s="235"/>
      <c r="AL1151" s="235"/>
      <c r="AM1151" s="235"/>
      <c r="AN1151" s="235"/>
      <c r="AO1151" s="235"/>
      <c r="AP1151" s="235"/>
      <c r="AQ1151" s="235"/>
      <c r="AR1151" s="235"/>
      <c r="AS1151" s="235"/>
      <c r="AT1151" s="235"/>
      <c r="AU1151" s="235"/>
      <c r="AV1151" s="235"/>
      <c r="AW1151" s="235"/>
      <c r="AX1151" s="235"/>
      <c r="AY1151" s="235"/>
      <c r="AZ1151" s="235"/>
      <c r="BA1151" s="235"/>
      <c r="BB1151" s="235"/>
      <c r="BC1151" s="235"/>
      <c r="BD1151" s="235"/>
      <c r="BE1151" s="235"/>
      <c r="BF1151" s="235"/>
      <c r="BG1151" s="235"/>
      <c r="BH1151" s="235"/>
      <c r="BI1151" s="235"/>
      <c r="BJ1151" s="235"/>
      <c r="BK1151" s="235"/>
      <c r="BL1151" s="235"/>
      <c r="BM1151" s="235"/>
      <c r="BN1151" s="235"/>
      <c r="BO1151" s="235"/>
    </row>
    <row r="1152" ht="29.25" hidden="1" customHeight="1">
      <c r="A1152" s="230"/>
      <c r="B1152" s="231"/>
      <c r="C1152" s="179"/>
      <c r="D1152" s="179"/>
      <c r="E1152" s="180"/>
      <c r="F1152" s="162"/>
      <c r="G1152" s="232"/>
      <c r="H1152" s="234"/>
      <c r="I1152" s="181"/>
      <c r="J1152" s="182"/>
      <c r="K1152" s="182"/>
      <c r="L1152" s="182"/>
      <c r="M1152" s="234"/>
      <c r="N1152" s="28"/>
      <c r="O1152" s="181"/>
      <c r="P1152" s="183"/>
      <c r="Q1152" s="104"/>
      <c r="R1152" s="233"/>
      <c r="S1152" s="164"/>
      <c r="T1152" s="164"/>
      <c r="U1152" s="162"/>
      <c r="V1152" s="235"/>
      <c r="W1152" s="235"/>
      <c r="X1152" s="235"/>
      <c r="Y1152" s="235"/>
      <c r="Z1152" s="235"/>
      <c r="AA1152" s="235"/>
      <c r="AB1152" s="235"/>
      <c r="AC1152" s="235"/>
      <c r="AD1152" s="235"/>
      <c r="AE1152" s="235"/>
      <c r="AF1152" s="235"/>
      <c r="AG1152" s="235"/>
      <c r="AH1152" s="235"/>
      <c r="AI1152" s="235"/>
      <c r="AJ1152" s="235"/>
      <c r="AK1152" s="235"/>
      <c r="AL1152" s="235"/>
      <c r="AM1152" s="235"/>
      <c r="AN1152" s="235"/>
      <c r="AO1152" s="235"/>
      <c r="AP1152" s="235"/>
      <c r="AQ1152" s="235"/>
      <c r="AR1152" s="235"/>
      <c r="AS1152" s="235"/>
      <c r="AT1152" s="235"/>
      <c r="AU1152" s="235"/>
      <c r="AV1152" s="235"/>
      <c r="AW1152" s="235"/>
      <c r="AX1152" s="235"/>
      <c r="AY1152" s="235"/>
      <c r="AZ1152" s="235"/>
      <c r="BA1152" s="235"/>
      <c r="BB1152" s="235"/>
      <c r="BC1152" s="235"/>
      <c r="BD1152" s="235"/>
      <c r="BE1152" s="235"/>
      <c r="BF1152" s="235"/>
      <c r="BG1152" s="235"/>
      <c r="BH1152" s="235"/>
      <c r="BI1152" s="235"/>
      <c r="BJ1152" s="235"/>
      <c r="BK1152" s="235"/>
      <c r="BL1152" s="235"/>
      <c r="BM1152" s="235"/>
      <c r="BN1152" s="235"/>
      <c r="BO1152" s="235"/>
    </row>
    <row r="1153" ht="29.25" hidden="1" customHeight="1">
      <c r="A1153" s="230"/>
      <c r="B1153" s="231"/>
      <c r="C1153" s="179"/>
      <c r="D1153" s="179"/>
      <c r="E1153" s="180"/>
      <c r="F1153" s="162"/>
      <c r="G1153" s="232"/>
      <c r="H1153" s="234"/>
      <c r="I1153" s="181"/>
      <c r="J1153" s="182"/>
      <c r="K1153" s="182"/>
      <c r="L1153" s="182"/>
      <c r="M1153" s="234"/>
      <c r="N1153" s="28"/>
      <c r="O1153" s="181"/>
      <c r="P1153" s="183"/>
      <c r="Q1153" s="104"/>
      <c r="R1153" s="233"/>
      <c r="S1153" s="164"/>
      <c r="T1153" s="164"/>
      <c r="U1153" s="162"/>
      <c r="V1153" s="235"/>
      <c r="W1153" s="235"/>
      <c r="X1153" s="235"/>
      <c r="Y1153" s="235"/>
      <c r="Z1153" s="235"/>
      <c r="AA1153" s="235"/>
      <c r="AB1153" s="235"/>
      <c r="AC1153" s="235"/>
      <c r="AD1153" s="235"/>
      <c r="AE1153" s="235"/>
      <c r="AF1153" s="235"/>
      <c r="AG1153" s="235"/>
      <c r="AH1153" s="235"/>
      <c r="AI1153" s="235"/>
      <c r="AJ1153" s="235"/>
      <c r="AK1153" s="235"/>
      <c r="AL1153" s="235"/>
      <c r="AM1153" s="235"/>
      <c r="AN1153" s="235"/>
      <c r="AO1153" s="235"/>
      <c r="AP1153" s="235"/>
      <c r="AQ1153" s="235"/>
      <c r="AR1153" s="235"/>
      <c r="AS1153" s="235"/>
      <c r="AT1153" s="235"/>
      <c r="AU1153" s="235"/>
      <c r="AV1153" s="235"/>
      <c r="AW1153" s="235"/>
      <c r="AX1153" s="235"/>
      <c r="AY1153" s="235"/>
      <c r="AZ1153" s="235"/>
      <c r="BA1153" s="235"/>
      <c r="BB1153" s="235"/>
      <c r="BC1153" s="235"/>
      <c r="BD1153" s="235"/>
      <c r="BE1153" s="235"/>
      <c r="BF1153" s="235"/>
      <c r="BG1153" s="235"/>
      <c r="BH1153" s="235"/>
      <c r="BI1153" s="235"/>
      <c r="BJ1153" s="235"/>
      <c r="BK1153" s="235"/>
      <c r="BL1153" s="235"/>
      <c r="BM1153" s="235"/>
      <c r="BN1153" s="235"/>
      <c r="BO1153" s="235"/>
    </row>
    <row r="1154" ht="29.25" hidden="1" customHeight="1">
      <c r="A1154" s="230"/>
      <c r="B1154" s="231"/>
      <c r="C1154" s="179"/>
      <c r="D1154" s="179"/>
      <c r="E1154" s="180"/>
      <c r="F1154" s="162"/>
      <c r="G1154" s="232"/>
      <c r="H1154" s="234"/>
      <c r="I1154" s="181"/>
      <c r="J1154" s="182"/>
      <c r="K1154" s="182"/>
      <c r="L1154" s="182"/>
      <c r="M1154" s="234"/>
      <c r="N1154" s="28"/>
      <c r="O1154" s="181"/>
      <c r="P1154" s="183"/>
      <c r="Q1154" s="104"/>
      <c r="R1154" s="233"/>
      <c r="S1154" s="164"/>
      <c r="T1154" s="164"/>
      <c r="U1154" s="162"/>
      <c r="V1154" s="235"/>
      <c r="W1154" s="235"/>
      <c r="X1154" s="235"/>
      <c r="Y1154" s="235"/>
      <c r="Z1154" s="235"/>
      <c r="AA1154" s="235"/>
      <c r="AB1154" s="235"/>
      <c r="AC1154" s="235"/>
      <c r="AD1154" s="235"/>
      <c r="AE1154" s="235"/>
      <c r="AF1154" s="235"/>
      <c r="AG1154" s="235"/>
      <c r="AH1154" s="235"/>
      <c r="AI1154" s="235"/>
      <c r="AJ1154" s="235"/>
      <c r="AK1154" s="235"/>
      <c r="AL1154" s="235"/>
      <c r="AM1154" s="235"/>
      <c r="AN1154" s="235"/>
      <c r="AO1154" s="235"/>
      <c r="AP1154" s="235"/>
      <c r="AQ1154" s="235"/>
      <c r="AR1154" s="235"/>
      <c r="AS1154" s="235"/>
      <c r="AT1154" s="235"/>
      <c r="AU1154" s="235"/>
      <c r="AV1154" s="235"/>
      <c r="AW1154" s="235"/>
      <c r="AX1154" s="235"/>
      <c r="AY1154" s="235"/>
      <c r="AZ1154" s="235"/>
      <c r="BA1154" s="235"/>
      <c r="BB1154" s="235"/>
      <c r="BC1154" s="235"/>
      <c r="BD1154" s="235"/>
      <c r="BE1154" s="235"/>
      <c r="BF1154" s="235"/>
      <c r="BG1154" s="235"/>
      <c r="BH1154" s="235"/>
      <c r="BI1154" s="235"/>
      <c r="BJ1154" s="235"/>
      <c r="BK1154" s="235"/>
      <c r="BL1154" s="235"/>
      <c r="BM1154" s="235"/>
      <c r="BN1154" s="235"/>
      <c r="BO1154" s="235"/>
    </row>
    <row r="1155" ht="29.25" hidden="1" customHeight="1">
      <c r="A1155" s="230"/>
      <c r="B1155" s="231"/>
      <c r="C1155" s="179"/>
      <c r="D1155" s="179"/>
      <c r="E1155" s="180"/>
      <c r="F1155" s="162"/>
      <c r="G1155" s="232"/>
      <c r="H1155" s="234"/>
      <c r="I1155" s="181"/>
      <c r="J1155" s="182"/>
      <c r="K1155" s="182"/>
      <c r="L1155" s="182"/>
      <c r="M1155" s="234"/>
      <c r="N1155" s="28"/>
      <c r="O1155" s="181"/>
      <c r="P1155" s="183"/>
      <c r="Q1155" s="104"/>
      <c r="R1155" s="233"/>
      <c r="S1155" s="164"/>
      <c r="T1155" s="164"/>
      <c r="U1155" s="162"/>
      <c r="V1155" s="235"/>
      <c r="W1155" s="235"/>
      <c r="X1155" s="235"/>
      <c r="Y1155" s="235"/>
      <c r="Z1155" s="235"/>
      <c r="AA1155" s="235"/>
      <c r="AB1155" s="235"/>
      <c r="AC1155" s="235"/>
      <c r="AD1155" s="235"/>
      <c r="AE1155" s="235"/>
      <c r="AF1155" s="235"/>
      <c r="AG1155" s="235"/>
      <c r="AH1155" s="235"/>
      <c r="AI1155" s="235"/>
      <c r="AJ1155" s="235"/>
      <c r="AK1155" s="235"/>
      <c r="AL1155" s="235"/>
      <c r="AM1155" s="235"/>
      <c r="AN1155" s="235"/>
      <c r="AO1155" s="235"/>
      <c r="AP1155" s="235"/>
      <c r="AQ1155" s="235"/>
      <c r="AR1155" s="235"/>
      <c r="AS1155" s="235"/>
      <c r="AT1155" s="235"/>
      <c r="AU1155" s="235"/>
      <c r="AV1155" s="235"/>
      <c r="AW1155" s="235"/>
      <c r="AX1155" s="235"/>
      <c r="AY1155" s="235"/>
      <c r="AZ1155" s="235"/>
      <c r="BA1155" s="235"/>
      <c r="BB1155" s="235"/>
      <c r="BC1155" s="235"/>
      <c r="BD1155" s="235"/>
      <c r="BE1155" s="235"/>
      <c r="BF1155" s="235"/>
      <c r="BG1155" s="235"/>
      <c r="BH1155" s="235"/>
      <c r="BI1155" s="235"/>
      <c r="BJ1155" s="235"/>
      <c r="BK1155" s="235"/>
      <c r="BL1155" s="235"/>
      <c r="BM1155" s="235"/>
      <c r="BN1155" s="235"/>
      <c r="BO1155" s="235"/>
    </row>
    <row r="1156" ht="29.25" hidden="1" customHeight="1">
      <c r="A1156" s="230"/>
      <c r="B1156" s="231"/>
      <c r="C1156" s="179"/>
      <c r="D1156" s="179"/>
      <c r="E1156" s="180"/>
      <c r="F1156" s="162"/>
      <c r="G1156" s="232"/>
      <c r="H1156" s="234"/>
      <c r="I1156" s="181"/>
      <c r="J1156" s="182"/>
      <c r="K1156" s="182"/>
      <c r="L1156" s="182"/>
      <c r="M1156" s="234"/>
      <c r="N1156" s="28"/>
      <c r="O1156" s="181"/>
      <c r="P1156" s="183"/>
      <c r="Q1156" s="104"/>
      <c r="R1156" s="233"/>
      <c r="S1156" s="164"/>
      <c r="T1156" s="164"/>
      <c r="U1156" s="162"/>
      <c r="V1156" s="235"/>
      <c r="W1156" s="235"/>
      <c r="X1156" s="235"/>
      <c r="Y1156" s="235"/>
      <c r="Z1156" s="235"/>
      <c r="AA1156" s="235"/>
      <c r="AB1156" s="235"/>
      <c r="AC1156" s="235"/>
      <c r="AD1156" s="235"/>
      <c r="AE1156" s="235"/>
      <c r="AF1156" s="235"/>
      <c r="AG1156" s="235"/>
      <c r="AH1156" s="235"/>
      <c r="AI1156" s="235"/>
      <c r="AJ1156" s="235"/>
      <c r="AK1156" s="235"/>
      <c r="AL1156" s="235"/>
      <c r="AM1156" s="235"/>
      <c r="AN1156" s="235"/>
      <c r="AO1156" s="235"/>
      <c r="AP1156" s="235"/>
      <c r="AQ1156" s="235"/>
      <c r="AR1156" s="235"/>
      <c r="AS1156" s="235"/>
      <c r="AT1156" s="235"/>
      <c r="AU1156" s="235"/>
      <c r="AV1156" s="235"/>
      <c r="AW1156" s="235"/>
      <c r="AX1156" s="235"/>
      <c r="AY1156" s="235"/>
      <c r="AZ1156" s="235"/>
      <c r="BA1156" s="235"/>
      <c r="BB1156" s="235"/>
      <c r="BC1156" s="235"/>
      <c r="BD1156" s="235"/>
      <c r="BE1156" s="235"/>
      <c r="BF1156" s="235"/>
      <c r="BG1156" s="235"/>
      <c r="BH1156" s="235"/>
      <c r="BI1156" s="235"/>
      <c r="BJ1156" s="235"/>
      <c r="BK1156" s="235"/>
      <c r="BL1156" s="235"/>
      <c r="BM1156" s="235"/>
      <c r="BN1156" s="235"/>
      <c r="BO1156" s="235"/>
    </row>
    <row r="1157" ht="29.25" hidden="1" customHeight="1">
      <c r="A1157" s="230"/>
      <c r="B1157" s="231"/>
      <c r="C1157" s="179"/>
      <c r="D1157" s="179"/>
      <c r="E1157" s="180"/>
      <c r="F1157" s="162"/>
      <c r="G1157" s="232"/>
      <c r="H1157" s="234"/>
      <c r="I1157" s="181"/>
      <c r="J1157" s="182"/>
      <c r="K1157" s="182"/>
      <c r="L1157" s="182"/>
      <c r="M1157" s="234"/>
      <c r="N1157" s="28"/>
      <c r="O1157" s="181"/>
      <c r="P1157" s="183"/>
      <c r="Q1157" s="104"/>
      <c r="R1157" s="233"/>
      <c r="S1157" s="164"/>
      <c r="T1157" s="164"/>
      <c r="U1157" s="162"/>
      <c r="V1157" s="235"/>
      <c r="W1157" s="235"/>
      <c r="X1157" s="235"/>
      <c r="Y1157" s="235"/>
      <c r="Z1157" s="235"/>
      <c r="AA1157" s="235"/>
      <c r="AB1157" s="235"/>
      <c r="AC1157" s="235"/>
      <c r="AD1157" s="235"/>
      <c r="AE1157" s="235"/>
      <c r="AF1157" s="235"/>
      <c r="AG1157" s="235"/>
      <c r="AH1157" s="235"/>
      <c r="AI1157" s="235"/>
      <c r="AJ1157" s="235"/>
      <c r="AK1157" s="235"/>
      <c r="AL1157" s="235"/>
      <c r="AM1157" s="235"/>
      <c r="AN1157" s="235"/>
      <c r="AO1157" s="235"/>
      <c r="AP1157" s="235"/>
      <c r="AQ1157" s="235"/>
      <c r="AR1157" s="235"/>
      <c r="AS1157" s="235"/>
      <c r="AT1157" s="235"/>
      <c r="AU1157" s="235"/>
      <c r="AV1157" s="235"/>
      <c r="AW1157" s="235"/>
      <c r="AX1157" s="235"/>
      <c r="AY1157" s="235"/>
      <c r="AZ1157" s="235"/>
      <c r="BA1157" s="235"/>
      <c r="BB1157" s="235"/>
      <c r="BC1157" s="235"/>
      <c r="BD1157" s="235"/>
      <c r="BE1157" s="235"/>
      <c r="BF1157" s="235"/>
      <c r="BG1157" s="235"/>
      <c r="BH1157" s="235"/>
      <c r="BI1157" s="235"/>
      <c r="BJ1157" s="235"/>
      <c r="BK1157" s="235"/>
      <c r="BL1157" s="235"/>
      <c r="BM1157" s="235"/>
      <c r="BN1157" s="235"/>
      <c r="BO1157" s="235"/>
    </row>
    <row r="1158" ht="29.25" hidden="1" customHeight="1">
      <c r="A1158" s="230"/>
      <c r="B1158" s="231"/>
      <c r="C1158" s="179"/>
      <c r="D1158" s="179"/>
      <c r="E1158" s="180"/>
      <c r="F1158" s="162"/>
      <c r="G1158" s="232"/>
      <c r="H1158" s="234"/>
      <c r="I1158" s="181"/>
      <c r="J1158" s="182"/>
      <c r="K1158" s="182"/>
      <c r="L1158" s="182"/>
      <c r="M1158" s="234"/>
      <c r="N1158" s="28"/>
      <c r="O1158" s="181"/>
      <c r="P1158" s="183"/>
      <c r="Q1158" s="104"/>
      <c r="R1158" s="233"/>
      <c r="S1158" s="164"/>
      <c r="T1158" s="164"/>
      <c r="U1158" s="162"/>
      <c r="V1158" s="235"/>
      <c r="W1158" s="235"/>
      <c r="X1158" s="235"/>
      <c r="Y1158" s="235"/>
      <c r="Z1158" s="235"/>
      <c r="AA1158" s="235"/>
      <c r="AB1158" s="235"/>
      <c r="AC1158" s="235"/>
      <c r="AD1158" s="235"/>
      <c r="AE1158" s="235"/>
      <c r="AF1158" s="235"/>
      <c r="AG1158" s="235"/>
      <c r="AH1158" s="235"/>
      <c r="AI1158" s="235"/>
      <c r="AJ1158" s="235"/>
      <c r="AK1158" s="235"/>
      <c r="AL1158" s="235"/>
      <c r="AM1158" s="235"/>
      <c r="AN1158" s="235"/>
      <c r="AO1158" s="235"/>
      <c r="AP1158" s="235"/>
      <c r="AQ1158" s="235"/>
      <c r="AR1158" s="235"/>
      <c r="AS1158" s="235"/>
      <c r="AT1158" s="235"/>
      <c r="AU1158" s="235"/>
      <c r="AV1158" s="235"/>
      <c r="AW1158" s="235"/>
      <c r="AX1158" s="235"/>
      <c r="AY1158" s="235"/>
      <c r="AZ1158" s="235"/>
      <c r="BA1158" s="235"/>
      <c r="BB1158" s="235"/>
      <c r="BC1158" s="235"/>
      <c r="BD1158" s="235"/>
      <c r="BE1158" s="235"/>
      <c r="BF1158" s="235"/>
      <c r="BG1158" s="235"/>
      <c r="BH1158" s="235"/>
      <c r="BI1158" s="235"/>
      <c r="BJ1158" s="235"/>
      <c r="BK1158" s="235"/>
      <c r="BL1158" s="235"/>
      <c r="BM1158" s="235"/>
      <c r="BN1158" s="235"/>
      <c r="BO1158" s="235"/>
    </row>
    <row r="1159" ht="29.25" hidden="1" customHeight="1">
      <c r="A1159" s="230"/>
      <c r="B1159" s="231"/>
      <c r="C1159" s="179"/>
      <c r="D1159" s="179"/>
      <c r="E1159" s="180"/>
      <c r="F1159" s="162"/>
      <c r="G1159" s="232"/>
      <c r="H1159" s="234"/>
      <c r="I1159" s="181"/>
      <c r="J1159" s="182"/>
      <c r="K1159" s="182"/>
      <c r="L1159" s="182"/>
      <c r="M1159" s="234"/>
      <c r="N1159" s="28"/>
      <c r="O1159" s="181"/>
      <c r="P1159" s="183"/>
      <c r="Q1159" s="104"/>
      <c r="R1159" s="233"/>
      <c r="S1159" s="164"/>
      <c r="T1159" s="164"/>
      <c r="U1159" s="162"/>
      <c r="V1159" s="235"/>
      <c r="W1159" s="235"/>
      <c r="X1159" s="235"/>
      <c r="Y1159" s="235"/>
      <c r="Z1159" s="235"/>
      <c r="AA1159" s="235"/>
      <c r="AB1159" s="235"/>
      <c r="AC1159" s="235"/>
      <c r="AD1159" s="235"/>
      <c r="AE1159" s="235"/>
      <c r="AF1159" s="235"/>
      <c r="AG1159" s="235"/>
      <c r="AH1159" s="235"/>
      <c r="AI1159" s="235"/>
      <c r="AJ1159" s="235"/>
      <c r="AK1159" s="235"/>
      <c r="AL1159" s="235"/>
      <c r="AM1159" s="235"/>
      <c r="AN1159" s="235"/>
      <c r="AO1159" s="235"/>
      <c r="AP1159" s="235"/>
      <c r="AQ1159" s="235"/>
      <c r="AR1159" s="235"/>
      <c r="AS1159" s="235"/>
      <c r="AT1159" s="235"/>
      <c r="AU1159" s="235"/>
      <c r="AV1159" s="235"/>
      <c r="AW1159" s="235"/>
      <c r="AX1159" s="235"/>
      <c r="AY1159" s="235"/>
      <c r="AZ1159" s="235"/>
      <c r="BA1159" s="235"/>
      <c r="BB1159" s="235"/>
      <c r="BC1159" s="235"/>
      <c r="BD1159" s="235"/>
      <c r="BE1159" s="235"/>
      <c r="BF1159" s="235"/>
      <c r="BG1159" s="235"/>
      <c r="BH1159" s="235"/>
      <c r="BI1159" s="235"/>
      <c r="BJ1159" s="235"/>
      <c r="BK1159" s="235"/>
      <c r="BL1159" s="235"/>
      <c r="BM1159" s="235"/>
      <c r="BN1159" s="235"/>
      <c r="BO1159" s="235"/>
    </row>
    <row r="1160" ht="29.25" hidden="1" customHeight="1">
      <c r="A1160" s="230"/>
      <c r="B1160" s="231"/>
      <c r="C1160" s="179"/>
      <c r="D1160" s="179"/>
      <c r="E1160" s="180"/>
      <c r="F1160" s="162"/>
      <c r="G1160" s="232"/>
      <c r="H1160" s="234"/>
      <c r="I1160" s="181"/>
      <c r="J1160" s="182"/>
      <c r="K1160" s="182"/>
      <c r="L1160" s="182"/>
      <c r="M1160" s="234"/>
      <c r="N1160" s="28"/>
      <c r="O1160" s="181"/>
      <c r="P1160" s="183"/>
      <c r="Q1160" s="104"/>
      <c r="R1160" s="233"/>
      <c r="S1160" s="164"/>
      <c r="T1160" s="164"/>
      <c r="U1160" s="162"/>
      <c r="V1160" s="235"/>
      <c r="W1160" s="235"/>
      <c r="X1160" s="235"/>
      <c r="Y1160" s="235"/>
      <c r="Z1160" s="235"/>
      <c r="AA1160" s="235"/>
      <c r="AB1160" s="235"/>
      <c r="AC1160" s="235"/>
      <c r="AD1160" s="235"/>
      <c r="AE1160" s="235"/>
      <c r="AF1160" s="235"/>
      <c r="AG1160" s="235"/>
      <c r="AH1160" s="235"/>
      <c r="AI1160" s="235"/>
      <c r="AJ1160" s="235"/>
      <c r="AK1160" s="235"/>
      <c r="AL1160" s="235"/>
      <c r="AM1160" s="235"/>
      <c r="AN1160" s="235"/>
      <c r="AO1160" s="235"/>
      <c r="AP1160" s="235"/>
      <c r="AQ1160" s="235"/>
      <c r="AR1160" s="235"/>
      <c r="AS1160" s="235"/>
      <c r="AT1160" s="235"/>
      <c r="AU1160" s="235"/>
      <c r="AV1160" s="235"/>
      <c r="AW1160" s="235"/>
      <c r="AX1160" s="235"/>
      <c r="AY1160" s="235"/>
      <c r="AZ1160" s="235"/>
      <c r="BA1160" s="235"/>
      <c r="BB1160" s="235"/>
      <c r="BC1160" s="235"/>
      <c r="BD1160" s="235"/>
      <c r="BE1160" s="235"/>
      <c r="BF1160" s="235"/>
      <c r="BG1160" s="235"/>
      <c r="BH1160" s="235"/>
      <c r="BI1160" s="235"/>
      <c r="BJ1160" s="235"/>
      <c r="BK1160" s="235"/>
      <c r="BL1160" s="235"/>
      <c r="BM1160" s="235"/>
      <c r="BN1160" s="235"/>
      <c r="BO1160" s="235"/>
    </row>
    <row r="1161" ht="29.25" hidden="1" customHeight="1">
      <c r="A1161" s="230"/>
      <c r="B1161" s="231"/>
      <c r="C1161" s="179"/>
      <c r="D1161" s="179"/>
      <c r="E1161" s="180"/>
      <c r="F1161" s="162"/>
      <c r="G1161" s="232"/>
      <c r="H1161" s="234"/>
      <c r="I1161" s="181"/>
      <c r="J1161" s="182"/>
      <c r="K1161" s="182"/>
      <c r="L1161" s="182"/>
      <c r="M1161" s="234"/>
      <c r="N1161" s="28"/>
      <c r="O1161" s="181"/>
      <c r="P1161" s="183"/>
      <c r="Q1161" s="104"/>
      <c r="R1161" s="233"/>
      <c r="S1161" s="164"/>
      <c r="T1161" s="164"/>
      <c r="U1161" s="162"/>
      <c r="V1161" s="235"/>
      <c r="W1161" s="235"/>
      <c r="X1161" s="235"/>
      <c r="Y1161" s="235"/>
      <c r="Z1161" s="235"/>
      <c r="AA1161" s="235"/>
      <c r="AB1161" s="235"/>
      <c r="AC1161" s="235"/>
      <c r="AD1161" s="235"/>
      <c r="AE1161" s="235"/>
      <c r="AF1161" s="235"/>
      <c r="AG1161" s="235"/>
      <c r="AH1161" s="235"/>
      <c r="AI1161" s="235"/>
      <c r="AJ1161" s="235"/>
      <c r="AK1161" s="235"/>
      <c r="AL1161" s="235"/>
      <c r="AM1161" s="235"/>
      <c r="AN1161" s="235"/>
      <c r="AO1161" s="235"/>
      <c r="AP1161" s="235"/>
      <c r="AQ1161" s="235"/>
      <c r="AR1161" s="235"/>
      <c r="AS1161" s="235"/>
      <c r="AT1161" s="235"/>
      <c r="AU1161" s="235"/>
      <c r="AV1161" s="235"/>
      <c r="AW1161" s="235"/>
      <c r="AX1161" s="235"/>
      <c r="AY1161" s="235"/>
      <c r="AZ1161" s="235"/>
      <c r="BA1161" s="235"/>
      <c r="BB1161" s="235"/>
      <c r="BC1161" s="235"/>
      <c r="BD1161" s="235"/>
      <c r="BE1161" s="235"/>
      <c r="BF1161" s="235"/>
      <c r="BG1161" s="235"/>
      <c r="BH1161" s="235"/>
      <c r="BI1161" s="235"/>
      <c r="BJ1161" s="235"/>
      <c r="BK1161" s="235"/>
      <c r="BL1161" s="235"/>
      <c r="BM1161" s="235"/>
      <c r="BN1161" s="235"/>
      <c r="BO1161" s="235"/>
    </row>
    <row r="1162" ht="29.25" hidden="1" customHeight="1">
      <c r="A1162" s="230"/>
      <c r="B1162" s="231"/>
      <c r="C1162" s="179"/>
      <c r="D1162" s="179"/>
      <c r="E1162" s="180"/>
      <c r="F1162" s="162"/>
      <c r="G1162" s="232"/>
      <c r="H1162" s="234"/>
      <c r="I1162" s="181"/>
      <c r="J1162" s="182"/>
      <c r="K1162" s="182"/>
      <c r="L1162" s="182"/>
      <c r="M1162" s="234"/>
      <c r="N1162" s="28"/>
      <c r="O1162" s="181"/>
      <c r="P1162" s="183"/>
      <c r="Q1162" s="104"/>
      <c r="R1162" s="233"/>
      <c r="S1162" s="164"/>
      <c r="T1162" s="164"/>
      <c r="U1162" s="162"/>
      <c r="V1162" s="235"/>
      <c r="W1162" s="235"/>
      <c r="X1162" s="235"/>
      <c r="Y1162" s="235"/>
      <c r="Z1162" s="235"/>
      <c r="AA1162" s="235"/>
      <c r="AB1162" s="235"/>
      <c r="AC1162" s="235"/>
      <c r="AD1162" s="235"/>
      <c r="AE1162" s="235"/>
      <c r="AF1162" s="235"/>
      <c r="AG1162" s="235"/>
      <c r="AH1162" s="235"/>
      <c r="AI1162" s="235"/>
      <c r="AJ1162" s="235"/>
      <c r="AK1162" s="235"/>
      <c r="AL1162" s="235"/>
      <c r="AM1162" s="235"/>
      <c r="AN1162" s="235"/>
      <c r="AO1162" s="235"/>
      <c r="AP1162" s="235"/>
      <c r="AQ1162" s="235"/>
      <c r="AR1162" s="235"/>
      <c r="AS1162" s="235"/>
      <c r="AT1162" s="235"/>
      <c r="AU1162" s="235"/>
      <c r="AV1162" s="235"/>
      <c r="AW1162" s="235"/>
      <c r="AX1162" s="235"/>
      <c r="AY1162" s="235"/>
      <c r="AZ1162" s="235"/>
      <c r="BA1162" s="235"/>
      <c r="BB1162" s="235"/>
      <c r="BC1162" s="235"/>
      <c r="BD1162" s="235"/>
      <c r="BE1162" s="235"/>
      <c r="BF1162" s="235"/>
      <c r="BG1162" s="235"/>
      <c r="BH1162" s="235"/>
      <c r="BI1162" s="235"/>
      <c r="BJ1162" s="235"/>
      <c r="BK1162" s="235"/>
      <c r="BL1162" s="235"/>
      <c r="BM1162" s="235"/>
      <c r="BN1162" s="235"/>
      <c r="BO1162" s="235"/>
    </row>
    <row r="1163" ht="29.25" hidden="1" customHeight="1">
      <c r="A1163" s="230"/>
      <c r="B1163" s="231"/>
      <c r="C1163" s="179"/>
      <c r="D1163" s="179"/>
      <c r="E1163" s="180"/>
      <c r="F1163" s="162"/>
      <c r="G1163" s="232"/>
      <c r="H1163" s="234"/>
      <c r="I1163" s="181"/>
      <c r="J1163" s="182"/>
      <c r="K1163" s="182"/>
      <c r="L1163" s="182"/>
      <c r="M1163" s="234"/>
      <c r="N1163" s="28"/>
      <c r="O1163" s="181"/>
      <c r="P1163" s="183"/>
      <c r="Q1163" s="104"/>
      <c r="R1163" s="233"/>
      <c r="S1163" s="164"/>
      <c r="T1163" s="164"/>
      <c r="U1163" s="162"/>
      <c r="V1163" s="235"/>
      <c r="W1163" s="235"/>
      <c r="X1163" s="235"/>
      <c r="Y1163" s="235"/>
      <c r="Z1163" s="235"/>
      <c r="AA1163" s="235"/>
      <c r="AB1163" s="235"/>
      <c r="AC1163" s="235"/>
      <c r="AD1163" s="235"/>
      <c r="AE1163" s="235"/>
      <c r="AF1163" s="235"/>
      <c r="AG1163" s="235"/>
      <c r="AH1163" s="235"/>
      <c r="AI1163" s="235"/>
      <c r="AJ1163" s="235"/>
      <c r="AK1163" s="235"/>
      <c r="AL1163" s="235"/>
      <c r="AM1163" s="235"/>
      <c r="AN1163" s="235"/>
      <c r="AO1163" s="235"/>
      <c r="AP1163" s="235"/>
      <c r="AQ1163" s="235"/>
      <c r="AR1163" s="235"/>
      <c r="AS1163" s="235"/>
      <c r="AT1163" s="235"/>
      <c r="AU1163" s="235"/>
      <c r="AV1163" s="235"/>
      <c r="AW1163" s="235"/>
      <c r="AX1163" s="235"/>
      <c r="AY1163" s="235"/>
      <c r="AZ1163" s="235"/>
      <c r="BA1163" s="235"/>
      <c r="BB1163" s="235"/>
      <c r="BC1163" s="235"/>
      <c r="BD1163" s="235"/>
      <c r="BE1163" s="235"/>
      <c r="BF1163" s="235"/>
      <c r="BG1163" s="235"/>
      <c r="BH1163" s="235"/>
      <c r="BI1163" s="235"/>
      <c r="BJ1163" s="235"/>
      <c r="BK1163" s="235"/>
      <c r="BL1163" s="235"/>
      <c r="BM1163" s="235"/>
      <c r="BN1163" s="235"/>
      <c r="BO1163" s="235"/>
    </row>
    <row r="1164" ht="29.25" hidden="1" customHeight="1">
      <c r="A1164" s="230"/>
      <c r="B1164" s="231"/>
      <c r="C1164" s="179"/>
      <c r="D1164" s="179"/>
      <c r="E1164" s="180"/>
      <c r="F1164" s="162"/>
      <c r="G1164" s="232"/>
      <c r="H1164" s="234"/>
      <c r="I1164" s="181"/>
      <c r="J1164" s="182"/>
      <c r="K1164" s="182"/>
      <c r="L1164" s="182"/>
      <c r="M1164" s="234"/>
      <c r="N1164" s="28"/>
      <c r="O1164" s="181"/>
      <c r="P1164" s="183"/>
      <c r="Q1164" s="104"/>
      <c r="R1164" s="233"/>
      <c r="S1164" s="164"/>
      <c r="T1164" s="164"/>
      <c r="U1164" s="162"/>
      <c r="V1164" s="235"/>
      <c r="W1164" s="235"/>
      <c r="X1164" s="235"/>
      <c r="Y1164" s="235"/>
      <c r="Z1164" s="235"/>
      <c r="AA1164" s="235"/>
      <c r="AB1164" s="235"/>
      <c r="AC1164" s="235"/>
      <c r="AD1164" s="235"/>
      <c r="AE1164" s="235"/>
      <c r="AF1164" s="235"/>
      <c r="AG1164" s="235"/>
      <c r="AH1164" s="235"/>
      <c r="AI1164" s="235"/>
      <c r="AJ1164" s="235"/>
      <c r="AK1164" s="235"/>
      <c r="AL1164" s="235"/>
      <c r="AM1164" s="235"/>
      <c r="AN1164" s="235"/>
      <c r="AO1164" s="235"/>
      <c r="AP1164" s="235"/>
      <c r="AQ1164" s="235"/>
      <c r="AR1164" s="235"/>
      <c r="AS1164" s="235"/>
      <c r="AT1164" s="235"/>
      <c r="AU1164" s="235"/>
      <c r="AV1164" s="235"/>
      <c r="AW1164" s="235"/>
      <c r="AX1164" s="235"/>
      <c r="AY1164" s="235"/>
      <c r="AZ1164" s="235"/>
      <c r="BA1164" s="235"/>
      <c r="BB1164" s="235"/>
      <c r="BC1164" s="235"/>
      <c r="BD1164" s="235"/>
      <c r="BE1164" s="235"/>
      <c r="BF1164" s="235"/>
      <c r="BG1164" s="235"/>
      <c r="BH1164" s="235"/>
      <c r="BI1164" s="235"/>
      <c r="BJ1164" s="235"/>
      <c r="BK1164" s="235"/>
      <c r="BL1164" s="235"/>
      <c r="BM1164" s="235"/>
      <c r="BN1164" s="235"/>
      <c r="BO1164" s="235"/>
    </row>
    <row r="1165" ht="29.25" hidden="1" customHeight="1">
      <c r="A1165" s="230"/>
      <c r="B1165" s="231"/>
      <c r="C1165" s="179"/>
      <c r="D1165" s="179"/>
      <c r="E1165" s="180"/>
      <c r="F1165" s="162"/>
      <c r="G1165" s="232"/>
      <c r="H1165" s="234"/>
      <c r="I1165" s="181"/>
      <c r="J1165" s="182"/>
      <c r="K1165" s="182"/>
      <c r="L1165" s="182"/>
      <c r="M1165" s="234"/>
      <c r="N1165" s="28"/>
      <c r="O1165" s="181"/>
      <c r="P1165" s="183"/>
      <c r="Q1165" s="104"/>
      <c r="R1165" s="233"/>
      <c r="S1165" s="164"/>
      <c r="T1165" s="164"/>
      <c r="U1165" s="162"/>
      <c r="V1165" s="235"/>
      <c r="W1165" s="235"/>
      <c r="X1165" s="235"/>
      <c r="Y1165" s="235"/>
      <c r="Z1165" s="235"/>
      <c r="AA1165" s="235"/>
      <c r="AB1165" s="235"/>
      <c r="AC1165" s="235"/>
      <c r="AD1165" s="235"/>
      <c r="AE1165" s="235"/>
      <c r="AF1165" s="235"/>
      <c r="AG1165" s="235"/>
      <c r="AH1165" s="235"/>
      <c r="AI1165" s="235"/>
      <c r="AJ1165" s="235"/>
      <c r="AK1165" s="235"/>
      <c r="AL1165" s="235"/>
      <c r="AM1165" s="235"/>
      <c r="AN1165" s="235"/>
      <c r="AO1165" s="235"/>
      <c r="AP1165" s="235"/>
      <c r="AQ1165" s="235"/>
      <c r="AR1165" s="235"/>
      <c r="AS1165" s="235"/>
      <c r="AT1165" s="235"/>
      <c r="AU1165" s="235"/>
      <c r="AV1165" s="235"/>
      <c r="AW1165" s="235"/>
      <c r="AX1165" s="235"/>
      <c r="AY1165" s="235"/>
      <c r="AZ1165" s="235"/>
      <c r="BA1165" s="235"/>
      <c r="BB1165" s="235"/>
      <c r="BC1165" s="235"/>
      <c r="BD1165" s="235"/>
      <c r="BE1165" s="235"/>
      <c r="BF1165" s="235"/>
      <c r="BG1165" s="235"/>
      <c r="BH1165" s="235"/>
      <c r="BI1165" s="235"/>
      <c r="BJ1165" s="235"/>
      <c r="BK1165" s="235"/>
      <c r="BL1165" s="235"/>
      <c r="BM1165" s="235"/>
      <c r="BN1165" s="235"/>
      <c r="BO1165" s="235"/>
    </row>
    <row r="1166" ht="29.25" hidden="1" customHeight="1">
      <c r="A1166" s="230"/>
      <c r="B1166" s="231"/>
      <c r="C1166" s="179"/>
      <c r="D1166" s="179"/>
      <c r="E1166" s="180"/>
      <c r="F1166" s="162"/>
      <c r="G1166" s="232"/>
      <c r="H1166" s="234"/>
      <c r="I1166" s="181"/>
      <c r="J1166" s="182"/>
      <c r="K1166" s="182"/>
      <c r="L1166" s="182"/>
      <c r="M1166" s="234"/>
      <c r="N1166" s="28"/>
      <c r="O1166" s="181"/>
      <c r="P1166" s="183"/>
      <c r="Q1166" s="104"/>
      <c r="R1166" s="233"/>
      <c r="S1166" s="164"/>
      <c r="T1166" s="164"/>
      <c r="U1166" s="162"/>
      <c r="V1166" s="235"/>
      <c r="W1166" s="235"/>
      <c r="X1166" s="235"/>
      <c r="Y1166" s="235"/>
      <c r="Z1166" s="235"/>
      <c r="AA1166" s="235"/>
      <c r="AB1166" s="235"/>
      <c r="AC1166" s="235"/>
      <c r="AD1166" s="235"/>
      <c r="AE1166" s="235"/>
      <c r="AF1166" s="235"/>
      <c r="AG1166" s="235"/>
      <c r="AH1166" s="235"/>
      <c r="AI1166" s="235"/>
      <c r="AJ1166" s="235"/>
      <c r="AK1166" s="235"/>
      <c r="AL1166" s="235"/>
      <c r="AM1166" s="235"/>
      <c r="AN1166" s="235"/>
      <c r="AO1166" s="235"/>
      <c r="AP1166" s="235"/>
      <c r="AQ1166" s="235"/>
      <c r="AR1166" s="235"/>
      <c r="AS1166" s="235"/>
      <c r="AT1166" s="235"/>
      <c r="AU1166" s="235"/>
      <c r="AV1166" s="235"/>
      <c r="AW1166" s="235"/>
      <c r="AX1166" s="235"/>
      <c r="AY1166" s="235"/>
      <c r="AZ1166" s="235"/>
      <c r="BA1166" s="235"/>
      <c r="BB1166" s="235"/>
      <c r="BC1166" s="235"/>
      <c r="BD1166" s="235"/>
      <c r="BE1166" s="235"/>
      <c r="BF1166" s="235"/>
      <c r="BG1166" s="235"/>
      <c r="BH1166" s="235"/>
      <c r="BI1166" s="235"/>
      <c r="BJ1166" s="235"/>
      <c r="BK1166" s="235"/>
      <c r="BL1166" s="235"/>
      <c r="BM1166" s="235"/>
      <c r="BN1166" s="235"/>
      <c r="BO1166" s="235"/>
    </row>
    <row r="1167" ht="29.25" hidden="1" customHeight="1">
      <c r="A1167" s="230"/>
      <c r="B1167" s="231"/>
      <c r="C1167" s="179"/>
      <c r="D1167" s="179"/>
      <c r="E1167" s="180"/>
      <c r="F1167" s="162"/>
      <c r="G1167" s="232"/>
      <c r="H1167" s="234"/>
      <c r="I1167" s="181"/>
      <c r="J1167" s="182"/>
      <c r="K1167" s="182"/>
      <c r="L1167" s="182"/>
      <c r="M1167" s="234"/>
      <c r="N1167" s="28"/>
      <c r="O1167" s="181"/>
      <c r="P1167" s="183"/>
      <c r="Q1167" s="104"/>
      <c r="R1167" s="233"/>
      <c r="S1167" s="164"/>
      <c r="T1167" s="164"/>
      <c r="U1167" s="162"/>
      <c r="V1167" s="235"/>
      <c r="W1167" s="235"/>
      <c r="X1167" s="235"/>
      <c r="Y1167" s="235"/>
      <c r="Z1167" s="235"/>
      <c r="AA1167" s="235"/>
      <c r="AB1167" s="235"/>
      <c r="AC1167" s="235"/>
      <c r="AD1167" s="235"/>
      <c r="AE1167" s="235"/>
      <c r="AF1167" s="235"/>
      <c r="AG1167" s="235"/>
      <c r="AH1167" s="235"/>
      <c r="AI1167" s="235"/>
      <c r="AJ1167" s="235"/>
      <c r="AK1167" s="235"/>
      <c r="AL1167" s="235"/>
      <c r="AM1167" s="235"/>
      <c r="AN1167" s="235"/>
      <c r="AO1167" s="235"/>
      <c r="AP1167" s="235"/>
      <c r="AQ1167" s="235"/>
      <c r="AR1167" s="235"/>
      <c r="AS1167" s="235"/>
      <c r="AT1167" s="235"/>
      <c r="AU1167" s="235"/>
      <c r="AV1167" s="235"/>
      <c r="AW1167" s="235"/>
      <c r="AX1167" s="235"/>
      <c r="AY1167" s="235"/>
      <c r="AZ1167" s="235"/>
      <c r="BA1167" s="235"/>
      <c r="BB1167" s="235"/>
      <c r="BC1167" s="235"/>
      <c r="BD1167" s="235"/>
      <c r="BE1167" s="235"/>
      <c r="BF1167" s="235"/>
      <c r="BG1167" s="235"/>
      <c r="BH1167" s="235"/>
      <c r="BI1167" s="235"/>
      <c r="BJ1167" s="235"/>
      <c r="BK1167" s="235"/>
      <c r="BL1167" s="235"/>
      <c r="BM1167" s="235"/>
      <c r="BN1167" s="235"/>
      <c r="BO1167" s="235"/>
    </row>
    <row r="1168" ht="29.25" hidden="1" customHeight="1">
      <c r="A1168" s="230"/>
      <c r="B1168" s="231"/>
      <c r="C1168" s="179"/>
      <c r="D1168" s="179"/>
      <c r="E1168" s="180"/>
      <c r="F1168" s="162"/>
      <c r="G1168" s="232"/>
      <c r="H1168" s="234"/>
      <c r="I1168" s="181"/>
      <c r="J1168" s="182"/>
      <c r="K1168" s="182"/>
      <c r="L1168" s="182"/>
      <c r="M1168" s="234"/>
      <c r="N1168" s="28"/>
      <c r="O1168" s="181"/>
      <c r="P1168" s="183"/>
      <c r="Q1168" s="104"/>
      <c r="R1168" s="233"/>
      <c r="S1168" s="164"/>
      <c r="T1168" s="164"/>
      <c r="U1168" s="162"/>
      <c r="V1168" s="235"/>
      <c r="W1168" s="235"/>
      <c r="X1168" s="235"/>
      <c r="Y1168" s="235"/>
      <c r="Z1168" s="235"/>
      <c r="AA1168" s="235"/>
      <c r="AB1168" s="235"/>
      <c r="AC1168" s="235"/>
      <c r="AD1168" s="235"/>
      <c r="AE1168" s="235"/>
      <c r="AF1168" s="235"/>
      <c r="AG1168" s="235"/>
      <c r="AH1168" s="235"/>
      <c r="AI1168" s="235"/>
      <c r="AJ1168" s="235"/>
      <c r="AK1168" s="235"/>
      <c r="AL1168" s="235"/>
      <c r="AM1168" s="235"/>
      <c r="AN1168" s="235"/>
      <c r="AO1168" s="235"/>
      <c r="AP1168" s="235"/>
      <c r="AQ1168" s="235"/>
      <c r="AR1168" s="235"/>
      <c r="AS1168" s="235"/>
      <c r="AT1168" s="235"/>
      <c r="AU1168" s="235"/>
      <c r="AV1168" s="235"/>
      <c r="AW1168" s="235"/>
      <c r="AX1168" s="235"/>
      <c r="AY1168" s="235"/>
      <c r="AZ1168" s="235"/>
      <c r="BA1168" s="235"/>
      <c r="BB1168" s="235"/>
      <c r="BC1168" s="235"/>
      <c r="BD1168" s="235"/>
      <c r="BE1168" s="235"/>
      <c r="BF1168" s="235"/>
      <c r="BG1168" s="235"/>
      <c r="BH1168" s="235"/>
      <c r="BI1168" s="235"/>
      <c r="BJ1168" s="235"/>
      <c r="BK1168" s="235"/>
      <c r="BL1168" s="235"/>
      <c r="BM1168" s="235"/>
      <c r="BN1168" s="235"/>
      <c r="BO1168" s="235"/>
    </row>
    <row r="1169" ht="29.25" hidden="1" customHeight="1">
      <c r="A1169" s="230"/>
      <c r="B1169" s="231"/>
      <c r="C1169" s="179"/>
      <c r="D1169" s="179"/>
      <c r="E1169" s="180"/>
      <c r="F1169" s="162"/>
      <c r="G1169" s="232"/>
      <c r="H1169" s="234"/>
      <c r="I1169" s="181"/>
      <c r="J1169" s="182"/>
      <c r="K1169" s="182"/>
      <c r="L1169" s="182"/>
      <c r="M1169" s="234"/>
      <c r="N1169" s="28"/>
      <c r="O1169" s="181"/>
      <c r="P1169" s="183"/>
      <c r="Q1169" s="104"/>
      <c r="R1169" s="233"/>
      <c r="S1169" s="164"/>
      <c r="T1169" s="164"/>
      <c r="U1169" s="162"/>
      <c r="V1169" s="235"/>
      <c r="W1169" s="235"/>
      <c r="X1169" s="235"/>
      <c r="Y1169" s="235"/>
      <c r="Z1169" s="235"/>
      <c r="AA1169" s="235"/>
      <c r="AB1169" s="235"/>
      <c r="AC1169" s="235"/>
      <c r="AD1169" s="235"/>
      <c r="AE1169" s="235"/>
      <c r="AF1169" s="235"/>
      <c r="AG1169" s="235"/>
      <c r="AH1169" s="235"/>
      <c r="AI1169" s="235"/>
      <c r="AJ1169" s="235"/>
      <c r="AK1169" s="235"/>
      <c r="AL1169" s="235"/>
      <c r="AM1169" s="235"/>
      <c r="AN1169" s="235"/>
      <c r="AO1169" s="235"/>
      <c r="AP1169" s="235"/>
      <c r="AQ1169" s="235"/>
      <c r="AR1169" s="235"/>
      <c r="AS1169" s="235"/>
      <c r="AT1169" s="235"/>
      <c r="AU1169" s="235"/>
      <c r="AV1169" s="235"/>
      <c r="AW1169" s="235"/>
      <c r="AX1169" s="235"/>
      <c r="AY1169" s="235"/>
      <c r="AZ1169" s="235"/>
      <c r="BA1169" s="235"/>
      <c r="BB1169" s="235"/>
      <c r="BC1169" s="235"/>
      <c r="BD1169" s="235"/>
      <c r="BE1169" s="235"/>
      <c r="BF1169" s="235"/>
      <c r="BG1169" s="235"/>
      <c r="BH1169" s="235"/>
      <c r="BI1169" s="235"/>
      <c r="BJ1169" s="235"/>
      <c r="BK1169" s="235"/>
      <c r="BL1169" s="235"/>
      <c r="BM1169" s="235"/>
      <c r="BN1169" s="235"/>
      <c r="BO1169" s="235"/>
    </row>
    <row r="1170" ht="29.25" hidden="1" customHeight="1">
      <c r="A1170" s="230"/>
      <c r="B1170" s="231"/>
      <c r="C1170" s="179"/>
      <c r="D1170" s="179"/>
      <c r="E1170" s="180"/>
      <c r="F1170" s="162"/>
      <c r="G1170" s="232"/>
      <c r="H1170" s="234"/>
      <c r="I1170" s="181"/>
      <c r="J1170" s="182"/>
      <c r="K1170" s="182"/>
      <c r="L1170" s="182"/>
      <c r="M1170" s="234"/>
      <c r="N1170" s="28"/>
      <c r="O1170" s="181"/>
      <c r="P1170" s="183"/>
      <c r="Q1170" s="104"/>
      <c r="R1170" s="233"/>
      <c r="S1170" s="164"/>
      <c r="T1170" s="164"/>
      <c r="U1170" s="162"/>
      <c r="V1170" s="235"/>
      <c r="W1170" s="235"/>
      <c r="X1170" s="235"/>
      <c r="Y1170" s="235"/>
      <c r="Z1170" s="235"/>
      <c r="AA1170" s="235"/>
      <c r="AB1170" s="235"/>
      <c r="AC1170" s="235"/>
      <c r="AD1170" s="235"/>
      <c r="AE1170" s="235"/>
      <c r="AF1170" s="235"/>
      <c r="AG1170" s="235"/>
      <c r="AH1170" s="235"/>
      <c r="AI1170" s="235"/>
      <c r="AJ1170" s="235"/>
      <c r="AK1170" s="235"/>
      <c r="AL1170" s="235"/>
      <c r="AM1170" s="235"/>
      <c r="AN1170" s="235"/>
      <c r="AO1170" s="235"/>
      <c r="AP1170" s="235"/>
      <c r="AQ1170" s="235"/>
      <c r="AR1170" s="235"/>
      <c r="AS1170" s="235"/>
      <c r="AT1170" s="235"/>
      <c r="AU1170" s="235"/>
      <c r="AV1170" s="235"/>
      <c r="AW1170" s="235"/>
      <c r="AX1170" s="235"/>
      <c r="AY1170" s="235"/>
      <c r="AZ1170" s="235"/>
      <c r="BA1170" s="235"/>
      <c r="BB1170" s="235"/>
      <c r="BC1170" s="235"/>
      <c r="BD1170" s="235"/>
      <c r="BE1170" s="235"/>
      <c r="BF1170" s="235"/>
      <c r="BG1170" s="235"/>
      <c r="BH1170" s="235"/>
      <c r="BI1170" s="235"/>
      <c r="BJ1170" s="235"/>
      <c r="BK1170" s="235"/>
      <c r="BL1170" s="235"/>
      <c r="BM1170" s="235"/>
      <c r="BN1170" s="235"/>
      <c r="BO1170" s="235"/>
    </row>
    <row r="1171" ht="29.25" hidden="1" customHeight="1">
      <c r="A1171" s="230"/>
      <c r="B1171" s="231"/>
      <c r="C1171" s="179"/>
      <c r="D1171" s="179"/>
      <c r="E1171" s="180"/>
      <c r="F1171" s="162"/>
      <c r="G1171" s="232"/>
      <c r="H1171" s="234"/>
      <c r="I1171" s="181"/>
      <c r="J1171" s="182"/>
      <c r="K1171" s="182"/>
      <c r="L1171" s="182"/>
      <c r="M1171" s="234"/>
      <c r="N1171" s="28"/>
      <c r="O1171" s="181"/>
      <c r="P1171" s="183"/>
      <c r="Q1171" s="104"/>
      <c r="R1171" s="233"/>
      <c r="S1171" s="164"/>
      <c r="T1171" s="164"/>
      <c r="U1171" s="162"/>
      <c r="V1171" s="235"/>
      <c r="W1171" s="235"/>
      <c r="X1171" s="235"/>
      <c r="Y1171" s="235"/>
      <c r="Z1171" s="235"/>
      <c r="AA1171" s="235"/>
      <c r="AB1171" s="235"/>
      <c r="AC1171" s="235"/>
      <c r="AD1171" s="235"/>
      <c r="AE1171" s="235"/>
      <c r="AF1171" s="235"/>
      <c r="AG1171" s="235"/>
      <c r="AH1171" s="235"/>
      <c r="AI1171" s="235"/>
      <c r="AJ1171" s="235"/>
      <c r="AK1171" s="235"/>
      <c r="AL1171" s="235"/>
      <c r="AM1171" s="235"/>
      <c r="AN1171" s="235"/>
      <c r="AO1171" s="235"/>
      <c r="AP1171" s="235"/>
      <c r="AQ1171" s="235"/>
      <c r="AR1171" s="235"/>
      <c r="AS1171" s="235"/>
      <c r="AT1171" s="235"/>
      <c r="AU1171" s="235"/>
      <c r="AV1171" s="235"/>
      <c r="AW1171" s="235"/>
      <c r="AX1171" s="235"/>
      <c r="AY1171" s="235"/>
      <c r="AZ1171" s="235"/>
      <c r="BA1171" s="235"/>
      <c r="BB1171" s="235"/>
      <c r="BC1171" s="235"/>
      <c r="BD1171" s="235"/>
      <c r="BE1171" s="235"/>
      <c r="BF1171" s="235"/>
      <c r="BG1171" s="235"/>
      <c r="BH1171" s="235"/>
      <c r="BI1171" s="235"/>
      <c r="BJ1171" s="235"/>
      <c r="BK1171" s="235"/>
      <c r="BL1171" s="235"/>
      <c r="BM1171" s="235"/>
      <c r="BN1171" s="235"/>
      <c r="BO1171" s="235"/>
    </row>
    <row r="1172" ht="29.25" hidden="1" customHeight="1">
      <c r="A1172" s="230"/>
      <c r="B1172" s="231"/>
      <c r="C1172" s="179"/>
      <c r="D1172" s="179"/>
      <c r="E1172" s="180"/>
      <c r="F1172" s="162"/>
      <c r="G1172" s="232"/>
      <c r="H1172" s="234"/>
      <c r="I1172" s="181"/>
      <c r="J1172" s="182"/>
      <c r="K1172" s="182"/>
      <c r="L1172" s="182"/>
      <c r="M1172" s="234"/>
      <c r="N1172" s="28"/>
      <c r="O1172" s="181"/>
      <c r="P1172" s="183"/>
      <c r="Q1172" s="104"/>
      <c r="R1172" s="233"/>
      <c r="S1172" s="164"/>
      <c r="T1172" s="164"/>
      <c r="U1172" s="162"/>
      <c r="V1172" s="235"/>
      <c r="W1172" s="235"/>
      <c r="X1172" s="235"/>
      <c r="Y1172" s="235"/>
      <c r="Z1172" s="235"/>
      <c r="AA1172" s="235"/>
      <c r="AB1172" s="235"/>
      <c r="AC1172" s="235"/>
      <c r="AD1172" s="235"/>
      <c r="AE1172" s="235"/>
      <c r="AF1172" s="235"/>
      <c r="AG1172" s="235"/>
      <c r="AH1172" s="235"/>
      <c r="AI1172" s="235"/>
      <c r="AJ1172" s="235"/>
      <c r="AK1172" s="235"/>
      <c r="AL1172" s="235"/>
      <c r="AM1172" s="235"/>
      <c r="AN1172" s="235"/>
      <c r="AO1172" s="235"/>
      <c r="AP1172" s="235"/>
      <c r="AQ1172" s="235"/>
      <c r="AR1172" s="235"/>
      <c r="AS1172" s="235"/>
      <c r="AT1172" s="235"/>
      <c r="AU1172" s="235"/>
      <c r="AV1172" s="235"/>
      <c r="AW1172" s="235"/>
      <c r="AX1172" s="235"/>
      <c r="AY1172" s="235"/>
      <c r="AZ1172" s="235"/>
      <c r="BA1172" s="235"/>
      <c r="BB1172" s="235"/>
      <c r="BC1172" s="235"/>
      <c r="BD1172" s="235"/>
      <c r="BE1172" s="235"/>
      <c r="BF1172" s="235"/>
      <c r="BG1172" s="235"/>
      <c r="BH1172" s="235"/>
      <c r="BI1172" s="235"/>
      <c r="BJ1172" s="235"/>
      <c r="BK1172" s="235"/>
      <c r="BL1172" s="235"/>
      <c r="BM1172" s="235"/>
      <c r="BN1172" s="235"/>
      <c r="BO1172" s="235"/>
    </row>
    <row r="1173" ht="29.25" hidden="1" customHeight="1">
      <c r="A1173" s="230"/>
      <c r="B1173" s="231"/>
      <c r="C1173" s="179"/>
      <c r="D1173" s="179"/>
      <c r="E1173" s="180"/>
      <c r="F1173" s="162"/>
      <c r="G1173" s="232"/>
      <c r="H1173" s="234"/>
      <c r="I1173" s="181"/>
      <c r="J1173" s="182"/>
      <c r="K1173" s="182"/>
      <c r="L1173" s="182"/>
      <c r="M1173" s="234"/>
      <c r="N1173" s="28"/>
      <c r="O1173" s="181"/>
      <c r="P1173" s="183"/>
      <c r="Q1173" s="104"/>
      <c r="R1173" s="233"/>
      <c r="S1173" s="164"/>
      <c r="T1173" s="164"/>
      <c r="U1173" s="162"/>
      <c r="V1173" s="235"/>
      <c r="W1173" s="235"/>
      <c r="X1173" s="235"/>
      <c r="Y1173" s="235"/>
      <c r="Z1173" s="235"/>
      <c r="AA1173" s="235"/>
      <c r="AB1173" s="235"/>
      <c r="AC1173" s="235"/>
      <c r="AD1173" s="235"/>
      <c r="AE1173" s="235"/>
      <c r="AF1173" s="235"/>
      <c r="AG1173" s="235"/>
      <c r="AH1173" s="235"/>
      <c r="AI1173" s="235"/>
      <c r="AJ1173" s="235"/>
      <c r="AK1173" s="235"/>
      <c r="AL1173" s="235"/>
      <c r="AM1173" s="235"/>
      <c r="AN1173" s="235"/>
      <c r="AO1173" s="235"/>
      <c r="AP1173" s="235"/>
      <c r="AQ1173" s="235"/>
      <c r="AR1173" s="235"/>
      <c r="AS1173" s="235"/>
      <c r="AT1173" s="235"/>
      <c r="AU1173" s="235"/>
      <c r="AV1173" s="235"/>
      <c r="AW1173" s="235"/>
      <c r="AX1173" s="235"/>
      <c r="AY1173" s="235"/>
      <c r="AZ1173" s="235"/>
      <c r="BA1173" s="235"/>
      <c r="BB1173" s="235"/>
      <c r="BC1173" s="235"/>
      <c r="BD1173" s="235"/>
      <c r="BE1173" s="235"/>
      <c r="BF1173" s="235"/>
      <c r="BG1173" s="235"/>
      <c r="BH1173" s="235"/>
      <c r="BI1173" s="235"/>
      <c r="BJ1173" s="235"/>
      <c r="BK1173" s="235"/>
      <c r="BL1173" s="235"/>
      <c r="BM1173" s="235"/>
      <c r="BN1173" s="235"/>
      <c r="BO1173" s="235"/>
    </row>
    <row r="1174" ht="29.25" hidden="1" customHeight="1">
      <c r="A1174" s="230"/>
      <c r="B1174" s="231"/>
      <c r="C1174" s="179"/>
      <c r="D1174" s="179"/>
      <c r="E1174" s="180"/>
      <c r="F1174" s="162"/>
      <c r="G1174" s="232"/>
      <c r="H1174" s="234"/>
      <c r="I1174" s="181"/>
      <c r="J1174" s="182"/>
      <c r="K1174" s="182"/>
      <c r="L1174" s="182"/>
      <c r="M1174" s="234"/>
      <c r="N1174" s="28"/>
      <c r="O1174" s="181"/>
      <c r="P1174" s="183"/>
      <c r="Q1174" s="104"/>
      <c r="R1174" s="233"/>
      <c r="S1174" s="164"/>
      <c r="T1174" s="164"/>
      <c r="U1174" s="162"/>
      <c r="V1174" s="235"/>
      <c r="W1174" s="235"/>
      <c r="X1174" s="235"/>
      <c r="Y1174" s="235"/>
      <c r="Z1174" s="235"/>
      <c r="AA1174" s="235"/>
      <c r="AB1174" s="235"/>
      <c r="AC1174" s="235"/>
      <c r="AD1174" s="235"/>
      <c r="AE1174" s="235"/>
      <c r="AF1174" s="235"/>
      <c r="AG1174" s="235"/>
      <c r="AH1174" s="235"/>
      <c r="AI1174" s="235"/>
      <c r="AJ1174" s="235"/>
      <c r="AK1174" s="235"/>
      <c r="AL1174" s="235"/>
      <c r="AM1174" s="235"/>
      <c r="AN1174" s="235"/>
      <c r="AO1174" s="235"/>
      <c r="AP1174" s="235"/>
      <c r="AQ1174" s="235"/>
      <c r="AR1174" s="235"/>
      <c r="AS1174" s="235"/>
      <c r="AT1174" s="235"/>
      <c r="AU1174" s="235"/>
      <c r="AV1174" s="235"/>
      <c r="AW1174" s="235"/>
      <c r="AX1174" s="235"/>
      <c r="AY1174" s="235"/>
      <c r="AZ1174" s="235"/>
      <c r="BA1174" s="235"/>
      <c r="BB1174" s="235"/>
      <c r="BC1174" s="235"/>
      <c r="BD1174" s="235"/>
      <c r="BE1174" s="235"/>
      <c r="BF1174" s="235"/>
      <c r="BG1174" s="235"/>
      <c r="BH1174" s="235"/>
      <c r="BI1174" s="235"/>
      <c r="BJ1174" s="235"/>
      <c r="BK1174" s="235"/>
      <c r="BL1174" s="235"/>
      <c r="BM1174" s="235"/>
      <c r="BN1174" s="235"/>
      <c r="BO1174" s="235"/>
    </row>
    <row r="1175" ht="29.25" hidden="1" customHeight="1">
      <c r="A1175" s="230"/>
      <c r="B1175" s="231"/>
      <c r="C1175" s="179"/>
      <c r="D1175" s="179"/>
      <c r="E1175" s="180"/>
      <c r="F1175" s="162"/>
      <c r="G1175" s="232"/>
      <c r="H1175" s="234"/>
      <c r="I1175" s="181"/>
      <c r="J1175" s="182"/>
      <c r="K1175" s="182"/>
      <c r="L1175" s="182"/>
      <c r="M1175" s="234"/>
      <c r="N1175" s="28"/>
      <c r="O1175" s="181"/>
      <c r="P1175" s="183"/>
      <c r="Q1175" s="104"/>
      <c r="R1175" s="233"/>
      <c r="S1175" s="164"/>
      <c r="T1175" s="164"/>
      <c r="U1175" s="162"/>
      <c r="V1175" s="235"/>
      <c r="W1175" s="235"/>
      <c r="X1175" s="235"/>
      <c r="Y1175" s="235"/>
      <c r="Z1175" s="235"/>
      <c r="AA1175" s="235"/>
      <c r="AB1175" s="235"/>
      <c r="AC1175" s="235"/>
      <c r="AD1175" s="235"/>
      <c r="AE1175" s="235"/>
      <c r="AF1175" s="235"/>
      <c r="AG1175" s="235"/>
      <c r="AH1175" s="235"/>
      <c r="AI1175" s="235"/>
      <c r="AJ1175" s="235"/>
      <c r="AK1175" s="235"/>
      <c r="AL1175" s="235"/>
      <c r="AM1175" s="235"/>
      <c r="AN1175" s="235"/>
      <c r="AO1175" s="235"/>
      <c r="AP1175" s="235"/>
      <c r="AQ1175" s="235"/>
      <c r="AR1175" s="235"/>
      <c r="AS1175" s="235"/>
      <c r="AT1175" s="235"/>
      <c r="AU1175" s="235"/>
      <c r="AV1175" s="235"/>
      <c r="AW1175" s="235"/>
      <c r="AX1175" s="235"/>
      <c r="AY1175" s="235"/>
      <c r="AZ1175" s="235"/>
      <c r="BA1175" s="235"/>
      <c r="BB1175" s="235"/>
      <c r="BC1175" s="235"/>
      <c r="BD1175" s="235"/>
      <c r="BE1175" s="235"/>
      <c r="BF1175" s="235"/>
      <c r="BG1175" s="235"/>
      <c r="BH1175" s="235"/>
      <c r="BI1175" s="235"/>
      <c r="BJ1175" s="235"/>
      <c r="BK1175" s="235"/>
      <c r="BL1175" s="235"/>
      <c r="BM1175" s="235"/>
      <c r="BN1175" s="235"/>
      <c r="BO1175" s="235"/>
    </row>
    <row r="1176" ht="29.25" hidden="1" customHeight="1">
      <c r="A1176" s="230"/>
      <c r="B1176" s="231"/>
      <c r="C1176" s="179"/>
      <c r="D1176" s="179"/>
      <c r="E1176" s="180"/>
      <c r="F1176" s="162"/>
      <c r="G1176" s="232"/>
      <c r="H1176" s="234"/>
      <c r="I1176" s="181"/>
      <c r="J1176" s="182"/>
      <c r="K1176" s="182"/>
      <c r="L1176" s="182"/>
      <c r="M1176" s="234"/>
      <c r="N1176" s="28"/>
      <c r="O1176" s="181"/>
      <c r="P1176" s="183"/>
      <c r="Q1176" s="104"/>
      <c r="R1176" s="233"/>
      <c r="S1176" s="164"/>
      <c r="T1176" s="164"/>
      <c r="U1176" s="162"/>
      <c r="V1176" s="235"/>
      <c r="W1176" s="235"/>
      <c r="X1176" s="235"/>
      <c r="Y1176" s="235"/>
      <c r="Z1176" s="235"/>
      <c r="AA1176" s="235"/>
      <c r="AB1176" s="235"/>
      <c r="AC1176" s="235"/>
      <c r="AD1176" s="235"/>
      <c r="AE1176" s="235"/>
      <c r="AF1176" s="235"/>
      <c r="AG1176" s="235"/>
      <c r="AH1176" s="235"/>
      <c r="AI1176" s="235"/>
      <c r="AJ1176" s="235"/>
      <c r="AK1176" s="235"/>
      <c r="AL1176" s="235"/>
      <c r="AM1176" s="235"/>
      <c r="AN1176" s="235"/>
      <c r="AO1176" s="235"/>
      <c r="AP1176" s="235"/>
      <c r="AQ1176" s="235"/>
      <c r="AR1176" s="235"/>
      <c r="AS1176" s="235"/>
      <c r="AT1176" s="235"/>
      <c r="AU1176" s="235"/>
      <c r="AV1176" s="235"/>
      <c r="AW1176" s="235"/>
      <c r="AX1176" s="235"/>
      <c r="AY1176" s="235"/>
      <c r="AZ1176" s="235"/>
      <c r="BA1176" s="235"/>
      <c r="BB1176" s="235"/>
      <c r="BC1176" s="235"/>
      <c r="BD1176" s="235"/>
      <c r="BE1176" s="235"/>
      <c r="BF1176" s="235"/>
      <c r="BG1176" s="235"/>
      <c r="BH1176" s="235"/>
      <c r="BI1176" s="235"/>
      <c r="BJ1176" s="235"/>
      <c r="BK1176" s="235"/>
      <c r="BL1176" s="235"/>
      <c r="BM1176" s="235"/>
      <c r="BN1176" s="235"/>
      <c r="BO1176" s="235"/>
    </row>
    <row r="1177" ht="29.25" hidden="1" customHeight="1">
      <c r="A1177" s="230"/>
      <c r="B1177" s="231"/>
      <c r="C1177" s="179"/>
      <c r="D1177" s="179"/>
      <c r="E1177" s="180"/>
      <c r="F1177" s="162"/>
      <c r="G1177" s="232"/>
      <c r="H1177" s="234"/>
      <c r="I1177" s="181"/>
      <c r="J1177" s="182"/>
      <c r="K1177" s="182"/>
      <c r="L1177" s="182"/>
      <c r="M1177" s="234"/>
      <c r="N1177" s="28"/>
      <c r="O1177" s="181"/>
      <c r="P1177" s="183"/>
      <c r="Q1177" s="104"/>
      <c r="R1177" s="233"/>
      <c r="S1177" s="164"/>
      <c r="T1177" s="164"/>
      <c r="U1177" s="162"/>
      <c r="V1177" s="235"/>
      <c r="W1177" s="235"/>
      <c r="X1177" s="235"/>
      <c r="Y1177" s="235"/>
      <c r="Z1177" s="235"/>
      <c r="AA1177" s="235"/>
      <c r="AB1177" s="235"/>
      <c r="AC1177" s="235"/>
      <c r="AD1177" s="235"/>
      <c r="AE1177" s="235"/>
      <c r="AF1177" s="235"/>
      <c r="AG1177" s="235"/>
      <c r="AH1177" s="235"/>
      <c r="AI1177" s="235"/>
      <c r="AJ1177" s="235"/>
      <c r="AK1177" s="235"/>
      <c r="AL1177" s="235"/>
      <c r="AM1177" s="235"/>
      <c r="AN1177" s="235"/>
      <c r="AO1177" s="235"/>
      <c r="AP1177" s="235"/>
      <c r="AQ1177" s="235"/>
      <c r="AR1177" s="235"/>
      <c r="AS1177" s="235"/>
      <c r="AT1177" s="235"/>
      <c r="AU1177" s="235"/>
      <c r="AV1177" s="235"/>
      <c r="AW1177" s="235"/>
      <c r="AX1177" s="235"/>
      <c r="AY1177" s="235"/>
      <c r="AZ1177" s="235"/>
      <c r="BA1177" s="235"/>
      <c r="BB1177" s="235"/>
      <c r="BC1177" s="235"/>
      <c r="BD1177" s="235"/>
      <c r="BE1177" s="235"/>
      <c r="BF1177" s="235"/>
      <c r="BG1177" s="235"/>
      <c r="BH1177" s="235"/>
      <c r="BI1177" s="235"/>
      <c r="BJ1177" s="235"/>
      <c r="BK1177" s="235"/>
      <c r="BL1177" s="235"/>
      <c r="BM1177" s="235"/>
      <c r="BN1177" s="235"/>
      <c r="BO1177" s="235"/>
    </row>
    <row r="1178" ht="29.25" hidden="1" customHeight="1">
      <c r="A1178" s="230"/>
      <c r="B1178" s="231"/>
      <c r="C1178" s="179"/>
      <c r="D1178" s="179"/>
      <c r="E1178" s="180"/>
      <c r="F1178" s="162"/>
      <c r="G1178" s="232"/>
      <c r="H1178" s="234"/>
      <c r="I1178" s="181"/>
      <c r="J1178" s="182"/>
      <c r="K1178" s="182"/>
      <c r="L1178" s="182"/>
      <c r="M1178" s="234"/>
      <c r="N1178" s="28"/>
      <c r="O1178" s="181"/>
      <c r="P1178" s="183"/>
      <c r="Q1178" s="104"/>
      <c r="R1178" s="233"/>
      <c r="S1178" s="164"/>
      <c r="T1178" s="164"/>
      <c r="U1178" s="162"/>
      <c r="V1178" s="235"/>
      <c r="W1178" s="235"/>
      <c r="X1178" s="235"/>
      <c r="Y1178" s="235"/>
      <c r="Z1178" s="235"/>
      <c r="AA1178" s="235"/>
      <c r="AB1178" s="235"/>
      <c r="AC1178" s="235"/>
      <c r="AD1178" s="235"/>
      <c r="AE1178" s="235"/>
      <c r="AF1178" s="235"/>
      <c r="AG1178" s="235"/>
      <c r="AH1178" s="235"/>
      <c r="AI1178" s="235"/>
      <c r="AJ1178" s="235"/>
      <c r="AK1178" s="235"/>
      <c r="AL1178" s="235"/>
      <c r="AM1178" s="235"/>
      <c r="AN1178" s="235"/>
      <c r="AO1178" s="235"/>
      <c r="AP1178" s="235"/>
      <c r="AQ1178" s="235"/>
      <c r="AR1178" s="235"/>
      <c r="AS1178" s="235"/>
      <c r="AT1178" s="235"/>
      <c r="AU1178" s="235"/>
      <c r="AV1178" s="235"/>
      <c r="AW1178" s="235"/>
      <c r="AX1178" s="235"/>
      <c r="AY1178" s="235"/>
      <c r="AZ1178" s="235"/>
      <c r="BA1178" s="235"/>
      <c r="BB1178" s="235"/>
      <c r="BC1178" s="235"/>
      <c r="BD1178" s="235"/>
      <c r="BE1178" s="235"/>
      <c r="BF1178" s="235"/>
      <c r="BG1178" s="235"/>
      <c r="BH1178" s="235"/>
      <c r="BI1178" s="235"/>
      <c r="BJ1178" s="235"/>
      <c r="BK1178" s="235"/>
      <c r="BL1178" s="235"/>
      <c r="BM1178" s="235"/>
      <c r="BN1178" s="235"/>
      <c r="BO1178" s="235"/>
    </row>
    <row r="1179" ht="29.25" hidden="1" customHeight="1">
      <c r="A1179" s="230"/>
      <c r="B1179" s="231"/>
      <c r="C1179" s="179"/>
      <c r="D1179" s="179"/>
      <c r="E1179" s="180"/>
      <c r="F1179" s="162"/>
      <c r="G1179" s="232"/>
      <c r="H1179" s="234"/>
      <c r="I1179" s="181"/>
      <c r="J1179" s="182"/>
      <c r="K1179" s="182"/>
      <c r="L1179" s="182"/>
      <c r="M1179" s="234"/>
      <c r="N1179" s="28"/>
      <c r="O1179" s="181"/>
      <c r="P1179" s="183"/>
      <c r="Q1179" s="104"/>
      <c r="R1179" s="233"/>
      <c r="S1179" s="164"/>
      <c r="T1179" s="164"/>
      <c r="U1179" s="162"/>
      <c r="V1179" s="235"/>
      <c r="W1179" s="235"/>
      <c r="X1179" s="235"/>
      <c r="Y1179" s="235"/>
      <c r="Z1179" s="235"/>
      <c r="AA1179" s="235"/>
      <c r="AB1179" s="235"/>
      <c r="AC1179" s="235"/>
      <c r="AD1179" s="235"/>
      <c r="AE1179" s="235"/>
      <c r="AF1179" s="235"/>
      <c r="AG1179" s="235"/>
      <c r="AH1179" s="235"/>
      <c r="AI1179" s="235"/>
      <c r="AJ1179" s="235"/>
      <c r="AK1179" s="235"/>
      <c r="AL1179" s="235"/>
      <c r="AM1179" s="235"/>
      <c r="AN1179" s="235"/>
      <c r="AO1179" s="235"/>
      <c r="AP1179" s="235"/>
      <c r="AQ1179" s="235"/>
      <c r="AR1179" s="235"/>
      <c r="AS1179" s="235"/>
      <c r="AT1179" s="235"/>
      <c r="AU1179" s="235"/>
      <c r="AV1179" s="235"/>
      <c r="AW1179" s="235"/>
      <c r="AX1179" s="235"/>
      <c r="AY1179" s="235"/>
      <c r="AZ1179" s="235"/>
      <c r="BA1179" s="235"/>
      <c r="BB1179" s="235"/>
      <c r="BC1179" s="235"/>
      <c r="BD1179" s="235"/>
      <c r="BE1179" s="235"/>
      <c r="BF1179" s="235"/>
      <c r="BG1179" s="235"/>
      <c r="BH1179" s="235"/>
      <c r="BI1179" s="235"/>
      <c r="BJ1179" s="235"/>
      <c r="BK1179" s="235"/>
      <c r="BL1179" s="235"/>
      <c r="BM1179" s="235"/>
      <c r="BN1179" s="235"/>
      <c r="BO1179" s="235"/>
    </row>
    <row r="1180" ht="29.25" hidden="1" customHeight="1">
      <c r="A1180" s="230"/>
      <c r="B1180" s="231"/>
      <c r="C1180" s="179"/>
      <c r="D1180" s="179"/>
      <c r="E1180" s="180"/>
      <c r="F1180" s="162"/>
      <c r="G1180" s="232"/>
      <c r="H1180" s="234"/>
      <c r="I1180" s="181"/>
      <c r="J1180" s="182"/>
      <c r="K1180" s="182"/>
      <c r="L1180" s="182"/>
      <c r="M1180" s="234"/>
      <c r="N1180" s="28"/>
      <c r="O1180" s="181"/>
      <c r="P1180" s="183"/>
      <c r="Q1180" s="104"/>
      <c r="R1180" s="233"/>
      <c r="S1180" s="164"/>
      <c r="T1180" s="164"/>
      <c r="U1180" s="162"/>
      <c r="V1180" s="235"/>
      <c r="W1180" s="235"/>
      <c r="X1180" s="235"/>
      <c r="Y1180" s="235"/>
      <c r="Z1180" s="235"/>
      <c r="AA1180" s="235"/>
      <c r="AB1180" s="235"/>
      <c r="AC1180" s="235"/>
      <c r="AD1180" s="235"/>
      <c r="AE1180" s="235"/>
      <c r="AF1180" s="235"/>
      <c r="AG1180" s="235"/>
      <c r="AH1180" s="235"/>
      <c r="AI1180" s="235"/>
      <c r="AJ1180" s="235"/>
      <c r="AK1180" s="235"/>
      <c r="AL1180" s="235"/>
      <c r="AM1180" s="235"/>
      <c r="AN1180" s="235"/>
      <c r="AO1180" s="235"/>
      <c r="AP1180" s="235"/>
      <c r="AQ1180" s="235"/>
      <c r="AR1180" s="235"/>
      <c r="AS1180" s="235"/>
      <c r="AT1180" s="235"/>
      <c r="AU1180" s="235"/>
      <c r="AV1180" s="235"/>
      <c r="AW1180" s="235"/>
      <c r="AX1180" s="235"/>
      <c r="AY1180" s="235"/>
      <c r="AZ1180" s="235"/>
      <c r="BA1180" s="235"/>
      <c r="BB1180" s="235"/>
      <c r="BC1180" s="235"/>
      <c r="BD1180" s="235"/>
      <c r="BE1180" s="235"/>
      <c r="BF1180" s="235"/>
      <c r="BG1180" s="235"/>
      <c r="BH1180" s="235"/>
      <c r="BI1180" s="235"/>
      <c r="BJ1180" s="235"/>
      <c r="BK1180" s="235"/>
      <c r="BL1180" s="235"/>
      <c r="BM1180" s="235"/>
      <c r="BN1180" s="235"/>
      <c r="BO1180" s="235"/>
    </row>
    <row r="1181" ht="29.25" hidden="1" customHeight="1">
      <c r="A1181" s="230"/>
      <c r="B1181" s="231"/>
      <c r="C1181" s="179"/>
      <c r="D1181" s="179"/>
      <c r="E1181" s="180"/>
      <c r="F1181" s="162"/>
      <c r="G1181" s="232"/>
      <c r="H1181" s="234"/>
      <c r="I1181" s="181"/>
      <c r="J1181" s="182"/>
      <c r="K1181" s="182"/>
      <c r="L1181" s="182"/>
      <c r="M1181" s="234"/>
      <c r="N1181" s="28"/>
      <c r="O1181" s="181"/>
      <c r="P1181" s="183"/>
      <c r="Q1181" s="104"/>
      <c r="R1181" s="233"/>
      <c r="S1181" s="164"/>
      <c r="T1181" s="164"/>
      <c r="U1181" s="162"/>
      <c r="V1181" s="235"/>
      <c r="W1181" s="235"/>
      <c r="X1181" s="235"/>
      <c r="Y1181" s="235"/>
      <c r="Z1181" s="235"/>
      <c r="AA1181" s="235"/>
      <c r="AB1181" s="235"/>
      <c r="AC1181" s="235"/>
      <c r="AD1181" s="235"/>
      <c r="AE1181" s="235"/>
      <c r="AF1181" s="235"/>
      <c r="AG1181" s="235"/>
      <c r="AH1181" s="235"/>
      <c r="AI1181" s="235"/>
      <c r="AJ1181" s="235"/>
      <c r="AK1181" s="235"/>
      <c r="AL1181" s="235"/>
      <c r="AM1181" s="235"/>
      <c r="AN1181" s="235"/>
      <c r="AO1181" s="235"/>
      <c r="AP1181" s="235"/>
      <c r="AQ1181" s="235"/>
      <c r="AR1181" s="235"/>
      <c r="AS1181" s="235"/>
      <c r="AT1181" s="235"/>
      <c r="AU1181" s="235"/>
      <c r="AV1181" s="235"/>
      <c r="AW1181" s="235"/>
      <c r="AX1181" s="235"/>
      <c r="AY1181" s="235"/>
      <c r="AZ1181" s="235"/>
      <c r="BA1181" s="235"/>
      <c r="BB1181" s="235"/>
      <c r="BC1181" s="235"/>
      <c r="BD1181" s="235"/>
      <c r="BE1181" s="235"/>
      <c r="BF1181" s="235"/>
      <c r="BG1181" s="235"/>
      <c r="BH1181" s="235"/>
      <c r="BI1181" s="235"/>
      <c r="BJ1181" s="235"/>
      <c r="BK1181" s="235"/>
      <c r="BL1181" s="235"/>
      <c r="BM1181" s="235"/>
      <c r="BN1181" s="235"/>
      <c r="BO1181" s="235"/>
    </row>
    <row r="1182" ht="29.25" hidden="1" customHeight="1">
      <c r="A1182" s="230"/>
      <c r="B1182" s="231"/>
      <c r="C1182" s="179"/>
      <c r="D1182" s="179"/>
      <c r="E1182" s="180"/>
      <c r="F1182" s="162"/>
      <c r="G1182" s="232"/>
      <c r="H1182" s="234"/>
      <c r="I1182" s="181"/>
      <c r="J1182" s="182"/>
      <c r="K1182" s="182"/>
      <c r="L1182" s="182"/>
      <c r="M1182" s="234"/>
      <c r="N1182" s="28"/>
      <c r="O1182" s="181"/>
      <c r="P1182" s="183"/>
      <c r="Q1182" s="104"/>
      <c r="R1182" s="233"/>
      <c r="S1182" s="164"/>
      <c r="T1182" s="164"/>
      <c r="U1182" s="162"/>
      <c r="V1182" s="235"/>
      <c r="W1182" s="235"/>
      <c r="X1182" s="235"/>
      <c r="Y1182" s="235"/>
      <c r="Z1182" s="235"/>
      <c r="AA1182" s="235"/>
      <c r="AB1182" s="235"/>
      <c r="AC1182" s="235"/>
      <c r="AD1182" s="235"/>
      <c r="AE1182" s="235"/>
      <c r="AF1182" s="235"/>
      <c r="AG1182" s="235"/>
      <c r="AH1182" s="235"/>
      <c r="AI1182" s="235"/>
      <c r="AJ1182" s="235"/>
      <c r="AK1182" s="235"/>
      <c r="AL1182" s="235"/>
      <c r="AM1182" s="235"/>
      <c r="AN1182" s="235"/>
      <c r="AO1182" s="235"/>
      <c r="AP1182" s="235"/>
      <c r="AQ1182" s="235"/>
      <c r="AR1182" s="235"/>
      <c r="AS1182" s="235"/>
      <c r="AT1182" s="235"/>
      <c r="AU1182" s="235"/>
      <c r="AV1182" s="235"/>
      <c r="AW1182" s="235"/>
      <c r="AX1182" s="235"/>
      <c r="AY1182" s="235"/>
      <c r="AZ1182" s="235"/>
      <c r="BA1182" s="235"/>
      <c r="BB1182" s="235"/>
      <c r="BC1182" s="235"/>
      <c r="BD1182" s="235"/>
      <c r="BE1182" s="235"/>
      <c r="BF1182" s="235"/>
      <c r="BG1182" s="235"/>
      <c r="BH1182" s="235"/>
      <c r="BI1182" s="235"/>
      <c r="BJ1182" s="235"/>
      <c r="BK1182" s="235"/>
      <c r="BL1182" s="235"/>
      <c r="BM1182" s="235"/>
      <c r="BN1182" s="235"/>
      <c r="BO1182" s="235"/>
    </row>
    <row r="1183" ht="29.25" hidden="1" customHeight="1">
      <c r="A1183" s="230"/>
      <c r="B1183" s="231"/>
      <c r="C1183" s="179"/>
      <c r="D1183" s="179"/>
      <c r="E1183" s="180"/>
      <c r="F1183" s="162"/>
      <c r="G1183" s="232"/>
      <c r="H1183" s="234"/>
      <c r="I1183" s="181"/>
      <c r="J1183" s="182"/>
      <c r="K1183" s="182"/>
      <c r="L1183" s="182"/>
      <c r="M1183" s="234"/>
      <c r="N1183" s="28"/>
      <c r="O1183" s="181"/>
      <c r="P1183" s="183"/>
      <c r="Q1183" s="104"/>
      <c r="R1183" s="233"/>
      <c r="S1183" s="164"/>
      <c r="T1183" s="164"/>
      <c r="U1183" s="162"/>
      <c r="V1183" s="235"/>
      <c r="W1183" s="235"/>
      <c r="X1183" s="235"/>
      <c r="Y1183" s="235"/>
      <c r="Z1183" s="235"/>
      <c r="AA1183" s="235"/>
      <c r="AB1183" s="235"/>
      <c r="AC1183" s="235"/>
      <c r="AD1183" s="235"/>
      <c r="AE1183" s="235"/>
      <c r="AF1183" s="235"/>
      <c r="AG1183" s="235"/>
      <c r="AH1183" s="235"/>
      <c r="AI1183" s="235"/>
      <c r="AJ1183" s="235"/>
      <c r="AK1183" s="235"/>
      <c r="AL1183" s="235"/>
      <c r="AM1183" s="235"/>
      <c r="AN1183" s="235"/>
      <c r="AO1183" s="235"/>
      <c r="AP1183" s="235"/>
      <c r="AQ1183" s="235"/>
      <c r="AR1183" s="235"/>
      <c r="AS1183" s="235"/>
      <c r="AT1183" s="235"/>
      <c r="AU1183" s="235"/>
      <c r="AV1183" s="235"/>
      <c r="AW1183" s="235"/>
      <c r="AX1183" s="235"/>
      <c r="AY1183" s="235"/>
      <c r="AZ1183" s="235"/>
      <c r="BA1183" s="235"/>
      <c r="BB1183" s="235"/>
      <c r="BC1183" s="235"/>
      <c r="BD1183" s="235"/>
      <c r="BE1183" s="235"/>
      <c r="BF1183" s="235"/>
      <c r="BG1183" s="235"/>
      <c r="BH1183" s="235"/>
      <c r="BI1183" s="235"/>
      <c r="BJ1183" s="235"/>
      <c r="BK1183" s="235"/>
      <c r="BL1183" s="235"/>
      <c r="BM1183" s="235"/>
      <c r="BN1183" s="235"/>
      <c r="BO1183" s="235"/>
    </row>
    <row r="1184" ht="29.25" hidden="1" customHeight="1">
      <c r="A1184" s="230"/>
      <c r="B1184" s="231"/>
      <c r="C1184" s="179"/>
      <c r="D1184" s="179"/>
      <c r="E1184" s="180"/>
      <c r="F1184" s="162"/>
      <c r="G1184" s="232"/>
      <c r="H1184" s="234"/>
      <c r="I1184" s="181"/>
      <c r="J1184" s="182"/>
      <c r="K1184" s="182"/>
      <c r="L1184" s="182"/>
      <c r="M1184" s="234"/>
      <c r="N1184" s="28"/>
      <c r="O1184" s="181"/>
      <c r="P1184" s="183"/>
      <c r="Q1184" s="104"/>
      <c r="R1184" s="233"/>
      <c r="S1184" s="164"/>
      <c r="T1184" s="164"/>
      <c r="U1184" s="162"/>
      <c r="V1184" s="235"/>
      <c r="W1184" s="235"/>
      <c r="X1184" s="235"/>
      <c r="Y1184" s="235"/>
      <c r="Z1184" s="235"/>
      <c r="AA1184" s="235"/>
      <c r="AB1184" s="235"/>
      <c r="AC1184" s="235"/>
      <c r="AD1184" s="235"/>
      <c r="AE1184" s="235"/>
      <c r="AF1184" s="235"/>
      <c r="AG1184" s="235"/>
      <c r="AH1184" s="235"/>
      <c r="AI1184" s="235"/>
      <c r="AJ1184" s="235"/>
      <c r="AK1184" s="235"/>
      <c r="AL1184" s="235"/>
      <c r="AM1184" s="235"/>
      <c r="AN1184" s="235"/>
      <c r="AO1184" s="235"/>
      <c r="AP1184" s="235"/>
      <c r="AQ1184" s="235"/>
      <c r="AR1184" s="235"/>
      <c r="AS1184" s="235"/>
      <c r="AT1184" s="235"/>
      <c r="AU1184" s="235"/>
      <c r="AV1184" s="235"/>
      <c r="AW1184" s="235"/>
      <c r="AX1184" s="235"/>
      <c r="AY1184" s="235"/>
      <c r="AZ1184" s="235"/>
      <c r="BA1184" s="235"/>
      <c r="BB1184" s="235"/>
      <c r="BC1184" s="235"/>
      <c r="BD1184" s="235"/>
      <c r="BE1184" s="235"/>
      <c r="BF1184" s="235"/>
      <c r="BG1184" s="235"/>
      <c r="BH1184" s="235"/>
      <c r="BI1184" s="235"/>
      <c r="BJ1184" s="235"/>
      <c r="BK1184" s="235"/>
      <c r="BL1184" s="235"/>
      <c r="BM1184" s="235"/>
      <c r="BN1184" s="235"/>
      <c r="BO1184" s="235"/>
    </row>
    <row r="1185" ht="29.25" hidden="1" customHeight="1">
      <c r="A1185" s="230"/>
      <c r="B1185" s="231"/>
      <c r="C1185" s="179"/>
      <c r="D1185" s="179"/>
      <c r="E1185" s="180"/>
      <c r="F1185" s="162"/>
      <c r="G1185" s="232"/>
      <c r="H1185" s="234"/>
      <c r="I1185" s="181"/>
      <c r="J1185" s="182"/>
      <c r="K1185" s="182"/>
      <c r="L1185" s="182"/>
      <c r="M1185" s="234"/>
      <c r="N1185" s="28"/>
      <c r="O1185" s="181"/>
      <c r="P1185" s="183"/>
      <c r="Q1185" s="104"/>
      <c r="R1185" s="233"/>
      <c r="S1185" s="164"/>
      <c r="T1185" s="164"/>
      <c r="U1185" s="162"/>
      <c r="V1185" s="235"/>
      <c r="W1185" s="235"/>
      <c r="X1185" s="235"/>
      <c r="Y1185" s="235"/>
      <c r="Z1185" s="235"/>
      <c r="AA1185" s="235"/>
      <c r="AB1185" s="235"/>
      <c r="AC1185" s="235"/>
      <c r="AD1185" s="235"/>
      <c r="AE1185" s="235"/>
      <c r="AF1185" s="235"/>
      <c r="AG1185" s="235"/>
      <c r="AH1185" s="235"/>
      <c r="AI1185" s="235"/>
      <c r="AJ1185" s="235"/>
      <c r="AK1185" s="235"/>
      <c r="AL1185" s="235"/>
      <c r="AM1185" s="235"/>
      <c r="AN1185" s="235"/>
      <c r="AO1185" s="235"/>
      <c r="AP1185" s="235"/>
      <c r="AQ1185" s="235"/>
      <c r="AR1185" s="235"/>
      <c r="AS1185" s="235"/>
      <c r="AT1185" s="235"/>
      <c r="AU1185" s="235"/>
      <c r="AV1185" s="235"/>
      <c r="AW1185" s="235"/>
      <c r="AX1185" s="235"/>
      <c r="AY1185" s="235"/>
      <c r="AZ1185" s="235"/>
      <c r="BA1185" s="235"/>
      <c r="BB1185" s="235"/>
      <c r="BC1185" s="235"/>
      <c r="BD1185" s="235"/>
      <c r="BE1185" s="235"/>
      <c r="BF1185" s="235"/>
      <c r="BG1185" s="235"/>
      <c r="BH1185" s="235"/>
      <c r="BI1185" s="235"/>
      <c r="BJ1185" s="235"/>
      <c r="BK1185" s="235"/>
      <c r="BL1185" s="235"/>
      <c r="BM1185" s="235"/>
      <c r="BN1185" s="235"/>
      <c r="BO1185" s="235"/>
    </row>
    <row r="1186" ht="29.25" hidden="1" customHeight="1">
      <c r="A1186" s="230"/>
      <c r="B1186" s="231"/>
      <c r="C1186" s="179"/>
      <c r="D1186" s="179"/>
      <c r="E1186" s="180"/>
      <c r="F1186" s="162"/>
      <c r="G1186" s="232"/>
      <c r="H1186" s="234"/>
      <c r="I1186" s="181"/>
      <c r="J1186" s="182"/>
      <c r="K1186" s="182"/>
      <c r="L1186" s="182"/>
      <c r="M1186" s="234"/>
      <c r="N1186" s="28"/>
      <c r="O1186" s="181"/>
      <c r="P1186" s="183"/>
      <c r="Q1186" s="104"/>
      <c r="R1186" s="233"/>
      <c r="S1186" s="164"/>
      <c r="T1186" s="164"/>
      <c r="U1186" s="162"/>
      <c r="V1186" s="235"/>
      <c r="W1186" s="235"/>
      <c r="X1186" s="235"/>
      <c r="Y1186" s="235"/>
      <c r="Z1186" s="235"/>
      <c r="AA1186" s="235"/>
      <c r="AB1186" s="235"/>
      <c r="AC1186" s="235"/>
      <c r="AD1186" s="235"/>
      <c r="AE1186" s="235"/>
      <c r="AF1186" s="235"/>
      <c r="AG1186" s="235"/>
      <c r="AH1186" s="235"/>
      <c r="AI1186" s="235"/>
      <c r="AJ1186" s="235"/>
      <c r="AK1186" s="235"/>
      <c r="AL1186" s="235"/>
      <c r="AM1186" s="235"/>
      <c r="AN1186" s="235"/>
      <c r="AO1186" s="235"/>
      <c r="AP1186" s="235"/>
      <c r="AQ1186" s="235"/>
      <c r="AR1186" s="235"/>
      <c r="AS1186" s="235"/>
      <c r="AT1186" s="235"/>
      <c r="AU1186" s="235"/>
      <c r="AV1186" s="235"/>
      <c r="AW1186" s="235"/>
      <c r="AX1186" s="235"/>
      <c r="AY1186" s="235"/>
      <c r="AZ1186" s="235"/>
      <c r="BA1186" s="235"/>
      <c r="BB1186" s="235"/>
      <c r="BC1186" s="235"/>
      <c r="BD1186" s="235"/>
      <c r="BE1186" s="235"/>
      <c r="BF1186" s="235"/>
      <c r="BG1186" s="235"/>
      <c r="BH1186" s="235"/>
      <c r="BI1186" s="235"/>
      <c r="BJ1186" s="235"/>
      <c r="BK1186" s="235"/>
      <c r="BL1186" s="235"/>
      <c r="BM1186" s="235"/>
      <c r="BN1186" s="235"/>
      <c r="BO1186" s="235"/>
    </row>
    <row r="1187" ht="29.25" hidden="1" customHeight="1">
      <c r="A1187" s="230"/>
      <c r="B1187" s="231"/>
      <c r="C1187" s="179"/>
      <c r="D1187" s="179"/>
      <c r="E1187" s="180"/>
      <c r="F1187" s="162"/>
      <c r="G1187" s="232"/>
      <c r="H1187" s="234"/>
      <c r="I1187" s="181"/>
      <c r="J1187" s="182"/>
      <c r="K1187" s="182"/>
      <c r="L1187" s="182"/>
      <c r="M1187" s="234"/>
      <c r="N1187" s="28"/>
      <c r="O1187" s="181"/>
      <c r="P1187" s="183"/>
      <c r="Q1187" s="104"/>
      <c r="R1187" s="233"/>
      <c r="S1187" s="164"/>
      <c r="T1187" s="164"/>
      <c r="U1187" s="162"/>
      <c r="V1187" s="235"/>
      <c r="W1187" s="235"/>
      <c r="X1187" s="235"/>
      <c r="Y1187" s="235"/>
      <c r="Z1187" s="235"/>
      <c r="AA1187" s="235"/>
      <c r="AB1187" s="235"/>
      <c r="AC1187" s="235"/>
      <c r="AD1187" s="235"/>
      <c r="AE1187" s="235"/>
      <c r="AF1187" s="235"/>
      <c r="AG1187" s="235"/>
      <c r="AH1187" s="235"/>
      <c r="AI1187" s="235"/>
      <c r="AJ1187" s="235"/>
      <c r="AK1187" s="235"/>
      <c r="AL1187" s="235"/>
      <c r="AM1187" s="235"/>
      <c r="AN1187" s="235"/>
      <c r="AO1187" s="235"/>
      <c r="AP1187" s="235"/>
      <c r="AQ1187" s="235"/>
      <c r="AR1187" s="235"/>
      <c r="AS1187" s="235"/>
      <c r="AT1187" s="235"/>
      <c r="AU1187" s="235"/>
      <c r="AV1187" s="235"/>
      <c r="AW1187" s="235"/>
      <c r="AX1187" s="235"/>
      <c r="AY1187" s="235"/>
      <c r="AZ1187" s="235"/>
      <c r="BA1187" s="235"/>
      <c r="BB1187" s="235"/>
      <c r="BC1187" s="235"/>
      <c r="BD1187" s="235"/>
      <c r="BE1187" s="235"/>
      <c r="BF1187" s="235"/>
      <c r="BG1187" s="235"/>
      <c r="BH1187" s="235"/>
      <c r="BI1187" s="235"/>
      <c r="BJ1187" s="235"/>
      <c r="BK1187" s="235"/>
      <c r="BL1187" s="235"/>
      <c r="BM1187" s="235"/>
      <c r="BN1187" s="235"/>
      <c r="BO1187" s="235"/>
    </row>
    <row r="1188" ht="29.25" hidden="1" customHeight="1">
      <c r="A1188" s="230"/>
      <c r="B1188" s="231"/>
      <c r="C1188" s="179"/>
      <c r="D1188" s="179"/>
      <c r="E1188" s="180"/>
      <c r="F1188" s="162"/>
      <c r="G1188" s="232"/>
      <c r="H1188" s="234"/>
      <c r="I1188" s="181"/>
      <c r="J1188" s="182"/>
      <c r="K1188" s="182"/>
      <c r="L1188" s="182"/>
      <c r="M1188" s="234"/>
      <c r="N1188" s="28"/>
      <c r="O1188" s="181"/>
      <c r="P1188" s="183"/>
      <c r="Q1188" s="104"/>
      <c r="R1188" s="233"/>
      <c r="S1188" s="164"/>
      <c r="T1188" s="164"/>
      <c r="U1188" s="162"/>
      <c r="V1188" s="235"/>
      <c r="W1188" s="235"/>
      <c r="X1188" s="235"/>
      <c r="Y1188" s="235"/>
      <c r="Z1188" s="235"/>
      <c r="AA1188" s="235"/>
      <c r="AB1188" s="235"/>
      <c r="AC1188" s="235"/>
      <c r="AD1188" s="235"/>
      <c r="AE1188" s="235"/>
      <c r="AF1188" s="235"/>
      <c r="AG1188" s="235"/>
      <c r="AH1188" s="235"/>
      <c r="AI1188" s="235"/>
      <c r="AJ1188" s="235"/>
      <c r="AK1188" s="235"/>
      <c r="AL1188" s="235"/>
      <c r="AM1188" s="235"/>
      <c r="AN1188" s="235"/>
      <c r="AO1188" s="235"/>
      <c r="AP1188" s="235"/>
      <c r="AQ1188" s="235"/>
      <c r="AR1188" s="235"/>
      <c r="AS1188" s="235"/>
      <c r="AT1188" s="235"/>
      <c r="AU1188" s="235"/>
      <c r="AV1188" s="235"/>
      <c r="AW1188" s="235"/>
      <c r="AX1188" s="235"/>
      <c r="AY1188" s="235"/>
      <c r="AZ1188" s="235"/>
      <c r="BA1188" s="235"/>
      <c r="BB1188" s="235"/>
      <c r="BC1188" s="235"/>
      <c r="BD1188" s="235"/>
      <c r="BE1188" s="235"/>
      <c r="BF1188" s="235"/>
      <c r="BG1188" s="235"/>
      <c r="BH1188" s="235"/>
      <c r="BI1188" s="235"/>
      <c r="BJ1188" s="235"/>
      <c r="BK1188" s="235"/>
      <c r="BL1188" s="235"/>
      <c r="BM1188" s="235"/>
      <c r="BN1188" s="235"/>
      <c r="BO1188" s="235"/>
    </row>
    <row r="1189" ht="29.25" hidden="1" customHeight="1">
      <c r="A1189" s="230"/>
      <c r="B1189" s="231"/>
      <c r="C1189" s="179"/>
      <c r="D1189" s="179"/>
      <c r="E1189" s="180"/>
      <c r="F1189" s="162"/>
      <c r="G1189" s="232"/>
      <c r="H1189" s="234"/>
      <c r="I1189" s="181"/>
      <c r="J1189" s="182"/>
      <c r="K1189" s="182"/>
      <c r="L1189" s="182"/>
      <c r="M1189" s="234"/>
      <c r="N1189" s="28"/>
      <c r="O1189" s="181"/>
      <c r="P1189" s="183"/>
      <c r="Q1189" s="104"/>
      <c r="R1189" s="233"/>
      <c r="S1189" s="164"/>
      <c r="T1189" s="164"/>
      <c r="U1189" s="162"/>
      <c r="V1189" s="235"/>
      <c r="W1189" s="235"/>
      <c r="X1189" s="235"/>
      <c r="Y1189" s="235"/>
      <c r="Z1189" s="235"/>
      <c r="AA1189" s="235"/>
      <c r="AB1189" s="235"/>
      <c r="AC1189" s="235"/>
      <c r="AD1189" s="235"/>
      <c r="AE1189" s="235"/>
      <c r="AF1189" s="235"/>
      <c r="AG1189" s="235"/>
      <c r="AH1189" s="235"/>
      <c r="AI1189" s="235"/>
      <c r="AJ1189" s="235"/>
      <c r="AK1189" s="235"/>
      <c r="AL1189" s="235"/>
      <c r="AM1189" s="235"/>
      <c r="AN1189" s="235"/>
      <c r="AO1189" s="235"/>
      <c r="AP1189" s="235"/>
      <c r="AQ1189" s="235"/>
      <c r="AR1189" s="235"/>
      <c r="AS1189" s="235"/>
      <c r="AT1189" s="235"/>
      <c r="AU1189" s="235"/>
      <c r="AV1189" s="235"/>
      <c r="AW1189" s="235"/>
      <c r="AX1189" s="235"/>
      <c r="AY1189" s="235"/>
      <c r="AZ1189" s="235"/>
      <c r="BA1189" s="235"/>
      <c r="BB1189" s="235"/>
      <c r="BC1189" s="235"/>
      <c r="BD1189" s="235"/>
      <c r="BE1189" s="235"/>
      <c r="BF1189" s="235"/>
      <c r="BG1189" s="235"/>
      <c r="BH1189" s="235"/>
      <c r="BI1189" s="235"/>
      <c r="BJ1189" s="235"/>
      <c r="BK1189" s="235"/>
      <c r="BL1189" s="235"/>
      <c r="BM1189" s="235"/>
      <c r="BN1189" s="235"/>
      <c r="BO1189" s="235"/>
    </row>
    <row r="1190" ht="29.25" hidden="1" customHeight="1">
      <c r="A1190" s="230"/>
      <c r="B1190" s="231"/>
      <c r="C1190" s="179"/>
      <c r="D1190" s="179"/>
      <c r="E1190" s="180"/>
      <c r="F1190" s="162"/>
      <c r="G1190" s="232"/>
      <c r="H1190" s="234"/>
      <c r="I1190" s="181"/>
      <c r="J1190" s="182"/>
      <c r="K1190" s="182"/>
      <c r="L1190" s="182"/>
      <c r="M1190" s="234"/>
      <c r="N1190" s="28"/>
      <c r="O1190" s="181"/>
      <c r="P1190" s="183"/>
      <c r="Q1190" s="104"/>
      <c r="R1190" s="233"/>
      <c r="S1190" s="164"/>
      <c r="T1190" s="164"/>
      <c r="U1190" s="162"/>
      <c r="V1190" s="235"/>
      <c r="W1190" s="235"/>
      <c r="X1190" s="235"/>
      <c r="Y1190" s="235"/>
      <c r="Z1190" s="235"/>
      <c r="AA1190" s="235"/>
      <c r="AB1190" s="235"/>
      <c r="AC1190" s="235"/>
      <c r="AD1190" s="235"/>
      <c r="AE1190" s="235"/>
      <c r="AF1190" s="235"/>
      <c r="AG1190" s="235"/>
      <c r="AH1190" s="235"/>
      <c r="AI1190" s="235"/>
      <c r="AJ1190" s="235"/>
      <c r="AK1190" s="235"/>
      <c r="AL1190" s="235"/>
      <c r="AM1190" s="235"/>
      <c r="AN1190" s="235"/>
      <c r="AO1190" s="235"/>
      <c r="AP1190" s="235"/>
      <c r="AQ1190" s="235"/>
      <c r="AR1190" s="235"/>
      <c r="AS1190" s="235"/>
      <c r="AT1190" s="235"/>
      <c r="AU1190" s="235"/>
      <c r="AV1190" s="235"/>
      <c r="AW1190" s="235"/>
      <c r="AX1190" s="235"/>
      <c r="AY1190" s="235"/>
      <c r="AZ1190" s="235"/>
      <c r="BA1190" s="235"/>
      <c r="BB1190" s="235"/>
      <c r="BC1190" s="235"/>
      <c r="BD1190" s="235"/>
      <c r="BE1190" s="235"/>
      <c r="BF1190" s="235"/>
      <c r="BG1190" s="235"/>
      <c r="BH1190" s="235"/>
      <c r="BI1190" s="235"/>
      <c r="BJ1190" s="235"/>
      <c r="BK1190" s="235"/>
      <c r="BL1190" s="235"/>
      <c r="BM1190" s="235"/>
      <c r="BN1190" s="235"/>
      <c r="BO1190" s="235"/>
    </row>
    <row r="1191" ht="29.25" hidden="1" customHeight="1">
      <c r="A1191" s="230"/>
      <c r="B1191" s="231"/>
      <c r="C1191" s="179"/>
      <c r="D1191" s="179"/>
      <c r="E1191" s="180"/>
      <c r="F1191" s="162"/>
      <c r="G1191" s="232"/>
      <c r="H1191" s="234"/>
      <c r="I1191" s="181"/>
      <c r="J1191" s="182"/>
      <c r="K1191" s="182"/>
      <c r="L1191" s="182"/>
      <c r="M1191" s="234"/>
      <c r="N1191" s="28"/>
      <c r="O1191" s="181"/>
      <c r="P1191" s="183"/>
      <c r="Q1191" s="104"/>
      <c r="R1191" s="233"/>
      <c r="S1191" s="164"/>
      <c r="T1191" s="164"/>
      <c r="U1191" s="162"/>
      <c r="V1191" s="235"/>
      <c r="W1191" s="235"/>
      <c r="X1191" s="235"/>
      <c r="Y1191" s="235"/>
      <c r="Z1191" s="235"/>
      <c r="AA1191" s="235"/>
      <c r="AB1191" s="235"/>
      <c r="AC1191" s="235"/>
      <c r="AD1191" s="235"/>
      <c r="AE1191" s="235"/>
      <c r="AF1191" s="235"/>
      <c r="AG1191" s="235"/>
      <c r="AH1191" s="235"/>
      <c r="AI1191" s="235"/>
      <c r="AJ1191" s="235"/>
      <c r="AK1191" s="235"/>
      <c r="AL1191" s="235"/>
      <c r="AM1191" s="235"/>
      <c r="AN1191" s="235"/>
      <c r="AO1191" s="235"/>
      <c r="AP1191" s="235"/>
      <c r="AQ1191" s="235"/>
      <c r="AR1191" s="235"/>
      <c r="AS1191" s="235"/>
      <c r="AT1191" s="235"/>
      <c r="AU1191" s="235"/>
      <c r="AV1191" s="235"/>
      <c r="AW1191" s="235"/>
      <c r="AX1191" s="235"/>
      <c r="AY1191" s="235"/>
      <c r="AZ1191" s="235"/>
      <c r="BA1191" s="235"/>
      <c r="BB1191" s="235"/>
      <c r="BC1191" s="235"/>
      <c r="BD1191" s="235"/>
      <c r="BE1191" s="235"/>
      <c r="BF1191" s="235"/>
      <c r="BG1191" s="235"/>
      <c r="BH1191" s="235"/>
      <c r="BI1191" s="235"/>
      <c r="BJ1191" s="235"/>
      <c r="BK1191" s="235"/>
      <c r="BL1191" s="235"/>
      <c r="BM1191" s="235"/>
      <c r="BN1191" s="235"/>
      <c r="BO1191" s="235"/>
    </row>
    <row r="1192" ht="29.25" hidden="1" customHeight="1">
      <c r="A1192" s="230"/>
      <c r="B1192" s="231"/>
      <c r="C1192" s="179"/>
      <c r="D1192" s="179"/>
      <c r="E1192" s="180"/>
      <c r="F1192" s="162"/>
      <c r="G1192" s="232"/>
      <c r="H1192" s="234"/>
      <c r="I1192" s="181"/>
      <c r="J1192" s="182"/>
      <c r="K1192" s="182"/>
      <c r="L1192" s="182"/>
      <c r="M1192" s="234"/>
      <c r="N1192" s="28"/>
      <c r="O1192" s="181"/>
      <c r="P1192" s="183"/>
      <c r="Q1192" s="104"/>
      <c r="R1192" s="233"/>
      <c r="S1192" s="164"/>
      <c r="T1192" s="164"/>
      <c r="U1192" s="162"/>
      <c r="V1192" s="235"/>
      <c r="W1192" s="235"/>
      <c r="X1192" s="235"/>
      <c r="Y1192" s="235"/>
      <c r="Z1192" s="235"/>
      <c r="AA1192" s="235"/>
      <c r="AB1192" s="235"/>
      <c r="AC1192" s="235"/>
      <c r="AD1192" s="235"/>
      <c r="AE1192" s="235"/>
      <c r="AF1192" s="235"/>
      <c r="AG1192" s="235"/>
      <c r="AH1192" s="235"/>
      <c r="AI1192" s="235"/>
      <c r="AJ1192" s="235"/>
      <c r="AK1192" s="235"/>
      <c r="AL1192" s="235"/>
      <c r="AM1192" s="235"/>
      <c r="AN1192" s="235"/>
      <c r="AO1192" s="235"/>
      <c r="AP1192" s="235"/>
      <c r="AQ1192" s="235"/>
      <c r="AR1192" s="235"/>
      <c r="AS1192" s="235"/>
      <c r="AT1192" s="235"/>
      <c r="AU1192" s="235"/>
      <c r="AV1192" s="235"/>
      <c r="AW1192" s="235"/>
      <c r="AX1192" s="235"/>
      <c r="AY1192" s="235"/>
      <c r="AZ1192" s="235"/>
      <c r="BA1192" s="235"/>
      <c r="BB1192" s="235"/>
      <c r="BC1192" s="235"/>
      <c r="BD1192" s="235"/>
      <c r="BE1192" s="235"/>
      <c r="BF1192" s="235"/>
      <c r="BG1192" s="235"/>
      <c r="BH1192" s="235"/>
      <c r="BI1192" s="235"/>
      <c r="BJ1192" s="235"/>
      <c r="BK1192" s="235"/>
      <c r="BL1192" s="235"/>
      <c r="BM1192" s="235"/>
      <c r="BN1192" s="235"/>
      <c r="BO1192" s="235"/>
    </row>
    <row r="1193" ht="29.25" hidden="1" customHeight="1">
      <c r="A1193" s="230"/>
      <c r="B1193" s="231"/>
      <c r="C1193" s="179"/>
      <c r="D1193" s="179"/>
      <c r="E1193" s="180"/>
      <c r="F1193" s="162"/>
      <c r="G1193" s="232"/>
      <c r="H1193" s="234"/>
      <c r="I1193" s="181"/>
      <c r="J1193" s="182"/>
      <c r="K1193" s="182"/>
      <c r="L1193" s="182"/>
      <c r="M1193" s="234"/>
      <c r="N1193" s="28"/>
      <c r="O1193" s="181"/>
      <c r="P1193" s="183"/>
      <c r="Q1193" s="104"/>
      <c r="R1193" s="233"/>
      <c r="S1193" s="164"/>
      <c r="T1193" s="164"/>
      <c r="U1193" s="162"/>
      <c r="V1193" s="235"/>
      <c r="W1193" s="235"/>
      <c r="X1193" s="235"/>
      <c r="Y1193" s="235"/>
      <c r="Z1193" s="235"/>
      <c r="AA1193" s="235"/>
      <c r="AB1193" s="235"/>
      <c r="AC1193" s="235"/>
      <c r="AD1193" s="235"/>
      <c r="AE1193" s="235"/>
      <c r="AF1193" s="235"/>
      <c r="AG1193" s="235"/>
      <c r="AH1193" s="235"/>
      <c r="AI1193" s="235"/>
      <c r="AJ1193" s="235"/>
      <c r="AK1193" s="235"/>
      <c r="AL1193" s="235"/>
      <c r="AM1193" s="235"/>
      <c r="AN1193" s="235"/>
      <c r="AO1193" s="235"/>
      <c r="AP1193" s="235"/>
      <c r="AQ1193" s="235"/>
      <c r="AR1193" s="235"/>
      <c r="AS1193" s="235"/>
      <c r="AT1193" s="235"/>
      <c r="AU1193" s="235"/>
      <c r="AV1193" s="235"/>
      <c r="AW1193" s="235"/>
      <c r="AX1193" s="235"/>
      <c r="AY1193" s="235"/>
      <c r="AZ1193" s="235"/>
      <c r="BA1193" s="235"/>
      <c r="BB1193" s="235"/>
      <c r="BC1193" s="235"/>
      <c r="BD1193" s="235"/>
      <c r="BE1193" s="235"/>
      <c r="BF1193" s="235"/>
      <c r="BG1193" s="235"/>
      <c r="BH1193" s="235"/>
      <c r="BI1193" s="235"/>
      <c r="BJ1193" s="235"/>
      <c r="BK1193" s="235"/>
      <c r="BL1193" s="235"/>
      <c r="BM1193" s="235"/>
      <c r="BN1193" s="235"/>
      <c r="BO1193" s="235"/>
    </row>
    <row r="1194" ht="29.25" hidden="1" customHeight="1">
      <c r="A1194" s="230"/>
      <c r="B1194" s="231"/>
      <c r="C1194" s="179"/>
      <c r="D1194" s="179"/>
      <c r="E1194" s="180"/>
      <c r="F1194" s="162"/>
      <c r="G1194" s="232"/>
      <c r="H1194" s="234"/>
      <c r="I1194" s="181"/>
      <c r="J1194" s="182"/>
      <c r="K1194" s="182"/>
      <c r="L1194" s="182"/>
      <c r="M1194" s="234"/>
      <c r="N1194" s="28"/>
      <c r="O1194" s="181"/>
      <c r="P1194" s="183"/>
      <c r="Q1194" s="104"/>
      <c r="R1194" s="233"/>
      <c r="S1194" s="164"/>
      <c r="T1194" s="164"/>
      <c r="U1194" s="162"/>
      <c r="V1194" s="235"/>
      <c r="W1194" s="235"/>
      <c r="X1194" s="235"/>
      <c r="Y1194" s="235"/>
      <c r="Z1194" s="235"/>
      <c r="AA1194" s="235"/>
      <c r="AB1194" s="235"/>
      <c r="AC1194" s="235"/>
      <c r="AD1194" s="235"/>
      <c r="AE1194" s="235"/>
      <c r="AF1194" s="235"/>
      <c r="AG1194" s="235"/>
      <c r="AH1194" s="235"/>
      <c r="AI1194" s="235"/>
      <c r="AJ1194" s="235"/>
      <c r="AK1194" s="235"/>
      <c r="AL1194" s="235"/>
      <c r="AM1194" s="235"/>
      <c r="AN1194" s="235"/>
      <c r="AO1194" s="235"/>
      <c r="AP1194" s="235"/>
      <c r="AQ1194" s="235"/>
      <c r="AR1194" s="235"/>
      <c r="AS1194" s="235"/>
      <c r="AT1194" s="235"/>
      <c r="AU1194" s="235"/>
      <c r="AV1194" s="235"/>
      <c r="AW1194" s="235"/>
      <c r="AX1194" s="235"/>
      <c r="AY1194" s="235"/>
      <c r="AZ1194" s="235"/>
      <c r="BA1194" s="235"/>
      <c r="BB1194" s="235"/>
      <c r="BC1194" s="235"/>
      <c r="BD1194" s="235"/>
      <c r="BE1194" s="235"/>
      <c r="BF1194" s="235"/>
      <c r="BG1194" s="235"/>
      <c r="BH1194" s="235"/>
      <c r="BI1194" s="235"/>
      <c r="BJ1194" s="235"/>
      <c r="BK1194" s="235"/>
      <c r="BL1194" s="235"/>
      <c r="BM1194" s="235"/>
      <c r="BN1194" s="235"/>
      <c r="BO1194" s="235"/>
    </row>
    <row r="1195" ht="29.25" hidden="1" customHeight="1">
      <c r="A1195" s="230"/>
      <c r="B1195" s="231"/>
      <c r="C1195" s="179"/>
      <c r="D1195" s="179"/>
      <c r="E1195" s="180"/>
      <c r="F1195" s="162"/>
      <c r="G1195" s="232"/>
      <c r="H1195" s="234"/>
      <c r="I1195" s="181"/>
      <c r="J1195" s="182"/>
      <c r="K1195" s="182"/>
      <c r="L1195" s="182"/>
      <c r="M1195" s="234"/>
      <c r="N1195" s="28"/>
      <c r="O1195" s="181"/>
      <c r="P1195" s="183"/>
      <c r="Q1195" s="104"/>
      <c r="R1195" s="233"/>
      <c r="S1195" s="164"/>
      <c r="T1195" s="164"/>
      <c r="U1195" s="162"/>
      <c r="V1195" s="235"/>
      <c r="W1195" s="235"/>
      <c r="X1195" s="235"/>
      <c r="Y1195" s="235"/>
      <c r="Z1195" s="235"/>
      <c r="AA1195" s="235"/>
      <c r="AB1195" s="235"/>
      <c r="AC1195" s="235"/>
      <c r="AD1195" s="235"/>
      <c r="AE1195" s="235"/>
      <c r="AF1195" s="235"/>
      <c r="AG1195" s="235"/>
      <c r="AH1195" s="235"/>
      <c r="AI1195" s="235"/>
      <c r="AJ1195" s="235"/>
      <c r="AK1195" s="235"/>
      <c r="AL1195" s="235"/>
      <c r="AM1195" s="235"/>
      <c r="AN1195" s="235"/>
      <c r="AO1195" s="235"/>
      <c r="AP1195" s="235"/>
      <c r="AQ1195" s="235"/>
      <c r="AR1195" s="235"/>
      <c r="AS1195" s="235"/>
      <c r="AT1195" s="235"/>
      <c r="AU1195" s="235"/>
      <c r="AV1195" s="235"/>
      <c r="AW1195" s="235"/>
      <c r="AX1195" s="235"/>
      <c r="AY1195" s="235"/>
      <c r="AZ1195" s="235"/>
      <c r="BA1195" s="235"/>
      <c r="BB1195" s="235"/>
      <c r="BC1195" s="235"/>
      <c r="BD1195" s="235"/>
      <c r="BE1195" s="235"/>
      <c r="BF1195" s="235"/>
      <c r="BG1195" s="235"/>
      <c r="BH1195" s="235"/>
      <c r="BI1195" s="235"/>
      <c r="BJ1195" s="235"/>
      <c r="BK1195" s="235"/>
      <c r="BL1195" s="235"/>
      <c r="BM1195" s="235"/>
      <c r="BN1195" s="235"/>
      <c r="BO1195" s="235"/>
    </row>
    <row r="1196" ht="29.25" hidden="1" customHeight="1">
      <c r="A1196" s="230"/>
      <c r="B1196" s="231"/>
      <c r="C1196" s="179"/>
      <c r="D1196" s="179"/>
      <c r="E1196" s="180"/>
      <c r="F1196" s="162"/>
      <c r="G1196" s="232"/>
      <c r="H1196" s="234"/>
      <c r="I1196" s="181"/>
      <c r="J1196" s="182"/>
      <c r="K1196" s="182"/>
      <c r="L1196" s="182"/>
      <c r="M1196" s="234"/>
      <c r="N1196" s="28"/>
      <c r="O1196" s="181"/>
      <c r="P1196" s="183"/>
      <c r="Q1196" s="104"/>
      <c r="R1196" s="233"/>
      <c r="S1196" s="164"/>
      <c r="T1196" s="164"/>
      <c r="U1196" s="162"/>
      <c r="V1196" s="235"/>
      <c r="W1196" s="235"/>
      <c r="X1196" s="235"/>
      <c r="Y1196" s="235"/>
      <c r="Z1196" s="235"/>
      <c r="AA1196" s="235"/>
      <c r="AB1196" s="235"/>
      <c r="AC1196" s="235"/>
      <c r="AD1196" s="235"/>
      <c r="AE1196" s="235"/>
      <c r="AF1196" s="235"/>
      <c r="AG1196" s="235"/>
      <c r="AH1196" s="235"/>
      <c r="AI1196" s="235"/>
      <c r="AJ1196" s="235"/>
      <c r="AK1196" s="235"/>
      <c r="AL1196" s="235"/>
      <c r="AM1196" s="235"/>
      <c r="AN1196" s="235"/>
      <c r="AO1196" s="235"/>
      <c r="AP1196" s="235"/>
      <c r="AQ1196" s="235"/>
      <c r="AR1196" s="235"/>
      <c r="AS1196" s="235"/>
      <c r="AT1196" s="235"/>
      <c r="AU1196" s="235"/>
      <c r="AV1196" s="235"/>
      <c r="AW1196" s="235"/>
      <c r="AX1196" s="235"/>
      <c r="AY1196" s="235"/>
      <c r="AZ1196" s="235"/>
      <c r="BA1196" s="235"/>
      <c r="BB1196" s="235"/>
      <c r="BC1196" s="235"/>
      <c r="BD1196" s="235"/>
      <c r="BE1196" s="235"/>
      <c r="BF1196" s="235"/>
      <c r="BG1196" s="235"/>
      <c r="BH1196" s="235"/>
      <c r="BI1196" s="235"/>
      <c r="BJ1196" s="235"/>
      <c r="BK1196" s="235"/>
      <c r="BL1196" s="235"/>
      <c r="BM1196" s="235"/>
      <c r="BN1196" s="235"/>
      <c r="BO1196" s="235"/>
    </row>
    <row r="1197" ht="29.25" hidden="1" customHeight="1">
      <c r="A1197" s="230"/>
      <c r="B1197" s="231"/>
      <c r="C1197" s="179"/>
      <c r="D1197" s="179"/>
      <c r="E1197" s="180"/>
      <c r="F1197" s="162"/>
      <c r="G1197" s="232"/>
      <c r="H1197" s="234"/>
      <c r="I1197" s="181"/>
      <c r="J1197" s="182"/>
      <c r="K1197" s="182"/>
      <c r="L1197" s="182"/>
      <c r="M1197" s="234"/>
      <c r="N1197" s="28"/>
      <c r="O1197" s="181"/>
      <c r="P1197" s="183"/>
      <c r="Q1197" s="104"/>
      <c r="R1197" s="233"/>
      <c r="S1197" s="164"/>
      <c r="T1197" s="164"/>
      <c r="U1197" s="162"/>
      <c r="V1197" s="235"/>
      <c r="W1197" s="235"/>
      <c r="X1197" s="235"/>
      <c r="Y1197" s="235"/>
      <c r="Z1197" s="235"/>
      <c r="AA1197" s="235"/>
      <c r="AB1197" s="235"/>
      <c r="AC1197" s="235"/>
      <c r="AD1197" s="235"/>
      <c r="AE1197" s="235"/>
      <c r="AF1197" s="235"/>
      <c r="AG1197" s="235"/>
      <c r="AH1197" s="235"/>
      <c r="AI1197" s="235"/>
      <c r="AJ1197" s="235"/>
      <c r="AK1197" s="235"/>
      <c r="AL1197" s="235"/>
      <c r="AM1197" s="235"/>
      <c r="AN1197" s="235"/>
      <c r="AO1197" s="235"/>
      <c r="AP1197" s="235"/>
      <c r="AQ1197" s="235"/>
      <c r="AR1197" s="235"/>
      <c r="AS1197" s="235"/>
      <c r="AT1197" s="235"/>
      <c r="AU1197" s="235"/>
      <c r="AV1197" s="235"/>
      <c r="AW1197" s="235"/>
      <c r="AX1197" s="235"/>
      <c r="AY1197" s="235"/>
      <c r="AZ1197" s="235"/>
      <c r="BA1197" s="235"/>
      <c r="BB1197" s="235"/>
      <c r="BC1197" s="235"/>
      <c r="BD1197" s="235"/>
      <c r="BE1197" s="235"/>
      <c r="BF1197" s="235"/>
      <c r="BG1197" s="235"/>
      <c r="BH1197" s="235"/>
      <c r="BI1197" s="235"/>
      <c r="BJ1197" s="235"/>
      <c r="BK1197" s="235"/>
      <c r="BL1197" s="235"/>
      <c r="BM1197" s="235"/>
      <c r="BN1197" s="235"/>
      <c r="BO1197" s="235"/>
    </row>
    <row r="1198" ht="29.25" hidden="1" customHeight="1">
      <c r="A1198" s="230"/>
      <c r="B1198" s="231"/>
      <c r="C1198" s="179"/>
      <c r="D1198" s="179"/>
      <c r="E1198" s="180"/>
      <c r="F1198" s="162"/>
      <c r="G1198" s="232"/>
      <c r="H1198" s="234"/>
      <c r="I1198" s="181"/>
      <c r="J1198" s="182"/>
      <c r="K1198" s="182"/>
      <c r="L1198" s="182"/>
      <c r="M1198" s="234"/>
      <c r="N1198" s="28"/>
      <c r="O1198" s="181"/>
      <c r="P1198" s="183"/>
      <c r="Q1198" s="104"/>
      <c r="R1198" s="233"/>
      <c r="S1198" s="164"/>
      <c r="T1198" s="164"/>
      <c r="U1198" s="162"/>
      <c r="V1198" s="235"/>
      <c r="W1198" s="235"/>
      <c r="X1198" s="235"/>
      <c r="Y1198" s="235"/>
      <c r="Z1198" s="235"/>
      <c r="AA1198" s="235"/>
      <c r="AB1198" s="235"/>
      <c r="AC1198" s="235"/>
      <c r="AD1198" s="235"/>
      <c r="AE1198" s="235"/>
      <c r="AF1198" s="235"/>
      <c r="AG1198" s="235"/>
      <c r="AH1198" s="235"/>
      <c r="AI1198" s="235"/>
      <c r="AJ1198" s="235"/>
      <c r="AK1198" s="235"/>
      <c r="AL1198" s="235"/>
      <c r="AM1198" s="235"/>
      <c r="AN1198" s="235"/>
      <c r="AO1198" s="235"/>
      <c r="AP1198" s="235"/>
      <c r="AQ1198" s="235"/>
      <c r="AR1198" s="235"/>
      <c r="AS1198" s="235"/>
      <c r="AT1198" s="235"/>
      <c r="AU1198" s="235"/>
      <c r="AV1198" s="235"/>
      <c r="AW1198" s="235"/>
      <c r="AX1198" s="235"/>
      <c r="AY1198" s="235"/>
      <c r="AZ1198" s="235"/>
      <c r="BA1198" s="235"/>
      <c r="BB1198" s="235"/>
      <c r="BC1198" s="235"/>
      <c r="BD1198" s="235"/>
      <c r="BE1198" s="235"/>
      <c r="BF1198" s="235"/>
      <c r="BG1198" s="235"/>
      <c r="BH1198" s="235"/>
      <c r="BI1198" s="235"/>
      <c r="BJ1198" s="235"/>
      <c r="BK1198" s="235"/>
      <c r="BL1198" s="235"/>
      <c r="BM1198" s="235"/>
      <c r="BN1198" s="235"/>
      <c r="BO1198" s="235"/>
    </row>
    <row r="1199" ht="29.25" hidden="1" customHeight="1">
      <c r="A1199" s="230"/>
      <c r="B1199" s="231"/>
      <c r="C1199" s="179"/>
      <c r="D1199" s="179"/>
      <c r="E1199" s="180"/>
      <c r="F1199" s="162"/>
      <c r="G1199" s="232"/>
      <c r="H1199" s="234"/>
      <c r="I1199" s="181"/>
      <c r="J1199" s="182"/>
      <c r="K1199" s="182"/>
      <c r="L1199" s="182"/>
      <c r="M1199" s="234"/>
      <c r="N1199" s="28"/>
      <c r="O1199" s="181"/>
      <c r="P1199" s="183"/>
      <c r="Q1199" s="104"/>
      <c r="R1199" s="233"/>
      <c r="S1199" s="164"/>
      <c r="T1199" s="164"/>
      <c r="U1199" s="162"/>
      <c r="V1199" s="235"/>
      <c r="W1199" s="235"/>
      <c r="X1199" s="235"/>
      <c r="Y1199" s="235"/>
      <c r="Z1199" s="235"/>
      <c r="AA1199" s="235"/>
      <c r="AB1199" s="235"/>
      <c r="AC1199" s="235"/>
      <c r="AD1199" s="235"/>
      <c r="AE1199" s="235"/>
      <c r="AF1199" s="235"/>
      <c r="AG1199" s="235"/>
      <c r="AH1199" s="235"/>
      <c r="AI1199" s="235"/>
      <c r="AJ1199" s="235"/>
      <c r="AK1199" s="235"/>
      <c r="AL1199" s="235"/>
      <c r="AM1199" s="235"/>
      <c r="AN1199" s="235"/>
      <c r="AO1199" s="235"/>
      <c r="AP1199" s="235"/>
      <c r="AQ1199" s="235"/>
      <c r="AR1199" s="235"/>
      <c r="AS1199" s="235"/>
      <c r="AT1199" s="235"/>
      <c r="AU1199" s="235"/>
      <c r="AV1199" s="235"/>
      <c r="AW1199" s="235"/>
      <c r="AX1199" s="235"/>
      <c r="AY1199" s="235"/>
      <c r="AZ1199" s="235"/>
      <c r="BA1199" s="235"/>
      <c r="BB1199" s="235"/>
      <c r="BC1199" s="235"/>
      <c r="BD1199" s="235"/>
      <c r="BE1199" s="235"/>
      <c r="BF1199" s="235"/>
      <c r="BG1199" s="235"/>
      <c r="BH1199" s="235"/>
      <c r="BI1199" s="235"/>
      <c r="BJ1199" s="235"/>
      <c r="BK1199" s="235"/>
      <c r="BL1199" s="235"/>
      <c r="BM1199" s="235"/>
      <c r="BN1199" s="235"/>
      <c r="BO1199" s="235"/>
    </row>
    <row r="1200" ht="29.25" hidden="1" customHeight="1">
      <c r="A1200" s="230"/>
      <c r="B1200" s="231"/>
      <c r="C1200" s="179"/>
      <c r="D1200" s="179"/>
      <c r="E1200" s="180"/>
      <c r="F1200" s="162"/>
      <c r="G1200" s="232"/>
      <c r="H1200" s="234"/>
      <c r="I1200" s="181"/>
      <c r="J1200" s="182"/>
      <c r="K1200" s="182"/>
      <c r="L1200" s="182"/>
      <c r="M1200" s="234"/>
      <c r="N1200" s="28"/>
      <c r="O1200" s="181"/>
      <c r="P1200" s="183"/>
      <c r="Q1200" s="104"/>
      <c r="R1200" s="233"/>
      <c r="S1200" s="164"/>
      <c r="T1200" s="164"/>
      <c r="U1200" s="162"/>
      <c r="V1200" s="235"/>
      <c r="W1200" s="235"/>
      <c r="X1200" s="235"/>
      <c r="Y1200" s="235"/>
      <c r="Z1200" s="235"/>
      <c r="AA1200" s="235"/>
      <c r="AB1200" s="235"/>
      <c r="AC1200" s="235"/>
      <c r="AD1200" s="235"/>
      <c r="AE1200" s="235"/>
      <c r="AF1200" s="235"/>
      <c r="AG1200" s="235"/>
      <c r="AH1200" s="235"/>
      <c r="AI1200" s="235"/>
      <c r="AJ1200" s="235"/>
      <c r="AK1200" s="235"/>
      <c r="AL1200" s="235"/>
      <c r="AM1200" s="235"/>
      <c r="AN1200" s="235"/>
      <c r="AO1200" s="235"/>
      <c r="AP1200" s="235"/>
      <c r="AQ1200" s="235"/>
      <c r="AR1200" s="235"/>
      <c r="AS1200" s="235"/>
      <c r="AT1200" s="235"/>
      <c r="AU1200" s="235"/>
      <c r="AV1200" s="235"/>
      <c r="AW1200" s="235"/>
      <c r="AX1200" s="235"/>
      <c r="AY1200" s="235"/>
      <c r="AZ1200" s="235"/>
      <c r="BA1200" s="235"/>
      <c r="BB1200" s="235"/>
      <c r="BC1200" s="235"/>
      <c r="BD1200" s="235"/>
      <c r="BE1200" s="235"/>
      <c r="BF1200" s="235"/>
      <c r="BG1200" s="235"/>
      <c r="BH1200" s="235"/>
      <c r="BI1200" s="235"/>
      <c r="BJ1200" s="235"/>
      <c r="BK1200" s="235"/>
      <c r="BL1200" s="235"/>
      <c r="BM1200" s="235"/>
      <c r="BN1200" s="235"/>
      <c r="BO1200" s="235"/>
    </row>
    <row r="1201" ht="29.25" hidden="1" customHeight="1">
      <c r="A1201" s="230"/>
      <c r="B1201" s="231"/>
      <c r="C1201" s="179"/>
      <c r="D1201" s="179"/>
      <c r="E1201" s="180"/>
      <c r="F1201" s="162"/>
      <c r="G1201" s="232"/>
      <c r="H1201" s="234"/>
      <c r="I1201" s="181"/>
      <c r="J1201" s="182"/>
      <c r="K1201" s="182"/>
      <c r="L1201" s="182"/>
      <c r="M1201" s="234"/>
      <c r="N1201" s="28"/>
      <c r="O1201" s="181"/>
      <c r="P1201" s="183"/>
      <c r="Q1201" s="104"/>
      <c r="R1201" s="233"/>
      <c r="S1201" s="164"/>
      <c r="T1201" s="164"/>
      <c r="U1201" s="162"/>
      <c r="V1201" s="235"/>
      <c r="W1201" s="235"/>
      <c r="X1201" s="235"/>
      <c r="Y1201" s="235"/>
      <c r="Z1201" s="235"/>
      <c r="AA1201" s="235"/>
      <c r="AB1201" s="235"/>
      <c r="AC1201" s="235"/>
      <c r="AD1201" s="235"/>
      <c r="AE1201" s="235"/>
      <c r="AF1201" s="235"/>
      <c r="AG1201" s="235"/>
      <c r="AH1201" s="235"/>
      <c r="AI1201" s="235"/>
      <c r="AJ1201" s="235"/>
      <c r="AK1201" s="235"/>
      <c r="AL1201" s="235"/>
      <c r="AM1201" s="235"/>
      <c r="AN1201" s="235"/>
      <c r="AO1201" s="235"/>
      <c r="AP1201" s="235"/>
      <c r="AQ1201" s="235"/>
      <c r="AR1201" s="235"/>
      <c r="AS1201" s="235"/>
      <c r="AT1201" s="235"/>
      <c r="AU1201" s="235"/>
      <c r="AV1201" s="235"/>
      <c r="AW1201" s="235"/>
      <c r="AX1201" s="235"/>
      <c r="AY1201" s="235"/>
      <c r="AZ1201" s="235"/>
      <c r="BA1201" s="235"/>
      <c r="BB1201" s="235"/>
      <c r="BC1201" s="235"/>
      <c r="BD1201" s="235"/>
      <c r="BE1201" s="235"/>
      <c r="BF1201" s="235"/>
      <c r="BG1201" s="235"/>
      <c r="BH1201" s="235"/>
      <c r="BI1201" s="235"/>
      <c r="BJ1201" s="235"/>
      <c r="BK1201" s="235"/>
      <c r="BL1201" s="235"/>
      <c r="BM1201" s="235"/>
      <c r="BN1201" s="235"/>
      <c r="BO1201" s="235"/>
    </row>
    <row r="1202" ht="29.25" hidden="1" customHeight="1">
      <c r="A1202" s="230"/>
      <c r="B1202" s="231"/>
      <c r="C1202" s="179"/>
      <c r="D1202" s="179"/>
      <c r="E1202" s="180"/>
      <c r="F1202" s="162"/>
      <c r="G1202" s="232"/>
      <c r="H1202" s="234"/>
      <c r="I1202" s="181"/>
      <c r="J1202" s="182"/>
      <c r="K1202" s="182"/>
      <c r="L1202" s="182"/>
      <c r="M1202" s="234"/>
      <c r="N1202" s="28"/>
      <c r="O1202" s="181"/>
      <c r="P1202" s="183"/>
      <c r="Q1202" s="104"/>
      <c r="R1202" s="233"/>
      <c r="S1202" s="164"/>
      <c r="T1202" s="164"/>
      <c r="U1202" s="162"/>
      <c r="V1202" s="235"/>
      <c r="W1202" s="235"/>
      <c r="X1202" s="235"/>
      <c r="Y1202" s="235"/>
      <c r="Z1202" s="235"/>
      <c r="AA1202" s="235"/>
      <c r="AB1202" s="235"/>
      <c r="AC1202" s="235"/>
      <c r="AD1202" s="235"/>
      <c r="AE1202" s="235"/>
      <c r="AF1202" s="235"/>
      <c r="AG1202" s="235"/>
      <c r="AH1202" s="235"/>
      <c r="AI1202" s="235"/>
      <c r="AJ1202" s="235"/>
      <c r="AK1202" s="235"/>
      <c r="AL1202" s="235"/>
      <c r="AM1202" s="235"/>
      <c r="AN1202" s="235"/>
      <c r="AO1202" s="235"/>
      <c r="AP1202" s="235"/>
      <c r="AQ1202" s="235"/>
      <c r="AR1202" s="235"/>
      <c r="AS1202" s="235"/>
      <c r="AT1202" s="235"/>
      <c r="AU1202" s="235"/>
      <c r="AV1202" s="235"/>
      <c r="AW1202" s="235"/>
      <c r="AX1202" s="235"/>
      <c r="AY1202" s="235"/>
      <c r="AZ1202" s="235"/>
      <c r="BA1202" s="235"/>
      <c r="BB1202" s="235"/>
      <c r="BC1202" s="235"/>
      <c r="BD1202" s="235"/>
      <c r="BE1202" s="235"/>
      <c r="BF1202" s="235"/>
      <c r="BG1202" s="235"/>
      <c r="BH1202" s="235"/>
      <c r="BI1202" s="235"/>
      <c r="BJ1202" s="235"/>
      <c r="BK1202" s="235"/>
      <c r="BL1202" s="235"/>
      <c r="BM1202" s="235"/>
      <c r="BN1202" s="235"/>
      <c r="BO1202" s="235"/>
    </row>
    <row r="1203" ht="29.25" hidden="1" customHeight="1">
      <c r="A1203" s="230"/>
      <c r="B1203" s="231"/>
      <c r="C1203" s="179"/>
      <c r="D1203" s="179"/>
      <c r="E1203" s="180"/>
      <c r="F1203" s="162"/>
      <c r="G1203" s="232"/>
      <c r="H1203" s="234"/>
      <c r="I1203" s="181"/>
      <c r="J1203" s="182"/>
      <c r="K1203" s="182"/>
      <c r="L1203" s="182"/>
      <c r="M1203" s="234"/>
      <c r="N1203" s="28"/>
      <c r="O1203" s="181"/>
      <c r="P1203" s="183"/>
      <c r="Q1203" s="104"/>
      <c r="R1203" s="233"/>
      <c r="S1203" s="164"/>
      <c r="T1203" s="164"/>
      <c r="U1203" s="162"/>
      <c r="V1203" s="235"/>
      <c r="W1203" s="235"/>
      <c r="X1203" s="235"/>
      <c r="Y1203" s="235"/>
      <c r="Z1203" s="235"/>
      <c r="AA1203" s="235"/>
      <c r="AB1203" s="235"/>
      <c r="AC1203" s="235"/>
      <c r="AD1203" s="235"/>
      <c r="AE1203" s="235"/>
      <c r="AF1203" s="235"/>
      <c r="AG1203" s="235"/>
      <c r="AH1203" s="235"/>
      <c r="AI1203" s="235"/>
      <c r="AJ1203" s="235"/>
      <c r="AK1203" s="235"/>
      <c r="AL1203" s="235"/>
      <c r="AM1203" s="235"/>
      <c r="AN1203" s="235"/>
      <c r="AO1203" s="235"/>
      <c r="AP1203" s="235"/>
      <c r="AQ1203" s="235"/>
      <c r="AR1203" s="235"/>
      <c r="AS1203" s="235"/>
      <c r="AT1203" s="235"/>
      <c r="AU1203" s="235"/>
      <c r="AV1203" s="235"/>
      <c r="AW1203" s="235"/>
      <c r="AX1203" s="235"/>
      <c r="AY1203" s="235"/>
      <c r="AZ1203" s="235"/>
      <c r="BA1203" s="235"/>
      <c r="BB1203" s="235"/>
      <c r="BC1203" s="235"/>
      <c r="BD1203" s="235"/>
      <c r="BE1203" s="235"/>
      <c r="BF1203" s="235"/>
      <c r="BG1203" s="235"/>
      <c r="BH1203" s="235"/>
      <c r="BI1203" s="235"/>
      <c r="BJ1203" s="235"/>
      <c r="BK1203" s="235"/>
      <c r="BL1203" s="235"/>
      <c r="BM1203" s="235"/>
      <c r="BN1203" s="235"/>
      <c r="BO1203" s="235"/>
    </row>
    <row r="1204" ht="29.25" hidden="1" customHeight="1">
      <c r="A1204" s="230"/>
      <c r="B1204" s="231"/>
      <c r="C1204" s="179"/>
      <c r="D1204" s="179"/>
      <c r="E1204" s="180"/>
      <c r="F1204" s="162"/>
      <c r="G1204" s="232"/>
      <c r="H1204" s="234"/>
      <c r="I1204" s="181"/>
      <c r="J1204" s="182"/>
      <c r="K1204" s="182"/>
      <c r="L1204" s="182"/>
      <c r="M1204" s="234"/>
      <c r="N1204" s="28"/>
      <c r="O1204" s="181"/>
      <c r="P1204" s="183"/>
      <c r="Q1204" s="104"/>
      <c r="R1204" s="233"/>
      <c r="S1204" s="164"/>
      <c r="T1204" s="164"/>
      <c r="U1204" s="162"/>
      <c r="V1204" s="235"/>
      <c r="W1204" s="235"/>
      <c r="X1204" s="235"/>
      <c r="Y1204" s="235"/>
      <c r="Z1204" s="235"/>
      <c r="AA1204" s="235"/>
      <c r="AB1204" s="235"/>
      <c r="AC1204" s="235"/>
      <c r="AD1204" s="235"/>
      <c r="AE1204" s="235"/>
      <c r="AF1204" s="235"/>
      <c r="AG1204" s="235"/>
      <c r="AH1204" s="235"/>
      <c r="AI1204" s="235"/>
      <c r="AJ1204" s="235"/>
      <c r="AK1204" s="235"/>
      <c r="AL1204" s="235"/>
      <c r="AM1204" s="235"/>
      <c r="AN1204" s="235"/>
      <c r="AO1204" s="235"/>
      <c r="AP1204" s="235"/>
      <c r="AQ1204" s="235"/>
      <c r="AR1204" s="235"/>
      <c r="AS1204" s="235"/>
      <c r="AT1204" s="235"/>
      <c r="AU1204" s="235"/>
      <c r="AV1204" s="235"/>
      <c r="AW1204" s="235"/>
      <c r="AX1204" s="235"/>
      <c r="AY1204" s="235"/>
      <c r="AZ1204" s="235"/>
      <c r="BA1204" s="235"/>
      <c r="BB1204" s="235"/>
      <c r="BC1204" s="235"/>
      <c r="BD1204" s="235"/>
      <c r="BE1204" s="235"/>
      <c r="BF1204" s="235"/>
      <c r="BG1204" s="235"/>
      <c r="BH1204" s="235"/>
      <c r="BI1204" s="235"/>
      <c r="BJ1204" s="235"/>
      <c r="BK1204" s="235"/>
      <c r="BL1204" s="235"/>
      <c r="BM1204" s="235"/>
      <c r="BN1204" s="235"/>
      <c r="BO1204" s="235"/>
    </row>
    <row r="1205" ht="29.25" hidden="1" customHeight="1">
      <c r="A1205" s="230"/>
      <c r="B1205" s="231"/>
      <c r="C1205" s="179"/>
      <c r="D1205" s="179"/>
      <c r="E1205" s="180"/>
      <c r="F1205" s="162"/>
      <c r="G1205" s="232"/>
      <c r="H1205" s="234"/>
      <c r="I1205" s="181"/>
      <c r="J1205" s="182"/>
      <c r="K1205" s="182"/>
      <c r="L1205" s="182"/>
      <c r="M1205" s="234"/>
      <c r="N1205" s="28"/>
      <c r="O1205" s="181"/>
      <c r="P1205" s="183"/>
      <c r="Q1205" s="104"/>
      <c r="R1205" s="233"/>
      <c r="S1205" s="164"/>
      <c r="T1205" s="164"/>
      <c r="U1205" s="162"/>
      <c r="V1205" s="235"/>
      <c r="W1205" s="235"/>
      <c r="X1205" s="235"/>
      <c r="Y1205" s="235"/>
      <c r="Z1205" s="235"/>
      <c r="AA1205" s="235"/>
      <c r="AB1205" s="235"/>
      <c r="AC1205" s="235"/>
      <c r="AD1205" s="235"/>
      <c r="AE1205" s="235"/>
      <c r="AF1205" s="235"/>
      <c r="AG1205" s="235"/>
      <c r="AH1205" s="235"/>
      <c r="AI1205" s="235"/>
      <c r="AJ1205" s="235"/>
      <c r="AK1205" s="235"/>
      <c r="AL1205" s="235"/>
      <c r="AM1205" s="235"/>
      <c r="AN1205" s="235"/>
      <c r="AO1205" s="235"/>
      <c r="AP1205" s="235"/>
      <c r="AQ1205" s="235"/>
      <c r="AR1205" s="235"/>
      <c r="AS1205" s="235"/>
      <c r="AT1205" s="235"/>
      <c r="AU1205" s="235"/>
      <c r="AV1205" s="235"/>
      <c r="AW1205" s="235"/>
      <c r="AX1205" s="235"/>
      <c r="AY1205" s="235"/>
      <c r="AZ1205" s="235"/>
      <c r="BA1205" s="235"/>
      <c r="BB1205" s="235"/>
      <c r="BC1205" s="235"/>
      <c r="BD1205" s="235"/>
      <c r="BE1205" s="235"/>
      <c r="BF1205" s="235"/>
      <c r="BG1205" s="235"/>
      <c r="BH1205" s="235"/>
      <c r="BI1205" s="235"/>
      <c r="BJ1205" s="235"/>
      <c r="BK1205" s="235"/>
      <c r="BL1205" s="235"/>
      <c r="BM1205" s="235"/>
      <c r="BN1205" s="235"/>
      <c r="BO1205" s="235"/>
    </row>
    <row r="1206" ht="29.25" hidden="1" customHeight="1">
      <c r="A1206" s="230"/>
      <c r="B1206" s="231"/>
      <c r="C1206" s="179"/>
      <c r="D1206" s="179"/>
      <c r="E1206" s="180"/>
      <c r="F1206" s="162"/>
      <c r="G1206" s="232"/>
      <c r="H1206" s="234"/>
      <c r="I1206" s="181"/>
      <c r="J1206" s="182"/>
      <c r="K1206" s="182"/>
      <c r="L1206" s="182"/>
      <c r="M1206" s="234"/>
      <c r="N1206" s="28"/>
      <c r="O1206" s="181"/>
      <c r="P1206" s="183"/>
      <c r="Q1206" s="104"/>
      <c r="R1206" s="233"/>
      <c r="S1206" s="164"/>
      <c r="T1206" s="164"/>
      <c r="U1206" s="162"/>
      <c r="V1206" s="235"/>
      <c r="W1206" s="235"/>
      <c r="X1206" s="235"/>
      <c r="Y1206" s="235"/>
      <c r="Z1206" s="235"/>
      <c r="AA1206" s="235"/>
      <c r="AB1206" s="235"/>
      <c r="AC1206" s="235"/>
      <c r="AD1206" s="235"/>
      <c r="AE1206" s="235"/>
      <c r="AF1206" s="235"/>
      <c r="AG1206" s="235"/>
      <c r="AH1206" s="235"/>
      <c r="AI1206" s="235"/>
      <c r="AJ1206" s="235"/>
      <c r="AK1206" s="235"/>
      <c r="AL1206" s="235"/>
      <c r="AM1206" s="235"/>
      <c r="AN1206" s="235"/>
      <c r="AO1206" s="235"/>
      <c r="AP1206" s="235"/>
      <c r="AQ1206" s="235"/>
      <c r="AR1206" s="235"/>
      <c r="AS1206" s="235"/>
      <c r="AT1206" s="235"/>
      <c r="AU1206" s="235"/>
      <c r="AV1206" s="235"/>
      <c r="AW1206" s="235"/>
      <c r="AX1206" s="235"/>
      <c r="AY1206" s="235"/>
      <c r="AZ1206" s="235"/>
      <c r="BA1206" s="235"/>
      <c r="BB1206" s="235"/>
      <c r="BC1206" s="235"/>
      <c r="BD1206" s="235"/>
      <c r="BE1206" s="235"/>
      <c r="BF1206" s="235"/>
      <c r="BG1206" s="235"/>
      <c r="BH1206" s="235"/>
      <c r="BI1206" s="235"/>
      <c r="BJ1206" s="235"/>
      <c r="BK1206" s="235"/>
      <c r="BL1206" s="235"/>
      <c r="BM1206" s="235"/>
      <c r="BN1206" s="235"/>
      <c r="BO1206" s="235"/>
    </row>
    <row r="1207" ht="29.25" hidden="1" customHeight="1">
      <c r="A1207" s="230"/>
      <c r="B1207" s="231"/>
      <c r="C1207" s="179"/>
      <c r="D1207" s="179"/>
      <c r="E1207" s="180"/>
      <c r="F1207" s="162"/>
      <c r="G1207" s="232"/>
      <c r="H1207" s="234"/>
      <c r="I1207" s="181"/>
      <c r="J1207" s="182"/>
      <c r="K1207" s="182"/>
      <c r="L1207" s="182"/>
      <c r="M1207" s="234"/>
      <c r="N1207" s="28"/>
      <c r="O1207" s="181"/>
      <c r="P1207" s="183"/>
      <c r="Q1207" s="104"/>
      <c r="R1207" s="233"/>
      <c r="S1207" s="164"/>
      <c r="T1207" s="164"/>
      <c r="U1207" s="162"/>
      <c r="V1207" s="235"/>
      <c r="W1207" s="235"/>
      <c r="X1207" s="235"/>
      <c r="Y1207" s="235"/>
      <c r="Z1207" s="235"/>
      <c r="AA1207" s="235"/>
      <c r="AB1207" s="235"/>
      <c r="AC1207" s="235"/>
      <c r="AD1207" s="235"/>
      <c r="AE1207" s="235"/>
      <c r="AF1207" s="235"/>
      <c r="AG1207" s="235"/>
      <c r="AH1207" s="235"/>
      <c r="AI1207" s="235"/>
      <c r="AJ1207" s="235"/>
      <c r="AK1207" s="235"/>
      <c r="AL1207" s="235"/>
      <c r="AM1207" s="235"/>
      <c r="AN1207" s="235"/>
      <c r="AO1207" s="235"/>
      <c r="AP1207" s="235"/>
      <c r="AQ1207" s="235"/>
      <c r="AR1207" s="235"/>
      <c r="AS1207" s="235"/>
      <c r="AT1207" s="235"/>
      <c r="AU1207" s="235"/>
      <c r="AV1207" s="235"/>
      <c r="AW1207" s="235"/>
      <c r="AX1207" s="235"/>
      <c r="AY1207" s="235"/>
      <c r="AZ1207" s="235"/>
      <c r="BA1207" s="235"/>
      <c r="BB1207" s="235"/>
      <c r="BC1207" s="235"/>
      <c r="BD1207" s="235"/>
      <c r="BE1207" s="235"/>
      <c r="BF1207" s="235"/>
      <c r="BG1207" s="235"/>
      <c r="BH1207" s="235"/>
      <c r="BI1207" s="235"/>
      <c r="BJ1207" s="235"/>
      <c r="BK1207" s="235"/>
      <c r="BL1207" s="235"/>
      <c r="BM1207" s="235"/>
      <c r="BN1207" s="235"/>
      <c r="BO1207" s="235"/>
    </row>
    <row r="1208" ht="29.25" hidden="1" customHeight="1">
      <c r="A1208" s="230"/>
      <c r="B1208" s="231"/>
      <c r="C1208" s="179"/>
      <c r="D1208" s="179"/>
      <c r="E1208" s="180"/>
      <c r="F1208" s="162"/>
      <c r="G1208" s="232"/>
      <c r="H1208" s="234"/>
      <c r="I1208" s="181"/>
      <c r="J1208" s="182"/>
      <c r="K1208" s="182"/>
      <c r="L1208" s="182"/>
      <c r="M1208" s="234"/>
      <c r="N1208" s="28"/>
      <c r="O1208" s="181"/>
      <c r="P1208" s="183"/>
      <c r="Q1208" s="104"/>
      <c r="R1208" s="233"/>
      <c r="S1208" s="164"/>
      <c r="T1208" s="164"/>
      <c r="U1208" s="162"/>
      <c r="V1208" s="235"/>
      <c r="W1208" s="235"/>
      <c r="X1208" s="235"/>
      <c r="Y1208" s="235"/>
      <c r="Z1208" s="235"/>
      <c r="AA1208" s="235"/>
      <c r="AB1208" s="235"/>
      <c r="AC1208" s="235"/>
      <c r="AD1208" s="235"/>
      <c r="AE1208" s="235"/>
      <c r="AF1208" s="235"/>
      <c r="AG1208" s="235"/>
      <c r="AH1208" s="235"/>
      <c r="AI1208" s="235"/>
      <c r="AJ1208" s="235"/>
      <c r="AK1208" s="235"/>
      <c r="AL1208" s="235"/>
      <c r="AM1208" s="235"/>
      <c r="AN1208" s="235"/>
      <c r="AO1208" s="235"/>
      <c r="AP1208" s="235"/>
      <c r="AQ1208" s="235"/>
      <c r="AR1208" s="235"/>
      <c r="AS1208" s="235"/>
      <c r="AT1208" s="235"/>
      <c r="AU1208" s="235"/>
      <c r="AV1208" s="235"/>
      <c r="AW1208" s="235"/>
      <c r="AX1208" s="235"/>
      <c r="AY1208" s="235"/>
      <c r="AZ1208" s="235"/>
      <c r="BA1208" s="235"/>
      <c r="BB1208" s="235"/>
      <c r="BC1208" s="235"/>
      <c r="BD1208" s="235"/>
      <c r="BE1208" s="235"/>
      <c r="BF1208" s="235"/>
      <c r="BG1208" s="235"/>
      <c r="BH1208" s="235"/>
      <c r="BI1208" s="235"/>
      <c r="BJ1208" s="235"/>
      <c r="BK1208" s="235"/>
      <c r="BL1208" s="235"/>
      <c r="BM1208" s="235"/>
      <c r="BN1208" s="235"/>
      <c r="BO1208" s="235"/>
    </row>
    <row r="1209" ht="29.25" hidden="1" customHeight="1">
      <c r="A1209" s="230"/>
      <c r="B1209" s="231"/>
      <c r="C1209" s="179"/>
      <c r="D1209" s="179"/>
      <c r="E1209" s="180"/>
      <c r="F1209" s="162"/>
      <c r="G1209" s="232"/>
      <c r="H1209" s="234"/>
      <c r="I1209" s="181"/>
      <c r="J1209" s="182"/>
      <c r="K1209" s="182"/>
      <c r="L1209" s="182"/>
      <c r="M1209" s="234"/>
      <c r="N1209" s="28"/>
      <c r="O1209" s="181"/>
      <c r="P1209" s="183"/>
      <c r="Q1209" s="104"/>
      <c r="R1209" s="233"/>
      <c r="S1209" s="164"/>
      <c r="T1209" s="164"/>
      <c r="U1209" s="162"/>
      <c r="V1209" s="235"/>
      <c r="W1209" s="235"/>
      <c r="X1209" s="235"/>
      <c r="Y1209" s="235"/>
      <c r="Z1209" s="235"/>
      <c r="AA1209" s="235"/>
      <c r="AB1209" s="235"/>
      <c r="AC1209" s="235"/>
      <c r="AD1209" s="235"/>
      <c r="AE1209" s="235"/>
      <c r="AF1209" s="235"/>
      <c r="AG1209" s="235"/>
      <c r="AH1209" s="235"/>
      <c r="AI1209" s="235"/>
      <c r="AJ1209" s="235"/>
      <c r="AK1209" s="235"/>
      <c r="AL1209" s="235"/>
      <c r="AM1209" s="235"/>
      <c r="AN1209" s="235"/>
      <c r="AO1209" s="235"/>
      <c r="AP1209" s="235"/>
      <c r="AQ1209" s="235"/>
      <c r="AR1209" s="235"/>
      <c r="AS1209" s="235"/>
      <c r="AT1209" s="235"/>
      <c r="AU1209" s="235"/>
      <c r="AV1209" s="235"/>
      <c r="AW1209" s="235"/>
      <c r="AX1209" s="235"/>
      <c r="AY1209" s="235"/>
      <c r="AZ1209" s="235"/>
      <c r="BA1209" s="235"/>
      <c r="BB1209" s="235"/>
      <c r="BC1209" s="235"/>
      <c r="BD1209" s="235"/>
      <c r="BE1209" s="235"/>
      <c r="BF1209" s="235"/>
      <c r="BG1209" s="235"/>
      <c r="BH1209" s="235"/>
      <c r="BI1209" s="235"/>
      <c r="BJ1209" s="235"/>
      <c r="BK1209" s="235"/>
      <c r="BL1209" s="235"/>
      <c r="BM1209" s="235"/>
      <c r="BN1209" s="235"/>
      <c r="BO1209" s="235"/>
    </row>
    <row r="1210" ht="29.25" hidden="1" customHeight="1">
      <c r="A1210" s="230"/>
      <c r="B1210" s="231"/>
      <c r="C1210" s="179"/>
      <c r="D1210" s="179"/>
      <c r="E1210" s="180"/>
      <c r="F1210" s="162"/>
      <c r="G1210" s="232"/>
      <c r="H1210" s="234"/>
      <c r="I1210" s="181"/>
      <c r="J1210" s="182"/>
      <c r="K1210" s="182"/>
      <c r="L1210" s="182"/>
      <c r="M1210" s="234"/>
      <c r="N1210" s="28"/>
      <c r="O1210" s="181"/>
      <c r="P1210" s="183"/>
      <c r="Q1210" s="104"/>
      <c r="R1210" s="233"/>
      <c r="S1210" s="164"/>
      <c r="T1210" s="164"/>
      <c r="U1210" s="162"/>
      <c r="V1210" s="235"/>
      <c r="W1210" s="235"/>
      <c r="X1210" s="235"/>
      <c r="Y1210" s="235"/>
      <c r="Z1210" s="235"/>
      <c r="AA1210" s="235"/>
      <c r="AB1210" s="235"/>
      <c r="AC1210" s="235"/>
      <c r="AD1210" s="235"/>
      <c r="AE1210" s="235"/>
      <c r="AF1210" s="235"/>
      <c r="AG1210" s="235"/>
      <c r="AH1210" s="235"/>
      <c r="AI1210" s="235"/>
      <c r="AJ1210" s="235"/>
      <c r="AK1210" s="235"/>
      <c r="AL1210" s="235"/>
      <c r="AM1210" s="235"/>
      <c r="AN1210" s="235"/>
      <c r="AO1210" s="235"/>
      <c r="AP1210" s="235"/>
      <c r="AQ1210" s="235"/>
      <c r="AR1210" s="235"/>
      <c r="AS1210" s="235"/>
      <c r="AT1210" s="235"/>
      <c r="AU1210" s="235"/>
      <c r="AV1210" s="235"/>
      <c r="AW1210" s="235"/>
      <c r="AX1210" s="235"/>
      <c r="AY1210" s="235"/>
      <c r="AZ1210" s="235"/>
      <c r="BA1210" s="235"/>
      <c r="BB1210" s="235"/>
      <c r="BC1210" s="235"/>
      <c r="BD1210" s="235"/>
      <c r="BE1210" s="235"/>
      <c r="BF1210" s="235"/>
      <c r="BG1210" s="235"/>
      <c r="BH1210" s="235"/>
      <c r="BI1210" s="235"/>
      <c r="BJ1210" s="235"/>
      <c r="BK1210" s="235"/>
      <c r="BL1210" s="235"/>
      <c r="BM1210" s="235"/>
      <c r="BN1210" s="235"/>
      <c r="BO1210" s="235"/>
    </row>
    <row r="1211" ht="29.25" hidden="1" customHeight="1">
      <c r="A1211" s="230"/>
      <c r="B1211" s="231"/>
      <c r="C1211" s="179"/>
      <c r="D1211" s="179"/>
      <c r="E1211" s="180"/>
      <c r="F1211" s="162"/>
      <c r="G1211" s="232"/>
      <c r="H1211" s="234"/>
      <c r="I1211" s="181"/>
      <c r="J1211" s="182"/>
      <c r="K1211" s="182"/>
      <c r="L1211" s="182"/>
      <c r="M1211" s="234"/>
      <c r="N1211" s="28"/>
      <c r="O1211" s="181"/>
      <c r="P1211" s="183"/>
      <c r="Q1211" s="104"/>
      <c r="R1211" s="233"/>
      <c r="S1211" s="164"/>
      <c r="T1211" s="164"/>
      <c r="U1211" s="162"/>
      <c r="V1211" s="235"/>
      <c r="W1211" s="235"/>
      <c r="X1211" s="235"/>
      <c r="Y1211" s="235"/>
      <c r="Z1211" s="235"/>
      <c r="AA1211" s="235"/>
      <c r="AB1211" s="235"/>
      <c r="AC1211" s="235"/>
      <c r="AD1211" s="235"/>
      <c r="AE1211" s="235"/>
      <c r="AF1211" s="235"/>
      <c r="AG1211" s="235"/>
      <c r="AH1211" s="235"/>
      <c r="AI1211" s="235"/>
      <c r="AJ1211" s="235"/>
      <c r="AK1211" s="235"/>
      <c r="AL1211" s="235"/>
      <c r="AM1211" s="235"/>
      <c r="AN1211" s="235"/>
      <c r="AO1211" s="235"/>
      <c r="AP1211" s="235"/>
      <c r="AQ1211" s="235"/>
      <c r="AR1211" s="235"/>
      <c r="AS1211" s="235"/>
      <c r="AT1211" s="235"/>
      <c r="AU1211" s="235"/>
      <c r="AV1211" s="235"/>
      <c r="AW1211" s="235"/>
      <c r="AX1211" s="235"/>
      <c r="AY1211" s="235"/>
      <c r="AZ1211" s="235"/>
      <c r="BA1211" s="235"/>
      <c r="BB1211" s="235"/>
      <c r="BC1211" s="235"/>
      <c r="BD1211" s="235"/>
      <c r="BE1211" s="235"/>
      <c r="BF1211" s="235"/>
      <c r="BG1211" s="235"/>
      <c r="BH1211" s="235"/>
      <c r="BI1211" s="235"/>
      <c r="BJ1211" s="235"/>
      <c r="BK1211" s="235"/>
      <c r="BL1211" s="235"/>
      <c r="BM1211" s="235"/>
      <c r="BN1211" s="235"/>
      <c r="BO1211" s="235"/>
    </row>
    <row r="1212" ht="29.25" hidden="1" customHeight="1">
      <c r="A1212" s="230"/>
      <c r="B1212" s="231"/>
      <c r="C1212" s="179"/>
      <c r="D1212" s="179"/>
      <c r="E1212" s="180"/>
      <c r="F1212" s="162"/>
      <c r="G1212" s="232"/>
      <c r="H1212" s="234"/>
      <c r="I1212" s="181"/>
      <c r="J1212" s="182"/>
      <c r="K1212" s="182"/>
      <c r="L1212" s="182"/>
      <c r="M1212" s="234"/>
      <c r="N1212" s="28"/>
      <c r="O1212" s="181"/>
      <c r="P1212" s="183"/>
      <c r="Q1212" s="104"/>
      <c r="R1212" s="233"/>
      <c r="S1212" s="164"/>
      <c r="T1212" s="164"/>
      <c r="U1212" s="162"/>
      <c r="V1212" s="235"/>
      <c r="W1212" s="235"/>
      <c r="X1212" s="235"/>
      <c r="Y1212" s="235"/>
      <c r="Z1212" s="235"/>
      <c r="AA1212" s="235"/>
      <c r="AB1212" s="235"/>
      <c r="AC1212" s="235"/>
      <c r="AD1212" s="235"/>
      <c r="AE1212" s="235"/>
      <c r="AF1212" s="235"/>
      <c r="AG1212" s="235"/>
      <c r="AH1212" s="235"/>
      <c r="AI1212" s="235"/>
      <c r="AJ1212" s="235"/>
      <c r="AK1212" s="235"/>
      <c r="AL1212" s="235"/>
      <c r="AM1212" s="235"/>
      <c r="AN1212" s="235"/>
      <c r="AO1212" s="235"/>
      <c r="AP1212" s="235"/>
      <c r="AQ1212" s="235"/>
      <c r="AR1212" s="235"/>
      <c r="AS1212" s="235"/>
      <c r="AT1212" s="235"/>
      <c r="AU1212" s="235"/>
      <c r="AV1212" s="235"/>
      <c r="AW1212" s="235"/>
      <c r="AX1212" s="235"/>
      <c r="AY1212" s="235"/>
      <c r="AZ1212" s="235"/>
      <c r="BA1212" s="235"/>
      <c r="BB1212" s="235"/>
      <c r="BC1212" s="235"/>
      <c r="BD1212" s="235"/>
      <c r="BE1212" s="235"/>
      <c r="BF1212" s="235"/>
      <c r="BG1212" s="235"/>
      <c r="BH1212" s="235"/>
      <c r="BI1212" s="235"/>
      <c r="BJ1212" s="235"/>
      <c r="BK1212" s="235"/>
      <c r="BL1212" s="235"/>
      <c r="BM1212" s="235"/>
      <c r="BN1212" s="235"/>
      <c r="BO1212" s="235"/>
    </row>
    <row r="1213" ht="29.25" hidden="1" customHeight="1">
      <c r="A1213" s="230"/>
      <c r="B1213" s="231"/>
      <c r="C1213" s="179"/>
      <c r="D1213" s="179"/>
      <c r="E1213" s="180"/>
      <c r="F1213" s="162"/>
      <c r="G1213" s="232"/>
      <c r="H1213" s="234"/>
      <c r="I1213" s="181"/>
      <c r="J1213" s="182"/>
      <c r="K1213" s="182"/>
      <c r="L1213" s="182"/>
      <c r="M1213" s="234"/>
      <c r="N1213" s="28"/>
      <c r="O1213" s="181"/>
      <c r="P1213" s="183"/>
      <c r="Q1213" s="104"/>
      <c r="R1213" s="233"/>
      <c r="S1213" s="164"/>
      <c r="T1213" s="164"/>
      <c r="U1213" s="162"/>
      <c r="V1213" s="235"/>
      <c r="W1213" s="235"/>
      <c r="X1213" s="235"/>
      <c r="Y1213" s="235"/>
      <c r="Z1213" s="235"/>
      <c r="AA1213" s="235"/>
      <c r="AB1213" s="235"/>
      <c r="AC1213" s="235"/>
      <c r="AD1213" s="235"/>
      <c r="AE1213" s="235"/>
      <c r="AF1213" s="235"/>
      <c r="AG1213" s="235"/>
      <c r="AH1213" s="235"/>
      <c r="AI1213" s="235"/>
      <c r="AJ1213" s="235"/>
      <c r="AK1213" s="235"/>
      <c r="AL1213" s="235"/>
      <c r="AM1213" s="235"/>
      <c r="AN1213" s="235"/>
      <c r="AO1213" s="235"/>
      <c r="AP1213" s="235"/>
      <c r="AQ1213" s="235"/>
      <c r="AR1213" s="235"/>
      <c r="AS1213" s="235"/>
      <c r="AT1213" s="235"/>
      <c r="AU1213" s="235"/>
      <c r="AV1213" s="235"/>
      <c r="AW1213" s="235"/>
      <c r="AX1213" s="235"/>
      <c r="AY1213" s="235"/>
      <c r="AZ1213" s="235"/>
      <c r="BA1213" s="235"/>
      <c r="BB1213" s="235"/>
      <c r="BC1213" s="235"/>
      <c r="BD1213" s="235"/>
      <c r="BE1213" s="235"/>
      <c r="BF1213" s="235"/>
      <c r="BG1213" s="235"/>
      <c r="BH1213" s="235"/>
      <c r="BI1213" s="235"/>
      <c r="BJ1213" s="235"/>
      <c r="BK1213" s="235"/>
      <c r="BL1213" s="235"/>
      <c r="BM1213" s="235"/>
      <c r="BN1213" s="235"/>
      <c r="BO1213" s="235"/>
    </row>
    <row r="1214" ht="29.25" hidden="1" customHeight="1">
      <c r="A1214" s="230"/>
      <c r="B1214" s="231"/>
      <c r="C1214" s="179"/>
      <c r="D1214" s="179"/>
      <c r="E1214" s="180"/>
      <c r="F1214" s="162"/>
      <c r="G1214" s="232"/>
      <c r="H1214" s="234"/>
      <c r="I1214" s="181"/>
      <c r="J1214" s="182"/>
      <c r="K1214" s="182"/>
      <c r="L1214" s="182"/>
      <c r="M1214" s="234"/>
      <c r="N1214" s="28"/>
      <c r="O1214" s="181"/>
      <c r="P1214" s="183"/>
      <c r="Q1214" s="104"/>
      <c r="R1214" s="233"/>
      <c r="S1214" s="164"/>
      <c r="T1214" s="164"/>
      <c r="U1214" s="162"/>
      <c r="V1214" s="235"/>
      <c r="W1214" s="235"/>
      <c r="X1214" s="235"/>
      <c r="Y1214" s="235"/>
      <c r="Z1214" s="235"/>
      <c r="AA1214" s="235"/>
      <c r="AB1214" s="235"/>
      <c r="AC1214" s="235"/>
      <c r="AD1214" s="235"/>
      <c r="AE1214" s="235"/>
      <c r="AF1214" s="235"/>
      <c r="AG1214" s="235"/>
      <c r="AH1214" s="235"/>
      <c r="AI1214" s="235"/>
      <c r="AJ1214" s="235"/>
      <c r="AK1214" s="235"/>
      <c r="AL1214" s="235"/>
      <c r="AM1214" s="235"/>
      <c r="AN1214" s="235"/>
      <c r="AO1214" s="235"/>
      <c r="AP1214" s="235"/>
      <c r="AQ1214" s="235"/>
      <c r="AR1214" s="235"/>
      <c r="AS1214" s="235"/>
      <c r="AT1214" s="235"/>
      <c r="AU1214" s="235"/>
      <c r="AV1214" s="235"/>
      <c r="AW1214" s="235"/>
      <c r="AX1214" s="235"/>
      <c r="AY1214" s="235"/>
      <c r="AZ1214" s="235"/>
      <c r="BA1214" s="235"/>
      <c r="BB1214" s="235"/>
      <c r="BC1214" s="235"/>
      <c r="BD1214" s="235"/>
      <c r="BE1214" s="235"/>
      <c r="BF1214" s="235"/>
      <c r="BG1214" s="235"/>
      <c r="BH1214" s="235"/>
      <c r="BI1214" s="235"/>
      <c r="BJ1214" s="235"/>
      <c r="BK1214" s="235"/>
      <c r="BL1214" s="235"/>
      <c r="BM1214" s="235"/>
      <c r="BN1214" s="235"/>
      <c r="BO1214" s="235"/>
    </row>
    <row r="1215" ht="29.25" hidden="1" customHeight="1">
      <c r="A1215" s="230"/>
      <c r="B1215" s="231"/>
      <c r="C1215" s="179"/>
      <c r="D1215" s="179"/>
      <c r="E1215" s="180"/>
      <c r="F1215" s="162"/>
      <c r="G1215" s="232"/>
      <c r="H1215" s="234"/>
      <c r="I1215" s="181"/>
      <c r="J1215" s="182"/>
      <c r="K1215" s="182"/>
      <c r="L1215" s="182"/>
      <c r="M1215" s="234"/>
      <c r="N1215" s="28"/>
      <c r="O1215" s="181"/>
      <c r="P1215" s="183"/>
      <c r="Q1215" s="104"/>
      <c r="R1215" s="233"/>
      <c r="S1215" s="164"/>
      <c r="T1215" s="164"/>
      <c r="U1215" s="162"/>
      <c r="V1215" s="235"/>
      <c r="W1215" s="235"/>
      <c r="X1215" s="235"/>
      <c r="Y1215" s="235"/>
      <c r="Z1215" s="235"/>
      <c r="AA1215" s="235"/>
      <c r="AB1215" s="235"/>
      <c r="AC1215" s="235"/>
      <c r="AD1215" s="235"/>
      <c r="AE1215" s="235"/>
      <c r="AF1215" s="235"/>
      <c r="AG1215" s="235"/>
      <c r="AH1215" s="235"/>
      <c r="AI1215" s="235"/>
      <c r="AJ1215" s="235"/>
      <c r="AK1215" s="235"/>
      <c r="AL1215" s="235"/>
      <c r="AM1215" s="235"/>
      <c r="AN1215" s="235"/>
      <c r="AO1215" s="235"/>
      <c r="AP1215" s="235"/>
      <c r="AQ1215" s="235"/>
      <c r="AR1215" s="235"/>
      <c r="AS1215" s="235"/>
      <c r="AT1215" s="235"/>
      <c r="AU1215" s="235"/>
      <c r="AV1215" s="235"/>
      <c r="AW1215" s="235"/>
      <c r="AX1215" s="235"/>
      <c r="AY1215" s="235"/>
      <c r="AZ1215" s="235"/>
      <c r="BA1215" s="235"/>
      <c r="BB1215" s="235"/>
      <c r="BC1215" s="235"/>
      <c r="BD1215" s="235"/>
      <c r="BE1215" s="235"/>
      <c r="BF1215" s="235"/>
      <c r="BG1215" s="235"/>
      <c r="BH1215" s="235"/>
      <c r="BI1215" s="235"/>
      <c r="BJ1215" s="235"/>
      <c r="BK1215" s="235"/>
      <c r="BL1215" s="235"/>
      <c r="BM1215" s="235"/>
      <c r="BN1215" s="235"/>
      <c r="BO1215" s="235"/>
    </row>
    <row r="1216" ht="29.25" hidden="1" customHeight="1">
      <c r="A1216" s="230"/>
      <c r="B1216" s="231"/>
      <c r="C1216" s="179"/>
      <c r="D1216" s="179"/>
      <c r="E1216" s="180"/>
      <c r="F1216" s="162"/>
      <c r="G1216" s="232"/>
      <c r="H1216" s="234"/>
      <c r="I1216" s="181"/>
      <c r="J1216" s="182"/>
      <c r="K1216" s="182"/>
      <c r="L1216" s="182"/>
      <c r="M1216" s="234"/>
      <c r="N1216" s="28"/>
      <c r="O1216" s="181"/>
      <c r="P1216" s="183"/>
      <c r="Q1216" s="104"/>
      <c r="R1216" s="233"/>
      <c r="S1216" s="164"/>
      <c r="T1216" s="164"/>
      <c r="U1216" s="162"/>
      <c r="V1216" s="235"/>
      <c r="W1216" s="235"/>
      <c r="X1216" s="235"/>
      <c r="Y1216" s="235"/>
      <c r="Z1216" s="235"/>
      <c r="AA1216" s="235"/>
      <c r="AB1216" s="235"/>
      <c r="AC1216" s="235"/>
      <c r="AD1216" s="235"/>
      <c r="AE1216" s="235"/>
      <c r="AF1216" s="235"/>
      <c r="AG1216" s="235"/>
      <c r="AH1216" s="235"/>
      <c r="AI1216" s="235"/>
      <c r="AJ1216" s="235"/>
      <c r="AK1216" s="235"/>
      <c r="AL1216" s="235"/>
      <c r="AM1216" s="235"/>
      <c r="AN1216" s="235"/>
      <c r="AO1216" s="235"/>
      <c r="AP1216" s="235"/>
      <c r="AQ1216" s="235"/>
      <c r="AR1216" s="235"/>
      <c r="AS1216" s="235"/>
      <c r="AT1216" s="235"/>
      <c r="AU1216" s="235"/>
      <c r="AV1216" s="235"/>
      <c r="AW1216" s="235"/>
      <c r="AX1216" s="235"/>
      <c r="AY1216" s="235"/>
      <c r="AZ1216" s="235"/>
      <c r="BA1216" s="235"/>
      <c r="BB1216" s="235"/>
      <c r="BC1216" s="235"/>
      <c r="BD1216" s="235"/>
      <c r="BE1216" s="235"/>
      <c r="BF1216" s="235"/>
      <c r="BG1216" s="235"/>
      <c r="BH1216" s="235"/>
      <c r="BI1216" s="235"/>
      <c r="BJ1216" s="235"/>
      <c r="BK1216" s="235"/>
      <c r="BL1216" s="235"/>
      <c r="BM1216" s="235"/>
      <c r="BN1216" s="235"/>
      <c r="BO1216" s="235"/>
    </row>
    <row r="1217" ht="29.25" hidden="1" customHeight="1">
      <c r="A1217" s="230"/>
      <c r="B1217" s="231"/>
      <c r="C1217" s="179"/>
      <c r="D1217" s="179"/>
      <c r="E1217" s="180"/>
      <c r="F1217" s="162"/>
      <c r="G1217" s="232"/>
      <c r="H1217" s="234"/>
      <c r="I1217" s="181"/>
      <c r="J1217" s="182"/>
      <c r="K1217" s="182"/>
      <c r="L1217" s="182"/>
      <c r="M1217" s="234"/>
      <c r="N1217" s="28"/>
      <c r="O1217" s="181"/>
      <c r="P1217" s="183"/>
      <c r="Q1217" s="104"/>
      <c r="R1217" s="233"/>
      <c r="S1217" s="164"/>
      <c r="T1217" s="164"/>
      <c r="U1217" s="162"/>
      <c r="V1217" s="235"/>
      <c r="W1217" s="235"/>
      <c r="X1217" s="235"/>
      <c r="Y1217" s="235"/>
      <c r="Z1217" s="235"/>
      <c r="AA1217" s="235"/>
      <c r="AB1217" s="235"/>
      <c r="AC1217" s="235"/>
      <c r="AD1217" s="235"/>
      <c r="AE1217" s="235"/>
      <c r="AF1217" s="235"/>
      <c r="AG1217" s="235"/>
      <c r="AH1217" s="235"/>
      <c r="AI1217" s="235"/>
      <c r="AJ1217" s="235"/>
      <c r="AK1217" s="235"/>
      <c r="AL1217" s="235"/>
      <c r="AM1217" s="235"/>
      <c r="AN1217" s="235"/>
      <c r="AO1217" s="235"/>
      <c r="AP1217" s="235"/>
      <c r="AQ1217" s="235"/>
      <c r="AR1217" s="235"/>
      <c r="AS1217" s="235"/>
      <c r="AT1217" s="235"/>
      <c r="AU1217" s="235"/>
      <c r="AV1217" s="235"/>
      <c r="AW1217" s="235"/>
      <c r="AX1217" s="235"/>
      <c r="AY1217" s="235"/>
      <c r="AZ1217" s="235"/>
      <c r="BA1217" s="235"/>
      <c r="BB1217" s="235"/>
      <c r="BC1217" s="235"/>
      <c r="BD1217" s="235"/>
      <c r="BE1217" s="235"/>
      <c r="BF1217" s="235"/>
      <c r="BG1217" s="235"/>
      <c r="BH1217" s="235"/>
      <c r="BI1217" s="235"/>
      <c r="BJ1217" s="235"/>
      <c r="BK1217" s="235"/>
      <c r="BL1217" s="235"/>
      <c r="BM1217" s="235"/>
      <c r="BN1217" s="235"/>
      <c r="BO1217" s="235"/>
    </row>
    <row r="1218" ht="29.25" hidden="1" customHeight="1">
      <c r="A1218" s="230"/>
      <c r="B1218" s="231"/>
      <c r="C1218" s="179"/>
      <c r="D1218" s="179"/>
      <c r="E1218" s="180"/>
      <c r="F1218" s="162"/>
      <c r="G1218" s="232"/>
      <c r="H1218" s="234"/>
      <c r="I1218" s="181"/>
      <c r="J1218" s="182"/>
      <c r="K1218" s="182"/>
      <c r="L1218" s="182"/>
      <c r="M1218" s="234"/>
      <c r="N1218" s="28"/>
      <c r="O1218" s="181"/>
      <c r="P1218" s="183"/>
      <c r="Q1218" s="104"/>
      <c r="R1218" s="233"/>
      <c r="S1218" s="164"/>
      <c r="T1218" s="164"/>
      <c r="U1218" s="162"/>
      <c r="V1218" s="235"/>
      <c r="W1218" s="235"/>
      <c r="X1218" s="235"/>
      <c r="Y1218" s="235"/>
      <c r="Z1218" s="235"/>
      <c r="AA1218" s="235"/>
      <c r="AB1218" s="235"/>
      <c r="AC1218" s="235"/>
      <c r="AD1218" s="235"/>
      <c r="AE1218" s="235"/>
      <c r="AF1218" s="235"/>
      <c r="AG1218" s="235"/>
      <c r="AH1218" s="235"/>
      <c r="AI1218" s="235"/>
      <c r="AJ1218" s="235"/>
      <c r="AK1218" s="235"/>
      <c r="AL1218" s="235"/>
      <c r="AM1218" s="235"/>
      <c r="AN1218" s="235"/>
      <c r="AO1218" s="235"/>
      <c r="AP1218" s="235"/>
      <c r="AQ1218" s="235"/>
      <c r="AR1218" s="235"/>
      <c r="AS1218" s="235"/>
      <c r="AT1218" s="235"/>
      <c r="AU1218" s="235"/>
      <c r="AV1218" s="235"/>
      <c r="AW1218" s="235"/>
      <c r="AX1218" s="235"/>
      <c r="AY1218" s="235"/>
      <c r="AZ1218" s="235"/>
      <c r="BA1218" s="235"/>
      <c r="BB1218" s="235"/>
      <c r="BC1218" s="235"/>
      <c r="BD1218" s="235"/>
      <c r="BE1218" s="235"/>
      <c r="BF1218" s="235"/>
      <c r="BG1218" s="235"/>
      <c r="BH1218" s="235"/>
      <c r="BI1218" s="235"/>
      <c r="BJ1218" s="235"/>
      <c r="BK1218" s="235"/>
      <c r="BL1218" s="235"/>
      <c r="BM1218" s="235"/>
      <c r="BN1218" s="235"/>
      <c r="BO1218" s="235"/>
    </row>
    <row r="1219" ht="29.25" hidden="1" customHeight="1">
      <c r="A1219" s="230"/>
      <c r="B1219" s="231"/>
      <c r="C1219" s="179"/>
      <c r="D1219" s="179"/>
      <c r="E1219" s="180"/>
      <c r="F1219" s="162"/>
      <c r="G1219" s="232"/>
      <c r="H1219" s="234"/>
      <c r="I1219" s="181"/>
      <c r="J1219" s="182"/>
      <c r="K1219" s="182"/>
      <c r="L1219" s="182"/>
      <c r="M1219" s="234"/>
      <c r="N1219" s="28"/>
      <c r="O1219" s="181"/>
      <c r="P1219" s="183"/>
      <c r="Q1219" s="104"/>
      <c r="R1219" s="233"/>
      <c r="S1219" s="164"/>
      <c r="T1219" s="164"/>
      <c r="U1219" s="162"/>
      <c r="V1219" s="235"/>
      <c r="W1219" s="235"/>
      <c r="X1219" s="235"/>
      <c r="Y1219" s="235"/>
      <c r="Z1219" s="235"/>
      <c r="AA1219" s="235"/>
      <c r="AB1219" s="235"/>
      <c r="AC1219" s="235"/>
      <c r="AD1219" s="235"/>
      <c r="AE1219" s="235"/>
      <c r="AF1219" s="235"/>
      <c r="AG1219" s="235"/>
      <c r="AH1219" s="235"/>
      <c r="AI1219" s="235"/>
      <c r="AJ1219" s="235"/>
      <c r="AK1219" s="235"/>
      <c r="AL1219" s="235"/>
      <c r="AM1219" s="235"/>
      <c r="AN1219" s="235"/>
      <c r="AO1219" s="235"/>
      <c r="AP1219" s="235"/>
      <c r="AQ1219" s="235"/>
      <c r="AR1219" s="235"/>
      <c r="AS1219" s="235"/>
      <c r="AT1219" s="235"/>
      <c r="AU1219" s="235"/>
      <c r="AV1219" s="235"/>
      <c r="AW1219" s="235"/>
      <c r="AX1219" s="235"/>
      <c r="AY1219" s="235"/>
      <c r="AZ1219" s="235"/>
      <c r="BA1219" s="235"/>
      <c r="BB1219" s="235"/>
      <c r="BC1219" s="235"/>
      <c r="BD1219" s="235"/>
      <c r="BE1219" s="235"/>
      <c r="BF1219" s="235"/>
      <c r="BG1219" s="235"/>
      <c r="BH1219" s="235"/>
      <c r="BI1219" s="235"/>
      <c r="BJ1219" s="235"/>
      <c r="BK1219" s="235"/>
      <c r="BL1219" s="235"/>
      <c r="BM1219" s="235"/>
      <c r="BN1219" s="235"/>
      <c r="BO1219" s="235"/>
    </row>
    <row r="1220" ht="29.25" hidden="1" customHeight="1">
      <c r="A1220" s="230"/>
      <c r="B1220" s="231"/>
      <c r="C1220" s="179"/>
      <c r="D1220" s="179"/>
      <c r="E1220" s="180"/>
      <c r="F1220" s="162"/>
      <c r="G1220" s="232"/>
      <c r="H1220" s="234"/>
      <c r="I1220" s="181"/>
      <c r="J1220" s="182"/>
      <c r="K1220" s="182"/>
      <c r="L1220" s="182"/>
      <c r="M1220" s="234"/>
      <c r="N1220" s="28"/>
      <c r="O1220" s="181"/>
      <c r="P1220" s="183"/>
      <c r="Q1220" s="104"/>
      <c r="R1220" s="233"/>
      <c r="S1220" s="164"/>
      <c r="T1220" s="164"/>
      <c r="U1220" s="162"/>
      <c r="V1220" s="235"/>
      <c r="W1220" s="235"/>
      <c r="X1220" s="235"/>
      <c r="Y1220" s="235"/>
      <c r="Z1220" s="235"/>
      <c r="AA1220" s="235"/>
      <c r="AB1220" s="235"/>
      <c r="AC1220" s="235"/>
      <c r="AD1220" s="235"/>
      <c r="AE1220" s="235"/>
      <c r="AF1220" s="235"/>
      <c r="AG1220" s="235"/>
      <c r="AH1220" s="235"/>
      <c r="AI1220" s="235"/>
      <c r="AJ1220" s="235"/>
      <c r="AK1220" s="235"/>
      <c r="AL1220" s="235"/>
      <c r="AM1220" s="235"/>
      <c r="AN1220" s="235"/>
      <c r="AO1220" s="235"/>
      <c r="AP1220" s="235"/>
      <c r="AQ1220" s="235"/>
      <c r="AR1220" s="235"/>
      <c r="AS1220" s="235"/>
      <c r="AT1220" s="235"/>
      <c r="AU1220" s="235"/>
      <c r="AV1220" s="235"/>
      <c r="AW1220" s="235"/>
      <c r="AX1220" s="235"/>
      <c r="AY1220" s="235"/>
      <c r="AZ1220" s="235"/>
      <c r="BA1220" s="235"/>
      <c r="BB1220" s="235"/>
      <c r="BC1220" s="235"/>
      <c r="BD1220" s="235"/>
      <c r="BE1220" s="235"/>
      <c r="BF1220" s="235"/>
      <c r="BG1220" s="235"/>
      <c r="BH1220" s="235"/>
      <c r="BI1220" s="235"/>
      <c r="BJ1220" s="235"/>
      <c r="BK1220" s="235"/>
      <c r="BL1220" s="235"/>
      <c r="BM1220" s="235"/>
      <c r="BN1220" s="235"/>
      <c r="BO1220" s="235"/>
    </row>
    <row r="1221" ht="29.25" hidden="1" customHeight="1">
      <c r="A1221" s="230"/>
      <c r="B1221" s="231"/>
      <c r="C1221" s="179"/>
      <c r="D1221" s="179"/>
      <c r="E1221" s="180"/>
      <c r="F1221" s="162"/>
      <c r="G1221" s="232"/>
      <c r="H1221" s="234"/>
      <c r="I1221" s="181"/>
      <c r="J1221" s="182"/>
      <c r="K1221" s="182"/>
      <c r="L1221" s="182"/>
      <c r="M1221" s="234"/>
      <c r="N1221" s="28"/>
      <c r="O1221" s="181"/>
      <c r="P1221" s="183"/>
      <c r="Q1221" s="104"/>
      <c r="R1221" s="233"/>
      <c r="S1221" s="164"/>
      <c r="T1221" s="164"/>
      <c r="U1221" s="162"/>
      <c r="V1221" s="235"/>
      <c r="W1221" s="235"/>
      <c r="X1221" s="235"/>
      <c r="Y1221" s="235"/>
      <c r="Z1221" s="235"/>
      <c r="AA1221" s="235"/>
      <c r="AB1221" s="235"/>
      <c r="AC1221" s="235"/>
      <c r="AD1221" s="235"/>
      <c r="AE1221" s="235"/>
      <c r="AF1221" s="235"/>
      <c r="AG1221" s="235"/>
      <c r="AH1221" s="235"/>
      <c r="AI1221" s="235"/>
      <c r="AJ1221" s="235"/>
      <c r="AK1221" s="235"/>
      <c r="AL1221" s="235"/>
      <c r="AM1221" s="235"/>
      <c r="AN1221" s="235"/>
      <c r="AO1221" s="235"/>
      <c r="AP1221" s="235"/>
      <c r="AQ1221" s="235"/>
      <c r="AR1221" s="235"/>
      <c r="AS1221" s="235"/>
      <c r="AT1221" s="235"/>
      <c r="AU1221" s="235"/>
      <c r="AV1221" s="235"/>
      <c r="AW1221" s="235"/>
      <c r="AX1221" s="235"/>
      <c r="AY1221" s="235"/>
      <c r="AZ1221" s="235"/>
      <c r="BA1221" s="235"/>
      <c r="BB1221" s="235"/>
      <c r="BC1221" s="235"/>
      <c r="BD1221" s="235"/>
      <c r="BE1221" s="235"/>
      <c r="BF1221" s="235"/>
      <c r="BG1221" s="235"/>
      <c r="BH1221" s="235"/>
      <c r="BI1221" s="235"/>
      <c r="BJ1221" s="235"/>
      <c r="BK1221" s="235"/>
      <c r="BL1221" s="235"/>
      <c r="BM1221" s="235"/>
      <c r="BN1221" s="235"/>
      <c r="BO1221" s="235"/>
    </row>
    <row r="1222" ht="29.25" hidden="1" customHeight="1">
      <c r="A1222" s="230"/>
      <c r="B1222" s="231"/>
      <c r="C1222" s="179"/>
      <c r="D1222" s="179"/>
      <c r="E1222" s="180"/>
      <c r="F1222" s="162"/>
      <c r="G1222" s="232"/>
      <c r="H1222" s="234"/>
      <c r="I1222" s="181"/>
      <c r="J1222" s="182"/>
      <c r="K1222" s="182"/>
      <c r="L1222" s="182"/>
      <c r="M1222" s="234"/>
      <c r="N1222" s="28"/>
      <c r="O1222" s="181"/>
      <c r="P1222" s="183"/>
      <c r="Q1222" s="104"/>
      <c r="R1222" s="233"/>
      <c r="S1222" s="164"/>
      <c r="T1222" s="164"/>
      <c r="U1222" s="162"/>
      <c r="V1222" s="235"/>
      <c r="W1222" s="235"/>
      <c r="X1222" s="235"/>
      <c r="Y1222" s="235"/>
      <c r="Z1222" s="235"/>
      <c r="AA1222" s="235"/>
      <c r="AB1222" s="235"/>
      <c r="AC1222" s="235"/>
      <c r="AD1222" s="235"/>
      <c r="AE1222" s="235"/>
      <c r="AF1222" s="235"/>
      <c r="AG1222" s="235"/>
      <c r="AH1222" s="235"/>
      <c r="AI1222" s="235"/>
      <c r="AJ1222" s="235"/>
      <c r="AK1222" s="235"/>
      <c r="AL1222" s="235"/>
      <c r="AM1222" s="235"/>
      <c r="AN1222" s="235"/>
      <c r="AO1222" s="235"/>
      <c r="AP1222" s="235"/>
      <c r="AQ1222" s="235"/>
      <c r="AR1222" s="235"/>
      <c r="AS1222" s="235"/>
      <c r="AT1222" s="235"/>
      <c r="AU1222" s="235"/>
      <c r="AV1222" s="235"/>
      <c r="AW1222" s="235"/>
      <c r="AX1222" s="235"/>
      <c r="AY1222" s="235"/>
      <c r="AZ1222" s="235"/>
      <c r="BA1222" s="235"/>
      <c r="BB1222" s="235"/>
      <c r="BC1222" s="235"/>
      <c r="BD1222" s="235"/>
      <c r="BE1222" s="235"/>
      <c r="BF1222" s="235"/>
      <c r="BG1222" s="235"/>
      <c r="BH1222" s="235"/>
      <c r="BI1222" s="235"/>
      <c r="BJ1222" s="235"/>
      <c r="BK1222" s="235"/>
      <c r="BL1222" s="235"/>
      <c r="BM1222" s="235"/>
      <c r="BN1222" s="235"/>
      <c r="BO1222" s="235"/>
    </row>
    <row r="1223" ht="29.25" hidden="1" customHeight="1">
      <c r="A1223" s="230"/>
      <c r="B1223" s="231"/>
      <c r="C1223" s="179"/>
      <c r="D1223" s="179"/>
      <c r="E1223" s="180"/>
      <c r="F1223" s="162"/>
      <c r="G1223" s="232"/>
      <c r="H1223" s="234"/>
      <c r="I1223" s="181"/>
      <c r="J1223" s="182"/>
      <c r="K1223" s="182"/>
      <c r="L1223" s="182"/>
      <c r="M1223" s="234"/>
      <c r="N1223" s="28"/>
      <c r="O1223" s="181"/>
      <c r="P1223" s="183"/>
      <c r="Q1223" s="104"/>
      <c r="R1223" s="233"/>
      <c r="S1223" s="164"/>
      <c r="T1223" s="164"/>
      <c r="U1223" s="162"/>
      <c r="V1223" s="235"/>
      <c r="W1223" s="235"/>
      <c r="X1223" s="235"/>
      <c r="Y1223" s="235"/>
      <c r="Z1223" s="235"/>
      <c r="AA1223" s="235"/>
      <c r="AB1223" s="235"/>
      <c r="AC1223" s="235"/>
      <c r="AD1223" s="235"/>
      <c r="AE1223" s="235"/>
      <c r="AF1223" s="235"/>
      <c r="AG1223" s="235"/>
      <c r="AH1223" s="235"/>
      <c r="AI1223" s="235"/>
      <c r="AJ1223" s="235"/>
      <c r="AK1223" s="235"/>
      <c r="AL1223" s="235"/>
      <c r="AM1223" s="235"/>
      <c r="AN1223" s="235"/>
      <c r="AO1223" s="235"/>
      <c r="AP1223" s="235"/>
      <c r="AQ1223" s="235"/>
      <c r="AR1223" s="235"/>
      <c r="AS1223" s="235"/>
      <c r="AT1223" s="235"/>
      <c r="AU1223" s="235"/>
      <c r="AV1223" s="235"/>
      <c r="AW1223" s="235"/>
      <c r="AX1223" s="235"/>
      <c r="AY1223" s="235"/>
      <c r="AZ1223" s="235"/>
      <c r="BA1223" s="235"/>
      <c r="BB1223" s="235"/>
      <c r="BC1223" s="235"/>
      <c r="BD1223" s="235"/>
      <c r="BE1223" s="235"/>
      <c r="BF1223" s="235"/>
      <c r="BG1223" s="235"/>
      <c r="BH1223" s="235"/>
      <c r="BI1223" s="235"/>
      <c r="BJ1223" s="235"/>
      <c r="BK1223" s="235"/>
      <c r="BL1223" s="235"/>
      <c r="BM1223" s="235"/>
      <c r="BN1223" s="235"/>
      <c r="BO1223" s="235"/>
    </row>
    <row r="1224" ht="29.25" hidden="1" customHeight="1">
      <c r="A1224" s="230"/>
      <c r="B1224" s="231"/>
      <c r="C1224" s="179"/>
      <c r="D1224" s="179"/>
      <c r="E1224" s="180"/>
      <c r="F1224" s="162"/>
      <c r="G1224" s="232"/>
      <c r="H1224" s="234"/>
      <c r="I1224" s="181"/>
      <c r="J1224" s="182"/>
      <c r="K1224" s="182"/>
      <c r="L1224" s="182"/>
      <c r="M1224" s="234"/>
      <c r="N1224" s="28"/>
      <c r="O1224" s="181"/>
      <c r="P1224" s="183"/>
      <c r="Q1224" s="104"/>
      <c r="R1224" s="233"/>
      <c r="S1224" s="164"/>
      <c r="T1224" s="164"/>
      <c r="U1224" s="162"/>
      <c r="V1224" s="235"/>
      <c r="W1224" s="235"/>
      <c r="X1224" s="235"/>
      <c r="Y1224" s="235"/>
      <c r="Z1224" s="235"/>
      <c r="AA1224" s="235"/>
      <c r="AB1224" s="235"/>
      <c r="AC1224" s="235"/>
      <c r="AD1224" s="235"/>
      <c r="AE1224" s="235"/>
      <c r="AF1224" s="235"/>
      <c r="AG1224" s="235"/>
      <c r="AH1224" s="235"/>
      <c r="AI1224" s="235"/>
      <c r="AJ1224" s="235"/>
      <c r="AK1224" s="235"/>
      <c r="AL1224" s="235"/>
      <c r="AM1224" s="235"/>
      <c r="AN1224" s="235"/>
      <c r="AO1224" s="235"/>
      <c r="AP1224" s="235"/>
      <c r="AQ1224" s="235"/>
      <c r="AR1224" s="235"/>
      <c r="AS1224" s="235"/>
      <c r="AT1224" s="235"/>
      <c r="AU1224" s="235"/>
      <c r="AV1224" s="235"/>
      <c r="AW1224" s="235"/>
      <c r="AX1224" s="235"/>
      <c r="AY1224" s="235"/>
      <c r="AZ1224" s="235"/>
      <c r="BA1224" s="235"/>
      <c r="BB1224" s="235"/>
      <c r="BC1224" s="235"/>
      <c r="BD1224" s="235"/>
      <c r="BE1224" s="235"/>
      <c r="BF1224" s="235"/>
      <c r="BG1224" s="235"/>
      <c r="BH1224" s="235"/>
      <c r="BI1224" s="235"/>
      <c r="BJ1224" s="235"/>
      <c r="BK1224" s="235"/>
      <c r="BL1224" s="235"/>
      <c r="BM1224" s="235"/>
      <c r="BN1224" s="235"/>
      <c r="BO1224" s="235"/>
    </row>
    <row r="1225" ht="29.25" hidden="1" customHeight="1">
      <c r="A1225" s="230"/>
      <c r="B1225" s="231"/>
      <c r="C1225" s="179"/>
      <c r="D1225" s="179"/>
      <c r="E1225" s="180"/>
      <c r="F1225" s="162"/>
      <c r="G1225" s="232"/>
      <c r="H1225" s="234"/>
      <c r="I1225" s="181"/>
      <c r="J1225" s="182"/>
      <c r="K1225" s="182"/>
      <c r="L1225" s="182"/>
      <c r="M1225" s="234"/>
      <c r="N1225" s="28"/>
      <c r="O1225" s="181"/>
      <c r="P1225" s="183"/>
      <c r="Q1225" s="104"/>
      <c r="R1225" s="233"/>
      <c r="S1225" s="164"/>
      <c r="T1225" s="164"/>
      <c r="U1225" s="162"/>
      <c r="V1225" s="235"/>
      <c r="W1225" s="235"/>
      <c r="X1225" s="235"/>
      <c r="Y1225" s="235"/>
      <c r="Z1225" s="235"/>
      <c r="AA1225" s="235"/>
      <c r="AB1225" s="235"/>
      <c r="AC1225" s="235"/>
      <c r="AD1225" s="235"/>
      <c r="AE1225" s="235"/>
      <c r="AF1225" s="235"/>
      <c r="AG1225" s="235"/>
      <c r="AH1225" s="235"/>
      <c r="AI1225" s="235"/>
      <c r="AJ1225" s="235"/>
      <c r="AK1225" s="235"/>
      <c r="AL1225" s="235"/>
      <c r="AM1225" s="235"/>
      <c r="AN1225" s="235"/>
      <c r="AO1225" s="235"/>
      <c r="AP1225" s="235"/>
      <c r="AQ1225" s="235"/>
      <c r="AR1225" s="235"/>
      <c r="AS1225" s="235"/>
      <c r="AT1225" s="235"/>
      <c r="AU1225" s="235"/>
      <c r="AV1225" s="235"/>
      <c r="AW1225" s="235"/>
      <c r="AX1225" s="235"/>
      <c r="AY1225" s="235"/>
      <c r="AZ1225" s="235"/>
      <c r="BA1225" s="235"/>
      <c r="BB1225" s="235"/>
      <c r="BC1225" s="235"/>
      <c r="BD1225" s="235"/>
      <c r="BE1225" s="235"/>
      <c r="BF1225" s="235"/>
      <c r="BG1225" s="235"/>
      <c r="BH1225" s="235"/>
      <c r="BI1225" s="235"/>
      <c r="BJ1225" s="235"/>
      <c r="BK1225" s="235"/>
      <c r="BL1225" s="235"/>
      <c r="BM1225" s="235"/>
      <c r="BN1225" s="235"/>
      <c r="BO1225" s="235"/>
    </row>
    <row r="1226" ht="29.25" hidden="1" customHeight="1">
      <c r="A1226" s="230"/>
      <c r="B1226" s="231"/>
      <c r="C1226" s="179"/>
      <c r="D1226" s="179"/>
      <c r="E1226" s="180"/>
      <c r="F1226" s="162"/>
      <c r="G1226" s="232"/>
      <c r="H1226" s="234"/>
      <c r="I1226" s="181"/>
      <c r="J1226" s="182"/>
      <c r="K1226" s="182"/>
      <c r="L1226" s="182"/>
      <c r="M1226" s="234"/>
      <c r="N1226" s="28"/>
      <c r="O1226" s="181"/>
      <c r="P1226" s="183"/>
      <c r="Q1226" s="104"/>
      <c r="R1226" s="233"/>
      <c r="S1226" s="164"/>
      <c r="T1226" s="164"/>
      <c r="U1226" s="162"/>
      <c r="V1226" s="235"/>
      <c r="W1226" s="235"/>
      <c r="X1226" s="235"/>
      <c r="Y1226" s="235"/>
      <c r="Z1226" s="235"/>
      <c r="AA1226" s="235"/>
      <c r="AB1226" s="235"/>
      <c r="AC1226" s="235"/>
      <c r="AD1226" s="235"/>
      <c r="AE1226" s="235"/>
      <c r="AF1226" s="235"/>
      <c r="AG1226" s="235"/>
      <c r="AH1226" s="235"/>
      <c r="AI1226" s="235"/>
      <c r="AJ1226" s="235"/>
      <c r="AK1226" s="235"/>
      <c r="AL1226" s="235"/>
      <c r="AM1226" s="235"/>
      <c r="AN1226" s="235"/>
      <c r="AO1226" s="235"/>
      <c r="AP1226" s="235"/>
      <c r="AQ1226" s="235"/>
      <c r="AR1226" s="235"/>
      <c r="AS1226" s="235"/>
      <c r="AT1226" s="235"/>
      <c r="AU1226" s="235"/>
      <c r="AV1226" s="235"/>
      <c r="AW1226" s="235"/>
      <c r="AX1226" s="235"/>
      <c r="AY1226" s="235"/>
      <c r="AZ1226" s="235"/>
      <c r="BA1226" s="235"/>
      <c r="BB1226" s="235"/>
      <c r="BC1226" s="235"/>
      <c r="BD1226" s="235"/>
      <c r="BE1226" s="235"/>
      <c r="BF1226" s="235"/>
      <c r="BG1226" s="235"/>
      <c r="BH1226" s="235"/>
      <c r="BI1226" s="235"/>
      <c r="BJ1226" s="235"/>
      <c r="BK1226" s="235"/>
      <c r="BL1226" s="235"/>
      <c r="BM1226" s="235"/>
      <c r="BN1226" s="235"/>
      <c r="BO1226" s="235"/>
    </row>
    <row r="1227" ht="29.25" hidden="1" customHeight="1">
      <c r="A1227" s="230"/>
      <c r="B1227" s="231"/>
      <c r="C1227" s="179"/>
      <c r="D1227" s="179"/>
      <c r="E1227" s="180"/>
      <c r="F1227" s="162"/>
      <c r="G1227" s="232"/>
      <c r="H1227" s="234"/>
      <c r="I1227" s="181"/>
      <c r="J1227" s="182"/>
      <c r="K1227" s="182"/>
      <c r="L1227" s="182"/>
      <c r="M1227" s="234"/>
      <c r="N1227" s="28"/>
      <c r="O1227" s="181"/>
      <c r="P1227" s="183"/>
      <c r="Q1227" s="104"/>
      <c r="R1227" s="233"/>
      <c r="S1227" s="164"/>
      <c r="T1227" s="164"/>
      <c r="U1227" s="162"/>
      <c r="V1227" s="235"/>
      <c r="W1227" s="235"/>
      <c r="X1227" s="235"/>
      <c r="Y1227" s="235"/>
      <c r="Z1227" s="235"/>
      <c r="AA1227" s="235"/>
      <c r="AB1227" s="235"/>
      <c r="AC1227" s="235"/>
      <c r="AD1227" s="235"/>
      <c r="AE1227" s="235"/>
      <c r="AF1227" s="235"/>
      <c r="AG1227" s="235"/>
      <c r="AH1227" s="235"/>
      <c r="AI1227" s="235"/>
      <c r="AJ1227" s="235"/>
      <c r="AK1227" s="235"/>
      <c r="AL1227" s="235"/>
      <c r="AM1227" s="235"/>
      <c r="AN1227" s="235"/>
      <c r="AO1227" s="235"/>
      <c r="AP1227" s="235"/>
      <c r="AQ1227" s="235"/>
      <c r="AR1227" s="235"/>
      <c r="AS1227" s="235"/>
      <c r="AT1227" s="235"/>
      <c r="AU1227" s="235"/>
      <c r="AV1227" s="235"/>
      <c r="AW1227" s="235"/>
      <c r="AX1227" s="235"/>
      <c r="AY1227" s="235"/>
      <c r="AZ1227" s="235"/>
      <c r="BA1227" s="235"/>
      <c r="BB1227" s="235"/>
      <c r="BC1227" s="235"/>
      <c r="BD1227" s="235"/>
      <c r="BE1227" s="235"/>
      <c r="BF1227" s="235"/>
      <c r="BG1227" s="235"/>
      <c r="BH1227" s="235"/>
      <c r="BI1227" s="235"/>
      <c r="BJ1227" s="235"/>
      <c r="BK1227" s="235"/>
      <c r="BL1227" s="235"/>
      <c r="BM1227" s="235"/>
      <c r="BN1227" s="235"/>
      <c r="BO1227" s="235"/>
    </row>
    <row r="1228" ht="29.25" hidden="1" customHeight="1">
      <c r="A1228" s="230"/>
      <c r="B1228" s="231"/>
      <c r="C1228" s="179"/>
      <c r="D1228" s="179"/>
      <c r="E1228" s="180"/>
      <c r="F1228" s="162"/>
      <c r="G1228" s="232"/>
      <c r="H1228" s="234"/>
      <c r="I1228" s="181"/>
      <c r="J1228" s="182"/>
      <c r="K1228" s="182"/>
      <c r="L1228" s="182"/>
      <c r="M1228" s="234"/>
      <c r="N1228" s="28"/>
      <c r="O1228" s="181"/>
      <c r="P1228" s="183"/>
      <c r="Q1228" s="104"/>
      <c r="R1228" s="233"/>
      <c r="S1228" s="164"/>
      <c r="T1228" s="164"/>
      <c r="U1228" s="162"/>
      <c r="V1228" s="235"/>
      <c r="W1228" s="235"/>
      <c r="X1228" s="235"/>
      <c r="Y1228" s="235"/>
      <c r="Z1228" s="235"/>
      <c r="AA1228" s="235"/>
      <c r="AB1228" s="235"/>
      <c r="AC1228" s="235"/>
      <c r="AD1228" s="235"/>
      <c r="AE1228" s="235"/>
      <c r="AF1228" s="235"/>
      <c r="AG1228" s="235"/>
      <c r="AH1228" s="235"/>
      <c r="AI1228" s="235"/>
      <c r="AJ1228" s="235"/>
      <c r="AK1228" s="235"/>
      <c r="AL1228" s="235"/>
      <c r="AM1228" s="235"/>
      <c r="AN1228" s="235"/>
      <c r="AO1228" s="235"/>
      <c r="AP1228" s="235"/>
      <c r="AQ1228" s="235"/>
      <c r="AR1228" s="235"/>
      <c r="AS1228" s="235"/>
      <c r="AT1228" s="235"/>
      <c r="AU1228" s="235"/>
      <c r="AV1228" s="235"/>
      <c r="AW1228" s="235"/>
      <c r="AX1228" s="235"/>
      <c r="AY1228" s="235"/>
      <c r="AZ1228" s="235"/>
      <c r="BA1228" s="235"/>
      <c r="BB1228" s="235"/>
      <c r="BC1228" s="235"/>
      <c r="BD1228" s="235"/>
      <c r="BE1228" s="235"/>
      <c r="BF1228" s="235"/>
      <c r="BG1228" s="235"/>
      <c r="BH1228" s="235"/>
      <c r="BI1228" s="235"/>
      <c r="BJ1228" s="235"/>
      <c r="BK1228" s="235"/>
      <c r="BL1228" s="235"/>
      <c r="BM1228" s="235"/>
      <c r="BN1228" s="235"/>
      <c r="BO1228" s="235"/>
    </row>
    <row r="1229" ht="29.25" hidden="1" customHeight="1">
      <c r="A1229" s="230"/>
      <c r="B1229" s="231"/>
      <c r="C1229" s="179"/>
      <c r="D1229" s="179"/>
      <c r="E1229" s="180"/>
      <c r="F1229" s="162"/>
      <c r="G1229" s="232"/>
      <c r="H1229" s="234"/>
      <c r="I1229" s="181"/>
      <c r="J1229" s="182"/>
      <c r="K1229" s="182"/>
      <c r="L1229" s="182"/>
      <c r="M1229" s="234"/>
      <c r="N1229" s="28"/>
      <c r="O1229" s="181"/>
      <c r="P1229" s="183"/>
      <c r="Q1229" s="104"/>
      <c r="R1229" s="233"/>
      <c r="S1229" s="164"/>
      <c r="T1229" s="164"/>
      <c r="U1229" s="162"/>
      <c r="V1229" s="235"/>
      <c r="W1229" s="235"/>
      <c r="X1229" s="235"/>
      <c r="Y1229" s="235"/>
      <c r="Z1229" s="235"/>
      <c r="AA1229" s="235"/>
      <c r="AB1229" s="235"/>
      <c r="AC1229" s="235"/>
      <c r="AD1229" s="235"/>
      <c r="AE1229" s="235"/>
      <c r="AF1229" s="235"/>
      <c r="AG1229" s="235"/>
      <c r="AH1229" s="235"/>
      <c r="AI1229" s="235"/>
      <c r="AJ1229" s="235"/>
      <c r="AK1229" s="235"/>
      <c r="AL1229" s="235"/>
      <c r="AM1229" s="235"/>
      <c r="AN1229" s="235"/>
      <c r="AO1229" s="235"/>
      <c r="AP1229" s="235"/>
      <c r="AQ1229" s="235"/>
      <c r="AR1229" s="235"/>
      <c r="AS1229" s="235"/>
      <c r="AT1229" s="235"/>
      <c r="AU1229" s="235"/>
      <c r="AV1229" s="235"/>
      <c r="AW1229" s="235"/>
      <c r="AX1229" s="235"/>
      <c r="AY1229" s="235"/>
      <c r="AZ1229" s="235"/>
      <c r="BA1229" s="235"/>
      <c r="BB1229" s="235"/>
      <c r="BC1229" s="235"/>
      <c r="BD1229" s="235"/>
      <c r="BE1229" s="235"/>
      <c r="BF1229" s="235"/>
      <c r="BG1229" s="235"/>
      <c r="BH1229" s="235"/>
      <c r="BI1229" s="235"/>
      <c r="BJ1229" s="235"/>
      <c r="BK1229" s="235"/>
      <c r="BL1229" s="235"/>
      <c r="BM1229" s="235"/>
      <c r="BN1229" s="235"/>
      <c r="BO1229" s="235"/>
    </row>
    <row r="1230" ht="29.25" hidden="1" customHeight="1">
      <c r="A1230" s="230"/>
      <c r="B1230" s="231"/>
      <c r="C1230" s="179"/>
      <c r="D1230" s="179"/>
      <c r="E1230" s="180"/>
      <c r="F1230" s="162"/>
      <c r="G1230" s="232"/>
      <c r="H1230" s="234"/>
      <c r="I1230" s="181"/>
      <c r="J1230" s="182"/>
      <c r="K1230" s="182"/>
      <c r="L1230" s="182"/>
      <c r="M1230" s="234"/>
      <c r="N1230" s="28"/>
      <c r="O1230" s="181"/>
      <c r="P1230" s="183"/>
      <c r="Q1230" s="104"/>
      <c r="R1230" s="233"/>
      <c r="S1230" s="164"/>
      <c r="T1230" s="164"/>
      <c r="U1230" s="162"/>
      <c r="V1230" s="235"/>
      <c r="W1230" s="235"/>
      <c r="X1230" s="235"/>
      <c r="Y1230" s="235"/>
      <c r="Z1230" s="235"/>
      <c r="AA1230" s="235"/>
      <c r="AB1230" s="235"/>
      <c r="AC1230" s="235"/>
      <c r="AD1230" s="235"/>
      <c r="AE1230" s="235"/>
      <c r="AF1230" s="235"/>
      <c r="AG1230" s="235"/>
      <c r="AH1230" s="235"/>
      <c r="AI1230" s="235"/>
      <c r="AJ1230" s="235"/>
      <c r="AK1230" s="235"/>
      <c r="AL1230" s="235"/>
      <c r="AM1230" s="235"/>
      <c r="AN1230" s="235"/>
      <c r="AO1230" s="235"/>
      <c r="AP1230" s="235"/>
      <c r="AQ1230" s="235"/>
      <c r="AR1230" s="235"/>
      <c r="AS1230" s="235"/>
      <c r="AT1230" s="235"/>
      <c r="AU1230" s="235"/>
      <c r="AV1230" s="235"/>
      <c r="AW1230" s="235"/>
      <c r="AX1230" s="235"/>
      <c r="AY1230" s="235"/>
      <c r="AZ1230" s="235"/>
      <c r="BA1230" s="235"/>
      <c r="BB1230" s="235"/>
      <c r="BC1230" s="235"/>
      <c r="BD1230" s="235"/>
      <c r="BE1230" s="235"/>
      <c r="BF1230" s="235"/>
      <c r="BG1230" s="235"/>
      <c r="BH1230" s="235"/>
      <c r="BI1230" s="235"/>
      <c r="BJ1230" s="235"/>
      <c r="BK1230" s="235"/>
      <c r="BL1230" s="235"/>
      <c r="BM1230" s="235"/>
      <c r="BN1230" s="235"/>
      <c r="BO1230" s="235"/>
    </row>
    <row r="1231" ht="29.25" hidden="1" customHeight="1">
      <c r="A1231" s="230"/>
      <c r="B1231" s="231"/>
      <c r="C1231" s="179"/>
      <c r="D1231" s="179"/>
      <c r="E1231" s="180"/>
      <c r="F1231" s="162"/>
      <c r="G1231" s="232"/>
      <c r="H1231" s="234"/>
      <c r="I1231" s="181"/>
      <c r="J1231" s="182"/>
      <c r="K1231" s="182"/>
      <c r="L1231" s="182"/>
      <c r="M1231" s="234"/>
      <c r="N1231" s="28"/>
      <c r="O1231" s="181"/>
      <c r="P1231" s="183"/>
      <c r="Q1231" s="104"/>
      <c r="R1231" s="233"/>
      <c r="S1231" s="164"/>
      <c r="T1231" s="164"/>
      <c r="U1231" s="162"/>
      <c r="V1231" s="235"/>
      <c r="W1231" s="235"/>
      <c r="X1231" s="235"/>
      <c r="Y1231" s="235"/>
      <c r="Z1231" s="235"/>
      <c r="AA1231" s="235"/>
      <c r="AB1231" s="235"/>
      <c r="AC1231" s="235"/>
      <c r="AD1231" s="235"/>
      <c r="AE1231" s="235"/>
      <c r="AF1231" s="235"/>
      <c r="AG1231" s="235"/>
      <c r="AH1231" s="235"/>
      <c r="AI1231" s="235"/>
      <c r="AJ1231" s="235"/>
      <c r="AK1231" s="235"/>
      <c r="AL1231" s="235"/>
      <c r="AM1231" s="235"/>
      <c r="AN1231" s="235"/>
      <c r="AO1231" s="235"/>
      <c r="AP1231" s="235"/>
      <c r="AQ1231" s="235"/>
      <c r="AR1231" s="235"/>
      <c r="AS1231" s="235"/>
      <c r="AT1231" s="235"/>
      <c r="AU1231" s="235"/>
      <c r="AV1231" s="235"/>
      <c r="AW1231" s="235"/>
      <c r="AX1231" s="235"/>
      <c r="AY1231" s="235"/>
      <c r="AZ1231" s="235"/>
      <c r="BA1231" s="235"/>
      <c r="BB1231" s="235"/>
      <c r="BC1231" s="235"/>
      <c r="BD1231" s="235"/>
      <c r="BE1231" s="235"/>
      <c r="BF1231" s="235"/>
      <c r="BG1231" s="235"/>
      <c r="BH1231" s="235"/>
      <c r="BI1231" s="235"/>
      <c r="BJ1231" s="235"/>
      <c r="BK1231" s="235"/>
      <c r="BL1231" s="235"/>
      <c r="BM1231" s="235"/>
      <c r="BN1231" s="235"/>
      <c r="BO1231" s="235"/>
    </row>
    <row r="1232" ht="29.25" hidden="1" customHeight="1">
      <c r="A1232" s="230"/>
      <c r="B1232" s="231"/>
      <c r="C1232" s="179"/>
      <c r="D1232" s="179"/>
      <c r="E1232" s="180"/>
      <c r="F1232" s="162"/>
      <c r="G1232" s="232"/>
      <c r="H1232" s="234"/>
      <c r="I1232" s="181"/>
      <c r="J1232" s="182"/>
      <c r="K1232" s="182"/>
      <c r="L1232" s="182"/>
      <c r="M1232" s="234"/>
      <c r="N1232" s="28"/>
      <c r="O1232" s="181"/>
      <c r="P1232" s="183"/>
      <c r="Q1232" s="104"/>
      <c r="R1232" s="233"/>
      <c r="S1232" s="164"/>
      <c r="T1232" s="164"/>
      <c r="U1232" s="162"/>
      <c r="V1232" s="235"/>
      <c r="W1232" s="235"/>
      <c r="X1232" s="235"/>
      <c r="Y1232" s="235"/>
      <c r="Z1232" s="235"/>
      <c r="AA1232" s="235"/>
      <c r="AB1232" s="235"/>
      <c r="AC1232" s="235"/>
      <c r="AD1232" s="235"/>
      <c r="AE1232" s="235"/>
      <c r="AF1232" s="235"/>
      <c r="AG1232" s="235"/>
      <c r="AH1232" s="235"/>
      <c r="AI1232" s="235"/>
      <c r="AJ1232" s="235"/>
      <c r="AK1232" s="235"/>
      <c r="AL1232" s="235"/>
      <c r="AM1232" s="235"/>
      <c r="AN1232" s="235"/>
      <c r="AO1232" s="235"/>
      <c r="AP1232" s="235"/>
      <c r="AQ1232" s="235"/>
      <c r="AR1232" s="235"/>
      <c r="AS1232" s="235"/>
      <c r="AT1232" s="235"/>
      <c r="AU1232" s="235"/>
      <c r="AV1232" s="235"/>
      <c r="AW1232" s="235"/>
      <c r="AX1232" s="235"/>
      <c r="AY1232" s="235"/>
      <c r="AZ1232" s="235"/>
      <c r="BA1232" s="235"/>
      <c r="BB1232" s="235"/>
      <c r="BC1232" s="235"/>
      <c r="BD1232" s="235"/>
      <c r="BE1232" s="235"/>
      <c r="BF1232" s="235"/>
      <c r="BG1232" s="235"/>
      <c r="BH1232" s="235"/>
      <c r="BI1232" s="235"/>
      <c r="BJ1232" s="235"/>
      <c r="BK1232" s="235"/>
      <c r="BL1232" s="235"/>
      <c r="BM1232" s="235"/>
      <c r="BN1232" s="235"/>
      <c r="BO1232" s="235"/>
    </row>
    <row r="1233" ht="29.25" hidden="1" customHeight="1">
      <c r="A1233" s="230"/>
      <c r="B1233" s="231"/>
      <c r="C1233" s="179"/>
      <c r="D1233" s="179"/>
      <c r="E1233" s="180"/>
      <c r="F1233" s="162"/>
      <c r="G1233" s="232"/>
      <c r="H1233" s="234"/>
      <c r="I1233" s="181"/>
      <c r="J1233" s="182"/>
      <c r="K1233" s="182"/>
      <c r="L1233" s="182"/>
      <c r="M1233" s="234"/>
      <c r="N1233" s="28"/>
      <c r="O1233" s="181"/>
      <c r="P1233" s="183"/>
      <c r="Q1233" s="104"/>
      <c r="R1233" s="233"/>
      <c r="S1233" s="164"/>
      <c r="T1233" s="164"/>
      <c r="U1233" s="162"/>
      <c r="V1233" s="235"/>
      <c r="W1233" s="235"/>
      <c r="X1233" s="235"/>
      <c r="Y1233" s="235"/>
      <c r="Z1233" s="235"/>
      <c r="AA1233" s="235"/>
      <c r="AB1233" s="235"/>
      <c r="AC1233" s="235"/>
      <c r="AD1233" s="235"/>
      <c r="AE1233" s="235"/>
      <c r="AF1233" s="235"/>
      <c r="AG1233" s="235"/>
      <c r="AH1233" s="235"/>
      <c r="AI1233" s="235"/>
      <c r="AJ1233" s="235"/>
      <c r="AK1233" s="235"/>
      <c r="AL1233" s="235"/>
      <c r="AM1233" s="235"/>
      <c r="AN1233" s="235"/>
      <c r="AO1233" s="235"/>
      <c r="AP1233" s="235"/>
      <c r="AQ1233" s="235"/>
      <c r="AR1233" s="235"/>
      <c r="AS1233" s="235"/>
      <c r="AT1233" s="235"/>
      <c r="AU1233" s="235"/>
      <c r="AV1233" s="235"/>
      <c r="AW1233" s="235"/>
      <c r="AX1233" s="235"/>
      <c r="AY1233" s="235"/>
      <c r="AZ1233" s="235"/>
      <c r="BA1233" s="235"/>
      <c r="BB1233" s="235"/>
      <c r="BC1233" s="235"/>
      <c r="BD1233" s="235"/>
      <c r="BE1233" s="235"/>
      <c r="BF1233" s="235"/>
      <c r="BG1233" s="235"/>
      <c r="BH1233" s="235"/>
      <c r="BI1233" s="235"/>
      <c r="BJ1233" s="235"/>
      <c r="BK1233" s="235"/>
      <c r="BL1233" s="235"/>
      <c r="BM1233" s="235"/>
      <c r="BN1233" s="235"/>
      <c r="BO1233" s="235"/>
    </row>
    <row r="1234" ht="29.25" hidden="1" customHeight="1">
      <c r="A1234" s="230"/>
      <c r="B1234" s="231"/>
      <c r="C1234" s="179"/>
      <c r="D1234" s="179"/>
      <c r="E1234" s="180"/>
      <c r="F1234" s="162"/>
      <c r="G1234" s="232"/>
      <c r="H1234" s="234"/>
      <c r="I1234" s="181"/>
      <c r="J1234" s="182"/>
      <c r="K1234" s="182"/>
      <c r="L1234" s="182"/>
      <c r="M1234" s="234"/>
      <c r="N1234" s="28"/>
      <c r="O1234" s="181"/>
      <c r="P1234" s="183"/>
      <c r="Q1234" s="104"/>
      <c r="R1234" s="233"/>
      <c r="S1234" s="164"/>
      <c r="T1234" s="164"/>
      <c r="U1234" s="162"/>
      <c r="V1234" s="235"/>
      <c r="W1234" s="235"/>
      <c r="X1234" s="235"/>
      <c r="Y1234" s="235"/>
      <c r="Z1234" s="235"/>
      <c r="AA1234" s="235"/>
      <c r="AB1234" s="235"/>
      <c r="AC1234" s="235"/>
      <c r="AD1234" s="235"/>
      <c r="AE1234" s="235"/>
      <c r="AF1234" s="235"/>
      <c r="AG1234" s="235"/>
      <c r="AH1234" s="235"/>
      <c r="AI1234" s="235"/>
      <c r="AJ1234" s="235"/>
      <c r="AK1234" s="235"/>
      <c r="AL1234" s="235"/>
      <c r="AM1234" s="235"/>
      <c r="AN1234" s="235"/>
      <c r="AO1234" s="235"/>
      <c r="AP1234" s="235"/>
      <c r="AQ1234" s="235"/>
      <c r="AR1234" s="235"/>
      <c r="AS1234" s="235"/>
      <c r="AT1234" s="235"/>
      <c r="AU1234" s="235"/>
      <c r="AV1234" s="235"/>
      <c r="AW1234" s="235"/>
      <c r="AX1234" s="235"/>
      <c r="AY1234" s="235"/>
      <c r="AZ1234" s="235"/>
      <c r="BA1234" s="235"/>
      <c r="BB1234" s="235"/>
      <c r="BC1234" s="235"/>
      <c r="BD1234" s="235"/>
      <c r="BE1234" s="235"/>
      <c r="BF1234" s="235"/>
      <c r="BG1234" s="235"/>
      <c r="BH1234" s="235"/>
      <c r="BI1234" s="235"/>
      <c r="BJ1234" s="235"/>
      <c r="BK1234" s="235"/>
      <c r="BL1234" s="235"/>
      <c r="BM1234" s="235"/>
      <c r="BN1234" s="235"/>
      <c r="BO1234" s="235"/>
    </row>
    <row r="1235" ht="29.25" hidden="1" customHeight="1">
      <c r="A1235" s="230"/>
      <c r="B1235" s="231"/>
      <c r="C1235" s="179"/>
      <c r="D1235" s="179"/>
      <c r="E1235" s="180"/>
      <c r="F1235" s="162"/>
      <c r="G1235" s="232"/>
      <c r="H1235" s="234"/>
      <c r="I1235" s="181"/>
      <c r="J1235" s="182"/>
      <c r="K1235" s="182"/>
      <c r="L1235" s="182"/>
      <c r="M1235" s="234"/>
      <c r="N1235" s="28"/>
      <c r="O1235" s="181"/>
      <c r="P1235" s="183"/>
      <c r="Q1235" s="104"/>
      <c r="R1235" s="233"/>
      <c r="S1235" s="164"/>
      <c r="T1235" s="164"/>
      <c r="U1235" s="162"/>
      <c r="V1235" s="235"/>
      <c r="W1235" s="235"/>
      <c r="X1235" s="235"/>
      <c r="Y1235" s="235"/>
      <c r="Z1235" s="235"/>
      <c r="AA1235" s="235"/>
      <c r="AB1235" s="235"/>
      <c r="AC1235" s="235"/>
      <c r="AD1235" s="235"/>
      <c r="AE1235" s="235"/>
      <c r="AF1235" s="235"/>
      <c r="AG1235" s="235"/>
      <c r="AH1235" s="235"/>
      <c r="AI1235" s="235"/>
      <c r="AJ1235" s="235"/>
      <c r="AK1235" s="235"/>
      <c r="AL1235" s="235"/>
      <c r="AM1235" s="235"/>
      <c r="AN1235" s="235"/>
      <c r="AO1235" s="235"/>
      <c r="AP1235" s="235"/>
      <c r="AQ1235" s="235"/>
      <c r="AR1235" s="235"/>
      <c r="AS1235" s="235"/>
      <c r="AT1235" s="235"/>
      <c r="AU1235" s="235"/>
      <c r="AV1235" s="235"/>
      <c r="AW1235" s="235"/>
      <c r="AX1235" s="235"/>
      <c r="AY1235" s="235"/>
      <c r="AZ1235" s="235"/>
      <c r="BA1235" s="235"/>
      <c r="BB1235" s="235"/>
      <c r="BC1235" s="235"/>
      <c r="BD1235" s="235"/>
      <c r="BE1235" s="235"/>
      <c r="BF1235" s="235"/>
      <c r="BG1235" s="235"/>
      <c r="BH1235" s="235"/>
      <c r="BI1235" s="235"/>
      <c r="BJ1235" s="235"/>
      <c r="BK1235" s="235"/>
      <c r="BL1235" s="235"/>
      <c r="BM1235" s="235"/>
      <c r="BN1235" s="235"/>
      <c r="BO1235" s="235"/>
    </row>
    <row r="1236" ht="29.25" hidden="1" customHeight="1">
      <c r="A1236" s="230"/>
      <c r="B1236" s="231"/>
      <c r="C1236" s="179"/>
      <c r="D1236" s="179"/>
      <c r="E1236" s="180"/>
      <c r="F1236" s="162"/>
      <c r="G1236" s="232"/>
      <c r="H1236" s="234"/>
      <c r="I1236" s="181"/>
      <c r="J1236" s="182"/>
      <c r="K1236" s="182"/>
      <c r="L1236" s="182"/>
      <c r="M1236" s="234"/>
      <c r="N1236" s="28"/>
      <c r="O1236" s="181"/>
      <c r="P1236" s="183"/>
      <c r="Q1236" s="104"/>
      <c r="R1236" s="233"/>
      <c r="S1236" s="164"/>
      <c r="T1236" s="164"/>
      <c r="U1236" s="162"/>
      <c r="V1236" s="235"/>
      <c r="W1236" s="235"/>
      <c r="X1236" s="235"/>
      <c r="Y1236" s="235"/>
      <c r="Z1236" s="235"/>
      <c r="AA1236" s="235"/>
      <c r="AB1236" s="235"/>
      <c r="AC1236" s="235"/>
      <c r="AD1236" s="235"/>
      <c r="AE1236" s="235"/>
      <c r="AF1236" s="235"/>
      <c r="AG1236" s="235"/>
      <c r="AH1236" s="235"/>
      <c r="AI1236" s="235"/>
      <c r="AJ1236" s="235"/>
      <c r="AK1236" s="235"/>
      <c r="AL1236" s="235"/>
      <c r="AM1236" s="235"/>
      <c r="AN1236" s="235"/>
      <c r="AO1236" s="235"/>
      <c r="AP1236" s="235"/>
      <c r="AQ1236" s="235"/>
      <c r="AR1236" s="235"/>
      <c r="AS1236" s="235"/>
      <c r="AT1236" s="235"/>
      <c r="AU1236" s="235"/>
      <c r="AV1236" s="235"/>
      <c r="AW1236" s="235"/>
      <c r="AX1236" s="235"/>
      <c r="AY1236" s="235"/>
      <c r="AZ1236" s="235"/>
      <c r="BA1236" s="235"/>
      <c r="BB1236" s="235"/>
      <c r="BC1236" s="235"/>
      <c r="BD1236" s="235"/>
      <c r="BE1236" s="235"/>
      <c r="BF1236" s="235"/>
      <c r="BG1236" s="235"/>
      <c r="BH1236" s="235"/>
      <c r="BI1236" s="235"/>
      <c r="BJ1236" s="235"/>
      <c r="BK1236" s="235"/>
      <c r="BL1236" s="235"/>
      <c r="BM1236" s="235"/>
      <c r="BN1236" s="235"/>
      <c r="BO1236" s="235"/>
    </row>
    <row r="1237" ht="29.25" hidden="1" customHeight="1">
      <c r="A1237" s="230"/>
      <c r="B1237" s="231"/>
      <c r="C1237" s="179"/>
      <c r="D1237" s="179"/>
      <c r="E1237" s="180"/>
      <c r="F1237" s="162"/>
      <c r="G1237" s="232"/>
      <c r="H1237" s="234"/>
      <c r="I1237" s="181"/>
      <c r="J1237" s="182"/>
      <c r="K1237" s="182"/>
      <c r="L1237" s="182"/>
      <c r="M1237" s="234"/>
      <c r="N1237" s="28"/>
      <c r="O1237" s="181"/>
      <c r="P1237" s="183"/>
      <c r="Q1237" s="104"/>
      <c r="R1237" s="233"/>
      <c r="S1237" s="164"/>
      <c r="T1237" s="164"/>
      <c r="U1237" s="162"/>
      <c r="V1237" s="235"/>
      <c r="W1237" s="235"/>
      <c r="X1237" s="235"/>
      <c r="Y1237" s="235"/>
      <c r="Z1237" s="235"/>
      <c r="AA1237" s="235"/>
      <c r="AB1237" s="235"/>
      <c r="AC1237" s="235"/>
      <c r="AD1237" s="235"/>
      <c r="AE1237" s="235"/>
      <c r="AF1237" s="235"/>
      <c r="AG1237" s="235"/>
      <c r="AH1237" s="235"/>
      <c r="AI1237" s="235"/>
      <c r="AJ1237" s="235"/>
      <c r="AK1237" s="235"/>
      <c r="AL1237" s="235"/>
      <c r="AM1237" s="235"/>
      <c r="AN1237" s="235"/>
      <c r="AO1237" s="235"/>
      <c r="AP1237" s="235"/>
      <c r="AQ1237" s="235"/>
      <c r="AR1237" s="235"/>
      <c r="AS1237" s="235"/>
      <c r="AT1237" s="235"/>
      <c r="AU1237" s="235"/>
      <c r="AV1237" s="235"/>
      <c r="AW1237" s="235"/>
      <c r="AX1237" s="235"/>
      <c r="AY1237" s="235"/>
      <c r="AZ1237" s="235"/>
      <c r="BA1237" s="235"/>
      <c r="BB1237" s="235"/>
      <c r="BC1237" s="235"/>
      <c r="BD1237" s="235"/>
      <c r="BE1237" s="235"/>
      <c r="BF1237" s="235"/>
      <c r="BG1237" s="235"/>
      <c r="BH1237" s="235"/>
      <c r="BI1237" s="235"/>
      <c r="BJ1237" s="235"/>
      <c r="BK1237" s="235"/>
      <c r="BL1237" s="235"/>
      <c r="BM1237" s="235"/>
      <c r="BN1237" s="235"/>
      <c r="BO1237" s="235"/>
    </row>
    <row r="1238" ht="29.25" hidden="1" customHeight="1">
      <c r="A1238" s="230"/>
      <c r="B1238" s="231"/>
      <c r="C1238" s="179"/>
      <c r="D1238" s="179"/>
      <c r="E1238" s="180"/>
      <c r="F1238" s="162"/>
      <c r="G1238" s="232"/>
      <c r="H1238" s="234"/>
      <c r="I1238" s="181"/>
      <c r="J1238" s="182"/>
      <c r="K1238" s="182"/>
      <c r="L1238" s="182"/>
      <c r="M1238" s="234"/>
      <c r="N1238" s="28"/>
      <c r="O1238" s="181"/>
      <c r="P1238" s="183"/>
      <c r="Q1238" s="104"/>
      <c r="R1238" s="233"/>
      <c r="S1238" s="164"/>
      <c r="T1238" s="164"/>
      <c r="U1238" s="162"/>
      <c r="V1238" s="235"/>
      <c r="W1238" s="235"/>
      <c r="X1238" s="235"/>
      <c r="Y1238" s="235"/>
      <c r="Z1238" s="235"/>
      <c r="AA1238" s="235"/>
      <c r="AB1238" s="235"/>
      <c r="AC1238" s="235"/>
      <c r="AD1238" s="235"/>
      <c r="AE1238" s="235"/>
      <c r="AF1238" s="235"/>
      <c r="AG1238" s="235"/>
      <c r="AH1238" s="235"/>
      <c r="AI1238" s="235"/>
      <c r="AJ1238" s="235"/>
      <c r="AK1238" s="235"/>
      <c r="AL1238" s="235"/>
      <c r="AM1238" s="235"/>
      <c r="AN1238" s="235"/>
      <c r="AO1238" s="235"/>
      <c r="AP1238" s="235"/>
      <c r="AQ1238" s="235"/>
      <c r="AR1238" s="235"/>
      <c r="AS1238" s="235"/>
      <c r="AT1238" s="235"/>
      <c r="AU1238" s="235"/>
      <c r="AV1238" s="235"/>
      <c r="AW1238" s="235"/>
      <c r="AX1238" s="235"/>
      <c r="AY1238" s="235"/>
      <c r="AZ1238" s="235"/>
      <c r="BA1238" s="235"/>
      <c r="BB1238" s="235"/>
      <c r="BC1238" s="235"/>
      <c r="BD1238" s="235"/>
      <c r="BE1238" s="235"/>
      <c r="BF1238" s="235"/>
      <c r="BG1238" s="235"/>
      <c r="BH1238" s="235"/>
      <c r="BI1238" s="235"/>
      <c r="BJ1238" s="235"/>
      <c r="BK1238" s="235"/>
      <c r="BL1238" s="235"/>
      <c r="BM1238" s="235"/>
      <c r="BN1238" s="235"/>
      <c r="BO1238" s="235"/>
    </row>
    <row r="1239" ht="29.25" hidden="1" customHeight="1">
      <c r="A1239" s="230"/>
      <c r="B1239" s="231"/>
      <c r="C1239" s="179"/>
      <c r="D1239" s="179"/>
      <c r="E1239" s="180"/>
      <c r="F1239" s="162"/>
      <c r="G1239" s="232"/>
      <c r="H1239" s="234"/>
      <c r="I1239" s="181"/>
      <c r="J1239" s="182"/>
      <c r="K1239" s="182"/>
      <c r="L1239" s="182"/>
      <c r="M1239" s="234"/>
      <c r="N1239" s="28"/>
      <c r="O1239" s="181"/>
      <c r="P1239" s="183"/>
      <c r="Q1239" s="104"/>
      <c r="R1239" s="233"/>
      <c r="S1239" s="164"/>
      <c r="T1239" s="164"/>
      <c r="U1239" s="162"/>
      <c r="V1239" s="235"/>
      <c r="W1239" s="235"/>
      <c r="X1239" s="235"/>
      <c r="Y1239" s="235"/>
      <c r="Z1239" s="235"/>
      <c r="AA1239" s="235"/>
      <c r="AB1239" s="235"/>
      <c r="AC1239" s="235"/>
      <c r="AD1239" s="235"/>
      <c r="AE1239" s="235"/>
      <c r="AF1239" s="235"/>
      <c r="AG1239" s="235"/>
      <c r="AH1239" s="235"/>
      <c r="AI1239" s="235"/>
      <c r="AJ1239" s="235"/>
      <c r="AK1239" s="235"/>
      <c r="AL1239" s="235"/>
      <c r="AM1239" s="235"/>
      <c r="AN1239" s="235"/>
      <c r="AO1239" s="235"/>
      <c r="AP1239" s="235"/>
      <c r="AQ1239" s="235"/>
      <c r="AR1239" s="235"/>
      <c r="AS1239" s="235"/>
      <c r="AT1239" s="235"/>
      <c r="AU1239" s="235"/>
      <c r="AV1239" s="235"/>
      <c r="AW1239" s="235"/>
      <c r="AX1239" s="235"/>
      <c r="AY1239" s="235"/>
      <c r="AZ1239" s="235"/>
      <c r="BA1239" s="235"/>
      <c r="BB1239" s="235"/>
      <c r="BC1239" s="235"/>
      <c r="BD1239" s="235"/>
      <c r="BE1239" s="235"/>
      <c r="BF1239" s="235"/>
      <c r="BG1239" s="235"/>
      <c r="BH1239" s="235"/>
      <c r="BI1239" s="235"/>
      <c r="BJ1239" s="235"/>
      <c r="BK1239" s="235"/>
      <c r="BL1239" s="235"/>
      <c r="BM1239" s="235"/>
      <c r="BN1239" s="235"/>
      <c r="BO1239" s="235"/>
    </row>
    <row r="1240" ht="29.25" hidden="1" customHeight="1">
      <c r="A1240" s="230"/>
      <c r="B1240" s="231"/>
      <c r="C1240" s="179"/>
      <c r="D1240" s="179"/>
      <c r="E1240" s="180"/>
      <c r="F1240" s="162"/>
      <c r="G1240" s="232"/>
      <c r="H1240" s="234"/>
      <c r="I1240" s="181"/>
      <c r="J1240" s="182"/>
      <c r="K1240" s="182"/>
      <c r="L1240" s="182"/>
      <c r="M1240" s="234"/>
      <c r="N1240" s="28"/>
      <c r="O1240" s="181"/>
      <c r="P1240" s="183"/>
      <c r="Q1240" s="104"/>
      <c r="R1240" s="233"/>
      <c r="S1240" s="164"/>
      <c r="T1240" s="164"/>
      <c r="U1240" s="162"/>
      <c r="V1240" s="235"/>
      <c r="W1240" s="235"/>
      <c r="X1240" s="235"/>
      <c r="Y1240" s="235"/>
      <c r="Z1240" s="235"/>
      <c r="AA1240" s="235"/>
      <c r="AB1240" s="235"/>
      <c r="AC1240" s="235"/>
      <c r="AD1240" s="235"/>
      <c r="AE1240" s="235"/>
      <c r="AF1240" s="235"/>
      <c r="AG1240" s="235"/>
      <c r="AH1240" s="235"/>
      <c r="AI1240" s="235"/>
      <c r="AJ1240" s="235"/>
      <c r="AK1240" s="235"/>
      <c r="AL1240" s="235"/>
      <c r="AM1240" s="235"/>
      <c r="AN1240" s="235"/>
      <c r="AO1240" s="235"/>
      <c r="AP1240" s="235"/>
      <c r="AQ1240" s="235"/>
      <c r="AR1240" s="235"/>
      <c r="AS1240" s="235"/>
      <c r="AT1240" s="235"/>
      <c r="AU1240" s="235"/>
      <c r="AV1240" s="235"/>
      <c r="AW1240" s="235"/>
      <c r="AX1240" s="235"/>
      <c r="AY1240" s="235"/>
      <c r="AZ1240" s="235"/>
      <c r="BA1240" s="235"/>
      <c r="BB1240" s="235"/>
      <c r="BC1240" s="235"/>
      <c r="BD1240" s="235"/>
      <c r="BE1240" s="235"/>
      <c r="BF1240" s="235"/>
      <c r="BG1240" s="235"/>
      <c r="BH1240" s="235"/>
      <c r="BI1240" s="235"/>
      <c r="BJ1240" s="235"/>
      <c r="BK1240" s="235"/>
      <c r="BL1240" s="235"/>
      <c r="BM1240" s="235"/>
      <c r="BN1240" s="235"/>
      <c r="BO1240" s="235"/>
    </row>
    <row r="1241" ht="29.25" hidden="1" customHeight="1">
      <c r="A1241" s="230"/>
      <c r="B1241" s="231"/>
      <c r="C1241" s="179"/>
      <c r="D1241" s="179"/>
      <c r="E1241" s="180"/>
      <c r="F1241" s="162"/>
      <c r="G1241" s="232"/>
      <c r="H1241" s="234"/>
      <c r="I1241" s="181"/>
      <c r="J1241" s="182"/>
      <c r="K1241" s="182"/>
      <c r="L1241" s="182"/>
      <c r="M1241" s="234"/>
      <c r="N1241" s="28"/>
      <c r="O1241" s="181"/>
      <c r="P1241" s="183"/>
      <c r="Q1241" s="104"/>
      <c r="R1241" s="233"/>
      <c r="S1241" s="164"/>
      <c r="T1241" s="164"/>
      <c r="U1241" s="162"/>
      <c r="V1241" s="235"/>
      <c r="W1241" s="235"/>
      <c r="X1241" s="235"/>
      <c r="Y1241" s="235"/>
      <c r="Z1241" s="235"/>
      <c r="AA1241" s="235"/>
      <c r="AB1241" s="235"/>
      <c r="AC1241" s="235"/>
      <c r="AD1241" s="235"/>
      <c r="AE1241" s="235"/>
      <c r="AF1241" s="235"/>
      <c r="AG1241" s="235"/>
      <c r="AH1241" s="235"/>
      <c r="AI1241" s="235"/>
      <c r="AJ1241" s="235"/>
      <c r="AK1241" s="235"/>
      <c r="AL1241" s="235"/>
      <c r="AM1241" s="235"/>
      <c r="AN1241" s="235"/>
      <c r="AO1241" s="235"/>
      <c r="AP1241" s="235"/>
      <c r="AQ1241" s="235"/>
      <c r="AR1241" s="235"/>
      <c r="AS1241" s="235"/>
      <c r="AT1241" s="235"/>
      <c r="AU1241" s="235"/>
      <c r="AV1241" s="235"/>
      <c r="AW1241" s="235"/>
      <c r="AX1241" s="235"/>
      <c r="AY1241" s="235"/>
      <c r="AZ1241" s="235"/>
      <c r="BA1241" s="235"/>
      <c r="BB1241" s="235"/>
      <c r="BC1241" s="235"/>
      <c r="BD1241" s="235"/>
      <c r="BE1241" s="235"/>
      <c r="BF1241" s="235"/>
      <c r="BG1241" s="235"/>
      <c r="BH1241" s="235"/>
      <c r="BI1241" s="235"/>
      <c r="BJ1241" s="235"/>
      <c r="BK1241" s="235"/>
      <c r="BL1241" s="235"/>
      <c r="BM1241" s="235"/>
      <c r="BN1241" s="235"/>
      <c r="BO1241" s="235"/>
    </row>
    <row r="1242" ht="29.25" hidden="1" customHeight="1">
      <c r="A1242" s="230"/>
      <c r="B1242" s="231"/>
      <c r="C1242" s="179"/>
      <c r="D1242" s="179"/>
      <c r="E1242" s="180"/>
      <c r="F1242" s="162"/>
      <c r="G1242" s="232"/>
      <c r="H1242" s="234"/>
      <c r="I1242" s="181"/>
      <c r="J1242" s="182"/>
      <c r="K1242" s="182"/>
      <c r="L1242" s="182"/>
      <c r="M1242" s="234"/>
      <c r="N1242" s="28"/>
      <c r="O1242" s="181"/>
      <c r="P1242" s="183"/>
      <c r="Q1242" s="104"/>
      <c r="R1242" s="233"/>
      <c r="S1242" s="164"/>
      <c r="T1242" s="164"/>
      <c r="U1242" s="162"/>
      <c r="V1242" s="235"/>
      <c r="W1242" s="235"/>
      <c r="X1242" s="235"/>
      <c r="Y1242" s="235"/>
      <c r="Z1242" s="235"/>
      <c r="AA1242" s="235"/>
      <c r="AB1242" s="235"/>
      <c r="AC1242" s="235"/>
      <c r="AD1242" s="235"/>
      <c r="AE1242" s="235"/>
      <c r="AF1242" s="235"/>
      <c r="AG1242" s="235"/>
      <c r="AH1242" s="235"/>
      <c r="AI1242" s="235"/>
      <c r="AJ1242" s="235"/>
      <c r="AK1242" s="235"/>
      <c r="AL1242" s="235"/>
      <c r="AM1242" s="235"/>
      <c r="AN1242" s="235"/>
      <c r="AO1242" s="235"/>
      <c r="AP1242" s="235"/>
      <c r="AQ1242" s="235"/>
      <c r="AR1242" s="235"/>
      <c r="AS1242" s="235"/>
      <c r="AT1242" s="235"/>
      <c r="AU1242" s="235"/>
      <c r="AV1242" s="235"/>
      <c r="AW1242" s="235"/>
      <c r="AX1242" s="235"/>
      <c r="AY1242" s="235"/>
      <c r="AZ1242" s="235"/>
      <c r="BA1242" s="235"/>
      <c r="BB1242" s="235"/>
      <c r="BC1242" s="235"/>
      <c r="BD1242" s="235"/>
      <c r="BE1242" s="235"/>
      <c r="BF1242" s="235"/>
      <c r="BG1242" s="235"/>
      <c r="BH1242" s="235"/>
      <c r="BI1242" s="235"/>
      <c r="BJ1242" s="235"/>
      <c r="BK1242" s="235"/>
      <c r="BL1242" s="235"/>
      <c r="BM1242" s="235"/>
      <c r="BN1242" s="235"/>
      <c r="BO1242" s="235"/>
    </row>
    <row r="1243" ht="29.25" hidden="1" customHeight="1">
      <c r="A1243" s="230"/>
      <c r="B1243" s="231"/>
      <c r="C1243" s="179"/>
      <c r="D1243" s="179"/>
      <c r="E1243" s="180"/>
      <c r="F1243" s="162"/>
      <c r="G1243" s="232"/>
      <c r="H1243" s="234"/>
      <c r="I1243" s="181"/>
      <c r="J1243" s="182"/>
      <c r="K1243" s="182"/>
      <c r="L1243" s="182"/>
      <c r="M1243" s="234"/>
      <c r="N1243" s="28"/>
      <c r="O1243" s="181"/>
      <c r="P1243" s="183"/>
      <c r="Q1243" s="104"/>
      <c r="R1243" s="233"/>
      <c r="S1243" s="164"/>
      <c r="T1243" s="164"/>
      <c r="U1243" s="162"/>
      <c r="V1243" s="235"/>
      <c r="W1243" s="235"/>
      <c r="X1243" s="235"/>
      <c r="Y1243" s="235"/>
      <c r="Z1243" s="235"/>
      <c r="AA1243" s="235"/>
      <c r="AB1243" s="235"/>
      <c r="AC1243" s="235"/>
      <c r="AD1243" s="235"/>
      <c r="AE1243" s="235"/>
      <c r="AF1243" s="235"/>
      <c r="AG1243" s="235"/>
      <c r="AH1243" s="235"/>
      <c r="AI1243" s="235"/>
      <c r="AJ1243" s="235"/>
      <c r="AK1243" s="235"/>
      <c r="AL1243" s="235"/>
      <c r="AM1243" s="235"/>
      <c r="AN1243" s="235"/>
      <c r="AO1243" s="235"/>
      <c r="AP1243" s="235"/>
      <c r="AQ1243" s="235"/>
      <c r="AR1243" s="235"/>
      <c r="AS1243" s="235"/>
      <c r="AT1243" s="235"/>
      <c r="AU1243" s="235"/>
      <c r="AV1243" s="235"/>
      <c r="AW1243" s="235"/>
      <c r="AX1243" s="235"/>
      <c r="AY1243" s="235"/>
      <c r="AZ1243" s="235"/>
      <c r="BA1243" s="235"/>
      <c r="BB1243" s="235"/>
      <c r="BC1243" s="235"/>
      <c r="BD1243" s="235"/>
      <c r="BE1243" s="235"/>
      <c r="BF1243" s="235"/>
      <c r="BG1243" s="235"/>
      <c r="BH1243" s="235"/>
      <c r="BI1243" s="235"/>
      <c r="BJ1243" s="235"/>
      <c r="BK1243" s="235"/>
      <c r="BL1243" s="235"/>
      <c r="BM1243" s="235"/>
      <c r="BN1243" s="235"/>
      <c r="BO1243" s="235"/>
    </row>
    <row r="1244" ht="29.25" hidden="1" customHeight="1">
      <c r="A1244" s="230"/>
      <c r="B1244" s="231"/>
      <c r="C1244" s="179"/>
      <c r="D1244" s="179"/>
      <c r="E1244" s="180"/>
      <c r="F1244" s="162"/>
      <c r="G1244" s="232"/>
      <c r="H1244" s="234"/>
      <c r="I1244" s="181"/>
      <c r="J1244" s="182"/>
      <c r="K1244" s="182"/>
      <c r="L1244" s="182"/>
      <c r="M1244" s="234"/>
      <c r="N1244" s="28"/>
      <c r="O1244" s="181"/>
      <c r="P1244" s="183"/>
      <c r="Q1244" s="104"/>
      <c r="R1244" s="233"/>
      <c r="S1244" s="164"/>
      <c r="T1244" s="164"/>
      <c r="U1244" s="162"/>
      <c r="V1244" s="235"/>
      <c r="W1244" s="235"/>
      <c r="X1244" s="235"/>
      <c r="Y1244" s="235"/>
      <c r="Z1244" s="235"/>
      <c r="AA1244" s="235"/>
      <c r="AB1244" s="235"/>
      <c r="AC1244" s="235"/>
      <c r="AD1244" s="235"/>
      <c r="AE1244" s="235"/>
      <c r="AF1244" s="235"/>
      <c r="AG1244" s="235"/>
      <c r="AH1244" s="235"/>
      <c r="AI1244" s="235"/>
      <c r="AJ1244" s="235"/>
      <c r="AK1244" s="235"/>
      <c r="AL1244" s="235"/>
      <c r="AM1244" s="235"/>
      <c r="AN1244" s="235"/>
      <c r="AO1244" s="235"/>
      <c r="AP1244" s="235"/>
      <c r="AQ1244" s="235"/>
      <c r="AR1244" s="235"/>
      <c r="AS1244" s="235"/>
      <c r="AT1244" s="235"/>
      <c r="AU1244" s="235"/>
      <c r="AV1244" s="235"/>
      <c r="AW1244" s="235"/>
      <c r="AX1244" s="235"/>
      <c r="AY1244" s="235"/>
      <c r="AZ1244" s="235"/>
      <c r="BA1244" s="235"/>
      <c r="BB1244" s="235"/>
      <c r="BC1244" s="235"/>
      <c r="BD1244" s="235"/>
      <c r="BE1244" s="235"/>
      <c r="BF1244" s="235"/>
      <c r="BG1244" s="235"/>
      <c r="BH1244" s="235"/>
      <c r="BI1244" s="235"/>
      <c r="BJ1244" s="235"/>
      <c r="BK1244" s="235"/>
      <c r="BL1244" s="235"/>
      <c r="BM1244" s="235"/>
      <c r="BN1244" s="235"/>
      <c r="BO1244" s="235"/>
    </row>
    <row r="1245" ht="29.25" hidden="1" customHeight="1">
      <c r="A1245" s="230"/>
      <c r="B1245" s="231"/>
      <c r="C1245" s="179"/>
      <c r="D1245" s="179"/>
      <c r="E1245" s="180"/>
      <c r="F1245" s="162"/>
      <c r="G1245" s="232"/>
      <c r="H1245" s="234"/>
      <c r="I1245" s="181"/>
      <c r="J1245" s="182"/>
      <c r="K1245" s="182"/>
      <c r="L1245" s="182"/>
      <c r="M1245" s="234"/>
      <c r="N1245" s="28"/>
      <c r="O1245" s="181"/>
      <c r="P1245" s="183"/>
      <c r="Q1245" s="104"/>
      <c r="R1245" s="233"/>
      <c r="S1245" s="164"/>
      <c r="T1245" s="164"/>
      <c r="U1245" s="162"/>
      <c r="V1245" s="235"/>
      <c r="W1245" s="235"/>
      <c r="X1245" s="235"/>
      <c r="Y1245" s="235"/>
      <c r="Z1245" s="235"/>
      <c r="AA1245" s="235"/>
      <c r="AB1245" s="235"/>
      <c r="AC1245" s="235"/>
      <c r="AD1245" s="235"/>
      <c r="AE1245" s="235"/>
      <c r="AF1245" s="235"/>
      <c r="AG1245" s="235"/>
      <c r="AH1245" s="235"/>
      <c r="AI1245" s="235"/>
      <c r="AJ1245" s="235"/>
      <c r="AK1245" s="235"/>
      <c r="AL1245" s="235"/>
      <c r="AM1245" s="235"/>
      <c r="AN1245" s="235"/>
      <c r="AO1245" s="235"/>
      <c r="AP1245" s="235"/>
      <c r="AQ1245" s="235"/>
      <c r="AR1245" s="235"/>
      <c r="AS1245" s="235"/>
      <c r="AT1245" s="235"/>
      <c r="AU1245" s="235"/>
      <c r="AV1245" s="235"/>
      <c r="AW1245" s="235"/>
      <c r="AX1245" s="235"/>
      <c r="AY1245" s="235"/>
      <c r="AZ1245" s="235"/>
      <c r="BA1245" s="235"/>
      <c r="BB1245" s="235"/>
      <c r="BC1245" s="235"/>
      <c r="BD1245" s="235"/>
      <c r="BE1245" s="235"/>
      <c r="BF1245" s="235"/>
      <c r="BG1245" s="235"/>
      <c r="BH1245" s="235"/>
      <c r="BI1245" s="235"/>
      <c r="BJ1245" s="235"/>
      <c r="BK1245" s="235"/>
      <c r="BL1245" s="235"/>
      <c r="BM1245" s="235"/>
      <c r="BN1245" s="235"/>
      <c r="BO1245" s="235"/>
    </row>
    <row r="1246" ht="29.25" hidden="1" customHeight="1">
      <c r="A1246" s="230"/>
      <c r="B1246" s="231"/>
      <c r="C1246" s="179"/>
      <c r="D1246" s="179"/>
      <c r="E1246" s="180"/>
      <c r="F1246" s="162"/>
      <c r="G1246" s="232"/>
      <c r="H1246" s="234"/>
      <c r="I1246" s="181"/>
      <c r="J1246" s="182"/>
      <c r="K1246" s="182"/>
      <c r="L1246" s="182"/>
      <c r="M1246" s="234"/>
      <c r="N1246" s="28"/>
      <c r="O1246" s="181"/>
      <c r="P1246" s="183"/>
      <c r="Q1246" s="104"/>
      <c r="R1246" s="233"/>
      <c r="S1246" s="164"/>
      <c r="T1246" s="164"/>
      <c r="U1246" s="162"/>
      <c r="V1246" s="235"/>
      <c r="W1246" s="235"/>
      <c r="X1246" s="235"/>
      <c r="Y1246" s="235"/>
      <c r="Z1246" s="235"/>
      <c r="AA1246" s="235"/>
      <c r="AB1246" s="235"/>
      <c r="AC1246" s="235"/>
      <c r="AD1246" s="235"/>
      <c r="AE1246" s="235"/>
      <c r="AF1246" s="235"/>
      <c r="AG1246" s="235"/>
      <c r="AH1246" s="235"/>
      <c r="AI1246" s="235"/>
      <c r="AJ1246" s="235"/>
      <c r="AK1246" s="235"/>
      <c r="AL1246" s="235"/>
      <c r="AM1246" s="235"/>
      <c r="AN1246" s="235"/>
      <c r="AO1246" s="235"/>
      <c r="AP1246" s="235"/>
      <c r="AQ1246" s="235"/>
      <c r="AR1246" s="235"/>
      <c r="AS1246" s="235"/>
      <c r="AT1246" s="235"/>
      <c r="AU1246" s="235"/>
      <c r="AV1246" s="235"/>
      <c r="AW1246" s="235"/>
      <c r="AX1246" s="235"/>
      <c r="AY1246" s="235"/>
      <c r="AZ1246" s="235"/>
      <c r="BA1246" s="235"/>
      <c r="BB1246" s="235"/>
      <c r="BC1246" s="235"/>
      <c r="BD1246" s="235"/>
      <c r="BE1246" s="235"/>
      <c r="BF1246" s="235"/>
      <c r="BG1246" s="235"/>
      <c r="BH1246" s="235"/>
      <c r="BI1246" s="235"/>
      <c r="BJ1246" s="235"/>
      <c r="BK1246" s="235"/>
      <c r="BL1246" s="235"/>
      <c r="BM1246" s="235"/>
      <c r="BN1246" s="235"/>
      <c r="BO1246" s="235"/>
    </row>
    <row r="1247" ht="29.25" hidden="1" customHeight="1">
      <c r="A1247" s="230"/>
      <c r="B1247" s="231"/>
      <c r="C1247" s="179"/>
      <c r="D1247" s="179"/>
      <c r="E1247" s="180"/>
      <c r="F1247" s="162"/>
      <c r="G1247" s="232"/>
      <c r="H1247" s="234"/>
      <c r="I1247" s="181"/>
      <c r="J1247" s="182"/>
      <c r="K1247" s="182"/>
      <c r="L1247" s="182"/>
      <c r="M1247" s="234"/>
      <c r="N1247" s="28"/>
      <c r="O1247" s="181"/>
      <c r="P1247" s="183"/>
      <c r="Q1247" s="104"/>
      <c r="R1247" s="233"/>
      <c r="S1247" s="164"/>
      <c r="T1247" s="164"/>
      <c r="U1247" s="162"/>
      <c r="V1247" s="235"/>
      <c r="W1247" s="235"/>
      <c r="X1247" s="235"/>
      <c r="Y1247" s="235"/>
      <c r="Z1247" s="235"/>
      <c r="AA1247" s="235"/>
      <c r="AB1247" s="235"/>
      <c r="AC1247" s="235"/>
      <c r="AD1247" s="235"/>
      <c r="AE1247" s="235"/>
      <c r="AF1247" s="235"/>
      <c r="AG1247" s="235"/>
      <c r="AH1247" s="235"/>
      <c r="AI1247" s="235"/>
      <c r="AJ1247" s="235"/>
      <c r="AK1247" s="235"/>
      <c r="AL1247" s="235"/>
      <c r="AM1247" s="235"/>
      <c r="AN1247" s="235"/>
      <c r="AO1247" s="235"/>
      <c r="AP1247" s="235"/>
      <c r="AQ1247" s="235"/>
      <c r="AR1247" s="235"/>
      <c r="AS1247" s="235"/>
      <c r="AT1247" s="235"/>
      <c r="AU1247" s="235"/>
      <c r="AV1247" s="235"/>
      <c r="AW1247" s="235"/>
      <c r="AX1247" s="235"/>
      <c r="AY1247" s="235"/>
      <c r="AZ1247" s="235"/>
      <c r="BA1247" s="235"/>
      <c r="BB1247" s="235"/>
      <c r="BC1247" s="235"/>
      <c r="BD1247" s="235"/>
      <c r="BE1247" s="235"/>
      <c r="BF1247" s="235"/>
      <c r="BG1247" s="235"/>
      <c r="BH1247" s="235"/>
      <c r="BI1247" s="235"/>
      <c r="BJ1247" s="235"/>
      <c r="BK1247" s="235"/>
      <c r="BL1247" s="235"/>
      <c r="BM1247" s="235"/>
      <c r="BN1247" s="235"/>
      <c r="BO1247" s="235"/>
    </row>
    <row r="1248" ht="29.25" hidden="1" customHeight="1">
      <c r="A1248" s="230"/>
      <c r="B1248" s="231"/>
      <c r="C1248" s="179"/>
      <c r="D1248" s="179"/>
      <c r="E1248" s="180"/>
      <c r="F1248" s="162"/>
      <c r="G1248" s="232"/>
      <c r="H1248" s="234"/>
      <c r="I1248" s="181"/>
      <c r="J1248" s="182"/>
      <c r="K1248" s="182"/>
      <c r="L1248" s="182"/>
      <c r="M1248" s="234"/>
      <c r="N1248" s="28"/>
      <c r="O1248" s="181"/>
      <c r="P1248" s="183"/>
      <c r="Q1248" s="104"/>
      <c r="R1248" s="233"/>
      <c r="S1248" s="164"/>
      <c r="T1248" s="164"/>
      <c r="U1248" s="162"/>
      <c r="V1248" s="235"/>
      <c r="W1248" s="235"/>
      <c r="X1248" s="235"/>
      <c r="Y1248" s="235"/>
      <c r="Z1248" s="235"/>
      <c r="AA1248" s="235"/>
      <c r="AB1248" s="235"/>
      <c r="AC1248" s="235"/>
      <c r="AD1248" s="235"/>
      <c r="AE1248" s="235"/>
      <c r="AF1248" s="235"/>
      <c r="AG1248" s="235"/>
      <c r="AH1248" s="235"/>
      <c r="AI1248" s="235"/>
      <c r="AJ1248" s="235"/>
      <c r="AK1248" s="235"/>
      <c r="AL1248" s="235"/>
      <c r="AM1248" s="235"/>
      <c r="AN1248" s="235"/>
      <c r="AO1248" s="235"/>
      <c r="AP1248" s="235"/>
      <c r="AQ1248" s="235"/>
      <c r="AR1248" s="235"/>
      <c r="AS1248" s="235"/>
      <c r="AT1248" s="235"/>
      <c r="AU1248" s="235"/>
      <c r="AV1248" s="235"/>
      <c r="AW1248" s="235"/>
      <c r="AX1248" s="235"/>
      <c r="AY1248" s="235"/>
      <c r="AZ1248" s="235"/>
      <c r="BA1248" s="235"/>
      <c r="BB1248" s="235"/>
      <c r="BC1248" s="235"/>
      <c r="BD1248" s="235"/>
      <c r="BE1248" s="235"/>
      <c r="BF1248" s="235"/>
      <c r="BG1248" s="235"/>
      <c r="BH1248" s="235"/>
      <c r="BI1248" s="235"/>
      <c r="BJ1248" s="235"/>
      <c r="BK1248" s="235"/>
      <c r="BL1248" s="235"/>
      <c r="BM1248" s="235"/>
      <c r="BN1248" s="235"/>
      <c r="BO1248" s="235"/>
    </row>
    <row r="1249" ht="29.25" hidden="1" customHeight="1">
      <c r="A1249" s="230"/>
      <c r="B1249" s="231"/>
      <c r="C1249" s="179"/>
      <c r="D1249" s="179"/>
      <c r="E1249" s="180"/>
      <c r="F1249" s="162"/>
      <c r="G1249" s="232"/>
      <c r="H1249" s="234"/>
      <c r="I1249" s="181"/>
      <c r="J1249" s="182"/>
      <c r="K1249" s="182"/>
      <c r="L1249" s="182"/>
      <c r="M1249" s="234"/>
      <c r="N1249" s="28"/>
      <c r="O1249" s="181"/>
      <c r="P1249" s="183"/>
      <c r="Q1249" s="104"/>
      <c r="R1249" s="233"/>
      <c r="S1249" s="164"/>
      <c r="T1249" s="164"/>
      <c r="U1249" s="162"/>
      <c r="V1249" s="235"/>
      <c r="W1249" s="235"/>
      <c r="X1249" s="235"/>
      <c r="Y1249" s="235"/>
      <c r="Z1249" s="235"/>
      <c r="AA1249" s="235"/>
      <c r="AB1249" s="235"/>
      <c r="AC1249" s="235"/>
      <c r="AD1249" s="235"/>
      <c r="AE1249" s="235"/>
      <c r="AF1249" s="235"/>
      <c r="AG1249" s="235"/>
      <c r="AH1249" s="235"/>
      <c r="AI1249" s="235"/>
      <c r="AJ1249" s="235"/>
      <c r="AK1249" s="235"/>
      <c r="AL1249" s="235"/>
      <c r="AM1249" s="235"/>
      <c r="AN1249" s="235"/>
      <c r="AO1249" s="235"/>
      <c r="AP1249" s="235"/>
      <c r="AQ1249" s="235"/>
      <c r="AR1249" s="235"/>
      <c r="AS1249" s="235"/>
      <c r="AT1249" s="235"/>
      <c r="AU1249" s="235"/>
      <c r="AV1249" s="235"/>
      <c r="AW1249" s="235"/>
      <c r="AX1249" s="235"/>
      <c r="AY1249" s="235"/>
      <c r="AZ1249" s="235"/>
      <c r="BA1249" s="235"/>
      <c r="BB1249" s="235"/>
      <c r="BC1249" s="235"/>
      <c r="BD1249" s="235"/>
      <c r="BE1249" s="235"/>
      <c r="BF1249" s="235"/>
      <c r="BG1249" s="235"/>
      <c r="BH1249" s="235"/>
      <c r="BI1249" s="235"/>
      <c r="BJ1249" s="235"/>
      <c r="BK1249" s="235"/>
      <c r="BL1249" s="235"/>
      <c r="BM1249" s="235"/>
      <c r="BN1249" s="235"/>
      <c r="BO1249" s="235"/>
    </row>
    <row r="1250" ht="29.25" hidden="1" customHeight="1">
      <c r="A1250" s="230"/>
      <c r="B1250" s="231"/>
      <c r="C1250" s="179"/>
      <c r="D1250" s="179"/>
      <c r="E1250" s="180"/>
      <c r="F1250" s="162"/>
      <c r="G1250" s="232"/>
      <c r="H1250" s="234"/>
      <c r="I1250" s="181"/>
      <c r="J1250" s="182"/>
      <c r="K1250" s="182"/>
      <c r="L1250" s="182"/>
      <c r="M1250" s="234"/>
      <c r="N1250" s="28"/>
      <c r="O1250" s="181"/>
      <c r="P1250" s="183"/>
      <c r="Q1250" s="104"/>
      <c r="R1250" s="233"/>
      <c r="S1250" s="164"/>
      <c r="T1250" s="164"/>
      <c r="U1250" s="162"/>
      <c r="V1250" s="235"/>
      <c r="W1250" s="235"/>
      <c r="X1250" s="235"/>
      <c r="Y1250" s="235"/>
      <c r="Z1250" s="235"/>
      <c r="AA1250" s="235"/>
      <c r="AB1250" s="235"/>
      <c r="AC1250" s="235"/>
      <c r="AD1250" s="235"/>
      <c r="AE1250" s="235"/>
      <c r="AF1250" s="235"/>
      <c r="AG1250" s="235"/>
      <c r="AH1250" s="235"/>
      <c r="AI1250" s="235"/>
      <c r="AJ1250" s="235"/>
      <c r="AK1250" s="235"/>
      <c r="AL1250" s="235"/>
      <c r="AM1250" s="235"/>
      <c r="AN1250" s="235"/>
      <c r="AO1250" s="235"/>
      <c r="AP1250" s="235"/>
      <c r="AQ1250" s="235"/>
      <c r="AR1250" s="235"/>
      <c r="AS1250" s="235"/>
      <c r="AT1250" s="235"/>
      <c r="AU1250" s="235"/>
      <c r="AV1250" s="235"/>
      <c r="AW1250" s="235"/>
      <c r="AX1250" s="235"/>
      <c r="AY1250" s="235"/>
      <c r="AZ1250" s="235"/>
      <c r="BA1250" s="235"/>
      <c r="BB1250" s="235"/>
      <c r="BC1250" s="235"/>
      <c r="BD1250" s="235"/>
      <c r="BE1250" s="235"/>
      <c r="BF1250" s="235"/>
      <c r="BG1250" s="235"/>
      <c r="BH1250" s="235"/>
      <c r="BI1250" s="235"/>
      <c r="BJ1250" s="235"/>
      <c r="BK1250" s="235"/>
      <c r="BL1250" s="235"/>
      <c r="BM1250" s="235"/>
      <c r="BN1250" s="235"/>
      <c r="BO1250" s="235"/>
    </row>
    <row r="1251" ht="29.25" hidden="1" customHeight="1">
      <c r="A1251" s="230"/>
      <c r="B1251" s="231"/>
      <c r="C1251" s="179"/>
      <c r="D1251" s="179"/>
      <c r="E1251" s="180"/>
      <c r="F1251" s="162"/>
      <c r="G1251" s="232"/>
      <c r="H1251" s="234"/>
      <c r="I1251" s="181"/>
      <c r="J1251" s="182"/>
      <c r="K1251" s="182"/>
      <c r="L1251" s="182"/>
      <c r="M1251" s="234"/>
      <c r="N1251" s="28"/>
      <c r="O1251" s="181"/>
      <c r="P1251" s="183"/>
      <c r="Q1251" s="104"/>
      <c r="R1251" s="233"/>
      <c r="S1251" s="164"/>
      <c r="T1251" s="164"/>
      <c r="U1251" s="162"/>
      <c r="V1251" s="235"/>
      <c r="W1251" s="235"/>
      <c r="X1251" s="235"/>
      <c r="Y1251" s="235"/>
      <c r="Z1251" s="235"/>
      <c r="AA1251" s="235"/>
      <c r="AB1251" s="235"/>
      <c r="AC1251" s="235"/>
      <c r="AD1251" s="235"/>
      <c r="AE1251" s="235"/>
      <c r="AF1251" s="235"/>
      <c r="AG1251" s="235"/>
      <c r="AH1251" s="235"/>
      <c r="AI1251" s="235"/>
      <c r="AJ1251" s="235"/>
      <c r="AK1251" s="235"/>
      <c r="AL1251" s="235"/>
      <c r="AM1251" s="235"/>
      <c r="AN1251" s="235"/>
      <c r="AO1251" s="235"/>
      <c r="AP1251" s="235"/>
      <c r="AQ1251" s="235"/>
      <c r="AR1251" s="235"/>
      <c r="AS1251" s="235"/>
      <c r="AT1251" s="235"/>
      <c r="AU1251" s="235"/>
      <c r="AV1251" s="235"/>
      <c r="AW1251" s="235"/>
      <c r="AX1251" s="235"/>
      <c r="AY1251" s="235"/>
      <c r="AZ1251" s="235"/>
      <c r="BA1251" s="235"/>
      <c r="BB1251" s="235"/>
      <c r="BC1251" s="235"/>
      <c r="BD1251" s="235"/>
      <c r="BE1251" s="235"/>
      <c r="BF1251" s="235"/>
      <c r="BG1251" s="235"/>
      <c r="BH1251" s="235"/>
      <c r="BI1251" s="235"/>
      <c r="BJ1251" s="235"/>
      <c r="BK1251" s="235"/>
      <c r="BL1251" s="235"/>
      <c r="BM1251" s="235"/>
      <c r="BN1251" s="235"/>
      <c r="BO1251" s="235"/>
    </row>
    <row r="1252" ht="29.25" hidden="1" customHeight="1">
      <c r="A1252" s="230"/>
      <c r="B1252" s="231"/>
      <c r="C1252" s="179"/>
      <c r="D1252" s="179"/>
      <c r="E1252" s="180"/>
      <c r="F1252" s="162"/>
      <c r="G1252" s="232"/>
      <c r="H1252" s="234"/>
      <c r="I1252" s="181"/>
      <c r="J1252" s="182"/>
      <c r="K1252" s="182"/>
      <c r="L1252" s="182"/>
      <c r="M1252" s="234"/>
      <c r="N1252" s="28"/>
      <c r="O1252" s="181"/>
      <c r="P1252" s="183"/>
      <c r="Q1252" s="104"/>
      <c r="R1252" s="233"/>
      <c r="S1252" s="164"/>
      <c r="T1252" s="164"/>
      <c r="U1252" s="162"/>
      <c r="V1252" s="235"/>
      <c r="W1252" s="235"/>
      <c r="X1252" s="235"/>
      <c r="Y1252" s="235"/>
      <c r="Z1252" s="235"/>
      <c r="AA1252" s="235"/>
      <c r="AB1252" s="235"/>
      <c r="AC1252" s="235"/>
      <c r="AD1252" s="235"/>
      <c r="AE1252" s="235"/>
      <c r="AF1252" s="235"/>
      <c r="AG1252" s="235"/>
      <c r="AH1252" s="235"/>
      <c r="AI1252" s="235"/>
      <c r="AJ1252" s="235"/>
      <c r="AK1252" s="235"/>
      <c r="AL1252" s="235"/>
      <c r="AM1252" s="235"/>
      <c r="AN1252" s="235"/>
      <c r="AO1252" s="235"/>
      <c r="AP1252" s="235"/>
      <c r="AQ1252" s="235"/>
      <c r="AR1252" s="235"/>
      <c r="AS1252" s="235"/>
      <c r="AT1252" s="235"/>
      <c r="AU1252" s="235"/>
      <c r="AV1252" s="235"/>
      <c r="AW1252" s="235"/>
      <c r="AX1252" s="235"/>
      <c r="AY1252" s="235"/>
      <c r="AZ1252" s="235"/>
      <c r="BA1252" s="235"/>
      <c r="BB1252" s="235"/>
      <c r="BC1252" s="235"/>
      <c r="BD1252" s="235"/>
      <c r="BE1252" s="235"/>
      <c r="BF1252" s="235"/>
      <c r="BG1252" s="235"/>
      <c r="BH1252" s="235"/>
      <c r="BI1252" s="235"/>
      <c r="BJ1252" s="235"/>
      <c r="BK1252" s="235"/>
      <c r="BL1252" s="235"/>
      <c r="BM1252" s="235"/>
      <c r="BN1252" s="235"/>
      <c r="BO1252" s="235"/>
    </row>
    <row r="1253" ht="29.25" hidden="1" customHeight="1">
      <c r="A1253" s="230"/>
      <c r="B1253" s="231"/>
      <c r="C1253" s="179"/>
      <c r="D1253" s="179"/>
      <c r="E1253" s="180"/>
      <c r="F1253" s="162"/>
      <c r="G1253" s="232"/>
      <c r="H1253" s="234"/>
      <c r="I1253" s="181"/>
      <c r="J1253" s="182"/>
      <c r="K1253" s="182"/>
      <c r="L1253" s="182"/>
      <c r="M1253" s="234"/>
      <c r="N1253" s="28"/>
      <c r="O1253" s="181"/>
      <c r="P1253" s="183"/>
      <c r="Q1253" s="104"/>
      <c r="R1253" s="233"/>
      <c r="S1253" s="164"/>
      <c r="T1253" s="164"/>
      <c r="U1253" s="162"/>
      <c r="V1253" s="235"/>
      <c r="W1253" s="235"/>
      <c r="X1253" s="235"/>
      <c r="Y1253" s="235"/>
      <c r="Z1253" s="235"/>
      <c r="AA1253" s="235"/>
      <c r="AB1253" s="235"/>
      <c r="AC1253" s="235"/>
      <c r="AD1253" s="235"/>
      <c r="AE1253" s="235"/>
      <c r="AF1253" s="235"/>
      <c r="AG1253" s="235"/>
      <c r="AH1253" s="235"/>
      <c r="AI1253" s="235"/>
      <c r="AJ1253" s="235"/>
      <c r="AK1253" s="235"/>
      <c r="AL1253" s="235"/>
      <c r="AM1253" s="235"/>
      <c r="AN1253" s="235"/>
      <c r="AO1253" s="235"/>
      <c r="AP1253" s="235"/>
      <c r="AQ1253" s="235"/>
      <c r="AR1253" s="235"/>
      <c r="AS1253" s="235"/>
      <c r="AT1253" s="235"/>
      <c r="AU1253" s="235"/>
      <c r="AV1253" s="235"/>
      <c r="AW1253" s="235"/>
      <c r="AX1253" s="235"/>
      <c r="AY1253" s="235"/>
      <c r="AZ1253" s="235"/>
      <c r="BA1253" s="235"/>
      <c r="BB1253" s="235"/>
      <c r="BC1253" s="235"/>
      <c r="BD1253" s="235"/>
      <c r="BE1253" s="235"/>
      <c r="BF1253" s="235"/>
      <c r="BG1253" s="235"/>
      <c r="BH1253" s="235"/>
      <c r="BI1253" s="235"/>
      <c r="BJ1253" s="235"/>
      <c r="BK1253" s="235"/>
      <c r="BL1253" s="235"/>
      <c r="BM1253" s="235"/>
      <c r="BN1253" s="235"/>
      <c r="BO1253" s="235"/>
    </row>
    <row r="1254" ht="29.25" hidden="1" customHeight="1">
      <c r="A1254" s="230"/>
      <c r="B1254" s="231"/>
      <c r="C1254" s="179"/>
      <c r="D1254" s="179"/>
      <c r="E1254" s="180"/>
      <c r="F1254" s="162"/>
      <c r="G1254" s="232"/>
      <c r="H1254" s="234"/>
      <c r="I1254" s="181"/>
      <c r="J1254" s="182"/>
      <c r="K1254" s="182"/>
      <c r="L1254" s="182"/>
      <c r="M1254" s="234"/>
      <c r="N1254" s="28"/>
      <c r="O1254" s="181"/>
      <c r="P1254" s="183"/>
      <c r="Q1254" s="104"/>
      <c r="R1254" s="233"/>
      <c r="S1254" s="164"/>
      <c r="T1254" s="164"/>
      <c r="U1254" s="162"/>
      <c r="V1254" s="235"/>
      <c r="W1254" s="235"/>
      <c r="X1254" s="235"/>
      <c r="Y1254" s="235"/>
      <c r="Z1254" s="235"/>
      <c r="AA1254" s="235"/>
      <c r="AB1254" s="235"/>
      <c r="AC1254" s="235"/>
      <c r="AD1254" s="235"/>
      <c r="AE1254" s="235"/>
      <c r="AF1254" s="235"/>
      <c r="AG1254" s="235"/>
      <c r="AH1254" s="235"/>
      <c r="AI1254" s="235"/>
      <c r="AJ1254" s="235"/>
      <c r="AK1254" s="235"/>
      <c r="AL1254" s="235"/>
      <c r="AM1254" s="235"/>
      <c r="AN1254" s="235"/>
      <c r="AO1254" s="235"/>
      <c r="AP1254" s="235"/>
      <c r="AQ1254" s="235"/>
      <c r="AR1254" s="235"/>
      <c r="AS1254" s="235"/>
      <c r="AT1254" s="235"/>
      <c r="AU1254" s="235"/>
      <c r="AV1254" s="235"/>
      <c r="AW1254" s="235"/>
      <c r="AX1254" s="235"/>
      <c r="AY1254" s="235"/>
      <c r="AZ1254" s="235"/>
      <c r="BA1254" s="235"/>
      <c r="BB1254" s="235"/>
      <c r="BC1254" s="235"/>
      <c r="BD1254" s="235"/>
      <c r="BE1254" s="235"/>
      <c r="BF1254" s="235"/>
      <c r="BG1254" s="235"/>
      <c r="BH1254" s="235"/>
      <c r="BI1254" s="235"/>
      <c r="BJ1254" s="235"/>
      <c r="BK1254" s="235"/>
      <c r="BL1254" s="235"/>
      <c r="BM1254" s="235"/>
      <c r="BN1254" s="235"/>
      <c r="BO1254" s="235"/>
    </row>
    <row r="1255" ht="29.25" hidden="1" customHeight="1">
      <c r="A1255" s="230"/>
      <c r="B1255" s="231"/>
      <c r="C1255" s="179"/>
      <c r="D1255" s="179"/>
      <c r="E1255" s="180"/>
      <c r="F1255" s="162"/>
      <c r="G1255" s="232"/>
      <c r="H1255" s="234"/>
      <c r="I1255" s="181"/>
      <c r="J1255" s="182"/>
      <c r="K1255" s="182"/>
      <c r="L1255" s="182"/>
      <c r="M1255" s="234"/>
      <c r="N1255" s="28"/>
      <c r="O1255" s="181"/>
      <c r="P1255" s="183"/>
      <c r="Q1255" s="104"/>
      <c r="R1255" s="233"/>
      <c r="S1255" s="164"/>
      <c r="T1255" s="164"/>
      <c r="U1255" s="162"/>
      <c r="V1255" s="235"/>
      <c r="W1255" s="235"/>
      <c r="X1255" s="235"/>
      <c r="Y1255" s="235"/>
      <c r="Z1255" s="235"/>
      <c r="AA1255" s="235"/>
      <c r="AB1255" s="235"/>
      <c r="AC1255" s="235"/>
      <c r="AD1255" s="235"/>
      <c r="AE1255" s="235"/>
      <c r="AF1255" s="235"/>
      <c r="AG1255" s="235"/>
      <c r="AH1255" s="235"/>
      <c r="AI1255" s="235"/>
      <c r="AJ1255" s="235"/>
      <c r="AK1255" s="235"/>
      <c r="AL1255" s="235"/>
      <c r="AM1255" s="235"/>
      <c r="AN1255" s="235"/>
      <c r="AO1255" s="235"/>
      <c r="AP1255" s="235"/>
      <c r="AQ1255" s="235"/>
      <c r="AR1255" s="235"/>
      <c r="AS1255" s="235"/>
      <c r="AT1255" s="235"/>
      <c r="AU1255" s="235"/>
      <c r="AV1255" s="235"/>
      <c r="AW1255" s="235"/>
      <c r="AX1255" s="235"/>
      <c r="AY1255" s="235"/>
      <c r="AZ1255" s="235"/>
      <c r="BA1255" s="235"/>
      <c r="BB1255" s="235"/>
      <c r="BC1255" s="235"/>
      <c r="BD1255" s="235"/>
      <c r="BE1255" s="235"/>
      <c r="BF1255" s="235"/>
      <c r="BG1255" s="235"/>
      <c r="BH1255" s="235"/>
      <c r="BI1255" s="235"/>
      <c r="BJ1255" s="235"/>
      <c r="BK1255" s="235"/>
      <c r="BL1255" s="235"/>
      <c r="BM1255" s="235"/>
      <c r="BN1255" s="235"/>
      <c r="BO1255" s="235"/>
    </row>
    <row r="1256" ht="29.25" hidden="1" customHeight="1">
      <c r="A1256" s="230"/>
      <c r="B1256" s="231"/>
      <c r="C1256" s="179"/>
      <c r="D1256" s="179"/>
      <c r="E1256" s="180"/>
      <c r="F1256" s="162"/>
      <c r="G1256" s="232"/>
      <c r="H1256" s="234"/>
      <c r="I1256" s="181"/>
      <c r="J1256" s="182"/>
      <c r="K1256" s="182"/>
      <c r="L1256" s="182"/>
      <c r="M1256" s="234"/>
      <c r="N1256" s="28"/>
      <c r="O1256" s="181"/>
      <c r="P1256" s="183"/>
      <c r="Q1256" s="104"/>
      <c r="R1256" s="233"/>
      <c r="S1256" s="164"/>
      <c r="T1256" s="164"/>
      <c r="U1256" s="162"/>
      <c r="V1256" s="235"/>
      <c r="W1256" s="235"/>
      <c r="X1256" s="235"/>
      <c r="Y1256" s="235"/>
      <c r="Z1256" s="235"/>
      <c r="AA1256" s="235"/>
      <c r="AB1256" s="235"/>
      <c r="AC1256" s="235"/>
      <c r="AD1256" s="235"/>
      <c r="AE1256" s="235"/>
      <c r="AF1256" s="235"/>
      <c r="AG1256" s="235"/>
      <c r="AH1256" s="235"/>
      <c r="AI1256" s="235"/>
      <c r="AJ1256" s="235"/>
      <c r="AK1256" s="235"/>
      <c r="AL1256" s="235"/>
      <c r="AM1256" s="235"/>
      <c r="AN1256" s="235"/>
      <c r="AO1256" s="235"/>
      <c r="AP1256" s="235"/>
      <c r="AQ1256" s="235"/>
      <c r="AR1256" s="235"/>
      <c r="AS1256" s="235"/>
      <c r="AT1256" s="235"/>
      <c r="AU1256" s="235"/>
      <c r="AV1256" s="235"/>
      <c r="AW1256" s="235"/>
      <c r="AX1256" s="235"/>
      <c r="AY1256" s="235"/>
      <c r="AZ1256" s="235"/>
      <c r="BA1256" s="235"/>
      <c r="BB1256" s="235"/>
      <c r="BC1256" s="235"/>
      <c r="BD1256" s="235"/>
      <c r="BE1256" s="235"/>
      <c r="BF1256" s="235"/>
      <c r="BG1256" s="235"/>
      <c r="BH1256" s="235"/>
      <c r="BI1256" s="235"/>
      <c r="BJ1256" s="235"/>
      <c r="BK1256" s="235"/>
      <c r="BL1256" s="235"/>
      <c r="BM1256" s="235"/>
      <c r="BN1256" s="235"/>
      <c r="BO1256" s="235"/>
    </row>
    <row r="1257" ht="29.25" hidden="1" customHeight="1">
      <c r="A1257" s="230"/>
      <c r="B1257" s="231"/>
      <c r="C1257" s="179"/>
      <c r="D1257" s="179"/>
      <c r="E1257" s="180"/>
      <c r="F1257" s="162"/>
      <c r="G1257" s="232"/>
      <c r="H1257" s="234"/>
      <c r="I1257" s="181"/>
      <c r="J1257" s="182"/>
      <c r="K1257" s="182"/>
      <c r="L1257" s="182"/>
      <c r="M1257" s="234"/>
      <c r="N1257" s="28"/>
      <c r="O1257" s="181"/>
      <c r="P1257" s="183"/>
      <c r="Q1257" s="104"/>
      <c r="R1257" s="233"/>
      <c r="S1257" s="164"/>
      <c r="T1257" s="164"/>
      <c r="U1257" s="162"/>
      <c r="V1257" s="235"/>
      <c r="W1257" s="235"/>
      <c r="X1257" s="235"/>
      <c r="Y1257" s="235"/>
      <c r="Z1257" s="235"/>
      <c r="AA1257" s="235"/>
      <c r="AB1257" s="235"/>
      <c r="AC1257" s="235"/>
      <c r="AD1257" s="235"/>
      <c r="AE1257" s="235"/>
      <c r="AF1257" s="235"/>
      <c r="AG1257" s="235"/>
      <c r="AH1257" s="235"/>
      <c r="AI1257" s="235"/>
      <c r="AJ1257" s="235"/>
      <c r="AK1257" s="235"/>
      <c r="AL1257" s="235"/>
      <c r="AM1257" s="235"/>
      <c r="AN1257" s="235"/>
      <c r="AO1257" s="235"/>
      <c r="AP1257" s="235"/>
      <c r="AQ1257" s="235"/>
      <c r="AR1257" s="235"/>
      <c r="AS1257" s="235"/>
      <c r="AT1257" s="235"/>
      <c r="AU1257" s="235"/>
      <c r="AV1257" s="235"/>
      <c r="AW1257" s="235"/>
      <c r="AX1257" s="235"/>
      <c r="AY1257" s="235"/>
      <c r="AZ1257" s="235"/>
      <c r="BA1257" s="235"/>
      <c r="BB1257" s="235"/>
      <c r="BC1257" s="235"/>
      <c r="BD1257" s="235"/>
      <c r="BE1257" s="235"/>
      <c r="BF1257" s="235"/>
      <c r="BG1257" s="235"/>
      <c r="BH1257" s="235"/>
      <c r="BI1257" s="235"/>
      <c r="BJ1257" s="235"/>
      <c r="BK1257" s="235"/>
      <c r="BL1257" s="235"/>
      <c r="BM1257" s="235"/>
      <c r="BN1257" s="235"/>
      <c r="BO1257" s="235"/>
    </row>
    <row r="1258" ht="29.25" hidden="1" customHeight="1">
      <c r="A1258" s="230"/>
      <c r="B1258" s="231"/>
      <c r="C1258" s="179"/>
      <c r="D1258" s="179"/>
      <c r="E1258" s="180"/>
      <c r="F1258" s="162"/>
      <c r="G1258" s="232"/>
      <c r="H1258" s="234"/>
      <c r="I1258" s="181"/>
      <c r="J1258" s="182"/>
      <c r="K1258" s="182"/>
      <c r="L1258" s="182"/>
      <c r="M1258" s="234"/>
      <c r="N1258" s="28"/>
      <c r="O1258" s="181"/>
      <c r="P1258" s="183"/>
      <c r="Q1258" s="104"/>
      <c r="R1258" s="233"/>
      <c r="S1258" s="164"/>
      <c r="T1258" s="164"/>
      <c r="U1258" s="162"/>
      <c r="V1258" s="235"/>
      <c r="W1258" s="235"/>
      <c r="X1258" s="235"/>
      <c r="Y1258" s="235"/>
      <c r="Z1258" s="235"/>
      <c r="AA1258" s="235"/>
      <c r="AB1258" s="235"/>
      <c r="AC1258" s="235"/>
      <c r="AD1258" s="235"/>
      <c r="AE1258" s="235"/>
      <c r="AF1258" s="235"/>
      <c r="AG1258" s="235"/>
      <c r="AH1258" s="235"/>
      <c r="AI1258" s="235"/>
      <c r="AJ1258" s="235"/>
      <c r="AK1258" s="235"/>
      <c r="AL1258" s="235"/>
      <c r="AM1258" s="235"/>
      <c r="AN1258" s="235"/>
      <c r="AO1258" s="235"/>
      <c r="AP1258" s="235"/>
      <c r="AQ1258" s="235"/>
      <c r="AR1258" s="235"/>
      <c r="AS1258" s="235"/>
      <c r="AT1258" s="235"/>
      <c r="AU1258" s="235"/>
      <c r="AV1258" s="235"/>
      <c r="AW1258" s="235"/>
      <c r="AX1258" s="235"/>
      <c r="AY1258" s="235"/>
      <c r="AZ1258" s="235"/>
      <c r="BA1258" s="235"/>
      <c r="BB1258" s="235"/>
      <c r="BC1258" s="235"/>
      <c r="BD1258" s="235"/>
      <c r="BE1258" s="235"/>
      <c r="BF1258" s="235"/>
      <c r="BG1258" s="235"/>
      <c r="BH1258" s="235"/>
      <c r="BI1258" s="235"/>
      <c r="BJ1258" s="235"/>
      <c r="BK1258" s="235"/>
      <c r="BL1258" s="235"/>
      <c r="BM1258" s="235"/>
      <c r="BN1258" s="235"/>
      <c r="BO1258" s="235"/>
    </row>
    <row r="1259" ht="29.25" hidden="1" customHeight="1">
      <c r="A1259" s="230"/>
      <c r="B1259" s="231"/>
      <c r="C1259" s="179"/>
      <c r="D1259" s="179"/>
      <c r="E1259" s="180"/>
      <c r="F1259" s="162"/>
      <c r="G1259" s="232"/>
      <c r="H1259" s="234"/>
      <c r="I1259" s="181"/>
      <c r="J1259" s="182"/>
      <c r="K1259" s="182"/>
      <c r="L1259" s="182"/>
      <c r="M1259" s="234"/>
      <c r="N1259" s="28"/>
      <c r="O1259" s="181"/>
      <c r="P1259" s="183"/>
      <c r="Q1259" s="104"/>
      <c r="R1259" s="233"/>
      <c r="S1259" s="164"/>
      <c r="T1259" s="164"/>
      <c r="U1259" s="162"/>
      <c r="V1259" s="235"/>
      <c r="W1259" s="235"/>
      <c r="X1259" s="235"/>
      <c r="Y1259" s="235"/>
      <c r="Z1259" s="235"/>
      <c r="AA1259" s="235"/>
      <c r="AB1259" s="235"/>
      <c r="AC1259" s="235"/>
      <c r="AD1259" s="235"/>
      <c r="AE1259" s="235"/>
      <c r="AF1259" s="235"/>
      <c r="AG1259" s="235"/>
      <c r="AH1259" s="235"/>
      <c r="AI1259" s="235"/>
      <c r="AJ1259" s="235"/>
      <c r="AK1259" s="235"/>
      <c r="AL1259" s="235"/>
      <c r="AM1259" s="235"/>
      <c r="AN1259" s="235"/>
      <c r="AO1259" s="235"/>
      <c r="AP1259" s="235"/>
      <c r="AQ1259" s="235"/>
      <c r="AR1259" s="235"/>
      <c r="AS1259" s="235"/>
      <c r="AT1259" s="235"/>
      <c r="AU1259" s="235"/>
      <c r="AV1259" s="235"/>
      <c r="AW1259" s="235"/>
      <c r="AX1259" s="235"/>
      <c r="AY1259" s="235"/>
      <c r="AZ1259" s="235"/>
      <c r="BA1259" s="235"/>
      <c r="BB1259" s="235"/>
      <c r="BC1259" s="235"/>
      <c r="BD1259" s="235"/>
      <c r="BE1259" s="235"/>
      <c r="BF1259" s="235"/>
      <c r="BG1259" s="235"/>
      <c r="BH1259" s="235"/>
      <c r="BI1259" s="235"/>
      <c r="BJ1259" s="235"/>
      <c r="BK1259" s="235"/>
      <c r="BL1259" s="235"/>
      <c r="BM1259" s="235"/>
      <c r="BN1259" s="235"/>
      <c r="BO1259" s="235"/>
    </row>
    <row r="1260" ht="29.25" hidden="1" customHeight="1">
      <c r="A1260" s="230"/>
      <c r="B1260" s="231"/>
      <c r="C1260" s="179"/>
      <c r="D1260" s="179"/>
      <c r="E1260" s="180"/>
      <c r="F1260" s="162"/>
      <c r="G1260" s="232"/>
      <c r="H1260" s="234"/>
      <c r="I1260" s="181"/>
      <c r="J1260" s="182"/>
      <c r="K1260" s="182"/>
      <c r="L1260" s="182"/>
      <c r="M1260" s="234"/>
      <c r="N1260" s="28"/>
      <c r="O1260" s="181"/>
      <c r="P1260" s="183"/>
      <c r="Q1260" s="104"/>
      <c r="R1260" s="233"/>
      <c r="S1260" s="164"/>
      <c r="T1260" s="164"/>
      <c r="U1260" s="162"/>
      <c r="V1260" s="235"/>
      <c r="W1260" s="235"/>
      <c r="X1260" s="235"/>
      <c r="Y1260" s="235"/>
      <c r="Z1260" s="235"/>
      <c r="AA1260" s="235"/>
      <c r="AB1260" s="235"/>
      <c r="AC1260" s="235"/>
      <c r="AD1260" s="235"/>
      <c r="AE1260" s="235"/>
      <c r="AF1260" s="235"/>
      <c r="AG1260" s="235"/>
      <c r="AH1260" s="235"/>
      <c r="AI1260" s="235"/>
      <c r="AJ1260" s="235"/>
      <c r="AK1260" s="235"/>
      <c r="AL1260" s="235"/>
      <c r="AM1260" s="235"/>
      <c r="AN1260" s="235"/>
      <c r="AO1260" s="235"/>
      <c r="AP1260" s="235"/>
      <c r="AQ1260" s="235"/>
      <c r="AR1260" s="235"/>
      <c r="AS1260" s="235"/>
      <c r="AT1260" s="235"/>
      <c r="AU1260" s="235"/>
      <c r="AV1260" s="235"/>
      <c r="AW1260" s="235"/>
      <c r="AX1260" s="235"/>
      <c r="AY1260" s="235"/>
      <c r="AZ1260" s="235"/>
      <c r="BA1260" s="235"/>
      <c r="BB1260" s="235"/>
      <c r="BC1260" s="235"/>
      <c r="BD1260" s="235"/>
      <c r="BE1260" s="235"/>
      <c r="BF1260" s="235"/>
      <c r="BG1260" s="235"/>
      <c r="BH1260" s="235"/>
      <c r="BI1260" s="235"/>
      <c r="BJ1260" s="235"/>
      <c r="BK1260" s="235"/>
      <c r="BL1260" s="235"/>
      <c r="BM1260" s="235"/>
      <c r="BN1260" s="235"/>
      <c r="BO1260" s="235"/>
    </row>
    <row r="1261" ht="29.25" hidden="1" customHeight="1">
      <c r="A1261" s="230"/>
      <c r="B1261" s="231"/>
      <c r="C1261" s="179"/>
      <c r="D1261" s="179"/>
      <c r="E1261" s="180"/>
      <c r="F1261" s="162"/>
      <c r="G1261" s="232"/>
      <c r="H1261" s="234"/>
      <c r="I1261" s="181"/>
      <c r="J1261" s="182"/>
      <c r="K1261" s="182"/>
      <c r="L1261" s="182"/>
      <c r="M1261" s="234"/>
      <c r="N1261" s="28"/>
      <c r="O1261" s="181"/>
      <c r="P1261" s="183"/>
      <c r="Q1261" s="104"/>
      <c r="R1261" s="233"/>
      <c r="S1261" s="164"/>
      <c r="T1261" s="164"/>
      <c r="U1261" s="162"/>
      <c r="V1261" s="235"/>
      <c r="W1261" s="235"/>
      <c r="X1261" s="235"/>
      <c r="Y1261" s="235"/>
      <c r="Z1261" s="235"/>
      <c r="AA1261" s="235"/>
      <c r="AB1261" s="235"/>
      <c r="AC1261" s="235"/>
      <c r="AD1261" s="235"/>
      <c r="AE1261" s="235"/>
      <c r="AF1261" s="235"/>
      <c r="AG1261" s="235"/>
      <c r="AH1261" s="235"/>
      <c r="AI1261" s="235"/>
      <c r="AJ1261" s="235"/>
      <c r="AK1261" s="235"/>
      <c r="AL1261" s="235"/>
      <c r="AM1261" s="235"/>
      <c r="AN1261" s="235"/>
      <c r="AO1261" s="235"/>
      <c r="AP1261" s="235"/>
      <c r="AQ1261" s="235"/>
      <c r="AR1261" s="235"/>
      <c r="AS1261" s="235"/>
      <c r="AT1261" s="235"/>
      <c r="AU1261" s="235"/>
      <c r="AV1261" s="235"/>
      <c r="AW1261" s="235"/>
      <c r="AX1261" s="235"/>
      <c r="AY1261" s="235"/>
      <c r="AZ1261" s="235"/>
      <c r="BA1261" s="235"/>
      <c r="BB1261" s="235"/>
      <c r="BC1261" s="235"/>
      <c r="BD1261" s="235"/>
      <c r="BE1261" s="235"/>
      <c r="BF1261" s="235"/>
      <c r="BG1261" s="235"/>
      <c r="BH1261" s="235"/>
      <c r="BI1261" s="235"/>
      <c r="BJ1261" s="235"/>
      <c r="BK1261" s="235"/>
      <c r="BL1261" s="235"/>
      <c r="BM1261" s="235"/>
      <c r="BN1261" s="235"/>
      <c r="BO1261" s="235"/>
    </row>
    <row r="1262" ht="29.25" hidden="1" customHeight="1">
      <c r="A1262" s="230"/>
      <c r="B1262" s="231"/>
      <c r="C1262" s="179"/>
      <c r="D1262" s="179"/>
      <c r="E1262" s="180"/>
      <c r="F1262" s="162"/>
      <c r="G1262" s="232"/>
      <c r="H1262" s="234"/>
      <c r="I1262" s="181"/>
      <c r="J1262" s="182"/>
      <c r="K1262" s="182"/>
      <c r="L1262" s="182"/>
      <c r="M1262" s="234"/>
      <c r="N1262" s="28"/>
      <c r="O1262" s="181"/>
      <c r="P1262" s="183"/>
      <c r="Q1262" s="104"/>
      <c r="R1262" s="233"/>
      <c r="S1262" s="164"/>
      <c r="T1262" s="164"/>
      <c r="U1262" s="162"/>
      <c r="V1262" s="235"/>
      <c r="W1262" s="235"/>
      <c r="X1262" s="235"/>
      <c r="Y1262" s="235"/>
      <c r="Z1262" s="235"/>
      <c r="AA1262" s="235"/>
      <c r="AB1262" s="235"/>
      <c r="AC1262" s="235"/>
      <c r="AD1262" s="235"/>
      <c r="AE1262" s="235"/>
      <c r="AF1262" s="235"/>
      <c r="AG1262" s="235"/>
      <c r="AH1262" s="235"/>
      <c r="AI1262" s="235"/>
      <c r="AJ1262" s="235"/>
      <c r="AK1262" s="235"/>
      <c r="AL1262" s="235"/>
      <c r="AM1262" s="235"/>
      <c r="AN1262" s="235"/>
      <c r="AO1262" s="235"/>
      <c r="AP1262" s="235"/>
      <c r="AQ1262" s="235"/>
      <c r="AR1262" s="235"/>
      <c r="AS1262" s="235"/>
      <c r="AT1262" s="235"/>
      <c r="AU1262" s="235"/>
      <c r="AV1262" s="235"/>
      <c r="AW1262" s="235"/>
      <c r="AX1262" s="235"/>
      <c r="AY1262" s="235"/>
      <c r="AZ1262" s="235"/>
      <c r="BA1262" s="235"/>
      <c r="BB1262" s="235"/>
      <c r="BC1262" s="235"/>
      <c r="BD1262" s="235"/>
      <c r="BE1262" s="235"/>
      <c r="BF1262" s="235"/>
      <c r="BG1262" s="235"/>
      <c r="BH1262" s="235"/>
      <c r="BI1262" s="235"/>
      <c r="BJ1262" s="235"/>
      <c r="BK1262" s="235"/>
      <c r="BL1262" s="235"/>
      <c r="BM1262" s="235"/>
      <c r="BN1262" s="235"/>
      <c r="BO1262" s="235"/>
    </row>
    <row r="1263" ht="29.25" hidden="1" customHeight="1">
      <c r="A1263" s="230"/>
      <c r="B1263" s="231"/>
      <c r="C1263" s="179"/>
      <c r="D1263" s="179"/>
      <c r="E1263" s="180"/>
      <c r="F1263" s="162"/>
      <c r="G1263" s="232"/>
      <c r="H1263" s="234"/>
      <c r="I1263" s="181"/>
      <c r="J1263" s="182"/>
      <c r="K1263" s="182"/>
      <c r="L1263" s="182"/>
      <c r="M1263" s="234"/>
      <c r="N1263" s="28"/>
      <c r="O1263" s="181"/>
      <c r="P1263" s="183"/>
      <c r="Q1263" s="104"/>
      <c r="R1263" s="233"/>
      <c r="S1263" s="164"/>
      <c r="T1263" s="164"/>
      <c r="U1263" s="162"/>
      <c r="V1263" s="235"/>
      <c r="W1263" s="235"/>
      <c r="X1263" s="235"/>
      <c r="Y1263" s="235"/>
      <c r="Z1263" s="235"/>
      <c r="AA1263" s="235"/>
      <c r="AB1263" s="235"/>
      <c r="AC1263" s="235"/>
      <c r="AD1263" s="235"/>
      <c r="AE1263" s="235"/>
      <c r="AF1263" s="235"/>
      <c r="AG1263" s="235"/>
      <c r="AH1263" s="235"/>
      <c r="AI1263" s="235"/>
      <c r="AJ1263" s="235"/>
      <c r="AK1263" s="235"/>
      <c r="AL1263" s="235"/>
      <c r="AM1263" s="235"/>
      <c r="AN1263" s="235"/>
      <c r="AO1263" s="235"/>
      <c r="AP1263" s="235"/>
      <c r="AQ1263" s="235"/>
      <c r="AR1263" s="235"/>
      <c r="AS1263" s="235"/>
      <c r="AT1263" s="235"/>
      <c r="AU1263" s="235"/>
      <c r="AV1263" s="235"/>
      <c r="AW1263" s="235"/>
      <c r="AX1263" s="235"/>
      <c r="AY1263" s="235"/>
      <c r="AZ1263" s="235"/>
      <c r="BA1263" s="235"/>
      <c r="BB1263" s="235"/>
      <c r="BC1263" s="235"/>
      <c r="BD1263" s="235"/>
      <c r="BE1263" s="235"/>
      <c r="BF1263" s="235"/>
      <c r="BG1263" s="235"/>
      <c r="BH1263" s="235"/>
      <c r="BI1263" s="235"/>
      <c r="BJ1263" s="235"/>
      <c r="BK1263" s="235"/>
      <c r="BL1263" s="235"/>
      <c r="BM1263" s="235"/>
      <c r="BN1263" s="235"/>
      <c r="BO1263" s="235"/>
    </row>
    <row r="1264" ht="29.25" hidden="1" customHeight="1">
      <c r="A1264" s="230"/>
      <c r="B1264" s="231"/>
      <c r="C1264" s="179"/>
      <c r="D1264" s="179"/>
      <c r="E1264" s="180"/>
      <c r="F1264" s="162"/>
      <c r="G1264" s="232"/>
      <c r="H1264" s="234"/>
      <c r="I1264" s="181"/>
      <c r="J1264" s="182"/>
      <c r="K1264" s="182"/>
      <c r="L1264" s="182"/>
      <c r="M1264" s="234"/>
      <c r="N1264" s="28"/>
      <c r="O1264" s="181"/>
      <c r="P1264" s="183"/>
      <c r="Q1264" s="104"/>
      <c r="R1264" s="233"/>
      <c r="S1264" s="164"/>
      <c r="T1264" s="164"/>
      <c r="U1264" s="162"/>
      <c r="V1264" s="235"/>
      <c r="W1264" s="235"/>
      <c r="X1264" s="235"/>
      <c r="Y1264" s="235"/>
      <c r="Z1264" s="235"/>
      <c r="AA1264" s="235"/>
      <c r="AB1264" s="235"/>
      <c r="AC1264" s="235"/>
      <c r="AD1264" s="235"/>
      <c r="AE1264" s="235"/>
      <c r="AF1264" s="235"/>
      <c r="AG1264" s="235"/>
      <c r="AH1264" s="235"/>
      <c r="AI1264" s="235"/>
      <c r="AJ1264" s="235"/>
      <c r="AK1264" s="235"/>
      <c r="AL1264" s="235"/>
      <c r="AM1264" s="235"/>
      <c r="AN1264" s="235"/>
      <c r="AO1264" s="235"/>
      <c r="AP1264" s="235"/>
      <c r="AQ1264" s="235"/>
      <c r="AR1264" s="235"/>
      <c r="AS1264" s="235"/>
      <c r="AT1264" s="235"/>
      <c r="AU1264" s="235"/>
      <c r="AV1264" s="235"/>
      <c r="AW1264" s="235"/>
      <c r="AX1264" s="235"/>
      <c r="AY1264" s="235"/>
      <c r="AZ1264" s="235"/>
      <c r="BA1264" s="235"/>
      <c r="BB1264" s="235"/>
      <c r="BC1264" s="235"/>
      <c r="BD1264" s="235"/>
      <c r="BE1264" s="235"/>
      <c r="BF1264" s="235"/>
      <c r="BG1264" s="235"/>
      <c r="BH1264" s="235"/>
      <c r="BI1264" s="235"/>
      <c r="BJ1264" s="235"/>
      <c r="BK1264" s="235"/>
      <c r="BL1264" s="235"/>
      <c r="BM1264" s="235"/>
      <c r="BN1264" s="235"/>
      <c r="BO1264" s="235"/>
    </row>
    <row r="1265" ht="29.25" hidden="1" customHeight="1">
      <c r="A1265" s="230"/>
      <c r="B1265" s="231"/>
      <c r="C1265" s="179"/>
      <c r="D1265" s="179"/>
      <c r="E1265" s="180"/>
      <c r="F1265" s="162"/>
      <c r="G1265" s="232"/>
      <c r="H1265" s="234"/>
      <c r="I1265" s="181"/>
      <c r="J1265" s="182"/>
      <c r="K1265" s="182"/>
      <c r="L1265" s="182"/>
      <c r="M1265" s="234"/>
      <c r="N1265" s="28"/>
      <c r="O1265" s="181"/>
      <c r="P1265" s="183"/>
      <c r="Q1265" s="104"/>
      <c r="R1265" s="233"/>
      <c r="S1265" s="164"/>
      <c r="T1265" s="164"/>
      <c r="U1265" s="162"/>
      <c r="V1265" s="235"/>
      <c r="W1265" s="235"/>
      <c r="X1265" s="235"/>
      <c r="Y1265" s="235"/>
      <c r="Z1265" s="235"/>
      <c r="AA1265" s="235"/>
      <c r="AB1265" s="235"/>
      <c r="AC1265" s="235"/>
      <c r="AD1265" s="235"/>
      <c r="AE1265" s="235"/>
      <c r="AF1265" s="235"/>
      <c r="AG1265" s="235"/>
      <c r="AH1265" s="235"/>
      <c r="AI1265" s="235"/>
      <c r="AJ1265" s="235"/>
      <c r="AK1265" s="235"/>
      <c r="AL1265" s="235"/>
      <c r="AM1265" s="235"/>
      <c r="AN1265" s="235"/>
      <c r="AO1265" s="235"/>
      <c r="AP1265" s="235"/>
      <c r="AQ1265" s="235"/>
      <c r="AR1265" s="235"/>
      <c r="AS1265" s="235"/>
      <c r="AT1265" s="235"/>
      <c r="AU1265" s="235"/>
      <c r="AV1265" s="235"/>
      <c r="AW1265" s="235"/>
      <c r="AX1265" s="235"/>
      <c r="AY1265" s="235"/>
      <c r="AZ1265" s="235"/>
      <c r="BA1265" s="235"/>
      <c r="BB1265" s="235"/>
      <c r="BC1265" s="235"/>
      <c r="BD1265" s="235"/>
      <c r="BE1265" s="235"/>
      <c r="BF1265" s="235"/>
      <c r="BG1265" s="235"/>
      <c r="BH1265" s="235"/>
      <c r="BI1265" s="235"/>
      <c r="BJ1265" s="235"/>
      <c r="BK1265" s="235"/>
      <c r="BL1265" s="235"/>
      <c r="BM1265" s="235"/>
      <c r="BN1265" s="235"/>
      <c r="BO1265" s="235"/>
    </row>
    <row r="1266" ht="29.25" hidden="1" customHeight="1">
      <c r="A1266" s="230"/>
      <c r="B1266" s="231"/>
      <c r="C1266" s="179"/>
      <c r="D1266" s="179"/>
      <c r="E1266" s="180"/>
      <c r="F1266" s="162"/>
      <c r="G1266" s="232"/>
      <c r="H1266" s="234"/>
      <c r="I1266" s="181"/>
      <c r="J1266" s="182"/>
      <c r="K1266" s="182"/>
      <c r="L1266" s="182"/>
      <c r="M1266" s="234"/>
      <c r="N1266" s="28"/>
      <c r="O1266" s="181"/>
      <c r="P1266" s="183"/>
      <c r="Q1266" s="104"/>
      <c r="R1266" s="233"/>
      <c r="S1266" s="164"/>
      <c r="T1266" s="164"/>
      <c r="U1266" s="162"/>
      <c r="V1266" s="235"/>
      <c r="W1266" s="235"/>
      <c r="X1266" s="235"/>
      <c r="Y1266" s="235"/>
      <c r="Z1266" s="235"/>
      <c r="AA1266" s="235"/>
      <c r="AB1266" s="235"/>
      <c r="AC1266" s="235"/>
      <c r="AD1266" s="235"/>
      <c r="AE1266" s="235"/>
      <c r="AF1266" s="235"/>
      <c r="AG1266" s="235"/>
      <c r="AH1266" s="235"/>
      <c r="AI1266" s="235"/>
      <c r="AJ1266" s="235"/>
      <c r="AK1266" s="235"/>
      <c r="AL1266" s="235"/>
      <c r="AM1266" s="235"/>
      <c r="AN1266" s="235"/>
      <c r="AO1266" s="235"/>
      <c r="AP1266" s="235"/>
      <c r="AQ1266" s="235"/>
      <c r="AR1266" s="235"/>
      <c r="AS1266" s="235"/>
      <c r="AT1266" s="235"/>
      <c r="AU1266" s="235"/>
      <c r="AV1266" s="235"/>
      <c r="AW1266" s="235"/>
      <c r="AX1266" s="235"/>
      <c r="AY1266" s="235"/>
      <c r="AZ1266" s="235"/>
      <c r="BA1266" s="235"/>
      <c r="BB1266" s="235"/>
      <c r="BC1266" s="235"/>
      <c r="BD1266" s="235"/>
      <c r="BE1266" s="235"/>
      <c r="BF1266" s="235"/>
      <c r="BG1266" s="235"/>
      <c r="BH1266" s="235"/>
      <c r="BI1266" s="235"/>
      <c r="BJ1266" s="235"/>
      <c r="BK1266" s="235"/>
      <c r="BL1266" s="235"/>
      <c r="BM1266" s="235"/>
      <c r="BN1266" s="235"/>
      <c r="BO1266" s="235"/>
    </row>
    <row r="1267" ht="29.25" hidden="1" customHeight="1">
      <c r="A1267" s="230"/>
      <c r="B1267" s="231"/>
      <c r="C1267" s="179"/>
      <c r="D1267" s="179"/>
      <c r="E1267" s="180"/>
      <c r="F1267" s="162"/>
      <c r="G1267" s="232"/>
      <c r="H1267" s="234"/>
      <c r="I1267" s="181"/>
      <c r="J1267" s="182"/>
      <c r="K1267" s="182"/>
      <c r="L1267" s="182"/>
      <c r="M1267" s="234"/>
      <c r="N1267" s="28"/>
      <c r="O1267" s="181"/>
      <c r="P1267" s="183"/>
      <c r="Q1267" s="104"/>
      <c r="R1267" s="233"/>
      <c r="S1267" s="164"/>
      <c r="T1267" s="164"/>
      <c r="U1267" s="162"/>
      <c r="V1267" s="235"/>
      <c r="W1267" s="235"/>
      <c r="X1267" s="235"/>
      <c r="Y1267" s="235"/>
      <c r="Z1267" s="235"/>
      <c r="AA1267" s="235"/>
      <c r="AB1267" s="235"/>
      <c r="AC1267" s="235"/>
      <c r="AD1267" s="235"/>
      <c r="AE1267" s="235"/>
      <c r="AF1267" s="235"/>
      <c r="AG1267" s="235"/>
      <c r="AH1267" s="235"/>
      <c r="AI1267" s="235"/>
      <c r="AJ1267" s="235"/>
      <c r="AK1267" s="235"/>
      <c r="AL1267" s="235"/>
      <c r="AM1267" s="235"/>
      <c r="AN1267" s="235"/>
      <c r="AO1267" s="235"/>
      <c r="AP1267" s="235"/>
      <c r="AQ1267" s="235"/>
      <c r="AR1267" s="235"/>
      <c r="AS1267" s="235"/>
      <c r="AT1267" s="235"/>
      <c r="AU1267" s="235"/>
      <c r="AV1267" s="235"/>
      <c r="AW1267" s="235"/>
      <c r="AX1267" s="235"/>
      <c r="AY1267" s="235"/>
      <c r="AZ1267" s="235"/>
      <c r="BA1267" s="235"/>
      <c r="BB1267" s="235"/>
      <c r="BC1267" s="235"/>
      <c r="BD1267" s="235"/>
      <c r="BE1267" s="235"/>
      <c r="BF1267" s="235"/>
      <c r="BG1267" s="235"/>
      <c r="BH1267" s="235"/>
      <c r="BI1267" s="235"/>
      <c r="BJ1267" s="235"/>
      <c r="BK1267" s="235"/>
      <c r="BL1267" s="235"/>
      <c r="BM1267" s="235"/>
      <c r="BN1267" s="235"/>
      <c r="BO1267" s="235"/>
    </row>
    <row r="1268" ht="29.25" hidden="1" customHeight="1">
      <c r="A1268" s="230"/>
      <c r="B1268" s="231"/>
      <c r="C1268" s="179"/>
      <c r="D1268" s="179"/>
      <c r="E1268" s="180"/>
      <c r="F1268" s="162"/>
      <c r="G1268" s="232"/>
      <c r="H1268" s="234"/>
      <c r="I1268" s="181"/>
      <c r="J1268" s="182"/>
      <c r="K1268" s="182"/>
      <c r="L1268" s="182"/>
      <c r="M1268" s="234"/>
      <c r="N1268" s="28"/>
      <c r="O1268" s="181"/>
      <c r="P1268" s="183"/>
      <c r="Q1268" s="104"/>
      <c r="R1268" s="233"/>
      <c r="S1268" s="164"/>
      <c r="T1268" s="164"/>
      <c r="U1268" s="162"/>
      <c r="V1268" s="235"/>
      <c r="W1268" s="235"/>
      <c r="X1268" s="235"/>
      <c r="Y1268" s="235"/>
      <c r="Z1268" s="235"/>
      <c r="AA1268" s="235"/>
      <c r="AB1268" s="235"/>
      <c r="AC1268" s="235"/>
      <c r="AD1268" s="235"/>
      <c r="AE1268" s="235"/>
      <c r="AF1268" s="235"/>
      <c r="AG1268" s="235"/>
      <c r="AH1268" s="235"/>
      <c r="AI1268" s="235"/>
      <c r="AJ1268" s="235"/>
      <c r="AK1268" s="235"/>
      <c r="AL1268" s="235"/>
      <c r="AM1268" s="235"/>
      <c r="AN1268" s="235"/>
      <c r="AO1268" s="235"/>
      <c r="AP1268" s="235"/>
      <c r="AQ1268" s="235"/>
      <c r="AR1268" s="235"/>
      <c r="AS1268" s="235"/>
      <c r="AT1268" s="235"/>
      <c r="AU1268" s="235"/>
      <c r="AV1268" s="235"/>
      <c r="AW1268" s="235"/>
      <c r="AX1268" s="235"/>
      <c r="AY1268" s="235"/>
      <c r="AZ1268" s="235"/>
      <c r="BA1268" s="235"/>
      <c r="BB1268" s="235"/>
      <c r="BC1268" s="235"/>
      <c r="BD1268" s="235"/>
      <c r="BE1268" s="235"/>
      <c r="BF1268" s="235"/>
      <c r="BG1268" s="235"/>
      <c r="BH1268" s="235"/>
      <c r="BI1268" s="235"/>
      <c r="BJ1268" s="235"/>
      <c r="BK1268" s="235"/>
      <c r="BL1268" s="235"/>
      <c r="BM1268" s="235"/>
      <c r="BN1268" s="235"/>
      <c r="BO1268" s="235"/>
    </row>
    <row r="1269" ht="29.25" hidden="1" customHeight="1">
      <c r="A1269" s="230"/>
      <c r="B1269" s="231"/>
      <c r="C1269" s="179"/>
      <c r="D1269" s="179"/>
      <c r="E1269" s="180"/>
      <c r="F1269" s="162"/>
      <c r="G1269" s="232"/>
      <c r="H1269" s="234"/>
      <c r="I1269" s="181"/>
      <c r="J1269" s="182"/>
      <c r="K1269" s="182"/>
      <c r="L1269" s="182"/>
      <c r="M1269" s="234"/>
      <c r="N1269" s="28"/>
      <c r="O1269" s="181"/>
      <c r="P1269" s="183"/>
      <c r="Q1269" s="104"/>
      <c r="R1269" s="233"/>
      <c r="S1269" s="164"/>
      <c r="T1269" s="164"/>
      <c r="U1269" s="162"/>
      <c r="V1269" s="235"/>
      <c r="W1269" s="235"/>
      <c r="X1269" s="235"/>
      <c r="Y1269" s="235"/>
      <c r="Z1269" s="235"/>
      <c r="AA1269" s="235"/>
      <c r="AB1269" s="235"/>
      <c r="AC1269" s="235"/>
      <c r="AD1269" s="235"/>
      <c r="AE1269" s="235"/>
      <c r="AF1269" s="235"/>
      <c r="AG1269" s="235"/>
      <c r="AH1269" s="235"/>
      <c r="AI1269" s="235"/>
      <c r="AJ1269" s="235"/>
      <c r="AK1269" s="235"/>
      <c r="AL1269" s="235"/>
      <c r="AM1269" s="235"/>
      <c r="AN1269" s="235"/>
      <c r="AO1269" s="235"/>
      <c r="AP1269" s="235"/>
      <c r="AQ1269" s="235"/>
      <c r="AR1269" s="235"/>
      <c r="AS1269" s="235"/>
      <c r="AT1269" s="235"/>
      <c r="AU1269" s="235"/>
      <c r="AV1269" s="235"/>
      <c r="AW1269" s="235"/>
      <c r="AX1269" s="235"/>
      <c r="AY1269" s="235"/>
      <c r="AZ1269" s="235"/>
      <c r="BA1269" s="235"/>
      <c r="BB1269" s="235"/>
      <c r="BC1269" s="235"/>
      <c r="BD1269" s="235"/>
      <c r="BE1269" s="235"/>
      <c r="BF1269" s="235"/>
      <c r="BG1269" s="235"/>
      <c r="BH1269" s="235"/>
      <c r="BI1269" s="235"/>
      <c r="BJ1269" s="235"/>
      <c r="BK1269" s="235"/>
      <c r="BL1269" s="235"/>
      <c r="BM1269" s="235"/>
      <c r="BN1269" s="235"/>
      <c r="BO1269" s="235"/>
    </row>
    <row r="1270" ht="29.25" hidden="1" customHeight="1">
      <c r="A1270" s="230"/>
      <c r="B1270" s="231"/>
      <c r="C1270" s="179"/>
      <c r="D1270" s="179"/>
      <c r="E1270" s="180"/>
      <c r="F1270" s="162"/>
      <c r="G1270" s="232"/>
      <c r="H1270" s="234"/>
      <c r="I1270" s="181"/>
      <c r="J1270" s="182"/>
      <c r="K1270" s="182"/>
      <c r="L1270" s="182"/>
      <c r="M1270" s="234"/>
      <c r="N1270" s="28"/>
      <c r="O1270" s="181"/>
      <c r="P1270" s="183"/>
      <c r="Q1270" s="104"/>
      <c r="R1270" s="233"/>
      <c r="S1270" s="164"/>
      <c r="T1270" s="164"/>
      <c r="U1270" s="162"/>
      <c r="V1270" s="235"/>
      <c r="W1270" s="235"/>
      <c r="X1270" s="235"/>
      <c r="Y1270" s="235"/>
      <c r="Z1270" s="235"/>
      <c r="AA1270" s="235"/>
      <c r="AB1270" s="235"/>
      <c r="AC1270" s="235"/>
      <c r="AD1270" s="235"/>
      <c r="AE1270" s="235"/>
      <c r="AF1270" s="235"/>
      <c r="AG1270" s="235"/>
      <c r="AH1270" s="235"/>
      <c r="AI1270" s="235"/>
      <c r="AJ1270" s="235"/>
      <c r="AK1270" s="235"/>
      <c r="AL1270" s="235"/>
      <c r="AM1270" s="235"/>
      <c r="AN1270" s="235"/>
      <c r="AO1270" s="235"/>
      <c r="AP1270" s="235"/>
      <c r="AQ1270" s="235"/>
      <c r="AR1270" s="235"/>
      <c r="AS1270" s="235"/>
      <c r="AT1270" s="235"/>
      <c r="AU1270" s="235"/>
      <c r="AV1270" s="235"/>
      <c r="AW1270" s="235"/>
      <c r="AX1270" s="235"/>
      <c r="AY1270" s="235"/>
      <c r="AZ1270" s="235"/>
      <c r="BA1270" s="235"/>
      <c r="BB1270" s="235"/>
      <c r="BC1270" s="235"/>
      <c r="BD1270" s="235"/>
      <c r="BE1270" s="235"/>
      <c r="BF1270" s="235"/>
      <c r="BG1270" s="235"/>
      <c r="BH1270" s="235"/>
      <c r="BI1270" s="235"/>
      <c r="BJ1270" s="235"/>
      <c r="BK1270" s="235"/>
      <c r="BL1270" s="235"/>
      <c r="BM1270" s="235"/>
      <c r="BN1270" s="235"/>
      <c r="BO1270" s="235"/>
    </row>
    <row r="1271" ht="29.25" hidden="1" customHeight="1">
      <c r="A1271" s="230"/>
      <c r="B1271" s="231"/>
      <c r="C1271" s="179"/>
      <c r="D1271" s="179"/>
      <c r="E1271" s="180"/>
      <c r="F1271" s="162"/>
      <c r="G1271" s="232"/>
      <c r="H1271" s="234"/>
      <c r="I1271" s="181"/>
      <c r="J1271" s="182"/>
      <c r="K1271" s="182"/>
      <c r="L1271" s="182"/>
      <c r="M1271" s="234"/>
      <c r="N1271" s="28"/>
      <c r="O1271" s="181"/>
      <c r="P1271" s="183"/>
      <c r="Q1271" s="104"/>
      <c r="R1271" s="233"/>
      <c r="S1271" s="164"/>
      <c r="T1271" s="164"/>
      <c r="U1271" s="162"/>
      <c r="V1271" s="235"/>
      <c r="W1271" s="235"/>
      <c r="X1271" s="235"/>
      <c r="Y1271" s="235"/>
      <c r="Z1271" s="235"/>
      <c r="AA1271" s="235"/>
      <c r="AB1271" s="235"/>
      <c r="AC1271" s="235"/>
      <c r="AD1271" s="235"/>
      <c r="AE1271" s="235"/>
      <c r="AF1271" s="235"/>
      <c r="AG1271" s="235"/>
      <c r="AH1271" s="235"/>
      <c r="AI1271" s="235"/>
      <c r="AJ1271" s="235"/>
      <c r="AK1271" s="235"/>
      <c r="AL1271" s="235"/>
      <c r="AM1271" s="235"/>
      <c r="AN1271" s="235"/>
      <c r="AO1271" s="235"/>
      <c r="AP1271" s="235"/>
      <c r="AQ1271" s="235"/>
      <c r="AR1271" s="235"/>
      <c r="AS1271" s="235"/>
      <c r="AT1271" s="235"/>
      <c r="AU1271" s="235"/>
      <c r="AV1271" s="235"/>
      <c r="AW1271" s="235"/>
      <c r="AX1271" s="235"/>
      <c r="AY1271" s="235"/>
      <c r="AZ1271" s="235"/>
      <c r="BA1271" s="235"/>
      <c r="BB1271" s="235"/>
      <c r="BC1271" s="235"/>
      <c r="BD1271" s="235"/>
      <c r="BE1271" s="235"/>
      <c r="BF1271" s="235"/>
      <c r="BG1271" s="235"/>
      <c r="BH1271" s="235"/>
      <c r="BI1271" s="235"/>
      <c r="BJ1271" s="235"/>
      <c r="BK1271" s="235"/>
      <c r="BL1271" s="235"/>
      <c r="BM1271" s="235"/>
      <c r="BN1271" s="235"/>
      <c r="BO1271" s="235"/>
    </row>
    <row r="1272" ht="29.25" hidden="1" customHeight="1">
      <c r="A1272" s="230"/>
      <c r="B1272" s="231"/>
      <c r="C1272" s="179"/>
      <c r="D1272" s="179"/>
      <c r="E1272" s="180"/>
      <c r="F1272" s="162"/>
      <c r="G1272" s="232"/>
      <c r="H1272" s="234"/>
      <c r="I1272" s="181"/>
      <c r="J1272" s="182"/>
      <c r="K1272" s="182"/>
      <c r="L1272" s="182"/>
      <c r="M1272" s="234"/>
      <c r="N1272" s="28"/>
      <c r="O1272" s="181"/>
      <c r="P1272" s="183"/>
      <c r="Q1272" s="104"/>
      <c r="R1272" s="233"/>
      <c r="S1272" s="164"/>
      <c r="T1272" s="164"/>
      <c r="U1272" s="162"/>
      <c r="V1272" s="235"/>
      <c r="W1272" s="235"/>
      <c r="X1272" s="235"/>
      <c r="Y1272" s="235"/>
      <c r="Z1272" s="235"/>
      <c r="AA1272" s="235"/>
      <c r="AB1272" s="235"/>
      <c r="AC1272" s="235"/>
      <c r="AD1272" s="235"/>
      <c r="AE1272" s="235"/>
      <c r="AF1272" s="235"/>
      <c r="AG1272" s="235"/>
      <c r="AH1272" s="235"/>
      <c r="AI1272" s="235"/>
      <c r="AJ1272" s="235"/>
      <c r="AK1272" s="235"/>
      <c r="AL1272" s="235"/>
      <c r="AM1272" s="235"/>
      <c r="AN1272" s="235"/>
      <c r="AO1272" s="235"/>
      <c r="AP1272" s="235"/>
      <c r="AQ1272" s="235"/>
      <c r="AR1272" s="235"/>
      <c r="AS1272" s="235"/>
      <c r="AT1272" s="235"/>
      <c r="AU1272" s="235"/>
      <c r="AV1272" s="235"/>
      <c r="AW1272" s="235"/>
      <c r="AX1272" s="235"/>
      <c r="AY1272" s="235"/>
      <c r="AZ1272" s="235"/>
      <c r="BA1272" s="235"/>
      <c r="BB1272" s="235"/>
      <c r="BC1272" s="235"/>
      <c r="BD1272" s="235"/>
      <c r="BE1272" s="235"/>
      <c r="BF1272" s="235"/>
      <c r="BG1272" s="235"/>
      <c r="BH1272" s="235"/>
      <c r="BI1272" s="235"/>
      <c r="BJ1272" s="235"/>
      <c r="BK1272" s="235"/>
      <c r="BL1272" s="235"/>
      <c r="BM1272" s="235"/>
      <c r="BN1272" s="235"/>
      <c r="BO1272" s="235"/>
    </row>
    <row r="1273" ht="29.25" hidden="1" customHeight="1">
      <c r="A1273" s="230"/>
      <c r="B1273" s="231"/>
      <c r="C1273" s="179"/>
      <c r="D1273" s="179"/>
      <c r="E1273" s="180"/>
      <c r="F1273" s="162"/>
      <c r="G1273" s="232"/>
      <c r="H1273" s="234"/>
      <c r="I1273" s="181"/>
      <c r="J1273" s="182"/>
      <c r="K1273" s="182"/>
      <c r="L1273" s="182"/>
      <c r="M1273" s="234"/>
      <c r="N1273" s="28"/>
      <c r="O1273" s="181"/>
      <c r="P1273" s="183"/>
      <c r="Q1273" s="104"/>
      <c r="R1273" s="233"/>
      <c r="S1273" s="164"/>
      <c r="T1273" s="164"/>
      <c r="U1273" s="162"/>
      <c r="V1273" s="235"/>
      <c r="W1273" s="235"/>
      <c r="X1273" s="235"/>
      <c r="Y1273" s="235"/>
      <c r="Z1273" s="235"/>
      <c r="AA1273" s="235"/>
      <c r="AB1273" s="235"/>
      <c r="AC1273" s="235"/>
      <c r="AD1273" s="235"/>
      <c r="AE1273" s="235"/>
      <c r="AF1273" s="235"/>
      <c r="AG1273" s="235"/>
      <c r="AH1273" s="235"/>
      <c r="AI1273" s="235"/>
      <c r="AJ1273" s="235"/>
      <c r="AK1273" s="235"/>
      <c r="AL1273" s="235"/>
      <c r="AM1273" s="235"/>
      <c r="AN1273" s="235"/>
      <c r="AO1273" s="235"/>
      <c r="AP1273" s="235"/>
      <c r="AQ1273" s="235"/>
      <c r="AR1273" s="235"/>
      <c r="AS1273" s="235"/>
      <c r="AT1273" s="235"/>
      <c r="AU1273" s="235"/>
      <c r="AV1273" s="235"/>
      <c r="AW1273" s="235"/>
      <c r="AX1273" s="235"/>
      <c r="AY1273" s="235"/>
      <c r="AZ1273" s="235"/>
      <c r="BA1273" s="235"/>
      <c r="BB1273" s="235"/>
      <c r="BC1273" s="235"/>
      <c r="BD1273" s="235"/>
      <c r="BE1273" s="235"/>
      <c r="BF1273" s="235"/>
      <c r="BG1273" s="235"/>
      <c r="BH1273" s="235"/>
      <c r="BI1273" s="235"/>
      <c r="BJ1273" s="235"/>
      <c r="BK1273" s="235"/>
      <c r="BL1273" s="235"/>
      <c r="BM1273" s="235"/>
      <c r="BN1273" s="235"/>
      <c r="BO1273" s="235"/>
    </row>
    <row r="1274" ht="29.25" hidden="1" customHeight="1">
      <c r="A1274" s="230"/>
      <c r="B1274" s="231"/>
      <c r="C1274" s="179"/>
      <c r="D1274" s="179"/>
      <c r="E1274" s="180"/>
      <c r="F1274" s="162"/>
      <c r="G1274" s="232"/>
      <c r="H1274" s="234"/>
      <c r="I1274" s="181"/>
      <c r="J1274" s="182"/>
      <c r="K1274" s="182"/>
      <c r="L1274" s="182"/>
      <c r="M1274" s="234"/>
      <c r="N1274" s="28"/>
      <c r="O1274" s="181"/>
      <c r="P1274" s="183"/>
      <c r="Q1274" s="104"/>
      <c r="R1274" s="233"/>
      <c r="S1274" s="164"/>
      <c r="T1274" s="164"/>
      <c r="U1274" s="162"/>
      <c r="V1274" s="235"/>
      <c r="W1274" s="235"/>
      <c r="X1274" s="235"/>
      <c r="Y1274" s="235"/>
      <c r="Z1274" s="235"/>
      <c r="AA1274" s="235"/>
      <c r="AB1274" s="235"/>
      <c r="AC1274" s="235"/>
      <c r="AD1274" s="235"/>
      <c r="AE1274" s="235"/>
      <c r="AF1274" s="235"/>
      <c r="AG1274" s="235"/>
      <c r="AH1274" s="235"/>
      <c r="AI1274" s="235"/>
      <c r="AJ1274" s="235"/>
      <c r="AK1274" s="235"/>
      <c r="AL1274" s="235"/>
      <c r="AM1274" s="235"/>
      <c r="AN1274" s="235"/>
      <c r="AO1274" s="235"/>
      <c r="AP1274" s="235"/>
      <c r="AQ1274" s="235"/>
      <c r="AR1274" s="235"/>
      <c r="AS1274" s="235"/>
      <c r="AT1274" s="235"/>
      <c r="AU1274" s="235"/>
      <c r="AV1274" s="235"/>
      <c r="AW1274" s="235"/>
      <c r="AX1274" s="235"/>
      <c r="AY1274" s="235"/>
      <c r="AZ1274" s="235"/>
      <c r="BA1274" s="235"/>
      <c r="BB1274" s="235"/>
      <c r="BC1274" s="235"/>
      <c r="BD1274" s="235"/>
      <c r="BE1274" s="235"/>
      <c r="BF1274" s="235"/>
      <c r="BG1274" s="235"/>
      <c r="BH1274" s="235"/>
      <c r="BI1274" s="235"/>
      <c r="BJ1274" s="235"/>
      <c r="BK1274" s="235"/>
      <c r="BL1274" s="235"/>
      <c r="BM1274" s="235"/>
      <c r="BN1274" s="235"/>
      <c r="BO1274" s="235"/>
    </row>
    <row r="1275" ht="29.25" hidden="1" customHeight="1">
      <c r="A1275" s="230"/>
      <c r="B1275" s="231"/>
      <c r="C1275" s="179"/>
      <c r="D1275" s="179"/>
      <c r="E1275" s="180"/>
      <c r="F1275" s="162"/>
      <c r="G1275" s="232"/>
      <c r="H1275" s="234"/>
      <c r="I1275" s="181"/>
      <c r="J1275" s="182"/>
      <c r="K1275" s="182"/>
      <c r="L1275" s="182"/>
      <c r="M1275" s="234"/>
      <c r="N1275" s="28"/>
      <c r="O1275" s="181"/>
      <c r="P1275" s="183"/>
      <c r="Q1275" s="104"/>
      <c r="R1275" s="233"/>
      <c r="S1275" s="164"/>
      <c r="T1275" s="164"/>
      <c r="U1275" s="162"/>
      <c r="V1275" s="235"/>
      <c r="W1275" s="235"/>
      <c r="X1275" s="235"/>
      <c r="Y1275" s="235"/>
      <c r="Z1275" s="235"/>
      <c r="AA1275" s="235"/>
      <c r="AB1275" s="235"/>
      <c r="AC1275" s="235"/>
      <c r="AD1275" s="235"/>
      <c r="AE1275" s="235"/>
      <c r="AF1275" s="235"/>
      <c r="AG1275" s="235"/>
      <c r="AH1275" s="235"/>
      <c r="AI1275" s="235"/>
      <c r="AJ1275" s="235"/>
      <c r="AK1275" s="235"/>
      <c r="AL1275" s="235"/>
      <c r="AM1275" s="235"/>
      <c r="AN1275" s="235"/>
      <c r="AO1275" s="235"/>
      <c r="AP1275" s="235"/>
      <c r="AQ1275" s="235"/>
      <c r="AR1275" s="235"/>
      <c r="AS1275" s="235"/>
      <c r="AT1275" s="235"/>
      <c r="AU1275" s="235"/>
      <c r="AV1275" s="235"/>
      <c r="AW1275" s="235"/>
      <c r="AX1275" s="235"/>
      <c r="AY1275" s="235"/>
      <c r="AZ1275" s="235"/>
      <c r="BA1275" s="235"/>
      <c r="BB1275" s="235"/>
      <c r="BC1275" s="235"/>
      <c r="BD1275" s="235"/>
      <c r="BE1275" s="235"/>
      <c r="BF1275" s="235"/>
      <c r="BG1275" s="235"/>
      <c r="BH1275" s="235"/>
      <c r="BI1275" s="235"/>
      <c r="BJ1275" s="235"/>
      <c r="BK1275" s="235"/>
      <c r="BL1275" s="235"/>
      <c r="BM1275" s="235"/>
      <c r="BN1275" s="235"/>
      <c r="BO1275" s="235"/>
    </row>
    <row r="1276" ht="29.25" hidden="1" customHeight="1">
      <c r="A1276" s="230"/>
      <c r="B1276" s="231"/>
      <c r="C1276" s="179"/>
      <c r="D1276" s="179"/>
      <c r="E1276" s="180"/>
      <c r="F1276" s="162"/>
      <c r="G1276" s="232"/>
      <c r="H1276" s="234"/>
      <c r="I1276" s="181"/>
      <c r="J1276" s="182"/>
      <c r="K1276" s="182"/>
      <c r="L1276" s="182"/>
      <c r="M1276" s="234"/>
      <c r="N1276" s="28"/>
      <c r="O1276" s="181"/>
      <c r="P1276" s="183"/>
      <c r="Q1276" s="104"/>
      <c r="R1276" s="233"/>
      <c r="S1276" s="164"/>
      <c r="T1276" s="164"/>
      <c r="U1276" s="162"/>
      <c r="V1276" s="235"/>
      <c r="W1276" s="235"/>
      <c r="X1276" s="235"/>
      <c r="Y1276" s="235"/>
      <c r="Z1276" s="235"/>
      <c r="AA1276" s="235"/>
      <c r="AB1276" s="235"/>
      <c r="AC1276" s="235"/>
      <c r="AD1276" s="235"/>
      <c r="AE1276" s="235"/>
      <c r="AF1276" s="235"/>
      <c r="AG1276" s="235"/>
      <c r="AH1276" s="235"/>
      <c r="AI1276" s="235"/>
      <c r="AJ1276" s="235"/>
      <c r="AK1276" s="235"/>
      <c r="AL1276" s="235"/>
      <c r="AM1276" s="235"/>
      <c r="AN1276" s="235"/>
      <c r="AO1276" s="235"/>
      <c r="AP1276" s="235"/>
      <c r="AQ1276" s="235"/>
      <c r="AR1276" s="235"/>
      <c r="AS1276" s="235"/>
      <c r="AT1276" s="235"/>
      <c r="AU1276" s="235"/>
      <c r="AV1276" s="235"/>
      <c r="AW1276" s="235"/>
      <c r="AX1276" s="235"/>
      <c r="AY1276" s="235"/>
      <c r="AZ1276" s="235"/>
      <c r="BA1276" s="235"/>
      <c r="BB1276" s="235"/>
      <c r="BC1276" s="235"/>
      <c r="BD1276" s="235"/>
      <c r="BE1276" s="235"/>
      <c r="BF1276" s="235"/>
      <c r="BG1276" s="235"/>
      <c r="BH1276" s="235"/>
      <c r="BI1276" s="235"/>
      <c r="BJ1276" s="235"/>
      <c r="BK1276" s="235"/>
      <c r="BL1276" s="235"/>
      <c r="BM1276" s="235"/>
      <c r="BN1276" s="235"/>
      <c r="BO1276" s="235"/>
    </row>
    <row r="1277" ht="29.25" hidden="1" customHeight="1">
      <c r="A1277" s="230"/>
      <c r="B1277" s="231"/>
      <c r="C1277" s="179"/>
      <c r="D1277" s="179"/>
      <c r="E1277" s="180"/>
      <c r="F1277" s="162"/>
      <c r="G1277" s="232"/>
      <c r="H1277" s="234"/>
      <c r="I1277" s="181"/>
      <c r="J1277" s="182"/>
      <c r="K1277" s="182"/>
      <c r="L1277" s="182"/>
      <c r="M1277" s="234"/>
      <c r="N1277" s="28"/>
      <c r="O1277" s="181"/>
      <c r="P1277" s="183"/>
      <c r="Q1277" s="104"/>
      <c r="R1277" s="233"/>
      <c r="S1277" s="164"/>
      <c r="T1277" s="164"/>
      <c r="U1277" s="162"/>
      <c r="V1277" s="235"/>
      <c r="W1277" s="235"/>
      <c r="X1277" s="235"/>
      <c r="Y1277" s="235"/>
      <c r="Z1277" s="235"/>
      <c r="AA1277" s="235"/>
      <c r="AB1277" s="235"/>
      <c r="AC1277" s="235"/>
      <c r="AD1277" s="235"/>
      <c r="AE1277" s="235"/>
      <c r="AF1277" s="235"/>
      <c r="AG1277" s="235"/>
      <c r="AH1277" s="235"/>
      <c r="AI1277" s="235"/>
      <c r="AJ1277" s="235"/>
      <c r="AK1277" s="235"/>
      <c r="AL1277" s="235"/>
      <c r="AM1277" s="235"/>
      <c r="AN1277" s="235"/>
      <c r="AO1277" s="235"/>
      <c r="AP1277" s="235"/>
      <c r="AQ1277" s="235"/>
      <c r="AR1277" s="235"/>
      <c r="AS1277" s="235"/>
      <c r="AT1277" s="235"/>
      <c r="AU1277" s="235"/>
      <c r="AV1277" s="235"/>
      <c r="AW1277" s="235"/>
      <c r="AX1277" s="235"/>
      <c r="AY1277" s="235"/>
      <c r="AZ1277" s="235"/>
      <c r="BA1277" s="235"/>
      <c r="BB1277" s="235"/>
      <c r="BC1277" s="235"/>
      <c r="BD1277" s="235"/>
      <c r="BE1277" s="235"/>
      <c r="BF1277" s="235"/>
      <c r="BG1277" s="235"/>
      <c r="BH1277" s="235"/>
      <c r="BI1277" s="235"/>
      <c r="BJ1277" s="235"/>
      <c r="BK1277" s="235"/>
      <c r="BL1277" s="235"/>
      <c r="BM1277" s="235"/>
      <c r="BN1277" s="235"/>
      <c r="BO1277" s="235"/>
    </row>
    <row r="1278" ht="29.25" hidden="1" customHeight="1">
      <c r="A1278" s="230"/>
      <c r="B1278" s="231"/>
      <c r="C1278" s="179"/>
      <c r="D1278" s="179"/>
      <c r="E1278" s="180"/>
      <c r="F1278" s="162"/>
      <c r="G1278" s="232"/>
      <c r="H1278" s="234"/>
      <c r="I1278" s="181"/>
      <c r="J1278" s="182"/>
      <c r="K1278" s="182"/>
      <c r="L1278" s="182"/>
      <c r="M1278" s="234"/>
      <c r="N1278" s="28"/>
      <c r="O1278" s="181"/>
      <c r="P1278" s="183"/>
      <c r="Q1278" s="104"/>
      <c r="R1278" s="233"/>
      <c r="S1278" s="164"/>
      <c r="T1278" s="164"/>
      <c r="U1278" s="162"/>
      <c r="V1278" s="235"/>
      <c r="W1278" s="235"/>
      <c r="X1278" s="235"/>
      <c r="Y1278" s="235"/>
      <c r="Z1278" s="235"/>
      <c r="AA1278" s="235"/>
      <c r="AB1278" s="235"/>
      <c r="AC1278" s="235"/>
      <c r="AD1278" s="235"/>
      <c r="AE1278" s="235"/>
      <c r="AF1278" s="235"/>
      <c r="AG1278" s="235"/>
      <c r="AH1278" s="235"/>
      <c r="AI1278" s="235"/>
      <c r="AJ1278" s="235"/>
      <c r="AK1278" s="235"/>
      <c r="AL1278" s="235"/>
      <c r="AM1278" s="235"/>
      <c r="AN1278" s="235"/>
      <c r="AO1278" s="235"/>
      <c r="AP1278" s="235"/>
      <c r="AQ1278" s="235"/>
      <c r="AR1278" s="235"/>
      <c r="AS1278" s="235"/>
      <c r="AT1278" s="235"/>
      <c r="AU1278" s="235"/>
      <c r="AV1278" s="235"/>
      <c r="AW1278" s="235"/>
      <c r="AX1278" s="235"/>
      <c r="AY1278" s="235"/>
      <c r="AZ1278" s="235"/>
      <c r="BA1278" s="235"/>
      <c r="BB1278" s="235"/>
      <c r="BC1278" s="235"/>
      <c r="BD1278" s="235"/>
      <c r="BE1278" s="235"/>
      <c r="BF1278" s="235"/>
      <c r="BG1278" s="235"/>
      <c r="BH1278" s="235"/>
      <c r="BI1278" s="235"/>
      <c r="BJ1278" s="235"/>
      <c r="BK1278" s="235"/>
      <c r="BL1278" s="235"/>
      <c r="BM1278" s="235"/>
      <c r="BN1278" s="235"/>
      <c r="BO1278" s="235"/>
    </row>
    <row r="1279" ht="29.25" hidden="1" customHeight="1">
      <c r="A1279" s="230"/>
      <c r="B1279" s="231"/>
      <c r="C1279" s="179"/>
      <c r="D1279" s="179"/>
      <c r="E1279" s="180"/>
      <c r="F1279" s="162"/>
      <c r="G1279" s="232"/>
      <c r="H1279" s="234"/>
      <c r="I1279" s="181"/>
      <c r="J1279" s="182"/>
      <c r="K1279" s="182"/>
      <c r="L1279" s="182"/>
      <c r="M1279" s="234"/>
      <c r="N1279" s="28"/>
      <c r="O1279" s="181"/>
      <c r="P1279" s="183"/>
      <c r="Q1279" s="104"/>
      <c r="R1279" s="233"/>
      <c r="S1279" s="164"/>
      <c r="T1279" s="164"/>
      <c r="U1279" s="162"/>
      <c r="V1279" s="235"/>
      <c r="W1279" s="235"/>
      <c r="X1279" s="235"/>
      <c r="Y1279" s="235"/>
      <c r="Z1279" s="235"/>
      <c r="AA1279" s="235"/>
      <c r="AB1279" s="235"/>
      <c r="AC1279" s="235"/>
      <c r="AD1279" s="235"/>
      <c r="AE1279" s="235"/>
      <c r="AF1279" s="235"/>
      <c r="AG1279" s="235"/>
      <c r="AH1279" s="235"/>
      <c r="AI1279" s="235"/>
      <c r="AJ1279" s="235"/>
      <c r="AK1279" s="235"/>
      <c r="AL1279" s="235"/>
      <c r="AM1279" s="235"/>
      <c r="AN1279" s="235"/>
      <c r="AO1279" s="235"/>
      <c r="AP1279" s="235"/>
      <c r="AQ1279" s="235"/>
      <c r="AR1279" s="235"/>
      <c r="AS1279" s="235"/>
      <c r="AT1279" s="235"/>
      <c r="AU1279" s="235"/>
      <c r="AV1279" s="235"/>
      <c r="AW1279" s="235"/>
      <c r="AX1279" s="235"/>
      <c r="AY1279" s="235"/>
      <c r="AZ1279" s="235"/>
      <c r="BA1279" s="235"/>
      <c r="BB1279" s="235"/>
      <c r="BC1279" s="235"/>
      <c r="BD1279" s="235"/>
      <c r="BE1279" s="235"/>
      <c r="BF1279" s="235"/>
      <c r="BG1279" s="235"/>
      <c r="BH1279" s="235"/>
      <c r="BI1279" s="235"/>
      <c r="BJ1279" s="235"/>
      <c r="BK1279" s="235"/>
      <c r="BL1279" s="235"/>
      <c r="BM1279" s="235"/>
      <c r="BN1279" s="235"/>
      <c r="BO1279" s="235"/>
    </row>
    <row r="1280" ht="29.25" hidden="1" customHeight="1">
      <c r="A1280" s="230"/>
      <c r="B1280" s="231"/>
      <c r="C1280" s="179"/>
      <c r="D1280" s="179"/>
      <c r="E1280" s="180"/>
      <c r="F1280" s="162"/>
      <c r="G1280" s="232"/>
      <c r="H1280" s="234"/>
      <c r="I1280" s="181"/>
      <c r="J1280" s="182"/>
      <c r="K1280" s="182"/>
      <c r="L1280" s="182"/>
      <c r="M1280" s="234"/>
      <c r="N1280" s="28"/>
      <c r="O1280" s="181"/>
      <c r="P1280" s="183"/>
      <c r="Q1280" s="104"/>
      <c r="R1280" s="233"/>
      <c r="S1280" s="164"/>
      <c r="T1280" s="164"/>
      <c r="U1280" s="162"/>
      <c r="V1280" s="235"/>
      <c r="W1280" s="235"/>
      <c r="X1280" s="235"/>
      <c r="Y1280" s="235"/>
      <c r="Z1280" s="235"/>
      <c r="AA1280" s="235"/>
      <c r="AB1280" s="235"/>
      <c r="AC1280" s="235"/>
      <c r="AD1280" s="235"/>
      <c r="AE1280" s="235"/>
      <c r="AF1280" s="235"/>
      <c r="AG1280" s="235"/>
      <c r="AH1280" s="235"/>
      <c r="AI1280" s="235"/>
      <c r="AJ1280" s="235"/>
      <c r="AK1280" s="235"/>
      <c r="AL1280" s="235"/>
      <c r="AM1280" s="235"/>
      <c r="AN1280" s="235"/>
      <c r="AO1280" s="235"/>
      <c r="AP1280" s="235"/>
      <c r="AQ1280" s="235"/>
      <c r="AR1280" s="235"/>
      <c r="AS1280" s="235"/>
      <c r="AT1280" s="235"/>
      <c r="AU1280" s="235"/>
      <c r="AV1280" s="235"/>
      <c r="AW1280" s="235"/>
      <c r="AX1280" s="235"/>
      <c r="AY1280" s="235"/>
      <c r="AZ1280" s="235"/>
      <c r="BA1280" s="235"/>
      <c r="BB1280" s="235"/>
      <c r="BC1280" s="235"/>
      <c r="BD1280" s="235"/>
      <c r="BE1280" s="235"/>
      <c r="BF1280" s="235"/>
      <c r="BG1280" s="235"/>
      <c r="BH1280" s="235"/>
      <c r="BI1280" s="235"/>
      <c r="BJ1280" s="235"/>
      <c r="BK1280" s="235"/>
      <c r="BL1280" s="235"/>
      <c r="BM1280" s="235"/>
      <c r="BN1280" s="235"/>
      <c r="BO1280" s="235"/>
    </row>
    <row r="1281" ht="29.25" hidden="1" customHeight="1">
      <c r="A1281" s="230"/>
      <c r="B1281" s="231"/>
      <c r="C1281" s="179"/>
      <c r="D1281" s="179"/>
      <c r="E1281" s="180"/>
      <c r="F1281" s="162"/>
      <c r="G1281" s="232"/>
      <c r="H1281" s="234"/>
      <c r="I1281" s="181"/>
      <c r="J1281" s="182"/>
      <c r="K1281" s="182"/>
      <c r="L1281" s="182"/>
      <c r="M1281" s="234"/>
      <c r="N1281" s="28"/>
      <c r="O1281" s="181"/>
      <c r="P1281" s="183"/>
      <c r="Q1281" s="104"/>
      <c r="R1281" s="233"/>
      <c r="S1281" s="164"/>
      <c r="T1281" s="164"/>
      <c r="U1281" s="162"/>
      <c r="V1281" s="235"/>
      <c r="W1281" s="235"/>
      <c r="X1281" s="235"/>
      <c r="Y1281" s="235"/>
      <c r="Z1281" s="235"/>
      <c r="AA1281" s="235"/>
      <c r="AB1281" s="235"/>
      <c r="AC1281" s="235"/>
      <c r="AD1281" s="235"/>
      <c r="AE1281" s="235"/>
      <c r="AF1281" s="235"/>
      <c r="AG1281" s="235"/>
      <c r="AH1281" s="235"/>
      <c r="AI1281" s="235"/>
      <c r="AJ1281" s="235"/>
      <c r="AK1281" s="235"/>
      <c r="AL1281" s="235"/>
      <c r="AM1281" s="235"/>
      <c r="AN1281" s="235"/>
      <c r="AO1281" s="235"/>
      <c r="AP1281" s="235"/>
      <c r="AQ1281" s="235"/>
      <c r="AR1281" s="235"/>
      <c r="AS1281" s="235"/>
      <c r="AT1281" s="235"/>
      <c r="AU1281" s="235"/>
      <c r="AV1281" s="235"/>
      <c r="AW1281" s="235"/>
      <c r="AX1281" s="235"/>
      <c r="AY1281" s="235"/>
      <c r="AZ1281" s="235"/>
      <c r="BA1281" s="235"/>
      <c r="BB1281" s="235"/>
      <c r="BC1281" s="235"/>
      <c r="BD1281" s="235"/>
      <c r="BE1281" s="235"/>
      <c r="BF1281" s="235"/>
      <c r="BG1281" s="235"/>
      <c r="BH1281" s="235"/>
      <c r="BI1281" s="235"/>
      <c r="BJ1281" s="235"/>
      <c r="BK1281" s="235"/>
      <c r="BL1281" s="235"/>
      <c r="BM1281" s="235"/>
      <c r="BN1281" s="235"/>
      <c r="BO1281" s="235"/>
    </row>
    <row r="1282" ht="29.25" hidden="1" customHeight="1">
      <c r="A1282" s="230"/>
      <c r="B1282" s="231"/>
      <c r="C1282" s="179"/>
      <c r="D1282" s="179"/>
      <c r="E1282" s="180"/>
      <c r="F1282" s="162"/>
      <c r="G1282" s="232"/>
      <c r="H1282" s="234"/>
      <c r="I1282" s="181"/>
      <c r="J1282" s="182"/>
      <c r="K1282" s="182"/>
      <c r="L1282" s="182"/>
      <c r="M1282" s="234"/>
      <c r="N1282" s="28"/>
      <c r="O1282" s="181"/>
      <c r="P1282" s="183"/>
      <c r="Q1282" s="104"/>
      <c r="R1282" s="233"/>
      <c r="S1282" s="164"/>
      <c r="T1282" s="164"/>
      <c r="U1282" s="162"/>
      <c r="V1282" s="235"/>
      <c r="W1282" s="235"/>
      <c r="X1282" s="235"/>
      <c r="Y1282" s="235"/>
      <c r="Z1282" s="235"/>
      <c r="AA1282" s="235"/>
      <c r="AB1282" s="235"/>
      <c r="AC1282" s="235"/>
      <c r="AD1282" s="235"/>
      <c r="AE1282" s="235"/>
      <c r="AF1282" s="235"/>
      <c r="AG1282" s="235"/>
      <c r="AH1282" s="235"/>
      <c r="AI1282" s="235"/>
      <c r="AJ1282" s="235"/>
      <c r="AK1282" s="235"/>
      <c r="AL1282" s="235"/>
      <c r="AM1282" s="235"/>
      <c r="AN1282" s="235"/>
      <c r="AO1282" s="235"/>
      <c r="AP1282" s="235"/>
      <c r="AQ1282" s="235"/>
      <c r="AR1282" s="235"/>
      <c r="AS1282" s="235"/>
      <c r="AT1282" s="235"/>
      <c r="AU1282" s="235"/>
      <c r="AV1282" s="235"/>
      <c r="AW1282" s="235"/>
      <c r="AX1282" s="235"/>
      <c r="AY1282" s="235"/>
      <c r="AZ1282" s="235"/>
      <c r="BA1282" s="235"/>
      <c r="BB1282" s="235"/>
      <c r="BC1282" s="235"/>
      <c r="BD1282" s="235"/>
      <c r="BE1282" s="235"/>
      <c r="BF1282" s="235"/>
      <c r="BG1282" s="235"/>
      <c r="BH1282" s="235"/>
      <c r="BI1282" s="235"/>
      <c r="BJ1282" s="235"/>
      <c r="BK1282" s="235"/>
      <c r="BL1282" s="235"/>
      <c r="BM1282" s="235"/>
      <c r="BN1282" s="235"/>
      <c r="BO1282" s="235"/>
    </row>
    <row r="1283" ht="29.25" hidden="1" customHeight="1">
      <c r="A1283" s="230"/>
      <c r="B1283" s="231"/>
      <c r="C1283" s="179"/>
      <c r="D1283" s="179"/>
      <c r="E1283" s="180"/>
      <c r="F1283" s="162"/>
      <c r="G1283" s="232"/>
      <c r="H1283" s="234"/>
      <c r="I1283" s="181"/>
      <c r="J1283" s="182"/>
      <c r="K1283" s="182"/>
      <c r="L1283" s="182"/>
      <c r="M1283" s="234"/>
      <c r="N1283" s="28"/>
      <c r="O1283" s="181"/>
      <c r="P1283" s="183"/>
      <c r="Q1283" s="104"/>
      <c r="R1283" s="233"/>
      <c r="S1283" s="164"/>
      <c r="T1283" s="164"/>
      <c r="U1283" s="162"/>
      <c r="V1283" s="235"/>
      <c r="W1283" s="235"/>
      <c r="X1283" s="235"/>
      <c r="Y1283" s="235"/>
      <c r="Z1283" s="235"/>
      <c r="AA1283" s="235"/>
      <c r="AB1283" s="235"/>
      <c r="AC1283" s="235"/>
      <c r="AD1283" s="235"/>
      <c r="AE1283" s="235"/>
      <c r="AF1283" s="235"/>
      <c r="AG1283" s="235"/>
      <c r="AH1283" s="235"/>
      <c r="AI1283" s="235"/>
      <c r="AJ1283" s="235"/>
      <c r="AK1283" s="235"/>
      <c r="AL1283" s="235"/>
      <c r="AM1283" s="235"/>
      <c r="AN1283" s="235"/>
      <c r="AO1283" s="235"/>
      <c r="AP1283" s="235"/>
      <c r="AQ1283" s="235"/>
      <c r="AR1283" s="235"/>
      <c r="AS1283" s="235"/>
      <c r="AT1283" s="235"/>
      <c r="AU1283" s="235"/>
      <c r="AV1283" s="235"/>
      <c r="AW1283" s="235"/>
      <c r="AX1283" s="235"/>
      <c r="AY1283" s="235"/>
      <c r="AZ1283" s="235"/>
      <c r="BA1283" s="235"/>
      <c r="BB1283" s="235"/>
      <c r="BC1283" s="235"/>
      <c r="BD1283" s="235"/>
      <c r="BE1283" s="235"/>
      <c r="BF1283" s="235"/>
      <c r="BG1283" s="235"/>
      <c r="BH1283" s="235"/>
      <c r="BI1283" s="235"/>
      <c r="BJ1283" s="235"/>
      <c r="BK1283" s="235"/>
      <c r="BL1283" s="235"/>
      <c r="BM1283" s="235"/>
      <c r="BN1283" s="235"/>
      <c r="BO1283" s="235"/>
    </row>
    <row r="1284" ht="29.25" hidden="1" customHeight="1">
      <c r="A1284" s="230"/>
      <c r="B1284" s="231"/>
      <c r="C1284" s="179"/>
      <c r="D1284" s="236"/>
      <c r="E1284" s="180"/>
      <c r="F1284" s="162"/>
      <c r="G1284" s="232"/>
      <c r="H1284" s="234"/>
      <c r="I1284" s="181"/>
      <c r="J1284" s="182"/>
      <c r="K1284" s="182"/>
      <c r="L1284" s="182"/>
      <c r="M1284" s="234"/>
      <c r="N1284" s="28"/>
      <c r="O1284" s="181"/>
      <c r="P1284" s="183"/>
      <c r="Q1284" s="104"/>
      <c r="R1284" s="233"/>
      <c r="S1284" s="164"/>
      <c r="T1284" s="164"/>
      <c r="U1284" s="162"/>
      <c r="V1284" s="235"/>
      <c r="W1284" s="235"/>
      <c r="X1284" s="235"/>
      <c r="Y1284" s="235"/>
      <c r="Z1284" s="235"/>
      <c r="AA1284" s="235"/>
      <c r="AB1284" s="235"/>
      <c r="AC1284" s="235"/>
      <c r="AD1284" s="235"/>
      <c r="AE1284" s="235"/>
      <c r="AF1284" s="235"/>
      <c r="AG1284" s="235"/>
      <c r="AH1284" s="235"/>
      <c r="AI1284" s="235"/>
      <c r="AJ1284" s="235"/>
      <c r="AK1284" s="235"/>
      <c r="AL1284" s="235"/>
      <c r="AM1284" s="235"/>
      <c r="AN1284" s="235"/>
      <c r="AO1284" s="235"/>
      <c r="AP1284" s="235"/>
      <c r="AQ1284" s="235"/>
      <c r="AR1284" s="235"/>
      <c r="AS1284" s="235"/>
      <c r="AT1284" s="235"/>
      <c r="AU1284" s="235"/>
      <c r="AV1284" s="235"/>
      <c r="AW1284" s="235"/>
      <c r="AX1284" s="235"/>
      <c r="AY1284" s="235"/>
      <c r="AZ1284" s="235"/>
      <c r="BA1284" s="235"/>
      <c r="BB1284" s="235"/>
      <c r="BC1284" s="235"/>
      <c r="BD1284" s="235"/>
      <c r="BE1284" s="235"/>
      <c r="BF1284" s="235"/>
      <c r="BG1284" s="235"/>
      <c r="BH1284" s="235"/>
      <c r="BI1284" s="235"/>
      <c r="BJ1284" s="235"/>
      <c r="BK1284" s="235"/>
      <c r="BL1284" s="235"/>
      <c r="BM1284" s="235"/>
      <c r="BN1284" s="235"/>
      <c r="BO1284" s="235"/>
    </row>
    <row r="1285" ht="29.25" hidden="1" customHeight="1">
      <c r="A1285" s="230"/>
      <c r="B1285" s="231"/>
      <c r="C1285" s="179"/>
      <c r="D1285" s="237"/>
      <c r="E1285" s="180"/>
      <c r="F1285" s="162"/>
      <c r="G1285" s="232"/>
      <c r="H1285" s="234"/>
      <c r="I1285" s="181"/>
      <c r="J1285" s="182"/>
      <c r="K1285" s="182"/>
      <c r="L1285" s="182"/>
      <c r="M1285" s="234"/>
      <c r="N1285" s="28"/>
      <c r="O1285" s="181"/>
      <c r="P1285" s="183"/>
      <c r="Q1285" s="104"/>
      <c r="R1285" s="233"/>
      <c r="S1285" s="164"/>
      <c r="T1285" s="164"/>
      <c r="U1285" s="162"/>
      <c r="V1285" s="235"/>
      <c r="W1285" s="235"/>
      <c r="X1285" s="235"/>
      <c r="Y1285" s="235"/>
      <c r="Z1285" s="235"/>
      <c r="AA1285" s="235"/>
      <c r="AB1285" s="235"/>
      <c r="AC1285" s="235"/>
      <c r="AD1285" s="235"/>
      <c r="AE1285" s="235"/>
      <c r="AF1285" s="235"/>
      <c r="AG1285" s="235"/>
      <c r="AH1285" s="235"/>
      <c r="AI1285" s="235"/>
      <c r="AJ1285" s="235"/>
      <c r="AK1285" s="235"/>
      <c r="AL1285" s="235"/>
      <c r="AM1285" s="235"/>
      <c r="AN1285" s="235"/>
      <c r="AO1285" s="235"/>
      <c r="AP1285" s="235"/>
      <c r="AQ1285" s="235"/>
      <c r="AR1285" s="235"/>
      <c r="AS1285" s="235"/>
      <c r="AT1285" s="235"/>
      <c r="AU1285" s="235"/>
      <c r="AV1285" s="235"/>
      <c r="AW1285" s="235"/>
      <c r="AX1285" s="235"/>
      <c r="AY1285" s="235"/>
      <c r="AZ1285" s="235"/>
      <c r="BA1285" s="235"/>
      <c r="BB1285" s="235"/>
      <c r="BC1285" s="235"/>
      <c r="BD1285" s="235"/>
      <c r="BE1285" s="235"/>
      <c r="BF1285" s="235"/>
      <c r="BG1285" s="235"/>
      <c r="BH1285" s="235"/>
      <c r="BI1285" s="235"/>
      <c r="BJ1285" s="235"/>
      <c r="BK1285" s="235"/>
      <c r="BL1285" s="235"/>
      <c r="BM1285" s="235"/>
      <c r="BN1285" s="235"/>
      <c r="BO1285" s="235"/>
    </row>
  </sheetData>
  <conditionalFormatting sqref="B2:B1285">
    <cfRule type="expression" dxfId="5" priority="1">
      <formula>COUNTIF($B$2:$B$1283,B2)&gt;1</formula>
    </cfRule>
  </conditionalFormatting>
  <dataValidations>
    <dataValidation type="list" allowBlank="1" sqref="N2:N1285">
      <formula1>"27/1/2026,5/2/2026,03/02/2026"</formula1>
    </dataValidation>
    <dataValidation type="list" allowBlank="1" sqref="F2:F1285">
      <formula1>"ENTRENAMIENTO,DETENIDO CLIENTE,FINALIZADO,EN PROCESO,PAUSADO,EN TEST,CONTROL DE CAMBIOS PRODUCCION,PENDIENTE,PRUEBAS CLIENTE,PENDIENTE CLIENTE,PRUEBAS IMAGINE,paso a produccion,CONTROL CAMBIOS TEST,ESTIMAR,REANUDAR,CANCELADO"</formula1>
    </dataValidation>
    <dataValidation type="custom" allowBlank="1" showDropDown="1" sqref="I2:L1285 O2:P1285">
      <formula1>OR(NOT(ISERROR(DATEVALUE(I2))), AND(ISNUMBER(I2), LEFT(CELL("format", I2))="D"))</formula1>
    </dataValidation>
    <dataValidation type="list" allowBlank="1" sqref="U2:U1285">
      <formula1>"Opción 1,Opción 2"</formula1>
    </dataValidation>
    <dataValidation type="custom" allowBlank="1" showDropDown="1" sqref="H2:H1285 M2:M1285">
      <formula1>AND(ISNUMBER(H2),(NOT(OR(NOT(ISERROR(DATEVALUE(H2))), AND(ISNUMBER(H2), LEFT(CELL("format", H2))="D")))))</formula1>
    </dataValidation>
    <dataValidation allowBlank="1" showDropDown="1" sqref="R2:R1285"/>
    <dataValidation type="list" allowBlank="1" showDropDown="1" sqref="B2:B1285">
      <formula1>"iNTERNO"</formula1>
    </dataValidation>
  </dataValidations>
  <hyperlinks>
    <hyperlink r:id="rId2" ref="V25"/>
    <hyperlink r:id="rId3" ref="B35"/>
    <hyperlink r:id="rId4" ref="V96"/>
    <hyperlink r:id="rId5" ref="V99"/>
    <hyperlink r:id="rId6" ref="V101"/>
    <hyperlink r:id="rId7" ref="V104"/>
    <hyperlink r:id="rId8" ref="V115"/>
    <hyperlink r:id="rId9" ref="V126"/>
    <hyperlink r:id="rId10" ref="Q172"/>
    <hyperlink r:id="rId11" ref="Q179"/>
    <hyperlink r:id="rId12" ref="Q216"/>
    <hyperlink r:id="rId13" ref="V218"/>
    <hyperlink r:id="rId14" ref="Q268"/>
    <hyperlink r:id="rId15" ref="D292"/>
    <hyperlink r:id="rId16" ref="V316"/>
    <hyperlink r:id="rId17" ref="V364"/>
    <hyperlink r:id="rId18" ref="D378"/>
  </hyperlinks>
  <printOptions/>
  <pageMargins bottom="0.75" footer="0.0" header="0.0" left="0.7" right="0.7" top="0.75"/>
  <pageSetup orientation="portrait"/>
  <drawing r:id="rId19"/>
  <legacyDrawing r:id="rId20"/>
  <tableParts count="1">
    <tablePart r:id="rId2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56"/>
    <col customWidth="1" min="2" max="2" width="17.22"/>
    <col customWidth="1" min="3" max="3" width="36.67"/>
    <col customWidth="1" min="4" max="4" width="24.67"/>
    <col customWidth="1" min="5" max="5" width="24.44"/>
    <col customWidth="1" min="6" max="6" width="17.0"/>
    <col customWidth="1" min="7" max="7" width="6.78"/>
    <col customWidth="1" min="8" max="8" width="14.22"/>
    <col customWidth="1" min="9" max="9" width="10.56"/>
    <col customWidth="1" min="10" max="10" width="10.11"/>
    <col customWidth="1" min="11" max="11" width="15.11"/>
    <col customWidth="1" min="12" max="12" width="12.22"/>
    <col customWidth="1" min="13" max="13" width="13.56"/>
    <col customWidth="1" min="14" max="14" width="15.56"/>
    <col customWidth="1" min="15" max="15" width="11.0"/>
    <col customWidth="1" min="16" max="16" width="14.11"/>
    <col customWidth="1" min="17" max="17" width="49.67"/>
    <col customWidth="1" min="18" max="18" width="12.89"/>
    <col customWidth="1" hidden="1" min="19" max="19" width="40.33"/>
  </cols>
  <sheetData>
    <row r="1" ht="40.5" customHeight="1">
      <c r="A1" s="1" t="s">
        <v>0</v>
      </c>
      <c r="B1" s="2" t="s">
        <v>2120</v>
      </c>
      <c r="C1" s="3" t="s">
        <v>2</v>
      </c>
      <c r="D1" s="238" t="s">
        <v>2121</v>
      </c>
      <c r="E1" s="239" t="s">
        <v>2122</v>
      </c>
      <c r="F1" s="240" t="s">
        <v>5</v>
      </c>
      <c r="G1" s="7" t="s">
        <v>2123</v>
      </c>
      <c r="H1" s="8" t="s">
        <v>7</v>
      </c>
      <c r="I1" s="9" t="s">
        <v>8</v>
      </c>
      <c r="J1" s="9" t="s">
        <v>9</v>
      </c>
      <c r="K1" s="10" t="s">
        <v>10</v>
      </c>
      <c r="L1" s="10" t="s">
        <v>11</v>
      </c>
      <c r="M1" s="10" t="s">
        <v>12</v>
      </c>
      <c r="N1" s="241" t="s">
        <v>13</v>
      </c>
      <c r="O1" s="9" t="s">
        <v>14</v>
      </c>
      <c r="P1" s="9" t="s">
        <v>15</v>
      </c>
      <c r="Q1" s="12" t="s">
        <v>16</v>
      </c>
      <c r="R1" s="239" t="s">
        <v>2124</v>
      </c>
      <c r="S1" s="242" t="s">
        <v>2125</v>
      </c>
    </row>
    <row r="2" ht="75.75" customHeight="1">
      <c r="A2" s="16" t="s">
        <v>2126</v>
      </c>
      <c r="B2" s="243" t="s">
        <v>2127</v>
      </c>
      <c r="C2" s="18" t="s">
        <v>2128</v>
      </c>
      <c r="D2" s="244"/>
      <c r="E2" s="245" t="s">
        <v>2129</v>
      </c>
      <c r="F2" s="20" t="s">
        <v>76</v>
      </c>
      <c r="G2" s="21">
        <v>100.0</v>
      </c>
      <c r="H2" s="246">
        <f>IF(OR(J2="",K2="",K2&lt;J2),0,NETWORKDAYS(J2,K2,fESTIVOS!$A$2:$A$53))</f>
        <v>90</v>
      </c>
      <c r="I2" s="247"/>
      <c r="J2" s="26">
        <v>45691.0</v>
      </c>
      <c r="K2" s="25">
        <v>45821.0</v>
      </c>
      <c r="L2" s="26">
        <v>45824.0</v>
      </c>
      <c r="M2" s="39">
        <f>IF(OR(J2="",AND(L2="",TODAY()&lt;J2),AND(L2&lt;&gt;"",L2&lt;J2)),0,
   IF(L2="",
      NETWORKDAYS(J2,TODAY(),fESTIVOS!$A$2:$A$53),
      NETWORKDAYS(J2,L2,fESTIVOS!$A$2:$A$53)
   )
)
</f>
        <v>91</v>
      </c>
      <c r="N2" s="23"/>
      <c r="O2" s="23"/>
      <c r="P2" s="248">
        <v>45843.0</v>
      </c>
      <c r="Q2" s="249" t="s">
        <v>2130</v>
      </c>
      <c r="R2" s="250" t="s">
        <v>78</v>
      </c>
      <c r="S2" s="34"/>
    </row>
    <row r="3" ht="75.75" customHeight="1">
      <c r="A3" s="16" t="s">
        <v>2126</v>
      </c>
      <c r="B3" s="243" t="s">
        <v>2131</v>
      </c>
      <c r="C3" s="18" t="s">
        <v>2132</v>
      </c>
      <c r="D3" s="244"/>
      <c r="E3" s="245" t="s">
        <v>2129</v>
      </c>
      <c r="F3" s="20" t="s">
        <v>76</v>
      </c>
      <c r="G3" s="21">
        <v>100.0</v>
      </c>
      <c r="H3" s="246">
        <f>IF(OR(J3="",K3="",K3&lt;J3),0,NETWORKDAYS(J3,K3,fESTIVOS!$A$2:$A$53))</f>
        <v>3</v>
      </c>
      <c r="I3" s="176">
        <v>45824.0</v>
      </c>
      <c r="J3" s="26">
        <v>45824.0</v>
      </c>
      <c r="K3" s="25">
        <v>45826.0</v>
      </c>
      <c r="L3" s="26">
        <v>45827.0</v>
      </c>
      <c r="M3" s="39">
        <f>IF(OR(J3="",AND(L3="",TODAY()&lt;J3),AND(L3&lt;&gt;"",L3&lt;J3)),0,
   IF(L3="",
      NETWORKDAYS(J3,TODAY(),fESTIVOS!$A$2:$A$53),
      NETWORKDAYS(J3,L3,fESTIVOS!$A$2:$A$53)
   )
)
</f>
        <v>4</v>
      </c>
      <c r="N3" s="23"/>
      <c r="O3" s="23"/>
      <c r="P3" s="248">
        <v>45843.0</v>
      </c>
      <c r="Q3" s="86" t="s">
        <v>2133</v>
      </c>
      <c r="R3" s="250" t="s">
        <v>78</v>
      </c>
      <c r="S3" s="34"/>
    </row>
    <row r="4" ht="154.5" customHeight="1">
      <c r="A4" s="16" t="s">
        <v>2126</v>
      </c>
      <c r="B4" s="243" t="s">
        <v>2134</v>
      </c>
      <c r="C4" s="251" t="s">
        <v>2135</v>
      </c>
      <c r="D4" s="252"/>
      <c r="E4" s="245" t="s">
        <v>2129</v>
      </c>
      <c r="F4" s="253" t="s">
        <v>76</v>
      </c>
      <c r="G4" s="21">
        <v>100.0</v>
      </c>
      <c r="H4" s="246">
        <f>IF(OR(J4="",K4="",K4&lt;J4),0,NETWORKDAYS(J4,K4,fESTIVOS!$A$2:$A$53))</f>
        <v>4</v>
      </c>
      <c r="I4" s="23"/>
      <c r="J4" s="26">
        <v>45827.0</v>
      </c>
      <c r="K4" s="25">
        <v>45833.0</v>
      </c>
      <c r="L4" s="26">
        <v>45841.0</v>
      </c>
      <c r="M4" s="39">
        <f>IF(OR(J4="",AND(L4="",TODAY()&lt;J4),AND(L4&lt;&gt;"",L4&lt;J4)),0,
   IF(L4="",
      NETWORKDAYS(J4,TODAY(),fESTIVOS!$A$2:$A$53),
      NETWORKDAYS(J4,L4,fESTIVOS!$A$2:$A$53)
   )
)
</f>
        <v>9</v>
      </c>
      <c r="N4" s="23"/>
      <c r="O4" s="23"/>
      <c r="P4" s="248">
        <v>45843.0</v>
      </c>
      <c r="Q4" s="38" t="s">
        <v>2136</v>
      </c>
      <c r="R4" s="250" t="s">
        <v>78</v>
      </c>
      <c r="S4" s="41" t="s">
        <v>2137</v>
      </c>
    </row>
    <row r="5" ht="29.25" customHeight="1">
      <c r="A5" s="16" t="s">
        <v>2126</v>
      </c>
      <c r="B5" s="243" t="s">
        <v>2138</v>
      </c>
      <c r="C5" s="203" t="s">
        <v>2139</v>
      </c>
      <c r="D5" s="244"/>
      <c r="E5" s="245" t="s">
        <v>2129</v>
      </c>
      <c r="F5" s="20" t="s">
        <v>76</v>
      </c>
      <c r="G5" s="21">
        <v>100.0</v>
      </c>
      <c r="H5" s="246">
        <f>IF(OR(J5="",K5="",K5&lt;J5),0,NETWORKDAYS(J5,K5,fESTIVOS!$A$2:$A$53))</f>
        <v>3</v>
      </c>
      <c r="I5" s="46">
        <v>45817.0</v>
      </c>
      <c r="J5" s="26">
        <v>45817.0</v>
      </c>
      <c r="K5" s="25">
        <v>45819.0</v>
      </c>
      <c r="L5" s="45">
        <v>45820.0</v>
      </c>
      <c r="M5" s="39">
        <f>IF(OR(J5="",AND(L5="",TODAY()&lt;J5),AND(L5&lt;&gt;"",L5&lt;J5)),0,
   IF(L5="",
      NETWORKDAYS(J5,TODAY(),fESTIVOS!$A$2:$A$53),
      NETWORKDAYS(J5,L5,fESTIVOS!$A$2:$A$53)
   )
)
</f>
        <v>4</v>
      </c>
      <c r="N5" s="23"/>
      <c r="O5" s="23"/>
      <c r="P5" s="248">
        <v>45843.0</v>
      </c>
      <c r="Q5" s="38" t="s">
        <v>2140</v>
      </c>
      <c r="R5" s="250" t="s">
        <v>78</v>
      </c>
      <c r="S5" s="41" t="s">
        <v>2137</v>
      </c>
    </row>
    <row r="6" ht="29.25" customHeight="1">
      <c r="A6" s="16" t="s">
        <v>2126</v>
      </c>
      <c r="B6" s="243" t="s">
        <v>2141</v>
      </c>
      <c r="C6" s="203" t="s">
        <v>2142</v>
      </c>
      <c r="D6" s="244"/>
      <c r="E6" s="245" t="s">
        <v>2129</v>
      </c>
      <c r="F6" s="20" t="s">
        <v>76</v>
      </c>
      <c r="G6" s="21">
        <v>100.0</v>
      </c>
      <c r="H6" s="246">
        <f>IF(OR(J6="",K6="",K6&lt;J6),0,NETWORKDAYS(J6,K6,fESTIVOS!$A$2:$A$53))</f>
        <v>2</v>
      </c>
      <c r="I6" s="46">
        <v>45817.0</v>
      </c>
      <c r="J6" s="26">
        <v>45841.0</v>
      </c>
      <c r="K6" s="25">
        <v>45842.0</v>
      </c>
      <c r="L6" s="26">
        <v>45842.0</v>
      </c>
      <c r="M6" s="39">
        <f>IF(OR(J6="",AND(L6="",TODAY()&lt;J6),AND(L6&lt;&gt;"",L6&lt;J6)),0,
   IF(L6="",
      NETWORKDAYS(J6,TODAY(),fESTIVOS!$A$2:$A$53),
      NETWORKDAYS(J6,L6,fESTIVOS!$A$2:$A$53)
   )
)
</f>
        <v>2</v>
      </c>
      <c r="N6" s="23"/>
      <c r="O6" s="23"/>
      <c r="P6" s="248">
        <v>45852.0</v>
      </c>
      <c r="Q6" s="30" t="s">
        <v>2143</v>
      </c>
      <c r="R6" s="250" t="s">
        <v>78</v>
      </c>
      <c r="S6" s="34" t="s">
        <v>2144</v>
      </c>
    </row>
    <row r="7" ht="29.25" customHeight="1">
      <c r="A7" s="16" t="s">
        <v>2126</v>
      </c>
      <c r="B7" s="254" t="s">
        <v>2145</v>
      </c>
      <c r="C7" s="255" t="s">
        <v>2146</v>
      </c>
      <c r="D7" s="244"/>
      <c r="E7" s="245" t="s">
        <v>2147</v>
      </c>
      <c r="F7" s="20" t="s">
        <v>76</v>
      </c>
      <c r="G7" s="21">
        <v>100.0</v>
      </c>
      <c r="H7" s="246">
        <f>IF(OR(J7="",K7="",K7&lt;J7),0,NETWORKDAYS(J7,K7,fESTIVOS!$A$2:$A$53))</f>
        <v>0</v>
      </c>
      <c r="I7" s="46">
        <v>45817.0</v>
      </c>
      <c r="J7" s="256">
        <v>45845.0</v>
      </c>
      <c r="K7" s="25"/>
      <c r="L7" s="26">
        <v>45847.0</v>
      </c>
      <c r="M7" s="39">
        <f>IF(OR(J7="",AND(L7="",TODAY()&lt;J7),AND(L7&lt;&gt;"",L7&lt;J7)),0,
   IF(L7="",
      NETWORKDAYS(J7,TODAY(),fESTIVOS!$A$2:$A$53),
      NETWORKDAYS(J7,L7,fESTIVOS!$A$2:$A$53)
   )
)
</f>
        <v>3</v>
      </c>
      <c r="N7" s="23"/>
      <c r="O7" s="23"/>
      <c r="P7" s="248">
        <v>45852.0</v>
      </c>
      <c r="Q7" s="30" t="s">
        <v>2148</v>
      </c>
      <c r="R7" s="250" t="s">
        <v>78</v>
      </c>
      <c r="S7" s="41" t="s">
        <v>2149</v>
      </c>
    </row>
    <row r="8" ht="29.25" customHeight="1">
      <c r="A8" s="16" t="s">
        <v>2126</v>
      </c>
      <c r="B8" s="257" t="s">
        <v>2150</v>
      </c>
      <c r="C8" s="258" t="s">
        <v>2151</v>
      </c>
      <c r="D8" s="244"/>
      <c r="E8" s="259" t="s">
        <v>2147</v>
      </c>
      <c r="F8" s="20" t="s">
        <v>76</v>
      </c>
      <c r="G8" s="58">
        <v>100.0</v>
      </c>
      <c r="H8" s="246">
        <f>IF(OR(J8="",K8="",K8&lt;J8),0,NETWORKDAYS(J8,K8,fESTIVOS!$A$2:$A$53))</f>
        <v>0</v>
      </c>
      <c r="I8" s="81">
        <v>45834.0</v>
      </c>
      <c r="J8" s="25">
        <v>45848.0</v>
      </c>
      <c r="K8" s="260"/>
      <c r="L8" s="25">
        <v>45822.0</v>
      </c>
      <c r="M8" s="39">
        <f>IF(OR(J8="",AND(L8="",TODAY()&lt;J8),AND(L8&lt;&gt;"",L8&lt;J8)),0,
   IF(L8="",
      NETWORKDAYS(J8,TODAY(),fESTIVOS!$A$2:$A$53),
      NETWORKDAYS(J8,L8,fESTIVOS!$A$2:$A$53)
   )
)
</f>
        <v>0</v>
      </c>
      <c r="N8" s="261"/>
      <c r="O8" s="261"/>
      <c r="P8" s="248">
        <v>45852.0</v>
      </c>
      <c r="Q8" s="262" t="s">
        <v>2152</v>
      </c>
      <c r="R8" s="250" t="s">
        <v>78</v>
      </c>
      <c r="S8" s="49" t="s">
        <v>2153</v>
      </c>
    </row>
    <row r="9" ht="29.25" customHeight="1">
      <c r="A9" s="16" t="s">
        <v>2126</v>
      </c>
      <c r="B9" s="257" t="s">
        <v>2154</v>
      </c>
      <c r="C9" s="258" t="s">
        <v>2155</v>
      </c>
      <c r="D9" s="244"/>
      <c r="E9" s="259" t="s">
        <v>2147</v>
      </c>
      <c r="F9" s="20" t="s">
        <v>76</v>
      </c>
      <c r="G9" s="58">
        <v>100.0</v>
      </c>
      <c r="H9" s="246">
        <f>IF(OR(J9="",K9="",K9&lt;J9),0,NETWORKDAYS(J9,K9,fESTIVOS!$A$2:$A$53))</f>
        <v>0</v>
      </c>
      <c r="I9" s="81">
        <v>45834.0</v>
      </c>
      <c r="J9" s="25">
        <v>45848.0</v>
      </c>
      <c r="K9" s="52"/>
      <c r="L9" s="25">
        <v>45848.0</v>
      </c>
      <c r="M9" s="39">
        <f>IF(OR(J9="",AND(L9="",TODAY()&lt;J9),AND(L9&lt;&gt;"",L9&lt;J9)),0,
   IF(L9="",
      NETWORKDAYS(J9,TODAY(),fESTIVOS!$A$2:$A$53),
      NETWORKDAYS(J9,L9,fESTIVOS!$A$2:$A$53)
   )
)
</f>
        <v>1</v>
      </c>
      <c r="N9" s="261"/>
      <c r="O9" s="261"/>
      <c r="P9" s="29"/>
      <c r="Q9" s="262" t="s">
        <v>2156</v>
      </c>
      <c r="R9" s="250" t="s">
        <v>78</v>
      </c>
      <c r="S9" s="49" t="s">
        <v>2157</v>
      </c>
    </row>
    <row r="10" ht="29.25" customHeight="1">
      <c r="A10" s="16" t="s">
        <v>2126</v>
      </c>
      <c r="B10" s="257" t="s">
        <v>2158</v>
      </c>
      <c r="C10" s="151" t="s">
        <v>2159</v>
      </c>
      <c r="D10" s="244"/>
      <c r="E10" s="259" t="s">
        <v>2147</v>
      </c>
      <c r="F10" s="20" t="s">
        <v>76</v>
      </c>
      <c r="G10" s="58">
        <v>100.0</v>
      </c>
      <c r="H10" s="246">
        <f>IF(OR(J10="",K10="",K10&lt;J10),0,NETWORKDAYS(J10,K10,fESTIVOS!$A$2:$A$53))</f>
        <v>0</v>
      </c>
      <c r="I10" s="81">
        <v>45834.0</v>
      </c>
      <c r="J10" s="25">
        <v>45854.0</v>
      </c>
      <c r="K10" s="68"/>
      <c r="L10" s="25">
        <v>45855.0</v>
      </c>
      <c r="M10" s="39">
        <f>IF(OR(J10="",AND(L10="",TODAY()&lt;J10),AND(L10&lt;&gt;"",L10&lt;J10)),0,
   IF(L10="",
      NETWORKDAYS(J10,TODAY(),fESTIVOS!$A$2:$A$53),
      NETWORKDAYS(J10,L10,fESTIVOS!$A$2:$A$53)
   )
)
</f>
        <v>2</v>
      </c>
      <c r="N10" s="261"/>
      <c r="O10" s="261"/>
      <c r="P10" s="248">
        <v>45855.0</v>
      </c>
      <c r="Q10" s="262" t="s">
        <v>2160</v>
      </c>
      <c r="R10" s="250" t="s">
        <v>78</v>
      </c>
      <c r="S10" s="49" t="s">
        <v>2161</v>
      </c>
    </row>
    <row r="11" ht="29.25" customHeight="1">
      <c r="A11" s="16" t="s">
        <v>2126</v>
      </c>
      <c r="B11" s="257" t="s">
        <v>2162</v>
      </c>
      <c r="C11" s="151" t="s">
        <v>2163</v>
      </c>
      <c r="D11" s="244"/>
      <c r="E11" s="259" t="s">
        <v>2147</v>
      </c>
      <c r="F11" s="20" t="s">
        <v>76</v>
      </c>
      <c r="G11" s="58">
        <v>100.0</v>
      </c>
      <c r="H11" s="246">
        <f>IF(OR(J11="",K11="",K11&lt;J11),0,NETWORKDAYS(J11,K11,fESTIVOS!$A$2:$A$53))</f>
        <v>0</v>
      </c>
      <c r="I11" s="81">
        <v>45834.0</v>
      </c>
      <c r="J11" s="25">
        <v>45848.0</v>
      </c>
      <c r="K11" s="68"/>
      <c r="L11" s="25">
        <v>45818.0</v>
      </c>
      <c r="M11" s="39">
        <f>IF(OR(J11="",AND(L11="",TODAY()&lt;J11),AND(L11&lt;&gt;"",L11&lt;J11)),0,
   IF(L11="",
      NETWORKDAYS(J11,TODAY(),fESTIVOS!$A$2:$A$53),
      NETWORKDAYS(J11,L11,fESTIVOS!$A$2:$A$53)
   )
)
</f>
        <v>0</v>
      </c>
      <c r="N11" s="261"/>
      <c r="O11" s="261"/>
      <c r="P11" s="248">
        <v>45852.0</v>
      </c>
      <c r="Q11" s="262" t="s">
        <v>2164</v>
      </c>
      <c r="R11" s="250" t="s">
        <v>78</v>
      </c>
      <c r="S11" s="49" t="s">
        <v>2165</v>
      </c>
    </row>
    <row r="12" ht="29.25" customHeight="1">
      <c r="A12" s="16" t="s">
        <v>2126</v>
      </c>
      <c r="B12" s="257" t="s">
        <v>2166</v>
      </c>
      <c r="C12" s="263" t="s">
        <v>2167</v>
      </c>
      <c r="D12" s="264"/>
      <c r="E12" s="265" t="s">
        <v>2147</v>
      </c>
      <c r="F12" s="117" t="s">
        <v>76</v>
      </c>
      <c r="G12" s="58">
        <v>100.0</v>
      </c>
      <c r="H12" s="246">
        <f>IF(OR(J12="",K12="",K12&lt;J12),0,NETWORKDAYS(J12,K12,fESTIVOS!$A$2:$A$53))</f>
        <v>0</v>
      </c>
      <c r="I12" s="81">
        <v>45853.0</v>
      </c>
      <c r="J12" s="25">
        <v>45853.0</v>
      </c>
      <c r="K12" s="68"/>
      <c r="L12" s="25">
        <v>45854.0</v>
      </c>
      <c r="M12" s="39">
        <f>IF(OR(J12="",AND(L12="",TODAY()&lt;J12),AND(L12&lt;&gt;"",L12&lt;J12)),0,
   IF(L12="",
      NETWORKDAYS(J12,TODAY(),fESTIVOS!$A$2:$A$53),
      NETWORKDAYS(J12,L12,fESTIVOS!$A$2:$A$53)
   )
)
</f>
        <v>2</v>
      </c>
      <c r="N12" s="261"/>
      <c r="O12" s="261"/>
      <c r="P12" s="29"/>
      <c r="Q12" s="262" t="s">
        <v>2168</v>
      </c>
      <c r="R12" s="250" t="s">
        <v>78</v>
      </c>
      <c r="S12" s="266"/>
    </row>
    <row r="13" ht="39.0" customHeight="1">
      <c r="A13" s="16" t="s">
        <v>2126</v>
      </c>
      <c r="B13" s="243" t="s">
        <v>2169</v>
      </c>
      <c r="C13" s="267" t="s">
        <v>2170</v>
      </c>
      <c r="D13" s="252"/>
      <c r="E13" s="245" t="s">
        <v>2129</v>
      </c>
      <c r="F13" s="20" t="s">
        <v>76</v>
      </c>
      <c r="G13" s="58">
        <v>100.0</v>
      </c>
      <c r="H13" s="246">
        <f>IF(OR(J13="",K13="",K13&lt;J13),0,NETWORKDAYS(J13,K13,fESTIVOS!$A$2:$A$53))</f>
        <v>2</v>
      </c>
      <c r="I13" s="81">
        <v>45855.0</v>
      </c>
      <c r="J13" s="60">
        <v>45855.0</v>
      </c>
      <c r="K13" s="60">
        <v>45857.0</v>
      </c>
      <c r="L13" s="60">
        <v>45862.0</v>
      </c>
      <c r="M13" s="39">
        <f>IF(OR(J13="",AND(L13="",TODAY()&lt;J13),AND(L13&lt;&gt;"",L13&lt;J13)),0,
   IF(L13="",
      NETWORKDAYS(J13,TODAY(),fESTIVOS!$A$2:$A$53),
      NETWORKDAYS(J13,L13,fESTIVOS!$A$2:$A$53)
   )
)
</f>
        <v>6</v>
      </c>
      <c r="N13" s="59"/>
      <c r="O13" s="59"/>
      <c r="P13" s="69"/>
      <c r="Q13" s="62" t="s">
        <v>2171</v>
      </c>
      <c r="R13" s="250" t="s">
        <v>78</v>
      </c>
      <c r="S13" s="64" t="s">
        <v>2172</v>
      </c>
    </row>
    <row r="14" ht="29.25" customHeight="1">
      <c r="A14" s="16" t="s">
        <v>2173</v>
      </c>
      <c r="B14" s="243" t="s">
        <v>2174</v>
      </c>
      <c r="C14" s="203" t="s">
        <v>2175</v>
      </c>
      <c r="D14" s="244"/>
      <c r="E14" s="245" t="s">
        <v>2129</v>
      </c>
      <c r="F14" s="20" t="s">
        <v>76</v>
      </c>
      <c r="G14" s="58">
        <v>100.0</v>
      </c>
      <c r="H14" s="246">
        <f>IF(OR(J14="",K14="",K14&lt;J14),0,NETWORKDAYS(J14,K14,fESTIVOS!$A$2:$A$53))</f>
        <v>26</v>
      </c>
      <c r="I14" s="59"/>
      <c r="J14" s="60">
        <v>45859.0</v>
      </c>
      <c r="K14" s="26">
        <v>45896.0</v>
      </c>
      <c r="L14" s="26">
        <v>45944.0</v>
      </c>
      <c r="M14" s="39">
        <f>IF(OR(J14="",AND(L14="",TODAY()&lt;J14),AND(L14&lt;&gt;"",L14&lt;J14)),0,
   IF(L14="",
      NETWORKDAYS(J14,TODAY(),fESTIVOS!$A$2:$A$53),
      NETWORKDAYS(J14,L14,fESTIVOS!$A$2:$A$53)
   )
)
</f>
        <v>59</v>
      </c>
      <c r="N14" s="59"/>
      <c r="O14" s="59"/>
      <c r="P14" s="69"/>
      <c r="Q14" s="268" t="s">
        <v>2176</v>
      </c>
      <c r="R14" s="250" t="s">
        <v>78</v>
      </c>
      <c r="S14" s="269" t="s">
        <v>2177</v>
      </c>
    </row>
    <row r="15" ht="29.25" customHeight="1">
      <c r="A15" s="16" t="s">
        <v>2126</v>
      </c>
      <c r="B15" s="243" t="s">
        <v>2178</v>
      </c>
      <c r="C15" s="203" t="s">
        <v>2179</v>
      </c>
      <c r="D15" s="244"/>
      <c r="E15" s="245" t="s">
        <v>2129</v>
      </c>
      <c r="F15" s="20" t="s">
        <v>76</v>
      </c>
      <c r="G15" s="58">
        <v>100.0</v>
      </c>
      <c r="H15" s="246">
        <f>IF(OR(J15="",K15="",K15&lt;J15),0,NETWORKDAYS(J15,K15,fESTIVOS!$A$2:$A$53))</f>
        <v>4</v>
      </c>
      <c r="I15" s="81">
        <v>45940.0</v>
      </c>
      <c r="J15" s="60">
        <v>45940.0</v>
      </c>
      <c r="K15" s="26">
        <v>45946.0</v>
      </c>
      <c r="L15" s="26">
        <v>45951.0</v>
      </c>
      <c r="M15" s="39">
        <f>IF(OR(J15="",AND(L15="",TODAY()&lt;J15),AND(L15&lt;&gt;"",L15&lt;J15)),0,
   IF(L15="",
      NETWORKDAYS(J15,TODAY(),fESTIVOS!$A$2:$A$53),
      NETWORKDAYS(J15,L15,fESTIVOS!$A$2:$A$53)
   )
)
</f>
        <v>7</v>
      </c>
      <c r="N15" s="59"/>
      <c r="O15" s="59"/>
      <c r="P15" s="69"/>
      <c r="Q15" s="268" t="s">
        <v>2180</v>
      </c>
      <c r="R15" s="250" t="s">
        <v>78</v>
      </c>
      <c r="S15" s="269"/>
    </row>
    <row r="16" ht="29.25" customHeight="1">
      <c r="A16" s="16" t="s">
        <v>2126</v>
      </c>
      <c r="B16" s="243" t="s">
        <v>2181</v>
      </c>
      <c r="C16" s="267" t="s">
        <v>2182</v>
      </c>
      <c r="D16" s="244"/>
      <c r="E16" s="270" t="s">
        <v>2129</v>
      </c>
      <c r="F16" s="20" t="s">
        <v>76</v>
      </c>
      <c r="G16" s="58">
        <v>100.0</v>
      </c>
      <c r="H16" s="246">
        <f>IF(OR(J16="",K16="",K16&lt;J16),0,NETWORKDAYS(J16,K16,fESTIVOS!$A$2:$A$53))</f>
        <v>0</v>
      </c>
      <c r="I16" s="81">
        <v>45855.0</v>
      </c>
      <c r="J16" s="60">
        <v>45855.0</v>
      </c>
      <c r="K16" s="24"/>
      <c r="L16" s="26">
        <v>45860.0</v>
      </c>
      <c r="M16" s="39">
        <f>IF(OR(J16="",AND(L16="",TODAY()&lt;J16),AND(L16&lt;&gt;"",L16&lt;J16)),0,
   IF(L16="",
      NETWORKDAYS(J16,TODAY(),fESTIVOS!$A$2:$A$53),
      NETWORKDAYS(J16,L16,fESTIVOS!$A$2:$A$53)
   )
)
</f>
        <v>4</v>
      </c>
      <c r="N16" s="59"/>
      <c r="O16" s="59"/>
      <c r="P16" s="61">
        <v>45885.0</v>
      </c>
      <c r="Q16" s="77" t="s">
        <v>2183</v>
      </c>
      <c r="R16" s="250" t="s">
        <v>78</v>
      </c>
      <c r="S16" s="271"/>
    </row>
    <row r="17" ht="29.25" customHeight="1">
      <c r="A17" s="272" t="s">
        <v>2184</v>
      </c>
      <c r="B17" s="243" t="s">
        <v>2185</v>
      </c>
      <c r="C17" s="267" t="s">
        <v>2186</v>
      </c>
      <c r="D17" s="244"/>
      <c r="E17" s="273" t="s">
        <v>2129</v>
      </c>
      <c r="F17" s="20" t="s">
        <v>76</v>
      </c>
      <c r="G17" s="58">
        <v>100.0</v>
      </c>
      <c r="H17" s="246">
        <f>IF(OR(J17="",K17="",K17&lt;J17),0,NETWORKDAYS(J17,K17,fESTIVOS!$A$2:$A$53))</f>
        <v>1</v>
      </c>
      <c r="I17" s="81">
        <v>45863.0</v>
      </c>
      <c r="J17" s="60">
        <v>45863.0</v>
      </c>
      <c r="K17" s="26">
        <v>45863.0</v>
      </c>
      <c r="L17" s="60">
        <v>45885.0</v>
      </c>
      <c r="M17" s="39">
        <f>IF(OR(J17="",AND(L17="",TODAY()&lt;J17),AND(L17&lt;&gt;"",L17&lt;J17)),0,
   IF(L17="",
      NETWORKDAYS(J17,TODAY(),fESTIVOS!$A$2:$A$53),
      NETWORKDAYS(J17,L17,fESTIVOS!$A$2:$A$53)
   )
)
</f>
        <v>15</v>
      </c>
      <c r="N17" s="81"/>
      <c r="O17" s="81"/>
      <c r="P17" s="69"/>
      <c r="Q17" s="77" t="s">
        <v>2187</v>
      </c>
      <c r="R17" s="250" t="s">
        <v>78</v>
      </c>
      <c r="S17" s="78"/>
    </row>
    <row r="18" ht="29.25" customHeight="1">
      <c r="A18" s="16" t="s">
        <v>2126</v>
      </c>
      <c r="B18" s="243" t="s">
        <v>2188</v>
      </c>
      <c r="C18" s="267" t="s">
        <v>2189</v>
      </c>
      <c r="D18" s="274"/>
      <c r="E18" s="273" t="s">
        <v>2129</v>
      </c>
      <c r="F18" s="85" t="s">
        <v>76</v>
      </c>
      <c r="G18" s="58">
        <v>100.0</v>
      </c>
      <c r="H18" s="246">
        <f>IF(OR(J18="",K18="",K18&lt;J18),0,NETWORKDAYS(J18,K18,fESTIVOS!$A$2:$A$53))</f>
        <v>2</v>
      </c>
      <c r="I18" s="81">
        <v>45863.0</v>
      </c>
      <c r="J18" s="60">
        <v>45866.0</v>
      </c>
      <c r="K18" s="60">
        <v>45867.0</v>
      </c>
      <c r="L18" s="60">
        <v>45870.0</v>
      </c>
      <c r="M18" s="39">
        <f>IF(OR(J18="",AND(L18="",TODAY()&lt;J18),AND(L18&lt;&gt;"",L18&lt;J18)),0,
   IF(L18="",
      NETWORKDAYS(J18,TODAY(),fESTIVOS!$A$2:$A$53),
      NETWORKDAYS(J18,L18,fESTIVOS!$A$2:$A$53)
   )
)
</f>
        <v>5</v>
      </c>
      <c r="N18" s="81"/>
      <c r="O18" s="81"/>
      <c r="P18" s="61">
        <v>45885.0</v>
      </c>
      <c r="Q18" s="86" t="s">
        <v>2190</v>
      </c>
      <c r="R18" s="250" t="s">
        <v>78</v>
      </c>
      <c r="S18" s="87"/>
    </row>
    <row r="19" ht="29.25" customHeight="1">
      <c r="A19" s="16" t="s">
        <v>2126</v>
      </c>
      <c r="B19" s="243" t="s">
        <v>2191</v>
      </c>
      <c r="C19" s="267" t="s">
        <v>2192</v>
      </c>
      <c r="D19" s="264"/>
      <c r="E19" s="273" t="s">
        <v>2193</v>
      </c>
      <c r="F19" s="117" t="s">
        <v>76</v>
      </c>
      <c r="G19" s="58">
        <v>100.0</v>
      </c>
      <c r="H19" s="246">
        <f>IF(OR(J19="",K19="",K19&lt;J19),0,NETWORKDAYS(J19,K19,fESTIVOS!$A$2:$A$53))</f>
        <v>1</v>
      </c>
      <c r="I19" s="81">
        <v>45870.0</v>
      </c>
      <c r="J19" s="60">
        <v>45870.0</v>
      </c>
      <c r="K19" s="60">
        <v>45870.0</v>
      </c>
      <c r="L19" s="60">
        <v>45877.0</v>
      </c>
      <c r="M19" s="39">
        <f>IF(OR(J19="",AND(L19="",TODAY()&lt;J19),AND(L19&lt;&gt;"",L19&lt;J19)),0,
   IF(L19="",
      NETWORKDAYS(J19,TODAY(),fESTIVOS!$A$2:$A$53),
      NETWORKDAYS(J19,L19,fESTIVOS!$A$2:$A$53)
   )
)
</f>
        <v>5</v>
      </c>
      <c r="N19" s="59"/>
      <c r="O19" s="59"/>
      <c r="P19" s="69"/>
      <c r="Q19" s="62" t="s">
        <v>2194</v>
      </c>
      <c r="R19" s="250" t="s">
        <v>78</v>
      </c>
      <c r="S19" s="118"/>
    </row>
    <row r="20" ht="29.25" customHeight="1">
      <c r="A20" s="16" t="s">
        <v>2126</v>
      </c>
      <c r="B20" s="243" t="s">
        <v>2195</v>
      </c>
      <c r="C20" s="267" t="s">
        <v>2196</v>
      </c>
      <c r="D20" s="244"/>
      <c r="E20" s="245" t="s">
        <v>2129</v>
      </c>
      <c r="F20" s="20" t="s">
        <v>76</v>
      </c>
      <c r="G20" s="58">
        <v>100.0</v>
      </c>
      <c r="H20" s="246">
        <f>IF(OR(J20="",K20="",K20&lt;J20),0,NETWORKDAYS(J20,K20,fESTIVOS!$A$2:$A$53))</f>
        <v>0</v>
      </c>
      <c r="I20" s="81">
        <v>45874.0</v>
      </c>
      <c r="J20" s="60">
        <v>45874.0</v>
      </c>
      <c r="K20" s="68"/>
      <c r="L20" s="60">
        <v>45882.0</v>
      </c>
      <c r="M20" s="39">
        <f>IF(OR(J20="",AND(L20="",TODAY()&lt;J20),AND(L20&lt;&gt;"",L20&lt;J20)),0,
   IF(L20="",
      NETWORKDAYS(J20,TODAY(),fESTIVOS!$A$2:$A$53),
      NETWORKDAYS(J20,L20,fESTIVOS!$A$2:$A$53)
   )
)
</f>
        <v>6</v>
      </c>
      <c r="N20" s="59"/>
      <c r="O20" s="59"/>
      <c r="P20" s="61">
        <v>45885.0</v>
      </c>
      <c r="Q20" s="30" t="s">
        <v>2197</v>
      </c>
      <c r="R20" s="250" t="s">
        <v>78</v>
      </c>
      <c r="S20" s="34"/>
    </row>
    <row r="21" ht="29.25" customHeight="1">
      <c r="A21" s="16" t="s">
        <v>2126</v>
      </c>
      <c r="B21" s="243" t="s">
        <v>2198</v>
      </c>
      <c r="C21" s="275" t="s">
        <v>2199</v>
      </c>
      <c r="D21" s="276"/>
      <c r="E21" s="245" t="s">
        <v>2129</v>
      </c>
      <c r="F21" s="133" t="s">
        <v>76</v>
      </c>
      <c r="G21" s="134">
        <v>100.0</v>
      </c>
      <c r="H21" s="246">
        <f>IF(OR(J21="",K21="",K21&lt;J21),0,NETWORKDAYS(J21,K21,fESTIVOS!$A$2:$A$53))</f>
        <v>0</v>
      </c>
      <c r="I21" s="135">
        <v>45883.0</v>
      </c>
      <c r="J21" s="60">
        <v>45883.0</v>
      </c>
      <c r="K21" s="60"/>
      <c r="L21" s="60">
        <v>45883.0</v>
      </c>
      <c r="M21" s="39">
        <f>IF(OR(J21="",AND(L21="",TODAY()&lt;J21),AND(L21&lt;&gt;"",L21&lt;J21)),0,
   IF(L21="",
      NETWORKDAYS(J21,TODAY(),fESTIVOS!$A$2:$A$53),
      NETWORKDAYS(J21,L21,fESTIVOS!$A$2:$A$53)
   )
)
</f>
        <v>1</v>
      </c>
      <c r="N21" s="81"/>
      <c r="O21" s="81"/>
      <c r="P21" s="61">
        <v>45885.0</v>
      </c>
      <c r="Q21" s="30" t="s">
        <v>2200</v>
      </c>
      <c r="R21" s="250" t="s">
        <v>78</v>
      </c>
      <c r="S21" s="34"/>
    </row>
    <row r="22" ht="29.25" customHeight="1">
      <c r="A22" s="16" t="s">
        <v>2126</v>
      </c>
      <c r="B22" s="243" t="s">
        <v>2201</v>
      </c>
      <c r="C22" s="275" t="s">
        <v>2202</v>
      </c>
      <c r="D22" s="277" t="s">
        <v>2203</v>
      </c>
      <c r="E22" s="245" t="s">
        <v>2129</v>
      </c>
      <c r="F22" s="133" t="s">
        <v>76</v>
      </c>
      <c r="G22" s="134">
        <v>100.0</v>
      </c>
      <c r="H22" s="246">
        <f>IF(OR(J22="",K22="",K22&lt;J22),0,NETWORKDAYS(J22,K22,fESTIVOS!$A$2:$A$53))</f>
        <v>0</v>
      </c>
      <c r="I22" s="135"/>
      <c r="J22" s="60">
        <v>45895.0</v>
      </c>
      <c r="K22" s="60"/>
      <c r="L22" s="60">
        <v>45895.0</v>
      </c>
      <c r="M22" s="39">
        <f>IF(OR(J22="",AND(L22="",TODAY()&lt;J22),AND(L22&lt;&gt;"",L22&lt;J22)),0,
   IF(L22="",
      NETWORKDAYS(J22,TODAY(),fESTIVOS!$A$2:$A$53),
      NETWORKDAYS(J22,L22,fESTIVOS!$A$2:$A$53)
   )
)
</f>
        <v>1</v>
      </c>
      <c r="N22" s="81"/>
      <c r="O22" s="81"/>
      <c r="P22" s="61"/>
      <c r="Q22" s="30" t="s">
        <v>2204</v>
      </c>
      <c r="R22" s="250" t="s">
        <v>78</v>
      </c>
      <c r="S22" s="34"/>
    </row>
    <row r="23" ht="29.25" customHeight="1">
      <c r="A23" s="16" t="s">
        <v>2126</v>
      </c>
      <c r="B23" s="243" t="s">
        <v>2205</v>
      </c>
      <c r="C23" s="267" t="s">
        <v>2192</v>
      </c>
      <c r="D23" s="278" t="s">
        <v>2206</v>
      </c>
      <c r="E23" s="245" t="s">
        <v>2193</v>
      </c>
      <c r="F23" s="85" t="s">
        <v>76</v>
      </c>
      <c r="G23" s="58">
        <v>100.0</v>
      </c>
      <c r="H23" s="246">
        <f>IF(OR(J23="",K23="",K23&lt;J23),0,NETWORKDAYS(J23,K23,fESTIVOS!$A$2:$A$53))</f>
        <v>5</v>
      </c>
      <c r="I23" s="81">
        <v>45884.0</v>
      </c>
      <c r="J23" s="60">
        <v>45884.0</v>
      </c>
      <c r="K23" s="60">
        <v>45891.0</v>
      </c>
      <c r="L23" s="60">
        <v>45947.0</v>
      </c>
      <c r="M23" s="39">
        <f>IF(OR(J23="",AND(L23="",TODAY()&lt;J23),AND(L23&lt;&gt;"",L23&lt;J23)),0,
   IF(L23="",
      NETWORKDAYS(J23,TODAY(),fESTIVOS!$A$2:$A$53),
      NETWORKDAYS(J23,L23,fESTIVOS!$A$2:$A$53)
   )
)
</f>
        <v>44</v>
      </c>
      <c r="N23" s="81"/>
      <c r="O23" s="81"/>
      <c r="P23" s="61"/>
      <c r="Q23" s="34" t="s">
        <v>2207</v>
      </c>
      <c r="R23" s="250" t="s">
        <v>78</v>
      </c>
      <c r="S23" s="34"/>
    </row>
    <row r="24" ht="29.25" customHeight="1">
      <c r="A24" s="16" t="s">
        <v>2126</v>
      </c>
      <c r="B24" s="243" t="s">
        <v>2208</v>
      </c>
      <c r="C24" s="267" t="s">
        <v>2209</v>
      </c>
      <c r="D24" s="278"/>
      <c r="E24" s="245" t="s">
        <v>2210</v>
      </c>
      <c r="F24" s="279" t="s">
        <v>76</v>
      </c>
      <c r="G24" s="58">
        <v>100.0</v>
      </c>
      <c r="H24" s="246">
        <f>IF(OR(J24="",K24="",K24&lt;J24),0,NETWORKDAYS(J24,K24,fESTIVOS!$A$2:$A$53))</f>
        <v>5</v>
      </c>
      <c r="I24" s="81">
        <v>45894.0</v>
      </c>
      <c r="J24" s="60">
        <v>45894.0</v>
      </c>
      <c r="K24" s="60">
        <v>45898.0</v>
      </c>
      <c r="L24" s="60">
        <v>45897.0</v>
      </c>
      <c r="M24" s="39">
        <f>IF(OR(J24="",AND(L24="",TODAY()&lt;J24),AND(L24&lt;&gt;"",L24&lt;J24)),0,
   IF(L24="",
      NETWORKDAYS(J24,TODAY(),fESTIVOS!$A$2:$A$53),
      NETWORKDAYS(J24,L24,fESTIVOS!$A$2:$A$53)
   )
)
</f>
        <v>4</v>
      </c>
      <c r="N24" s="81"/>
      <c r="O24" s="81"/>
      <c r="P24" s="61"/>
      <c r="Q24" s="34" t="s">
        <v>2211</v>
      </c>
      <c r="R24" s="250" t="s">
        <v>78</v>
      </c>
      <c r="S24" s="34"/>
    </row>
    <row r="25" ht="29.25" customHeight="1">
      <c r="A25" s="16" t="s">
        <v>2126</v>
      </c>
      <c r="B25" s="243" t="s">
        <v>2212</v>
      </c>
      <c r="C25" s="267" t="s">
        <v>2209</v>
      </c>
      <c r="D25" s="278"/>
      <c r="E25" s="245" t="s">
        <v>2210</v>
      </c>
      <c r="F25" s="279" t="s">
        <v>76</v>
      </c>
      <c r="G25" s="58">
        <v>100.0</v>
      </c>
      <c r="H25" s="246">
        <f>IF(OR(J25="",K25="",K25&lt;J25),0,NETWORKDAYS(J25,K25,fESTIVOS!$A$2:$A$53))</f>
        <v>5</v>
      </c>
      <c r="I25" s="81">
        <v>45894.0</v>
      </c>
      <c r="J25" s="60">
        <v>45894.0</v>
      </c>
      <c r="K25" s="60">
        <v>45898.0</v>
      </c>
      <c r="L25" s="60">
        <v>45897.0</v>
      </c>
      <c r="M25" s="39">
        <f>IF(OR(J25="",AND(L25="",TODAY()&lt;J25),AND(L25&lt;&gt;"",L25&lt;J25)),0,
   IF(L25="",
      NETWORKDAYS(J25,TODAY(),fESTIVOS!$A$2:$A$53),
      NETWORKDAYS(J25,L25,fESTIVOS!$A$2:$A$53)
   )
)
</f>
        <v>4</v>
      </c>
      <c r="N25" s="81"/>
      <c r="O25" s="81"/>
      <c r="P25" s="61"/>
      <c r="Q25" s="34" t="s">
        <v>2213</v>
      </c>
      <c r="R25" s="250" t="s">
        <v>78</v>
      </c>
      <c r="S25" s="34"/>
    </row>
    <row r="26" ht="29.25" customHeight="1">
      <c r="A26" s="16" t="s">
        <v>2126</v>
      </c>
      <c r="B26" s="243" t="s">
        <v>2214</v>
      </c>
      <c r="C26" s="267" t="s">
        <v>2209</v>
      </c>
      <c r="D26" s="278"/>
      <c r="E26" s="245" t="s">
        <v>2210</v>
      </c>
      <c r="F26" s="279" t="s">
        <v>76</v>
      </c>
      <c r="G26" s="58">
        <v>100.0</v>
      </c>
      <c r="H26" s="246">
        <f>IF(OR(J26="",K26="",K26&lt;J26),0,NETWORKDAYS(J26,K26,fESTIVOS!$A$2:$A$53))</f>
        <v>5</v>
      </c>
      <c r="I26" s="81">
        <v>45894.0</v>
      </c>
      <c r="J26" s="60">
        <v>45894.0</v>
      </c>
      <c r="K26" s="60">
        <v>45898.0</v>
      </c>
      <c r="L26" s="60">
        <v>45897.0</v>
      </c>
      <c r="M26" s="39">
        <f>IF(OR(J26="",AND(L26="",TODAY()&lt;J26),AND(L26&lt;&gt;"",L26&lt;J26)),0,
   IF(L26="",
      NETWORKDAYS(J26,TODAY(),fESTIVOS!$A$2:$A$53),
      NETWORKDAYS(J26,L26,fESTIVOS!$A$2:$A$53)
   )
)
</f>
        <v>4</v>
      </c>
      <c r="N26" s="81"/>
      <c r="O26" s="81"/>
      <c r="P26" s="61"/>
      <c r="Q26" s="34" t="s">
        <v>2215</v>
      </c>
      <c r="R26" s="250" t="s">
        <v>78</v>
      </c>
      <c r="S26" s="34"/>
    </row>
    <row r="27" ht="29.25" customHeight="1">
      <c r="A27" s="16" t="s">
        <v>2126</v>
      </c>
      <c r="B27" s="243" t="s">
        <v>2216</v>
      </c>
      <c r="C27" s="267" t="s">
        <v>2209</v>
      </c>
      <c r="D27" s="280"/>
      <c r="E27" s="245" t="s">
        <v>2210</v>
      </c>
      <c r="F27" s="279" t="s">
        <v>76</v>
      </c>
      <c r="G27" s="58">
        <v>100.0</v>
      </c>
      <c r="H27" s="246">
        <f>IF(OR(J27="",K27="",K27&lt;J27),0,NETWORKDAYS(J27,K27,fESTIVOS!$A$2:$A$53))</f>
        <v>5</v>
      </c>
      <c r="I27" s="81">
        <v>45894.0</v>
      </c>
      <c r="J27" s="60">
        <v>45894.0</v>
      </c>
      <c r="K27" s="60">
        <v>45898.0</v>
      </c>
      <c r="L27" s="60">
        <v>45897.0</v>
      </c>
      <c r="M27" s="39">
        <f>IF(OR(J27="",AND(L27="",TODAY()&lt;J27),AND(L27&lt;&gt;"",L27&lt;J27)),0,
   IF(L27="",
      NETWORKDAYS(J27,TODAY(),fESTIVOS!$A$2:$A$53),
      NETWORKDAYS(J27,L27,fESTIVOS!$A$2:$A$53)
   )
)
</f>
        <v>4</v>
      </c>
      <c r="N27" s="81"/>
      <c r="O27" s="81"/>
      <c r="P27" s="61"/>
      <c r="Q27" s="34" t="s">
        <v>2217</v>
      </c>
      <c r="R27" s="250" t="s">
        <v>78</v>
      </c>
      <c r="S27" s="34"/>
    </row>
    <row r="28" ht="29.25" customHeight="1">
      <c r="A28" s="16" t="s">
        <v>2126</v>
      </c>
      <c r="B28" s="243" t="s">
        <v>2218</v>
      </c>
      <c r="C28" s="267" t="s">
        <v>2219</v>
      </c>
      <c r="D28" s="278"/>
      <c r="E28" s="245" t="s">
        <v>2210</v>
      </c>
      <c r="F28" s="279" t="s">
        <v>76</v>
      </c>
      <c r="G28" s="58">
        <v>100.0</v>
      </c>
      <c r="H28" s="246">
        <f>IF(OR(J28="",K28="",K28&lt;J28),0,NETWORKDAYS(J28,K28,fESTIVOS!$A$2:$A$53))</f>
        <v>4</v>
      </c>
      <c r="I28" s="81">
        <v>45894.0</v>
      </c>
      <c r="J28" s="60">
        <v>45895.0</v>
      </c>
      <c r="K28" s="60">
        <v>45898.0</v>
      </c>
      <c r="L28" s="60">
        <v>45897.0</v>
      </c>
      <c r="M28" s="39">
        <f>IF(OR(J28="",AND(L28="",TODAY()&lt;J28),AND(L28&lt;&gt;"",L28&lt;J28)),0,
   IF(L28="",
      NETWORKDAYS(J28,TODAY(),fESTIVOS!$A$2:$A$53),
      NETWORKDAYS(J28,L28,fESTIVOS!$A$2:$A$53)
   )
)
</f>
        <v>3</v>
      </c>
      <c r="N28" s="81"/>
      <c r="O28" s="81"/>
      <c r="P28" s="61"/>
      <c r="Q28" s="34" t="s">
        <v>2220</v>
      </c>
      <c r="R28" s="250" t="s">
        <v>78</v>
      </c>
      <c r="S28" s="34"/>
    </row>
    <row r="29" ht="29.25" customHeight="1">
      <c r="A29" s="16" t="s">
        <v>2126</v>
      </c>
      <c r="B29" s="243" t="s">
        <v>2221</v>
      </c>
      <c r="C29" s="267" t="s">
        <v>2222</v>
      </c>
      <c r="D29" s="278"/>
      <c r="E29" s="245" t="s">
        <v>2210</v>
      </c>
      <c r="F29" s="279" t="s">
        <v>76</v>
      </c>
      <c r="G29" s="58">
        <v>100.0</v>
      </c>
      <c r="H29" s="246">
        <f>IF(OR(J29="",K29="",K29&lt;J29),0,NETWORKDAYS(J29,K29,fESTIVOS!$A$2:$A$53))</f>
        <v>4</v>
      </c>
      <c r="I29" s="81">
        <v>45894.0</v>
      </c>
      <c r="J29" s="60">
        <v>45895.0</v>
      </c>
      <c r="K29" s="60">
        <v>45898.0</v>
      </c>
      <c r="L29" s="60">
        <v>45897.0</v>
      </c>
      <c r="M29" s="39">
        <f>IF(OR(J29="",AND(L29="",TODAY()&lt;J29),AND(L29&lt;&gt;"",L29&lt;J29)),0,
   IF(L29="",
      NETWORKDAYS(J29,TODAY(),fESTIVOS!$A$2:$A$53),
      NETWORKDAYS(J29,L29,fESTIVOS!$A$2:$A$53)
   )
)
</f>
        <v>3</v>
      </c>
      <c r="N29" s="81"/>
      <c r="O29" s="81"/>
      <c r="P29" s="61"/>
      <c r="Q29" s="34" t="s">
        <v>2223</v>
      </c>
      <c r="R29" s="250" t="s">
        <v>78</v>
      </c>
      <c r="S29" s="34"/>
    </row>
    <row r="30" ht="29.25" customHeight="1">
      <c r="A30" s="16" t="s">
        <v>2126</v>
      </c>
      <c r="B30" s="243" t="s">
        <v>2224</v>
      </c>
      <c r="C30" s="267" t="s">
        <v>2222</v>
      </c>
      <c r="D30" s="278"/>
      <c r="E30" s="245" t="s">
        <v>2210</v>
      </c>
      <c r="F30" s="279" t="s">
        <v>76</v>
      </c>
      <c r="G30" s="58">
        <v>100.0</v>
      </c>
      <c r="H30" s="246">
        <f>IF(OR(J30="",K30="",K30&lt;J30),0,NETWORKDAYS(J30,K30,fESTIVOS!$A$2:$A$53))</f>
        <v>4</v>
      </c>
      <c r="I30" s="81">
        <v>45894.0</v>
      </c>
      <c r="J30" s="60">
        <v>45895.0</v>
      </c>
      <c r="K30" s="60">
        <v>45898.0</v>
      </c>
      <c r="L30" s="60">
        <v>45897.0</v>
      </c>
      <c r="M30" s="39">
        <f>IF(OR(J30="",AND(L30="",TODAY()&lt;J30),AND(L30&lt;&gt;"",L30&lt;J30)),0,
   IF(L30="",
      NETWORKDAYS(J30,TODAY(),fESTIVOS!$A$2:$A$53),
      NETWORKDAYS(J30,L30,fESTIVOS!$A$2:$A$53)
   )
)
</f>
        <v>3</v>
      </c>
      <c r="N30" s="81"/>
      <c r="O30" s="81"/>
      <c r="P30" s="61"/>
      <c r="Q30" s="34" t="s">
        <v>2225</v>
      </c>
      <c r="R30" s="250" t="s">
        <v>78</v>
      </c>
      <c r="S30" s="34"/>
    </row>
    <row r="31" ht="29.25" customHeight="1">
      <c r="A31" s="16" t="s">
        <v>2126</v>
      </c>
      <c r="B31" s="243" t="s">
        <v>2226</v>
      </c>
      <c r="C31" s="267" t="s">
        <v>2227</v>
      </c>
      <c r="D31" s="278"/>
      <c r="E31" s="245" t="s">
        <v>2129</v>
      </c>
      <c r="F31" s="279" t="s">
        <v>76</v>
      </c>
      <c r="G31" s="58">
        <v>100.0</v>
      </c>
      <c r="H31" s="246">
        <f>IF(OR(J31="",K31="",K31&lt;J31),0,NETWORKDAYS(J31,K31,fESTIVOS!$A$2:$A$53))</f>
        <v>4</v>
      </c>
      <c r="I31" s="81">
        <v>45894.0</v>
      </c>
      <c r="J31" s="60">
        <v>45895.0</v>
      </c>
      <c r="K31" s="60">
        <v>45898.0</v>
      </c>
      <c r="L31" s="60">
        <v>45897.0</v>
      </c>
      <c r="M31" s="39">
        <f>IF(OR(J31="",AND(L31="",TODAY()&lt;J31),AND(L31&lt;&gt;"",L31&lt;J31)),0,
   IF(L31="",
      NETWORKDAYS(J31,TODAY(),fESTIVOS!$A$2:$A$53),
      NETWORKDAYS(J31,L31,fESTIVOS!$A$2:$A$53)
   )
)
</f>
        <v>3</v>
      </c>
      <c r="N31" s="81"/>
      <c r="O31" s="81"/>
      <c r="P31" s="61"/>
      <c r="Q31" s="34" t="s">
        <v>2228</v>
      </c>
      <c r="R31" s="250" t="s">
        <v>78</v>
      </c>
      <c r="S31" s="34"/>
    </row>
    <row r="32" ht="29.25" customHeight="1">
      <c r="A32" s="16" t="s">
        <v>2126</v>
      </c>
      <c r="B32" s="243" t="s">
        <v>2229</v>
      </c>
      <c r="C32" s="267" t="s">
        <v>2227</v>
      </c>
      <c r="D32" s="278"/>
      <c r="E32" s="245" t="s">
        <v>2129</v>
      </c>
      <c r="F32" s="85" t="s">
        <v>76</v>
      </c>
      <c r="G32" s="58">
        <v>100.0</v>
      </c>
      <c r="H32" s="246">
        <f>IF(OR(J32="",K32="",K32&lt;J32),0,NETWORKDAYS(J32,K32,fESTIVOS!$A$2:$A$53))</f>
        <v>4</v>
      </c>
      <c r="I32" s="81">
        <v>45894.0</v>
      </c>
      <c r="J32" s="60">
        <v>45896.0</v>
      </c>
      <c r="K32" s="60">
        <v>45901.0</v>
      </c>
      <c r="L32" s="60">
        <v>45930.0</v>
      </c>
      <c r="M32" s="39">
        <f>IF(OR(J32="",AND(L32="",TODAY()&lt;J32),AND(L32&lt;&gt;"",L32&lt;J32)),0,
   IF(L32="",
      NETWORKDAYS(J32,TODAY(),fESTIVOS!$A$2:$A$53),
      NETWORKDAYS(J32,L32,fESTIVOS!$A$2:$A$53)
   )
)
</f>
        <v>25</v>
      </c>
      <c r="N32" s="81"/>
      <c r="O32" s="81"/>
      <c r="P32" s="61"/>
      <c r="Q32" s="34" t="s">
        <v>2230</v>
      </c>
      <c r="R32" s="250" t="s">
        <v>78</v>
      </c>
      <c r="S32" s="34"/>
    </row>
    <row r="33" ht="29.25" customHeight="1">
      <c r="A33" s="16" t="s">
        <v>2126</v>
      </c>
      <c r="B33" s="243" t="s">
        <v>2231</v>
      </c>
      <c r="C33" s="267" t="s">
        <v>2232</v>
      </c>
      <c r="D33" s="278"/>
      <c r="E33" s="245" t="s">
        <v>2129</v>
      </c>
      <c r="F33" s="85" t="s">
        <v>76</v>
      </c>
      <c r="G33" s="58">
        <v>100.0</v>
      </c>
      <c r="H33" s="246">
        <f>IF(OR(J33="",K33="",K33&lt;J33),0,NETWORKDAYS(J33,K33,fESTIVOS!$A$2:$A$53))</f>
        <v>0</v>
      </c>
      <c r="I33" s="81">
        <v>45894.0</v>
      </c>
      <c r="J33" s="60">
        <v>45930.0</v>
      </c>
      <c r="K33" s="60">
        <v>45901.0</v>
      </c>
      <c r="L33" s="60">
        <v>45930.0</v>
      </c>
      <c r="M33" s="39">
        <f>IF(OR(J33="",AND(L33="",TODAY()&lt;J33),AND(L33&lt;&gt;"",L33&lt;J33)),0,
   IF(L33="",
      NETWORKDAYS(J33,TODAY(),fESTIVOS!$A$2:$A$53),
      NETWORKDAYS(J33,L33,fESTIVOS!$A$2:$A$53)
   )
)
</f>
        <v>1</v>
      </c>
      <c r="N33" s="81"/>
      <c r="O33" s="81"/>
      <c r="P33" s="61"/>
      <c r="Q33" s="34" t="s">
        <v>2233</v>
      </c>
      <c r="R33" s="250" t="s">
        <v>78</v>
      </c>
      <c r="S33" s="34"/>
    </row>
    <row r="34" ht="29.25" customHeight="1">
      <c r="A34" s="16" t="s">
        <v>2126</v>
      </c>
      <c r="B34" s="243" t="s">
        <v>2234</v>
      </c>
      <c r="C34" s="267" t="s">
        <v>2235</v>
      </c>
      <c r="D34" s="278"/>
      <c r="E34" s="245" t="s">
        <v>2129</v>
      </c>
      <c r="F34" s="85" t="s">
        <v>76</v>
      </c>
      <c r="G34" s="58">
        <v>100.0</v>
      </c>
      <c r="H34" s="246">
        <f>IF(OR(J34="",K34="",K34&lt;J34),0,NETWORKDAYS(J34,K34,fESTIVOS!$A$2:$A$53))</f>
        <v>0</v>
      </c>
      <c r="I34" s="81">
        <v>45894.0</v>
      </c>
      <c r="J34" s="60">
        <v>45930.0</v>
      </c>
      <c r="K34" s="60">
        <v>45901.0</v>
      </c>
      <c r="L34" s="60">
        <v>45930.0</v>
      </c>
      <c r="M34" s="39">
        <f>IF(OR(J34="",AND(L34="",TODAY()&lt;J34),AND(L34&lt;&gt;"",L34&lt;J34)),0,
   IF(L34="",
      NETWORKDAYS(J34,TODAY(),fESTIVOS!$A$2:$A$53),
      NETWORKDAYS(J34,L34,fESTIVOS!$A$2:$A$53)
   )
)
</f>
        <v>1</v>
      </c>
      <c r="N34" s="81"/>
      <c r="O34" s="81"/>
      <c r="P34" s="61"/>
      <c r="Q34" s="34" t="s">
        <v>2236</v>
      </c>
      <c r="R34" s="250" t="s">
        <v>78</v>
      </c>
      <c r="S34" s="34"/>
    </row>
    <row r="35" ht="29.25" customHeight="1">
      <c r="A35" s="16" t="s">
        <v>2126</v>
      </c>
      <c r="B35" s="243" t="s">
        <v>2237</v>
      </c>
      <c r="C35" s="267" t="s">
        <v>2238</v>
      </c>
      <c r="D35" s="278"/>
      <c r="E35" s="245" t="s">
        <v>2129</v>
      </c>
      <c r="F35" s="85" t="s">
        <v>76</v>
      </c>
      <c r="G35" s="58">
        <v>100.0</v>
      </c>
      <c r="H35" s="246">
        <f>IF(OR(J35="",K35="",K35&lt;J35),0,NETWORKDAYS(J35,K35,fESTIVOS!$A$2:$A$53))</f>
        <v>0</v>
      </c>
      <c r="I35" s="81">
        <v>45894.0</v>
      </c>
      <c r="J35" s="60">
        <v>45947.0</v>
      </c>
      <c r="K35" s="60">
        <v>45901.0</v>
      </c>
      <c r="L35" s="60">
        <v>45947.0</v>
      </c>
      <c r="M35" s="39">
        <f>IF(OR(J35="",AND(L35="",TODAY()&lt;J35),AND(L35&lt;&gt;"",L35&lt;J35)),0,
   IF(L35="",
      NETWORKDAYS(J35,TODAY(),fESTIVOS!$A$2:$A$53),
      NETWORKDAYS(J35,L35,fESTIVOS!$A$2:$A$53)
   )
)
</f>
        <v>1</v>
      </c>
      <c r="N35" s="81"/>
      <c r="O35" s="81"/>
      <c r="P35" s="61"/>
      <c r="Q35" s="34" t="s">
        <v>2239</v>
      </c>
      <c r="R35" s="250" t="s">
        <v>78</v>
      </c>
      <c r="S35" s="34"/>
    </row>
    <row r="36" ht="29.25" customHeight="1">
      <c r="A36" s="16" t="s">
        <v>2126</v>
      </c>
      <c r="B36" s="243" t="s">
        <v>2240</v>
      </c>
      <c r="C36" s="267" t="s">
        <v>2241</v>
      </c>
      <c r="D36" s="278"/>
      <c r="E36" s="245" t="s">
        <v>2210</v>
      </c>
      <c r="F36" s="279" t="s">
        <v>76</v>
      </c>
      <c r="G36" s="58">
        <v>100.0</v>
      </c>
      <c r="H36" s="246">
        <f>IF(OR(J36="",K36="",K36&lt;J36),0,NETWORKDAYS(J36,K36,fESTIVOS!$A$2:$A$53))</f>
        <v>4</v>
      </c>
      <c r="I36" s="81">
        <v>45894.0</v>
      </c>
      <c r="J36" s="60">
        <v>45895.0</v>
      </c>
      <c r="K36" s="60">
        <v>45898.0</v>
      </c>
      <c r="L36" s="60">
        <v>45897.0</v>
      </c>
      <c r="M36" s="39">
        <f>IF(OR(J36="",AND(L36="",TODAY()&lt;J36),AND(L36&lt;&gt;"",L36&lt;J36)),0,
   IF(L36="",
      NETWORKDAYS(J36,TODAY(),fESTIVOS!$A$2:$A$53),
      NETWORKDAYS(J36,L36,fESTIVOS!$A$2:$A$53)
   )
)
</f>
        <v>3</v>
      </c>
      <c r="N36" s="81"/>
      <c r="O36" s="81"/>
      <c r="P36" s="61"/>
      <c r="Q36" s="34" t="s">
        <v>2242</v>
      </c>
      <c r="R36" s="250" t="s">
        <v>78</v>
      </c>
      <c r="S36" s="34"/>
    </row>
    <row r="37" ht="29.25" customHeight="1">
      <c r="A37" s="16" t="s">
        <v>2126</v>
      </c>
      <c r="B37" s="243" t="s">
        <v>2243</v>
      </c>
      <c r="C37" s="267" t="s">
        <v>2244</v>
      </c>
      <c r="D37" s="278"/>
      <c r="E37" s="245" t="s">
        <v>2129</v>
      </c>
      <c r="F37" s="85" t="s">
        <v>76</v>
      </c>
      <c r="G37" s="58">
        <v>100.0</v>
      </c>
      <c r="H37" s="246">
        <f>IF(OR(J37="",K37="",K37&lt;J37),0,NETWORKDAYS(J37,K37,fESTIVOS!$A$2:$A$53))</f>
        <v>0</v>
      </c>
      <c r="I37" s="81">
        <v>45894.0</v>
      </c>
      <c r="J37" s="60">
        <v>45930.0</v>
      </c>
      <c r="K37" s="60">
        <v>45902.0</v>
      </c>
      <c r="L37" s="60">
        <v>45930.0</v>
      </c>
      <c r="M37" s="39">
        <f>IF(OR(J37="",AND(L37="",TODAY()&lt;J37),AND(L37&lt;&gt;"",L37&lt;J37)),0,
   IF(L37="",
      NETWORKDAYS(J37,TODAY(),fESTIVOS!$A$2:$A$53),
      NETWORKDAYS(J37,L37,fESTIVOS!$A$2:$A$53)
   )
)
</f>
        <v>1</v>
      </c>
      <c r="N37" s="281"/>
      <c r="O37" s="281"/>
      <c r="P37" s="61"/>
      <c r="Q37" s="34" t="s">
        <v>2245</v>
      </c>
      <c r="R37" s="250" t="s">
        <v>78</v>
      </c>
      <c r="S37" s="34"/>
    </row>
    <row r="38" ht="29.25" customHeight="1">
      <c r="A38" s="16" t="s">
        <v>2126</v>
      </c>
      <c r="B38" s="243" t="s">
        <v>2246</v>
      </c>
      <c r="C38" s="267" t="s">
        <v>2247</v>
      </c>
      <c r="D38" s="278"/>
      <c r="E38" s="245" t="s">
        <v>2129</v>
      </c>
      <c r="F38" s="85" t="s">
        <v>76</v>
      </c>
      <c r="G38" s="58">
        <v>100.0</v>
      </c>
      <c r="H38" s="246">
        <f>IF(OR(J38="",K38="",K38&lt;J38),0,NETWORKDAYS(J38,K38,fESTIVOS!$A$2:$A$53))</f>
        <v>3</v>
      </c>
      <c r="I38" s="81">
        <v>45894.0</v>
      </c>
      <c r="J38" s="60">
        <v>45938.0</v>
      </c>
      <c r="K38" s="60">
        <v>45940.0</v>
      </c>
      <c r="L38" s="60">
        <v>45947.0</v>
      </c>
      <c r="M38" s="39">
        <f>IF(OR(J38="",AND(L38="",TODAY()&lt;J38),AND(L38&lt;&gt;"",L38&lt;J38)),0,
   IF(L38="",
      NETWORKDAYS(J38,TODAY(),fESTIVOS!$A$2:$A$53),
      NETWORKDAYS(J38,L38,fESTIVOS!$A$2:$A$53)
   )
)
</f>
        <v>7</v>
      </c>
      <c r="N38" s="81"/>
      <c r="O38" s="81"/>
      <c r="P38" s="61"/>
      <c r="Q38" s="34" t="s">
        <v>2248</v>
      </c>
      <c r="R38" s="250" t="s">
        <v>78</v>
      </c>
      <c r="S38" s="34"/>
    </row>
    <row r="39" ht="29.25" customHeight="1">
      <c r="A39" s="282" t="s">
        <v>2126</v>
      </c>
      <c r="B39" s="283" t="s">
        <v>2249</v>
      </c>
      <c r="C39" s="284" t="s">
        <v>2250</v>
      </c>
      <c r="D39" s="285" t="s">
        <v>2251</v>
      </c>
      <c r="E39" s="286" t="s">
        <v>2210</v>
      </c>
      <c r="F39" s="287" t="s">
        <v>76</v>
      </c>
      <c r="G39" s="288">
        <v>100.0</v>
      </c>
      <c r="H39" s="246">
        <f>IF(OR(J39="",K39="",K39&lt;J39),0,NETWORKDAYS(J39,K39,fESTIVOS!$A$2:$A$53))</f>
        <v>3</v>
      </c>
      <c r="I39" s="289">
        <v>45901.0</v>
      </c>
      <c r="J39" s="290">
        <v>45901.0</v>
      </c>
      <c r="K39" s="290">
        <v>45903.0</v>
      </c>
      <c r="L39" s="290">
        <v>45919.0</v>
      </c>
      <c r="M39" s="39">
        <f>IF(OR(J39="",AND(L39="",TODAY()&lt;J39),AND(L39&lt;&gt;"",L39&lt;J39)),0,
   IF(L39="",
      NETWORKDAYS(J39,TODAY(),fESTIVOS!$A$2:$A$53),
      NETWORKDAYS(J39,L39,fESTIVOS!$A$2:$A$53)
   )
)
</f>
        <v>15</v>
      </c>
      <c r="N39" s="291"/>
      <c r="O39" s="291"/>
      <c r="P39" s="292"/>
      <c r="Q39" s="293" t="s">
        <v>2252</v>
      </c>
      <c r="R39" s="294" t="s">
        <v>78</v>
      </c>
      <c r="S39" s="295"/>
    </row>
    <row r="40" ht="29.25" customHeight="1">
      <c r="A40" s="16" t="s">
        <v>2126</v>
      </c>
      <c r="B40" s="243" t="s">
        <v>2253</v>
      </c>
      <c r="C40" s="267" t="s">
        <v>2254</v>
      </c>
      <c r="D40" s="278" t="s">
        <v>2255</v>
      </c>
      <c r="E40" s="245" t="s">
        <v>2129</v>
      </c>
      <c r="F40" s="85" t="s">
        <v>76</v>
      </c>
      <c r="G40" s="58">
        <v>100.0</v>
      </c>
      <c r="H40" s="246">
        <f>IF(OR(J40="",K40="",K40&lt;J40),0,NETWORKDAYS(J40,K40,fESTIVOS!$A$2:$A$53))</f>
        <v>4</v>
      </c>
      <c r="I40" s="81">
        <v>45898.0</v>
      </c>
      <c r="J40" s="60">
        <v>45898.0</v>
      </c>
      <c r="K40" s="290">
        <v>45903.0</v>
      </c>
      <c r="L40" s="60">
        <v>45932.0</v>
      </c>
      <c r="M40" s="39">
        <f>IF(OR(J40="",AND(L40="",TODAY()&lt;J40),AND(L40&lt;&gt;"",L40&lt;J40)),0,
   IF(L40="",
      NETWORKDAYS(J40,TODAY(),fESTIVOS!$A$2:$A$53),
      NETWORKDAYS(J40,L40,fESTIVOS!$A$2:$A$53)
   )
)
</f>
        <v>25</v>
      </c>
      <c r="N40" s="81"/>
      <c r="O40" s="81"/>
      <c r="P40" s="61"/>
      <c r="Q40" s="293" t="s">
        <v>2256</v>
      </c>
      <c r="R40" s="250" t="s">
        <v>78</v>
      </c>
      <c r="S40" s="34"/>
    </row>
    <row r="41" ht="29.25" customHeight="1">
      <c r="A41" s="16" t="s">
        <v>2126</v>
      </c>
      <c r="B41" s="243" t="s">
        <v>2257</v>
      </c>
      <c r="C41" s="267" t="s">
        <v>2258</v>
      </c>
      <c r="D41" s="278" t="s">
        <v>2259</v>
      </c>
      <c r="E41" s="245" t="s">
        <v>2129</v>
      </c>
      <c r="F41" s="85" t="s">
        <v>76</v>
      </c>
      <c r="G41" s="58">
        <v>100.0</v>
      </c>
      <c r="H41" s="246">
        <f>IF(OR(J41="",K41="",K41&lt;J41),0,NETWORKDAYS(J41,K41,fESTIVOS!$A$2:$A$53))</f>
        <v>3</v>
      </c>
      <c r="I41" s="81">
        <v>45901.0</v>
      </c>
      <c r="J41" s="60">
        <v>45901.0</v>
      </c>
      <c r="K41" s="290">
        <v>45903.0</v>
      </c>
      <c r="L41" s="60">
        <v>45903.0</v>
      </c>
      <c r="M41" s="39">
        <f>IF(OR(J41="",AND(L41="",TODAY()&lt;J41),AND(L41&lt;&gt;"",L41&lt;J41)),0,
   IF(L41="",
      NETWORKDAYS(J41,TODAY(),fESTIVOS!$A$2:$A$53),
      NETWORKDAYS(J41,L41,fESTIVOS!$A$2:$A$53)
   )
)
</f>
        <v>3</v>
      </c>
      <c r="N41" s="81"/>
      <c r="O41" s="81"/>
      <c r="P41" s="61"/>
      <c r="Q41" s="293" t="s">
        <v>2260</v>
      </c>
      <c r="R41" s="250" t="s">
        <v>78</v>
      </c>
      <c r="S41" s="34"/>
    </row>
    <row r="42" ht="29.25" customHeight="1">
      <c r="A42" s="16" t="s">
        <v>2126</v>
      </c>
      <c r="B42" s="243" t="s">
        <v>2261</v>
      </c>
      <c r="C42" s="267" t="s">
        <v>2262</v>
      </c>
      <c r="D42" s="278"/>
      <c r="E42" s="283" t="s">
        <v>2193</v>
      </c>
      <c r="F42" s="85" t="s">
        <v>76</v>
      </c>
      <c r="G42" s="58">
        <v>100.0</v>
      </c>
      <c r="H42" s="246">
        <f>IF(OR(J42="",K42="",K42&lt;J42),0,NETWORKDAYS(J42,K42,fESTIVOS!$A$2:$A$53))</f>
        <v>1</v>
      </c>
      <c r="I42" s="81">
        <v>45902.0</v>
      </c>
      <c r="J42" s="60">
        <v>45903.0</v>
      </c>
      <c r="K42" s="290">
        <v>45903.0</v>
      </c>
      <c r="L42" s="60">
        <v>45903.0</v>
      </c>
      <c r="M42" s="39">
        <f>IF(OR(J42="",AND(L42="",TODAY()&lt;J42),AND(L42&lt;&gt;"",L42&lt;J42)),0,
   IF(L42="",
      NETWORKDAYS(J42,TODAY(),fESTIVOS!$A$2:$A$53),
      NETWORKDAYS(J42,L42,fESTIVOS!$A$2:$A$53)
   )
)
</f>
        <v>1</v>
      </c>
      <c r="N42" s="81"/>
      <c r="O42" s="81"/>
      <c r="P42" s="61"/>
      <c r="Q42" s="293" t="s">
        <v>2263</v>
      </c>
      <c r="R42" s="250" t="s">
        <v>78</v>
      </c>
      <c r="S42" s="34"/>
    </row>
    <row r="43" ht="29.25" customHeight="1">
      <c r="A43" s="282" t="s">
        <v>2126</v>
      </c>
      <c r="B43" s="283" t="s">
        <v>2264</v>
      </c>
      <c r="C43" s="284" t="s">
        <v>2265</v>
      </c>
      <c r="D43" s="296" t="s">
        <v>2266</v>
      </c>
      <c r="E43" s="286" t="s">
        <v>2129</v>
      </c>
      <c r="F43" s="287" t="s">
        <v>76</v>
      </c>
      <c r="G43" s="288">
        <v>100.0</v>
      </c>
      <c r="H43" s="246">
        <f>IF(OR(J43="",K43="",K43&lt;J43),0,NETWORKDAYS(J43,K43,fESTIVOS!$A$2:$A$53))</f>
        <v>3</v>
      </c>
      <c r="I43" s="289">
        <v>45903.0</v>
      </c>
      <c r="J43" s="290">
        <v>45903.0</v>
      </c>
      <c r="K43" s="297">
        <v>45905.0</v>
      </c>
      <c r="L43" s="290">
        <v>46041.0</v>
      </c>
      <c r="M43" s="39">
        <f>IF(OR(J43="",AND(L43="",TODAY()&lt;J43),AND(L43&lt;&gt;"",L43&lt;J43)),0,
   IF(L43="",
      NETWORKDAYS(J43,TODAY(),fESTIVOS!$A$2:$A$53),
      NETWORKDAYS(J43,L43,fESTIVOS!$A$2:$A$53)
   )
)
</f>
        <v>92</v>
      </c>
      <c r="N43" s="291"/>
      <c r="O43" s="291"/>
      <c r="P43" s="292"/>
      <c r="Q43" s="298" t="s">
        <v>2267</v>
      </c>
      <c r="R43" s="294" t="s">
        <v>78</v>
      </c>
      <c r="S43" s="295"/>
    </row>
    <row r="44" ht="29.25" customHeight="1">
      <c r="A44" s="282" t="s">
        <v>2126</v>
      </c>
      <c r="B44" s="243" t="s">
        <v>2268</v>
      </c>
      <c r="C44" s="284" t="s">
        <v>2269</v>
      </c>
      <c r="D44" s="299"/>
      <c r="E44" s="300" t="s">
        <v>2193</v>
      </c>
      <c r="F44" s="287" t="s">
        <v>76</v>
      </c>
      <c r="G44" s="288">
        <v>100.0</v>
      </c>
      <c r="H44" s="246">
        <f>IF(OR(J44="",K44="",K44&lt;J44),0,NETWORKDAYS(J44,K44,fESTIVOS!$A$2:$A$53))</f>
        <v>4</v>
      </c>
      <c r="I44" s="289">
        <v>45905.0</v>
      </c>
      <c r="J44" s="290">
        <v>45905.0</v>
      </c>
      <c r="K44" s="297">
        <v>45910.0</v>
      </c>
      <c r="L44" s="290">
        <v>45910.0</v>
      </c>
      <c r="M44" s="39">
        <f>IF(OR(J44="",AND(L44="",TODAY()&lt;J44),AND(L44&lt;&gt;"",L44&lt;J44)),0,
   IF(L44="",
      NETWORKDAYS(J44,TODAY(),fESTIVOS!$A$2:$A$53),
      NETWORKDAYS(J44,L44,fESTIVOS!$A$2:$A$53)
   )
)
</f>
        <v>4</v>
      </c>
      <c r="N44" s="291"/>
      <c r="O44" s="291"/>
      <c r="P44" s="292"/>
      <c r="Q44" s="298" t="s">
        <v>2270</v>
      </c>
      <c r="R44" s="294" t="s">
        <v>78</v>
      </c>
      <c r="S44" s="295"/>
    </row>
    <row r="45" ht="29.25" customHeight="1">
      <c r="A45" s="282" t="s">
        <v>2126</v>
      </c>
      <c r="B45" s="243" t="s">
        <v>2271</v>
      </c>
      <c r="C45" s="284" t="s">
        <v>2269</v>
      </c>
      <c r="D45" s="299"/>
      <c r="E45" s="300" t="s">
        <v>2193</v>
      </c>
      <c r="F45" s="287" t="s">
        <v>76</v>
      </c>
      <c r="G45" s="288">
        <v>100.0</v>
      </c>
      <c r="H45" s="246">
        <f>IF(OR(J45="",K45="",K45&lt;J45),0,NETWORKDAYS(J45,K45,fESTIVOS!$A$2:$A$53))</f>
        <v>4</v>
      </c>
      <c r="I45" s="289">
        <v>45905.0</v>
      </c>
      <c r="J45" s="290">
        <v>45905.0</v>
      </c>
      <c r="K45" s="297">
        <v>45910.0</v>
      </c>
      <c r="L45" s="290">
        <v>45910.0</v>
      </c>
      <c r="M45" s="39">
        <f>IF(OR(J45="",AND(L45="",TODAY()&lt;J45),AND(L45&lt;&gt;"",L45&lt;J45)),0,
   IF(L45="",
      NETWORKDAYS(J45,TODAY(),fESTIVOS!$A$2:$A$53),
      NETWORKDAYS(J45,L45,fESTIVOS!$A$2:$A$53)
   )
)
</f>
        <v>4</v>
      </c>
      <c r="N45" s="291"/>
      <c r="O45" s="291"/>
      <c r="P45" s="292"/>
      <c r="Q45" s="298" t="s">
        <v>2270</v>
      </c>
      <c r="R45" s="294" t="s">
        <v>78</v>
      </c>
      <c r="S45" s="295"/>
    </row>
    <row r="46" ht="29.25" customHeight="1">
      <c r="A46" s="16" t="s">
        <v>2173</v>
      </c>
      <c r="B46" s="243" t="s">
        <v>2272</v>
      </c>
      <c r="C46" s="267" t="s">
        <v>2273</v>
      </c>
      <c r="D46" s="274"/>
      <c r="E46" s="273" t="s">
        <v>2129</v>
      </c>
      <c r="F46" s="85" t="s">
        <v>76</v>
      </c>
      <c r="G46" s="58">
        <v>100.0</v>
      </c>
      <c r="H46" s="246">
        <f>IF(OR(J46="",K46="",K46&lt;J46),0,NETWORKDAYS(J46,K46,fESTIVOS!$A$2:$A$53))</f>
        <v>0</v>
      </c>
      <c r="I46" s="135">
        <v>45884.0</v>
      </c>
      <c r="J46" s="60">
        <v>45884.0</v>
      </c>
      <c r="K46" s="60"/>
      <c r="L46" s="60">
        <v>45888.0</v>
      </c>
      <c r="M46" s="39">
        <f>IF(OR(J46="",AND(L46="",TODAY()&lt;J46),AND(L46&lt;&gt;"",L46&lt;J46)),0,
   IF(L46="",
      NETWORKDAYS(J46,TODAY(),fESTIVOS!$A$2:$A$53),
      NETWORKDAYS(J46,L46,fESTIVOS!$A$2:$A$53)
   )
)
</f>
        <v>2</v>
      </c>
      <c r="N46" s="81"/>
      <c r="O46" s="81"/>
      <c r="P46" s="100"/>
      <c r="Q46" s="34" t="s">
        <v>2274</v>
      </c>
      <c r="R46" s="250" t="s">
        <v>78</v>
      </c>
      <c r="S46" s="103"/>
    </row>
    <row r="47" ht="29.25" customHeight="1">
      <c r="A47" s="16" t="s">
        <v>2126</v>
      </c>
      <c r="B47" s="243" t="s">
        <v>2275</v>
      </c>
      <c r="C47" s="267" t="s">
        <v>2276</v>
      </c>
      <c r="D47" s="274"/>
      <c r="E47" s="273" t="s">
        <v>2129</v>
      </c>
      <c r="F47" s="85" t="s">
        <v>76</v>
      </c>
      <c r="G47" s="58">
        <v>100.0</v>
      </c>
      <c r="H47" s="246">
        <f>IF(OR(J47="",K47="",K47&lt;J47),0,NETWORKDAYS(J47,K47,fESTIVOS!$A$2:$A$53))</f>
        <v>2</v>
      </c>
      <c r="I47" s="81">
        <v>45889.0</v>
      </c>
      <c r="J47" s="60">
        <v>45889.0</v>
      </c>
      <c r="K47" s="60">
        <v>45890.0</v>
      </c>
      <c r="L47" s="60">
        <v>45889.0</v>
      </c>
      <c r="M47" s="39">
        <f>IF(OR(J47="",AND(L47="",TODAY()&lt;J47),AND(L47&lt;&gt;"",L47&lt;J47)),0,
   IF(L47="",
      NETWORKDAYS(J47,TODAY(),fESTIVOS!$A$2:$A$53),
      NETWORKDAYS(J47,L47,fESTIVOS!$A$2:$A$53)
   )
)
</f>
        <v>1</v>
      </c>
      <c r="N47" s="81"/>
      <c r="O47" s="81"/>
      <c r="P47" s="100"/>
      <c r="Q47" s="34" t="s">
        <v>2277</v>
      </c>
      <c r="R47" s="250" t="s">
        <v>78</v>
      </c>
      <c r="S47" s="103"/>
    </row>
    <row r="48" ht="29.25" customHeight="1">
      <c r="A48" s="16" t="s">
        <v>2126</v>
      </c>
      <c r="B48" s="243" t="s">
        <v>2278</v>
      </c>
      <c r="C48" s="267" t="s">
        <v>2279</v>
      </c>
      <c r="D48" s="274"/>
      <c r="E48" s="273" t="s">
        <v>2129</v>
      </c>
      <c r="F48" s="85" t="s">
        <v>76</v>
      </c>
      <c r="G48" s="58">
        <v>100.0</v>
      </c>
      <c r="H48" s="246">
        <f>IF(OR(J48="",K48="",K48&lt;J48),0,NETWORKDAYS(J48,K48,fESTIVOS!$A$2:$A$53))</f>
        <v>2</v>
      </c>
      <c r="I48" s="81">
        <v>45889.0</v>
      </c>
      <c r="J48" s="60">
        <v>45889.0</v>
      </c>
      <c r="K48" s="60">
        <v>45890.0</v>
      </c>
      <c r="L48" s="60">
        <v>45889.0</v>
      </c>
      <c r="M48" s="39">
        <f>IF(OR(J48="",AND(L48="",TODAY()&lt;J48),AND(L48&lt;&gt;"",L48&lt;J48)),0,
   IF(L48="",
      NETWORKDAYS(J48,TODAY(),fESTIVOS!$A$2:$A$53),
      NETWORKDAYS(J48,L48,fESTIVOS!$A$2:$A$53)
   )
)
</f>
        <v>1</v>
      </c>
      <c r="N48" s="81"/>
      <c r="O48" s="81"/>
      <c r="P48" s="100"/>
      <c r="Q48" s="34" t="s">
        <v>2280</v>
      </c>
      <c r="R48" s="250" t="s">
        <v>78</v>
      </c>
      <c r="S48" s="103"/>
    </row>
    <row r="49" ht="29.25" customHeight="1">
      <c r="A49" s="16" t="s">
        <v>2126</v>
      </c>
      <c r="B49" s="243" t="s">
        <v>2281</v>
      </c>
      <c r="C49" s="267" t="s">
        <v>2282</v>
      </c>
      <c r="D49" s="274"/>
      <c r="E49" s="273" t="s">
        <v>2129</v>
      </c>
      <c r="F49" s="85" t="s">
        <v>76</v>
      </c>
      <c r="G49" s="58">
        <v>100.0</v>
      </c>
      <c r="H49" s="246">
        <f>IF(OR(J49="",K49="",K49&lt;J49),0,NETWORKDAYS(J49,K49,fESTIVOS!$A$2:$A$53))</f>
        <v>2</v>
      </c>
      <c r="I49" s="81">
        <v>45889.0</v>
      </c>
      <c r="J49" s="60">
        <v>45889.0</v>
      </c>
      <c r="K49" s="60">
        <v>45890.0</v>
      </c>
      <c r="L49" s="60">
        <v>45889.0</v>
      </c>
      <c r="M49" s="39">
        <f>IF(OR(J49="",AND(L49="",TODAY()&lt;J49),AND(L49&lt;&gt;"",L49&lt;J49)),0,
   IF(L49="",
      NETWORKDAYS(J49,TODAY(),fESTIVOS!$A$2:$A$53),
      NETWORKDAYS(J49,L49,fESTIVOS!$A$2:$A$53)
   )
)
</f>
        <v>1</v>
      </c>
      <c r="N49" s="81"/>
      <c r="O49" s="81"/>
      <c r="P49" s="100"/>
      <c r="Q49" s="34" t="s">
        <v>2283</v>
      </c>
      <c r="R49" s="250" t="s">
        <v>78</v>
      </c>
      <c r="S49" s="103"/>
    </row>
    <row r="50" ht="29.25" customHeight="1">
      <c r="A50" s="16" t="s">
        <v>2126</v>
      </c>
      <c r="B50" s="243" t="s">
        <v>2284</v>
      </c>
      <c r="C50" s="267" t="s">
        <v>2285</v>
      </c>
      <c r="D50" s="274"/>
      <c r="E50" s="273" t="s">
        <v>2129</v>
      </c>
      <c r="F50" s="85" t="s">
        <v>76</v>
      </c>
      <c r="G50" s="58">
        <v>100.0</v>
      </c>
      <c r="H50" s="246">
        <f>IF(OR(J50="",K50="",K50&lt;J50),0,NETWORKDAYS(J50,K50,fESTIVOS!$A$2:$A$53))</f>
        <v>2</v>
      </c>
      <c r="I50" s="81">
        <v>45889.0</v>
      </c>
      <c r="J50" s="60">
        <v>45889.0</v>
      </c>
      <c r="K50" s="60">
        <v>45890.0</v>
      </c>
      <c r="L50" s="60">
        <v>45889.0</v>
      </c>
      <c r="M50" s="39">
        <f>IF(OR(J50="",AND(L50="",TODAY()&lt;J50),AND(L50&lt;&gt;"",L50&lt;J50)),0,
   IF(L50="",
      NETWORKDAYS(J50,TODAY(),fESTIVOS!$A$2:$A$53),
      NETWORKDAYS(J50,L50,fESTIVOS!$A$2:$A$53)
   )
)
</f>
        <v>1</v>
      </c>
      <c r="N50" s="81"/>
      <c r="O50" s="81"/>
      <c r="P50" s="100"/>
      <c r="Q50" s="34" t="s">
        <v>2286</v>
      </c>
      <c r="R50" s="250" t="s">
        <v>78</v>
      </c>
      <c r="S50" s="103"/>
    </row>
    <row r="51" ht="29.25" customHeight="1">
      <c r="A51" s="16" t="s">
        <v>2126</v>
      </c>
      <c r="B51" s="283" t="s">
        <v>2287</v>
      </c>
      <c r="C51" s="301" t="s">
        <v>2285</v>
      </c>
      <c r="D51" s="302"/>
      <c r="E51" s="303" t="s">
        <v>2129</v>
      </c>
      <c r="F51" s="304" t="s">
        <v>76</v>
      </c>
      <c r="G51" s="305">
        <v>100.0</v>
      </c>
      <c r="H51" s="246">
        <f>IF(OR(J51="",K51="",K51&lt;J51),0,NETWORKDAYS(J51,K51,fESTIVOS!$A$2:$A$53))</f>
        <v>2</v>
      </c>
      <c r="I51" s="306">
        <v>45889.0</v>
      </c>
      <c r="J51" s="307">
        <v>45889.0</v>
      </c>
      <c r="K51" s="307">
        <v>45890.0</v>
      </c>
      <c r="L51" s="307">
        <v>45889.0</v>
      </c>
      <c r="M51" s="39">
        <f>IF(OR(J51="",AND(L51="",TODAY()&lt;J51),AND(L51&lt;&gt;"",L51&lt;J51)),0,
   IF(L51="",
      NETWORKDAYS(J51,TODAY(),fESTIVOS!$A$2:$A$53),
      NETWORKDAYS(J51,L51,fESTIVOS!$A$2:$A$53)
   )
)
</f>
        <v>1</v>
      </c>
      <c r="N51" s="291"/>
      <c r="O51" s="291"/>
      <c r="P51" s="292"/>
      <c r="Q51" s="34" t="s">
        <v>2288</v>
      </c>
      <c r="R51" s="250" t="s">
        <v>78</v>
      </c>
      <c r="S51" s="308"/>
    </row>
    <row r="52" ht="29.25" customHeight="1">
      <c r="A52" s="16" t="s">
        <v>2126</v>
      </c>
      <c r="B52" s="283" t="s">
        <v>2289</v>
      </c>
      <c r="C52" s="301" t="s">
        <v>2285</v>
      </c>
      <c r="D52" s="302"/>
      <c r="E52" s="309" t="s">
        <v>2129</v>
      </c>
      <c r="F52" s="304" t="s">
        <v>76</v>
      </c>
      <c r="G52" s="305">
        <v>100.0</v>
      </c>
      <c r="H52" s="246">
        <f>IF(OR(J52="",K52="",K52&lt;J52),0,NETWORKDAYS(J52,K52,fESTIVOS!$A$2:$A$53))</f>
        <v>2</v>
      </c>
      <c r="I52" s="306">
        <v>45889.0</v>
      </c>
      <c r="J52" s="307">
        <v>45889.0</v>
      </c>
      <c r="K52" s="307">
        <v>45890.0</v>
      </c>
      <c r="L52" s="307">
        <v>45889.0</v>
      </c>
      <c r="M52" s="39">
        <f>IF(OR(J52="",AND(L52="",TODAY()&lt;J52),AND(L52&lt;&gt;"",L52&lt;J52)),0,
   IF(L52="",
      NETWORKDAYS(J52,TODAY(),fESTIVOS!$A$2:$A$53),
      NETWORKDAYS(J52,L52,fESTIVOS!$A$2:$A$53)
   )
)
</f>
        <v>1</v>
      </c>
      <c r="N52" s="291"/>
      <c r="O52" s="291"/>
      <c r="P52" s="292"/>
      <c r="Q52" s="34" t="s">
        <v>2290</v>
      </c>
      <c r="R52" s="250" t="s">
        <v>78</v>
      </c>
      <c r="S52" s="308"/>
    </row>
    <row r="53" ht="29.25" customHeight="1">
      <c r="A53" s="16" t="s">
        <v>2126</v>
      </c>
      <c r="B53" s="243" t="s">
        <v>2291</v>
      </c>
      <c r="C53" s="267" t="s">
        <v>2292</v>
      </c>
      <c r="D53" s="302"/>
      <c r="E53" s="245" t="s">
        <v>2193</v>
      </c>
      <c r="F53" s="304" t="s">
        <v>76</v>
      </c>
      <c r="G53" s="305">
        <v>100.0</v>
      </c>
      <c r="H53" s="246">
        <f>IF(OR(J53="",K53="",K53&lt;J53),0,NETWORKDAYS(J53,K53,fESTIVOS!$A$2:$A$53))</f>
        <v>2</v>
      </c>
      <c r="I53" s="289">
        <v>45890.0</v>
      </c>
      <c r="J53" s="290">
        <v>45890.0</v>
      </c>
      <c r="K53" s="290">
        <v>45891.0</v>
      </c>
      <c r="L53" s="290">
        <v>45890.0</v>
      </c>
      <c r="M53" s="39">
        <f>IF(OR(J53="",AND(L53="",TODAY()&lt;J53),AND(L53&lt;&gt;"",L53&lt;J53)),0,
   IF(L53="",
      NETWORKDAYS(J53,TODAY(),fESTIVOS!$A$2:$A$53),
      NETWORKDAYS(J53,L53,fESTIVOS!$A$2:$A$53)
   )
)
</f>
        <v>1</v>
      </c>
      <c r="N53" s="291"/>
      <c r="O53" s="291"/>
      <c r="P53" s="292"/>
      <c r="Q53" s="34" t="s">
        <v>2293</v>
      </c>
      <c r="R53" s="250" t="s">
        <v>78</v>
      </c>
      <c r="S53" s="308"/>
    </row>
    <row r="54" ht="29.25" customHeight="1">
      <c r="A54" s="16" t="s">
        <v>2126</v>
      </c>
      <c r="B54" s="243" t="s">
        <v>2294</v>
      </c>
      <c r="C54" s="267" t="s">
        <v>2295</v>
      </c>
      <c r="D54" s="278" t="s">
        <v>2296</v>
      </c>
      <c r="E54" s="245" t="s">
        <v>2193</v>
      </c>
      <c r="F54" s="310" t="s">
        <v>76</v>
      </c>
      <c r="G54" s="311">
        <v>100.0</v>
      </c>
      <c r="H54" s="246">
        <f>IF(OR(J54="",K54="",K54&lt;J54),0,NETWORKDAYS(J54,K54,fESTIVOS!$A$2:$A$53))</f>
        <v>1</v>
      </c>
      <c r="I54" s="289">
        <v>45890.0</v>
      </c>
      <c r="J54" s="290">
        <v>45891.0</v>
      </c>
      <c r="K54" s="290">
        <v>45891.0</v>
      </c>
      <c r="L54" s="290">
        <v>45891.0</v>
      </c>
      <c r="M54" s="39">
        <f>IF(OR(J54="",AND(L54="",TODAY()&lt;J54),AND(L54&lt;&gt;"",L54&lt;J54)),0,
   IF(L54="",
      NETWORKDAYS(J54,TODAY(),fESTIVOS!$A$2:$A$53),
      NETWORKDAYS(J54,L54,fESTIVOS!$A$2:$A$53)
   )
)
</f>
        <v>1</v>
      </c>
      <c r="N54" s="291"/>
      <c r="O54" s="291"/>
      <c r="P54" s="292"/>
      <c r="Q54" s="34" t="s">
        <v>2297</v>
      </c>
      <c r="R54" s="312" t="s">
        <v>78</v>
      </c>
      <c r="S54" s="308"/>
    </row>
    <row r="55" ht="29.25" customHeight="1">
      <c r="A55" s="16" t="s">
        <v>2126</v>
      </c>
      <c r="B55" s="243" t="s">
        <v>2298</v>
      </c>
      <c r="C55" s="267" t="s">
        <v>2299</v>
      </c>
      <c r="D55" s="302"/>
      <c r="E55" s="245" t="s">
        <v>2193</v>
      </c>
      <c r="F55" s="313" t="s">
        <v>76</v>
      </c>
      <c r="G55" s="314">
        <v>100.0</v>
      </c>
      <c r="H55" s="246">
        <f>IF(OR(J55="",K55="",K55&lt;J55),0,NETWORKDAYS(J55,K55,fESTIVOS!$A$2:$A$53))</f>
        <v>2</v>
      </c>
      <c r="I55" s="289">
        <v>45890.0</v>
      </c>
      <c r="J55" s="290">
        <v>45890.0</v>
      </c>
      <c r="K55" s="290">
        <v>45891.0</v>
      </c>
      <c r="L55" s="290">
        <v>45890.0</v>
      </c>
      <c r="M55" s="39">
        <f>IF(OR(J55="",AND(L55="",TODAY()&lt;J55),AND(L55&lt;&gt;"",L55&lt;J55)),0,
   IF(L55="",
      NETWORKDAYS(J55,TODAY(),fESTIVOS!$A$2:$A$53),
      NETWORKDAYS(J55,L55,fESTIVOS!$A$2:$A$53)
   )
)
</f>
        <v>1</v>
      </c>
      <c r="N55" s="291"/>
      <c r="O55" s="291"/>
      <c r="P55" s="292"/>
      <c r="Q55" s="34" t="s">
        <v>2300</v>
      </c>
      <c r="R55" s="312" t="s">
        <v>78</v>
      </c>
      <c r="S55" s="308"/>
    </row>
    <row r="56" ht="29.25" customHeight="1">
      <c r="A56" s="16" t="s">
        <v>2126</v>
      </c>
      <c r="B56" s="243" t="s">
        <v>2301</v>
      </c>
      <c r="C56" s="267" t="s">
        <v>2302</v>
      </c>
      <c r="D56" s="285" t="s">
        <v>2303</v>
      </c>
      <c r="E56" s="245" t="s">
        <v>2193</v>
      </c>
      <c r="F56" s="310" t="s">
        <v>76</v>
      </c>
      <c r="G56" s="311">
        <v>100.0</v>
      </c>
      <c r="H56" s="246">
        <f>IF(OR(J56="",K56="",K56&lt;J56),0,NETWORKDAYS(J56,K56,fESTIVOS!$A$2:$A$53))</f>
        <v>2</v>
      </c>
      <c r="I56" s="289">
        <v>45890.0</v>
      </c>
      <c r="J56" s="290">
        <v>45890.0</v>
      </c>
      <c r="K56" s="290">
        <v>45892.0</v>
      </c>
      <c r="L56" s="290">
        <v>45892.0</v>
      </c>
      <c r="M56" s="39">
        <f>IF(OR(J56="",AND(L56="",TODAY()&lt;J56),AND(L56&lt;&gt;"",L56&lt;J56)),0,
   IF(L56="",
      NETWORKDAYS(J56,TODAY(),fESTIVOS!$A$2:$A$53),
      NETWORKDAYS(J56,L56,fESTIVOS!$A$2:$A$53)
   )
)
</f>
        <v>2</v>
      </c>
      <c r="N56" s="291"/>
      <c r="O56" s="291"/>
      <c r="P56" s="292"/>
      <c r="Q56" s="34" t="s">
        <v>2304</v>
      </c>
      <c r="R56" s="312" t="s">
        <v>78</v>
      </c>
      <c r="S56" s="308"/>
    </row>
    <row r="57" ht="29.25" customHeight="1">
      <c r="A57" s="282" t="s">
        <v>2126</v>
      </c>
      <c r="B57" s="243" t="s">
        <v>2305</v>
      </c>
      <c r="C57" s="284" t="s">
        <v>2306</v>
      </c>
      <c r="D57" s="296" t="s">
        <v>2307</v>
      </c>
      <c r="E57" s="300" t="s">
        <v>2193</v>
      </c>
      <c r="F57" s="287" t="s">
        <v>76</v>
      </c>
      <c r="G57" s="288">
        <v>100.0</v>
      </c>
      <c r="H57" s="246">
        <f>IF(OR(J57="",K57="",K57&lt;J57),0,NETWORKDAYS(J57,K57,fESTIVOS!$A$2:$A$53))</f>
        <v>3</v>
      </c>
      <c r="I57" s="289">
        <v>45910.0</v>
      </c>
      <c r="J57" s="290">
        <v>45910.0</v>
      </c>
      <c r="K57" s="297">
        <v>45912.0</v>
      </c>
      <c r="L57" s="290">
        <v>45937.0</v>
      </c>
      <c r="M57" s="39">
        <f>IF(OR(J57="",AND(L57="",TODAY()&lt;J57),AND(L57&lt;&gt;"",L57&lt;J57)),0,
   IF(L57="",
      NETWORKDAYS(J57,TODAY(),fESTIVOS!$A$2:$A$53),
      NETWORKDAYS(J57,L57,fESTIVOS!$A$2:$A$53)
   )
)
</f>
        <v>20</v>
      </c>
      <c r="N57" s="291"/>
      <c r="O57" s="291"/>
      <c r="P57" s="292"/>
      <c r="Q57" s="298" t="s">
        <v>2308</v>
      </c>
      <c r="R57" s="294" t="s">
        <v>78</v>
      </c>
      <c r="S57" s="295"/>
    </row>
    <row r="58" ht="29.25" customHeight="1">
      <c r="A58" s="282" t="s">
        <v>2126</v>
      </c>
      <c r="B58" s="243" t="s">
        <v>2309</v>
      </c>
      <c r="C58" s="284" t="s">
        <v>2310</v>
      </c>
      <c r="D58" s="296" t="s">
        <v>2311</v>
      </c>
      <c r="E58" s="300" t="s">
        <v>2193</v>
      </c>
      <c r="F58" s="287" t="s">
        <v>76</v>
      </c>
      <c r="G58" s="288">
        <v>100.0</v>
      </c>
      <c r="H58" s="246">
        <f>IF(OR(J58="",K58="",K58&lt;J58),0,NETWORKDAYS(J58,K58,fESTIVOS!$A$2:$A$53))</f>
        <v>2</v>
      </c>
      <c r="I58" s="289">
        <v>45912.0</v>
      </c>
      <c r="J58" s="290">
        <v>45912.0</v>
      </c>
      <c r="K58" s="297">
        <v>45915.0</v>
      </c>
      <c r="L58" s="290">
        <v>45937.0</v>
      </c>
      <c r="M58" s="39">
        <f>IF(OR(J58="",AND(L58="",TODAY()&lt;J58),AND(L58&lt;&gt;"",L58&lt;J58)),0,
   IF(L58="",
      NETWORKDAYS(J58,TODAY(),fESTIVOS!$A$2:$A$53),
      NETWORKDAYS(J58,L58,fESTIVOS!$A$2:$A$53)
   )
)
</f>
        <v>18</v>
      </c>
      <c r="N58" s="291"/>
      <c r="O58" s="291"/>
      <c r="P58" s="292"/>
      <c r="Q58" s="298" t="s">
        <v>2312</v>
      </c>
      <c r="R58" s="294" t="s">
        <v>78</v>
      </c>
      <c r="S58" s="295"/>
    </row>
    <row r="59" ht="29.25" customHeight="1">
      <c r="A59" s="315" t="s">
        <v>2126</v>
      </c>
      <c r="B59" s="283" t="s">
        <v>2313</v>
      </c>
      <c r="C59" s="316" t="s">
        <v>2314</v>
      </c>
      <c r="D59" s="296" t="s">
        <v>2315</v>
      </c>
      <c r="E59" s="286" t="s">
        <v>2193</v>
      </c>
      <c r="F59" s="317" t="s">
        <v>76</v>
      </c>
      <c r="G59" s="318">
        <v>100.0</v>
      </c>
      <c r="H59" s="246">
        <f>IF(OR(J59="",K59="",K59&lt;J59),0,NETWORKDAYS(J59,K59,fESTIVOS!$A$2:$A$53))</f>
        <v>2</v>
      </c>
      <c r="I59" s="289">
        <v>45912.0</v>
      </c>
      <c r="J59" s="290">
        <v>45912.0</v>
      </c>
      <c r="K59" s="297">
        <v>45915.0</v>
      </c>
      <c r="L59" s="290">
        <v>45937.0</v>
      </c>
      <c r="M59" s="39">
        <f>IF(OR(J59="",AND(L59="",TODAY()&lt;J59),AND(L59&lt;&gt;"",L59&lt;J59)),0,
   IF(L59="",
      NETWORKDAYS(J59,TODAY(),fESTIVOS!$A$2:$A$53),
      NETWORKDAYS(J59,L59,fESTIVOS!$A$2:$A$53)
   )
)
</f>
        <v>18</v>
      </c>
      <c r="N59" s="319"/>
      <c r="O59" s="319"/>
      <c r="P59" s="320"/>
      <c r="Q59" s="298" t="s">
        <v>2316</v>
      </c>
      <c r="R59" s="294" t="s">
        <v>78</v>
      </c>
      <c r="S59" s="295"/>
    </row>
    <row r="60" ht="29.25" customHeight="1">
      <c r="A60" s="315" t="s">
        <v>2126</v>
      </c>
      <c r="B60" s="300" t="s">
        <v>2317</v>
      </c>
      <c r="C60" s="316" t="s">
        <v>2318</v>
      </c>
      <c r="D60" s="321" t="s">
        <v>2319</v>
      </c>
      <c r="E60" s="286" t="s">
        <v>2193</v>
      </c>
      <c r="F60" s="317" t="s">
        <v>76</v>
      </c>
      <c r="G60" s="318">
        <v>100.0</v>
      </c>
      <c r="H60" s="246">
        <f>IF(OR(J60="",K60="",K60&lt;J60),0,NETWORKDAYS(J60,K60,fESTIVOS!$A$2:$A$53))</f>
        <v>3</v>
      </c>
      <c r="I60" s="322">
        <v>45917.0</v>
      </c>
      <c r="J60" s="297">
        <v>45917.0</v>
      </c>
      <c r="K60" s="297">
        <v>45919.0</v>
      </c>
      <c r="L60" s="290">
        <v>45937.0</v>
      </c>
      <c r="M60" s="39">
        <f>IF(OR(J60="",AND(L60="",TODAY()&lt;J60),AND(L60&lt;&gt;"",L60&lt;J60)),0,
   IF(L60="",
      NETWORKDAYS(J60,TODAY(),fESTIVOS!$A$2:$A$53),
      NETWORKDAYS(J60,L60,fESTIVOS!$A$2:$A$53)
   )
)
</f>
        <v>15</v>
      </c>
      <c r="N60" s="319"/>
      <c r="O60" s="319"/>
      <c r="P60" s="320"/>
      <c r="Q60" s="298" t="s">
        <v>2320</v>
      </c>
      <c r="R60" s="294" t="s">
        <v>78</v>
      </c>
      <c r="S60" s="295"/>
    </row>
    <row r="61" ht="29.25" customHeight="1">
      <c r="A61" s="315" t="s">
        <v>2126</v>
      </c>
      <c r="B61" s="300" t="s">
        <v>2321</v>
      </c>
      <c r="C61" s="316" t="s">
        <v>2322</v>
      </c>
      <c r="D61" s="321" t="s">
        <v>2323</v>
      </c>
      <c r="E61" s="286" t="s">
        <v>2193</v>
      </c>
      <c r="F61" s="317" t="s">
        <v>76</v>
      </c>
      <c r="G61" s="318">
        <v>100.0</v>
      </c>
      <c r="H61" s="246">
        <f>IF(OR(J61="",K61="",K61&lt;J61),0,NETWORKDAYS(J61,K61,fESTIVOS!$A$2:$A$53))</f>
        <v>3</v>
      </c>
      <c r="I61" s="322">
        <v>45917.0</v>
      </c>
      <c r="J61" s="297">
        <v>45917.0</v>
      </c>
      <c r="K61" s="297">
        <v>45919.0</v>
      </c>
      <c r="L61" s="290">
        <v>45937.0</v>
      </c>
      <c r="M61" s="39">
        <f>IF(OR(J61="",AND(L61="",TODAY()&lt;J61),AND(L61&lt;&gt;"",L61&lt;J61)),0,
   IF(L61="",
      NETWORKDAYS(J61,TODAY(),fESTIVOS!$A$2:$A$53),
      NETWORKDAYS(J61,L61,fESTIVOS!$A$2:$A$53)
   )
)
</f>
        <v>15</v>
      </c>
      <c r="N61" s="319"/>
      <c r="O61" s="319"/>
      <c r="P61" s="320"/>
      <c r="Q61" s="298" t="s">
        <v>2324</v>
      </c>
      <c r="R61" s="294" t="s">
        <v>78</v>
      </c>
      <c r="S61" s="295"/>
    </row>
    <row r="62" ht="39.0" customHeight="1">
      <c r="A62" s="16" t="s">
        <v>2126</v>
      </c>
      <c r="B62" s="243" t="s">
        <v>2325</v>
      </c>
      <c r="C62" s="267" t="s">
        <v>2326</v>
      </c>
      <c r="D62" s="323" t="s">
        <v>2327</v>
      </c>
      <c r="E62" s="245" t="s">
        <v>2129</v>
      </c>
      <c r="F62" s="20" t="s">
        <v>76</v>
      </c>
      <c r="G62" s="58">
        <v>100.0</v>
      </c>
      <c r="H62" s="246">
        <f>IF(OR(J62="",K62="",K62&lt;J62),0,NETWORKDAYS(J62,K62,fESTIVOS!$A$2:$A$53))</f>
        <v>1</v>
      </c>
      <c r="I62" s="81">
        <v>45919.0</v>
      </c>
      <c r="J62" s="60">
        <v>45919.0</v>
      </c>
      <c r="K62" s="60">
        <v>45919.0</v>
      </c>
      <c r="L62" s="60">
        <v>45919.0</v>
      </c>
      <c r="M62" s="39">
        <f>IF(OR(J62="",AND(L62="",TODAY()&lt;J62),AND(L62&lt;&gt;"",L62&lt;J62)),0,
   IF(L62="",
      NETWORKDAYS(J62,TODAY(),fESTIVOS!$A$2:$A$53),
      NETWORKDAYS(J62,L62,fESTIVOS!$A$2:$A$53)
   )
)
</f>
        <v>1</v>
      </c>
      <c r="N62" s="59"/>
      <c r="O62" s="59"/>
      <c r="P62" s="69"/>
      <c r="Q62" s="298" t="s">
        <v>2328</v>
      </c>
      <c r="R62" s="250" t="s">
        <v>78</v>
      </c>
      <c r="S62" s="64"/>
    </row>
    <row r="63" ht="29.25" customHeight="1">
      <c r="A63" s="315" t="s">
        <v>2126</v>
      </c>
      <c r="B63" s="300" t="s">
        <v>2329</v>
      </c>
      <c r="C63" s="316" t="s">
        <v>2330</v>
      </c>
      <c r="D63" s="321" t="s">
        <v>2331</v>
      </c>
      <c r="E63" s="286" t="s">
        <v>2193</v>
      </c>
      <c r="F63" s="317" t="s">
        <v>76</v>
      </c>
      <c r="G63" s="318">
        <v>100.0</v>
      </c>
      <c r="H63" s="246">
        <f>IF(OR(J63="",K63="",K63&lt;J63),0,NETWORKDAYS(J63,K63,fESTIVOS!$A$2:$A$53))</f>
        <v>0</v>
      </c>
      <c r="I63" s="322">
        <v>45922.0</v>
      </c>
      <c r="J63" s="297">
        <v>45922.0</v>
      </c>
      <c r="K63" s="297"/>
      <c r="L63" s="297">
        <v>45937.0</v>
      </c>
      <c r="M63" s="39">
        <f>IF(OR(J63="",AND(L63="",TODAY()&lt;J63),AND(L63&lt;&gt;"",L63&lt;J63)),0,
   IF(L63="",
      NETWORKDAYS(J63,TODAY(),fESTIVOS!$A$2:$A$53),
      NETWORKDAYS(J63,L63,fESTIVOS!$A$2:$A$53)
   )
)
</f>
        <v>12</v>
      </c>
      <c r="N63" s="319"/>
      <c r="O63" s="319"/>
      <c r="P63" s="320"/>
      <c r="Q63" s="298" t="s">
        <v>2332</v>
      </c>
      <c r="R63" s="294" t="s">
        <v>78</v>
      </c>
      <c r="S63" s="295"/>
    </row>
    <row r="64" ht="29.25" customHeight="1">
      <c r="A64" s="315" t="s">
        <v>2126</v>
      </c>
      <c r="B64" s="300" t="s">
        <v>2333</v>
      </c>
      <c r="C64" s="316" t="s">
        <v>2330</v>
      </c>
      <c r="D64" s="321" t="s">
        <v>2334</v>
      </c>
      <c r="E64" s="286" t="s">
        <v>2193</v>
      </c>
      <c r="F64" s="317" t="s">
        <v>76</v>
      </c>
      <c r="G64" s="318">
        <v>100.0</v>
      </c>
      <c r="H64" s="246">
        <f>IF(OR(J64="",K64="",K64&lt;J64),0,NETWORKDAYS(J64,K64,fESTIVOS!$A$2:$A$53))</f>
        <v>0</v>
      </c>
      <c r="I64" s="322">
        <v>45922.0</v>
      </c>
      <c r="J64" s="297">
        <v>45922.0</v>
      </c>
      <c r="K64" s="297"/>
      <c r="L64" s="297">
        <v>45937.0</v>
      </c>
      <c r="M64" s="39">
        <f>IF(OR(J64="",AND(L64="",TODAY()&lt;J64),AND(L64&lt;&gt;"",L64&lt;J64)),0,
   IF(L64="",
      NETWORKDAYS(J64,TODAY(),fESTIVOS!$A$2:$A$53),
      NETWORKDAYS(J64,L64,fESTIVOS!$A$2:$A$53)
   )
)
</f>
        <v>12</v>
      </c>
      <c r="N64" s="319"/>
      <c r="O64" s="319"/>
      <c r="P64" s="320"/>
      <c r="Q64" s="298" t="s">
        <v>2335</v>
      </c>
      <c r="R64" s="294" t="s">
        <v>78</v>
      </c>
      <c r="S64" s="295"/>
    </row>
    <row r="65" ht="29.25" customHeight="1">
      <c r="A65" s="315" t="s">
        <v>2126</v>
      </c>
      <c r="B65" s="300" t="s">
        <v>2336</v>
      </c>
      <c r="C65" s="316" t="s">
        <v>2337</v>
      </c>
      <c r="D65" s="321" t="s">
        <v>2338</v>
      </c>
      <c r="E65" s="286" t="s">
        <v>2193</v>
      </c>
      <c r="F65" s="317" t="s">
        <v>76</v>
      </c>
      <c r="G65" s="318">
        <v>100.0</v>
      </c>
      <c r="H65" s="246">
        <f>IF(OR(J65="",K65="",K65&lt;J65),0,NETWORKDAYS(J65,K65,fESTIVOS!$A$2:$A$53))</f>
        <v>1</v>
      </c>
      <c r="I65" s="322">
        <v>45925.0</v>
      </c>
      <c r="J65" s="297">
        <v>45925.0</v>
      </c>
      <c r="K65" s="297">
        <v>45925.0</v>
      </c>
      <c r="L65" s="297">
        <v>45925.0</v>
      </c>
      <c r="M65" s="39">
        <f>IF(OR(J65="",AND(L65="",TODAY()&lt;J65),AND(L65&lt;&gt;"",L65&lt;J65)),0,
   IF(L65="",
      NETWORKDAYS(J65,TODAY(),fESTIVOS!$A$2:$A$53),
      NETWORKDAYS(J65,L65,fESTIVOS!$A$2:$A$53)
   )
)
</f>
        <v>1</v>
      </c>
      <c r="N65" s="319"/>
      <c r="O65" s="319"/>
      <c r="P65" s="320"/>
      <c r="Q65" s="298" t="s">
        <v>2339</v>
      </c>
      <c r="R65" s="294" t="s">
        <v>78</v>
      </c>
      <c r="S65" s="295"/>
    </row>
    <row r="66" ht="29.25" customHeight="1">
      <c r="A66" s="282" t="s">
        <v>2126</v>
      </c>
      <c r="B66" s="283" t="s">
        <v>2340</v>
      </c>
      <c r="C66" s="284" t="s">
        <v>2341</v>
      </c>
      <c r="D66" s="285" t="s">
        <v>2342</v>
      </c>
      <c r="E66" s="286" t="s">
        <v>2210</v>
      </c>
      <c r="F66" s="287" t="s">
        <v>76</v>
      </c>
      <c r="G66" s="288">
        <v>100.0</v>
      </c>
      <c r="H66" s="246">
        <f>IF(OR(J66="",K66="",K66&lt;J66),0,NETWORKDAYS(J66,K66,fESTIVOS!$A$2:$A$53))</f>
        <v>1</v>
      </c>
      <c r="I66" s="289">
        <v>45931.0</v>
      </c>
      <c r="J66" s="290">
        <v>45932.0</v>
      </c>
      <c r="K66" s="290">
        <v>45932.0</v>
      </c>
      <c r="L66" s="290">
        <v>45932.0</v>
      </c>
      <c r="M66" s="39">
        <f>IF(OR(J66="",AND(L66="",TODAY()&lt;J66),AND(L66&lt;&gt;"",L66&lt;J66)),0,
   IF(L66="",
      NETWORKDAYS(J66,TODAY(),fESTIVOS!$A$2:$A$53),
      NETWORKDAYS(J66,L66,fESTIVOS!$A$2:$A$53)
   )
)
</f>
        <v>1</v>
      </c>
      <c r="N66" s="291"/>
      <c r="O66" s="291"/>
      <c r="P66" s="292"/>
      <c r="Q66" s="293" t="s">
        <v>2343</v>
      </c>
      <c r="R66" s="294" t="s">
        <v>78</v>
      </c>
      <c r="S66" s="295"/>
    </row>
    <row r="67" ht="29.25" customHeight="1">
      <c r="A67" s="282" t="s">
        <v>2126</v>
      </c>
      <c r="B67" s="283" t="s">
        <v>2344</v>
      </c>
      <c r="C67" s="284" t="s">
        <v>2345</v>
      </c>
      <c r="D67" s="296" t="s">
        <v>2346</v>
      </c>
      <c r="E67" s="286" t="s">
        <v>2129</v>
      </c>
      <c r="F67" s="287" t="s">
        <v>76</v>
      </c>
      <c r="G67" s="288">
        <v>100.0</v>
      </c>
      <c r="H67" s="246">
        <f>IF(OR(J67="",K67="",K67&lt;J67),0,NETWORKDAYS(J67,K67,fESTIVOS!$A$2:$A$53))</f>
        <v>0</v>
      </c>
      <c r="I67" s="289">
        <v>45932.0</v>
      </c>
      <c r="J67" s="290">
        <v>45934.0</v>
      </c>
      <c r="K67" s="290">
        <v>45934.0</v>
      </c>
      <c r="L67" s="290">
        <v>45934.0</v>
      </c>
      <c r="M67" s="39">
        <f>IF(OR(J67="",AND(L67="",TODAY()&lt;J67),AND(L67&lt;&gt;"",L67&lt;J67)),0,
   IF(L67="",
      NETWORKDAYS(J67,TODAY(),fESTIVOS!$A$2:$A$53),
      NETWORKDAYS(J67,L67,fESTIVOS!$A$2:$A$53)
   )
)
</f>
        <v>0</v>
      </c>
      <c r="N67" s="291"/>
      <c r="O67" s="291"/>
      <c r="P67" s="292"/>
      <c r="Q67" s="298" t="s">
        <v>2347</v>
      </c>
      <c r="R67" s="294" t="s">
        <v>78</v>
      </c>
      <c r="S67" s="295"/>
    </row>
    <row r="68" ht="29.25" customHeight="1">
      <c r="A68" s="282" t="s">
        <v>2126</v>
      </c>
      <c r="B68" s="283" t="s">
        <v>2348</v>
      </c>
      <c r="C68" s="284" t="s">
        <v>2349</v>
      </c>
      <c r="D68" s="296" t="s">
        <v>2350</v>
      </c>
      <c r="E68" s="286" t="s">
        <v>2129</v>
      </c>
      <c r="F68" s="287" t="s">
        <v>76</v>
      </c>
      <c r="G68" s="288">
        <v>100.0</v>
      </c>
      <c r="H68" s="246">
        <f>IF(OR(J68="",K68="",K68&lt;J68),0,NETWORKDAYS(J68,K68,fESTIVOS!$A$2:$A$53))</f>
        <v>0</v>
      </c>
      <c r="I68" s="289">
        <v>45932.0</v>
      </c>
      <c r="J68" s="290">
        <v>45934.0</v>
      </c>
      <c r="K68" s="290">
        <v>45934.0</v>
      </c>
      <c r="L68" s="290">
        <v>45934.0</v>
      </c>
      <c r="M68" s="39">
        <f>IF(OR(J68="",AND(L68="",TODAY()&lt;J68),AND(L68&lt;&gt;"",L68&lt;J68)),0,
   IF(L68="",
      NETWORKDAYS(J68,TODAY(),fESTIVOS!$A$2:$A$53),
      NETWORKDAYS(J68,L68,fESTIVOS!$A$2:$A$53)
   )
)
</f>
        <v>0</v>
      </c>
      <c r="N68" s="291"/>
      <c r="O68" s="291"/>
      <c r="P68" s="292"/>
      <c r="Q68" s="298" t="s">
        <v>2351</v>
      </c>
      <c r="R68" s="294" t="s">
        <v>78</v>
      </c>
      <c r="S68" s="295"/>
    </row>
    <row r="69" ht="29.25" customHeight="1">
      <c r="A69" s="16" t="s">
        <v>2126</v>
      </c>
      <c r="B69" s="243" t="s">
        <v>2352</v>
      </c>
      <c r="C69" s="267" t="s">
        <v>2302</v>
      </c>
      <c r="D69" s="285" t="s">
        <v>2353</v>
      </c>
      <c r="E69" s="245" t="s">
        <v>2193</v>
      </c>
      <c r="F69" s="310" t="s">
        <v>76</v>
      </c>
      <c r="G69" s="311">
        <v>100.0</v>
      </c>
      <c r="H69" s="246">
        <f>IF(OR(J69="",K69="",K69&lt;J69),0,NETWORKDAYS(J69,K69,fESTIVOS!$A$2:$A$53))</f>
        <v>0</v>
      </c>
      <c r="I69" s="289">
        <v>45932.0</v>
      </c>
      <c r="J69" s="290">
        <v>45934.0</v>
      </c>
      <c r="K69" s="290">
        <v>45934.0</v>
      </c>
      <c r="L69" s="290">
        <v>45934.0</v>
      </c>
      <c r="M69" s="39">
        <f>IF(OR(J69="",AND(L69="",TODAY()&lt;J69),AND(L69&lt;&gt;"",L69&lt;J69)),0,
   IF(L69="",
      NETWORKDAYS(J69,TODAY(),fESTIVOS!$A$2:$A$53),
      NETWORKDAYS(J69,L69,fESTIVOS!$A$2:$A$53)
   )
)
</f>
        <v>0</v>
      </c>
      <c r="N69" s="291"/>
      <c r="O69" s="291"/>
      <c r="P69" s="292"/>
      <c r="Q69" s="34" t="s">
        <v>2354</v>
      </c>
      <c r="R69" s="312" t="s">
        <v>78</v>
      </c>
      <c r="S69" s="308"/>
    </row>
    <row r="70" ht="29.25" customHeight="1">
      <c r="A70" s="282" t="s">
        <v>2126</v>
      </c>
      <c r="B70" s="283" t="s">
        <v>2355</v>
      </c>
      <c r="C70" s="284" t="s">
        <v>2356</v>
      </c>
      <c r="D70" s="296"/>
      <c r="E70" s="286" t="s">
        <v>2129</v>
      </c>
      <c r="F70" s="287" t="s">
        <v>76</v>
      </c>
      <c r="G70" s="288">
        <v>100.0</v>
      </c>
      <c r="H70" s="246">
        <f>IF(OR(J70="",K70="",K70&lt;J70),0,NETWORKDAYS(J70,K70,fESTIVOS!$A$2:$A$53))</f>
        <v>2</v>
      </c>
      <c r="I70" s="289">
        <v>45936.0</v>
      </c>
      <c r="J70" s="290">
        <v>45936.0</v>
      </c>
      <c r="K70" s="290">
        <v>45937.0</v>
      </c>
      <c r="L70" s="290">
        <v>45937.0</v>
      </c>
      <c r="M70" s="39">
        <f>IF(OR(J70="",AND(L70="",TODAY()&lt;J70),AND(L70&lt;&gt;"",L70&lt;J70)),0,
   IF(L70="",
      NETWORKDAYS(J70,TODAY(),fESTIVOS!$A$2:$A$53),
      NETWORKDAYS(J70,L70,fESTIVOS!$A$2:$A$53)
   )
)
</f>
        <v>2</v>
      </c>
      <c r="N70" s="291"/>
      <c r="O70" s="291"/>
      <c r="P70" s="292"/>
      <c r="Q70" s="298" t="s">
        <v>2357</v>
      </c>
      <c r="R70" s="294" t="s">
        <v>78</v>
      </c>
      <c r="S70" s="295"/>
    </row>
    <row r="71" ht="29.25" customHeight="1">
      <c r="A71" s="282" t="s">
        <v>2126</v>
      </c>
      <c r="B71" s="283" t="s">
        <v>2358</v>
      </c>
      <c r="C71" s="284" t="s">
        <v>2359</v>
      </c>
      <c r="D71" s="296" t="s">
        <v>2360</v>
      </c>
      <c r="E71" s="286" t="s">
        <v>2129</v>
      </c>
      <c r="F71" s="287" t="s">
        <v>76</v>
      </c>
      <c r="G71" s="288">
        <v>100.0</v>
      </c>
      <c r="H71" s="246">
        <f>IF(OR(J71="",K71="",K71&lt;J71),0,NETWORKDAYS(J71,K71,fESTIVOS!$A$2:$A$53))</f>
        <v>2</v>
      </c>
      <c r="I71" s="289">
        <v>45936.0</v>
      </c>
      <c r="J71" s="290">
        <v>45936.0</v>
      </c>
      <c r="K71" s="290">
        <v>45937.0</v>
      </c>
      <c r="L71" s="290">
        <v>45937.0</v>
      </c>
      <c r="M71" s="39">
        <f>IF(OR(J71="",AND(L71="",TODAY()&lt;J71),AND(L71&lt;&gt;"",L71&lt;J71)),0,
   IF(L71="",
      NETWORKDAYS(J71,TODAY(),fESTIVOS!$A$2:$A$53),
      NETWORKDAYS(J71,L71,fESTIVOS!$A$2:$A$53)
   )
)
</f>
        <v>2</v>
      </c>
      <c r="N71" s="291"/>
      <c r="O71" s="291"/>
      <c r="P71" s="292"/>
      <c r="Q71" s="298" t="s">
        <v>2361</v>
      </c>
      <c r="R71" s="294" t="s">
        <v>78</v>
      </c>
      <c r="S71" s="295"/>
    </row>
    <row r="72" ht="29.25" customHeight="1">
      <c r="A72" s="315" t="s">
        <v>2126</v>
      </c>
      <c r="B72" s="300" t="s">
        <v>2362</v>
      </c>
      <c r="C72" s="316" t="s">
        <v>2363</v>
      </c>
      <c r="D72" s="296" t="s">
        <v>2364</v>
      </c>
      <c r="E72" s="286" t="s">
        <v>2193</v>
      </c>
      <c r="F72" s="317" t="s">
        <v>76</v>
      </c>
      <c r="G72" s="318">
        <v>100.0</v>
      </c>
      <c r="H72" s="246">
        <f>IF(OR(J72="",K72="",K72&lt;J72),0,NETWORKDAYS(J72,K72,fESTIVOS!$A$2:$A$53))</f>
        <v>2</v>
      </c>
      <c r="I72" s="289">
        <v>45936.0</v>
      </c>
      <c r="J72" s="290">
        <v>45936.0</v>
      </c>
      <c r="K72" s="290">
        <v>45937.0</v>
      </c>
      <c r="L72" s="290">
        <v>45937.0</v>
      </c>
      <c r="M72" s="39">
        <f>IF(OR(J72="",AND(L72="",TODAY()&lt;J72),AND(L72&lt;&gt;"",L72&lt;J72)),0,
   IF(L72="",
      NETWORKDAYS(J72,TODAY(),fESTIVOS!$A$2:$A$53),
      NETWORKDAYS(J72,L72,fESTIVOS!$A$2:$A$53)
   )
)
</f>
        <v>2</v>
      </c>
      <c r="N72" s="319"/>
      <c r="O72" s="319"/>
      <c r="P72" s="320"/>
      <c r="Q72" s="298" t="s">
        <v>2365</v>
      </c>
      <c r="R72" s="294" t="s">
        <v>78</v>
      </c>
      <c r="S72" s="295"/>
    </row>
    <row r="73" ht="29.25" customHeight="1">
      <c r="A73" s="324" t="s">
        <v>2126</v>
      </c>
      <c r="B73" s="325" t="s">
        <v>2366</v>
      </c>
      <c r="C73" s="326" t="s">
        <v>2330</v>
      </c>
      <c r="D73" s="321" t="s">
        <v>2367</v>
      </c>
      <c r="E73" s="327" t="s">
        <v>2193</v>
      </c>
      <c r="F73" s="328" t="s">
        <v>76</v>
      </c>
      <c r="G73" s="311">
        <v>100.0</v>
      </c>
      <c r="H73" s="246">
        <f>IF(OR(J73="",K73="",K73&lt;J73),0,NETWORKDAYS(J73,K73,fESTIVOS!$A$2:$A$53))</f>
        <v>2</v>
      </c>
      <c r="I73" s="289">
        <v>45936.0</v>
      </c>
      <c r="J73" s="290">
        <v>45936.0</v>
      </c>
      <c r="K73" s="290">
        <v>45937.0</v>
      </c>
      <c r="L73" s="290">
        <v>45937.0</v>
      </c>
      <c r="M73" s="39">
        <f>IF(OR(J73="",AND(L73="",TODAY()&lt;J73),AND(L73&lt;&gt;"",L73&lt;J73)),0,
   IF(L73="",
      NETWORKDAYS(J73,TODAY(),fESTIVOS!$A$2:$A$53),
      NETWORKDAYS(J73,L73,fESTIVOS!$A$2:$A$53)
   )
)
</f>
        <v>2</v>
      </c>
      <c r="N73" s="291"/>
      <c r="O73" s="291"/>
      <c r="P73" s="292"/>
      <c r="Q73" s="298" t="s">
        <v>2368</v>
      </c>
      <c r="R73" s="312" t="s">
        <v>78</v>
      </c>
      <c r="S73" s="329"/>
    </row>
    <row r="74" ht="29.25" customHeight="1">
      <c r="A74" s="315" t="s">
        <v>2126</v>
      </c>
      <c r="B74" s="300" t="s">
        <v>2369</v>
      </c>
      <c r="C74" s="316" t="s">
        <v>2330</v>
      </c>
      <c r="D74" s="321" t="s">
        <v>2370</v>
      </c>
      <c r="E74" s="286" t="s">
        <v>2193</v>
      </c>
      <c r="F74" s="317" t="s">
        <v>76</v>
      </c>
      <c r="G74" s="318">
        <v>100.0</v>
      </c>
      <c r="H74" s="246">
        <f>IF(OR(J74="",K74="",K74&lt;J74),0,NETWORKDAYS(J74,K74,fESTIVOS!$A$2:$A$53))</f>
        <v>2</v>
      </c>
      <c r="I74" s="289">
        <v>45936.0</v>
      </c>
      <c r="J74" s="290">
        <v>45936.0</v>
      </c>
      <c r="K74" s="290">
        <v>45937.0</v>
      </c>
      <c r="L74" s="290">
        <v>45937.0</v>
      </c>
      <c r="M74" s="39">
        <f>IF(OR(J74="",AND(L74="",TODAY()&lt;J74),AND(L74&lt;&gt;"",L74&lt;J74)),0,
   IF(L74="",
      NETWORKDAYS(J74,TODAY(),fESTIVOS!$A$2:$A$53),
      NETWORKDAYS(J74,L74,fESTIVOS!$A$2:$A$53)
   )
)
</f>
        <v>2</v>
      </c>
      <c r="N74" s="319"/>
      <c r="O74" s="319"/>
      <c r="P74" s="320"/>
      <c r="Q74" s="298" t="s">
        <v>2371</v>
      </c>
      <c r="R74" s="294" t="s">
        <v>78</v>
      </c>
      <c r="S74" s="295"/>
    </row>
    <row r="75" ht="29.25" customHeight="1">
      <c r="A75" s="282" t="s">
        <v>2126</v>
      </c>
      <c r="B75" s="283" t="s">
        <v>2372</v>
      </c>
      <c r="C75" s="284" t="s">
        <v>2373</v>
      </c>
      <c r="D75" s="296" t="s">
        <v>2374</v>
      </c>
      <c r="E75" s="286" t="s">
        <v>2129</v>
      </c>
      <c r="F75" s="287" t="s">
        <v>76</v>
      </c>
      <c r="G75" s="288">
        <v>100.0</v>
      </c>
      <c r="H75" s="246">
        <f>IF(OR(J75="",K75="",K75&lt;J75),0,NETWORKDAYS(J75,K75,fESTIVOS!$A$2:$A$53))</f>
        <v>2</v>
      </c>
      <c r="I75" s="289">
        <v>45938.0</v>
      </c>
      <c r="J75" s="290">
        <v>45938.0</v>
      </c>
      <c r="K75" s="290">
        <v>45939.0</v>
      </c>
      <c r="L75" s="290">
        <v>45938.0</v>
      </c>
      <c r="M75" s="39">
        <f>IF(OR(J75="",AND(L75="",TODAY()&lt;J75),AND(L75&lt;&gt;"",L75&lt;J75)),0,
   IF(L75="",
      NETWORKDAYS(J75,TODAY(),fESTIVOS!$A$2:$A$53),
      NETWORKDAYS(J75,L75,fESTIVOS!$A$2:$A$53)
   )
)
</f>
        <v>1</v>
      </c>
      <c r="N75" s="291"/>
      <c r="O75" s="291"/>
      <c r="P75" s="292"/>
      <c r="Q75" s="298" t="s">
        <v>2375</v>
      </c>
      <c r="R75" s="294" t="s">
        <v>78</v>
      </c>
      <c r="S75" s="295"/>
    </row>
    <row r="76" ht="29.25" customHeight="1">
      <c r="A76" s="282" t="s">
        <v>2126</v>
      </c>
      <c r="B76" s="283" t="s">
        <v>2376</v>
      </c>
      <c r="C76" s="284" t="s">
        <v>2377</v>
      </c>
      <c r="D76" s="296" t="s">
        <v>2378</v>
      </c>
      <c r="E76" s="286" t="s">
        <v>2129</v>
      </c>
      <c r="F76" s="287" t="s">
        <v>76</v>
      </c>
      <c r="G76" s="288">
        <v>100.0</v>
      </c>
      <c r="H76" s="246">
        <f>IF(OR(J76="",K76="",K76&lt;J76),0,NETWORKDAYS(J76,K76,fESTIVOS!$A$2:$A$53))</f>
        <v>2</v>
      </c>
      <c r="I76" s="289">
        <v>45939.0</v>
      </c>
      <c r="J76" s="290">
        <v>45939.0</v>
      </c>
      <c r="K76" s="290">
        <v>45940.0</v>
      </c>
      <c r="L76" s="290">
        <v>45939.0</v>
      </c>
      <c r="M76" s="39">
        <f>IF(OR(J76="",AND(L76="",TODAY()&lt;J76),AND(L76&lt;&gt;"",L76&lt;J76)),0,
   IF(L76="",
      NETWORKDAYS(J76,TODAY(),fESTIVOS!$A$2:$A$53),
      NETWORKDAYS(J76,L76,fESTIVOS!$A$2:$A$53)
   )
)
</f>
        <v>1</v>
      </c>
      <c r="N76" s="291"/>
      <c r="O76" s="291"/>
      <c r="P76" s="292"/>
      <c r="Q76" s="298" t="s">
        <v>2379</v>
      </c>
      <c r="R76" s="294" t="s">
        <v>78</v>
      </c>
      <c r="S76" s="295"/>
    </row>
    <row r="77" ht="29.25" customHeight="1">
      <c r="A77" s="315" t="s">
        <v>2126</v>
      </c>
      <c r="B77" s="300" t="s">
        <v>2380</v>
      </c>
      <c r="C77" s="316" t="s">
        <v>2381</v>
      </c>
      <c r="D77" s="321" t="s">
        <v>2382</v>
      </c>
      <c r="E77" s="286" t="s">
        <v>2193</v>
      </c>
      <c r="F77" s="330" t="s">
        <v>76</v>
      </c>
      <c r="G77" s="331">
        <v>100.0</v>
      </c>
      <c r="H77" s="246">
        <f>IF(OR(J77="",K77="",K77&lt;J77),0,NETWORKDAYS(J77,K77,fESTIVOS!$A$2:$A$53))</f>
        <v>1</v>
      </c>
      <c r="I77" s="322">
        <v>45940.0</v>
      </c>
      <c r="J77" s="297">
        <v>45940.0</v>
      </c>
      <c r="K77" s="297">
        <v>45940.0</v>
      </c>
      <c r="L77" s="297">
        <v>45940.0</v>
      </c>
      <c r="M77" s="39">
        <f>IF(OR(J77="",AND(L77="",TODAY()&lt;J77),AND(L77&lt;&gt;"",L77&lt;J77)),0,
   IF(L77="",
      NETWORKDAYS(J77,TODAY(),fESTIVOS!$A$2:$A$53),
      NETWORKDAYS(J77,L77,fESTIVOS!$A$2:$A$53)
   )
)
</f>
        <v>1</v>
      </c>
      <c r="N77" s="319"/>
      <c r="O77" s="319"/>
      <c r="P77" s="320"/>
      <c r="Q77" s="298" t="s">
        <v>2383</v>
      </c>
      <c r="R77" s="294" t="s">
        <v>78</v>
      </c>
      <c r="S77" s="295"/>
    </row>
    <row r="78" ht="29.25" customHeight="1">
      <c r="A78" s="315" t="s">
        <v>2126</v>
      </c>
      <c r="B78" s="300" t="s">
        <v>2384</v>
      </c>
      <c r="C78" s="316" t="s">
        <v>2385</v>
      </c>
      <c r="D78" s="332" t="s">
        <v>2386</v>
      </c>
      <c r="E78" s="286" t="s">
        <v>2210</v>
      </c>
      <c r="F78" s="330" t="s">
        <v>76</v>
      </c>
      <c r="G78" s="331">
        <v>100.0</v>
      </c>
      <c r="H78" s="246">
        <f>IF(OR(J78="",K78="",K78&lt;J78),0,NETWORKDAYS(J78,K78,fESTIVOS!$A$2:$A$53))</f>
        <v>1</v>
      </c>
      <c r="I78" s="322">
        <v>45937.0</v>
      </c>
      <c r="J78" s="297">
        <v>45940.0</v>
      </c>
      <c r="K78" s="297">
        <v>45940.0</v>
      </c>
      <c r="L78" s="297">
        <v>45940.0</v>
      </c>
      <c r="M78" s="39">
        <f>IF(OR(J78="",AND(L78="",TODAY()&lt;J78),AND(L78&lt;&gt;"",L78&lt;J78)),0,
   IF(L78="",
      NETWORKDAYS(J78,TODAY(),fESTIVOS!$A$2:$A$53),
      NETWORKDAYS(J78,L78,fESTIVOS!$A$2:$A$53)
   )
)
</f>
        <v>1</v>
      </c>
      <c r="N78" s="319"/>
      <c r="O78" s="319"/>
      <c r="P78" s="320"/>
      <c r="Q78" s="298" t="s">
        <v>2387</v>
      </c>
      <c r="R78" s="294" t="s">
        <v>78</v>
      </c>
      <c r="S78" s="295"/>
    </row>
    <row r="79" ht="29.25" customHeight="1">
      <c r="A79" s="324" t="s">
        <v>2126</v>
      </c>
      <c r="B79" s="325" t="s">
        <v>2388</v>
      </c>
      <c r="C79" s="326" t="s">
        <v>2389</v>
      </c>
      <c r="D79" s="333" t="s">
        <v>2390</v>
      </c>
      <c r="E79" s="309" t="s">
        <v>2129</v>
      </c>
      <c r="F79" s="313" t="s">
        <v>76</v>
      </c>
      <c r="G79" s="331">
        <v>100.0</v>
      </c>
      <c r="H79" s="246">
        <f>IF(OR(J79="",K79="",K79&lt;J79),0,NETWORKDAYS(J79,K79,fESTIVOS!$A$2:$A$53))</f>
        <v>1</v>
      </c>
      <c r="I79" s="334">
        <v>45944.0</v>
      </c>
      <c r="J79" s="335">
        <v>45944.0</v>
      </c>
      <c r="K79" s="335">
        <v>45944.0</v>
      </c>
      <c r="L79" s="335">
        <v>45944.0</v>
      </c>
      <c r="M79" s="39">
        <f>IF(OR(J79="",AND(L79="",TODAY()&lt;J79),AND(L79&lt;&gt;"",L79&lt;J79)),0,
   IF(L79="",
      NETWORKDAYS(J79,TODAY(),fESTIVOS!$A$2:$A$53),
      NETWORKDAYS(J79,L79,fESTIVOS!$A$2:$A$53)
   )
)
</f>
        <v>1</v>
      </c>
      <c r="N79" s="291"/>
      <c r="O79" s="291"/>
      <c r="P79" s="292"/>
      <c r="Q79" s="336" t="s">
        <v>2391</v>
      </c>
      <c r="R79" s="312" t="s">
        <v>78</v>
      </c>
      <c r="S79" s="308"/>
    </row>
    <row r="80" ht="29.25" customHeight="1">
      <c r="A80" s="315" t="s">
        <v>2126</v>
      </c>
      <c r="B80" s="300" t="s">
        <v>2392</v>
      </c>
      <c r="C80" s="337" t="s">
        <v>2330</v>
      </c>
      <c r="D80" s="321" t="s">
        <v>2393</v>
      </c>
      <c r="E80" s="303" t="s">
        <v>2193</v>
      </c>
      <c r="F80" s="330" t="s">
        <v>76</v>
      </c>
      <c r="G80" s="331">
        <v>100.0</v>
      </c>
      <c r="H80" s="246">
        <f>IF(OR(J80="",K80="",K80&lt;J80),0,NETWORKDAYS(J80,K80,fESTIVOS!$A$2:$A$53))</f>
        <v>1</v>
      </c>
      <c r="I80" s="334">
        <v>45944.0</v>
      </c>
      <c r="J80" s="335">
        <v>45944.0</v>
      </c>
      <c r="K80" s="335">
        <v>45944.0</v>
      </c>
      <c r="L80" s="335">
        <v>45944.0</v>
      </c>
      <c r="M80" s="39">
        <f>IF(OR(J80="",AND(L80="",TODAY()&lt;J80),AND(L80&lt;&gt;"",L80&lt;J80)),0,
   IF(L80="",
      NETWORKDAYS(J80,TODAY(),fESTIVOS!$A$2:$A$53),
      NETWORKDAYS(J80,L80,fESTIVOS!$A$2:$A$53)
   )
)
</f>
        <v>1</v>
      </c>
      <c r="N80" s="319"/>
      <c r="O80" s="319"/>
      <c r="P80" s="320"/>
      <c r="Q80" s="336" t="s">
        <v>2394</v>
      </c>
      <c r="R80" s="294" t="s">
        <v>78</v>
      </c>
      <c r="S80" s="338"/>
    </row>
    <row r="81" ht="29.25" customHeight="1">
      <c r="A81" s="315" t="s">
        <v>2126</v>
      </c>
      <c r="B81" s="300" t="s">
        <v>2395</v>
      </c>
      <c r="C81" s="326" t="s">
        <v>2396</v>
      </c>
      <c r="D81" s="321" t="s">
        <v>2397</v>
      </c>
      <c r="E81" s="303" t="s">
        <v>2129</v>
      </c>
      <c r="F81" s="330" t="s">
        <v>76</v>
      </c>
      <c r="G81" s="331">
        <v>100.0</v>
      </c>
      <c r="H81" s="246">
        <f>IF(OR(J81="",K81="",K81&lt;J81),0,NETWORKDAYS(J81,K81,fESTIVOS!$A$2:$A$53))</f>
        <v>1</v>
      </c>
      <c r="I81" s="334">
        <v>45944.0</v>
      </c>
      <c r="J81" s="335">
        <v>45944.0</v>
      </c>
      <c r="K81" s="335">
        <v>45944.0</v>
      </c>
      <c r="L81" s="335">
        <v>45944.0</v>
      </c>
      <c r="M81" s="39">
        <f>IF(OR(J81="",AND(L81="",TODAY()&lt;J81),AND(L81&lt;&gt;"",L81&lt;J81)),0,
   IF(L81="",
      NETWORKDAYS(J81,TODAY(),fESTIVOS!$A$2:$A$53),
      NETWORKDAYS(J81,L81,fESTIVOS!$A$2:$A$53)
   )
)
</f>
        <v>1</v>
      </c>
      <c r="N81" s="319"/>
      <c r="O81" s="319"/>
      <c r="P81" s="320"/>
      <c r="Q81" s="336" t="s">
        <v>2398</v>
      </c>
      <c r="R81" s="294" t="s">
        <v>78</v>
      </c>
      <c r="S81" s="338"/>
    </row>
    <row r="82" ht="29.25" customHeight="1">
      <c r="A82" s="315" t="s">
        <v>2126</v>
      </c>
      <c r="B82" s="300" t="s">
        <v>2399</v>
      </c>
      <c r="C82" s="326" t="s">
        <v>2400</v>
      </c>
      <c r="D82" s="321" t="s">
        <v>2401</v>
      </c>
      <c r="E82" s="303" t="s">
        <v>2129</v>
      </c>
      <c r="F82" s="330" t="s">
        <v>76</v>
      </c>
      <c r="G82" s="331">
        <v>100.0</v>
      </c>
      <c r="H82" s="246">
        <f>IF(OR(J82="",K82="",K82&lt;J82),0,NETWORKDAYS(J82,K82,fESTIVOS!$A$2:$A$53))</f>
        <v>1</v>
      </c>
      <c r="I82" s="334">
        <v>45945.0</v>
      </c>
      <c r="J82" s="335">
        <v>45945.0</v>
      </c>
      <c r="K82" s="335">
        <v>45945.0</v>
      </c>
      <c r="L82" s="335">
        <v>45945.0</v>
      </c>
      <c r="M82" s="39">
        <f>IF(OR(J82="",AND(L82="",TODAY()&lt;J82),AND(L82&lt;&gt;"",L82&lt;J82)),0,
   IF(L82="",
      NETWORKDAYS(J82,TODAY(),fESTIVOS!$A$2:$A$53),
      NETWORKDAYS(J82,L82,fESTIVOS!$A$2:$A$53)
   )
)
</f>
        <v>1</v>
      </c>
      <c r="N82" s="319"/>
      <c r="O82" s="319"/>
      <c r="P82" s="320"/>
      <c r="Q82" s="336" t="s">
        <v>2402</v>
      </c>
      <c r="R82" s="294" t="s">
        <v>78</v>
      </c>
      <c r="S82" s="338"/>
    </row>
    <row r="83" ht="29.25" customHeight="1">
      <c r="A83" s="315" t="s">
        <v>2126</v>
      </c>
      <c r="B83" s="300" t="s">
        <v>2403</v>
      </c>
      <c r="C83" s="326" t="s">
        <v>2404</v>
      </c>
      <c r="D83" s="321" t="s">
        <v>2405</v>
      </c>
      <c r="E83" s="303" t="s">
        <v>2129</v>
      </c>
      <c r="F83" s="339" t="s">
        <v>76</v>
      </c>
      <c r="G83" s="318">
        <v>100.0</v>
      </c>
      <c r="H83" s="246">
        <f>IF(OR(J83="",K83="",K83&lt;J83),0,NETWORKDAYS(J83,K83,fESTIVOS!$A$2:$A$53))</f>
        <v>3</v>
      </c>
      <c r="I83" s="334">
        <v>45946.0</v>
      </c>
      <c r="J83" s="335">
        <v>45946.0</v>
      </c>
      <c r="K83" s="335">
        <v>45950.0</v>
      </c>
      <c r="L83" s="335">
        <v>45947.0</v>
      </c>
      <c r="M83" s="39">
        <f>IF(OR(J83="",AND(L83="",TODAY()&lt;J83),AND(L83&lt;&gt;"",L83&lt;J83)),0,
   IF(L83="",
      NETWORKDAYS(J83,TODAY(),fESTIVOS!$A$2:$A$53),
      NETWORKDAYS(J83,L83,fESTIVOS!$A$2:$A$53)
   )
)
</f>
        <v>2</v>
      </c>
      <c r="N83" s="319"/>
      <c r="O83" s="319"/>
      <c r="P83" s="320"/>
      <c r="Q83" s="336" t="s">
        <v>2406</v>
      </c>
      <c r="R83" s="294" t="s">
        <v>78</v>
      </c>
      <c r="S83" s="338"/>
    </row>
    <row r="84" ht="29.25" customHeight="1">
      <c r="A84" s="315" t="s">
        <v>2126</v>
      </c>
      <c r="B84" s="300" t="s">
        <v>2407</v>
      </c>
      <c r="C84" s="326" t="s">
        <v>2408</v>
      </c>
      <c r="D84" s="321" t="s">
        <v>2409</v>
      </c>
      <c r="E84" s="303" t="s">
        <v>2129</v>
      </c>
      <c r="F84" s="339" t="s">
        <v>76</v>
      </c>
      <c r="G84" s="318">
        <v>100.0</v>
      </c>
      <c r="H84" s="246">
        <f>IF(OR(J84="",K84="",K84&lt;J84),0,NETWORKDAYS(J84,K84,fESTIVOS!$A$2:$A$53))</f>
        <v>2</v>
      </c>
      <c r="I84" s="334">
        <v>45946.0</v>
      </c>
      <c r="J84" s="335">
        <v>45946.0</v>
      </c>
      <c r="K84" s="335">
        <v>45947.0</v>
      </c>
      <c r="L84" s="335">
        <v>45946.0</v>
      </c>
      <c r="M84" s="39">
        <f>IF(OR(J84="",AND(L84="",TODAY()&lt;J84),AND(L84&lt;&gt;"",L84&lt;J84)),0,
   IF(L84="",
      NETWORKDAYS(J84,TODAY(),fESTIVOS!$A$2:$A$53),
      NETWORKDAYS(J84,L84,fESTIVOS!$A$2:$A$53)
   )
)
</f>
        <v>1</v>
      </c>
      <c r="N84" s="319"/>
      <c r="O84" s="319"/>
      <c r="P84" s="320"/>
      <c r="Q84" s="336" t="s">
        <v>2410</v>
      </c>
      <c r="R84" s="294" t="s">
        <v>78</v>
      </c>
      <c r="S84" s="338"/>
    </row>
    <row r="85" ht="29.25" customHeight="1">
      <c r="A85" s="315" t="s">
        <v>2126</v>
      </c>
      <c r="B85" s="300" t="s">
        <v>2411</v>
      </c>
      <c r="C85" s="326" t="s">
        <v>2412</v>
      </c>
      <c r="D85" s="321" t="s">
        <v>2413</v>
      </c>
      <c r="E85" s="303" t="s">
        <v>2129</v>
      </c>
      <c r="F85" s="339" t="s">
        <v>76</v>
      </c>
      <c r="G85" s="318">
        <v>100.0</v>
      </c>
      <c r="H85" s="246">
        <f>IF(OR(J85="",K85="",K85&lt;J85),0,NETWORKDAYS(J85,K85,fESTIVOS!$A$2:$A$53))</f>
        <v>3</v>
      </c>
      <c r="I85" s="334">
        <v>45947.0</v>
      </c>
      <c r="J85" s="335">
        <v>45950.0</v>
      </c>
      <c r="K85" s="335">
        <v>45952.0</v>
      </c>
      <c r="L85" s="335">
        <v>45951.0</v>
      </c>
      <c r="M85" s="39">
        <f>IF(OR(J85="",AND(L85="",TODAY()&lt;J85),AND(L85&lt;&gt;"",L85&lt;J85)),0,
   IF(L85="",
      NETWORKDAYS(J85,TODAY(),fESTIVOS!$A$2:$A$53),
      NETWORKDAYS(J85,L85,fESTIVOS!$A$2:$A$53)
   )
)
</f>
        <v>2</v>
      </c>
      <c r="N85" s="319"/>
      <c r="O85" s="319"/>
      <c r="P85" s="320"/>
      <c r="Q85" s="336" t="s">
        <v>2414</v>
      </c>
      <c r="R85" s="294" t="s">
        <v>78</v>
      </c>
      <c r="S85" s="338"/>
    </row>
    <row r="86" ht="29.25" customHeight="1">
      <c r="A86" s="324" t="s">
        <v>2126</v>
      </c>
      <c r="B86" s="325" t="s">
        <v>2415</v>
      </c>
      <c r="C86" s="340" t="s">
        <v>2408</v>
      </c>
      <c r="D86" s="341" t="s">
        <v>2409</v>
      </c>
      <c r="E86" s="309" t="s">
        <v>2129</v>
      </c>
      <c r="F86" s="313" t="s">
        <v>76</v>
      </c>
      <c r="G86" s="314">
        <v>100.0</v>
      </c>
      <c r="H86" s="246">
        <f>IF(OR(J86="",K86="",K86&lt;J86),0,NETWORKDAYS(J86,K86,fESTIVOS!$A$2:$A$53))</f>
        <v>2</v>
      </c>
      <c r="I86" s="342">
        <v>45946.0</v>
      </c>
      <c r="J86" s="343">
        <v>45946.0</v>
      </c>
      <c r="K86" s="343">
        <v>45947.0</v>
      </c>
      <c r="L86" s="343">
        <v>45946.0</v>
      </c>
      <c r="M86" s="39">
        <f>IF(OR(J86="",AND(L86="",TODAY()&lt;J86),AND(L86&lt;&gt;"",L86&lt;J86)),0,
   IF(L86="",
      NETWORKDAYS(J86,TODAY(),fESTIVOS!$A$2:$A$53),
      NETWORKDAYS(J86,L86,fESTIVOS!$A$2:$A$53)
   )
)
</f>
        <v>1</v>
      </c>
      <c r="N86" s="291"/>
      <c r="O86" s="291"/>
      <c r="P86" s="292"/>
      <c r="Q86" s="344" t="s">
        <v>2410</v>
      </c>
      <c r="R86" s="312" t="s">
        <v>78</v>
      </c>
      <c r="S86" s="308"/>
    </row>
    <row r="87" ht="29.25" customHeight="1">
      <c r="A87" s="282" t="s">
        <v>2126</v>
      </c>
      <c r="B87" s="283" t="s">
        <v>2416</v>
      </c>
      <c r="C87" s="284" t="s">
        <v>2373</v>
      </c>
      <c r="D87" s="296" t="s">
        <v>2417</v>
      </c>
      <c r="E87" s="286" t="s">
        <v>2129</v>
      </c>
      <c r="F87" s="287" t="s">
        <v>76</v>
      </c>
      <c r="G87" s="288">
        <v>100.0</v>
      </c>
      <c r="H87" s="246">
        <f>IF(OR(J87="",K87="",K87&lt;J87),0,NETWORKDAYS(J87,K87,fESTIVOS!$A$2:$A$53))</f>
        <v>2</v>
      </c>
      <c r="I87" s="289">
        <v>45951.0</v>
      </c>
      <c r="J87" s="290">
        <v>45952.0</v>
      </c>
      <c r="K87" s="290">
        <v>45953.0</v>
      </c>
      <c r="L87" s="290">
        <v>45952.0</v>
      </c>
      <c r="M87" s="39">
        <f>IF(OR(J87="",AND(L87="",TODAY()&lt;J87),AND(L87&lt;&gt;"",L87&lt;J87)),0,
   IF(L87="",
      NETWORKDAYS(J87,TODAY(),fESTIVOS!$A$2:$A$53),
      NETWORKDAYS(J87,L87,fESTIVOS!$A$2:$A$53)
   )
)
</f>
        <v>1</v>
      </c>
      <c r="N87" s="291"/>
      <c r="O87" s="291"/>
      <c r="P87" s="292"/>
      <c r="Q87" s="298" t="s">
        <v>2418</v>
      </c>
      <c r="R87" s="294" t="s">
        <v>78</v>
      </c>
      <c r="S87" s="295"/>
    </row>
    <row r="88" ht="29.25" customHeight="1">
      <c r="A88" s="282" t="s">
        <v>2126</v>
      </c>
      <c r="B88" s="283" t="s">
        <v>2419</v>
      </c>
      <c r="C88" s="284" t="s">
        <v>2373</v>
      </c>
      <c r="D88" s="296" t="s">
        <v>2420</v>
      </c>
      <c r="E88" s="286" t="s">
        <v>2129</v>
      </c>
      <c r="F88" s="287" t="s">
        <v>76</v>
      </c>
      <c r="G88" s="288">
        <v>100.0</v>
      </c>
      <c r="H88" s="246">
        <f>IF(OR(J88="",K88="",K88&lt;J88),0,NETWORKDAYS(J88,K88,fESTIVOS!$A$2:$A$53))</f>
        <v>2</v>
      </c>
      <c r="I88" s="289">
        <v>45951.0</v>
      </c>
      <c r="J88" s="290">
        <v>45952.0</v>
      </c>
      <c r="K88" s="290">
        <v>45953.0</v>
      </c>
      <c r="L88" s="290">
        <v>45953.0</v>
      </c>
      <c r="M88" s="39">
        <f>IF(OR(J88="",AND(L88="",TODAY()&lt;J88),AND(L88&lt;&gt;"",L88&lt;J88)),0,
   IF(L88="",
      NETWORKDAYS(J88,TODAY(),fESTIVOS!$A$2:$A$53),
      NETWORKDAYS(J88,L88,fESTIVOS!$A$2:$A$53)
   )
)
</f>
        <v>2</v>
      </c>
      <c r="N88" s="291"/>
      <c r="O88" s="291"/>
      <c r="P88" s="292"/>
      <c r="Q88" s="298" t="s">
        <v>2421</v>
      </c>
      <c r="R88" s="294" t="s">
        <v>78</v>
      </c>
      <c r="S88" s="295"/>
    </row>
    <row r="89" ht="29.25" customHeight="1">
      <c r="A89" s="282" t="s">
        <v>2126</v>
      </c>
      <c r="B89" s="283" t="s">
        <v>2422</v>
      </c>
      <c r="C89" s="284" t="s">
        <v>2423</v>
      </c>
      <c r="D89" s="296" t="s">
        <v>2424</v>
      </c>
      <c r="E89" s="286" t="s">
        <v>2129</v>
      </c>
      <c r="F89" s="287" t="s">
        <v>76</v>
      </c>
      <c r="G89" s="288">
        <v>100.0</v>
      </c>
      <c r="H89" s="246">
        <f>IF(OR(J89="",K89="",K89&lt;J89),0,NETWORKDAYS(J89,K89,fESTIVOS!$A$2:$A$53))</f>
        <v>14</v>
      </c>
      <c r="I89" s="289">
        <v>45957.0</v>
      </c>
      <c r="J89" s="290">
        <v>45957.0</v>
      </c>
      <c r="K89" s="290">
        <v>45976.0</v>
      </c>
      <c r="L89" s="290">
        <v>45986.0</v>
      </c>
      <c r="M89" s="39">
        <f>IF(OR(J89="",AND(L89="",TODAY()&lt;J89),AND(L89&lt;&gt;"",L89&lt;J89)),0,
   IF(L89="",
      NETWORKDAYS(J89,TODAY(),fESTIVOS!$A$2:$A$53),
      NETWORKDAYS(J89,L89,fESTIVOS!$A$2:$A$53)
   )
)
</f>
        <v>20</v>
      </c>
      <c r="N89" s="291"/>
      <c r="O89" s="291"/>
      <c r="P89" s="292"/>
      <c r="Q89" s="298" t="s">
        <v>2425</v>
      </c>
      <c r="R89" s="294" t="s">
        <v>78</v>
      </c>
      <c r="S89" s="295"/>
    </row>
    <row r="90" ht="29.25" customHeight="1">
      <c r="A90" s="315" t="s">
        <v>2126</v>
      </c>
      <c r="B90" s="300" t="s">
        <v>2426</v>
      </c>
      <c r="C90" s="316" t="s">
        <v>2337</v>
      </c>
      <c r="D90" s="321" t="s">
        <v>2427</v>
      </c>
      <c r="E90" s="300" t="s">
        <v>2428</v>
      </c>
      <c r="F90" s="317" t="s">
        <v>76</v>
      </c>
      <c r="G90" s="318">
        <v>100.0</v>
      </c>
      <c r="H90" s="246">
        <f>IF(OR(J90="",K90="",K90&lt;J90),0,NETWORKDAYS(J90,K90,fESTIVOS!$A$2:$A$53))</f>
        <v>3</v>
      </c>
      <c r="I90" s="322">
        <v>45957.0</v>
      </c>
      <c r="J90" s="290">
        <v>45957.0</v>
      </c>
      <c r="K90" s="297">
        <v>45959.0</v>
      </c>
      <c r="L90" s="297">
        <v>45958.0</v>
      </c>
      <c r="M90" s="39">
        <f>IF(OR(J90="",AND(L90="",TODAY()&lt;J90),AND(L90&lt;&gt;"",L90&lt;J90)),0,
   IF(L90="",
      NETWORKDAYS(J90,TODAY(),fESTIVOS!$A$2:$A$53),
      NETWORKDAYS(J90,L90,fESTIVOS!$A$2:$A$53)
   )
)
</f>
        <v>2</v>
      </c>
      <c r="N90" s="319"/>
      <c r="O90" s="319"/>
      <c r="P90" s="320"/>
      <c r="Q90" s="298" t="s">
        <v>2429</v>
      </c>
      <c r="R90" s="294" t="s">
        <v>78</v>
      </c>
      <c r="S90" s="295"/>
    </row>
    <row r="91" ht="29.25" customHeight="1">
      <c r="A91" s="315" t="s">
        <v>2126</v>
      </c>
      <c r="B91" s="300" t="s">
        <v>2430</v>
      </c>
      <c r="C91" s="316" t="s">
        <v>2337</v>
      </c>
      <c r="D91" s="321"/>
      <c r="E91" s="300" t="s">
        <v>2147</v>
      </c>
      <c r="F91" s="317" t="s">
        <v>76</v>
      </c>
      <c r="G91" s="318">
        <v>100.0</v>
      </c>
      <c r="H91" s="246">
        <f>IF(OR(J91="",K91="",K91&lt;J91),0,NETWORKDAYS(J91,K91,fESTIVOS!$A$2:$A$53))</f>
        <v>1</v>
      </c>
      <c r="I91" s="322">
        <v>45961.0</v>
      </c>
      <c r="J91" s="297">
        <v>45961.0</v>
      </c>
      <c r="K91" s="297">
        <v>45961.0</v>
      </c>
      <c r="L91" s="297">
        <v>45961.0</v>
      </c>
      <c r="M91" s="39">
        <f>IF(OR(J91="",AND(L91="",TODAY()&lt;J91),AND(L91&lt;&gt;"",L91&lt;J91)),0,
   IF(L91="",
      NETWORKDAYS(J91,TODAY(),fESTIVOS!$A$2:$A$53),
      NETWORKDAYS(J91,L91,fESTIVOS!$A$2:$A$53)
   )
)
</f>
        <v>1</v>
      </c>
      <c r="N91" s="319"/>
      <c r="O91" s="319"/>
      <c r="P91" s="320"/>
      <c r="Q91" s="298" t="s">
        <v>2431</v>
      </c>
      <c r="R91" s="294" t="s">
        <v>78</v>
      </c>
      <c r="S91" s="295"/>
    </row>
    <row r="92" ht="29.25" customHeight="1">
      <c r="A92" s="315" t="s">
        <v>2126</v>
      </c>
      <c r="B92" s="300" t="s">
        <v>2432</v>
      </c>
      <c r="C92" s="316" t="s">
        <v>2433</v>
      </c>
      <c r="D92" s="332"/>
      <c r="E92" s="286" t="s">
        <v>2210</v>
      </c>
      <c r="F92" s="330" t="s">
        <v>76</v>
      </c>
      <c r="G92" s="331">
        <v>100.0</v>
      </c>
      <c r="H92" s="246">
        <f>IF(OR(J92="",K92="",K92&lt;J92),0,NETWORKDAYS(J92,K92,fESTIVOS!$A$2:$A$53))</f>
        <v>2</v>
      </c>
      <c r="I92" s="322">
        <v>45961.0</v>
      </c>
      <c r="J92" s="297">
        <v>45965.0</v>
      </c>
      <c r="K92" s="297">
        <v>45966.0</v>
      </c>
      <c r="L92" s="297">
        <v>45965.0</v>
      </c>
      <c r="M92" s="39">
        <f>IF(OR(J92="",AND(L92="",TODAY()&lt;J92),AND(L92&lt;&gt;"",L92&lt;J92)),0,
   IF(L92="",
      NETWORKDAYS(J92,TODAY(),fESTIVOS!$A$2:$A$53),
      NETWORKDAYS(J92,L92,fESTIVOS!$A$2:$A$53)
   )
)
</f>
        <v>1</v>
      </c>
      <c r="N92" s="319"/>
      <c r="O92" s="319"/>
      <c r="P92" s="320"/>
      <c r="Q92" s="298" t="s">
        <v>2434</v>
      </c>
      <c r="R92" s="294" t="s">
        <v>78</v>
      </c>
      <c r="S92" s="295"/>
    </row>
    <row r="93" ht="29.25" customHeight="1">
      <c r="A93" s="315" t="s">
        <v>2126</v>
      </c>
      <c r="B93" s="300" t="s">
        <v>2435</v>
      </c>
      <c r="C93" s="316" t="s">
        <v>2436</v>
      </c>
      <c r="D93" s="321"/>
      <c r="E93" s="303" t="s">
        <v>2193</v>
      </c>
      <c r="F93" s="330" t="s">
        <v>76</v>
      </c>
      <c r="G93" s="331">
        <v>100.0</v>
      </c>
      <c r="H93" s="246">
        <f>IF(OR(J93="",K93="",K93&lt;J93),0,NETWORKDAYS(J93,K93,fESTIVOS!$A$2:$A$53))</f>
        <v>1</v>
      </c>
      <c r="I93" s="334">
        <v>45965.0</v>
      </c>
      <c r="J93" s="335">
        <v>45966.0</v>
      </c>
      <c r="K93" s="335">
        <v>45966.0</v>
      </c>
      <c r="L93" s="335">
        <v>45966.0</v>
      </c>
      <c r="M93" s="39">
        <f>IF(OR(J93="",AND(L93="",TODAY()&lt;J93),AND(L93&lt;&gt;"",L93&lt;J93)),0,
   IF(L93="",
      NETWORKDAYS(J93,TODAY(),fESTIVOS!$A$2:$A$53),
      NETWORKDAYS(J93,L93,fESTIVOS!$A$2:$A$53)
   )
)
</f>
        <v>1</v>
      </c>
      <c r="N93" s="319"/>
      <c r="O93" s="319"/>
      <c r="P93" s="320"/>
      <c r="Q93" s="298" t="s">
        <v>2437</v>
      </c>
      <c r="R93" s="294" t="s">
        <v>78</v>
      </c>
      <c r="S93" s="338"/>
    </row>
    <row r="94" ht="29.25" customHeight="1">
      <c r="A94" s="315" t="s">
        <v>2126</v>
      </c>
      <c r="B94" s="300" t="s">
        <v>2438</v>
      </c>
      <c r="C94" s="316" t="s">
        <v>2436</v>
      </c>
      <c r="D94" s="321"/>
      <c r="E94" s="303" t="s">
        <v>2193</v>
      </c>
      <c r="F94" s="330" t="s">
        <v>76</v>
      </c>
      <c r="G94" s="331">
        <v>100.0</v>
      </c>
      <c r="H94" s="246">
        <f>IF(OR(J94="",K94="",K94&lt;J94),0,NETWORKDAYS(J94,K94,fESTIVOS!$A$2:$A$53))</f>
        <v>1</v>
      </c>
      <c r="I94" s="334">
        <v>45967.0</v>
      </c>
      <c r="J94" s="335">
        <v>45967.0</v>
      </c>
      <c r="K94" s="335">
        <v>45967.0</v>
      </c>
      <c r="L94" s="335">
        <v>45967.0</v>
      </c>
      <c r="M94" s="39">
        <f>IF(OR(J94="",AND(L94="",TODAY()&lt;J94),AND(L94&lt;&gt;"",L94&lt;J94)),0,
   IF(L94="",
      NETWORKDAYS(J94,TODAY(),fESTIVOS!$A$2:$A$53),
      NETWORKDAYS(J94,L94,fESTIVOS!$A$2:$A$53)
   )
)
</f>
        <v>1</v>
      </c>
      <c r="N94" s="319"/>
      <c r="O94" s="319"/>
      <c r="P94" s="320"/>
      <c r="Q94" s="298" t="s">
        <v>2439</v>
      </c>
      <c r="R94" s="294" t="s">
        <v>78</v>
      </c>
      <c r="S94" s="338"/>
    </row>
    <row r="95" ht="29.25" customHeight="1">
      <c r="A95" s="315" t="s">
        <v>2126</v>
      </c>
      <c r="B95" s="300" t="s">
        <v>2440</v>
      </c>
      <c r="C95" s="316" t="s">
        <v>2441</v>
      </c>
      <c r="D95" s="321"/>
      <c r="E95" s="303" t="s">
        <v>2193</v>
      </c>
      <c r="F95" s="330" t="s">
        <v>76</v>
      </c>
      <c r="G95" s="331">
        <v>100.0</v>
      </c>
      <c r="H95" s="246">
        <f>IF(OR(J95="",K95="",K95&lt;J95),0,NETWORKDAYS(J95,K95,fESTIVOS!$A$2:$A$53))</f>
        <v>1</v>
      </c>
      <c r="I95" s="334">
        <v>45967.0</v>
      </c>
      <c r="J95" s="335">
        <v>45967.0</v>
      </c>
      <c r="K95" s="335">
        <v>45967.0</v>
      </c>
      <c r="L95" s="335">
        <v>45967.0</v>
      </c>
      <c r="M95" s="39">
        <f>IF(OR(J95="",AND(L95="",TODAY()&lt;J95),AND(L95&lt;&gt;"",L95&lt;J95)),0,
   IF(L95="",
      NETWORKDAYS(J95,TODAY(),fESTIVOS!$A$2:$A$53),
      NETWORKDAYS(J95,L95,fESTIVOS!$A$2:$A$53)
   )
)
</f>
        <v>1</v>
      </c>
      <c r="N95" s="319"/>
      <c r="O95" s="319"/>
      <c r="P95" s="320"/>
      <c r="Q95" s="298" t="s">
        <v>2442</v>
      </c>
      <c r="R95" s="294" t="s">
        <v>78</v>
      </c>
      <c r="S95" s="338"/>
    </row>
    <row r="96" ht="29.25" customHeight="1">
      <c r="A96" s="315" t="s">
        <v>2126</v>
      </c>
      <c r="B96" s="300" t="s">
        <v>2443</v>
      </c>
      <c r="C96" s="316" t="s">
        <v>2433</v>
      </c>
      <c r="D96" s="332" t="s">
        <v>2444</v>
      </c>
      <c r="E96" s="286" t="s">
        <v>2210</v>
      </c>
      <c r="F96" s="330" t="s">
        <v>76</v>
      </c>
      <c r="G96" s="331">
        <v>100.0</v>
      </c>
      <c r="H96" s="246">
        <f>IF(OR(J96="",K96="",K96&lt;J96),0,NETWORKDAYS(J96,K96,fESTIVOS!$A$2:$A$53))</f>
        <v>1</v>
      </c>
      <c r="I96" s="322">
        <v>45968.0</v>
      </c>
      <c r="J96" s="297">
        <v>45968.0</v>
      </c>
      <c r="K96" s="297">
        <v>45968.0</v>
      </c>
      <c r="L96" s="297">
        <v>45968.0</v>
      </c>
      <c r="M96" s="39">
        <f>IF(OR(J96="",AND(L96="",TODAY()&lt;J96),AND(L96&lt;&gt;"",L96&lt;J96)),0,
   IF(L96="",
      NETWORKDAYS(J96,TODAY(),fESTIVOS!$A$2:$A$53),
      NETWORKDAYS(J96,L96,fESTIVOS!$A$2:$A$53)
   )
)
</f>
        <v>1</v>
      </c>
      <c r="N96" s="319"/>
      <c r="O96" s="319"/>
      <c r="P96" s="320"/>
      <c r="Q96" s="298" t="s">
        <v>2445</v>
      </c>
      <c r="R96" s="294" t="s">
        <v>78</v>
      </c>
      <c r="S96" s="295"/>
    </row>
    <row r="97" ht="29.25" customHeight="1">
      <c r="A97" s="315" t="s">
        <v>2126</v>
      </c>
      <c r="B97" s="300" t="s">
        <v>2446</v>
      </c>
      <c r="C97" s="316" t="s">
        <v>2337</v>
      </c>
      <c r="D97" s="321"/>
      <c r="E97" s="300" t="s">
        <v>2147</v>
      </c>
      <c r="F97" s="317" t="s">
        <v>76</v>
      </c>
      <c r="G97" s="318">
        <v>100.0</v>
      </c>
      <c r="H97" s="246">
        <f>IF(OR(J97="",K97="",K97&lt;J97),0,NETWORKDAYS(J97,K97,fESTIVOS!$A$2:$A$53))</f>
        <v>1</v>
      </c>
      <c r="I97" s="322">
        <v>45968.0</v>
      </c>
      <c r="J97" s="297">
        <v>45968.0</v>
      </c>
      <c r="K97" s="297">
        <v>45968.0</v>
      </c>
      <c r="L97" s="297">
        <v>45968.0</v>
      </c>
      <c r="M97" s="39">
        <f>IF(OR(J97="",AND(L97="",TODAY()&lt;J97),AND(L97&lt;&gt;"",L97&lt;J97)),0,
   IF(L97="",
      NETWORKDAYS(J97,TODAY(),fESTIVOS!$A$2:$A$53),
      NETWORKDAYS(J97,L97,fESTIVOS!$A$2:$A$53)
   )
)
</f>
        <v>1</v>
      </c>
      <c r="N97" s="319"/>
      <c r="O97" s="319"/>
      <c r="P97" s="320"/>
      <c r="Q97" s="298" t="s">
        <v>2447</v>
      </c>
      <c r="R97" s="294" t="s">
        <v>78</v>
      </c>
      <c r="S97" s="295"/>
    </row>
    <row r="98" ht="29.25" customHeight="1">
      <c r="A98" s="315" t="s">
        <v>2126</v>
      </c>
      <c r="B98" s="300" t="s">
        <v>2448</v>
      </c>
      <c r="C98" s="316" t="s">
        <v>2449</v>
      </c>
      <c r="D98" s="321" t="s">
        <v>2450</v>
      </c>
      <c r="E98" s="303" t="s">
        <v>2193</v>
      </c>
      <c r="F98" s="330" t="s">
        <v>76</v>
      </c>
      <c r="G98" s="331">
        <v>100.0</v>
      </c>
      <c r="H98" s="246">
        <f>IF(OR(J98="",K98="",K98&lt;J98),0,NETWORKDAYS(J98,K98,fESTIVOS!$A$2:$A$53))</f>
        <v>0</v>
      </c>
      <c r="I98" s="334">
        <v>45970.0</v>
      </c>
      <c r="J98" s="335">
        <v>45970.0</v>
      </c>
      <c r="K98" s="335">
        <v>45970.0</v>
      </c>
      <c r="L98" s="335">
        <v>45970.0</v>
      </c>
      <c r="M98" s="39">
        <f>IF(OR(J98="",AND(L98="",TODAY()&lt;J98),AND(L98&lt;&gt;"",L98&lt;J98)),0,
   IF(L98="",
      NETWORKDAYS(J98,TODAY(),fESTIVOS!$A$2:$A$53),
      NETWORKDAYS(J98,L98,fESTIVOS!$A$2:$A$53)
   )
)
</f>
        <v>0</v>
      </c>
      <c r="N98" s="319"/>
      <c r="O98" s="319"/>
      <c r="P98" s="320"/>
      <c r="Q98" s="298" t="s">
        <v>2451</v>
      </c>
      <c r="R98" s="294" t="s">
        <v>78</v>
      </c>
      <c r="S98" s="338"/>
    </row>
    <row r="99" ht="29.25" customHeight="1">
      <c r="A99" s="315" t="s">
        <v>2126</v>
      </c>
      <c r="B99" s="300" t="s">
        <v>2452</v>
      </c>
      <c r="C99" s="316" t="s">
        <v>2453</v>
      </c>
      <c r="D99" s="321" t="s">
        <v>2454</v>
      </c>
      <c r="E99" s="303" t="s">
        <v>2193</v>
      </c>
      <c r="F99" s="330" t="s">
        <v>76</v>
      </c>
      <c r="G99" s="331">
        <v>100.0</v>
      </c>
      <c r="H99" s="246">
        <f>IF(OR(J99="",K99="",K99&lt;J99),0,NETWORKDAYS(J99,K99,fESTIVOS!$A$2:$A$53))</f>
        <v>1</v>
      </c>
      <c r="I99" s="334">
        <v>45972.0</v>
      </c>
      <c r="J99" s="335">
        <v>45972.0</v>
      </c>
      <c r="K99" s="335">
        <v>45972.0</v>
      </c>
      <c r="L99" s="335">
        <v>45972.0</v>
      </c>
      <c r="M99" s="39">
        <f>IF(OR(J99="",AND(L99="",TODAY()&lt;J99),AND(L99&lt;&gt;"",L99&lt;J99)),0,
   IF(L99="",
      NETWORKDAYS(J99,TODAY(),fESTIVOS!$A$2:$A$53),
      NETWORKDAYS(J99,L99,fESTIVOS!$A$2:$A$53)
   )
)
</f>
        <v>1</v>
      </c>
      <c r="N99" s="319"/>
      <c r="O99" s="319"/>
      <c r="P99" s="320"/>
      <c r="Q99" s="298" t="s">
        <v>2455</v>
      </c>
      <c r="R99" s="294" t="s">
        <v>78</v>
      </c>
      <c r="S99" s="338"/>
    </row>
    <row r="100" ht="29.25" customHeight="1">
      <c r="A100" s="315" t="s">
        <v>2126</v>
      </c>
      <c r="B100" s="300" t="s">
        <v>2456</v>
      </c>
      <c r="C100" s="316" t="s">
        <v>2433</v>
      </c>
      <c r="D100" s="332" t="s">
        <v>2457</v>
      </c>
      <c r="E100" s="286" t="s">
        <v>2210</v>
      </c>
      <c r="F100" s="339" t="s">
        <v>76</v>
      </c>
      <c r="G100" s="318">
        <v>100.0</v>
      </c>
      <c r="H100" s="246">
        <f>IF(OR(J100="",K100="",K100&lt;J100),0,NETWORKDAYS(J100,K100,fESTIVOS!$A$2:$A$53))</f>
        <v>3</v>
      </c>
      <c r="I100" s="322">
        <v>45974.0</v>
      </c>
      <c r="J100" s="297">
        <v>45974.0</v>
      </c>
      <c r="K100" s="297">
        <v>45979.0</v>
      </c>
      <c r="L100" s="297">
        <v>46040.0</v>
      </c>
      <c r="M100" s="39">
        <f>IF(OR(J100="",AND(L100="",TODAY()&lt;J100),AND(L100&lt;&gt;"",L100&lt;J100)),0,
   IF(L100="",
      NETWORKDAYS(J100,TODAY(),fESTIVOS!$A$2:$A$53),
      NETWORKDAYS(J100,L100,fESTIVOS!$A$2:$A$53)
   )
)
</f>
        <v>42</v>
      </c>
      <c r="N100" s="319"/>
      <c r="O100" s="319"/>
      <c r="P100" s="320"/>
      <c r="Q100" s="298" t="s">
        <v>2458</v>
      </c>
      <c r="R100" s="294" t="s">
        <v>78</v>
      </c>
      <c r="S100" s="295"/>
    </row>
    <row r="101" ht="29.25" customHeight="1">
      <c r="A101" s="315" t="s">
        <v>2126</v>
      </c>
      <c r="B101" s="300" t="s">
        <v>2459</v>
      </c>
      <c r="C101" s="316" t="s">
        <v>2337</v>
      </c>
      <c r="D101" s="321" t="s">
        <v>2460</v>
      </c>
      <c r="E101" s="300" t="s">
        <v>2147</v>
      </c>
      <c r="F101" s="317" t="s">
        <v>76</v>
      </c>
      <c r="G101" s="318">
        <v>100.0</v>
      </c>
      <c r="H101" s="246">
        <f>IF(OR(J101="",K101="",K101&lt;J101),0,NETWORKDAYS(J101,K101,fESTIVOS!$A$2:$A$53))</f>
        <v>1</v>
      </c>
      <c r="I101" s="322">
        <v>45974.0</v>
      </c>
      <c r="J101" s="297">
        <v>45974.0</v>
      </c>
      <c r="K101" s="297">
        <v>45974.0</v>
      </c>
      <c r="L101" s="297">
        <v>45974.0</v>
      </c>
      <c r="M101" s="39">
        <f>IF(OR(J101="",AND(L101="",TODAY()&lt;J101),AND(L101&lt;&gt;"",L101&lt;J101)),0,
   IF(L101="",
      NETWORKDAYS(J101,TODAY(),fESTIVOS!$A$2:$A$53),
      NETWORKDAYS(J101,L101,fESTIVOS!$A$2:$A$53)
   )
)
</f>
        <v>1</v>
      </c>
      <c r="N101" s="319"/>
      <c r="O101" s="319"/>
      <c r="P101" s="320"/>
      <c r="Q101" s="298" t="s">
        <v>2461</v>
      </c>
      <c r="R101" s="294" t="s">
        <v>78</v>
      </c>
      <c r="S101" s="295"/>
    </row>
    <row r="102" ht="29.25" customHeight="1">
      <c r="A102" s="324" t="s">
        <v>2126</v>
      </c>
      <c r="B102" s="325" t="s">
        <v>2462</v>
      </c>
      <c r="C102" s="340" t="s">
        <v>2436</v>
      </c>
      <c r="D102" s="285" t="s">
        <v>2463</v>
      </c>
      <c r="E102" s="327" t="s">
        <v>2193</v>
      </c>
      <c r="F102" s="313" t="s">
        <v>76</v>
      </c>
      <c r="G102" s="314">
        <v>100.0</v>
      </c>
      <c r="H102" s="246">
        <f>IF(OR(J102="",K102="",K102&lt;J102),0,NETWORKDAYS(J102,K102,fESTIVOS!$A$2:$A$53))</f>
        <v>1</v>
      </c>
      <c r="I102" s="334">
        <v>45979.0</v>
      </c>
      <c r="J102" s="335">
        <v>45979.0</v>
      </c>
      <c r="K102" s="335">
        <v>45979.0</v>
      </c>
      <c r="L102" s="335">
        <v>45979.0</v>
      </c>
      <c r="M102" s="39">
        <f>IF(OR(J102="",AND(L102="",TODAY()&lt;J102),AND(L102&lt;&gt;"",L102&lt;J102)),0,
   IF(L102="",
      NETWORKDAYS(J102,TODAY(),fESTIVOS!$A$2:$A$53),
      NETWORKDAYS(J102,L102,fESTIVOS!$A$2:$A$53)
   )
)
</f>
        <v>1</v>
      </c>
      <c r="N102" s="291"/>
      <c r="O102" s="291"/>
      <c r="P102" s="292"/>
      <c r="Q102" s="336" t="s">
        <v>2464</v>
      </c>
      <c r="R102" s="312" t="s">
        <v>78</v>
      </c>
      <c r="S102" s="329"/>
    </row>
    <row r="103" ht="29.25" customHeight="1">
      <c r="A103" s="315" t="s">
        <v>2126</v>
      </c>
      <c r="B103" s="300" t="s">
        <v>2465</v>
      </c>
      <c r="C103" s="316" t="s">
        <v>2433</v>
      </c>
      <c r="D103" s="332" t="s">
        <v>2466</v>
      </c>
      <c r="E103" s="286" t="s">
        <v>2210</v>
      </c>
      <c r="F103" s="339" t="s">
        <v>76</v>
      </c>
      <c r="G103" s="318">
        <v>100.0</v>
      </c>
      <c r="H103" s="246">
        <f>IF(OR(J103="",K103="",K103&lt;J103),0,NETWORKDAYS(J103,K103,fESTIVOS!$A$2:$A$53))</f>
        <v>1</v>
      </c>
      <c r="I103" s="322">
        <v>45980.0</v>
      </c>
      <c r="J103" s="297">
        <v>45980.0</v>
      </c>
      <c r="K103" s="297">
        <v>45980.0</v>
      </c>
      <c r="L103" s="297">
        <v>45980.0</v>
      </c>
      <c r="M103" s="39">
        <f>IF(OR(J103="",AND(L103="",TODAY()&lt;J103),AND(L103&lt;&gt;"",L103&lt;J103)),0,
   IF(L103="",
      NETWORKDAYS(J103,TODAY(),fESTIVOS!$A$2:$A$53),
      NETWORKDAYS(J103,L103,fESTIVOS!$A$2:$A$53)
   )
)
</f>
        <v>1</v>
      </c>
      <c r="N103" s="319"/>
      <c r="O103" s="319"/>
      <c r="P103" s="320"/>
      <c r="Q103" s="298" t="s">
        <v>2467</v>
      </c>
      <c r="R103" s="294" t="s">
        <v>78</v>
      </c>
      <c r="S103" s="295"/>
    </row>
    <row r="104" ht="29.25" customHeight="1">
      <c r="A104" s="315" t="s">
        <v>2126</v>
      </c>
      <c r="B104" s="300" t="s">
        <v>2468</v>
      </c>
      <c r="C104" s="316" t="s">
        <v>2433</v>
      </c>
      <c r="D104" s="332" t="s">
        <v>2469</v>
      </c>
      <c r="E104" s="286" t="s">
        <v>2210</v>
      </c>
      <c r="F104" s="339" t="s">
        <v>76</v>
      </c>
      <c r="G104" s="318">
        <v>100.0</v>
      </c>
      <c r="H104" s="246">
        <f>IF(OR(J104="",K104="",K104&lt;J104),0,NETWORKDAYS(J104,K104,fESTIVOS!$A$2:$A$53))</f>
        <v>1</v>
      </c>
      <c r="I104" s="322">
        <v>45981.0</v>
      </c>
      <c r="J104" s="297">
        <v>45981.0</v>
      </c>
      <c r="K104" s="297">
        <v>45981.0</v>
      </c>
      <c r="L104" s="297">
        <v>45981.0</v>
      </c>
      <c r="M104" s="39">
        <f>IF(OR(J104="",AND(L104="",TODAY()&lt;J104),AND(L104&lt;&gt;"",L104&lt;J104)),0,
   IF(L104="",
      NETWORKDAYS(J104,TODAY(),fESTIVOS!$A$2:$A$53),
      NETWORKDAYS(J104,L104,fESTIVOS!$A$2:$A$53)
   )
)
</f>
        <v>1</v>
      </c>
      <c r="N104" s="319"/>
      <c r="O104" s="319"/>
      <c r="P104" s="320"/>
      <c r="Q104" s="298" t="s">
        <v>2470</v>
      </c>
      <c r="R104" s="294" t="s">
        <v>78</v>
      </c>
      <c r="S104" s="295"/>
    </row>
    <row r="105" ht="29.25" customHeight="1">
      <c r="A105" s="315" t="s">
        <v>2126</v>
      </c>
      <c r="B105" s="300" t="s">
        <v>2471</v>
      </c>
      <c r="C105" s="316" t="s">
        <v>2472</v>
      </c>
      <c r="D105" s="321" t="s">
        <v>2473</v>
      </c>
      <c r="E105" s="286" t="s">
        <v>2129</v>
      </c>
      <c r="F105" s="317" t="s">
        <v>76</v>
      </c>
      <c r="G105" s="318">
        <v>100.0</v>
      </c>
      <c r="H105" s="246">
        <f>IF(OR(J105="",K105="",K105&lt;J105),0,NETWORKDAYS(J105,K105,fESTIVOS!$A$2:$A$53))</f>
        <v>77</v>
      </c>
      <c r="I105" s="322">
        <v>45981.0</v>
      </c>
      <c r="J105" s="297">
        <v>45981.0</v>
      </c>
      <c r="K105" s="297">
        <v>46093.0</v>
      </c>
      <c r="L105" s="297">
        <v>46093.0</v>
      </c>
      <c r="M105" s="39">
        <f>IF(OR(J105="",AND(L105="",TODAY()&lt;J105),AND(L105&lt;&gt;"",L105&lt;J105)),0,
   IF(L105="",
      NETWORKDAYS(J105,TODAY(),fESTIVOS!$A$2:$A$53),
      NETWORKDAYS(J105,L105,fESTIVOS!$A$2:$A$53)
   )
)
</f>
        <v>77</v>
      </c>
      <c r="N105" s="319"/>
      <c r="O105" s="319"/>
      <c r="P105" s="320"/>
      <c r="Q105" s="298" t="s">
        <v>2474</v>
      </c>
      <c r="R105" s="294" t="s">
        <v>78</v>
      </c>
      <c r="S105" s="295"/>
    </row>
    <row r="106" ht="29.25" customHeight="1">
      <c r="A106" s="324" t="s">
        <v>2126</v>
      </c>
      <c r="B106" s="325" t="s">
        <v>2475</v>
      </c>
      <c r="C106" s="326" t="s">
        <v>2476</v>
      </c>
      <c r="D106" s="285" t="s">
        <v>2477</v>
      </c>
      <c r="E106" s="327" t="s">
        <v>2193</v>
      </c>
      <c r="F106" s="313" t="s">
        <v>76</v>
      </c>
      <c r="G106" s="314">
        <v>100.0</v>
      </c>
      <c r="H106" s="246">
        <f>IF(OR(J106="",K106="",K106&lt;J106),0,NETWORKDAYS(J106,K106,fESTIVOS!$A$2:$A$53))</f>
        <v>1</v>
      </c>
      <c r="I106" s="334">
        <v>45982.0</v>
      </c>
      <c r="J106" s="335">
        <v>45982.0</v>
      </c>
      <c r="K106" s="335">
        <v>45982.0</v>
      </c>
      <c r="L106" s="335">
        <v>45982.0</v>
      </c>
      <c r="M106" s="39">
        <f>IF(OR(J106="",AND(L106="",TODAY()&lt;J106),AND(L106&lt;&gt;"",L106&lt;J106)),0,
   IF(L106="",
      NETWORKDAYS(J106,TODAY(),fESTIVOS!$A$2:$A$53),
      NETWORKDAYS(J106,L106,fESTIVOS!$A$2:$A$53)
   )
)
</f>
        <v>1</v>
      </c>
      <c r="N106" s="291"/>
      <c r="O106" s="291"/>
      <c r="P106" s="292"/>
      <c r="Q106" s="336" t="s">
        <v>2478</v>
      </c>
      <c r="R106" s="312" t="s">
        <v>78</v>
      </c>
      <c r="S106" s="329"/>
    </row>
    <row r="107" ht="29.25" customHeight="1">
      <c r="A107" s="324" t="s">
        <v>2126</v>
      </c>
      <c r="B107" s="325" t="s">
        <v>2479</v>
      </c>
      <c r="C107" s="340" t="s">
        <v>2436</v>
      </c>
      <c r="D107" s="285" t="s">
        <v>2463</v>
      </c>
      <c r="E107" s="327" t="s">
        <v>2193</v>
      </c>
      <c r="F107" s="313" t="s">
        <v>76</v>
      </c>
      <c r="G107" s="314">
        <v>100.0</v>
      </c>
      <c r="H107" s="246">
        <f>IF(OR(J107="",K107="",K107&lt;J107),0,NETWORKDAYS(J107,K107,fESTIVOS!$A$2:$A$53))</f>
        <v>1</v>
      </c>
      <c r="I107" s="334">
        <v>45981.0</v>
      </c>
      <c r="J107" s="335">
        <v>45981.0</v>
      </c>
      <c r="K107" s="335">
        <v>45981.0</v>
      </c>
      <c r="L107" s="335">
        <v>45981.0</v>
      </c>
      <c r="M107" s="39">
        <f>IF(OR(J107="",AND(L107="",TODAY()&lt;J107),AND(L107&lt;&gt;"",L107&lt;J107)),0,
   IF(L107="",
      NETWORKDAYS(J107,TODAY(),fESTIVOS!$A$2:$A$53),
      NETWORKDAYS(J107,L107,fESTIVOS!$A$2:$A$53)
   )
)
</f>
        <v>1</v>
      </c>
      <c r="N107" s="291"/>
      <c r="O107" s="291"/>
      <c r="P107" s="292"/>
      <c r="Q107" s="336" t="s">
        <v>2480</v>
      </c>
      <c r="R107" s="312" t="s">
        <v>78</v>
      </c>
      <c r="S107" s="329"/>
    </row>
    <row r="108" ht="29.25" customHeight="1">
      <c r="A108" s="324" t="s">
        <v>2126</v>
      </c>
      <c r="B108" s="325" t="s">
        <v>2481</v>
      </c>
      <c r="C108" s="326" t="s">
        <v>2482</v>
      </c>
      <c r="D108" s="285" t="s">
        <v>2483</v>
      </c>
      <c r="E108" s="327" t="s">
        <v>2193</v>
      </c>
      <c r="F108" s="310" t="s">
        <v>76</v>
      </c>
      <c r="G108" s="311">
        <v>100.0</v>
      </c>
      <c r="H108" s="246">
        <f>IF(OR(J108="",K108="",K108&lt;J108),0,NETWORKDAYS(J108,K108,fESTIVOS!$A$2:$A$53))</f>
        <v>2</v>
      </c>
      <c r="I108" s="334">
        <v>45986.0</v>
      </c>
      <c r="J108" s="335">
        <v>45986.0</v>
      </c>
      <c r="K108" s="335">
        <v>45987.0</v>
      </c>
      <c r="L108" s="335">
        <v>45986.0</v>
      </c>
      <c r="M108" s="39">
        <f>IF(OR(J108="",AND(L108="",TODAY()&lt;J108),AND(L108&lt;&gt;"",L108&lt;J108)),0,
   IF(L108="",
      NETWORKDAYS(J108,TODAY(),fESTIVOS!$A$2:$A$53),
      NETWORKDAYS(J108,L108,fESTIVOS!$A$2:$A$53)
   )
)
</f>
        <v>1</v>
      </c>
      <c r="N108" s="291"/>
      <c r="O108" s="291"/>
      <c r="P108" s="292"/>
      <c r="Q108" s="336" t="s">
        <v>2484</v>
      </c>
      <c r="R108" s="312" t="s">
        <v>78</v>
      </c>
      <c r="S108" s="329"/>
    </row>
    <row r="109" ht="29.25" customHeight="1">
      <c r="A109" s="324" t="s">
        <v>2126</v>
      </c>
      <c r="B109" s="300" t="s">
        <v>2485</v>
      </c>
      <c r="C109" s="284" t="s">
        <v>2486</v>
      </c>
      <c r="D109" s="296" t="s">
        <v>2487</v>
      </c>
      <c r="E109" s="286" t="s">
        <v>2129</v>
      </c>
      <c r="F109" s="310" t="s">
        <v>76</v>
      </c>
      <c r="G109" s="311">
        <v>100.0</v>
      </c>
      <c r="H109" s="246">
        <f>IF(OR(J109="",K109="",K109&lt;J109),0,NETWORKDAYS(J109,K109,fESTIVOS!$A$2:$A$53))</f>
        <v>2</v>
      </c>
      <c r="I109" s="334">
        <v>45987.0</v>
      </c>
      <c r="J109" s="335">
        <v>45987.0</v>
      </c>
      <c r="K109" s="335">
        <v>45988.0</v>
      </c>
      <c r="L109" s="335">
        <v>45995.0</v>
      </c>
      <c r="M109" s="39">
        <f>IF(OR(J109="",AND(L109="",TODAY()&lt;J109),AND(L109&lt;&gt;"",L109&lt;J109)),0,
   IF(L109="",
      NETWORKDAYS(J109,TODAY(),fESTIVOS!$A$2:$A$53),
      NETWORKDAYS(J109,L109,fESTIVOS!$A$2:$A$53)
   )
)
</f>
        <v>7</v>
      </c>
      <c r="N109" s="291"/>
      <c r="O109" s="291"/>
      <c r="P109" s="292"/>
      <c r="Q109" s="336" t="s">
        <v>2488</v>
      </c>
      <c r="R109" s="312" t="s">
        <v>78</v>
      </c>
      <c r="S109" s="329"/>
    </row>
    <row r="110" ht="29.25" customHeight="1">
      <c r="A110" s="324" t="s">
        <v>2126</v>
      </c>
      <c r="B110" s="325" t="s">
        <v>2489</v>
      </c>
      <c r="C110" s="326" t="s">
        <v>2490</v>
      </c>
      <c r="D110" s="285" t="s">
        <v>2491</v>
      </c>
      <c r="E110" s="327" t="s">
        <v>2193</v>
      </c>
      <c r="F110" s="310" t="s">
        <v>76</v>
      </c>
      <c r="G110" s="311">
        <v>100.0</v>
      </c>
      <c r="H110" s="246">
        <f>IF(OR(J110="",K110="",K110&lt;J110),0,NETWORKDAYS(J110,K110,fESTIVOS!$A$2:$A$53))</f>
        <v>31</v>
      </c>
      <c r="I110" s="334">
        <v>45989.0</v>
      </c>
      <c r="J110" s="335">
        <v>45989.0</v>
      </c>
      <c r="K110" s="335">
        <v>46037.0</v>
      </c>
      <c r="L110" s="335">
        <v>46037.0</v>
      </c>
      <c r="M110" s="39">
        <f>IF(OR(J110="",AND(L110="",TODAY()&lt;J110),AND(L110&lt;&gt;"",L110&lt;J110)),0,
   IF(L110="",
      NETWORKDAYS(J110,TODAY(),fESTIVOS!$A$2:$A$53),
      NETWORKDAYS(J110,L110,fESTIVOS!$A$2:$A$53)
   )
)
</f>
        <v>31</v>
      </c>
      <c r="N110" s="291"/>
      <c r="O110" s="291"/>
      <c r="P110" s="292"/>
      <c r="Q110" s="336" t="s">
        <v>2492</v>
      </c>
      <c r="R110" s="312" t="s">
        <v>78</v>
      </c>
      <c r="S110" s="329"/>
    </row>
    <row r="111" ht="29.25" customHeight="1">
      <c r="A111" s="315" t="s">
        <v>2126</v>
      </c>
      <c r="B111" s="300" t="s">
        <v>2493</v>
      </c>
      <c r="C111" s="316" t="s">
        <v>2494</v>
      </c>
      <c r="D111" s="332" t="s">
        <v>2495</v>
      </c>
      <c r="E111" s="286" t="s">
        <v>2210</v>
      </c>
      <c r="F111" s="339" t="s">
        <v>76</v>
      </c>
      <c r="G111" s="318">
        <v>100.0</v>
      </c>
      <c r="H111" s="246">
        <f>IF(OR(J111="",K111="",K111&lt;J111),0,NETWORKDAYS(J111,K111,fESTIVOS!$A$2:$A$53))</f>
        <v>5</v>
      </c>
      <c r="I111" s="322">
        <v>45992.0</v>
      </c>
      <c r="J111" s="297">
        <v>45992.0</v>
      </c>
      <c r="K111" s="297">
        <v>45996.0</v>
      </c>
      <c r="L111" s="297">
        <v>45994.0</v>
      </c>
      <c r="M111" s="39">
        <f>IF(OR(J111="",AND(L111="",TODAY()&lt;J111),AND(L111&lt;&gt;"",L111&lt;J111)),0,
   IF(L111="",
      NETWORKDAYS(J111,TODAY(),fESTIVOS!$A$2:$A$53),
      NETWORKDAYS(J111,L111,fESTIVOS!$A$2:$A$53)
   )
)
</f>
        <v>3</v>
      </c>
      <c r="N111" s="319"/>
      <c r="O111" s="319"/>
      <c r="P111" s="320"/>
      <c r="Q111" s="298" t="s">
        <v>2496</v>
      </c>
      <c r="R111" s="294" t="s">
        <v>78</v>
      </c>
      <c r="S111" s="295"/>
    </row>
    <row r="112" ht="29.25" customHeight="1">
      <c r="A112" s="324" t="s">
        <v>2126</v>
      </c>
      <c r="B112" s="325" t="s">
        <v>2497</v>
      </c>
      <c r="C112" s="326" t="s">
        <v>2498</v>
      </c>
      <c r="D112" s="285" t="s">
        <v>2491</v>
      </c>
      <c r="E112" s="327" t="s">
        <v>2193</v>
      </c>
      <c r="F112" s="310" t="s">
        <v>76</v>
      </c>
      <c r="G112" s="311">
        <v>100.0</v>
      </c>
      <c r="H112" s="246">
        <f>IF(OR(J112="",K112="",K112&lt;J112),0,NETWORKDAYS(J112,K112,fESTIVOS!$A$2:$A$53))</f>
        <v>1</v>
      </c>
      <c r="I112" s="334">
        <v>45994.0</v>
      </c>
      <c r="J112" s="335">
        <v>45994.0</v>
      </c>
      <c r="K112" s="335">
        <v>45994.0</v>
      </c>
      <c r="L112" s="335">
        <v>45994.0</v>
      </c>
      <c r="M112" s="39">
        <f>IF(OR(J112="",AND(L112="",TODAY()&lt;J112),AND(L112&lt;&gt;"",L112&lt;J112)),0,
   IF(L112="",
      NETWORKDAYS(J112,TODAY(),fESTIVOS!$A$2:$A$53),
      NETWORKDAYS(J112,L112,fESTIVOS!$A$2:$A$53)
   )
)
</f>
        <v>1</v>
      </c>
      <c r="N112" s="291"/>
      <c r="O112" s="291"/>
      <c r="P112" s="292"/>
      <c r="Q112" s="336" t="s">
        <v>2499</v>
      </c>
      <c r="R112" s="312" t="s">
        <v>78</v>
      </c>
      <c r="S112" s="329"/>
    </row>
    <row r="113" ht="29.25" customHeight="1">
      <c r="A113" s="324" t="s">
        <v>2126</v>
      </c>
      <c r="B113" s="300" t="s">
        <v>2500</v>
      </c>
      <c r="C113" s="284" t="s">
        <v>2501</v>
      </c>
      <c r="D113" s="296" t="s">
        <v>2502</v>
      </c>
      <c r="E113" s="286" t="s">
        <v>2129</v>
      </c>
      <c r="F113" s="310" t="s">
        <v>76</v>
      </c>
      <c r="G113" s="311">
        <v>100.0</v>
      </c>
      <c r="H113" s="246">
        <f>IF(OR(J113="",K113="",K113&lt;J113),0,NETWORKDAYS(J113,K113,fESTIVOS!$A$2:$A$53))</f>
        <v>1</v>
      </c>
      <c r="I113" s="334">
        <v>45994.0</v>
      </c>
      <c r="J113" s="335">
        <v>45994.0</v>
      </c>
      <c r="K113" s="335">
        <v>45994.0</v>
      </c>
      <c r="L113" s="335">
        <v>45994.0</v>
      </c>
      <c r="M113" s="39">
        <f>IF(OR(J113="",AND(L113="",TODAY()&lt;J113),AND(L113&lt;&gt;"",L113&lt;J113)),0,
   IF(L113="",
      NETWORKDAYS(J113,TODAY(),fESTIVOS!$A$2:$A$53),
      NETWORKDAYS(J113,L113,fESTIVOS!$A$2:$A$53)
   )
)
</f>
        <v>1</v>
      </c>
      <c r="N113" s="291"/>
      <c r="O113" s="291"/>
      <c r="P113" s="292"/>
      <c r="Q113" s="336" t="s">
        <v>2503</v>
      </c>
      <c r="R113" s="312" t="s">
        <v>78</v>
      </c>
      <c r="S113" s="329"/>
    </row>
    <row r="114" ht="29.25" customHeight="1">
      <c r="A114" s="315" t="s">
        <v>2126</v>
      </c>
      <c r="B114" s="300" t="s">
        <v>2504</v>
      </c>
      <c r="C114" s="316" t="s">
        <v>2505</v>
      </c>
      <c r="D114" s="332" t="s">
        <v>2506</v>
      </c>
      <c r="E114" s="286" t="s">
        <v>2210</v>
      </c>
      <c r="F114" s="339" t="s">
        <v>76</v>
      </c>
      <c r="G114" s="318">
        <v>100.0</v>
      </c>
      <c r="H114" s="246">
        <f>IF(OR(J114="",K114="",K114&lt;J114),0,NETWORKDAYS(J114,K114,fESTIVOS!$A$2:$A$53))</f>
        <v>2</v>
      </c>
      <c r="I114" s="322">
        <v>45995.0</v>
      </c>
      <c r="J114" s="297">
        <v>45995.0</v>
      </c>
      <c r="K114" s="297">
        <v>45996.0</v>
      </c>
      <c r="L114" s="297">
        <v>45996.0</v>
      </c>
      <c r="M114" s="39">
        <f>IF(OR(J114="",AND(L114="",TODAY()&lt;J114),AND(L114&lt;&gt;"",L114&lt;J114)),0,
   IF(L114="",
      NETWORKDAYS(J114,TODAY(),fESTIVOS!$A$2:$A$53),
      NETWORKDAYS(J114,L114,fESTIVOS!$A$2:$A$53)
   )
)
</f>
        <v>2</v>
      </c>
      <c r="N114" s="319"/>
      <c r="O114" s="319"/>
      <c r="P114" s="320"/>
      <c r="Q114" s="298" t="s">
        <v>2507</v>
      </c>
      <c r="R114" s="294" t="s">
        <v>78</v>
      </c>
      <c r="S114" s="295"/>
    </row>
    <row r="115" ht="29.25" customHeight="1">
      <c r="A115" s="324" t="s">
        <v>2126</v>
      </c>
      <c r="B115" s="300" t="s">
        <v>2508</v>
      </c>
      <c r="C115" s="284" t="s">
        <v>2509</v>
      </c>
      <c r="D115" s="296" t="s">
        <v>2510</v>
      </c>
      <c r="E115" s="286" t="s">
        <v>2129</v>
      </c>
      <c r="F115" s="310" t="s">
        <v>76</v>
      </c>
      <c r="G115" s="311">
        <v>100.0</v>
      </c>
      <c r="H115" s="246">
        <f>IF(OR(J115="",K115="",K115&lt;J115),0,NETWORKDAYS(J115,K115,fESTIVOS!$A$2:$A$53))</f>
        <v>1</v>
      </c>
      <c r="I115" s="334">
        <v>45996.0</v>
      </c>
      <c r="J115" s="335">
        <v>45996.0</v>
      </c>
      <c r="K115" s="335">
        <v>45996.0</v>
      </c>
      <c r="L115" s="335">
        <v>45996.0</v>
      </c>
      <c r="M115" s="39">
        <f>IF(OR(J115="",AND(L115="",TODAY()&lt;J115),AND(L115&lt;&gt;"",L115&lt;J115)),0,
   IF(L115="",
      NETWORKDAYS(J115,TODAY(),fESTIVOS!$A$2:$A$53),
      NETWORKDAYS(J115,L115,fESTIVOS!$A$2:$A$53)
   )
)
</f>
        <v>1</v>
      </c>
      <c r="N115" s="291"/>
      <c r="O115" s="291"/>
      <c r="P115" s="292"/>
      <c r="Q115" s="336" t="s">
        <v>2511</v>
      </c>
      <c r="R115" s="312" t="s">
        <v>78</v>
      </c>
      <c r="S115" s="329"/>
    </row>
    <row r="116" ht="29.25" customHeight="1">
      <c r="A116" s="315" t="s">
        <v>2126</v>
      </c>
      <c r="B116" s="300" t="s">
        <v>2512</v>
      </c>
      <c r="C116" s="316" t="s">
        <v>2513</v>
      </c>
      <c r="D116" s="332" t="s">
        <v>2514</v>
      </c>
      <c r="E116" s="286" t="s">
        <v>2210</v>
      </c>
      <c r="F116" s="339" t="s">
        <v>76</v>
      </c>
      <c r="G116" s="318">
        <v>100.0</v>
      </c>
      <c r="H116" s="246">
        <f>IF(OR(J116="",K116="",K116&lt;J116),0,NETWORKDAYS(J116,K116,fESTIVOS!$A$2:$A$53))</f>
        <v>0</v>
      </c>
      <c r="I116" s="322">
        <v>46001.0</v>
      </c>
      <c r="J116" s="297">
        <v>46001.0</v>
      </c>
      <c r="K116" s="297"/>
      <c r="L116" s="297">
        <v>46058.0</v>
      </c>
      <c r="M116" s="39">
        <f>IF(OR(J116="",AND(L116="",TODAY()&lt;J116),AND(L116&lt;&gt;"",L116&lt;J116)),0,
   IF(L116="",
      NETWORKDAYS(J116,TODAY(),fESTIVOS!$A$2:$A$53),
      NETWORKDAYS(J116,L116,fESTIVOS!$A$2:$A$53)
   )
)
</f>
        <v>39</v>
      </c>
      <c r="N116" s="319"/>
      <c r="O116" s="319"/>
      <c r="P116" s="320"/>
      <c r="Q116" s="298" t="s">
        <v>2515</v>
      </c>
      <c r="R116" s="294" t="s">
        <v>78</v>
      </c>
      <c r="S116" s="295"/>
    </row>
    <row r="117" ht="29.25" customHeight="1">
      <c r="A117" s="324" t="s">
        <v>2126</v>
      </c>
      <c r="B117" s="300" t="s">
        <v>2516</v>
      </c>
      <c r="C117" s="284" t="s">
        <v>2486</v>
      </c>
      <c r="D117" s="296" t="s">
        <v>2517</v>
      </c>
      <c r="E117" s="286" t="s">
        <v>2129</v>
      </c>
      <c r="F117" s="310" t="s">
        <v>76</v>
      </c>
      <c r="G117" s="311">
        <v>100.0</v>
      </c>
      <c r="H117" s="246">
        <f>IF(OR(J117="",K117="",K117&lt;J117),0,NETWORKDAYS(J117,K117,fESTIVOS!$A$2:$A$53))</f>
        <v>26</v>
      </c>
      <c r="I117" s="322">
        <v>46001.0</v>
      </c>
      <c r="J117" s="297">
        <v>46001.0</v>
      </c>
      <c r="K117" s="335">
        <v>46041.0</v>
      </c>
      <c r="L117" s="335">
        <v>46045.0</v>
      </c>
      <c r="M117" s="39">
        <f>IF(OR(J117="",AND(L117="",TODAY()&lt;J117),AND(L117&lt;&gt;"",L117&lt;J117)),0,
   IF(L117="",
      NETWORKDAYS(J117,TODAY(),fESTIVOS!$A$2:$A$53),
      NETWORKDAYS(J117,L117,fESTIVOS!$A$2:$A$53)
   )
)
</f>
        <v>30</v>
      </c>
      <c r="N117" s="291"/>
      <c r="O117" s="291"/>
      <c r="P117" s="292"/>
      <c r="Q117" s="336" t="s">
        <v>2518</v>
      </c>
      <c r="R117" s="312" t="s">
        <v>78</v>
      </c>
      <c r="S117" s="329"/>
    </row>
    <row r="118" ht="29.25" customHeight="1">
      <c r="A118" s="324" t="s">
        <v>2126</v>
      </c>
      <c r="B118" s="300" t="s">
        <v>2519</v>
      </c>
      <c r="C118" s="284" t="s">
        <v>2520</v>
      </c>
      <c r="D118" s="296" t="s">
        <v>2521</v>
      </c>
      <c r="E118" s="286" t="s">
        <v>2129</v>
      </c>
      <c r="F118" s="310" t="s">
        <v>76</v>
      </c>
      <c r="G118" s="311">
        <v>100.0</v>
      </c>
      <c r="H118" s="246">
        <f>IF(OR(J118="",K118="",K118&lt;J118),0,NETWORKDAYS(J118,K118,fESTIVOS!$A$2:$A$53))</f>
        <v>26</v>
      </c>
      <c r="I118" s="322">
        <v>46003.0</v>
      </c>
      <c r="J118" s="297">
        <v>46003.0</v>
      </c>
      <c r="K118" s="335">
        <v>46043.0</v>
      </c>
      <c r="L118" s="335">
        <v>46043.0</v>
      </c>
      <c r="M118" s="39">
        <f>IF(OR(J118="",AND(L118="",TODAY()&lt;J118),AND(L118&lt;&gt;"",L118&lt;J118)),0,
   IF(L118="",
      NETWORKDAYS(J118,TODAY(),fESTIVOS!$A$2:$A$53),
      NETWORKDAYS(J118,L118,fESTIVOS!$A$2:$A$53)
   )
)
</f>
        <v>26</v>
      </c>
      <c r="N118" s="291"/>
      <c r="O118" s="291"/>
      <c r="P118" s="292"/>
      <c r="Q118" s="336" t="s">
        <v>2522</v>
      </c>
      <c r="R118" s="312" t="s">
        <v>78</v>
      </c>
      <c r="S118" s="329"/>
    </row>
    <row r="119" ht="29.25" customHeight="1">
      <c r="A119" s="315" t="s">
        <v>2126</v>
      </c>
      <c r="B119" s="300" t="s">
        <v>2523</v>
      </c>
      <c r="C119" s="284" t="s">
        <v>2524</v>
      </c>
      <c r="D119" s="296" t="s">
        <v>2525</v>
      </c>
      <c r="E119" s="286" t="s">
        <v>2129</v>
      </c>
      <c r="F119" s="339" t="s">
        <v>76</v>
      </c>
      <c r="G119" s="318">
        <v>100.0</v>
      </c>
      <c r="H119" s="246">
        <f>IF(OR(J119="",K119="",K119&lt;J119),0,NETWORKDAYS(J119,K119,fESTIVOS!$A$2:$A$53))</f>
        <v>22</v>
      </c>
      <c r="I119" s="322">
        <v>46009.0</v>
      </c>
      <c r="J119" s="297">
        <v>46009.0</v>
      </c>
      <c r="K119" s="297">
        <v>46043.0</v>
      </c>
      <c r="L119" s="297">
        <v>46043.0</v>
      </c>
      <c r="M119" s="39">
        <f>IF(OR(J119="",AND(L119="",TODAY()&lt;J119),AND(L119&lt;&gt;"",L119&lt;J119)),0,
   IF(L119="",
      NETWORKDAYS(J119,TODAY(),fESTIVOS!$A$2:$A$53),
      NETWORKDAYS(J119,L119,fESTIVOS!$A$2:$A$53)
   )
)
</f>
        <v>22</v>
      </c>
      <c r="N119" s="319"/>
      <c r="O119" s="319"/>
      <c r="P119" s="320"/>
      <c r="Q119" s="298" t="s">
        <v>2526</v>
      </c>
      <c r="R119" s="294" t="s">
        <v>78</v>
      </c>
      <c r="S119" s="295"/>
    </row>
    <row r="120" ht="29.25" customHeight="1">
      <c r="A120" s="315" t="s">
        <v>2126</v>
      </c>
      <c r="B120" s="300" t="s">
        <v>2527</v>
      </c>
      <c r="C120" s="284" t="s">
        <v>2528</v>
      </c>
      <c r="D120" s="296" t="s">
        <v>2529</v>
      </c>
      <c r="E120" s="286" t="s">
        <v>2129</v>
      </c>
      <c r="F120" s="339" t="s">
        <v>76</v>
      </c>
      <c r="G120" s="318">
        <v>100.0</v>
      </c>
      <c r="H120" s="246">
        <f>IF(OR(J120="",K120="",K120&lt;J120),0,NETWORKDAYS(J120,K120,fESTIVOS!$A$2:$A$53))</f>
        <v>9</v>
      </c>
      <c r="I120" s="322">
        <v>46035.0</v>
      </c>
      <c r="J120" s="297">
        <v>46035.0</v>
      </c>
      <c r="K120" s="297">
        <v>46045.0</v>
      </c>
      <c r="L120" s="297">
        <v>46044.0</v>
      </c>
      <c r="M120" s="39">
        <f>IF(OR(J120="",AND(L120="",TODAY()&lt;J120),AND(L120&lt;&gt;"",L120&lt;J120)),0,
   IF(L120="",
      NETWORKDAYS(J120,TODAY(),fESTIVOS!$A$2:$A$53),
      NETWORKDAYS(J120,L120,fESTIVOS!$A$2:$A$53)
   )
)
</f>
        <v>8</v>
      </c>
      <c r="N120" s="319"/>
      <c r="O120" s="319"/>
      <c r="P120" s="320"/>
      <c r="Q120" s="298" t="s">
        <v>2530</v>
      </c>
      <c r="R120" s="294" t="s">
        <v>78</v>
      </c>
      <c r="S120" s="295"/>
    </row>
    <row r="121" ht="29.25" customHeight="1">
      <c r="A121" s="324" t="s">
        <v>2126</v>
      </c>
      <c r="B121" s="325" t="s">
        <v>2531</v>
      </c>
      <c r="C121" s="326" t="s">
        <v>2532</v>
      </c>
      <c r="D121" s="333" t="s">
        <v>2533</v>
      </c>
      <c r="E121" s="325" t="s">
        <v>2193</v>
      </c>
      <c r="F121" s="328" t="s">
        <v>76</v>
      </c>
      <c r="G121" s="311">
        <v>100.0</v>
      </c>
      <c r="H121" s="246">
        <f>IF(OR(J121="",K121="",K121&lt;J121),0,NETWORKDAYS(J121,K121,fESTIVOS!$A$2:$A$53))</f>
        <v>1</v>
      </c>
      <c r="I121" s="334">
        <v>46041.0</v>
      </c>
      <c r="J121" s="335">
        <v>46041.0</v>
      </c>
      <c r="K121" s="335">
        <v>46041.0</v>
      </c>
      <c r="L121" s="335">
        <v>46041.0</v>
      </c>
      <c r="M121" s="39">
        <f>IF(OR(J121="",AND(L121="",TODAY()&lt;J121),AND(L121&lt;&gt;"",L121&lt;J121)),0,
   IF(L121="",
      NETWORKDAYS(J121,TODAY(),fESTIVOS!$A$2:$A$53),
      NETWORKDAYS(J121,L121,fESTIVOS!$A$2:$A$53)
   )
)
</f>
        <v>1</v>
      </c>
      <c r="N121" s="291"/>
      <c r="O121" s="291"/>
      <c r="P121" s="292"/>
      <c r="Q121" s="336" t="s">
        <v>2534</v>
      </c>
      <c r="R121" s="312" t="s">
        <v>78</v>
      </c>
      <c r="S121" s="329"/>
    </row>
    <row r="122" ht="29.25" customHeight="1">
      <c r="A122" s="324" t="s">
        <v>2126</v>
      </c>
      <c r="B122" s="300" t="s">
        <v>2535</v>
      </c>
      <c r="C122" s="326" t="s">
        <v>2536</v>
      </c>
      <c r="D122" s="333" t="s">
        <v>2537</v>
      </c>
      <c r="E122" s="325" t="s">
        <v>2129</v>
      </c>
      <c r="F122" s="328" t="s">
        <v>76</v>
      </c>
      <c r="G122" s="311">
        <v>100.0</v>
      </c>
      <c r="H122" s="246">
        <f>IF(OR(J122="",K122="",K122&lt;J122),0,NETWORKDAYS(J122,K122,fESTIVOS!$A$2:$A$53))</f>
        <v>18</v>
      </c>
      <c r="I122" s="334">
        <v>46044.0</v>
      </c>
      <c r="J122" s="335">
        <v>46044.0</v>
      </c>
      <c r="K122" s="335">
        <v>46069.0</v>
      </c>
      <c r="L122" s="335">
        <v>46069.0</v>
      </c>
      <c r="M122" s="39">
        <f>IF(OR(J122="",AND(L122="",TODAY()&lt;J122),AND(L122&lt;&gt;"",L122&lt;J122)),0,
   IF(L122="",
      NETWORKDAYS(J122,TODAY(),fESTIVOS!$A$2:$A$53),
      NETWORKDAYS(J122,L122,fESTIVOS!$A$2:$A$53)
   )
)
</f>
        <v>18</v>
      </c>
      <c r="N122" s="291"/>
      <c r="O122" s="291"/>
      <c r="P122" s="292"/>
      <c r="Q122" s="336" t="s">
        <v>2538</v>
      </c>
      <c r="R122" s="312" t="s">
        <v>78</v>
      </c>
      <c r="S122" s="329"/>
    </row>
    <row r="123" ht="29.25" customHeight="1">
      <c r="A123" s="324" t="s">
        <v>2126</v>
      </c>
      <c r="B123" s="325" t="s">
        <v>2539</v>
      </c>
      <c r="C123" s="326" t="s">
        <v>2540</v>
      </c>
      <c r="D123" s="333" t="s">
        <v>2541</v>
      </c>
      <c r="E123" s="325" t="s">
        <v>2193</v>
      </c>
      <c r="F123" s="328" t="s">
        <v>76</v>
      </c>
      <c r="G123" s="311">
        <v>100.0</v>
      </c>
      <c r="H123" s="246">
        <f>IF(OR(J123="",K123="",K123&lt;J123),0,NETWORKDAYS(J123,K123,fESTIVOS!$A$2:$A$53))</f>
        <v>1</v>
      </c>
      <c r="I123" s="334">
        <v>46055.0</v>
      </c>
      <c r="J123" s="335">
        <v>46055.0</v>
      </c>
      <c r="K123" s="335">
        <v>46055.0</v>
      </c>
      <c r="L123" s="335">
        <v>46055.0</v>
      </c>
      <c r="M123" s="39">
        <f>IF(OR(J123="",AND(L123="",TODAY()&lt;J123),AND(L123&lt;&gt;"",L123&lt;J123)),0,
   IF(L123="",
      NETWORKDAYS(J123,TODAY(),fESTIVOS!$A$2:$A$53),
      NETWORKDAYS(J123,L123,fESTIVOS!$A$2:$A$53)
   )
)
</f>
        <v>1</v>
      </c>
      <c r="N123" s="291"/>
      <c r="O123" s="291"/>
      <c r="P123" s="292"/>
      <c r="Q123" s="336" t="s">
        <v>2542</v>
      </c>
      <c r="R123" s="312" t="s">
        <v>78</v>
      </c>
      <c r="S123" s="329"/>
    </row>
    <row r="124" ht="29.25" customHeight="1">
      <c r="A124" s="315" t="s">
        <v>2126</v>
      </c>
      <c r="B124" s="300" t="s">
        <v>2543</v>
      </c>
      <c r="C124" s="316" t="s">
        <v>2494</v>
      </c>
      <c r="D124" s="332" t="s">
        <v>2544</v>
      </c>
      <c r="E124" s="286" t="s">
        <v>2210</v>
      </c>
      <c r="F124" s="339" t="s">
        <v>76</v>
      </c>
      <c r="G124" s="318">
        <v>100.0</v>
      </c>
      <c r="H124" s="246">
        <f>IF(OR(J124="",K124="",K124&lt;J124),0,NETWORKDAYS(J124,K124,fESTIVOS!$A$2:$A$53))</f>
        <v>4</v>
      </c>
      <c r="I124" s="322">
        <v>46055.0</v>
      </c>
      <c r="J124" s="297">
        <v>46055.0</v>
      </c>
      <c r="K124" s="297">
        <v>46058.0</v>
      </c>
      <c r="L124" s="297">
        <v>46056.0</v>
      </c>
      <c r="M124" s="39">
        <f>IF(OR(J124="",AND(L124="",TODAY()&lt;J124),AND(L124&lt;&gt;"",L124&lt;J124)),0,
   IF(L124="",
      NETWORKDAYS(J124,TODAY(),fESTIVOS!$A$2:$A$53),
      NETWORKDAYS(J124,L124,fESTIVOS!$A$2:$A$53)
   )
)
</f>
        <v>2</v>
      </c>
      <c r="N124" s="319"/>
      <c r="O124" s="319"/>
      <c r="P124" s="320"/>
      <c r="Q124" s="298" t="s">
        <v>2545</v>
      </c>
      <c r="R124" s="294" t="s">
        <v>78</v>
      </c>
      <c r="S124" s="295"/>
    </row>
    <row r="125" ht="29.25" customHeight="1">
      <c r="A125" s="324" t="s">
        <v>2126</v>
      </c>
      <c r="B125" s="300" t="s">
        <v>2546</v>
      </c>
      <c r="C125" s="326" t="s">
        <v>2547</v>
      </c>
      <c r="D125" s="333" t="s">
        <v>2548</v>
      </c>
      <c r="E125" s="325" t="s">
        <v>2129</v>
      </c>
      <c r="F125" s="328" t="s">
        <v>76</v>
      </c>
      <c r="G125" s="311">
        <v>100.0</v>
      </c>
      <c r="H125" s="246">
        <f>IF(OR(J125="",K125="",K125&lt;J125),0,NETWORKDAYS(J125,K125,fESTIVOS!$A$2:$A$53))</f>
        <v>24</v>
      </c>
      <c r="I125" s="334">
        <v>46062.0</v>
      </c>
      <c r="J125" s="335">
        <v>46062.0</v>
      </c>
      <c r="K125" s="335">
        <v>46093.0</v>
      </c>
      <c r="L125" s="335">
        <v>46093.0</v>
      </c>
      <c r="M125" s="39">
        <f>IF(OR(J125="",AND(L125="",TODAY()&lt;J125),AND(L125&lt;&gt;"",L125&lt;J125)),0,
   IF(L125="",
      NETWORKDAYS(J125,TODAY(),fESTIVOS!$A$2:$A$53),
      NETWORKDAYS(J125,L125,fESTIVOS!$A$2:$A$53)
   )
)
</f>
        <v>24</v>
      </c>
      <c r="N125" s="291"/>
      <c r="O125" s="291"/>
      <c r="P125" s="292"/>
      <c r="Q125" s="336" t="s">
        <v>2549</v>
      </c>
      <c r="R125" s="312" t="s">
        <v>78</v>
      </c>
      <c r="S125" s="329"/>
    </row>
    <row r="126" ht="29.25" customHeight="1">
      <c r="A126" s="324" t="s">
        <v>2126</v>
      </c>
      <c r="B126" s="325" t="s">
        <v>2550</v>
      </c>
      <c r="C126" s="326" t="s">
        <v>2540</v>
      </c>
      <c r="D126" s="333" t="s">
        <v>2541</v>
      </c>
      <c r="E126" s="325" t="s">
        <v>2193</v>
      </c>
      <c r="F126" s="328" t="s">
        <v>76</v>
      </c>
      <c r="G126" s="311">
        <v>100.0</v>
      </c>
      <c r="H126" s="246">
        <f>IF(OR(J126="",K126="",K126&lt;J126),0,NETWORKDAYS(J126,K126,fESTIVOS!$A$2:$A$53))</f>
        <v>1</v>
      </c>
      <c r="I126" s="334">
        <v>46063.0</v>
      </c>
      <c r="J126" s="335">
        <v>46063.0</v>
      </c>
      <c r="K126" s="335">
        <v>46063.0</v>
      </c>
      <c r="L126" s="335">
        <v>46063.0</v>
      </c>
      <c r="M126" s="39">
        <f>IF(OR(J126="",AND(L126="",TODAY()&lt;J126),AND(L126&lt;&gt;"",L126&lt;J126)),0,
   IF(L126="",
      NETWORKDAYS(J126,TODAY(),fESTIVOS!$A$2:$A$53),
      NETWORKDAYS(J126,L126,fESTIVOS!$A$2:$A$53)
   )
)
</f>
        <v>1</v>
      </c>
      <c r="N126" s="291"/>
      <c r="O126" s="291"/>
      <c r="P126" s="292"/>
      <c r="Q126" s="336" t="s">
        <v>2551</v>
      </c>
      <c r="R126" s="312" t="s">
        <v>78</v>
      </c>
      <c r="S126" s="329"/>
    </row>
    <row r="127" ht="29.25" customHeight="1">
      <c r="A127" s="324" t="s">
        <v>2126</v>
      </c>
      <c r="B127" s="300" t="s">
        <v>2552</v>
      </c>
      <c r="C127" s="326" t="s">
        <v>2528</v>
      </c>
      <c r="D127" s="333" t="s">
        <v>2449</v>
      </c>
      <c r="E127" s="325" t="s">
        <v>2129</v>
      </c>
      <c r="F127" s="328" t="s">
        <v>76</v>
      </c>
      <c r="G127" s="311">
        <v>100.0</v>
      </c>
      <c r="H127" s="246">
        <f>IF(OR(J127="",K127="",K127&lt;J127),0,NETWORKDAYS(J127,K127,fESTIVOS!$A$2:$A$53))</f>
        <v>1</v>
      </c>
      <c r="I127" s="334">
        <v>46064.0</v>
      </c>
      <c r="J127" s="335">
        <v>46064.0</v>
      </c>
      <c r="K127" s="335">
        <v>46064.0</v>
      </c>
      <c r="L127" s="335">
        <v>46064.0</v>
      </c>
      <c r="M127" s="39">
        <f>IF(OR(J127="",AND(L127="",TODAY()&lt;J127),AND(L127&lt;&gt;"",L127&lt;J127)),0,
   IF(L127="",
      NETWORKDAYS(J127,TODAY(),fESTIVOS!$A$2:$A$53),
      NETWORKDAYS(J127,L127,fESTIVOS!$A$2:$A$53)
   )
)
</f>
        <v>1</v>
      </c>
      <c r="N127" s="291"/>
      <c r="O127" s="291"/>
      <c r="P127" s="292"/>
      <c r="Q127" s="336" t="s">
        <v>2553</v>
      </c>
      <c r="R127" s="312" t="s">
        <v>78</v>
      </c>
      <c r="S127" s="329"/>
    </row>
    <row r="128" ht="29.25" customHeight="1">
      <c r="A128" s="315" t="s">
        <v>2126</v>
      </c>
      <c r="B128" s="300" t="s">
        <v>2554</v>
      </c>
      <c r="C128" s="316" t="s">
        <v>2555</v>
      </c>
      <c r="D128" s="332" t="s">
        <v>2556</v>
      </c>
      <c r="E128" s="286" t="s">
        <v>2210</v>
      </c>
      <c r="F128" s="339" t="s">
        <v>76</v>
      </c>
      <c r="G128" s="318">
        <v>100.0</v>
      </c>
      <c r="H128" s="246">
        <f>IF(OR(J128="",K128="",K128&lt;J128),0,NETWORKDAYS(J128,K128,fESTIVOS!$A$2:$A$53))</f>
        <v>11</v>
      </c>
      <c r="I128" s="322">
        <v>46064.0</v>
      </c>
      <c r="J128" s="297">
        <v>46064.0</v>
      </c>
      <c r="K128" s="297">
        <v>46078.0</v>
      </c>
      <c r="L128" s="297">
        <v>46078.0</v>
      </c>
      <c r="M128" s="39">
        <f>IF(OR(J128="",AND(L128="",TODAY()&lt;J128),AND(L128&lt;&gt;"",L128&lt;J128)),0,
   IF(L128="",
      NETWORKDAYS(J128,TODAY(),fESTIVOS!$A$2:$A$53),
      NETWORKDAYS(J128,L128,fESTIVOS!$A$2:$A$53)
   )
)
</f>
        <v>11</v>
      </c>
      <c r="N128" s="319"/>
      <c r="O128" s="319"/>
      <c r="P128" s="320"/>
      <c r="Q128" s="345" t="s">
        <v>2557</v>
      </c>
      <c r="R128" s="294" t="s">
        <v>78</v>
      </c>
      <c r="S128" s="295"/>
    </row>
    <row r="129" ht="29.25" customHeight="1">
      <c r="A129" s="315" t="s">
        <v>2126</v>
      </c>
      <c r="B129" s="300" t="s">
        <v>2558</v>
      </c>
      <c r="C129" s="316" t="s">
        <v>2559</v>
      </c>
      <c r="D129" s="332" t="s">
        <v>2560</v>
      </c>
      <c r="E129" s="286" t="s">
        <v>2210</v>
      </c>
      <c r="F129" s="339" t="s">
        <v>76</v>
      </c>
      <c r="G129" s="318">
        <v>100.0</v>
      </c>
      <c r="H129" s="246">
        <f>IF(OR(J129="",K129="",K129&lt;J129),0,NETWORKDAYS(J129,K129,fESTIVOS!$A$2:$A$53))</f>
        <v>12</v>
      </c>
      <c r="I129" s="322">
        <v>46064.0</v>
      </c>
      <c r="J129" s="297">
        <v>46064.0</v>
      </c>
      <c r="K129" s="297">
        <v>46079.0</v>
      </c>
      <c r="L129" s="297">
        <v>46079.0</v>
      </c>
      <c r="M129" s="39">
        <f>IF(OR(J129="",AND(L129="",TODAY()&lt;J129),AND(L129&lt;&gt;"",L129&lt;J129)),0,
   IF(L129="",
      NETWORKDAYS(J129,TODAY(),fESTIVOS!$A$2:$A$53),
      NETWORKDAYS(J129,L129,fESTIVOS!$A$2:$A$53)
   )
)
</f>
        <v>12</v>
      </c>
      <c r="N129" s="319"/>
      <c r="O129" s="319"/>
      <c r="P129" s="320"/>
      <c r="Q129" s="345" t="s">
        <v>2561</v>
      </c>
      <c r="R129" s="294" t="s">
        <v>78</v>
      </c>
      <c r="S129" s="295"/>
    </row>
    <row r="130" ht="29.25" customHeight="1">
      <c r="A130" s="315" t="s">
        <v>2126</v>
      </c>
      <c r="B130" s="300" t="s">
        <v>2562</v>
      </c>
      <c r="C130" s="316" t="s">
        <v>2563</v>
      </c>
      <c r="D130" s="332" t="s">
        <v>2564</v>
      </c>
      <c r="E130" s="286" t="s">
        <v>2210</v>
      </c>
      <c r="F130" s="339" t="s">
        <v>245</v>
      </c>
      <c r="G130" s="318">
        <v>10.0</v>
      </c>
      <c r="H130" s="246">
        <f>IF(OR(J130="",K130="",K130&lt;J130),0,NETWORKDAYS(J130,K130,fESTIVOS!$A$2:$A$53))</f>
        <v>0</v>
      </c>
      <c r="I130" s="322">
        <v>46064.0</v>
      </c>
      <c r="J130" s="297">
        <v>46064.0</v>
      </c>
      <c r="K130" s="297"/>
      <c r="L130" s="297"/>
      <c r="M130" s="39">
        <f>IF(OR(J130="",AND(L130="",TODAY()&lt;J130),AND(L130&lt;&gt;"",L130&lt;J130)),0,
   IF(L130="",
      NETWORKDAYS(J130,TODAY(),fESTIVOS!$A$2:$A$53),
      NETWORKDAYS(J130,L130,fESTIVOS!$A$2:$A$53)
   )
)
</f>
        <v>83</v>
      </c>
      <c r="N130" s="319"/>
      <c r="O130" s="319"/>
      <c r="P130" s="320"/>
      <c r="Q130" s="345" t="s">
        <v>2565</v>
      </c>
      <c r="R130" s="294" t="s">
        <v>78</v>
      </c>
      <c r="S130" s="295"/>
    </row>
    <row r="131" ht="29.25" customHeight="1">
      <c r="A131" s="315" t="s">
        <v>2126</v>
      </c>
      <c r="B131" s="300" t="s">
        <v>2566</v>
      </c>
      <c r="C131" s="316" t="s">
        <v>2567</v>
      </c>
      <c r="D131" s="332" t="s">
        <v>2568</v>
      </c>
      <c r="E131" s="286" t="s">
        <v>2210</v>
      </c>
      <c r="F131" s="339" t="s">
        <v>76</v>
      </c>
      <c r="G131" s="318">
        <v>100.0</v>
      </c>
      <c r="H131" s="246">
        <f>IF(OR(J131="",K131="",K131&lt;J131),0,NETWORKDAYS(J131,K131,fESTIVOS!$A$2:$A$53))</f>
        <v>13</v>
      </c>
      <c r="I131" s="322">
        <v>46064.0</v>
      </c>
      <c r="J131" s="297">
        <v>46064.0</v>
      </c>
      <c r="K131" s="297">
        <v>46080.0</v>
      </c>
      <c r="L131" s="297">
        <v>46080.0</v>
      </c>
      <c r="M131" s="39">
        <f>IF(OR(J131="",AND(L131="",TODAY()&lt;J131),AND(L131&lt;&gt;"",L131&lt;J131)),0,
   IF(L131="",
      NETWORKDAYS(J131,TODAY(),fESTIVOS!$A$2:$A$53),
      NETWORKDAYS(J131,L131,fESTIVOS!$A$2:$A$53)
   )
)
</f>
        <v>13</v>
      </c>
      <c r="N131" s="319"/>
      <c r="O131" s="319"/>
      <c r="P131" s="320"/>
      <c r="Q131" s="345" t="s">
        <v>2569</v>
      </c>
      <c r="R131" s="294" t="s">
        <v>78</v>
      </c>
      <c r="S131" s="295"/>
    </row>
    <row r="132" ht="29.25" customHeight="1">
      <c r="A132" s="315" t="s">
        <v>2126</v>
      </c>
      <c r="B132" s="300" t="s">
        <v>2570</v>
      </c>
      <c r="C132" s="316" t="s">
        <v>2571</v>
      </c>
      <c r="D132" s="332" t="s">
        <v>2572</v>
      </c>
      <c r="E132" s="286" t="s">
        <v>2210</v>
      </c>
      <c r="F132" s="339" t="s">
        <v>76</v>
      </c>
      <c r="G132" s="318">
        <v>100.0</v>
      </c>
      <c r="H132" s="246">
        <f>IF(OR(J133="",K132="",K132&lt;J133),0,NETWORKDAYS(J133,K132,fESTIVOS!$A$2:$A$53))</f>
        <v>9</v>
      </c>
      <c r="I132" s="322">
        <v>46064.0</v>
      </c>
      <c r="J132" s="297">
        <v>46064.0</v>
      </c>
      <c r="K132" s="297">
        <v>46076.0</v>
      </c>
      <c r="L132" s="297">
        <v>46076.0</v>
      </c>
      <c r="M132" s="39">
        <f>IF(OR(J133="",AND(L132="",TODAY()&lt;J133),AND(L132&lt;&gt;"",L132&lt;J133)),0,
   IF(L132="",
      NETWORKDAYS(J133,TODAY(),fESTIVOS!$A$2:$A$53),
      NETWORKDAYS(J133,L132,fESTIVOS!$A$2:$A$53)
   )
)
</f>
        <v>9</v>
      </c>
      <c r="N132" s="319"/>
      <c r="O132" s="319"/>
      <c r="P132" s="320"/>
      <c r="Q132" s="345" t="s">
        <v>2573</v>
      </c>
      <c r="R132" s="294" t="s">
        <v>78</v>
      </c>
      <c r="S132" s="295"/>
    </row>
    <row r="133" ht="29.25" customHeight="1">
      <c r="A133" s="315" t="s">
        <v>2126</v>
      </c>
      <c r="B133" s="300" t="s">
        <v>2574</v>
      </c>
      <c r="C133" s="316" t="s">
        <v>2575</v>
      </c>
      <c r="D133" s="332" t="s">
        <v>2576</v>
      </c>
      <c r="E133" s="286" t="s">
        <v>2210</v>
      </c>
      <c r="F133" s="339" t="s">
        <v>76</v>
      </c>
      <c r="G133" s="318">
        <v>100.0</v>
      </c>
      <c r="H133" s="246">
        <f>IF(OR(J199="",K133="",K133&lt;J199),0,NETWORKDAYS(J199,K133,fESTIVOS!$A$2:$A$53))</f>
        <v>0</v>
      </c>
      <c r="I133" s="322">
        <v>46064.0</v>
      </c>
      <c r="J133" s="297">
        <v>46064.0</v>
      </c>
      <c r="K133" s="297">
        <v>46078.0</v>
      </c>
      <c r="L133" s="297">
        <v>46078.0</v>
      </c>
      <c r="M133" s="39">
        <f>IF(OR(J199="",AND(L133="",TODAY()&lt;J199),AND(L133&lt;&gt;"",L133&lt;J199)),0,
   IF(L133="",
      NETWORKDAYS(J199,TODAY(),fESTIVOS!$A$2:$A$53),
      NETWORKDAYS(J199,L133,fESTIVOS!$A$2:$A$53)
   )
)
</f>
        <v>0</v>
      </c>
      <c r="N133" s="319"/>
      <c r="O133" s="319"/>
      <c r="P133" s="320"/>
      <c r="Q133" s="345" t="s">
        <v>2577</v>
      </c>
      <c r="R133" s="294" t="s">
        <v>78</v>
      </c>
      <c r="S133" s="295"/>
    </row>
    <row r="134" ht="29.25" customHeight="1">
      <c r="A134" s="324" t="s">
        <v>2126</v>
      </c>
      <c r="B134" s="325" t="s">
        <v>2578</v>
      </c>
      <c r="C134" s="326" t="s">
        <v>2579</v>
      </c>
      <c r="D134" s="333" t="s">
        <v>2580</v>
      </c>
      <c r="E134" s="325" t="s">
        <v>2193</v>
      </c>
      <c r="F134" s="328" t="s">
        <v>76</v>
      </c>
      <c r="G134" s="311">
        <v>100.0</v>
      </c>
      <c r="H134" s="246">
        <f>IF(OR(J134="",K134="",K134&lt;J134),0,NETWORKDAYS(J134,K134,fESTIVOS!$A$2:$A$53))</f>
        <v>1</v>
      </c>
      <c r="I134" s="334">
        <v>46071.0</v>
      </c>
      <c r="J134" s="335">
        <v>46071.0</v>
      </c>
      <c r="K134" s="335">
        <v>46071.0</v>
      </c>
      <c r="L134" s="335">
        <v>46071.0</v>
      </c>
      <c r="M134" s="39">
        <f>IF(OR(J134="",AND(L134="",TODAY()&lt;J134),AND(L134&lt;&gt;"",L134&lt;J134)),0,
   IF(L134="",
      NETWORKDAYS(J134,TODAY(),fESTIVOS!$A$2:$A$53),
      NETWORKDAYS(J134,L134,fESTIVOS!$A$2:$A$53)
   )
)
</f>
        <v>1</v>
      </c>
      <c r="N134" s="291"/>
      <c r="O134" s="291"/>
      <c r="P134" s="292"/>
      <c r="Q134" s="336" t="s">
        <v>2581</v>
      </c>
      <c r="R134" s="312" t="s">
        <v>78</v>
      </c>
      <c r="S134" s="329"/>
    </row>
    <row r="135" ht="29.25" customHeight="1">
      <c r="A135" s="324" t="s">
        <v>2126</v>
      </c>
      <c r="B135" s="325" t="s">
        <v>2582</v>
      </c>
      <c r="C135" s="326" t="s">
        <v>2583</v>
      </c>
      <c r="D135" s="333" t="s">
        <v>2584</v>
      </c>
      <c r="E135" s="325" t="s">
        <v>2193</v>
      </c>
      <c r="F135" s="328" t="s">
        <v>76</v>
      </c>
      <c r="G135" s="311">
        <v>100.0</v>
      </c>
      <c r="H135" s="246">
        <f>IF(OR(J135="",K135="",K135&lt;J135),0,NETWORKDAYS(J135,K135,fESTIVOS!$A$2:$A$53))</f>
        <v>1</v>
      </c>
      <c r="I135" s="334">
        <v>46073.0</v>
      </c>
      <c r="J135" s="335">
        <v>46073.0</v>
      </c>
      <c r="K135" s="335">
        <v>46073.0</v>
      </c>
      <c r="L135" s="335">
        <v>46073.0</v>
      </c>
      <c r="M135" s="39">
        <f>IF(OR(J135="",AND(L135="",TODAY()&lt;J135),AND(L135&lt;&gt;"",L135&lt;J135)),0,
   IF(L135="",
      NETWORKDAYS(J135,TODAY(),fESTIVOS!$A$2:$A$53),
      NETWORKDAYS(J135,L135,fESTIVOS!$A$2:$A$53)
   )
)
</f>
        <v>1</v>
      </c>
      <c r="N135" s="291"/>
      <c r="O135" s="291"/>
      <c r="P135" s="292"/>
      <c r="Q135" s="336" t="s">
        <v>2585</v>
      </c>
      <c r="R135" s="312" t="s">
        <v>78</v>
      </c>
      <c r="S135" s="329"/>
    </row>
    <row r="136" ht="29.25" customHeight="1">
      <c r="A136" s="324" t="s">
        <v>2126</v>
      </c>
      <c r="B136" s="325" t="s">
        <v>2586</v>
      </c>
      <c r="C136" s="326" t="s">
        <v>2587</v>
      </c>
      <c r="D136" s="333" t="s">
        <v>2588</v>
      </c>
      <c r="E136" s="325" t="s">
        <v>2193</v>
      </c>
      <c r="F136" s="328" t="s">
        <v>76</v>
      </c>
      <c r="G136" s="311">
        <v>100.0</v>
      </c>
      <c r="H136" s="246">
        <f>IF(OR(J136="",K136="",K136&lt;J136),0,NETWORKDAYS(J136,K136,fESTIVOS!$A$2:$A$53))</f>
        <v>1</v>
      </c>
      <c r="I136" s="334">
        <v>46073.0</v>
      </c>
      <c r="J136" s="335">
        <v>46073.0</v>
      </c>
      <c r="K136" s="335">
        <v>46073.0</v>
      </c>
      <c r="L136" s="335">
        <v>46073.0</v>
      </c>
      <c r="M136" s="39">
        <f>IF(OR(J136="",AND(L136="",TODAY()&lt;J136),AND(L136&lt;&gt;"",L136&lt;J136)),0,
   IF(L136="",
      NETWORKDAYS(J136,TODAY(),fESTIVOS!$A$2:$A$53),
      NETWORKDAYS(J136,L136,fESTIVOS!$A$2:$A$53)
   )
)
</f>
        <v>1</v>
      </c>
      <c r="N136" s="291"/>
      <c r="O136" s="291"/>
      <c r="P136" s="292"/>
      <c r="Q136" s="336" t="s">
        <v>2589</v>
      </c>
      <c r="R136" s="312" t="s">
        <v>78</v>
      </c>
      <c r="S136" s="329"/>
    </row>
    <row r="137" ht="29.25" customHeight="1">
      <c r="A137" s="315" t="s">
        <v>2126</v>
      </c>
      <c r="B137" s="300" t="s">
        <v>2590</v>
      </c>
      <c r="C137" s="316" t="s">
        <v>2591</v>
      </c>
      <c r="D137" s="332" t="s">
        <v>2592</v>
      </c>
      <c r="E137" s="286" t="s">
        <v>2210</v>
      </c>
      <c r="F137" s="339" t="s">
        <v>76</v>
      </c>
      <c r="G137" s="318">
        <v>100.0</v>
      </c>
      <c r="H137" s="246">
        <f>IF(OR(J203="",K137="",K137&lt;J203),0,NETWORKDAYS(J203,K137,fESTIVOS!$A$2:$A$53))</f>
        <v>0</v>
      </c>
      <c r="I137" s="322">
        <v>46077.0</v>
      </c>
      <c r="J137" s="297">
        <v>46077.0</v>
      </c>
      <c r="K137" s="297">
        <v>46077.0</v>
      </c>
      <c r="L137" s="297">
        <v>46077.0</v>
      </c>
      <c r="M137" s="39">
        <f>IF(OR(J203="",AND(L137="",TODAY()&lt;J203),AND(L137&lt;&gt;"",L137&lt;J203)),0,
   IF(L137="",
      NETWORKDAYS(J203,TODAY(),fESTIVOS!$A$2:$A$53),
      NETWORKDAYS(J203,L137,fESTIVOS!$A$2:$A$53)
   )
)
</f>
        <v>0</v>
      </c>
      <c r="N137" s="319"/>
      <c r="O137" s="319"/>
      <c r="P137" s="320"/>
      <c r="Q137" s="345" t="s">
        <v>2593</v>
      </c>
      <c r="R137" s="294" t="s">
        <v>78</v>
      </c>
      <c r="S137" s="295"/>
    </row>
    <row r="138" ht="29.25" customHeight="1">
      <c r="A138" s="315" t="s">
        <v>2126</v>
      </c>
      <c r="B138" s="300" t="s">
        <v>2594</v>
      </c>
      <c r="C138" s="316" t="s">
        <v>2595</v>
      </c>
      <c r="D138" s="332" t="s">
        <v>2596</v>
      </c>
      <c r="E138" s="286" t="s">
        <v>2210</v>
      </c>
      <c r="F138" s="339" t="s">
        <v>76</v>
      </c>
      <c r="G138" s="318">
        <v>100.0</v>
      </c>
      <c r="H138" s="246">
        <f>IF(OR(J204="",K138="",K138&lt;J204),0,NETWORKDAYS(J204,K138,fESTIVOS!$A$2:$A$53))</f>
        <v>0</v>
      </c>
      <c r="I138" s="322">
        <v>46079.0</v>
      </c>
      <c r="J138" s="297">
        <v>46079.0</v>
      </c>
      <c r="K138" s="297">
        <v>46079.0</v>
      </c>
      <c r="L138" s="297">
        <v>46079.0</v>
      </c>
      <c r="M138" s="39">
        <f>IF(OR(J204="",AND(L138="",TODAY()&lt;J204),AND(L138&lt;&gt;"",L138&lt;J204)),0,
   IF(L138="",
      NETWORKDAYS(J204,TODAY(),fESTIVOS!$A$2:$A$53),
      NETWORKDAYS(J204,L138,fESTIVOS!$A$2:$A$53)
   )
)
</f>
        <v>0</v>
      </c>
      <c r="N138" s="319"/>
      <c r="O138" s="319"/>
      <c r="P138" s="320"/>
      <c r="Q138" s="345" t="s">
        <v>2597</v>
      </c>
      <c r="R138" s="294" t="s">
        <v>78</v>
      </c>
      <c r="S138" s="295"/>
    </row>
    <row r="139" ht="29.25" customHeight="1">
      <c r="A139" s="324" t="s">
        <v>2126</v>
      </c>
      <c r="B139" s="300" t="s">
        <v>2598</v>
      </c>
      <c r="C139" s="326" t="s">
        <v>2599</v>
      </c>
      <c r="D139" s="333" t="s">
        <v>2600</v>
      </c>
      <c r="E139" s="325" t="s">
        <v>2129</v>
      </c>
      <c r="F139" s="328" t="s">
        <v>76</v>
      </c>
      <c r="G139" s="311">
        <v>100.0</v>
      </c>
      <c r="H139" s="246">
        <f>IF(OR(J139="",K139="",K139&lt;J139),0,NETWORKDAYS(J139,K139,fESTIVOS!$A$2:$A$53))</f>
        <v>1</v>
      </c>
      <c r="I139" s="322">
        <v>46079.0</v>
      </c>
      <c r="J139" s="297">
        <v>46079.0</v>
      </c>
      <c r="K139" s="297">
        <v>46079.0</v>
      </c>
      <c r="L139" s="297">
        <v>46079.0</v>
      </c>
      <c r="M139" s="39">
        <f>IF(OR(J139="",AND(L139="",TODAY()&lt;J139),AND(L139&lt;&gt;"",L139&lt;J139)),0,
   IF(L139="",
      NETWORKDAYS(J139,TODAY(),fESTIVOS!$A$2:$A$53),
      NETWORKDAYS(J139,L139,fESTIVOS!$A$2:$A$53)
   )
)
</f>
        <v>1</v>
      </c>
      <c r="N139" s="291"/>
      <c r="O139" s="291"/>
      <c r="P139" s="292"/>
      <c r="Q139" s="336" t="s">
        <v>2601</v>
      </c>
      <c r="R139" s="312" t="s">
        <v>78</v>
      </c>
      <c r="S139" s="329"/>
    </row>
    <row r="140" ht="29.25" customHeight="1">
      <c r="A140" s="324" t="s">
        <v>2126</v>
      </c>
      <c r="B140" s="300" t="s">
        <v>2602</v>
      </c>
      <c r="C140" s="326" t="s">
        <v>2603</v>
      </c>
      <c r="D140" s="333" t="s">
        <v>2604</v>
      </c>
      <c r="E140" s="325" t="s">
        <v>2129</v>
      </c>
      <c r="F140" s="328" t="s">
        <v>76</v>
      </c>
      <c r="G140" s="311">
        <v>100.0</v>
      </c>
      <c r="H140" s="246">
        <f>IF(OR(J140="",K140="",K140&lt;J140),0,NETWORKDAYS(J140,K140,fESTIVOS!$A$2:$A$53))</f>
        <v>1</v>
      </c>
      <c r="I140" s="322">
        <v>46080.0</v>
      </c>
      <c r="J140" s="297">
        <v>46080.0</v>
      </c>
      <c r="K140" s="297">
        <v>46080.0</v>
      </c>
      <c r="L140" s="297">
        <v>46080.0</v>
      </c>
      <c r="M140" s="39">
        <f>IF(OR(J140="",AND(L140="",TODAY()&lt;J140),AND(L140&lt;&gt;"",L140&lt;J140)),0,
   IF(L140="",
      NETWORKDAYS(J140,TODAY(),fESTIVOS!$A$2:$A$53),
      NETWORKDAYS(J140,L140,fESTIVOS!$A$2:$A$53)
   )
)
</f>
        <v>1</v>
      </c>
      <c r="N140" s="291"/>
      <c r="O140" s="291"/>
      <c r="P140" s="292"/>
      <c r="Q140" s="336" t="s">
        <v>2605</v>
      </c>
      <c r="R140" s="312" t="s">
        <v>78</v>
      </c>
      <c r="S140" s="329"/>
    </row>
    <row r="141" ht="29.25" customHeight="1">
      <c r="A141" s="324" t="s">
        <v>2126</v>
      </c>
      <c r="B141" s="300" t="s">
        <v>2606</v>
      </c>
      <c r="C141" s="326" t="s">
        <v>2607</v>
      </c>
      <c r="D141" s="333" t="s">
        <v>2608</v>
      </c>
      <c r="E141" s="325" t="s">
        <v>2129</v>
      </c>
      <c r="F141" s="328" t="s">
        <v>76</v>
      </c>
      <c r="G141" s="311">
        <v>100.0</v>
      </c>
      <c r="H141" s="246">
        <f>IF(OR(J141="",K141="",K141&lt;J141),0,NETWORKDAYS(J141,K141,fESTIVOS!$A$2:$A$53))</f>
        <v>1</v>
      </c>
      <c r="I141" s="322">
        <v>46080.0</v>
      </c>
      <c r="J141" s="297">
        <v>46080.0</v>
      </c>
      <c r="K141" s="297">
        <v>46080.0</v>
      </c>
      <c r="L141" s="297">
        <v>46080.0</v>
      </c>
      <c r="M141" s="39">
        <f>IF(OR(J141="",AND(L141="",TODAY()&lt;J141),AND(L141&lt;&gt;"",L141&lt;J141)),0,
   IF(L141="",
      NETWORKDAYS(J141,TODAY(),fESTIVOS!$A$2:$A$53),
      NETWORKDAYS(J141,L141,fESTIVOS!$A$2:$A$53)
   )
)
</f>
        <v>1</v>
      </c>
      <c r="N141" s="291"/>
      <c r="O141" s="291"/>
      <c r="P141" s="292"/>
      <c r="Q141" s="336" t="s">
        <v>2609</v>
      </c>
      <c r="R141" s="312" t="s">
        <v>78</v>
      </c>
      <c r="S141" s="329"/>
    </row>
    <row r="142" ht="29.25" customHeight="1">
      <c r="A142" s="315" t="s">
        <v>2126</v>
      </c>
      <c r="B142" s="300" t="s">
        <v>2610</v>
      </c>
      <c r="C142" s="316" t="s">
        <v>2611</v>
      </c>
      <c r="D142" s="332" t="s">
        <v>2612</v>
      </c>
      <c r="E142" s="286" t="s">
        <v>2210</v>
      </c>
      <c r="F142" s="339" t="s">
        <v>76</v>
      </c>
      <c r="G142" s="318">
        <v>100.0</v>
      </c>
      <c r="H142" s="246">
        <f>IF(OR(J208="",K142="",K142&lt;J208),0,NETWORKDAYS(J208,K142,fESTIVOS!$A$2:$A$53))</f>
        <v>0</v>
      </c>
      <c r="I142" s="322">
        <v>46083.0</v>
      </c>
      <c r="J142" s="297">
        <v>46083.0</v>
      </c>
      <c r="K142" s="297">
        <v>46084.0</v>
      </c>
      <c r="L142" s="297">
        <v>46084.0</v>
      </c>
      <c r="M142" s="39">
        <f>IF(OR(J208="",AND(L142="",TODAY()&lt;J208),AND(L142&lt;&gt;"",L142&lt;J208)),0,
   IF(L142="",
      NETWORKDAYS(J208,TODAY(),fESTIVOS!$A$2:$A$53),
      NETWORKDAYS(J208,L142,fESTIVOS!$A$2:$A$53)
   )
)
</f>
        <v>0</v>
      </c>
      <c r="N142" s="319"/>
      <c r="O142" s="319"/>
      <c r="P142" s="320"/>
      <c r="Q142" s="345" t="s">
        <v>2613</v>
      </c>
      <c r="R142" s="294" t="s">
        <v>78</v>
      </c>
      <c r="S142" s="295"/>
    </row>
    <row r="143" ht="29.25" customHeight="1">
      <c r="A143" s="315" t="s">
        <v>2126</v>
      </c>
      <c r="B143" s="300" t="s">
        <v>2614</v>
      </c>
      <c r="C143" s="316" t="s">
        <v>2615</v>
      </c>
      <c r="D143" s="332" t="s">
        <v>2616</v>
      </c>
      <c r="E143" s="286" t="s">
        <v>2210</v>
      </c>
      <c r="F143" s="339" t="s">
        <v>76</v>
      </c>
      <c r="G143" s="318">
        <v>100.0</v>
      </c>
      <c r="H143" s="246">
        <f>IF(OR(J209="",K143="",K143&lt;J209),0,NETWORKDAYS(J209,K143,fESTIVOS!$A$2:$A$53))</f>
        <v>0</v>
      </c>
      <c r="I143" s="322">
        <v>46085.0</v>
      </c>
      <c r="J143" s="297">
        <v>46085.0</v>
      </c>
      <c r="K143" s="297">
        <v>46085.0</v>
      </c>
      <c r="L143" s="297">
        <v>46085.0</v>
      </c>
      <c r="M143" s="39">
        <f>IF(OR(J209="",AND(L143="",TODAY()&lt;J209),AND(L143&lt;&gt;"",L143&lt;J209)),0,
   IF(L143="",
      NETWORKDAYS(J209,TODAY(),fESTIVOS!$A$2:$A$53),
      NETWORKDAYS(J209,L143,fESTIVOS!$A$2:$A$53)
   )
)
</f>
        <v>0</v>
      </c>
      <c r="N143" s="319"/>
      <c r="O143" s="319"/>
      <c r="P143" s="320"/>
      <c r="Q143" s="345" t="s">
        <v>2617</v>
      </c>
      <c r="R143" s="294" t="s">
        <v>78</v>
      </c>
      <c r="S143" s="295"/>
    </row>
    <row r="144" ht="29.25" customHeight="1">
      <c r="A144" s="315" t="s">
        <v>2126</v>
      </c>
      <c r="B144" s="300" t="s">
        <v>2618</v>
      </c>
      <c r="C144" s="316" t="s">
        <v>2619</v>
      </c>
      <c r="D144" s="332" t="s">
        <v>2620</v>
      </c>
      <c r="E144" s="286" t="s">
        <v>2210</v>
      </c>
      <c r="F144" s="339" t="s">
        <v>76</v>
      </c>
      <c r="G144" s="318">
        <v>100.0</v>
      </c>
      <c r="H144" s="246">
        <f>IF(OR(J210="",K144="",K144&lt;J210),0,NETWORKDAYS(J210,K144,fESTIVOS!$A$2:$A$53))</f>
        <v>0</v>
      </c>
      <c r="I144" s="322">
        <v>46085.0</v>
      </c>
      <c r="J144" s="297">
        <v>46085.0</v>
      </c>
      <c r="K144" s="297">
        <v>46085.0</v>
      </c>
      <c r="L144" s="297">
        <v>46085.0</v>
      </c>
      <c r="M144" s="39">
        <f>IF(OR(J210="",AND(L144="",TODAY()&lt;J210),AND(L144&lt;&gt;"",L144&lt;J210)),0,
   IF(L144="",
      NETWORKDAYS(J210,TODAY(),fESTIVOS!$A$2:$A$53),
      NETWORKDAYS(J210,L144,fESTIVOS!$A$2:$A$53)
   )
)
</f>
        <v>0</v>
      </c>
      <c r="N144" s="319"/>
      <c r="O144" s="319"/>
      <c r="P144" s="320"/>
      <c r="Q144" s="345" t="s">
        <v>2621</v>
      </c>
      <c r="R144" s="294" t="s">
        <v>78</v>
      </c>
      <c r="S144" s="295"/>
    </row>
    <row r="145" ht="29.25" customHeight="1">
      <c r="A145" s="324" t="s">
        <v>2126</v>
      </c>
      <c r="B145" s="300" t="s">
        <v>2622</v>
      </c>
      <c r="C145" s="326" t="s">
        <v>2623</v>
      </c>
      <c r="D145" s="333" t="s">
        <v>2624</v>
      </c>
      <c r="E145" s="325" t="s">
        <v>2129</v>
      </c>
      <c r="F145" s="328" t="s">
        <v>76</v>
      </c>
      <c r="G145" s="311">
        <v>100.0</v>
      </c>
      <c r="H145" s="246">
        <f>IF(OR(J145="",K145="",K145&lt;J145),0,NETWORKDAYS(J145,K145,fESTIVOS!$A$2:$A$53))</f>
        <v>3</v>
      </c>
      <c r="I145" s="322">
        <v>46084.0</v>
      </c>
      <c r="J145" s="297">
        <v>46084.0</v>
      </c>
      <c r="K145" s="297">
        <v>46086.0</v>
      </c>
      <c r="L145" s="297">
        <v>46086.0</v>
      </c>
      <c r="M145" s="39">
        <f>IF(OR(J145="",AND(L145="",TODAY()&lt;J145),AND(L145&lt;&gt;"",L145&lt;J145)),0,
   IF(L145="",
      NETWORKDAYS(J145,TODAY(),fESTIVOS!$A$2:$A$53),
      NETWORKDAYS(J145,L145,fESTIVOS!$A$2:$A$53)
   )
)
</f>
        <v>3</v>
      </c>
      <c r="N145" s="291"/>
      <c r="O145" s="291"/>
      <c r="P145" s="292"/>
      <c r="Q145" s="336" t="s">
        <v>2625</v>
      </c>
      <c r="R145" s="312" t="s">
        <v>78</v>
      </c>
      <c r="S145" s="329"/>
    </row>
    <row r="146" ht="29.25" customHeight="1">
      <c r="A146" s="324" t="s">
        <v>2126</v>
      </c>
      <c r="B146" s="300" t="s">
        <v>2626</v>
      </c>
      <c r="C146" s="326" t="s">
        <v>2623</v>
      </c>
      <c r="D146" s="333" t="s">
        <v>2627</v>
      </c>
      <c r="E146" s="325" t="s">
        <v>2129</v>
      </c>
      <c r="F146" s="328" t="s">
        <v>76</v>
      </c>
      <c r="G146" s="311">
        <v>100.0</v>
      </c>
      <c r="H146" s="246">
        <f>IF(OR(J146="",K146="",K146&lt;J146),0,NETWORKDAYS(J146,K146,fESTIVOS!$A$2:$A$53))</f>
        <v>1</v>
      </c>
      <c r="I146" s="322">
        <v>46086.0</v>
      </c>
      <c r="J146" s="297">
        <v>46086.0</v>
      </c>
      <c r="K146" s="297">
        <v>46086.0</v>
      </c>
      <c r="L146" s="297">
        <v>46086.0</v>
      </c>
      <c r="M146" s="39">
        <f>IF(OR(J146="",AND(L146="",TODAY()&lt;J146),AND(L146&lt;&gt;"",L146&lt;J146)),0,
   IF(L146="",
      NETWORKDAYS(J146,TODAY(),fESTIVOS!$A$2:$A$53),
      NETWORKDAYS(J146,L146,fESTIVOS!$A$2:$A$53)
   )
)
</f>
        <v>1</v>
      </c>
      <c r="N146" s="291"/>
      <c r="O146" s="291"/>
      <c r="P146" s="292"/>
      <c r="Q146" s="336" t="s">
        <v>2628</v>
      </c>
      <c r="R146" s="312" t="s">
        <v>78</v>
      </c>
      <c r="S146" s="329"/>
    </row>
    <row r="147" ht="29.25" customHeight="1">
      <c r="A147" s="324" t="s">
        <v>2126</v>
      </c>
      <c r="B147" s="300" t="s">
        <v>2629</v>
      </c>
      <c r="C147" s="326" t="s">
        <v>2623</v>
      </c>
      <c r="D147" s="333" t="s">
        <v>2627</v>
      </c>
      <c r="E147" s="325" t="s">
        <v>2129</v>
      </c>
      <c r="F147" s="328" t="s">
        <v>76</v>
      </c>
      <c r="G147" s="311">
        <v>100.0</v>
      </c>
      <c r="H147" s="246">
        <f>IF(OR(J147="",K147="",K147&lt;J147),0,NETWORKDAYS(J147,K147,fESTIVOS!$A$2:$A$53))</f>
        <v>1</v>
      </c>
      <c r="I147" s="322">
        <v>46087.0</v>
      </c>
      <c r="J147" s="297">
        <v>46087.0</v>
      </c>
      <c r="K147" s="297">
        <v>46087.0</v>
      </c>
      <c r="L147" s="297">
        <v>46087.0</v>
      </c>
      <c r="M147" s="39">
        <f>IF(OR(J147="",AND(L147="",TODAY()&lt;J147),AND(L147&lt;&gt;"",L147&lt;J147)),0,
   IF(L147="",
      NETWORKDAYS(J147,TODAY(),fESTIVOS!$A$2:$A$53),
      NETWORKDAYS(J147,L147,fESTIVOS!$A$2:$A$53)
   )
)
</f>
        <v>1</v>
      </c>
      <c r="N147" s="291"/>
      <c r="O147" s="291"/>
      <c r="P147" s="292"/>
      <c r="Q147" s="336" t="s">
        <v>2630</v>
      </c>
      <c r="R147" s="312" t="s">
        <v>78</v>
      </c>
      <c r="S147" s="329"/>
    </row>
    <row r="148" ht="29.25" customHeight="1">
      <c r="A148" s="324" t="s">
        <v>2126</v>
      </c>
      <c r="B148" s="325" t="s">
        <v>2631</v>
      </c>
      <c r="C148" s="326" t="s">
        <v>2494</v>
      </c>
      <c r="D148" s="346" t="s">
        <v>2632</v>
      </c>
      <c r="E148" s="327" t="s">
        <v>2210</v>
      </c>
      <c r="F148" s="313" t="s">
        <v>76</v>
      </c>
      <c r="G148" s="314">
        <v>100.0</v>
      </c>
      <c r="H148" s="347">
        <f>IF(OR(J213="",K148="",K148&lt;J213),0,NETWORKDAYS(J213,K148,fESTIVOS!$A$2:$A$53))</f>
        <v>0</v>
      </c>
      <c r="I148" s="334">
        <v>46090.0</v>
      </c>
      <c r="J148" s="335">
        <v>46091.0</v>
      </c>
      <c r="K148" s="335">
        <v>46091.0</v>
      </c>
      <c r="L148" s="335">
        <v>46091.0</v>
      </c>
      <c r="M148" s="348">
        <f>IF(OR(J213="",AND(L148="",TODAY()&lt;J213),AND(L148&lt;&gt;"",L148&lt;J213)),0,
   IF(L148="",
      NETWORKDAYS(J213,TODAY(),fESTIVOS!$A$2:$A$53),
      NETWORKDAYS(J213,L148,fESTIVOS!$A$2:$A$53)
   )
)
</f>
        <v>0</v>
      </c>
      <c r="N148" s="291"/>
      <c r="O148" s="291"/>
      <c r="P148" s="292"/>
      <c r="Q148" s="349" t="s">
        <v>2633</v>
      </c>
      <c r="R148" s="312" t="s">
        <v>78</v>
      </c>
      <c r="S148" s="329"/>
    </row>
    <row r="149" ht="29.25" customHeight="1">
      <c r="A149" s="324" t="s">
        <v>2126</v>
      </c>
      <c r="B149" s="325" t="s">
        <v>2634</v>
      </c>
      <c r="C149" s="326" t="s">
        <v>2635</v>
      </c>
      <c r="D149" s="346" t="s">
        <v>2636</v>
      </c>
      <c r="E149" s="327" t="s">
        <v>2210</v>
      </c>
      <c r="F149" s="313" t="s">
        <v>76</v>
      </c>
      <c r="G149" s="314">
        <v>100.0</v>
      </c>
      <c r="H149" s="347">
        <f>IF(OR(J214="",K149="",K149&lt;J214),0,NETWORKDAYS(J214,K149,fESTIVOS!$A$2:$A$53))</f>
        <v>0</v>
      </c>
      <c r="I149" s="334">
        <v>46092.0</v>
      </c>
      <c r="J149" s="335">
        <v>46092.0</v>
      </c>
      <c r="K149" s="335">
        <v>46092.0</v>
      </c>
      <c r="L149" s="335">
        <v>46092.0</v>
      </c>
      <c r="M149" s="348">
        <f>IF(OR(J214="",AND(L149="",TODAY()&lt;J214),AND(L149&lt;&gt;"",L149&lt;J214)),0,
   IF(L149="",
      NETWORKDAYS(J214,TODAY(),fESTIVOS!$A$2:$A$53),
      NETWORKDAYS(J214,L149,fESTIVOS!$A$2:$A$53)
   )
)
</f>
        <v>0</v>
      </c>
      <c r="N149" s="291"/>
      <c r="O149" s="291"/>
      <c r="P149" s="292"/>
      <c r="Q149" s="349" t="s">
        <v>2637</v>
      </c>
      <c r="R149" s="312" t="s">
        <v>78</v>
      </c>
      <c r="S149" s="329"/>
    </row>
    <row r="150" ht="29.25" customHeight="1">
      <c r="A150" s="324" t="s">
        <v>2126</v>
      </c>
      <c r="B150" s="325" t="s">
        <v>2638</v>
      </c>
      <c r="C150" s="326" t="s">
        <v>2639</v>
      </c>
      <c r="D150" s="346" t="s">
        <v>2640</v>
      </c>
      <c r="E150" s="327" t="s">
        <v>2210</v>
      </c>
      <c r="F150" s="313" t="s">
        <v>76</v>
      </c>
      <c r="G150" s="314">
        <v>100.0</v>
      </c>
      <c r="H150" s="347">
        <f>IF(OR(J215="",K150="",K150&lt;J215),0,NETWORKDAYS(J215,K150,fESTIVOS!$A$2:$A$53))</f>
        <v>0</v>
      </c>
      <c r="I150" s="334">
        <v>46093.0</v>
      </c>
      <c r="J150" s="335">
        <v>46093.0</v>
      </c>
      <c r="K150" s="335">
        <v>46093.0</v>
      </c>
      <c r="L150" s="335">
        <v>46093.0</v>
      </c>
      <c r="M150" s="348">
        <f>IF(OR(J215="",AND(L150="",TODAY()&lt;J215),AND(L150&lt;&gt;"",L150&lt;J215)),0,
   IF(L150="",
      NETWORKDAYS(J215,TODAY(),fESTIVOS!$A$2:$A$53),
      NETWORKDAYS(J215,L150,fESTIVOS!$A$2:$A$53)
   )
)
</f>
        <v>0</v>
      </c>
      <c r="N150" s="291"/>
      <c r="O150" s="291"/>
      <c r="P150" s="292"/>
      <c r="Q150" s="349" t="s">
        <v>2641</v>
      </c>
      <c r="R150" s="312" t="s">
        <v>78</v>
      </c>
      <c r="S150" s="329"/>
    </row>
    <row r="151" ht="29.25" customHeight="1">
      <c r="A151" s="324" t="s">
        <v>2126</v>
      </c>
      <c r="B151" s="300" t="s">
        <v>2642</v>
      </c>
      <c r="C151" s="326" t="s">
        <v>2643</v>
      </c>
      <c r="D151" s="333" t="s">
        <v>2644</v>
      </c>
      <c r="E151" s="325" t="s">
        <v>2129</v>
      </c>
      <c r="F151" s="328" t="s">
        <v>76</v>
      </c>
      <c r="G151" s="311">
        <v>100.0</v>
      </c>
      <c r="H151" s="246">
        <f>IF(OR(J151="",K151="",K151&lt;J151),0,NETWORKDAYS(J151,K151,fESTIVOS!$A$2:$A$53))</f>
        <v>1</v>
      </c>
      <c r="I151" s="322">
        <v>46093.0</v>
      </c>
      <c r="J151" s="297">
        <v>46093.0</v>
      </c>
      <c r="K151" s="297">
        <v>46093.0</v>
      </c>
      <c r="L151" s="297">
        <v>46093.0</v>
      </c>
      <c r="M151" s="39">
        <f>IF(OR(J151="",AND(L151="",TODAY()&lt;J151),AND(L151&lt;&gt;"",L151&lt;J151)),0,
   IF(L151="",
      NETWORKDAYS(J151,TODAY(),fESTIVOS!$A$2:$A$53),
      NETWORKDAYS(J151,L151,fESTIVOS!$A$2:$A$53)
   )
)
</f>
        <v>1</v>
      </c>
      <c r="N151" s="291"/>
      <c r="O151" s="291"/>
      <c r="P151" s="292"/>
      <c r="Q151" s="336" t="s">
        <v>2645</v>
      </c>
      <c r="R151" s="312" t="s">
        <v>78</v>
      </c>
      <c r="S151" s="329"/>
    </row>
    <row r="152" ht="29.25" customHeight="1">
      <c r="A152" s="324" t="s">
        <v>2126</v>
      </c>
      <c r="B152" s="300" t="s">
        <v>2646</v>
      </c>
      <c r="C152" s="326" t="s">
        <v>2647</v>
      </c>
      <c r="D152" s="333" t="s">
        <v>2648</v>
      </c>
      <c r="E152" s="325" t="s">
        <v>2129</v>
      </c>
      <c r="F152" s="328" t="s">
        <v>76</v>
      </c>
      <c r="G152" s="311">
        <v>100.0</v>
      </c>
      <c r="H152" s="246">
        <f>IF(OR(J152="",K152="",K152&lt;J152),0,NETWORKDAYS(J152,K152,fESTIVOS!$A$2:$A$53))</f>
        <v>1</v>
      </c>
      <c r="I152" s="322">
        <v>46094.0</v>
      </c>
      <c r="J152" s="297">
        <v>46094.0</v>
      </c>
      <c r="K152" s="297">
        <v>46094.0</v>
      </c>
      <c r="L152" s="297">
        <v>46094.0</v>
      </c>
      <c r="M152" s="39">
        <f>IF(OR(J152="",AND(L152="",TODAY()&lt;J152),AND(L152&lt;&gt;"",L152&lt;J152)),0,
   IF(L152="",
      NETWORKDAYS(J152,TODAY(),fESTIVOS!$A$2:$A$53),
      NETWORKDAYS(J152,L152,fESTIVOS!$A$2:$A$53)
   )
)
</f>
        <v>1</v>
      </c>
      <c r="N152" s="291"/>
      <c r="O152" s="291"/>
      <c r="P152" s="292"/>
      <c r="Q152" s="336" t="s">
        <v>2649</v>
      </c>
      <c r="R152" s="312" t="s">
        <v>78</v>
      </c>
      <c r="S152" s="329"/>
    </row>
    <row r="153" ht="29.25" customHeight="1">
      <c r="A153" s="324" t="s">
        <v>2126</v>
      </c>
      <c r="B153" s="325" t="s">
        <v>2650</v>
      </c>
      <c r="C153" s="326" t="s">
        <v>2651</v>
      </c>
      <c r="D153" s="333" t="s">
        <v>2652</v>
      </c>
      <c r="E153" s="325" t="s">
        <v>2193</v>
      </c>
      <c r="F153" s="328" t="s">
        <v>76</v>
      </c>
      <c r="G153" s="311">
        <v>100.0</v>
      </c>
      <c r="H153" s="246">
        <f>IF(OR(J153="",K153="",K153&lt;J153),0,NETWORKDAYS(J153,K153,fESTIVOS!$A$2:$A$53))</f>
        <v>1</v>
      </c>
      <c r="I153" s="334">
        <v>46093.0</v>
      </c>
      <c r="J153" s="335">
        <v>46093.0</v>
      </c>
      <c r="K153" s="335">
        <v>46093.0</v>
      </c>
      <c r="L153" s="335">
        <v>46093.0</v>
      </c>
      <c r="M153" s="39">
        <f>IF(OR(J153="",AND(L153="",TODAY()&lt;J153),AND(L153&lt;&gt;"",L153&lt;J153)),0,
   IF(L153="",
      NETWORKDAYS(J153,TODAY(),fESTIVOS!$A$2:$A$53),
      NETWORKDAYS(J153,L153,fESTIVOS!$A$2:$A$53)
   )
)
</f>
        <v>1</v>
      </c>
      <c r="N153" s="291"/>
      <c r="O153" s="291"/>
      <c r="P153" s="292"/>
      <c r="Q153" s="336" t="s">
        <v>2653</v>
      </c>
      <c r="R153" s="312" t="s">
        <v>78</v>
      </c>
      <c r="S153" s="329"/>
    </row>
    <row r="154" ht="29.25" customHeight="1">
      <c r="A154" s="324" t="s">
        <v>2126</v>
      </c>
      <c r="B154" s="325" t="s">
        <v>2654</v>
      </c>
      <c r="C154" s="326" t="s">
        <v>2655</v>
      </c>
      <c r="D154" s="333" t="s">
        <v>2656</v>
      </c>
      <c r="E154" s="327" t="s">
        <v>2210</v>
      </c>
      <c r="F154" s="328" t="s">
        <v>76</v>
      </c>
      <c r="G154" s="311">
        <v>100.0</v>
      </c>
      <c r="H154" s="246">
        <f>IF(OR(J154="",K154="",K154&lt;J154),0,NETWORKDAYS(J154,K154,fESTIVOS!$A$2:$A$53))</f>
        <v>1</v>
      </c>
      <c r="I154" s="334">
        <v>46093.0</v>
      </c>
      <c r="J154" s="335">
        <v>46093.0</v>
      </c>
      <c r="K154" s="335">
        <v>46093.0</v>
      </c>
      <c r="L154" s="335">
        <v>46093.0</v>
      </c>
      <c r="M154" s="39">
        <f>IF(OR(J154="",AND(L154="",TODAY()&lt;J154),AND(L154&lt;&gt;"",L154&lt;J154)),0,
   IF(L154="",
      NETWORKDAYS(J154,TODAY(),fESTIVOS!$A$2:$A$53),
      NETWORKDAYS(J154,L154,fESTIVOS!$A$2:$A$53)
   )
)
</f>
        <v>1</v>
      </c>
      <c r="N154" s="291"/>
      <c r="O154" s="291"/>
      <c r="P154" s="292"/>
      <c r="Q154" s="336" t="s">
        <v>2657</v>
      </c>
      <c r="R154" s="312" t="s">
        <v>78</v>
      </c>
      <c r="S154" s="329"/>
    </row>
    <row r="155" ht="29.25" customHeight="1">
      <c r="A155" s="324" t="s">
        <v>2126</v>
      </c>
      <c r="B155" s="325" t="s">
        <v>2658</v>
      </c>
      <c r="C155" s="326" t="s">
        <v>2659</v>
      </c>
      <c r="D155" s="333" t="s">
        <v>2660</v>
      </c>
      <c r="E155" s="327" t="s">
        <v>2210</v>
      </c>
      <c r="F155" s="313" t="s">
        <v>76</v>
      </c>
      <c r="G155" s="314">
        <v>100.0</v>
      </c>
      <c r="H155" s="347">
        <f>IF(OR(J155="",K155="",K155&lt;J155),0,NETWORKDAYS(J155,K155,fESTIVOS!$A$2:$A$53))</f>
        <v>1</v>
      </c>
      <c r="I155" s="334">
        <v>46097.0</v>
      </c>
      <c r="J155" s="335">
        <v>46097.0</v>
      </c>
      <c r="K155" s="335">
        <v>46097.0</v>
      </c>
      <c r="L155" s="335">
        <v>46097.0</v>
      </c>
      <c r="M155" s="348">
        <f>IF(OR(J155="",AND(L155="",TODAY()&lt;J155),AND(L155&lt;&gt;"",L155&lt;J155)),0,
   IF(L155="",
      NETWORKDAYS(J155,TODAY(),fESTIVOS!$A$2:$A$53),
      NETWORKDAYS(J155,L155,fESTIVOS!$A$2:$A$53)
   )
)
</f>
        <v>1</v>
      </c>
      <c r="N155" s="291"/>
      <c r="O155" s="291"/>
      <c r="P155" s="292"/>
      <c r="Q155" s="336" t="s">
        <v>2661</v>
      </c>
      <c r="R155" s="312" t="s">
        <v>78</v>
      </c>
      <c r="S155" s="329"/>
    </row>
    <row r="156" ht="29.25" customHeight="1">
      <c r="A156" s="324" t="s">
        <v>2126</v>
      </c>
      <c r="B156" s="325" t="s">
        <v>2662</v>
      </c>
      <c r="C156" s="326" t="s">
        <v>2663</v>
      </c>
      <c r="D156" s="326" t="s">
        <v>2663</v>
      </c>
      <c r="E156" s="327" t="s">
        <v>2210</v>
      </c>
      <c r="F156" s="310" t="s">
        <v>76</v>
      </c>
      <c r="G156" s="311">
        <v>100.0</v>
      </c>
      <c r="H156" s="347">
        <f>IF(OR(J156="",K156="",K156&lt;J156),0,NETWORKDAYS(J156,K156,fESTIVOS!$A$2:$A$53))</f>
        <v>11</v>
      </c>
      <c r="I156" s="334">
        <v>46098.0</v>
      </c>
      <c r="J156" s="335">
        <v>46098.0</v>
      </c>
      <c r="K156" s="335">
        <v>46113.0</v>
      </c>
      <c r="L156" s="335">
        <v>46113.0</v>
      </c>
      <c r="M156" s="348">
        <f>IF(OR(J156="",AND(L156="",TODAY()&lt;J156),AND(L156&lt;&gt;"",L156&lt;J156)),0,
   IF(L156="",
      NETWORKDAYS(J156,TODAY(),fESTIVOS!$A$2:$A$53),
      NETWORKDAYS(J156,L156,fESTIVOS!$A$2:$A$53)
   )
)
</f>
        <v>11</v>
      </c>
      <c r="N156" s="291"/>
      <c r="O156" s="291"/>
      <c r="P156" s="292"/>
      <c r="Q156" s="336" t="s">
        <v>2664</v>
      </c>
      <c r="R156" s="312" t="s">
        <v>78</v>
      </c>
      <c r="S156" s="329"/>
    </row>
    <row r="157" ht="29.25" customHeight="1">
      <c r="A157" s="324" t="s">
        <v>2126</v>
      </c>
      <c r="B157" s="300" t="s">
        <v>2665</v>
      </c>
      <c r="C157" s="326" t="s">
        <v>2659</v>
      </c>
      <c r="D157" s="333" t="s">
        <v>2666</v>
      </c>
      <c r="E157" s="325" t="s">
        <v>2129</v>
      </c>
      <c r="F157" s="328" t="s">
        <v>76</v>
      </c>
      <c r="G157" s="311">
        <v>100.0</v>
      </c>
      <c r="H157" s="246">
        <f>IF(OR(J157="",K157="",K157&lt;J157),0,NETWORKDAYS(J157,K157,fESTIVOS!$A$2:$A$53))</f>
        <v>3</v>
      </c>
      <c r="I157" s="322">
        <v>46098.0</v>
      </c>
      <c r="J157" s="297">
        <v>46098.0</v>
      </c>
      <c r="K157" s="297">
        <v>46100.0</v>
      </c>
      <c r="L157" s="297">
        <v>46100.0</v>
      </c>
      <c r="M157" s="39">
        <f>IF(OR(J157="",AND(L157="",TODAY()&lt;J157),AND(L157&lt;&gt;"",L157&lt;J157)),0,
   IF(L157="",
      NETWORKDAYS(J157,TODAY(),fESTIVOS!$A$2:$A$53),
      NETWORKDAYS(J157,L157,fESTIVOS!$A$2:$A$53)
   )
)
</f>
        <v>3</v>
      </c>
      <c r="N157" s="291"/>
      <c r="O157" s="291"/>
      <c r="P157" s="292"/>
      <c r="Q157" s="336" t="s">
        <v>2667</v>
      </c>
      <c r="R157" s="312" t="s">
        <v>78</v>
      </c>
      <c r="S157" s="329"/>
    </row>
    <row r="158" ht="29.25" customHeight="1">
      <c r="A158" s="324" t="s">
        <v>2126</v>
      </c>
      <c r="B158" s="325" t="s">
        <v>2668</v>
      </c>
      <c r="C158" s="326" t="s">
        <v>2669</v>
      </c>
      <c r="D158" s="326" t="s">
        <v>2670</v>
      </c>
      <c r="E158" s="327" t="s">
        <v>2210</v>
      </c>
      <c r="F158" s="310" t="s">
        <v>76</v>
      </c>
      <c r="G158" s="311">
        <v>100.0</v>
      </c>
      <c r="H158" s="347">
        <f>IF(OR(J158="",K158="",K158&lt;J158),0,NETWORKDAYS(J158,K158,fESTIVOS!$A$2:$A$53))</f>
        <v>4</v>
      </c>
      <c r="I158" s="334">
        <v>46098.0</v>
      </c>
      <c r="J158" s="335">
        <v>46098.0</v>
      </c>
      <c r="K158" s="335">
        <v>46101.0</v>
      </c>
      <c r="L158" s="335">
        <v>46101.0</v>
      </c>
      <c r="M158" s="348">
        <f>IF(OR(J158="",AND(L158="",TODAY()&lt;J158),AND(L158&lt;&gt;"",L158&lt;J158)),0,
   IF(L158="",
      NETWORKDAYS(J158,TODAY(),fESTIVOS!$A$2:$A$53),
      NETWORKDAYS(J158,L158,fESTIVOS!$A$2:$A$53)
   )
)
</f>
        <v>4</v>
      </c>
      <c r="N158" s="291"/>
      <c r="O158" s="291"/>
      <c r="P158" s="292"/>
      <c r="Q158" s="336" t="s">
        <v>2671</v>
      </c>
      <c r="R158" s="312" t="s">
        <v>78</v>
      </c>
      <c r="S158" s="329"/>
    </row>
    <row r="159" ht="29.25" customHeight="1">
      <c r="A159" s="324" t="s">
        <v>2126</v>
      </c>
      <c r="B159" s="300" t="s">
        <v>2672</v>
      </c>
      <c r="C159" s="326" t="s">
        <v>2669</v>
      </c>
      <c r="D159" s="326" t="s">
        <v>2670</v>
      </c>
      <c r="E159" s="325" t="s">
        <v>2129</v>
      </c>
      <c r="F159" s="328" t="s">
        <v>76</v>
      </c>
      <c r="G159" s="311">
        <v>100.0</v>
      </c>
      <c r="H159" s="246">
        <f>IF(OR(J159="",K159="",K159&lt;J159),0,NETWORKDAYS(J159,K159,fESTIVOS!$A$2:$A$53))</f>
        <v>4</v>
      </c>
      <c r="I159" s="334">
        <v>46098.0</v>
      </c>
      <c r="J159" s="335">
        <v>46098.0</v>
      </c>
      <c r="K159" s="335">
        <v>46101.0</v>
      </c>
      <c r="L159" s="335">
        <v>46101.0</v>
      </c>
      <c r="M159" s="39">
        <f>IF(OR(J159="",AND(L159="",TODAY()&lt;J159),AND(L159&lt;&gt;"",L159&lt;J159)),0,
   IF(L159="",
      NETWORKDAYS(J159,TODAY(),fESTIVOS!$A$2:$A$53),
      NETWORKDAYS(J159,L159,fESTIVOS!$A$2:$A$53)
   )
)
</f>
        <v>4</v>
      </c>
      <c r="N159" s="291"/>
      <c r="O159" s="291"/>
      <c r="P159" s="292"/>
      <c r="Q159" s="336" t="s">
        <v>2673</v>
      </c>
      <c r="R159" s="312" t="s">
        <v>78</v>
      </c>
      <c r="S159" s="329"/>
    </row>
    <row r="160" ht="29.25" customHeight="1">
      <c r="A160" s="324" t="s">
        <v>2126</v>
      </c>
      <c r="B160" s="325" t="s">
        <v>2674</v>
      </c>
      <c r="C160" s="326" t="s">
        <v>2675</v>
      </c>
      <c r="D160" s="333" t="s">
        <v>2676</v>
      </c>
      <c r="E160" s="325" t="s">
        <v>2193</v>
      </c>
      <c r="F160" s="328" t="s">
        <v>76</v>
      </c>
      <c r="G160" s="311">
        <v>100.0</v>
      </c>
      <c r="H160" s="246">
        <f>IF(OR(J160="",K160="",K160&lt;J160),0,NETWORKDAYS(J160,K160,fESTIVOS!$A$2:$A$53))</f>
        <v>2</v>
      </c>
      <c r="I160" s="334">
        <v>46100.0</v>
      </c>
      <c r="J160" s="335">
        <v>46100.0</v>
      </c>
      <c r="K160" s="335">
        <v>46101.0</v>
      </c>
      <c r="L160" s="335">
        <v>46101.0</v>
      </c>
      <c r="M160" s="39">
        <f>IF(OR(J160="",AND(L160="",TODAY()&lt;J160),AND(L160&lt;&gt;"",L160&lt;J160)),0,
   IF(L160="",
      NETWORKDAYS(J160,TODAY(),fESTIVOS!$A$2:$A$53),
      NETWORKDAYS(J160,L160,fESTIVOS!$A$2:$A$53)
   )
)
</f>
        <v>2</v>
      </c>
      <c r="N160" s="291"/>
      <c r="O160" s="291"/>
      <c r="P160" s="292"/>
      <c r="Q160" s="336" t="s">
        <v>2677</v>
      </c>
      <c r="R160" s="312" t="s">
        <v>78</v>
      </c>
      <c r="S160" s="329"/>
    </row>
    <row r="161" ht="29.25" customHeight="1">
      <c r="A161" s="324" t="s">
        <v>2126</v>
      </c>
      <c r="B161" s="325" t="s">
        <v>2678</v>
      </c>
      <c r="C161" s="326" t="s">
        <v>2679</v>
      </c>
      <c r="D161" s="326" t="s">
        <v>2680</v>
      </c>
      <c r="E161" s="327" t="s">
        <v>2210</v>
      </c>
      <c r="F161" s="310" t="s">
        <v>76</v>
      </c>
      <c r="G161" s="311">
        <v>100.0</v>
      </c>
      <c r="H161" s="347">
        <f>IF(OR(J161="",K161="",K161&lt;J161),0,NETWORKDAYS(J161,K161,fESTIVOS!$A$2:$A$53))</f>
        <v>9</v>
      </c>
      <c r="I161" s="334">
        <v>46099.0</v>
      </c>
      <c r="J161" s="335">
        <v>46099.0</v>
      </c>
      <c r="K161" s="335">
        <v>46112.0</v>
      </c>
      <c r="L161" s="335">
        <v>46112.0</v>
      </c>
      <c r="M161" s="348">
        <f>IF(OR(J161="",AND(L161="",TODAY()&lt;J161),AND(L161&lt;&gt;"",L161&lt;J161)),0,
   IF(L161="",
      NETWORKDAYS(J161,TODAY(),fESTIVOS!$A$2:$A$53),
      NETWORKDAYS(J161,L161,fESTIVOS!$A$2:$A$53)
   )
)
</f>
        <v>9</v>
      </c>
      <c r="N161" s="291"/>
      <c r="O161" s="291"/>
      <c r="P161" s="292"/>
      <c r="Q161" s="336" t="s">
        <v>2681</v>
      </c>
      <c r="R161" s="312" t="s">
        <v>78</v>
      </c>
      <c r="S161" s="329"/>
    </row>
    <row r="162" ht="29.25" customHeight="1">
      <c r="A162" s="324" t="s">
        <v>2126</v>
      </c>
      <c r="B162" s="325" t="s">
        <v>2682</v>
      </c>
      <c r="C162" s="326" t="s">
        <v>2683</v>
      </c>
      <c r="D162" s="326"/>
      <c r="E162" s="327" t="s">
        <v>2210</v>
      </c>
      <c r="F162" s="310" t="s">
        <v>76</v>
      </c>
      <c r="G162" s="311">
        <v>100.0</v>
      </c>
      <c r="H162" s="347">
        <f>IF(OR(J162="",K162="",K162&lt;J162),0,NETWORKDAYS(J162,K162,fESTIVOS!$A$2:$A$53))</f>
        <v>7</v>
      </c>
      <c r="I162" s="334">
        <v>46102.0</v>
      </c>
      <c r="J162" s="335">
        <v>46102.0</v>
      </c>
      <c r="K162" s="335">
        <v>46113.0</v>
      </c>
      <c r="L162" s="335">
        <v>46113.0</v>
      </c>
      <c r="M162" s="348">
        <f>IF(OR(J162="",AND(L162="",TODAY()&lt;J162),AND(L162&lt;&gt;"",L162&lt;J162)),0,
   IF(L162="",
      NETWORKDAYS(J162,TODAY(),fESTIVOS!$A$2:$A$53),
      NETWORKDAYS(J162,L162,fESTIVOS!$A$2:$A$53)
   )
)
</f>
        <v>7</v>
      </c>
      <c r="N162" s="291"/>
      <c r="O162" s="291"/>
      <c r="P162" s="292"/>
      <c r="Q162" s="336" t="s">
        <v>2684</v>
      </c>
      <c r="R162" s="312" t="s">
        <v>78</v>
      </c>
      <c r="S162" s="329"/>
    </row>
    <row r="163" ht="29.25" customHeight="1">
      <c r="A163" s="324" t="s">
        <v>2126</v>
      </c>
      <c r="B163" s="325" t="s">
        <v>2685</v>
      </c>
      <c r="C163" s="326" t="s">
        <v>2686</v>
      </c>
      <c r="D163" s="326"/>
      <c r="E163" s="327" t="s">
        <v>2210</v>
      </c>
      <c r="F163" s="310" t="s">
        <v>76</v>
      </c>
      <c r="G163" s="311">
        <v>100.0</v>
      </c>
      <c r="H163" s="347">
        <f>IF(OR(J163="",K163="",K163&lt;J163),0,NETWORKDAYS(J163,K163,fESTIVOS!$A$2:$A$53))</f>
        <v>7</v>
      </c>
      <c r="I163" s="334">
        <v>46102.0</v>
      </c>
      <c r="J163" s="335">
        <v>46102.0</v>
      </c>
      <c r="K163" s="335">
        <v>46113.0</v>
      </c>
      <c r="L163" s="335">
        <v>46113.0</v>
      </c>
      <c r="M163" s="348">
        <f>IF(OR(J163="",AND(L163="",TODAY()&lt;J163),AND(L163&lt;&gt;"",L163&lt;J163)),0,
   IF(L163="",
      NETWORKDAYS(J163,TODAY(),fESTIVOS!$A$2:$A$53),
      NETWORKDAYS(J163,L163,fESTIVOS!$A$2:$A$53)
   )
)
</f>
        <v>7</v>
      </c>
      <c r="N163" s="291"/>
      <c r="O163" s="291"/>
      <c r="P163" s="292"/>
      <c r="Q163" s="336" t="s">
        <v>2687</v>
      </c>
      <c r="R163" s="312" t="s">
        <v>78</v>
      </c>
      <c r="S163" s="329"/>
    </row>
    <row r="164" ht="29.25" customHeight="1">
      <c r="A164" s="324" t="s">
        <v>2126</v>
      </c>
      <c r="B164" s="300" t="s">
        <v>2688</v>
      </c>
      <c r="C164" s="326" t="s">
        <v>2689</v>
      </c>
      <c r="D164" s="326" t="s">
        <v>2690</v>
      </c>
      <c r="E164" s="325" t="s">
        <v>2129</v>
      </c>
      <c r="F164" s="310" t="s">
        <v>76</v>
      </c>
      <c r="G164" s="311">
        <v>100.0</v>
      </c>
      <c r="H164" s="347">
        <f>IF(OR(J164="",K164="",K164&lt;J164),0,NETWORKDAYS(J164,K164,fESTIVOS!$A$2:$A$53))</f>
        <v>4</v>
      </c>
      <c r="I164" s="334">
        <v>46104.0</v>
      </c>
      <c r="J164" s="335">
        <v>46104.0</v>
      </c>
      <c r="K164" s="335">
        <v>46109.0</v>
      </c>
      <c r="L164" s="335">
        <v>46109.0</v>
      </c>
      <c r="M164" s="348">
        <f>IF(OR(J164="",AND(L164="",TODAY()&lt;J164),AND(L164&lt;&gt;"",L164&lt;J164)),0,
   IF(L164="",
      NETWORKDAYS(J164,TODAY(),fESTIVOS!$A$2:$A$53),
      NETWORKDAYS(J164,L164,fESTIVOS!$A$2:$A$53)
   )
)
</f>
        <v>4</v>
      </c>
      <c r="N164" s="291"/>
      <c r="O164" s="291"/>
      <c r="P164" s="292"/>
      <c r="Q164" s="336" t="s">
        <v>2691</v>
      </c>
      <c r="R164" s="312" t="s">
        <v>78</v>
      </c>
      <c r="S164" s="329"/>
    </row>
    <row r="165" ht="29.25" customHeight="1">
      <c r="A165" s="324" t="s">
        <v>2126</v>
      </c>
      <c r="B165" s="300" t="s">
        <v>2692</v>
      </c>
      <c r="C165" s="326" t="s">
        <v>2693</v>
      </c>
      <c r="D165" s="326" t="s">
        <v>2690</v>
      </c>
      <c r="E165" s="325" t="s">
        <v>2129</v>
      </c>
      <c r="F165" s="310" t="s">
        <v>76</v>
      </c>
      <c r="G165" s="311">
        <v>100.0</v>
      </c>
      <c r="H165" s="347">
        <f>IF(OR(J165="",K165="",K165&lt;J165),0,NETWORKDAYS(J165,K165,fESTIVOS!$A$2:$A$53))</f>
        <v>8</v>
      </c>
      <c r="I165" s="334">
        <v>46110.0</v>
      </c>
      <c r="J165" s="335">
        <v>46110.0</v>
      </c>
      <c r="K165" s="335">
        <v>46122.0</v>
      </c>
      <c r="L165" s="335">
        <v>46122.0</v>
      </c>
      <c r="M165" s="348">
        <f>IF(OR(J165="",AND(L165="",TODAY()&lt;J165),AND(L165&lt;&gt;"",L165&lt;J165)),0,
   IF(L165="",
      NETWORKDAYS(J165,TODAY(),fESTIVOS!$A$2:$A$53),
      NETWORKDAYS(J165,L165,fESTIVOS!$A$2:$A$53)
   )
)
</f>
        <v>8</v>
      </c>
      <c r="N165" s="291"/>
      <c r="O165" s="291"/>
      <c r="P165" s="292"/>
      <c r="Q165" s="336" t="s">
        <v>2694</v>
      </c>
      <c r="R165" s="312" t="s">
        <v>78</v>
      </c>
      <c r="S165" s="329"/>
    </row>
    <row r="166" ht="29.25" customHeight="1">
      <c r="A166" s="324" t="s">
        <v>2126</v>
      </c>
      <c r="B166" s="325" t="s">
        <v>2695</v>
      </c>
      <c r="C166" s="326" t="s">
        <v>2696</v>
      </c>
      <c r="D166" s="333" t="s">
        <v>2697</v>
      </c>
      <c r="E166" s="325" t="s">
        <v>2193</v>
      </c>
      <c r="F166" s="328" t="s">
        <v>216</v>
      </c>
      <c r="G166" s="311">
        <v>30.0</v>
      </c>
      <c r="H166" s="246">
        <f>IF(OR(J166="",K166="",K166&lt;J166),0,NETWORKDAYS(J166,K166,fESTIVOS!$A$2:$A$53))</f>
        <v>0</v>
      </c>
      <c r="I166" s="334">
        <v>46105.0</v>
      </c>
      <c r="J166" s="335">
        <v>46105.0</v>
      </c>
      <c r="K166" s="335"/>
      <c r="L166" s="335"/>
      <c r="M166" s="39">
        <f>IF(OR(J166="",AND(L166="",TODAY()&lt;J166),AND(L166&lt;&gt;"",L166&lt;J166)),0,
   IF(L166="",
      NETWORKDAYS(J166,TODAY(),fESTIVOS!$A$2:$A$53),
      NETWORKDAYS(J166,L166,fESTIVOS!$A$2:$A$53)
   )
)
</f>
        <v>55</v>
      </c>
      <c r="N166" s="291"/>
      <c r="O166" s="291"/>
      <c r="P166" s="292"/>
      <c r="Q166" s="336" t="s">
        <v>2698</v>
      </c>
      <c r="R166" s="312" t="s">
        <v>78</v>
      </c>
      <c r="S166" s="329"/>
    </row>
    <row r="167" ht="29.25" customHeight="1">
      <c r="A167" s="324" t="s">
        <v>2126</v>
      </c>
      <c r="B167" s="325" t="s">
        <v>2699</v>
      </c>
      <c r="C167" s="326" t="s">
        <v>2700</v>
      </c>
      <c r="D167" s="333"/>
      <c r="E167" s="325" t="s">
        <v>2193</v>
      </c>
      <c r="F167" s="328" t="s">
        <v>216</v>
      </c>
      <c r="G167" s="311">
        <v>70.0</v>
      </c>
      <c r="H167" s="246">
        <f>IF(OR(J167="",K167="",K167&lt;J167),0,NETWORKDAYS(J167,K167,fESTIVOS!$A$2:$A$53))</f>
        <v>0</v>
      </c>
      <c r="I167" s="334">
        <v>46113.0</v>
      </c>
      <c r="J167" s="335">
        <v>46113.0</v>
      </c>
      <c r="K167" s="335"/>
      <c r="L167" s="335"/>
      <c r="M167" s="39">
        <f>IF(OR(J167="",AND(L167="",TODAY()&lt;J167),AND(L167&lt;&gt;"",L167&lt;J167)),0,
   IF(L167="",
      NETWORKDAYS(J167,TODAY(),fESTIVOS!$A$2:$A$53),
      NETWORKDAYS(J167,L167,fESTIVOS!$A$2:$A$53)
   )
)
</f>
        <v>49</v>
      </c>
      <c r="N167" s="291"/>
      <c r="O167" s="291"/>
      <c r="P167" s="292"/>
      <c r="Q167" s="336" t="s">
        <v>2701</v>
      </c>
      <c r="R167" s="312" t="s">
        <v>78</v>
      </c>
      <c r="S167" s="329"/>
    </row>
    <row r="168" ht="29.25" customHeight="1">
      <c r="A168" s="324" t="s">
        <v>2126</v>
      </c>
      <c r="B168" s="325" t="s">
        <v>2702</v>
      </c>
      <c r="C168" s="326" t="s">
        <v>2703</v>
      </c>
      <c r="D168" s="333" t="s">
        <v>2704</v>
      </c>
      <c r="E168" s="325" t="s">
        <v>2193</v>
      </c>
      <c r="F168" s="328" t="s">
        <v>76</v>
      </c>
      <c r="G168" s="311">
        <v>100.0</v>
      </c>
      <c r="H168" s="246">
        <f>IF(OR(J168="",K168="",K168&lt;J168),0,NETWORKDAYS(J168,K168,fESTIVOS!$A$2:$A$53))</f>
        <v>7</v>
      </c>
      <c r="I168" s="334">
        <v>46102.0</v>
      </c>
      <c r="J168" s="335">
        <v>46102.0</v>
      </c>
      <c r="K168" s="335">
        <v>46113.0</v>
      </c>
      <c r="L168" s="335">
        <v>46113.0</v>
      </c>
      <c r="M168" s="39">
        <f>IF(OR(J168="",AND(L168="",TODAY()&lt;J168),AND(L168&lt;&gt;"",L168&lt;J168)),0,
   IF(L168="",
      NETWORKDAYS(J168,TODAY(),fESTIVOS!$A$2:$A$53),
      NETWORKDAYS(J168,L168,fESTIVOS!$A$2:$A$53)
   )
)
</f>
        <v>7</v>
      </c>
      <c r="N168" s="291"/>
      <c r="O168" s="291"/>
      <c r="P168" s="292"/>
      <c r="Q168" s="336" t="s">
        <v>2705</v>
      </c>
      <c r="R168" s="312" t="s">
        <v>78</v>
      </c>
      <c r="S168" s="329"/>
    </row>
    <row r="169" ht="29.25" customHeight="1">
      <c r="A169" s="324" t="s">
        <v>2126</v>
      </c>
      <c r="B169" s="300" t="s">
        <v>2706</v>
      </c>
      <c r="C169" s="326" t="s">
        <v>2707</v>
      </c>
      <c r="D169" s="326" t="s">
        <v>2708</v>
      </c>
      <c r="E169" s="325" t="s">
        <v>2129</v>
      </c>
      <c r="F169" s="310" t="s">
        <v>76</v>
      </c>
      <c r="G169" s="311">
        <v>100.0</v>
      </c>
      <c r="H169" s="347">
        <f>IF(OR(J169="",K169="",K169&lt;J169),0,NETWORKDAYS(J169,K169,fESTIVOS!$A$2:$A$53))</f>
        <v>8</v>
      </c>
      <c r="I169" s="334">
        <v>46118.0</v>
      </c>
      <c r="J169" s="335">
        <v>46118.0</v>
      </c>
      <c r="K169" s="335">
        <v>46127.0</v>
      </c>
      <c r="L169" s="335">
        <v>46127.0</v>
      </c>
      <c r="M169" s="348">
        <f>IF(OR(J169="",AND(L169="",TODAY()&lt;J169),AND(L169&lt;&gt;"",L169&lt;J169)),0,
   IF(L169="",
      NETWORKDAYS(J169,TODAY(),fESTIVOS!$A$2:$A$53),
      NETWORKDAYS(J169,L169,fESTIVOS!$A$2:$A$53)
   )
)
</f>
        <v>8</v>
      </c>
      <c r="N169" s="291"/>
      <c r="O169" s="291"/>
      <c r="P169" s="292"/>
      <c r="Q169" s="336" t="s">
        <v>2709</v>
      </c>
      <c r="R169" s="312" t="s">
        <v>78</v>
      </c>
      <c r="S169" s="329"/>
    </row>
    <row r="170" ht="29.25" customHeight="1">
      <c r="A170" s="324" t="s">
        <v>2126</v>
      </c>
      <c r="B170" s="300" t="s">
        <v>2710</v>
      </c>
      <c r="C170" s="326" t="s">
        <v>2707</v>
      </c>
      <c r="D170" s="326" t="s">
        <v>2711</v>
      </c>
      <c r="E170" s="325" t="s">
        <v>2129</v>
      </c>
      <c r="F170" s="310" t="s">
        <v>76</v>
      </c>
      <c r="G170" s="311">
        <v>100.0</v>
      </c>
      <c r="H170" s="347">
        <f>IF(OR(J170="",K170="",K170&lt;J170),0,NETWORKDAYS(J170,K170,fESTIVOS!$A$2:$A$53))</f>
        <v>19</v>
      </c>
      <c r="I170" s="334">
        <v>46119.0</v>
      </c>
      <c r="J170" s="335">
        <v>46119.0</v>
      </c>
      <c r="K170" s="335">
        <v>46146.0</v>
      </c>
      <c r="L170" s="335">
        <v>46146.0</v>
      </c>
      <c r="M170" s="348">
        <f>IF(OR(J170="",AND(L170="",TODAY()&lt;J170),AND(L170&lt;&gt;"",L170&lt;J170)),0,
   IF(L170="",
      NETWORKDAYS(J170,TODAY(),fESTIVOS!$A$2:$A$53),
      NETWORKDAYS(J170,L170,fESTIVOS!$A$2:$A$53)
   )
)
</f>
        <v>19</v>
      </c>
      <c r="N170" s="291"/>
      <c r="O170" s="291"/>
      <c r="P170" s="292"/>
      <c r="Q170" s="336" t="s">
        <v>2712</v>
      </c>
      <c r="R170" s="312" t="s">
        <v>78</v>
      </c>
      <c r="S170" s="329"/>
    </row>
    <row r="171" ht="29.25" customHeight="1">
      <c r="A171" s="324" t="s">
        <v>2126</v>
      </c>
      <c r="B171" s="300" t="s">
        <v>2713</v>
      </c>
      <c r="C171" s="326" t="s">
        <v>2714</v>
      </c>
      <c r="D171" s="326" t="s">
        <v>2715</v>
      </c>
      <c r="E171" s="325" t="s">
        <v>2129</v>
      </c>
      <c r="F171" s="310" t="s">
        <v>76</v>
      </c>
      <c r="G171" s="311">
        <v>100.0</v>
      </c>
      <c r="H171" s="347">
        <f>IF(OR(J171="",K171="",K171&lt;J171),0,NETWORKDAYS(J171,K171,fESTIVOS!$A$2:$A$53))</f>
        <v>20</v>
      </c>
      <c r="I171" s="334">
        <v>46123.0</v>
      </c>
      <c r="J171" s="335">
        <v>46123.0</v>
      </c>
      <c r="K171" s="335">
        <v>46153.0</v>
      </c>
      <c r="L171" s="335">
        <v>46153.0</v>
      </c>
      <c r="M171" s="348">
        <f>IF(OR(J171="",AND(L171="",TODAY()&lt;J171),AND(L171&lt;&gt;"",L171&lt;J171)),0,
   IF(L171="",
      NETWORKDAYS(J171,TODAY(),fESTIVOS!$A$2:$A$53),
      NETWORKDAYS(J171,L171,fESTIVOS!$A$2:$A$53)
   )
)
</f>
        <v>20</v>
      </c>
      <c r="N171" s="291"/>
      <c r="O171" s="291"/>
      <c r="P171" s="292"/>
      <c r="Q171" s="336" t="s">
        <v>2716</v>
      </c>
      <c r="R171" s="312" t="s">
        <v>78</v>
      </c>
      <c r="S171" s="329"/>
    </row>
    <row r="172" ht="29.25" customHeight="1">
      <c r="A172" s="350" t="s">
        <v>2126</v>
      </c>
      <c r="B172" s="325" t="s">
        <v>2717</v>
      </c>
      <c r="C172" s="326" t="s">
        <v>2718</v>
      </c>
      <c r="D172" s="333" t="s">
        <v>2719</v>
      </c>
      <c r="E172" s="325" t="s">
        <v>2193</v>
      </c>
      <c r="F172" s="328" t="s">
        <v>76</v>
      </c>
      <c r="G172" s="311">
        <v>100.0</v>
      </c>
      <c r="H172" s="246">
        <f>IF(OR(J172="",K172="",K172&lt;J172),0,NETWORKDAYS(J172,K172,fESTIVOS!$A$2:$A$53))</f>
        <v>3</v>
      </c>
      <c r="I172" s="334">
        <v>46125.0</v>
      </c>
      <c r="J172" s="335">
        <v>46125.0</v>
      </c>
      <c r="K172" s="335">
        <v>46127.0</v>
      </c>
      <c r="L172" s="335">
        <v>46127.0</v>
      </c>
      <c r="M172" s="39">
        <f>IF(OR(J172="",AND(L172="",TODAY()&lt;J172),AND(L172&lt;&gt;"",L172&lt;J172)),0,
   IF(L172="",
      NETWORKDAYS(J172,TODAY(),fESTIVOS!$A$2:$A$53),
      NETWORKDAYS(J172,L172,fESTIVOS!$A$2:$A$53)
   )
)
</f>
        <v>3</v>
      </c>
      <c r="N172" s="291"/>
      <c r="O172" s="291"/>
      <c r="P172" s="292"/>
      <c r="Q172" s="336" t="s">
        <v>2720</v>
      </c>
      <c r="R172" s="312" t="s">
        <v>78</v>
      </c>
      <c r="S172" s="329"/>
    </row>
    <row r="173" ht="29.25" customHeight="1">
      <c r="A173" s="324" t="s">
        <v>2126</v>
      </c>
      <c r="B173" s="300" t="s">
        <v>2721</v>
      </c>
      <c r="C173" s="326" t="s">
        <v>2722</v>
      </c>
      <c r="D173" s="326" t="s">
        <v>2723</v>
      </c>
      <c r="E173" s="325" t="s">
        <v>2129</v>
      </c>
      <c r="F173" s="310" t="s">
        <v>76</v>
      </c>
      <c r="G173" s="311">
        <v>100.0</v>
      </c>
      <c r="H173" s="347">
        <f>IF(OR(J173="",K173="",K173&lt;J173),0,NETWORKDAYS(J173,K173,fESTIVOS!$A$2:$A$53))</f>
        <v>15</v>
      </c>
      <c r="I173" s="334">
        <v>46128.0</v>
      </c>
      <c r="J173" s="335">
        <v>46128.0</v>
      </c>
      <c r="K173" s="335">
        <v>46149.0</v>
      </c>
      <c r="L173" s="335">
        <v>46149.0</v>
      </c>
      <c r="M173" s="348">
        <f>IF(OR(J173="",AND(L173="",TODAY()&lt;J173),AND(L173&lt;&gt;"",L173&lt;J173)),0,
   IF(L173="",
      NETWORKDAYS(J173,TODAY(),fESTIVOS!$A$2:$A$53),
      NETWORKDAYS(J173,L173,fESTIVOS!$A$2:$A$53)
   )
)
</f>
        <v>15</v>
      </c>
      <c r="N173" s="291"/>
      <c r="O173" s="291"/>
      <c r="P173" s="292"/>
      <c r="Q173" s="336" t="s">
        <v>2724</v>
      </c>
      <c r="R173" s="312" t="s">
        <v>78</v>
      </c>
      <c r="S173" s="329"/>
    </row>
    <row r="174" ht="29.25" customHeight="1">
      <c r="A174" s="324" t="s">
        <v>2126</v>
      </c>
      <c r="B174" s="325" t="s">
        <v>2725</v>
      </c>
      <c r="C174" s="326" t="s">
        <v>2686</v>
      </c>
      <c r="D174" s="326" t="s">
        <v>2726</v>
      </c>
      <c r="E174" s="327" t="s">
        <v>2210</v>
      </c>
      <c r="F174" s="310" t="s">
        <v>76</v>
      </c>
      <c r="G174" s="311">
        <v>100.0</v>
      </c>
      <c r="H174" s="347">
        <f>IF(OR(J174="",K174="",K174&lt;J174),0,NETWORKDAYS(J174,K174,fESTIVOS!$A$2:$A$53))</f>
        <v>2</v>
      </c>
      <c r="I174" s="334">
        <v>46130.0</v>
      </c>
      <c r="J174" s="335">
        <v>46130.0</v>
      </c>
      <c r="K174" s="335">
        <v>46133.0</v>
      </c>
      <c r="L174" s="335">
        <v>46133.0</v>
      </c>
      <c r="M174" s="348">
        <f>IF(OR(J174="",AND(L174="",TODAY()&lt;J174),AND(L174&lt;&gt;"",L174&lt;J174)),0,
   IF(L174="",
      NETWORKDAYS(J174,TODAY(),fESTIVOS!$A$2:$A$53),
      NETWORKDAYS(J174,L174,fESTIVOS!$A$2:$A$53)
   )
)
</f>
        <v>2</v>
      </c>
      <c r="N174" s="291"/>
      <c r="O174" s="291"/>
      <c r="P174" s="292"/>
      <c r="Q174" s="336" t="s">
        <v>2727</v>
      </c>
      <c r="R174" s="312" t="s">
        <v>78</v>
      </c>
      <c r="S174" s="329"/>
    </row>
    <row r="175" ht="29.25" customHeight="1">
      <c r="A175" s="315" t="s">
        <v>2126</v>
      </c>
      <c r="B175" s="300" t="s">
        <v>2728</v>
      </c>
      <c r="C175" s="337" t="s">
        <v>2686</v>
      </c>
      <c r="D175" s="351" t="s">
        <v>2729</v>
      </c>
      <c r="E175" s="286" t="s">
        <v>2210</v>
      </c>
      <c r="F175" s="339" t="s">
        <v>76</v>
      </c>
      <c r="G175" s="318">
        <v>100.0</v>
      </c>
      <c r="H175" s="352">
        <f>IF(OR(J175="",K175="",K175&lt;J175),0,NETWORKDAYS(J175,K175,fESTIVOS!$A$2:$A$53))</f>
        <v>13</v>
      </c>
      <c r="I175" s="322">
        <v>46131.0</v>
      </c>
      <c r="J175" s="297">
        <v>46131.0</v>
      </c>
      <c r="K175" s="297">
        <v>46149.0</v>
      </c>
      <c r="L175" s="297">
        <v>46149.0</v>
      </c>
      <c r="M175" s="353">
        <f>IF(OR(J175="",AND(L175="",TODAY()&lt;J175),AND(L175&lt;&gt;"",L175&lt;J175)),0,
   IF(L175="",
      NETWORKDAYS(J175,TODAY(),fESTIVOS!$A$2:$A$53),
      NETWORKDAYS(J175,L175,fESTIVOS!$A$2:$A$53)
   )
)
</f>
        <v>13</v>
      </c>
      <c r="N175" s="319"/>
      <c r="O175" s="319"/>
      <c r="P175" s="320"/>
      <c r="Q175" s="298" t="s">
        <v>2730</v>
      </c>
      <c r="R175" s="294" t="s">
        <v>78</v>
      </c>
      <c r="S175" s="295"/>
    </row>
    <row r="176" ht="29.25" customHeight="1">
      <c r="A176" s="350" t="s">
        <v>2126</v>
      </c>
      <c r="B176" s="325" t="s">
        <v>2731</v>
      </c>
      <c r="C176" s="326" t="s">
        <v>2732</v>
      </c>
      <c r="D176" s="333" t="s">
        <v>2733</v>
      </c>
      <c r="E176" s="327" t="s">
        <v>2193</v>
      </c>
      <c r="F176" s="313" t="s">
        <v>76</v>
      </c>
      <c r="G176" s="314">
        <v>100.0</v>
      </c>
      <c r="H176" s="347">
        <f>IF(OR(J176="",K176="",K176&lt;J176),0,NETWORKDAYS(J176,K176,fESTIVOS!$A$2:$A$53))</f>
        <v>1</v>
      </c>
      <c r="I176" s="334">
        <v>46130.0</v>
      </c>
      <c r="J176" s="335">
        <v>46130.0</v>
      </c>
      <c r="K176" s="335">
        <v>46132.0</v>
      </c>
      <c r="L176" s="335">
        <v>46132.0</v>
      </c>
      <c r="M176" s="348">
        <f>IF(OR(J176="",AND(L176="",TODAY()&lt;J176),AND(L176&lt;&gt;"",L176&lt;J176)),0,
   IF(L176="",
      NETWORKDAYS(J176,TODAY(),fESTIVOS!$A$2:$A$53),
      NETWORKDAYS(J176,L176,fESTIVOS!$A$2:$A$53)
   )
)
</f>
        <v>1</v>
      </c>
      <c r="N176" s="291"/>
      <c r="O176" s="291"/>
      <c r="P176" s="292"/>
      <c r="Q176" s="336" t="s">
        <v>2734</v>
      </c>
      <c r="R176" s="312" t="s">
        <v>78</v>
      </c>
      <c r="S176" s="329"/>
    </row>
    <row r="177" ht="29.25" customHeight="1">
      <c r="A177" s="324" t="s">
        <v>2126</v>
      </c>
      <c r="B177" s="300" t="s">
        <v>2735</v>
      </c>
      <c r="C177" s="326" t="s">
        <v>2736</v>
      </c>
      <c r="D177" s="326" t="s">
        <v>2737</v>
      </c>
      <c r="E177" s="325" t="s">
        <v>2129</v>
      </c>
      <c r="F177" s="310" t="s">
        <v>76</v>
      </c>
      <c r="G177" s="311">
        <v>100.0</v>
      </c>
      <c r="H177" s="347">
        <f>IF(OR(J177="",K177="",K177&lt;J177),0,NETWORKDAYS(J177,K177,fESTIVOS!$A$2:$A$53))</f>
        <v>10</v>
      </c>
      <c r="I177" s="334">
        <v>46135.0</v>
      </c>
      <c r="J177" s="335">
        <v>46135.0</v>
      </c>
      <c r="K177" s="335">
        <v>46149.0</v>
      </c>
      <c r="L177" s="335">
        <v>46149.0</v>
      </c>
      <c r="M177" s="348">
        <f>IF(OR(J177="",AND(L177="",TODAY()&lt;J177),AND(L177&lt;&gt;"",L177&lt;J177)),0,
   IF(L177="",
      NETWORKDAYS(J177,TODAY(),fESTIVOS!$A$2:$A$53),
      NETWORKDAYS(J177,L177,fESTIVOS!$A$2:$A$53)
   )
)
</f>
        <v>10</v>
      </c>
      <c r="N177" s="291"/>
      <c r="O177" s="291"/>
      <c r="P177" s="292"/>
      <c r="Q177" s="336" t="s">
        <v>2738</v>
      </c>
      <c r="R177" s="312" t="s">
        <v>78</v>
      </c>
      <c r="S177" s="329"/>
    </row>
    <row r="178" ht="29.25" customHeight="1">
      <c r="A178" s="324" t="s">
        <v>2126</v>
      </c>
      <c r="B178" s="300" t="s">
        <v>2739</v>
      </c>
      <c r="C178" s="326" t="s">
        <v>2740</v>
      </c>
      <c r="D178" s="326" t="s">
        <v>2741</v>
      </c>
      <c r="E178" s="325" t="s">
        <v>2129</v>
      </c>
      <c r="F178" s="310" t="s">
        <v>76</v>
      </c>
      <c r="G178" s="311">
        <v>100.0</v>
      </c>
      <c r="H178" s="347">
        <f>IF(OR(J178="",K178="",K178&lt;J178),0,NETWORKDAYS(J178,K178,fESTIVOS!$A$2:$A$53))</f>
        <v>10</v>
      </c>
      <c r="I178" s="334">
        <v>46135.0</v>
      </c>
      <c r="J178" s="335">
        <v>46135.0</v>
      </c>
      <c r="K178" s="335">
        <v>46149.0</v>
      </c>
      <c r="L178" s="335">
        <v>46149.0</v>
      </c>
      <c r="M178" s="348">
        <f>IF(OR(J178="",AND(L178="",TODAY()&lt;J178),AND(L178&lt;&gt;"",L178&lt;J178)),0,
   IF(L178="",
      NETWORKDAYS(J178,TODAY(),fESTIVOS!$A$2:$A$53),
      NETWORKDAYS(J178,L178,fESTIVOS!$A$2:$A$53)
   )
)
</f>
        <v>10</v>
      </c>
      <c r="N178" s="291"/>
      <c r="O178" s="291"/>
      <c r="P178" s="292"/>
      <c r="Q178" s="336" t="s">
        <v>2742</v>
      </c>
      <c r="R178" s="312" t="s">
        <v>78</v>
      </c>
      <c r="S178" s="329"/>
    </row>
    <row r="179" ht="29.25" customHeight="1">
      <c r="A179" s="315" t="s">
        <v>2126</v>
      </c>
      <c r="B179" s="300" t="s">
        <v>2743</v>
      </c>
      <c r="C179" s="316" t="s">
        <v>2744</v>
      </c>
      <c r="D179" s="351" t="s">
        <v>2745</v>
      </c>
      <c r="E179" s="286" t="s">
        <v>2210</v>
      </c>
      <c r="F179" s="339" t="s">
        <v>216</v>
      </c>
      <c r="G179" s="318">
        <v>85.0</v>
      </c>
      <c r="H179" s="352">
        <f>IF(OR(J179="",K179="",K179&lt;J179),0,NETWORKDAYS(J179,K179,fESTIVOS!$A$2:$A$53))</f>
        <v>0</v>
      </c>
      <c r="I179" s="334">
        <v>46135.0</v>
      </c>
      <c r="J179" s="335">
        <v>46135.0</v>
      </c>
      <c r="K179" s="335"/>
      <c r="L179" s="335"/>
      <c r="M179" s="353">
        <f>IF(OR(J179="",AND(L179="",TODAY()&lt;J179),AND(L179&lt;&gt;"",L179&lt;J179)),0,
   IF(L179="",
      NETWORKDAYS(J179,TODAY(),fESTIVOS!$A$2:$A$53),
      NETWORKDAYS(J179,L179,fESTIVOS!$A$2:$A$53)
   )
)
</f>
        <v>35</v>
      </c>
      <c r="N179" s="319"/>
      <c r="O179" s="319"/>
      <c r="P179" s="320"/>
      <c r="Q179" s="336" t="s">
        <v>2746</v>
      </c>
      <c r="R179" s="294" t="s">
        <v>78</v>
      </c>
      <c r="S179" s="295"/>
    </row>
    <row r="180" ht="29.25" customHeight="1">
      <c r="A180" s="350" t="s">
        <v>2126</v>
      </c>
      <c r="B180" s="325" t="s">
        <v>2747</v>
      </c>
      <c r="C180" s="326" t="s">
        <v>2748</v>
      </c>
      <c r="D180" s="333" t="s">
        <v>2749</v>
      </c>
      <c r="E180" s="327" t="s">
        <v>2193</v>
      </c>
      <c r="F180" s="313" t="s">
        <v>76</v>
      </c>
      <c r="G180" s="314">
        <v>100.0</v>
      </c>
      <c r="H180" s="347">
        <f>IF(OR(J180="",K180="",K180&lt;J180),0,NETWORKDAYS(J180,K180,fESTIVOS!$A$2:$A$53))</f>
        <v>10</v>
      </c>
      <c r="I180" s="334">
        <v>46135.0</v>
      </c>
      <c r="J180" s="335">
        <v>46135.0</v>
      </c>
      <c r="K180" s="335">
        <v>46149.0</v>
      </c>
      <c r="L180" s="335">
        <v>46149.0</v>
      </c>
      <c r="M180" s="348">
        <f>IF(OR(J180="",AND(L180="",TODAY()&lt;J180),AND(L180&lt;&gt;"",L180&lt;J180)),0,
   IF(L180="",
      NETWORKDAYS(J180,TODAY(),fESTIVOS!$A$2:$A$53),
      NETWORKDAYS(J180,L180,fESTIVOS!$A$2:$A$53)
   )
)
</f>
        <v>10</v>
      </c>
      <c r="N180" s="291"/>
      <c r="O180" s="291"/>
      <c r="P180" s="292"/>
      <c r="Q180" s="336" t="s">
        <v>2750</v>
      </c>
      <c r="R180" s="312" t="s">
        <v>78</v>
      </c>
      <c r="S180" s="329"/>
    </row>
    <row r="181" ht="29.25" customHeight="1">
      <c r="A181" s="16" t="s">
        <v>2126</v>
      </c>
      <c r="B181" s="257" t="s">
        <v>2751</v>
      </c>
      <c r="C181" s="151" t="s">
        <v>2752</v>
      </c>
      <c r="D181" s="323" t="s">
        <v>2753</v>
      </c>
      <c r="E181" s="259" t="s">
        <v>2147</v>
      </c>
      <c r="F181" s="20" t="s">
        <v>76</v>
      </c>
      <c r="G181" s="58">
        <v>100.0</v>
      </c>
      <c r="H181" s="246">
        <f>IF(OR(J181="",K181="",K181&lt;J181),0,NETWORKDAYS(J181,K181,fESTIVOS!$A$2:$A$53))</f>
        <v>10</v>
      </c>
      <c r="I181" s="334">
        <v>46135.0</v>
      </c>
      <c r="J181" s="335">
        <v>46135.0</v>
      </c>
      <c r="K181" s="335">
        <v>46149.0</v>
      </c>
      <c r="L181" s="335">
        <v>46149.0</v>
      </c>
      <c r="M181" s="39">
        <f>IF(OR(J181="",AND(L181="",TODAY()&lt;J181),AND(L181&lt;&gt;"",L181&lt;J181)),0,
   IF(L181="",
      NETWORKDAYS(J181,TODAY(),fESTIVOS!$A$2:$A$53),
      NETWORKDAYS(J181,L181,fESTIVOS!$A$2:$A$53)
   )
)
</f>
        <v>10</v>
      </c>
      <c r="N181" s="261"/>
      <c r="O181" s="261"/>
      <c r="P181" s="248"/>
      <c r="Q181" s="336" t="s">
        <v>2754</v>
      </c>
      <c r="R181" s="250" t="s">
        <v>78</v>
      </c>
      <c r="S181" s="49" t="s">
        <v>2165</v>
      </c>
    </row>
    <row r="182" ht="29.25" customHeight="1">
      <c r="A182" s="16" t="s">
        <v>2755</v>
      </c>
      <c r="B182" s="257" t="s">
        <v>2756</v>
      </c>
      <c r="C182" s="151" t="s">
        <v>2752</v>
      </c>
      <c r="D182" s="323" t="s">
        <v>2757</v>
      </c>
      <c r="E182" s="259" t="s">
        <v>2147</v>
      </c>
      <c r="F182" s="20" t="s">
        <v>76</v>
      </c>
      <c r="G182" s="58">
        <v>100.0</v>
      </c>
      <c r="H182" s="246">
        <f>IF(OR(J182="",K182="",K182&lt;J182),0,NETWORKDAYS(J182,K182,fESTIVOS!$A$2:$A$53))</f>
        <v>10</v>
      </c>
      <c r="I182" s="334">
        <v>46135.0</v>
      </c>
      <c r="J182" s="335">
        <v>46135.0</v>
      </c>
      <c r="K182" s="335">
        <v>46149.0</v>
      </c>
      <c r="L182" s="335">
        <v>46149.0</v>
      </c>
      <c r="M182" s="39">
        <f>IF(OR(J182="",AND(L182="",TODAY()&lt;J182),AND(L182&lt;&gt;"",L182&lt;J182)),0,
   IF(L182="",
      NETWORKDAYS(J182,TODAY(),fESTIVOS!$A$2:$A$53),
      NETWORKDAYS(J182,L182,fESTIVOS!$A$2:$A$53)
   )
)
</f>
        <v>10</v>
      </c>
      <c r="N182" s="261"/>
      <c r="O182" s="261"/>
      <c r="P182" s="248"/>
      <c r="Q182" s="336" t="s">
        <v>2758</v>
      </c>
      <c r="R182" s="250" t="s">
        <v>78</v>
      </c>
      <c r="S182" s="49" t="s">
        <v>2165</v>
      </c>
    </row>
    <row r="183" ht="29.25" customHeight="1">
      <c r="A183" s="315" t="s">
        <v>2126</v>
      </c>
      <c r="B183" s="300" t="s">
        <v>2759</v>
      </c>
      <c r="C183" s="316" t="s">
        <v>2760</v>
      </c>
      <c r="D183" s="351" t="s">
        <v>2761</v>
      </c>
      <c r="E183" s="286" t="s">
        <v>2210</v>
      </c>
      <c r="F183" s="339" t="s">
        <v>76</v>
      </c>
      <c r="G183" s="318">
        <v>100.0</v>
      </c>
      <c r="H183" s="352">
        <f>IF(OR(J183="",K183="",K183&lt;J183),0,NETWORKDAYS(J183,K183,fESTIVOS!$A$2:$A$53))</f>
        <v>7</v>
      </c>
      <c r="I183" s="334">
        <v>46149.0</v>
      </c>
      <c r="J183" s="335">
        <v>46149.0</v>
      </c>
      <c r="K183" s="335">
        <v>46157.0</v>
      </c>
      <c r="L183" s="335">
        <v>46157.0</v>
      </c>
      <c r="M183" s="353">
        <f>IF(OR(J183="",AND(L183="",TODAY()&lt;J183),AND(L183&lt;&gt;"",L183&lt;J183)),0,
   IF(L183="",
      NETWORKDAYS(J183,TODAY(),fESTIVOS!$A$2:$A$53),
      NETWORKDAYS(J183,L183,fESTIVOS!$A$2:$A$53)
   )
)
</f>
        <v>7</v>
      </c>
      <c r="N183" s="319"/>
      <c r="O183" s="319"/>
      <c r="P183" s="320"/>
      <c r="Q183" s="336" t="s">
        <v>2762</v>
      </c>
      <c r="R183" s="294" t="s">
        <v>78</v>
      </c>
      <c r="S183" s="295"/>
    </row>
    <row r="184" ht="29.25" customHeight="1">
      <c r="A184" s="324" t="s">
        <v>2126</v>
      </c>
      <c r="B184" s="300" t="s">
        <v>2763</v>
      </c>
      <c r="C184" s="326" t="s">
        <v>2764</v>
      </c>
      <c r="D184" s="326" t="s">
        <v>2765</v>
      </c>
      <c r="E184" s="325" t="s">
        <v>2129</v>
      </c>
      <c r="F184" s="310" t="s">
        <v>76</v>
      </c>
      <c r="G184" s="311">
        <v>100.0</v>
      </c>
      <c r="H184" s="347">
        <f>IF(OR(J184="",K184="",K184&lt;J184),0,NETWORKDAYS(J184,K184,fESTIVOS!$A$2:$A$53))</f>
        <v>7</v>
      </c>
      <c r="I184" s="334">
        <v>46149.0</v>
      </c>
      <c r="J184" s="335">
        <v>46149.0</v>
      </c>
      <c r="K184" s="335">
        <v>46157.0</v>
      </c>
      <c r="L184" s="335">
        <v>46157.0</v>
      </c>
      <c r="M184" s="348">
        <f>IF(OR(J184="",AND(L184="",TODAY()&lt;J184),AND(L184&lt;&gt;"",L184&lt;J184)),0,
   IF(L184="",
      NETWORKDAYS(J184,TODAY(),fESTIVOS!$A$2:$A$53),
      NETWORKDAYS(J184,L184,fESTIVOS!$A$2:$A$53)
   )
)
</f>
        <v>7</v>
      </c>
      <c r="N184" s="291"/>
      <c r="O184" s="291"/>
      <c r="P184" s="292"/>
      <c r="Q184" s="336" t="s">
        <v>2766</v>
      </c>
      <c r="R184" s="312" t="s">
        <v>78</v>
      </c>
      <c r="S184" s="329"/>
    </row>
    <row r="185" ht="29.25" customHeight="1">
      <c r="A185" s="350" t="s">
        <v>2126</v>
      </c>
      <c r="B185" s="325" t="s">
        <v>2767</v>
      </c>
      <c r="C185" s="326" t="s">
        <v>2768</v>
      </c>
      <c r="D185" s="333" t="s">
        <v>2769</v>
      </c>
      <c r="E185" s="327" t="s">
        <v>2193</v>
      </c>
      <c r="F185" s="313" t="s">
        <v>76</v>
      </c>
      <c r="G185" s="314">
        <v>100.0</v>
      </c>
      <c r="H185" s="347">
        <f>IF(OR(J185="",K185="",K185&lt;J185),0,NETWORKDAYS(J185,K185,fESTIVOS!$A$2:$A$53))</f>
        <v>7</v>
      </c>
      <c r="I185" s="334">
        <v>46149.0</v>
      </c>
      <c r="J185" s="335">
        <v>46149.0</v>
      </c>
      <c r="K185" s="335">
        <v>46158.0</v>
      </c>
      <c r="L185" s="335">
        <v>46158.0</v>
      </c>
      <c r="M185" s="348">
        <f>IF(OR(J185="",AND(L185="",TODAY()&lt;J185),AND(L185&lt;&gt;"",L185&lt;J185)),0,
   IF(L185="",
      NETWORKDAYS(J185,TODAY(),fESTIVOS!$A$2:$A$53),
      NETWORKDAYS(J185,L185,fESTIVOS!$A$2:$A$53)
   )
)
</f>
        <v>7</v>
      </c>
      <c r="N185" s="291"/>
      <c r="O185" s="291"/>
      <c r="P185" s="292"/>
      <c r="Q185" s="336" t="s">
        <v>2770</v>
      </c>
      <c r="R185" s="312" t="s">
        <v>78</v>
      </c>
      <c r="S185" s="329"/>
    </row>
    <row r="186" ht="29.25" customHeight="1">
      <c r="A186" s="324" t="s">
        <v>2126</v>
      </c>
      <c r="B186" s="300" t="s">
        <v>2771</v>
      </c>
      <c r="C186" s="326" t="s">
        <v>2772</v>
      </c>
      <c r="D186" s="326" t="s">
        <v>2773</v>
      </c>
      <c r="E186" s="325" t="s">
        <v>2129</v>
      </c>
      <c r="F186" s="310" t="s">
        <v>76</v>
      </c>
      <c r="G186" s="311">
        <v>100.0</v>
      </c>
      <c r="H186" s="347">
        <f>IF(OR(J186="",K186="",K186&lt;J186),0,NETWORKDAYS(J186,K186,fESTIVOS!$A$2:$A$53))</f>
        <v>14</v>
      </c>
      <c r="I186" s="334">
        <v>46158.0</v>
      </c>
      <c r="J186" s="335">
        <v>46158.0</v>
      </c>
      <c r="K186" s="335">
        <v>46179.0</v>
      </c>
      <c r="L186" s="335">
        <v>46179.0</v>
      </c>
      <c r="M186" s="348">
        <f>IF(OR(J186="",AND(L186="",TODAY()&lt;J186),AND(L186&lt;&gt;"",L186&lt;J186)),0,
   IF(L186="",
      NETWORKDAYS(J186,TODAY(),fESTIVOS!$A$2:$A$53),
      NETWORKDAYS(J186,L186,fESTIVOS!$A$2:$A$53)
   )
)
</f>
        <v>14</v>
      </c>
      <c r="N186" s="291"/>
      <c r="O186" s="291"/>
      <c r="P186" s="292"/>
      <c r="Q186" s="336" t="s">
        <v>2774</v>
      </c>
      <c r="R186" s="312" t="s">
        <v>78</v>
      </c>
      <c r="S186" s="329"/>
    </row>
    <row r="187" ht="29.25" customHeight="1">
      <c r="A187" s="315" t="s">
        <v>2126</v>
      </c>
      <c r="B187" s="300" t="s">
        <v>2775</v>
      </c>
      <c r="C187" s="316" t="s">
        <v>2776</v>
      </c>
      <c r="D187" s="351" t="s">
        <v>2777</v>
      </c>
      <c r="E187" s="286" t="s">
        <v>2210</v>
      </c>
      <c r="F187" s="339" t="s">
        <v>76</v>
      </c>
      <c r="G187" s="318">
        <v>100.0</v>
      </c>
      <c r="H187" s="352">
        <f>IF(OR(J187="",K187="",K187&lt;J187),0,NETWORKDAYS(J187,K187,fESTIVOS!$A$2:$A$53))</f>
        <v>2</v>
      </c>
      <c r="I187" s="334">
        <v>46160.0</v>
      </c>
      <c r="J187" s="335">
        <v>46160.0</v>
      </c>
      <c r="K187" s="335">
        <v>46162.0</v>
      </c>
      <c r="L187" s="335">
        <v>46162.0</v>
      </c>
      <c r="M187" s="353">
        <f>IF(OR(J187="",AND(L187="",TODAY()&lt;J187),AND(L187&lt;&gt;"",L187&lt;J187)),0,
   IF(L187="",
      NETWORKDAYS(J187,TODAY(),fESTIVOS!$A$2:$A$53),
      NETWORKDAYS(J187,L187,fESTIVOS!$A$2:$A$53)
   )
)
</f>
        <v>2</v>
      </c>
      <c r="N187" s="319"/>
      <c r="O187" s="319"/>
      <c r="P187" s="320"/>
      <c r="Q187" s="336" t="s">
        <v>2778</v>
      </c>
      <c r="R187" s="294" t="s">
        <v>78</v>
      </c>
      <c r="S187" s="295"/>
    </row>
    <row r="188" ht="29.25" customHeight="1">
      <c r="A188" s="315" t="s">
        <v>2126</v>
      </c>
      <c r="B188" s="300" t="s">
        <v>2779</v>
      </c>
      <c r="C188" s="316" t="s">
        <v>2780</v>
      </c>
      <c r="D188" s="332" t="s">
        <v>2781</v>
      </c>
      <c r="E188" s="286" t="s">
        <v>2210</v>
      </c>
      <c r="F188" s="330" t="s">
        <v>76</v>
      </c>
      <c r="G188" s="331">
        <v>100.0</v>
      </c>
      <c r="H188" s="352">
        <f>IF(OR(J188="",K188="",K188&lt;J188),0,NETWORKDAYS(J188,K188,fESTIVOS!$A$2:$A$53))</f>
        <v>4</v>
      </c>
      <c r="I188" s="322">
        <v>46161.0</v>
      </c>
      <c r="J188" s="297">
        <v>46161.0</v>
      </c>
      <c r="K188" s="297">
        <v>46164.0</v>
      </c>
      <c r="L188" s="297">
        <v>46164.0</v>
      </c>
      <c r="M188" s="353">
        <f>IF(OR(J188="",AND(L188="",TODAY()&lt;J188),AND(L188&lt;&gt;"",L188&lt;J188)),0,
   IF(L188="",
      NETWORKDAYS(J188,TODAY(),fESTIVOS!$A$2:$A$53),
      NETWORKDAYS(J188,L188,fESTIVOS!$A$2:$A$53)
   )
)
</f>
        <v>4</v>
      </c>
      <c r="N188" s="319"/>
      <c r="O188" s="319"/>
      <c r="P188" s="320"/>
      <c r="Q188" s="298" t="s">
        <v>2782</v>
      </c>
      <c r="R188" s="294" t="s">
        <v>78</v>
      </c>
      <c r="S188" s="295"/>
    </row>
    <row r="189" ht="29.25" customHeight="1">
      <c r="A189" s="315" t="s">
        <v>2126</v>
      </c>
      <c r="B189" s="300" t="s">
        <v>2783</v>
      </c>
      <c r="C189" s="316" t="s">
        <v>2780</v>
      </c>
      <c r="D189" s="332" t="s">
        <v>2784</v>
      </c>
      <c r="E189" s="286" t="s">
        <v>2210</v>
      </c>
      <c r="F189" s="330" t="s">
        <v>76</v>
      </c>
      <c r="G189" s="331">
        <v>100.0</v>
      </c>
      <c r="H189" s="352">
        <f>IF(OR(J189="",K189="",K189&lt;J189),0,NETWORKDAYS(J189,K189,fESTIVOS!$A$2:$A$53))</f>
        <v>1</v>
      </c>
      <c r="I189" s="322">
        <v>46164.0</v>
      </c>
      <c r="J189" s="297">
        <v>46164.0</v>
      </c>
      <c r="K189" s="297">
        <v>46164.0</v>
      </c>
      <c r="L189" s="297">
        <v>46164.0</v>
      </c>
      <c r="M189" s="353">
        <f>IF(OR(J189="",AND(L189="",TODAY()&lt;J189),AND(L189&lt;&gt;"",L189&lt;J189)),0,
   IF(L189="",
      NETWORKDAYS(J189,TODAY(),fESTIVOS!$A$2:$A$53),
      NETWORKDAYS(J189,L189,fESTIVOS!$A$2:$A$53)
   )
)
</f>
        <v>1</v>
      </c>
      <c r="N189" s="319"/>
      <c r="O189" s="319"/>
      <c r="P189" s="320"/>
      <c r="Q189" s="298" t="s">
        <v>2785</v>
      </c>
      <c r="R189" s="294" t="s">
        <v>78</v>
      </c>
      <c r="S189" s="295"/>
    </row>
    <row r="190" ht="29.25" customHeight="1">
      <c r="A190" s="350" t="s">
        <v>2126</v>
      </c>
      <c r="B190" s="325" t="s">
        <v>2786</v>
      </c>
      <c r="C190" s="326" t="s">
        <v>2787</v>
      </c>
      <c r="D190" s="333" t="s">
        <v>2788</v>
      </c>
      <c r="E190" s="327" t="s">
        <v>2193</v>
      </c>
      <c r="F190" s="310" t="s">
        <v>216</v>
      </c>
      <c r="G190" s="311">
        <v>55.0</v>
      </c>
      <c r="H190" s="347">
        <f>IF(OR(J190="",K190="",K190&lt;J190),0,NETWORKDAYS(J190,K190,fESTIVOS!$A$2:$A$53))</f>
        <v>0</v>
      </c>
      <c r="I190" s="334">
        <v>46162.0</v>
      </c>
      <c r="J190" s="335">
        <v>46162.0</v>
      </c>
      <c r="K190" s="335"/>
      <c r="L190" s="335"/>
      <c r="M190" s="348">
        <f>IF(OR(J190="",AND(L190="",TODAY()&lt;J190),AND(L190&lt;&gt;"",L190&lt;J190)),0,
   IF(L190="",
      NETWORKDAYS(J190,TODAY(),fESTIVOS!$A$2:$A$53),
      NETWORKDAYS(J190,L190,fESTIVOS!$A$2:$A$53)
   )
)
</f>
        <v>18</v>
      </c>
      <c r="N190" s="291"/>
      <c r="O190" s="291"/>
      <c r="P190" s="292"/>
      <c r="Q190" s="336" t="s">
        <v>2789</v>
      </c>
      <c r="R190" s="312" t="s">
        <v>78</v>
      </c>
      <c r="S190" s="329"/>
    </row>
    <row r="191" ht="29.25" customHeight="1">
      <c r="A191" s="324" t="s">
        <v>2126</v>
      </c>
      <c r="B191" s="300" t="s">
        <v>2790</v>
      </c>
      <c r="C191" s="326" t="s">
        <v>2791</v>
      </c>
      <c r="D191" s="326" t="s">
        <v>2792</v>
      </c>
      <c r="E191" s="325" t="s">
        <v>2129</v>
      </c>
      <c r="F191" s="310" t="s">
        <v>76</v>
      </c>
      <c r="G191" s="311">
        <v>100.0</v>
      </c>
      <c r="H191" s="347">
        <f>IF(OR(J191="",K191="",K191&lt;J191),0,NETWORKDAYS(J191,K191,fESTIVOS!$A$2:$A$53))</f>
        <v>7</v>
      </c>
      <c r="I191" s="334">
        <v>46170.0</v>
      </c>
      <c r="J191" s="335">
        <v>46170.0</v>
      </c>
      <c r="K191" s="335">
        <v>46179.0</v>
      </c>
      <c r="L191" s="335">
        <v>46179.0</v>
      </c>
      <c r="M191" s="348">
        <f>IF(OR(J191="",AND(L191="",TODAY()&lt;J191),AND(L191&lt;&gt;"",L191&lt;J191)),0,
   IF(L191="",
      NETWORKDAYS(J191,TODAY(),fESTIVOS!$A$2:$A$53),
      NETWORKDAYS(J191,L191,fESTIVOS!$A$2:$A$53)
   )
)
</f>
        <v>7</v>
      </c>
      <c r="N191" s="291"/>
      <c r="O191" s="291"/>
      <c r="P191" s="292"/>
      <c r="Q191" s="336" t="s">
        <v>2793</v>
      </c>
      <c r="R191" s="312" t="s">
        <v>78</v>
      </c>
      <c r="S191" s="329"/>
    </row>
    <row r="192" ht="29.25" customHeight="1">
      <c r="A192" s="324" t="s">
        <v>2126</v>
      </c>
      <c r="B192" s="300" t="s">
        <v>2794</v>
      </c>
      <c r="C192" s="326" t="s">
        <v>2795</v>
      </c>
      <c r="D192" s="326" t="s">
        <v>2796</v>
      </c>
      <c r="E192" s="325" t="s">
        <v>2129</v>
      </c>
      <c r="F192" s="310" t="s">
        <v>76</v>
      </c>
      <c r="G192" s="311">
        <v>100.0</v>
      </c>
      <c r="H192" s="347">
        <f>IF(OR(J192="",K192="",K192&lt;J192),0,NETWORKDAYS(J192,K192,fESTIVOS!$A$2:$A$53))</f>
        <v>0</v>
      </c>
      <c r="I192" s="334">
        <v>46179.0</v>
      </c>
      <c r="J192" s="335">
        <v>46179.0</v>
      </c>
      <c r="K192" s="335">
        <v>46179.0</v>
      </c>
      <c r="L192" s="335">
        <v>46179.0</v>
      </c>
      <c r="M192" s="348">
        <f>IF(OR(J192="",AND(L192="",TODAY()&lt;J192),AND(L192&lt;&gt;"",L192&lt;J192)),0,
   IF(L192="",
      NETWORKDAYS(J192,TODAY(),fESTIVOS!$A$2:$A$53),
      NETWORKDAYS(J192,L192,fESTIVOS!$A$2:$A$53)
   )
)
</f>
        <v>0</v>
      </c>
      <c r="N192" s="291"/>
      <c r="O192" s="291"/>
      <c r="P192" s="292"/>
      <c r="Q192" s="336" t="s">
        <v>2797</v>
      </c>
      <c r="R192" s="312" t="s">
        <v>78</v>
      </c>
      <c r="S192" s="329"/>
    </row>
    <row r="193" ht="29.25" customHeight="1">
      <c r="A193" s="350" t="s">
        <v>2126</v>
      </c>
      <c r="B193" s="325" t="s">
        <v>2798</v>
      </c>
      <c r="C193" s="326" t="s">
        <v>2498</v>
      </c>
      <c r="D193" s="333" t="s">
        <v>2799</v>
      </c>
      <c r="E193" s="327" t="s">
        <v>2193</v>
      </c>
      <c r="F193" s="310" t="s">
        <v>76</v>
      </c>
      <c r="G193" s="311">
        <v>100.0</v>
      </c>
      <c r="H193" s="347">
        <f>IF(OR(J193="",K193="",K193&lt;J193),0,NETWORKDAYS(J193,K193,fESTIVOS!$A$2:$A$53))</f>
        <v>7</v>
      </c>
      <c r="I193" s="334">
        <v>46170.0</v>
      </c>
      <c r="J193" s="335">
        <v>46170.0</v>
      </c>
      <c r="K193" s="335">
        <v>46178.0</v>
      </c>
      <c r="L193" s="335">
        <v>46178.0</v>
      </c>
      <c r="M193" s="348">
        <f>IF(OR(J193="",AND(L193="",TODAY()&lt;J193),AND(L193&lt;&gt;"",L193&lt;J193)),0,
   IF(L193="",
      NETWORKDAYS(J193,TODAY(),fESTIVOS!$A$2:$A$53),
      NETWORKDAYS(J193,L193,fESTIVOS!$A$2:$A$53)
   )
)
</f>
        <v>7</v>
      </c>
      <c r="N193" s="291"/>
      <c r="O193" s="291"/>
      <c r="P193" s="292"/>
      <c r="Q193" s="336" t="s">
        <v>2800</v>
      </c>
      <c r="R193" s="312" t="s">
        <v>78</v>
      </c>
      <c r="S193" s="329"/>
    </row>
    <row r="194" ht="29.25" customHeight="1">
      <c r="A194" s="315" t="s">
        <v>2126</v>
      </c>
      <c r="B194" s="300" t="s">
        <v>2801</v>
      </c>
      <c r="C194" s="316" t="s">
        <v>2802</v>
      </c>
      <c r="D194" s="332" t="s">
        <v>2803</v>
      </c>
      <c r="E194" s="286" t="s">
        <v>2210</v>
      </c>
      <c r="F194" s="330" t="s">
        <v>76</v>
      </c>
      <c r="G194" s="331">
        <v>100.0</v>
      </c>
      <c r="H194" s="352">
        <f>IF(OR(J194="",K194="",K194&lt;J194),0,NETWORKDAYS(J194,K194,fESTIVOS!$A$2:$A$53))</f>
        <v>4</v>
      </c>
      <c r="I194" s="322">
        <v>46174.0</v>
      </c>
      <c r="J194" s="297">
        <v>46174.0</v>
      </c>
      <c r="K194" s="297">
        <v>46177.0</v>
      </c>
      <c r="L194" s="297">
        <v>46177.0</v>
      </c>
      <c r="M194" s="353">
        <f>IF(OR(J194="",AND(L194="",TODAY()&lt;J194),AND(L194&lt;&gt;"",L194&lt;J194)),0,
   IF(L194="",
      NETWORKDAYS(J194,TODAY(),fESTIVOS!$A$2:$A$53),
      NETWORKDAYS(J194,L194,fESTIVOS!$A$2:$A$53)
   )
)
</f>
        <v>4</v>
      </c>
      <c r="N194" s="319"/>
      <c r="O194" s="319"/>
      <c r="P194" s="320"/>
      <c r="Q194" s="298" t="s">
        <v>2804</v>
      </c>
      <c r="R194" s="294" t="s">
        <v>78</v>
      </c>
      <c r="S194" s="295"/>
    </row>
    <row r="195" ht="29.25" customHeight="1">
      <c r="A195" s="350" t="s">
        <v>2126</v>
      </c>
      <c r="B195" s="325" t="s">
        <v>2805</v>
      </c>
      <c r="C195" s="326" t="s">
        <v>2806</v>
      </c>
      <c r="D195" s="333" t="s">
        <v>2807</v>
      </c>
      <c r="E195" s="327" t="s">
        <v>2193</v>
      </c>
      <c r="F195" s="310" t="s">
        <v>76</v>
      </c>
      <c r="G195" s="311">
        <v>100.0</v>
      </c>
      <c r="H195" s="347">
        <f>IF(OR(J195="",K195="",K195&lt;J195),0,NETWORKDAYS(J195,K195,fESTIVOS!$A$2:$A$53))</f>
        <v>5</v>
      </c>
      <c r="I195" s="334">
        <v>46174.0</v>
      </c>
      <c r="J195" s="335">
        <v>46174.0</v>
      </c>
      <c r="K195" s="335">
        <v>46178.0</v>
      </c>
      <c r="L195" s="335">
        <v>46178.0</v>
      </c>
      <c r="M195" s="348">
        <f>IF(OR(J195="",AND(L195="",TODAY()&lt;J195),AND(L195&lt;&gt;"",L195&lt;J195)),0,
   IF(L195="",
      NETWORKDAYS(J195,TODAY(),fESTIVOS!$A$2:$A$53),
      NETWORKDAYS(J195,L195,fESTIVOS!$A$2:$A$53)
   )
)
</f>
        <v>5</v>
      </c>
      <c r="N195" s="291"/>
      <c r="O195" s="291"/>
      <c r="P195" s="292"/>
      <c r="Q195" s="336" t="s">
        <v>2808</v>
      </c>
      <c r="R195" s="312" t="s">
        <v>78</v>
      </c>
      <c r="S195" s="329"/>
    </row>
    <row r="196" ht="29.25" customHeight="1">
      <c r="A196" s="350" t="s">
        <v>2126</v>
      </c>
      <c r="B196" s="325" t="s">
        <v>2809</v>
      </c>
      <c r="C196" s="326" t="s">
        <v>2806</v>
      </c>
      <c r="D196" s="333" t="s">
        <v>2810</v>
      </c>
      <c r="E196" s="327" t="s">
        <v>2193</v>
      </c>
      <c r="F196" s="310" t="s">
        <v>76</v>
      </c>
      <c r="G196" s="311">
        <v>100.0</v>
      </c>
      <c r="H196" s="347">
        <f>IF(OR(J196="",K196="",K196&lt;J196),0,NETWORKDAYS(J196,K196,fESTIVOS!$A$2:$A$53))</f>
        <v>1</v>
      </c>
      <c r="I196" s="334">
        <v>46178.0</v>
      </c>
      <c r="J196" s="335">
        <v>46178.0</v>
      </c>
      <c r="K196" s="335">
        <v>46178.0</v>
      </c>
      <c r="L196" s="335">
        <v>46178.0</v>
      </c>
      <c r="M196" s="348">
        <f>IF(OR(J196="",AND(L196="",TODAY()&lt;J196),AND(L196&lt;&gt;"",L196&lt;J196)),0,
   IF(L196="",
      NETWORKDAYS(J196,TODAY(),fESTIVOS!$A$2:$A$53),
      NETWORKDAYS(J196,L196,fESTIVOS!$A$2:$A$53)
   )
)
</f>
        <v>1</v>
      </c>
      <c r="N196" s="291"/>
      <c r="O196" s="291"/>
      <c r="P196" s="292"/>
      <c r="Q196" s="336" t="s">
        <v>2811</v>
      </c>
      <c r="R196" s="312" t="s">
        <v>78</v>
      </c>
      <c r="S196" s="329"/>
    </row>
    <row r="197" ht="29.25" customHeight="1">
      <c r="A197" s="354"/>
      <c r="B197" s="355"/>
      <c r="C197" s="356"/>
      <c r="D197" s="357"/>
      <c r="E197" s="358"/>
      <c r="F197" s="359"/>
      <c r="G197" s="360"/>
      <c r="H197" s="352">
        <f>IF(OR(J197="",K197="",K197&lt;J197),0,NETWORKDAYS(J197,K197,fESTIVOS!$A$2:$A$53))</f>
        <v>0</v>
      </c>
      <c r="I197" s="361"/>
      <c r="J197" s="362"/>
      <c r="K197" s="362"/>
      <c r="L197" s="362"/>
      <c r="M197" s="353">
        <f>IF(OR(J197="",AND(L197="",TODAY()&lt;J197),AND(L197&lt;&gt;"",L197&lt;J197)),0,
   IF(L197="",
      NETWORKDAYS(J197,TODAY(),fESTIVOS!$A$2:$A$53),
      NETWORKDAYS(J197,L197,fESTIVOS!$A$2:$A$53)
   )
)
</f>
        <v>0</v>
      </c>
      <c r="N197" s="363"/>
      <c r="O197" s="363"/>
      <c r="P197" s="364"/>
      <c r="Q197" s="365"/>
      <c r="R197" s="366"/>
      <c r="S197" s="367"/>
    </row>
    <row r="198" ht="29.25" customHeight="1">
      <c r="A198" s="368"/>
      <c r="B198" s="355"/>
      <c r="C198" s="369"/>
      <c r="D198" s="370"/>
      <c r="E198" s="371"/>
      <c r="F198" s="372"/>
      <c r="G198" s="373"/>
      <c r="H198" s="246">
        <f>IF(OR(J198="",K198="",K198&lt;J198),0,NETWORKDAYS(J198,K198,fESTIVOS!$A$2:$A$53))</f>
        <v>0</v>
      </c>
      <c r="I198" s="361"/>
      <c r="J198" s="362"/>
      <c r="K198" s="362"/>
      <c r="L198" s="362"/>
      <c r="M198" s="39">
        <f>IF(OR(J198="",AND(L198="",TODAY()&lt;J198),AND(L198&lt;&gt;"",L198&lt;J198)),0,
   IF(L198="",
      NETWORKDAYS(J198,TODAY(),fESTIVOS!$A$2:$A$53),
      NETWORKDAYS(J198,L198,fESTIVOS!$A$2:$A$53)
   )
)
</f>
        <v>0</v>
      </c>
      <c r="N198" s="374"/>
      <c r="O198" s="374"/>
      <c r="P198" s="375"/>
      <c r="Q198" s="376"/>
      <c r="R198" s="377"/>
      <c r="S198" s="378"/>
    </row>
    <row r="199" ht="29.25" customHeight="1">
      <c r="A199" s="379"/>
      <c r="B199" s="380"/>
      <c r="C199" s="381"/>
      <c r="D199" s="382"/>
      <c r="E199" s="383"/>
      <c r="F199" s="384"/>
      <c r="G199" s="385"/>
      <c r="H199" s="246">
        <f>IF(OR(J199="",K199="",K199&lt;J199),0,NETWORKDAYS(J199,K199,fESTIVOS!$A$2:$A$53))</f>
        <v>0</v>
      </c>
      <c r="I199" s="386"/>
      <c r="J199" s="201"/>
      <c r="K199" s="201"/>
      <c r="L199" s="201"/>
      <c r="M199" s="39">
        <f>IF(OR(J199="",AND(L199="",TODAY()&lt;J199),AND(L199&lt;&gt;"",L199&lt;J199)),0,
   IF(L199="",
      NETWORKDAYS(J199,TODAY(),fESTIVOS!$A$2:$A$53),
      NETWORKDAYS(J199,L199,fESTIVOS!$A$2:$A$53)
   )
)
</f>
        <v>0</v>
      </c>
      <c r="N199" s="386"/>
      <c r="O199" s="386"/>
      <c r="P199" s="183"/>
      <c r="Q199" s="387"/>
      <c r="R199" s="388"/>
      <c r="S199" s="104"/>
    </row>
    <row r="200" ht="29.25" customHeight="1">
      <c r="A200" s="379"/>
      <c r="B200" s="380"/>
      <c r="C200" s="381"/>
      <c r="D200" s="382"/>
      <c r="E200" s="383"/>
      <c r="F200" s="384"/>
      <c r="G200" s="385"/>
      <c r="H200" s="246">
        <f>IF(OR(J200="",K200="",K200&lt;J200),0,NETWORKDAYS(J200,K200,fESTIVOS!$A$2:$A$53))</f>
        <v>0</v>
      </c>
      <c r="I200" s="386"/>
      <c r="J200" s="201"/>
      <c r="K200" s="201"/>
      <c r="L200" s="201"/>
      <c r="M200" s="39">
        <f>IF(OR(J200="",AND(L200="",TODAY()&lt;J200),AND(L200&lt;&gt;"",L200&lt;J200)),0,
   IF(L200="",
      NETWORKDAYS(J200,TODAY(),fESTIVOS!$A$2:$A$53),
      NETWORKDAYS(J200,L200,fESTIVOS!$A$2:$A$53)
   )
)
</f>
        <v>0</v>
      </c>
      <c r="N200" s="386"/>
      <c r="O200" s="386"/>
      <c r="P200" s="183"/>
      <c r="Q200" s="104"/>
      <c r="R200" s="388"/>
      <c r="S200" s="104"/>
    </row>
    <row r="201" ht="29.25" customHeight="1">
      <c r="A201" s="379"/>
      <c r="B201" s="380"/>
      <c r="C201" s="381"/>
      <c r="D201" s="382"/>
      <c r="E201" s="383"/>
      <c r="F201" s="384"/>
      <c r="G201" s="385"/>
      <c r="H201" s="246">
        <f>IF(OR(J201="",K201="",K201&lt;J201),0,NETWORKDAYS(J201,K201,fESTIVOS!$A$2:$A$53))</f>
        <v>0</v>
      </c>
      <c r="I201" s="386"/>
      <c r="J201" s="201"/>
      <c r="K201" s="201"/>
      <c r="L201" s="201"/>
      <c r="M201" s="39">
        <f>IF(OR(J201="",AND(L201="",TODAY()&lt;J201),AND(L201&lt;&gt;"",L201&lt;J201)),0,
   IF(L201="",
      NETWORKDAYS(J201,TODAY(),fESTIVOS!$A$2:$A$53),
      NETWORKDAYS(J201,L201,fESTIVOS!$A$2:$A$53)
   )
)
</f>
        <v>0</v>
      </c>
      <c r="N201" s="386"/>
      <c r="O201" s="386"/>
      <c r="P201" s="183"/>
      <c r="Q201" s="104"/>
      <c r="R201" s="388"/>
      <c r="S201" s="104"/>
    </row>
    <row r="202" ht="29.25" customHeight="1">
      <c r="A202" s="379"/>
      <c r="B202" s="380"/>
      <c r="C202" s="381"/>
      <c r="D202" s="382"/>
      <c r="E202" s="383"/>
      <c r="F202" s="384"/>
      <c r="G202" s="385"/>
      <c r="H202" s="246">
        <f>IF(OR(J202="",K202="",K202&lt;J202),0,NETWORKDAYS(J202,K202,fESTIVOS!$A$2:$A$53))</f>
        <v>0</v>
      </c>
      <c r="I202" s="386"/>
      <c r="J202" s="201"/>
      <c r="K202" s="201"/>
      <c r="L202" s="201"/>
      <c r="M202" s="39">
        <f>IF(OR(J202="",AND(L202="",TODAY()&lt;J202),AND(L202&lt;&gt;"",L202&lt;J202)),0,
   IF(L202="",
      NETWORKDAYS(J202,TODAY(),fESTIVOS!$A$2:$A$53),
      NETWORKDAYS(J202,L202,fESTIVOS!$A$2:$A$53)
   )
)
</f>
        <v>0</v>
      </c>
      <c r="N202" s="386"/>
      <c r="O202" s="386"/>
      <c r="P202" s="183"/>
      <c r="Q202" s="104"/>
      <c r="R202" s="388"/>
      <c r="S202" s="104"/>
    </row>
    <row r="203" ht="29.25" customHeight="1">
      <c r="A203" s="379"/>
      <c r="B203" s="380"/>
      <c r="C203" s="381"/>
      <c r="D203" s="382"/>
      <c r="E203" s="383"/>
      <c r="F203" s="384"/>
      <c r="G203" s="385"/>
      <c r="H203" s="246">
        <f>IF(OR(J203="",K203="",K203&lt;J203),0,NETWORKDAYS(J203,K203,fESTIVOS!$A$2:$A$53))</f>
        <v>0</v>
      </c>
      <c r="I203" s="386"/>
      <c r="J203" s="201"/>
      <c r="K203" s="201"/>
      <c r="L203" s="201"/>
      <c r="M203" s="39">
        <f>IF(OR(J203="",AND(L203="",TODAY()&lt;J203),AND(L203&lt;&gt;"",L203&lt;J203)),0,
   IF(L203="",
      NETWORKDAYS(J203,TODAY(),fESTIVOS!$A$2:$A$53),
      NETWORKDAYS(J203,L203,fESTIVOS!$A$2:$A$53)
   )
)
</f>
        <v>0</v>
      </c>
      <c r="N203" s="386"/>
      <c r="O203" s="386"/>
      <c r="P203" s="183"/>
      <c r="Q203" s="104"/>
      <c r="R203" s="388"/>
      <c r="S203" s="104"/>
    </row>
    <row r="204" ht="29.25" customHeight="1">
      <c r="A204" s="379"/>
      <c r="B204" s="380"/>
      <c r="C204" s="381"/>
      <c r="D204" s="382"/>
      <c r="E204" s="383"/>
      <c r="F204" s="384"/>
      <c r="G204" s="385"/>
      <c r="H204" s="246">
        <f>IF(OR(J204="",K204="",K204&lt;J204),0,NETWORKDAYS(J204,K204,fESTIVOS!$A$2:$A$53))</f>
        <v>0</v>
      </c>
      <c r="I204" s="386"/>
      <c r="J204" s="201"/>
      <c r="K204" s="201"/>
      <c r="L204" s="201"/>
      <c r="M204" s="39">
        <f>IF(OR(J204="",AND(L204="",TODAY()&lt;J204),AND(L204&lt;&gt;"",L204&lt;J204)),0,
   IF(L204="",
      NETWORKDAYS(J204,TODAY(),fESTIVOS!$A$2:$A$53),
      NETWORKDAYS(J204,L204,fESTIVOS!$A$2:$A$53)
   )
)
</f>
        <v>0</v>
      </c>
      <c r="N204" s="386"/>
      <c r="O204" s="386"/>
      <c r="P204" s="183"/>
      <c r="Q204" s="104"/>
      <c r="R204" s="388"/>
      <c r="S204" s="104"/>
    </row>
    <row r="205" ht="29.25" customHeight="1">
      <c r="A205" s="379"/>
      <c r="B205" s="380"/>
      <c r="C205" s="381"/>
      <c r="D205" s="382"/>
      <c r="E205" s="383"/>
      <c r="F205" s="384"/>
      <c r="G205" s="385"/>
      <c r="H205" s="246">
        <f>IF(OR(J205="",K205="",K205&lt;J205),0,NETWORKDAYS(J205,K205,fESTIVOS!$A$2:$A$53))</f>
        <v>0</v>
      </c>
      <c r="I205" s="386"/>
      <c r="J205" s="201"/>
      <c r="K205" s="201"/>
      <c r="L205" s="201"/>
      <c r="M205" s="39">
        <f>IF(OR(J205="",AND(L205="",TODAY()&lt;J205),AND(L205&lt;&gt;"",L205&lt;J205)),0,
   IF(L205="",
      NETWORKDAYS(J205,TODAY(),fESTIVOS!$A$2:$A$53),
      NETWORKDAYS(J205,L205,fESTIVOS!$A$2:$A$53)
   )
)
</f>
        <v>0</v>
      </c>
      <c r="N205" s="386"/>
      <c r="O205" s="386"/>
      <c r="P205" s="183"/>
      <c r="Q205" s="104"/>
      <c r="R205" s="388"/>
      <c r="S205" s="104"/>
    </row>
    <row r="206" ht="29.25" customHeight="1">
      <c r="A206" s="379"/>
      <c r="B206" s="380"/>
      <c r="C206" s="381"/>
      <c r="D206" s="382"/>
      <c r="E206" s="383"/>
      <c r="F206" s="384"/>
      <c r="G206" s="385"/>
      <c r="H206" s="246">
        <f>IF(OR(J206="",K206="",K206&lt;J206),0,NETWORKDAYS(J206,K206,fESTIVOS!$A$2:$A$53))</f>
        <v>0</v>
      </c>
      <c r="I206" s="386"/>
      <c r="J206" s="201"/>
      <c r="K206" s="201"/>
      <c r="L206" s="201"/>
      <c r="M206" s="39">
        <f>IF(OR(J206="",AND(L206="",TODAY()&lt;J206),AND(L206&lt;&gt;"",L206&lt;J206)),0,
   IF(L206="",
      NETWORKDAYS(J206,TODAY(),fESTIVOS!$A$2:$A$53),
      NETWORKDAYS(J206,L206,fESTIVOS!$A$2:$A$53)
   )
)
</f>
        <v>0</v>
      </c>
      <c r="N206" s="386"/>
      <c r="O206" s="386"/>
      <c r="P206" s="183"/>
      <c r="Q206" s="104"/>
      <c r="R206" s="388"/>
      <c r="S206" s="104"/>
    </row>
    <row r="207" ht="29.25" customHeight="1">
      <c r="A207" s="379"/>
      <c r="B207" s="380"/>
      <c r="C207" s="381"/>
      <c r="D207" s="382"/>
      <c r="E207" s="383"/>
      <c r="F207" s="384"/>
      <c r="G207" s="385"/>
      <c r="H207" s="246">
        <f>IF(OR(J207="",K207="",K207&lt;J207),0,NETWORKDAYS(J207,K207,fESTIVOS!$A$2:$A$53))</f>
        <v>0</v>
      </c>
      <c r="I207" s="386"/>
      <c r="J207" s="201"/>
      <c r="K207" s="201"/>
      <c r="L207" s="201"/>
      <c r="M207" s="39">
        <f>IF(OR(J207="",AND(L207="",TODAY()&lt;J207),AND(L207&lt;&gt;"",L207&lt;J207)),0,
   IF(L207="",
      NETWORKDAYS(J207,TODAY(),fESTIVOS!$A$2:$A$53),
      NETWORKDAYS(J207,L207,fESTIVOS!$A$2:$A$53)
   )
)
</f>
        <v>0</v>
      </c>
      <c r="N207" s="386"/>
      <c r="O207" s="386"/>
      <c r="P207" s="183"/>
      <c r="Q207" s="104"/>
      <c r="R207" s="388"/>
      <c r="S207" s="104"/>
    </row>
    <row r="208" ht="29.25" customHeight="1">
      <c r="A208" s="379"/>
      <c r="B208" s="380"/>
      <c r="C208" s="381"/>
      <c r="D208" s="382"/>
      <c r="E208" s="383"/>
      <c r="F208" s="384"/>
      <c r="G208" s="385"/>
      <c r="H208" s="246">
        <f>IF(OR(J208="",K208="",K208&lt;J208),0,NETWORKDAYS(J208,K208,fESTIVOS!$A$2:$A$53))</f>
        <v>0</v>
      </c>
      <c r="I208" s="386"/>
      <c r="J208" s="201"/>
      <c r="K208" s="201"/>
      <c r="L208" s="201"/>
      <c r="M208" s="39">
        <f>IF(OR(J208="",AND(L208="",TODAY()&lt;J208),AND(L208&lt;&gt;"",L208&lt;J208)),0,
   IF(L208="",
      NETWORKDAYS(J208,TODAY(),fESTIVOS!$A$2:$A$53),
      NETWORKDAYS(J208,L208,fESTIVOS!$A$2:$A$53)
   )
)
</f>
        <v>0</v>
      </c>
      <c r="N208" s="386"/>
      <c r="O208" s="386"/>
      <c r="P208" s="183"/>
      <c r="Q208" s="104"/>
      <c r="R208" s="388"/>
      <c r="S208" s="104"/>
    </row>
    <row r="209" ht="29.25" customHeight="1">
      <c r="A209" s="379"/>
      <c r="B209" s="380"/>
      <c r="C209" s="381"/>
      <c r="D209" s="382"/>
      <c r="E209" s="383"/>
      <c r="F209" s="384"/>
      <c r="G209" s="385"/>
      <c r="H209" s="246">
        <f>IF(OR(J209="",K209="",K209&lt;J209),0,NETWORKDAYS(J209,K209,fESTIVOS!$A$2:$A$53))</f>
        <v>0</v>
      </c>
      <c r="I209" s="386"/>
      <c r="J209" s="201"/>
      <c r="K209" s="201"/>
      <c r="L209" s="201"/>
      <c r="M209" s="39">
        <f>IF(OR(J209="",AND(L209="",TODAY()&lt;J209),AND(L209&lt;&gt;"",L209&lt;J209)),0,
   IF(L209="",
      NETWORKDAYS(J209,TODAY(),fESTIVOS!$A$2:$A$53),
      NETWORKDAYS(J209,L209,fESTIVOS!$A$2:$A$53)
   )
)
</f>
        <v>0</v>
      </c>
      <c r="N209" s="386"/>
      <c r="O209" s="386"/>
      <c r="P209" s="183"/>
      <c r="Q209" s="104"/>
      <c r="R209" s="388"/>
      <c r="S209" s="104"/>
    </row>
    <row r="210" ht="29.25" customHeight="1">
      <c r="A210" s="379"/>
      <c r="B210" s="380"/>
      <c r="C210" s="381"/>
      <c r="D210" s="382"/>
      <c r="E210" s="383"/>
      <c r="F210" s="384"/>
      <c r="G210" s="385"/>
      <c r="H210" s="246">
        <f>IF(OR(J210="",K210="",K210&lt;J210),0,NETWORKDAYS(J210,K210,fESTIVOS!$A$2:$A$53))</f>
        <v>0</v>
      </c>
      <c r="I210" s="386"/>
      <c r="J210" s="201"/>
      <c r="K210" s="201"/>
      <c r="L210" s="201"/>
      <c r="M210" s="39">
        <f>IF(OR(J210="",AND(L210="",TODAY()&lt;J210),AND(L210&lt;&gt;"",L210&lt;J210)),0,
   IF(L210="",
      NETWORKDAYS(J210,TODAY(),fESTIVOS!$A$2:$A$53),
      NETWORKDAYS(J210,L210,fESTIVOS!$A$2:$A$53)
   )
)
</f>
        <v>0</v>
      </c>
      <c r="N210" s="386"/>
      <c r="O210" s="386"/>
      <c r="P210" s="183"/>
      <c r="Q210" s="104"/>
      <c r="R210" s="388"/>
      <c r="S210" s="104"/>
    </row>
    <row r="211" ht="29.25" customHeight="1">
      <c r="A211" s="230"/>
      <c r="B211" s="389"/>
      <c r="C211" s="390"/>
      <c r="D211" s="391"/>
      <c r="E211" s="383"/>
      <c r="F211" s="162"/>
      <c r="G211" s="232"/>
      <c r="H211" s="246">
        <f>IF(OR(J211="",K211="",K211&lt;J211),0,NETWORKDAYS(J211,K211,fESTIVOS!$A$2:$A$53))</f>
        <v>0</v>
      </c>
      <c r="I211" s="181"/>
      <c r="J211" s="182"/>
      <c r="K211" s="182"/>
      <c r="L211" s="182"/>
      <c r="M211" s="39">
        <f>IF(OR(J211="",AND(L211="",TODAY()&lt;J211),AND(L211&lt;&gt;"",L211&lt;J211)),0,
   IF(L211="",
      NETWORKDAYS(J211,TODAY(),fESTIVOS!$A$2:$A$53),
      NETWORKDAYS(J211,L211,fESTIVOS!$A$2:$A$53)
   )
)
</f>
        <v>0</v>
      </c>
      <c r="N211" s="181"/>
      <c r="O211" s="181"/>
      <c r="P211" s="183"/>
      <c r="Q211" s="104"/>
      <c r="R211" s="388"/>
      <c r="S211" s="104"/>
    </row>
    <row r="212" ht="29.25" customHeight="1">
      <c r="A212" s="230"/>
      <c r="B212" s="389"/>
      <c r="C212" s="390"/>
      <c r="D212" s="391"/>
      <c r="E212" s="392"/>
      <c r="F212" s="162"/>
      <c r="G212" s="232"/>
      <c r="H212" s="246">
        <f>IF(OR(J212="",K212="",K212&lt;J212),0,NETWORKDAYS(J212,K212,fESTIVOS!$A$2:$A$53))</f>
        <v>0</v>
      </c>
      <c r="I212" s="181"/>
      <c r="J212" s="182"/>
      <c r="K212" s="182"/>
      <c r="L212" s="182"/>
      <c r="M212" s="39">
        <f>IF(OR(J212="",AND(L212="",TODAY()&lt;J212),AND(L212&lt;&gt;"",L212&lt;J212)),0,
   IF(L212="",
      NETWORKDAYS(J212,TODAY(),fESTIVOS!$A$2:$A$53),
      NETWORKDAYS(J212,L212,fESTIVOS!$A$2:$A$53)
   )
)
</f>
        <v>0</v>
      </c>
      <c r="N212" s="181"/>
      <c r="O212" s="181"/>
      <c r="P212" s="183"/>
      <c r="Q212" s="104"/>
      <c r="R212" s="393"/>
      <c r="S212" s="104"/>
    </row>
    <row r="213" ht="29.25" customHeight="1">
      <c r="A213" s="230"/>
      <c r="B213" s="389"/>
      <c r="C213" s="390"/>
      <c r="D213" s="391"/>
      <c r="E213" s="383"/>
      <c r="F213" s="162"/>
      <c r="G213" s="232"/>
      <c r="H213" s="246">
        <f>IF(OR(J213="",K213="",K213&lt;J213),0,NETWORKDAYS(J213,K213,fESTIVOS!$A$2:$A$53))</f>
        <v>0</v>
      </c>
      <c r="I213" s="181"/>
      <c r="J213" s="182"/>
      <c r="K213" s="182"/>
      <c r="L213" s="182"/>
      <c r="M213" s="39">
        <f>IF(OR(J213="",AND(L213="",TODAY()&lt;J213),AND(L213&lt;&gt;"",L213&lt;J213)),0,
   IF(L213="",
      NETWORKDAYS(J213,TODAY(),fESTIVOS!$A$2:$A$53),
      NETWORKDAYS(J213,L213,fESTIVOS!$A$2:$A$53)
   )
)
</f>
        <v>0</v>
      </c>
      <c r="N213" s="181"/>
      <c r="O213" s="181"/>
      <c r="P213" s="183"/>
      <c r="Q213" s="104"/>
      <c r="R213" s="388"/>
      <c r="S213" s="104"/>
    </row>
    <row r="214" ht="29.25" customHeight="1">
      <c r="A214" s="230"/>
      <c r="B214" s="389"/>
      <c r="C214" s="390"/>
      <c r="D214" s="391"/>
      <c r="E214" s="392"/>
      <c r="F214" s="162"/>
      <c r="G214" s="232"/>
      <c r="H214" s="246">
        <f>IF(OR(J214="",K214="",K214&lt;J214),0,NETWORKDAYS(J214,K214,fESTIVOS!$A$2:$A$53))</f>
        <v>0</v>
      </c>
      <c r="I214" s="181"/>
      <c r="J214" s="182"/>
      <c r="K214" s="182"/>
      <c r="L214" s="182"/>
      <c r="M214" s="39">
        <f>IF(OR(J214="",AND(L214="",TODAY()&lt;J214),AND(L214&lt;&gt;"",L214&lt;J214)),0,
   IF(L214="",
      NETWORKDAYS(J214,TODAY(),fESTIVOS!$A$2:$A$53),
      NETWORKDAYS(J214,L214,fESTIVOS!$A$2:$A$53)
   )
)
</f>
        <v>0</v>
      </c>
      <c r="N214" s="181"/>
      <c r="O214" s="181"/>
      <c r="P214" s="183"/>
      <c r="Q214" s="104"/>
      <c r="R214" s="393"/>
      <c r="S214" s="104"/>
    </row>
    <row r="215" ht="29.25" customHeight="1">
      <c r="A215" s="230"/>
      <c r="B215" s="389"/>
      <c r="C215" s="390"/>
      <c r="D215" s="391"/>
      <c r="E215" s="383"/>
      <c r="F215" s="162"/>
      <c r="G215" s="232"/>
      <c r="H215" s="246">
        <f>IF(OR(J215="",K215="",K215&lt;J215),0,NETWORKDAYS(J215,K215,fESTIVOS!$A$2:$A$53))</f>
        <v>0</v>
      </c>
      <c r="I215" s="181"/>
      <c r="J215" s="182"/>
      <c r="K215" s="182"/>
      <c r="L215" s="182"/>
      <c r="M215" s="39">
        <f>IF(OR(J215="",AND(L215="",TODAY()&lt;J215),AND(L215&lt;&gt;"",L215&lt;J215)),0,
   IF(L215="",
      NETWORKDAYS(J215,TODAY(),fESTIVOS!$A$2:$A$53),
      NETWORKDAYS(J215,L215,fESTIVOS!$A$2:$A$53)
   )
)
</f>
        <v>0</v>
      </c>
      <c r="N215" s="181"/>
      <c r="O215" s="181"/>
      <c r="P215" s="183"/>
      <c r="Q215" s="104"/>
      <c r="R215" s="388"/>
      <c r="S215" s="104"/>
    </row>
    <row r="216" ht="29.25" customHeight="1">
      <c r="A216" s="230"/>
      <c r="B216" s="389"/>
      <c r="C216" s="390"/>
      <c r="D216" s="391"/>
      <c r="E216" s="392"/>
      <c r="F216" s="162"/>
      <c r="G216" s="232"/>
      <c r="H216" s="246">
        <f>IF(OR(J216="",K216="",K216&lt;J216),0,NETWORKDAYS(J216,K216,fESTIVOS!$A$2:$A$53))</f>
        <v>0</v>
      </c>
      <c r="I216" s="181"/>
      <c r="J216" s="182"/>
      <c r="K216" s="182"/>
      <c r="L216" s="182"/>
      <c r="M216" s="39">
        <f>IF(OR(J216="",AND(L216="",TODAY()&lt;J216),AND(L216&lt;&gt;"",L216&lt;J216)),0,
   IF(L216="",
      NETWORKDAYS(J216,TODAY(),fESTIVOS!$A$2:$A$53),
      NETWORKDAYS(J216,L216,fESTIVOS!$A$2:$A$53)
   )
)
</f>
        <v>0</v>
      </c>
      <c r="N216" s="181"/>
      <c r="O216" s="181"/>
      <c r="P216" s="183"/>
      <c r="Q216" s="104"/>
      <c r="R216" s="393"/>
      <c r="S216" s="104"/>
    </row>
    <row r="217" ht="29.25" customHeight="1">
      <c r="A217" s="230"/>
      <c r="B217" s="389"/>
      <c r="C217" s="390"/>
      <c r="D217" s="391"/>
      <c r="E217" s="383"/>
      <c r="F217" s="162"/>
      <c r="G217" s="232"/>
      <c r="H217" s="246">
        <f>IF(OR(J217="",K217="",K217&lt;J217),0,NETWORKDAYS(J217,K217,fESTIVOS!$A$2:$A$53))</f>
        <v>0</v>
      </c>
      <c r="I217" s="181"/>
      <c r="J217" s="182"/>
      <c r="K217" s="182"/>
      <c r="L217" s="182"/>
      <c r="M217" s="39">
        <f>IF(OR(J217="",AND(L217="",TODAY()&lt;J217),AND(L217&lt;&gt;"",L217&lt;J217)),0,
   IF(L217="",
      NETWORKDAYS(J217,TODAY(),fESTIVOS!$A$2:$A$53),
      NETWORKDAYS(J217,L217,fESTIVOS!$A$2:$A$53)
   )
)
</f>
        <v>0</v>
      </c>
      <c r="N217" s="181"/>
      <c r="O217" s="181"/>
      <c r="P217" s="183"/>
      <c r="Q217" s="104"/>
      <c r="R217" s="388"/>
      <c r="S217" s="104"/>
    </row>
    <row r="218" ht="29.25" customHeight="1">
      <c r="A218" s="230"/>
      <c r="B218" s="389"/>
      <c r="C218" s="390"/>
      <c r="D218" s="391"/>
      <c r="E218" s="392"/>
      <c r="F218" s="162"/>
      <c r="G218" s="232"/>
      <c r="H218" s="246">
        <f>IF(OR(J218="",K218="",K218&lt;J218),0,NETWORKDAYS(J218,K218,fESTIVOS!$A$2:$A$53))</f>
        <v>0</v>
      </c>
      <c r="I218" s="181"/>
      <c r="J218" s="182"/>
      <c r="K218" s="182"/>
      <c r="L218" s="182"/>
      <c r="M218" s="39">
        <f>IF(OR(J218="",AND(L218="",TODAY()&lt;J218),AND(L218&lt;&gt;"",L218&lt;J218)),0,
   IF(L218="",
      NETWORKDAYS(J218,TODAY(),fESTIVOS!$A$2:$A$53),
      NETWORKDAYS(J218,L218,fESTIVOS!$A$2:$A$53)
   )
)
</f>
        <v>0</v>
      </c>
      <c r="N218" s="181"/>
      <c r="O218" s="181"/>
      <c r="P218" s="183"/>
      <c r="Q218" s="104"/>
      <c r="R218" s="393"/>
      <c r="S218" s="104"/>
    </row>
    <row r="219" ht="29.25" customHeight="1">
      <c r="A219" s="230"/>
      <c r="B219" s="389"/>
      <c r="C219" s="390"/>
      <c r="D219" s="391"/>
      <c r="E219" s="383"/>
      <c r="F219" s="162"/>
      <c r="G219" s="232"/>
      <c r="H219" s="246">
        <f>IF(OR(J219="",K219="",K219&lt;J219),0,NETWORKDAYS(J219,K219,fESTIVOS!$A$2:$A$53))</f>
        <v>0</v>
      </c>
      <c r="I219" s="181"/>
      <c r="J219" s="182"/>
      <c r="K219" s="182"/>
      <c r="L219" s="182"/>
      <c r="M219" s="39">
        <f>IF(OR(J219="",AND(L219="",TODAY()&lt;J219),AND(L219&lt;&gt;"",L219&lt;J219)),0,
   IF(L219="",
      NETWORKDAYS(J219,TODAY(),fESTIVOS!$A$2:$A$53),
      NETWORKDAYS(J219,L219,fESTIVOS!$A$2:$A$53)
   )
)
</f>
        <v>0</v>
      </c>
      <c r="N219" s="181"/>
      <c r="O219" s="181"/>
      <c r="P219" s="183"/>
      <c r="Q219" s="104"/>
      <c r="R219" s="388"/>
      <c r="S219" s="104"/>
    </row>
    <row r="220" ht="29.25" customHeight="1">
      <c r="A220" s="230"/>
      <c r="B220" s="389"/>
      <c r="C220" s="390"/>
      <c r="D220" s="391"/>
      <c r="E220" s="392"/>
      <c r="F220" s="162"/>
      <c r="G220" s="232"/>
      <c r="H220" s="246">
        <f>IF(OR(J220="",K220="",K220&lt;J220),0,NETWORKDAYS(J220,K220,fESTIVOS!$A$2:$A$53))</f>
        <v>0</v>
      </c>
      <c r="I220" s="181"/>
      <c r="J220" s="182"/>
      <c r="K220" s="182"/>
      <c r="L220" s="182"/>
      <c r="M220" s="39">
        <f>IF(OR(J220="",AND(L220="",TODAY()&lt;J220),AND(L220&lt;&gt;"",L220&lt;J220)),0,
   IF(L220="",
      NETWORKDAYS(J220,TODAY(),fESTIVOS!$A$2:$A$53),
      NETWORKDAYS(J220,L220,fESTIVOS!$A$2:$A$53)
   )
)
</f>
        <v>0</v>
      </c>
      <c r="N220" s="181"/>
      <c r="O220" s="181"/>
      <c r="P220" s="183"/>
      <c r="Q220" s="104"/>
      <c r="R220" s="393"/>
      <c r="S220" s="104"/>
    </row>
    <row r="221" ht="29.25" customHeight="1">
      <c r="A221" s="230"/>
      <c r="B221" s="389"/>
      <c r="C221" s="390"/>
      <c r="D221" s="391"/>
      <c r="E221" s="383"/>
      <c r="F221" s="162"/>
      <c r="G221" s="232"/>
      <c r="H221" s="246">
        <f>IF(OR(J221="",K221="",K221&lt;J221),0,NETWORKDAYS(J221,K221,fESTIVOS!$A$2:$A$53))</f>
        <v>0</v>
      </c>
      <c r="I221" s="181"/>
      <c r="J221" s="182"/>
      <c r="K221" s="182"/>
      <c r="L221" s="182"/>
      <c r="M221" s="39">
        <f>IF(OR(J221="",AND(L221="",TODAY()&lt;J221),AND(L221&lt;&gt;"",L221&lt;J221)),0,
   IF(L221="",
      NETWORKDAYS(J221,TODAY(),fESTIVOS!$A$2:$A$53),
      NETWORKDAYS(J221,L221,fESTIVOS!$A$2:$A$53)
   )
)
</f>
        <v>0</v>
      </c>
      <c r="N221" s="181"/>
      <c r="O221" s="181"/>
      <c r="P221" s="183"/>
      <c r="Q221" s="104"/>
      <c r="R221" s="388"/>
      <c r="S221" s="104"/>
    </row>
    <row r="222" ht="29.25" customHeight="1">
      <c r="A222" s="230"/>
      <c r="B222" s="389"/>
      <c r="C222" s="390"/>
      <c r="D222" s="391"/>
      <c r="E222" s="392"/>
      <c r="F222" s="162"/>
      <c r="G222" s="232"/>
      <c r="H222" s="246">
        <f>IF(OR(J222="",K222="",K222&lt;J222),0,NETWORKDAYS(J222,K222,fESTIVOS!$A$2:$A$53))</f>
        <v>0</v>
      </c>
      <c r="I222" s="181"/>
      <c r="J222" s="182"/>
      <c r="K222" s="182"/>
      <c r="L222" s="182"/>
      <c r="M222" s="39">
        <f>IF(OR(J222="",AND(L222="",TODAY()&lt;J222),AND(L222&lt;&gt;"",L222&lt;J222)),0,
   IF(L222="",
      NETWORKDAYS(J222,TODAY(),fESTIVOS!$A$2:$A$53),
      NETWORKDAYS(J222,L222,fESTIVOS!$A$2:$A$53)
   )
)
</f>
        <v>0</v>
      </c>
      <c r="N222" s="181"/>
      <c r="O222" s="181"/>
      <c r="P222" s="183"/>
      <c r="Q222" s="104"/>
      <c r="R222" s="393"/>
      <c r="S222" s="104"/>
    </row>
    <row r="223" ht="29.25" customHeight="1">
      <c r="A223" s="230"/>
      <c r="B223" s="389"/>
      <c r="C223" s="390"/>
      <c r="D223" s="391"/>
      <c r="E223" s="383"/>
      <c r="F223" s="162"/>
      <c r="G223" s="232"/>
      <c r="H223" s="246">
        <f>IF(OR(J223="",K223="",K223&lt;J223),0,NETWORKDAYS(J223,K223,fESTIVOS!$A$2:$A$53))</f>
        <v>0</v>
      </c>
      <c r="I223" s="181"/>
      <c r="J223" s="182"/>
      <c r="K223" s="182"/>
      <c r="L223" s="182"/>
      <c r="M223" s="39">
        <f>IF(OR(J223="",AND(L223="",TODAY()&lt;J223),AND(L223&lt;&gt;"",L223&lt;J223)),0,
   IF(L223="",
      NETWORKDAYS(J223,TODAY(),fESTIVOS!$A$2:$A$53),
      NETWORKDAYS(J223,L223,fESTIVOS!$A$2:$A$53)
   )
)
</f>
        <v>0</v>
      </c>
      <c r="N223" s="181"/>
      <c r="O223" s="181"/>
      <c r="P223" s="183"/>
      <c r="Q223" s="104"/>
      <c r="R223" s="388"/>
      <c r="S223" s="104"/>
    </row>
    <row r="224" ht="29.25" customHeight="1">
      <c r="A224" s="230"/>
      <c r="B224" s="389"/>
      <c r="C224" s="390"/>
      <c r="D224" s="391"/>
      <c r="E224" s="392"/>
      <c r="F224" s="162"/>
      <c r="G224" s="232"/>
      <c r="H224" s="246">
        <f>IF(OR(J224="",K224="",K224&lt;J224),0,NETWORKDAYS(J224,K224,fESTIVOS!$A$2:$A$53))</f>
        <v>0</v>
      </c>
      <c r="I224" s="181"/>
      <c r="J224" s="182"/>
      <c r="K224" s="182"/>
      <c r="L224" s="182"/>
      <c r="M224" s="39">
        <f>IF(OR(J224="",AND(L224="",TODAY()&lt;J224),AND(L224&lt;&gt;"",L224&lt;J224)),0,
   IF(L224="",
      NETWORKDAYS(J224,TODAY(),fESTIVOS!$A$2:$A$53),
      NETWORKDAYS(J224,L224,fESTIVOS!$A$2:$A$53)
   )
)
</f>
        <v>0</v>
      </c>
      <c r="N224" s="181"/>
      <c r="O224" s="181"/>
      <c r="P224" s="183"/>
      <c r="Q224" s="104"/>
      <c r="R224" s="393"/>
      <c r="S224" s="104"/>
    </row>
    <row r="225" ht="29.25" customHeight="1">
      <c r="A225" s="230"/>
      <c r="B225" s="389"/>
      <c r="C225" s="390"/>
      <c r="D225" s="391"/>
      <c r="E225" s="383"/>
      <c r="F225" s="162"/>
      <c r="G225" s="232"/>
      <c r="H225" s="246">
        <f>IF(OR(J225="",K225="",K225&lt;J225),0,NETWORKDAYS(J225,K225,fESTIVOS!$A$2:$A$53))</f>
        <v>0</v>
      </c>
      <c r="I225" s="181"/>
      <c r="J225" s="182"/>
      <c r="K225" s="182"/>
      <c r="L225" s="182"/>
      <c r="M225" s="39">
        <f>IF(OR(J225="",AND(L225="",TODAY()&lt;J225),AND(L225&lt;&gt;"",L225&lt;J225)),0,
   IF(L225="",
      NETWORKDAYS(J225,TODAY(),fESTIVOS!$A$2:$A$53),
      NETWORKDAYS(J225,L225,fESTIVOS!$A$2:$A$53)
   )
)
</f>
        <v>0</v>
      </c>
      <c r="N225" s="181"/>
      <c r="O225" s="181"/>
      <c r="P225" s="183"/>
      <c r="Q225" s="104"/>
      <c r="R225" s="388"/>
      <c r="S225" s="104"/>
    </row>
    <row r="226" ht="29.25" customHeight="1">
      <c r="A226" s="230"/>
      <c r="B226" s="389"/>
      <c r="C226" s="390"/>
      <c r="D226" s="391"/>
      <c r="E226" s="392"/>
      <c r="F226" s="162"/>
      <c r="G226" s="232"/>
      <c r="H226" s="246">
        <f>IF(OR(J226="",K226="",K226&lt;J226),0,NETWORKDAYS(J226,K226,fESTIVOS!$A$2:$A$53))</f>
        <v>0</v>
      </c>
      <c r="I226" s="181"/>
      <c r="J226" s="182"/>
      <c r="K226" s="182"/>
      <c r="L226" s="182"/>
      <c r="M226" s="39">
        <f>IF(OR(J226="",AND(L226="",TODAY()&lt;J226),AND(L226&lt;&gt;"",L226&lt;J226)),0,
   IF(L226="",
      NETWORKDAYS(J226,TODAY(),fESTIVOS!$A$2:$A$53),
      NETWORKDAYS(J226,L226,fESTIVOS!$A$2:$A$53)
   )
)
</f>
        <v>0</v>
      </c>
      <c r="N226" s="181"/>
      <c r="O226" s="181"/>
      <c r="P226" s="183"/>
      <c r="Q226" s="104"/>
      <c r="R226" s="393"/>
      <c r="S226" s="104"/>
    </row>
    <row r="227" ht="29.25" customHeight="1">
      <c r="A227" s="230"/>
      <c r="B227" s="389"/>
      <c r="C227" s="390"/>
      <c r="D227" s="391"/>
      <c r="E227" s="383"/>
      <c r="F227" s="162"/>
      <c r="G227" s="232"/>
      <c r="H227" s="246">
        <f>IF(OR(J227="",K227="",K227&lt;J227),0,NETWORKDAYS(J227,K227,fESTIVOS!$A$2:$A$53))</f>
        <v>0</v>
      </c>
      <c r="I227" s="181"/>
      <c r="J227" s="182"/>
      <c r="K227" s="182"/>
      <c r="L227" s="182"/>
      <c r="M227" s="39">
        <f>IF(OR(J227="",AND(L227="",TODAY()&lt;J227),AND(L227&lt;&gt;"",L227&lt;J227)),0,
   IF(L227="",
      NETWORKDAYS(J227,TODAY(),fESTIVOS!$A$2:$A$53),
      NETWORKDAYS(J227,L227,fESTIVOS!$A$2:$A$53)
   )
)
</f>
        <v>0</v>
      </c>
      <c r="N227" s="181"/>
      <c r="O227" s="181"/>
      <c r="P227" s="183"/>
      <c r="Q227" s="104"/>
      <c r="R227" s="388"/>
      <c r="S227" s="104"/>
    </row>
    <row r="228" ht="29.25" customHeight="1">
      <c r="A228" s="230"/>
      <c r="B228" s="389"/>
      <c r="C228" s="390"/>
      <c r="D228" s="391"/>
      <c r="E228" s="392"/>
      <c r="F228" s="162"/>
      <c r="G228" s="232"/>
      <c r="H228" s="246">
        <f>IF(OR(J228="",K228="",K228&lt;J228),0,NETWORKDAYS(J228,K228,fESTIVOS!$A$2:$A$53))</f>
        <v>0</v>
      </c>
      <c r="I228" s="181"/>
      <c r="J228" s="182"/>
      <c r="K228" s="182"/>
      <c r="L228" s="182"/>
      <c r="M228" s="39">
        <f>IF(OR(J228="",AND(L228="",TODAY()&lt;J228),AND(L228&lt;&gt;"",L228&lt;J228)),0,
   IF(L228="",
      NETWORKDAYS(J228,TODAY(),fESTIVOS!$A$2:$A$53),
      NETWORKDAYS(J228,L228,fESTIVOS!$A$2:$A$53)
   )
)
</f>
        <v>0</v>
      </c>
      <c r="N228" s="181"/>
      <c r="O228" s="181"/>
      <c r="P228" s="183"/>
      <c r="Q228" s="104"/>
      <c r="R228" s="393"/>
      <c r="S228" s="104"/>
    </row>
    <row r="229" ht="29.25" customHeight="1">
      <c r="A229" s="230"/>
      <c r="B229" s="389"/>
      <c r="C229" s="390"/>
      <c r="D229" s="391"/>
      <c r="E229" s="383"/>
      <c r="F229" s="162"/>
      <c r="G229" s="232"/>
      <c r="H229" s="246">
        <f>IF(OR(J229="",K229="",K229&lt;J229),0,NETWORKDAYS(J229,K229,fESTIVOS!$A$2:$A$53))</f>
        <v>0</v>
      </c>
      <c r="I229" s="181"/>
      <c r="J229" s="182"/>
      <c r="K229" s="182"/>
      <c r="L229" s="182"/>
      <c r="M229" s="39">
        <f>IF(OR(J229="",AND(L229="",TODAY()&lt;J229),AND(L229&lt;&gt;"",L229&lt;J229)),0,
   IF(L229="",
      NETWORKDAYS(J229,TODAY(),fESTIVOS!$A$2:$A$53),
      NETWORKDAYS(J229,L229,fESTIVOS!$A$2:$A$53)
   )
)
</f>
        <v>0</v>
      </c>
      <c r="N229" s="181"/>
      <c r="O229" s="181"/>
      <c r="P229" s="183"/>
      <c r="Q229" s="104"/>
      <c r="R229" s="388"/>
      <c r="S229" s="104"/>
    </row>
    <row r="230" ht="29.25" customHeight="1">
      <c r="A230" s="230"/>
      <c r="B230" s="389"/>
      <c r="C230" s="390"/>
      <c r="D230" s="391"/>
      <c r="E230" s="392"/>
      <c r="F230" s="162"/>
      <c r="G230" s="232"/>
      <c r="H230" s="232"/>
      <c r="I230" s="181"/>
      <c r="J230" s="182"/>
      <c r="K230" s="182"/>
      <c r="L230" s="182"/>
      <c r="M230" s="165"/>
      <c r="N230" s="181"/>
      <c r="O230" s="181"/>
      <c r="P230" s="183"/>
      <c r="Q230" s="104"/>
      <c r="R230" s="393"/>
      <c r="S230" s="104"/>
    </row>
    <row r="231" ht="29.25" customHeight="1">
      <c r="A231" s="230"/>
      <c r="B231" s="389"/>
      <c r="C231" s="390"/>
      <c r="D231" s="391"/>
      <c r="E231" s="383"/>
      <c r="F231" s="162"/>
      <c r="G231" s="232"/>
      <c r="H231" s="232"/>
      <c r="I231" s="181"/>
      <c r="J231" s="182"/>
      <c r="K231" s="182"/>
      <c r="L231" s="182"/>
      <c r="M231" s="165"/>
      <c r="N231" s="181"/>
      <c r="O231" s="181"/>
      <c r="P231" s="183"/>
      <c r="Q231" s="104"/>
      <c r="R231" s="388"/>
      <c r="S231" s="104"/>
    </row>
    <row r="232" ht="29.25" customHeight="1">
      <c r="A232" s="230"/>
      <c r="B232" s="389"/>
      <c r="C232" s="390"/>
      <c r="D232" s="391"/>
      <c r="E232" s="392"/>
      <c r="F232" s="162"/>
      <c r="G232" s="232"/>
      <c r="H232" s="232"/>
      <c r="I232" s="181"/>
      <c r="J232" s="182"/>
      <c r="K232" s="182"/>
      <c r="L232" s="182"/>
      <c r="M232" s="165"/>
      <c r="N232" s="181"/>
      <c r="O232" s="181"/>
      <c r="P232" s="183"/>
      <c r="Q232" s="104"/>
      <c r="R232" s="393"/>
      <c r="S232" s="104"/>
    </row>
    <row r="233" ht="29.25" customHeight="1">
      <c r="A233" s="230"/>
      <c r="B233" s="389"/>
      <c r="C233" s="390"/>
      <c r="D233" s="391"/>
      <c r="E233" s="383"/>
      <c r="F233" s="162"/>
      <c r="G233" s="232"/>
      <c r="H233" s="232"/>
      <c r="I233" s="181"/>
      <c r="J233" s="182"/>
      <c r="K233" s="182"/>
      <c r="L233" s="182"/>
      <c r="M233" s="165"/>
      <c r="N233" s="181"/>
      <c r="O233" s="181"/>
      <c r="P233" s="183"/>
      <c r="Q233" s="104"/>
      <c r="R233" s="388"/>
      <c r="S233" s="104"/>
    </row>
    <row r="234" ht="29.25" customHeight="1">
      <c r="A234" s="230"/>
      <c r="B234" s="389"/>
      <c r="C234" s="390"/>
      <c r="D234" s="391"/>
      <c r="E234" s="392"/>
      <c r="F234" s="162"/>
      <c r="G234" s="232"/>
      <c r="H234" s="232"/>
      <c r="I234" s="181"/>
      <c r="J234" s="182"/>
      <c r="K234" s="182"/>
      <c r="L234" s="182"/>
      <c r="M234" s="165"/>
      <c r="N234" s="181"/>
      <c r="O234" s="181"/>
      <c r="P234" s="183"/>
      <c r="Q234" s="104"/>
      <c r="R234" s="393"/>
      <c r="S234" s="104"/>
    </row>
    <row r="235" ht="29.25" customHeight="1">
      <c r="A235" s="230"/>
      <c r="B235" s="389"/>
      <c r="C235" s="390"/>
      <c r="D235" s="391"/>
      <c r="E235" s="383"/>
      <c r="F235" s="162"/>
      <c r="G235" s="232"/>
      <c r="H235" s="232"/>
      <c r="I235" s="181"/>
      <c r="J235" s="182"/>
      <c r="K235" s="182"/>
      <c r="L235" s="182"/>
      <c r="M235" s="165"/>
      <c r="N235" s="181"/>
      <c r="O235" s="181"/>
      <c r="P235" s="183"/>
      <c r="Q235" s="104"/>
      <c r="R235" s="388"/>
      <c r="S235" s="104"/>
    </row>
    <row r="236" ht="29.25" customHeight="1">
      <c r="A236" s="230"/>
      <c r="B236" s="389"/>
      <c r="C236" s="390"/>
      <c r="D236" s="391"/>
      <c r="E236" s="392"/>
      <c r="F236" s="162"/>
      <c r="G236" s="232"/>
      <c r="H236" s="232"/>
      <c r="I236" s="181"/>
      <c r="J236" s="182"/>
      <c r="K236" s="182"/>
      <c r="L236" s="182"/>
      <c r="M236" s="165"/>
      <c r="N236" s="181"/>
      <c r="O236" s="181"/>
      <c r="P236" s="183"/>
      <c r="Q236" s="104"/>
      <c r="R236" s="393"/>
      <c r="S236" s="104"/>
    </row>
    <row r="237" ht="29.25" customHeight="1">
      <c r="A237" s="230"/>
      <c r="B237" s="389"/>
      <c r="C237" s="390"/>
      <c r="D237" s="391"/>
      <c r="E237" s="383"/>
      <c r="F237" s="162"/>
      <c r="G237" s="232"/>
      <c r="H237" s="232"/>
      <c r="I237" s="181"/>
      <c r="J237" s="182"/>
      <c r="K237" s="182"/>
      <c r="L237" s="182"/>
      <c r="M237" s="165"/>
      <c r="N237" s="181"/>
      <c r="O237" s="181"/>
      <c r="P237" s="183"/>
      <c r="Q237" s="104"/>
      <c r="R237" s="388"/>
      <c r="S237" s="104"/>
    </row>
    <row r="238" ht="29.25" customHeight="1">
      <c r="A238" s="230"/>
      <c r="B238" s="389"/>
      <c r="C238" s="390"/>
      <c r="D238" s="391"/>
      <c r="E238" s="392"/>
      <c r="F238" s="162"/>
      <c r="G238" s="232"/>
      <c r="H238" s="232"/>
      <c r="I238" s="181"/>
      <c r="J238" s="182"/>
      <c r="K238" s="182"/>
      <c r="L238" s="182"/>
      <c r="M238" s="165"/>
      <c r="N238" s="181"/>
      <c r="O238" s="181"/>
      <c r="P238" s="183"/>
      <c r="Q238" s="104"/>
      <c r="R238" s="393"/>
      <c r="S238" s="104"/>
    </row>
    <row r="239" ht="29.25" customHeight="1">
      <c r="A239" s="230"/>
      <c r="B239" s="389"/>
      <c r="C239" s="390"/>
      <c r="D239" s="391"/>
      <c r="E239" s="383"/>
      <c r="F239" s="162"/>
      <c r="G239" s="232"/>
      <c r="H239" s="232"/>
      <c r="I239" s="181"/>
      <c r="J239" s="182"/>
      <c r="K239" s="182"/>
      <c r="L239" s="182"/>
      <c r="M239" s="165"/>
      <c r="N239" s="181"/>
      <c r="O239" s="181"/>
      <c r="P239" s="183"/>
      <c r="Q239" s="104"/>
      <c r="R239" s="388"/>
      <c r="S239" s="104"/>
    </row>
    <row r="240" ht="29.25" customHeight="1">
      <c r="A240" s="230"/>
      <c r="B240" s="389"/>
      <c r="C240" s="390"/>
      <c r="D240" s="391"/>
      <c r="E240" s="392"/>
      <c r="F240" s="162"/>
      <c r="G240" s="232"/>
      <c r="H240" s="232"/>
      <c r="I240" s="181"/>
      <c r="J240" s="182"/>
      <c r="K240" s="182"/>
      <c r="L240" s="182"/>
      <c r="M240" s="165"/>
      <c r="N240" s="181"/>
      <c r="O240" s="181"/>
      <c r="P240" s="183"/>
      <c r="Q240" s="104"/>
      <c r="R240" s="393"/>
      <c r="S240" s="104"/>
    </row>
    <row r="241" ht="29.25" customHeight="1">
      <c r="A241" s="230"/>
      <c r="B241" s="389"/>
      <c r="C241" s="390"/>
      <c r="D241" s="391"/>
      <c r="E241" s="383"/>
      <c r="F241" s="162"/>
      <c r="G241" s="232"/>
      <c r="H241" s="232"/>
      <c r="I241" s="181"/>
      <c r="J241" s="182"/>
      <c r="K241" s="182"/>
      <c r="L241" s="182"/>
      <c r="M241" s="165"/>
      <c r="N241" s="181"/>
      <c r="O241" s="181"/>
      <c r="P241" s="183"/>
      <c r="Q241" s="104"/>
      <c r="R241" s="388"/>
      <c r="S241" s="104"/>
    </row>
    <row r="242" ht="29.25" customHeight="1">
      <c r="A242" s="230"/>
      <c r="B242" s="389"/>
      <c r="C242" s="390"/>
      <c r="D242" s="391"/>
      <c r="E242" s="392"/>
      <c r="F242" s="162"/>
      <c r="G242" s="232"/>
      <c r="H242" s="232"/>
      <c r="I242" s="181"/>
      <c r="J242" s="182"/>
      <c r="K242" s="182"/>
      <c r="L242" s="182"/>
      <c r="M242" s="165"/>
      <c r="N242" s="181"/>
      <c r="O242" s="181"/>
      <c r="P242" s="183"/>
      <c r="Q242" s="104"/>
      <c r="R242" s="393"/>
      <c r="S242" s="104"/>
    </row>
    <row r="243" ht="29.25" customHeight="1">
      <c r="A243" s="230"/>
      <c r="B243" s="389"/>
      <c r="C243" s="390"/>
      <c r="D243" s="391"/>
      <c r="E243" s="383"/>
      <c r="F243" s="162"/>
      <c r="G243" s="232"/>
      <c r="H243" s="232"/>
      <c r="I243" s="181"/>
      <c r="J243" s="182"/>
      <c r="K243" s="182"/>
      <c r="L243" s="182"/>
      <c r="M243" s="165"/>
      <c r="N243" s="181"/>
      <c r="O243" s="181"/>
      <c r="P243" s="183"/>
      <c r="Q243" s="104"/>
      <c r="R243" s="388"/>
      <c r="S243" s="104"/>
    </row>
    <row r="244" ht="29.25" customHeight="1">
      <c r="A244" s="230"/>
      <c r="B244" s="389"/>
      <c r="C244" s="390"/>
      <c r="D244" s="391"/>
      <c r="E244" s="392"/>
      <c r="F244" s="162"/>
      <c r="G244" s="232"/>
      <c r="H244" s="232"/>
      <c r="I244" s="181"/>
      <c r="J244" s="182"/>
      <c r="K244" s="182"/>
      <c r="L244" s="182"/>
      <c r="M244" s="165"/>
      <c r="N244" s="181"/>
      <c r="O244" s="181"/>
      <c r="P244" s="183"/>
      <c r="Q244" s="104"/>
      <c r="R244" s="393"/>
      <c r="S244" s="104"/>
    </row>
    <row r="245" ht="29.25" customHeight="1">
      <c r="A245" s="230"/>
      <c r="B245" s="389"/>
      <c r="C245" s="390"/>
      <c r="D245" s="391"/>
      <c r="E245" s="383"/>
      <c r="F245" s="162"/>
      <c r="G245" s="232"/>
      <c r="H245" s="232"/>
      <c r="I245" s="181"/>
      <c r="J245" s="182"/>
      <c r="K245" s="182"/>
      <c r="L245" s="182"/>
      <c r="M245" s="165"/>
      <c r="N245" s="181"/>
      <c r="O245" s="181"/>
      <c r="P245" s="183"/>
      <c r="Q245" s="104"/>
      <c r="R245" s="388"/>
      <c r="S245" s="104"/>
    </row>
    <row r="246" ht="29.25" customHeight="1">
      <c r="A246" s="230"/>
      <c r="B246" s="389"/>
      <c r="C246" s="390"/>
      <c r="D246" s="391"/>
      <c r="E246" s="392"/>
      <c r="F246" s="162"/>
      <c r="G246" s="232"/>
      <c r="H246" s="232"/>
      <c r="I246" s="181"/>
      <c r="J246" s="182"/>
      <c r="K246" s="182"/>
      <c r="L246" s="182"/>
      <c r="M246" s="165"/>
      <c r="N246" s="181"/>
      <c r="O246" s="181"/>
      <c r="P246" s="183"/>
      <c r="Q246" s="104"/>
      <c r="R246" s="393"/>
      <c r="S246" s="104"/>
    </row>
    <row r="247" ht="29.25" customHeight="1">
      <c r="A247" s="230"/>
      <c r="B247" s="389"/>
      <c r="C247" s="390"/>
      <c r="D247" s="391"/>
      <c r="E247" s="383"/>
      <c r="F247" s="162"/>
      <c r="G247" s="232"/>
      <c r="H247" s="232"/>
      <c r="I247" s="181"/>
      <c r="J247" s="182"/>
      <c r="K247" s="182"/>
      <c r="L247" s="182"/>
      <c r="M247" s="165"/>
      <c r="N247" s="181"/>
      <c r="O247" s="181"/>
      <c r="P247" s="183"/>
      <c r="Q247" s="104"/>
      <c r="R247" s="388"/>
      <c r="S247" s="104"/>
    </row>
    <row r="248" ht="29.25" customHeight="1">
      <c r="A248" s="230"/>
      <c r="B248" s="389"/>
      <c r="C248" s="390"/>
      <c r="D248" s="391"/>
      <c r="E248" s="392"/>
      <c r="F248" s="162"/>
      <c r="G248" s="232"/>
      <c r="H248" s="232"/>
      <c r="I248" s="181"/>
      <c r="J248" s="182"/>
      <c r="K248" s="182"/>
      <c r="L248" s="182"/>
      <c r="M248" s="165"/>
      <c r="N248" s="181"/>
      <c r="O248" s="181"/>
      <c r="P248" s="183"/>
      <c r="Q248" s="104"/>
      <c r="R248" s="393"/>
      <c r="S248" s="104"/>
    </row>
    <row r="249" ht="29.25" customHeight="1">
      <c r="A249" s="230"/>
      <c r="B249" s="389"/>
      <c r="C249" s="390"/>
      <c r="D249" s="391"/>
      <c r="E249" s="383"/>
      <c r="F249" s="162"/>
      <c r="G249" s="232"/>
      <c r="H249" s="232"/>
      <c r="I249" s="181"/>
      <c r="J249" s="182"/>
      <c r="K249" s="182"/>
      <c r="L249" s="182"/>
      <c r="M249" s="165"/>
      <c r="N249" s="181"/>
      <c r="O249" s="181"/>
      <c r="P249" s="183"/>
      <c r="Q249" s="104"/>
      <c r="R249" s="388"/>
      <c r="S249" s="104"/>
    </row>
    <row r="250" ht="29.25" customHeight="1">
      <c r="A250" s="230"/>
      <c r="B250" s="389"/>
      <c r="C250" s="390"/>
      <c r="D250" s="391"/>
      <c r="E250" s="392"/>
      <c r="F250" s="162"/>
      <c r="G250" s="232"/>
      <c r="H250" s="232"/>
      <c r="I250" s="181"/>
      <c r="J250" s="182"/>
      <c r="K250" s="182"/>
      <c r="L250" s="182"/>
      <c r="M250" s="165"/>
      <c r="N250" s="181"/>
      <c r="O250" s="181"/>
      <c r="P250" s="183"/>
      <c r="Q250" s="104"/>
      <c r="R250" s="393"/>
      <c r="S250" s="104"/>
    </row>
    <row r="251" ht="29.25" customHeight="1">
      <c r="A251" s="230"/>
      <c r="B251" s="389"/>
      <c r="C251" s="390"/>
      <c r="D251" s="391"/>
      <c r="E251" s="383"/>
      <c r="F251" s="162"/>
      <c r="G251" s="232"/>
      <c r="H251" s="232"/>
      <c r="I251" s="181"/>
      <c r="J251" s="182"/>
      <c r="K251" s="182"/>
      <c r="L251" s="182"/>
      <c r="M251" s="165"/>
      <c r="N251" s="181"/>
      <c r="O251" s="181"/>
      <c r="P251" s="183"/>
      <c r="Q251" s="104"/>
      <c r="R251" s="388"/>
      <c r="S251" s="104"/>
    </row>
    <row r="252" ht="29.25" customHeight="1">
      <c r="A252" s="230"/>
      <c r="B252" s="389"/>
      <c r="C252" s="390"/>
      <c r="D252" s="391"/>
      <c r="E252" s="392"/>
      <c r="F252" s="162"/>
      <c r="G252" s="232"/>
      <c r="H252" s="232"/>
      <c r="I252" s="181"/>
      <c r="J252" s="182"/>
      <c r="K252" s="182"/>
      <c r="L252" s="182"/>
      <c r="M252" s="165"/>
      <c r="N252" s="181"/>
      <c r="O252" s="181"/>
      <c r="P252" s="183"/>
      <c r="Q252" s="104"/>
      <c r="R252" s="393"/>
      <c r="S252" s="104"/>
    </row>
    <row r="253" ht="29.25" customHeight="1">
      <c r="A253" s="230"/>
      <c r="B253" s="389"/>
      <c r="C253" s="390"/>
      <c r="D253" s="391"/>
      <c r="E253" s="383"/>
      <c r="F253" s="162"/>
      <c r="G253" s="232"/>
      <c r="H253" s="232"/>
      <c r="I253" s="181"/>
      <c r="J253" s="182"/>
      <c r="K253" s="182"/>
      <c r="L253" s="182"/>
      <c r="M253" s="165"/>
      <c r="N253" s="181"/>
      <c r="O253" s="181"/>
      <c r="P253" s="183"/>
      <c r="Q253" s="104"/>
      <c r="R253" s="388"/>
      <c r="S253" s="104"/>
    </row>
    <row r="254" ht="29.25" customHeight="1">
      <c r="A254" s="230"/>
      <c r="B254" s="389"/>
      <c r="C254" s="390"/>
      <c r="D254" s="391"/>
      <c r="E254" s="392"/>
      <c r="F254" s="162"/>
      <c r="G254" s="232"/>
      <c r="H254" s="232"/>
      <c r="I254" s="181"/>
      <c r="J254" s="182"/>
      <c r="K254" s="182"/>
      <c r="L254" s="182"/>
      <c r="M254" s="165"/>
      <c r="N254" s="181"/>
      <c r="O254" s="181"/>
      <c r="P254" s="183"/>
      <c r="Q254" s="104"/>
      <c r="R254" s="393"/>
      <c r="S254" s="104"/>
    </row>
    <row r="255" ht="29.25" customHeight="1">
      <c r="A255" s="230"/>
      <c r="B255" s="389"/>
      <c r="C255" s="390"/>
      <c r="D255" s="391"/>
      <c r="E255" s="383"/>
      <c r="F255" s="162"/>
      <c r="G255" s="232"/>
      <c r="H255" s="232"/>
      <c r="I255" s="181"/>
      <c r="J255" s="182"/>
      <c r="K255" s="182"/>
      <c r="L255" s="182"/>
      <c r="M255" s="165"/>
      <c r="N255" s="181"/>
      <c r="O255" s="181"/>
      <c r="P255" s="183"/>
      <c r="Q255" s="104"/>
      <c r="R255" s="388"/>
      <c r="S255" s="104"/>
    </row>
    <row r="256" ht="29.25" customHeight="1">
      <c r="A256" s="230"/>
      <c r="B256" s="389"/>
      <c r="C256" s="390"/>
      <c r="D256" s="391"/>
      <c r="E256" s="392"/>
      <c r="F256" s="162"/>
      <c r="G256" s="232"/>
      <c r="H256" s="232"/>
      <c r="I256" s="181"/>
      <c r="J256" s="182"/>
      <c r="K256" s="182"/>
      <c r="L256" s="182"/>
      <c r="M256" s="165"/>
      <c r="N256" s="181"/>
      <c r="O256" s="181"/>
      <c r="P256" s="183"/>
      <c r="Q256" s="104"/>
      <c r="R256" s="393"/>
      <c r="S256" s="104"/>
    </row>
    <row r="257" ht="29.25" customHeight="1">
      <c r="A257" s="230"/>
      <c r="B257" s="389"/>
      <c r="C257" s="390"/>
      <c r="D257" s="391"/>
      <c r="E257" s="383"/>
      <c r="F257" s="162"/>
      <c r="G257" s="232"/>
      <c r="H257" s="232"/>
      <c r="I257" s="181"/>
      <c r="J257" s="182"/>
      <c r="K257" s="182"/>
      <c r="L257" s="182"/>
      <c r="M257" s="165"/>
      <c r="N257" s="181"/>
      <c r="O257" s="181"/>
      <c r="P257" s="183"/>
      <c r="Q257" s="104"/>
      <c r="R257" s="388"/>
      <c r="S257" s="104"/>
    </row>
    <row r="258" ht="29.25" customHeight="1">
      <c r="A258" s="230"/>
      <c r="B258" s="389"/>
      <c r="C258" s="390"/>
      <c r="D258" s="391"/>
      <c r="E258" s="392"/>
      <c r="F258" s="162"/>
      <c r="G258" s="232"/>
      <c r="H258" s="232"/>
      <c r="I258" s="181"/>
      <c r="J258" s="182"/>
      <c r="K258" s="182"/>
      <c r="L258" s="182"/>
      <c r="M258" s="165"/>
      <c r="N258" s="181"/>
      <c r="O258" s="181"/>
      <c r="P258" s="183"/>
      <c r="Q258" s="104"/>
      <c r="R258" s="393"/>
      <c r="S258" s="104"/>
    </row>
    <row r="259" ht="29.25" customHeight="1">
      <c r="A259" s="230"/>
      <c r="B259" s="389"/>
      <c r="C259" s="390"/>
      <c r="D259" s="391"/>
      <c r="E259" s="383"/>
      <c r="F259" s="162"/>
      <c r="G259" s="232"/>
      <c r="H259" s="232"/>
      <c r="I259" s="181"/>
      <c r="J259" s="182"/>
      <c r="K259" s="182"/>
      <c r="L259" s="182"/>
      <c r="M259" s="165"/>
      <c r="N259" s="181"/>
      <c r="O259" s="181"/>
      <c r="P259" s="183"/>
      <c r="Q259" s="104"/>
      <c r="R259" s="388"/>
      <c r="S259" s="104"/>
    </row>
    <row r="260" ht="29.25" customHeight="1">
      <c r="A260" s="230"/>
      <c r="B260" s="389"/>
      <c r="C260" s="390"/>
      <c r="D260" s="391"/>
      <c r="E260" s="392"/>
      <c r="F260" s="162"/>
      <c r="G260" s="232"/>
      <c r="H260" s="232"/>
      <c r="I260" s="181"/>
      <c r="J260" s="182"/>
      <c r="K260" s="182"/>
      <c r="L260" s="182"/>
      <c r="M260" s="165"/>
      <c r="N260" s="181"/>
      <c r="O260" s="181"/>
      <c r="P260" s="183"/>
      <c r="Q260" s="104"/>
      <c r="R260" s="393"/>
      <c r="S260" s="104"/>
    </row>
    <row r="261" ht="29.25" customHeight="1">
      <c r="A261" s="230"/>
      <c r="B261" s="389"/>
      <c r="C261" s="390"/>
      <c r="D261" s="391"/>
      <c r="E261" s="383"/>
      <c r="F261" s="162"/>
      <c r="G261" s="232"/>
      <c r="H261" s="232"/>
      <c r="I261" s="181"/>
      <c r="J261" s="182"/>
      <c r="K261" s="182"/>
      <c r="L261" s="182"/>
      <c r="M261" s="165"/>
      <c r="N261" s="181"/>
      <c r="O261" s="181"/>
      <c r="P261" s="183"/>
      <c r="Q261" s="104"/>
      <c r="R261" s="388"/>
      <c r="S261" s="104"/>
    </row>
    <row r="262" ht="29.25" customHeight="1">
      <c r="A262" s="230"/>
      <c r="B262" s="389"/>
      <c r="C262" s="390"/>
      <c r="D262" s="391"/>
      <c r="E262" s="392"/>
      <c r="F262" s="162"/>
      <c r="G262" s="232"/>
      <c r="H262" s="232"/>
      <c r="I262" s="181"/>
      <c r="J262" s="182"/>
      <c r="K262" s="182"/>
      <c r="L262" s="182"/>
      <c r="M262" s="165"/>
      <c r="N262" s="181"/>
      <c r="O262" s="181"/>
      <c r="P262" s="183"/>
      <c r="Q262" s="104"/>
      <c r="R262" s="393"/>
      <c r="S262" s="104"/>
    </row>
    <row r="263" ht="29.25" customHeight="1">
      <c r="A263" s="230"/>
      <c r="B263" s="389"/>
      <c r="C263" s="390"/>
      <c r="D263" s="391"/>
      <c r="E263" s="383"/>
      <c r="F263" s="162"/>
      <c r="G263" s="232"/>
      <c r="H263" s="232"/>
      <c r="I263" s="181"/>
      <c r="J263" s="182"/>
      <c r="K263" s="182"/>
      <c r="L263" s="182"/>
      <c r="M263" s="165"/>
      <c r="N263" s="181"/>
      <c r="O263" s="181"/>
      <c r="P263" s="183"/>
      <c r="Q263" s="104"/>
      <c r="R263" s="388"/>
      <c r="S263" s="104"/>
    </row>
    <row r="264" ht="29.25" customHeight="1">
      <c r="A264" s="230"/>
      <c r="B264" s="389"/>
      <c r="C264" s="390"/>
      <c r="D264" s="391"/>
      <c r="E264" s="392"/>
      <c r="F264" s="162"/>
      <c r="G264" s="232"/>
      <c r="H264" s="232"/>
      <c r="I264" s="181"/>
      <c r="J264" s="182"/>
      <c r="K264" s="182"/>
      <c r="L264" s="182"/>
      <c r="M264" s="165"/>
      <c r="N264" s="181"/>
      <c r="O264" s="181"/>
      <c r="P264" s="183"/>
      <c r="Q264" s="104"/>
      <c r="R264" s="393"/>
      <c r="S264" s="104"/>
    </row>
    <row r="265" ht="29.25" customHeight="1">
      <c r="A265" s="230"/>
      <c r="B265" s="389"/>
      <c r="C265" s="390"/>
      <c r="D265" s="391"/>
      <c r="E265" s="383"/>
      <c r="F265" s="162"/>
      <c r="G265" s="232"/>
      <c r="H265" s="232"/>
      <c r="I265" s="181"/>
      <c r="J265" s="182"/>
      <c r="K265" s="182"/>
      <c r="L265" s="182"/>
      <c r="M265" s="165"/>
      <c r="N265" s="181"/>
      <c r="O265" s="181"/>
      <c r="P265" s="183"/>
      <c r="Q265" s="104"/>
      <c r="R265" s="388"/>
      <c r="S265" s="104"/>
    </row>
    <row r="266" ht="29.25" customHeight="1">
      <c r="A266" s="230"/>
      <c r="B266" s="389"/>
      <c r="C266" s="390"/>
      <c r="D266" s="391"/>
      <c r="E266" s="392"/>
      <c r="F266" s="162"/>
      <c r="G266" s="232"/>
      <c r="H266" s="232"/>
      <c r="I266" s="181"/>
      <c r="J266" s="182"/>
      <c r="K266" s="182"/>
      <c r="L266" s="182"/>
      <c r="M266" s="165"/>
      <c r="N266" s="181"/>
      <c r="O266" s="181"/>
      <c r="P266" s="183"/>
      <c r="Q266" s="104"/>
      <c r="R266" s="393"/>
      <c r="S266" s="104"/>
    </row>
    <row r="267" ht="29.25" customHeight="1">
      <c r="A267" s="230"/>
      <c r="B267" s="389"/>
      <c r="C267" s="390"/>
      <c r="D267" s="391"/>
      <c r="E267" s="383"/>
      <c r="F267" s="162"/>
      <c r="G267" s="232"/>
      <c r="H267" s="232"/>
      <c r="I267" s="181"/>
      <c r="J267" s="182"/>
      <c r="K267" s="182"/>
      <c r="L267" s="182"/>
      <c r="M267" s="165"/>
      <c r="N267" s="181"/>
      <c r="O267" s="181"/>
      <c r="P267" s="183"/>
      <c r="Q267" s="104"/>
      <c r="R267" s="388"/>
      <c r="S267" s="104"/>
    </row>
    <row r="268" ht="29.25" customHeight="1">
      <c r="A268" s="230"/>
      <c r="B268" s="389"/>
      <c r="C268" s="390"/>
      <c r="D268" s="391"/>
      <c r="E268" s="392"/>
      <c r="F268" s="162"/>
      <c r="G268" s="232"/>
      <c r="H268" s="232"/>
      <c r="I268" s="181"/>
      <c r="J268" s="182"/>
      <c r="K268" s="182"/>
      <c r="L268" s="182"/>
      <c r="M268" s="165"/>
      <c r="N268" s="181"/>
      <c r="O268" s="181"/>
      <c r="P268" s="183"/>
      <c r="Q268" s="104"/>
      <c r="R268" s="393"/>
      <c r="S268" s="104"/>
    </row>
    <row r="269" ht="29.25" customHeight="1">
      <c r="A269" s="230"/>
      <c r="B269" s="389"/>
      <c r="C269" s="390"/>
      <c r="D269" s="391"/>
      <c r="E269" s="383"/>
      <c r="F269" s="162"/>
      <c r="G269" s="232"/>
      <c r="H269" s="232"/>
      <c r="I269" s="181"/>
      <c r="J269" s="182"/>
      <c r="K269" s="182"/>
      <c r="L269" s="182"/>
      <c r="M269" s="165"/>
      <c r="N269" s="181"/>
      <c r="O269" s="181"/>
      <c r="P269" s="183"/>
      <c r="Q269" s="104"/>
      <c r="R269" s="388"/>
      <c r="S269" s="104"/>
    </row>
    <row r="270" ht="29.25" customHeight="1">
      <c r="A270" s="230"/>
      <c r="B270" s="389"/>
      <c r="C270" s="390"/>
      <c r="D270" s="391"/>
      <c r="E270" s="392"/>
      <c r="F270" s="162"/>
      <c r="G270" s="232"/>
      <c r="H270" s="232"/>
      <c r="I270" s="181"/>
      <c r="J270" s="182"/>
      <c r="K270" s="182"/>
      <c r="L270" s="182"/>
      <c r="M270" s="165"/>
      <c r="N270" s="181"/>
      <c r="O270" s="181"/>
      <c r="P270" s="183"/>
      <c r="Q270" s="104"/>
      <c r="R270" s="393"/>
      <c r="S270" s="104"/>
    </row>
    <row r="271" ht="29.25" customHeight="1">
      <c r="A271" s="230"/>
      <c r="B271" s="389"/>
      <c r="C271" s="390"/>
      <c r="D271" s="391"/>
      <c r="E271" s="383"/>
      <c r="F271" s="162"/>
      <c r="G271" s="232"/>
      <c r="H271" s="232"/>
      <c r="I271" s="181"/>
      <c r="J271" s="182"/>
      <c r="K271" s="182"/>
      <c r="L271" s="182"/>
      <c r="M271" s="165"/>
      <c r="N271" s="181"/>
      <c r="O271" s="181"/>
      <c r="P271" s="183"/>
      <c r="Q271" s="104"/>
      <c r="R271" s="388"/>
      <c r="S271" s="104"/>
    </row>
    <row r="272" ht="29.25" customHeight="1">
      <c r="A272" s="230"/>
      <c r="B272" s="389"/>
      <c r="C272" s="390"/>
      <c r="D272" s="391"/>
      <c r="E272" s="392"/>
      <c r="F272" s="162"/>
      <c r="G272" s="232"/>
      <c r="H272" s="232"/>
      <c r="I272" s="181"/>
      <c r="J272" s="182"/>
      <c r="K272" s="182"/>
      <c r="L272" s="182"/>
      <c r="M272" s="165"/>
      <c r="N272" s="181"/>
      <c r="O272" s="181"/>
      <c r="P272" s="183"/>
      <c r="Q272" s="104"/>
      <c r="R272" s="393"/>
      <c r="S272" s="104"/>
    </row>
    <row r="273" ht="29.25" customHeight="1">
      <c r="A273" s="230"/>
      <c r="B273" s="389"/>
      <c r="C273" s="390"/>
      <c r="D273" s="391"/>
      <c r="E273" s="383"/>
      <c r="F273" s="162"/>
      <c r="G273" s="232"/>
      <c r="H273" s="232"/>
      <c r="I273" s="181"/>
      <c r="J273" s="182"/>
      <c r="K273" s="182"/>
      <c r="L273" s="182"/>
      <c r="M273" s="165"/>
      <c r="N273" s="181"/>
      <c r="O273" s="181"/>
      <c r="P273" s="183"/>
      <c r="Q273" s="104"/>
      <c r="R273" s="388"/>
      <c r="S273" s="104"/>
    </row>
    <row r="274" ht="29.25" customHeight="1">
      <c r="A274" s="230"/>
      <c r="B274" s="389"/>
      <c r="C274" s="390"/>
      <c r="D274" s="391"/>
      <c r="E274" s="392"/>
      <c r="F274" s="162"/>
      <c r="G274" s="232"/>
      <c r="H274" s="232"/>
      <c r="I274" s="181"/>
      <c r="J274" s="182"/>
      <c r="K274" s="182"/>
      <c r="L274" s="182"/>
      <c r="M274" s="165"/>
      <c r="N274" s="181"/>
      <c r="O274" s="181"/>
      <c r="P274" s="183"/>
      <c r="Q274" s="104"/>
      <c r="R274" s="393"/>
      <c r="S274" s="104"/>
    </row>
    <row r="275" ht="29.25" customHeight="1">
      <c r="A275" s="230"/>
      <c r="B275" s="389"/>
      <c r="C275" s="390"/>
      <c r="D275" s="391"/>
      <c r="E275" s="383"/>
      <c r="F275" s="162"/>
      <c r="G275" s="232"/>
      <c r="H275" s="232"/>
      <c r="I275" s="181"/>
      <c r="J275" s="182"/>
      <c r="K275" s="182"/>
      <c r="L275" s="182"/>
      <c r="M275" s="165"/>
      <c r="N275" s="181"/>
      <c r="O275" s="181"/>
      <c r="P275" s="183"/>
      <c r="Q275" s="104"/>
      <c r="R275" s="388"/>
      <c r="S275" s="104"/>
    </row>
    <row r="276" ht="29.25" customHeight="1">
      <c r="A276" s="230"/>
      <c r="B276" s="389"/>
      <c r="C276" s="390"/>
      <c r="D276" s="391"/>
      <c r="E276" s="392"/>
      <c r="F276" s="162"/>
      <c r="G276" s="232"/>
      <c r="H276" s="232"/>
      <c r="I276" s="181"/>
      <c r="J276" s="182"/>
      <c r="K276" s="182"/>
      <c r="L276" s="182"/>
      <c r="M276" s="165"/>
      <c r="N276" s="181"/>
      <c r="O276" s="181"/>
      <c r="P276" s="183"/>
      <c r="Q276" s="104"/>
      <c r="R276" s="393"/>
      <c r="S276" s="104"/>
    </row>
    <row r="277" ht="29.25" customHeight="1">
      <c r="A277" s="230"/>
      <c r="B277" s="389"/>
      <c r="C277" s="390"/>
      <c r="D277" s="391"/>
      <c r="E277" s="383"/>
      <c r="F277" s="162"/>
      <c r="G277" s="232"/>
      <c r="H277" s="232"/>
      <c r="I277" s="181"/>
      <c r="J277" s="182"/>
      <c r="K277" s="182"/>
      <c r="L277" s="182"/>
      <c r="M277" s="165"/>
      <c r="N277" s="181"/>
      <c r="O277" s="181"/>
      <c r="P277" s="183"/>
      <c r="Q277" s="104"/>
      <c r="R277" s="388"/>
      <c r="S277" s="104"/>
    </row>
    <row r="278" ht="29.25" customHeight="1">
      <c r="A278" s="230"/>
      <c r="B278" s="389"/>
      <c r="C278" s="390"/>
      <c r="D278" s="391"/>
      <c r="E278" s="392"/>
      <c r="F278" s="162"/>
      <c r="G278" s="232"/>
      <c r="H278" s="232"/>
      <c r="I278" s="181"/>
      <c r="J278" s="182"/>
      <c r="K278" s="182"/>
      <c r="L278" s="182"/>
      <c r="M278" s="165"/>
      <c r="N278" s="181"/>
      <c r="O278" s="181"/>
      <c r="P278" s="183"/>
      <c r="Q278" s="104"/>
      <c r="R278" s="393"/>
      <c r="S278" s="104"/>
    </row>
    <row r="279" ht="29.25" customHeight="1">
      <c r="A279" s="230"/>
      <c r="B279" s="389"/>
      <c r="C279" s="390"/>
      <c r="D279" s="391"/>
      <c r="E279" s="383"/>
      <c r="F279" s="162"/>
      <c r="G279" s="232"/>
      <c r="H279" s="232"/>
      <c r="I279" s="181"/>
      <c r="J279" s="182"/>
      <c r="K279" s="182"/>
      <c r="L279" s="182"/>
      <c r="M279" s="165"/>
      <c r="N279" s="181"/>
      <c r="O279" s="181"/>
      <c r="P279" s="183"/>
      <c r="Q279" s="104"/>
      <c r="R279" s="388"/>
      <c r="S279" s="104"/>
    </row>
    <row r="280" ht="29.25" customHeight="1">
      <c r="A280" s="230"/>
      <c r="B280" s="389"/>
      <c r="C280" s="390"/>
      <c r="D280" s="391"/>
      <c r="E280" s="392"/>
      <c r="F280" s="162"/>
      <c r="G280" s="232"/>
      <c r="H280" s="232"/>
      <c r="I280" s="181"/>
      <c r="J280" s="182"/>
      <c r="K280" s="182"/>
      <c r="L280" s="182"/>
      <c r="M280" s="165"/>
      <c r="N280" s="181"/>
      <c r="O280" s="181"/>
      <c r="P280" s="183"/>
      <c r="Q280" s="104"/>
      <c r="R280" s="393"/>
      <c r="S280" s="104"/>
    </row>
    <row r="281" ht="29.25" customHeight="1">
      <c r="A281" s="230"/>
      <c r="B281" s="389"/>
      <c r="C281" s="390"/>
      <c r="D281" s="391"/>
      <c r="E281" s="383"/>
      <c r="F281" s="162"/>
      <c r="G281" s="232"/>
      <c r="H281" s="232"/>
      <c r="I281" s="181"/>
      <c r="J281" s="182"/>
      <c r="K281" s="182"/>
      <c r="L281" s="182"/>
      <c r="M281" s="165"/>
      <c r="N281" s="181"/>
      <c r="O281" s="181"/>
      <c r="P281" s="183"/>
      <c r="Q281" s="104"/>
      <c r="R281" s="388"/>
      <c r="S281" s="104"/>
    </row>
    <row r="282" ht="29.25" customHeight="1">
      <c r="A282" s="230"/>
      <c r="B282" s="389"/>
      <c r="C282" s="390"/>
      <c r="D282" s="391"/>
      <c r="E282" s="392"/>
      <c r="F282" s="162"/>
      <c r="G282" s="232"/>
      <c r="H282" s="232"/>
      <c r="I282" s="181"/>
      <c r="J282" s="182"/>
      <c r="K282" s="182"/>
      <c r="L282" s="182"/>
      <c r="M282" s="165"/>
      <c r="N282" s="181"/>
      <c r="O282" s="181"/>
      <c r="P282" s="183"/>
      <c r="Q282" s="104"/>
      <c r="R282" s="393"/>
      <c r="S282" s="104"/>
    </row>
    <row r="283" ht="29.25" customHeight="1">
      <c r="A283" s="230"/>
      <c r="B283" s="389"/>
      <c r="C283" s="390"/>
      <c r="D283" s="391"/>
      <c r="E283" s="383"/>
      <c r="F283" s="162"/>
      <c r="G283" s="232"/>
      <c r="H283" s="232"/>
      <c r="I283" s="181"/>
      <c r="J283" s="182"/>
      <c r="K283" s="182"/>
      <c r="L283" s="182"/>
      <c r="M283" s="165"/>
      <c r="N283" s="181"/>
      <c r="O283" s="181"/>
      <c r="P283" s="183"/>
      <c r="Q283" s="104"/>
      <c r="R283" s="388"/>
      <c r="S283" s="104"/>
    </row>
    <row r="284" ht="29.25" customHeight="1">
      <c r="A284" s="230"/>
      <c r="B284" s="389"/>
      <c r="C284" s="390"/>
      <c r="D284" s="391"/>
      <c r="E284" s="392"/>
      <c r="F284" s="162"/>
      <c r="G284" s="232"/>
      <c r="H284" s="232"/>
      <c r="I284" s="181"/>
      <c r="J284" s="182"/>
      <c r="K284" s="182"/>
      <c r="L284" s="182"/>
      <c r="M284" s="165"/>
      <c r="N284" s="181"/>
      <c r="O284" s="181"/>
      <c r="P284" s="183"/>
      <c r="Q284" s="104"/>
      <c r="R284" s="393"/>
      <c r="S284" s="104"/>
    </row>
    <row r="285" ht="29.25" customHeight="1">
      <c r="A285" s="230"/>
      <c r="B285" s="389"/>
      <c r="C285" s="390"/>
      <c r="D285" s="391"/>
      <c r="E285" s="383"/>
      <c r="F285" s="162"/>
      <c r="G285" s="232"/>
      <c r="H285" s="232"/>
      <c r="I285" s="181"/>
      <c r="J285" s="182"/>
      <c r="K285" s="182"/>
      <c r="L285" s="182"/>
      <c r="M285" s="165"/>
      <c r="N285" s="181"/>
      <c r="O285" s="181"/>
      <c r="P285" s="183"/>
      <c r="Q285" s="104"/>
      <c r="R285" s="388"/>
      <c r="S285" s="104"/>
    </row>
    <row r="286" ht="29.25" customHeight="1">
      <c r="A286" s="230"/>
      <c r="B286" s="389"/>
      <c r="C286" s="390"/>
      <c r="D286" s="391"/>
      <c r="E286" s="392"/>
      <c r="F286" s="162"/>
      <c r="G286" s="232"/>
      <c r="H286" s="232"/>
      <c r="I286" s="181"/>
      <c r="J286" s="182"/>
      <c r="K286" s="182"/>
      <c r="L286" s="182"/>
      <c r="M286" s="165"/>
      <c r="N286" s="181"/>
      <c r="O286" s="181"/>
      <c r="P286" s="183"/>
      <c r="Q286" s="104"/>
      <c r="R286" s="393"/>
      <c r="S286" s="104"/>
    </row>
    <row r="287" ht="29.25" customHeight="1">
      <c r="A287" s="230"/>
      <c r="B287" s="389"/>
      <c r="C287" s="390"/>
      <c r="D287" s="391"/>
      <c r="E287" s="383"/>
      <c r="F287" s="162"/>
      <c r="G287" s="232"/>
      <c r="H287" s="232"/>
      <c r="I287" s="181"/>
      <c r="J287" s="182"/>
      <c r="K287" s="182"/>
      <c r="L287" s="182"/>
      <c r="M287" s="165"/>
      <c r="N287" s="181"/>
      <c r="O287" s="181"/>
      <c r="P287" s="183"/>
      <c r="Q287" s="104"/>
      <c r="R287" s="388"/>
      <c r="S287" s="104"/>
    </row>
    <row r="288" ht="29.25" customHeight="1">
      <c r="A288" s="230"/>
      <c r="B288" s="389"/>
      <c r="C288" s="390"/>
      <c r="D288" s="391"/>
      <c r="E288" s="392"/>
      <c r="F288" s="162"/>
      <c r="G288" s="232"/>
      <c r="H288" s="232"/>
      <c r="I288" s="181"/>
      <c r="J288" s="182"/>
      <c r="K288" s="182"/>
      <c r="L288" s="182"/>
      <c r="M288" s="165"/>
      <c r="N288" s="181"/>
      <c r="O288" s="181"/>
      <c r="P288" s="183"/>
      <c r="Q288" s="104"/>
      <c r="R288" s="393"/>
      <c r="S288" s="104"/>
    </row>
    <row r="289" ht="29.25" customHeight="1">
      <c r="A289" s="230"/>
      <c r="B289" s="389"/>
      <c r="C289" s="390"/>
      <c r="D289" s="391"/>
      <c r="E289" s="383"/>
      <c r="F289" s="162"/>
      <c r="G289" s="232"/>
      <c r="H289" s="232"/>
      <c r="I289" s="181"/>
      <c r="J289" s="182"/>
      <c r="K289" s="182"/>
      <c r="L289" s="182"/>
      <c r="M289" s="165"/>
      <c r="N289" s="181"/>
      <c r="O289" s="181"/>
      <c r="P289" s="183"/>
      <c r="Q289" s="104"/>
      <c r="R289" s="388"/>
      <c r="S289" s="104"/>
    </row>
    <row r="290" ht="29.25" customHeight="1">
      <c r="A290" s="230"/>
      <c r="B290" s="389"/>
      <c r="C290" s="390"/>
      <c r="D290" s="391"/>
      <c r="E290" s="392"/>
      <c r="F290" s="162"/>
      <c r="G290" s="232"/>
      <c r="H290" s="232"/>
      <c r="I290" s="181"/>
      <c r="J290" s="182"/>
      <c r="K290" s="182"/>
      <c r="L290" s="182"/>
      <c r="M290" s="165"/>
      <c r="N290" s="181"/>
      <c r="O290" s="181"/>
      <c r="P290" s="183"/>
      <c r="Q290" s="104"/>
      <c r="R290" s="393"/>
      <c r="S290" s="104"/>
    </row>
    <row r="291" ht="29.25" customHeight="1">
      <c r="A291" s="230"/>
      <c r="B291" s="389"/>
      <c r="C291" s="390"/>
      <c r="D291" s="391"/>
      <c r="E291" s="383"/>
      <c r="F291" s="162"/>
      <c r="G291" s="232"/>
      <c r="H291" s="232"/>
      <c r="I291" s="181"/>
      <c r="J291" s="182"/>
      <c r="K291" s="182"/>
      <c r="L291" s="182"/>
      <c r="M291" s="165"/>
      <c r="N291" s="181"/>
      <c r="O291" s="181"/>
      <c r="P291" s="183"/>
      <c r="Q291" s="104"/>
      <c r="R291" s="388"/>
      <c r="S291" s="104"/>
    </row>
    <row r="292" ht="29.25" customHeight="1">
      <c r="A292" s="230"/>
      <c r="B292" s="389"/>
      <c r="C292" s="390"/>
      <c r="D292" s="391"/>
      <c r="E292" s="392"/>
      <c r="F292" s="162"/>
      <c r="G292" s="232"/>
      <c r="H292" s="232"/>
      <c r="I292" s="181"/>
      <c r="J292" s="182"/>
      <c r="K292" s="182"/>
      <c r="L292" s="182"/>
      <c r="M292" s="165"/>
      <c r="N292" s="181"/>
      <c r="O292" s="181"/>
      <c r="P292" s="183"/>
      <c r="Q292" s="104"/>
      <c r="R292" s="393"/>
      <c r="S292" s="104"/>
    </row>
    <row r="293" ht="29.25" customHeight="1">
      <c r="A293" s="230"/>
      <c r="B293" s="389"/>
      <c r="C293" s="390"/>
      <c r="D293" s="391"/>
      <c r="E293" s="383"/>
      <c r="F293" s="162"/>
      <c r="G293" s="232"/>
      <c r="H293" s="232"/>
      <c r="I293" s="181"/>
      <c r="J293" s="182"/>
      <c r="K293" s="182"/>
      <c r="L293" s="182"/>
      <c r="M293" s="165"/>
      <c r="N293" s="181"/>
      <c r="O293" s="181"/>
      <c r="P293" s="183"/>
      <c r="Q293" s="104"/>
      <c r="R293" s="388"/>
      <c r="S293" s="104"/>
    </row>
    <row r="294" ht="29.25" customHeight="1">
      <c r="A294" s="230"/>
      <c r="B294" s="389"/>
      <c r="C294" s="390"/>
      <c r="D294" s="391"/>
      <c r="E294" s="392"/>
      <c r="F294" s="162"/>
      <c r="G294" s="232"/>
      <c r="H294" s="232"/>
      <c r="I294" s="181"/>
      <c r="J294" s="182"/>
      <c r="K294" s="182"/>
      <c r="L294" s="182"/>
      <c r="M294" s="165"/>
      <c r="N294" s="181"/>
      <c r="O294" s="181"/>
      <c r="P294" s="183"/>
      <c r="Q294" s="104"/>
      <c r="R294" s="393"/>
      <c r="S294" s="104"/>
    </row>
    <row r="295" ht="29.25" customHeight="1">
      <c r="A295" s="230"/>
      <c r="B295" s="389"/>
      <c r="C295" s="390"/>
      <c r="D295" s="391"/>
      <c r="E295" s="383"/>
      <c r="F295" s="162"/>
      <c r="G295" s="232"/>
      <c r="H295" s="232"/>
      <c r="I295" s="181"/>
      <c r="J295" s="182"/>
      <c r="K295" s="182"/>
      <c r="L295" s="182"/>
      <c r="M295" s="165"/>
      <c r="N295" s="181"/>
      <c r="O295" s="181"/>
      <c r="P295" s="183"/>
      <c r="Q295" s="104"/>
      <c r="R295" s="388"/>
      <c r="S295" s="104"/>
    </row>
    <row r="296" ht="29.25" customHeight="1">
      <c r="A296" s="230"/>
      <c r="B296" s="389"/>
      <c r="C296" s="390"/>
      <c r="D296" s="391"/>
      <c r="E296" s="392"/>
      <c r="F296" s="162"/>
      <c r="G296" s="232"/>
      <c r="H296" s="232"/>
      <c r="I296" s="181"/>
      <c r="J296" s="182"/>
      <c r="K296" s="182"/>
      <c r="L296" s="182"/>
      <c r="M296" s="165"/>
      <c r="N296" s="181"/>
      <c r="O296" s="181"/>
      <c r="P296" s="183"/>
      <c r="Q296" s="104"/>
      <c r="R296" s="393"/>
      <c r="S296" s="104"/>
    </row>
    <row r="297" ht="29.25" customHeight="1">
      <c r="A297" s="230"/>
      <c r="B297" s="389"/>
      <c r="C297" s="390"/>
      <c r="D297" s="391"/>
      <c r="E297" s="383"/>
      <c r="F297" s="162"/>
      <c r="G297" s="232"/>
      <c r="H297" s="232"/>
      <c r="I297" s="181"/>
      <c r="J297" s="182"/>
      <c r="K297" s="182"/>
      <c r="L297" s="182"/>
      <c r="M297" s="165"/>
      <c r="N297" s="181"/>
      <c r="O297" s="181"/>
      <c r="P297" s="183"/>
      <c r="Q297" s="104"/>
      <c r="R297" s="388"/>
      <c r="S297" s="104"/>
    </row>
    <row r="298" ht="29.25" customHeight="1">
      <c r="A298" s="230"/>
      <c r="B298" s="389"/>
      <c r="C298" s="390"/>
      <c r="D298" s="391"/>
      <c r="E298" s="392"/>
      <c r="F298" s="162"/>
      <c r="G298" s="232"/>
      <c r="H298" s="232"/>
      <c r="I298" s="181"/>
      <c r="J298" s="182"/>
      <c r="K298" s="182"/>
      <c r="L298" s="182"/>
      <c r="M298" s="165"/>
      <c r="N298" s="181"/>
      <c r="O298" s="181"/>
      <c r="P298" s="183"/>
      <c r="Q298" s="104"/>
      <c r="R298" s="393"/>
      <c r="S298" s="104"/>
    </row>
    <row r="299" ht="29.25" customHeight="1">
      <c r="A299" s="230"/>
      <c r="B299" s="389"/>
      <c r="C299" s="390"/>
      <c r="D299" s="391"/>
      <c r="E299" s="383"/>
      <c r="F299" s="162"/>
      <c r="G299" s="232"/>
      <c r="H299" s="232"/>
      <c r="I299" s="181"/>
      <c r="J299" s="182"/>
      <c r="K299" s="182"/>
      <c r="L299" s="182"/>
      <c r="M299" s="165"/>
      <c r="N299" s="181"/>
      <c r="O299" s="181"/>
      <c r="P299" s="183"/>
      <c r="Q299" s="104"/>
      <c r="R299" s="388"/>
      <c r="S299" s="104"/>
    </row>
    <row r="300" ht="29.25" customHeight="1">
      <c r="A300" s="230"/>
      <c r="B300" s="389"/>
      <c r="C300" s="390"/>
      <c r="D300" s="391"/>
      <c r="E300" s="392"/>
      <c r="F300" s="162"/>
      <c r="G300" s="232"/>
      <c r="H300" s="232"/>
      <c r="I300" s="181"/>
      <c r="J300" s="182"/>
      <c r="K300" s="182"/>
      <c r="L300" s="182"/>
      <c r="M300" s="165"/>
      <c r="N300" s="181"/>
      <c r="O300" s="181"/>
      <c r="P300" s="183"/>
      <c r="Q300" s="104"/>
      <c r="R300" s="393"/>
      <c r="S300" s="104"/>
    </row>
    <row r="301" ht="29.25" customHeight="1">
      <c r="A301" s="230"/>
      <c r="B301" s="389"/>
      <c r="C301" s="390"/>
      <c r="D301" s="391"/>
      <c r="E301" s="383"/>
      <c r="F301" s="162"/>
      <c r="G301" s="232"/>
      <c r="H301" s="232"/>
      <c r="I301" s="181"/>
      <c r="J301" s="182"/>
      <c r="K301" s="182"/>
      <c r="L301" s="182"/>
      <c r="M301" s="165"/>
      <c r="N301" s="181"/>
      <c r="O301" s="181"/>
      <c r="P301" s="183"/>
      <c r="Q301" s="104"/>
      <c r="R301" s="388"/>
      <c r="S301" s="104"/>
    </row>
    <row r="302" ht="29.25" customHeight="1">
      <c r="A302" s="230"/>
      <c r="B302" s="389"/>
      <c r="C302" s="390"/>
      <c r="D302" s="391"/>
      <c r="E302" s="392"/>
      <c r="F302" s="162"/>
      <c r="G302" s="232"/>
      <c r="H302" s="232"/>
      <c r="I302" s="181"/>
      <c r="J302" s="182"/>
      <c r="K302" s="182"/>
      <c r="L302" s="182"/>
      <c r="M302" s="165"/>
      <c r="N302" s="181"/>
      <c r="O302" s="181"/>
      <c r="P302" s="183"/>
      <c r="Q302" s="104"/>
      <c r="R302" s="393"/>
      <c r="S302" s="104"/>
    </row>
    <row r="303" ht="29.25" customHeight="1">
      <c r="A303" s="230"/>
      <c r="B303" s="389"/>
      <c r="C303" s="390"/>
      <c r="D303" s="391"/>
      <c r="E303" s="383"/>
      <c r="F303" s="162"/>
      <c r="G303" s="232"/>
      <c r="H303" s="232"/>
      <c r="I303" s="181"/>
      <c r="J303" s="182"/>
      <c r="K303" s="182"/>
      <c r="L303" s="182"/>
      <c r="M303" s="165"/>
      <c r="N303" s="181"/>
      <c r="O303" s="181"/>
      <c r="P303" s="183"/>
      <c r="Q303" s="104"/>
      <c r="R303" s="388"/>
      <c r="S303" s="104"/>
    </row>
    <row r="304" ht="29.25" customHeight="1">
      <c r="A304" s="230"/>
      <c r="B304" s="389"/>
      <c r="C304" s="390"/>
      <c r="D304" s="391"/>
      <c r="E304" s="392"/>
      <c r="F304" s="162"/>
      <c r="G304" s="232"/>
      <c r="H304" s="232"/>
      <c r="I304" s="181"/>
      <c r="J304" s="182"/>
      <c r="K304" s="182"/>
      <c r="L304" s="182"/>
      <c r="M304" s="165"/>
      <c r="N304" s="181"/>
      <c r="O304" s="181"/>
      <c r="P304" s="183"/>
      <c r="Q304" s="104"/>
      <c r="R304" s="393"/>
      <c r="S304" s="104"/>
    </row>
    <row r="305" ht="29.25" customHeight="1">
      <c r="A305" s="230"/>
      <c r="B305" s="389"/>
      <c r="C305" s="390"/>
      <c r="D305" s="391"/>
      <c r="E305" s="383"/>
      <c r="F305" s="162"/>
      <c r="G305" s="232"/>
      <c r="H305" s="232"/>
      <c r="I305" s="181"/>
      <c r="J305" s="182"/>
      <c r="K305" s="182"/>
      <c r="L305" s="182"/>
      <c r="M305" s="165"/>
      <c r="N305" s="181"/>
      <c r="O305" s="181"/>
      <c r="P305" s="183"/>
      <c r="Q305" s="104"/>
      <c r="R305" s="388"/>
      <c r="S305" s="104"/>
    </row>
    <row r="306" ht="29.25" customHeight="1">
      <c r="A306" s="230"/>
      <c r="B306" s="389"/>
      <c r="C306" s="390"/>
      <c r="D306" s="391"/>
      <c r="E306" s="392"/>
      <c r="F306" s="162"/>
      <c r="G306" s="232"/>
      <c r="H306" s="232"/>
      <c r="I306" s="181"/>
      <c r="J306" s="182"/>
      <c r="K306" s="182"/>
      <c r="L306" s="182"/>
      <c r="M306" s="165"/>
      <c r="N306" s="181"/>
      <c r="O306" s="181"/>
      <c r="P306" s="183"/>
      <c r="Q306" s="104"/>
      <c r="R306" s="393"/>
      <c r="S306" s="104"/>
    </row>
    <row r="307" ht="29.25" customHeight="1">
      <c r="A307" s="230"/>
      <c r="B307" s="389"/>
      <c r="C307" s="390"/>
      <c r="D307" s="391"/>
      <c r="E307" s="383"/>
      <c r="F307" s="162"/>
      <c r="G307" s="232"/>
      <c r="H307" s="232"/>
      <c r="I307" s="181"/>
      <c r="J307" s="182"/>
      <c r="K307" s="182"/>
      <c r="L307" s="182"/>
      <c r="M307" s="165"/>
      <c r="N307" s="181"/>
      <c r="O307" s="181"/>
      <c r="P307" s="183"/>
      <c r="Q307" s="104"/>
      <c r="R307" s="388"/>
      <c r="S307" s="104"/>
    </row>
    <row r="308" ht="29.25" customHeight="1">
      <c r="A308" s="230"/>
      <c r="B308" s="389"/>
      <c r="C308" s="390"/>
      <c r="D308" s="391"/>
      <c r="E308" s="392"/>
      <c r="F308" s="162"/>
      <c r="G308" s="232"/>
      <c r="H308" s="232"/>
      <c r="I308" s="181"/>
      <c r="J308" s="182"/>
      <c r="K308" s="182"/>
      <c r="L308" s="182"/>
      <c r="M308" s="165"/>
      <c r="N308" s="181"/>
      <c r="O308" s="181"/>
      <c r="P308" s="183"/>
      <c r="Q308" s="104"/>
      <c r="R308" s="393"/>
      <c r="S308" s="104"/>
    </row>
    <row r="309" ht="29.25" customHeight="1">
      <c r="A309" s="230"/>
      <c r="B309" s="389"/>
      <c r="C309" s="390"/>
      <c r="D309" s="391"/>
      <c r="E309" s="383"/>
      <c r="F309" s="162"/>
      <c r="G309" s="232"/>
      <c r="H309" s="232"/>
      <c r="I309" s="181"/>
      <c r="J309" s="182"/>
      <c r="K309" s="182"/>
      <c r="L309" s="182"/>
      <c r="M309" s="165"/>
      <c r="N309" s="181"/>
      <c r="O309" s="181"/>
      <c r="P309" s="183"/>
      <c r="Q309" s="104"/>
      <c r="R309" s="388"/>
      <c r="S309" s="104"/>
    </row>
    <row r="310" ht="29.25" customHeight="1">
      <c r="A310" s="230"/>
      <c r="B310" s="389"/>
      <c r="C310" s="390"/>
      <c r="D310" s="391"/>
      <c r="E310" s="392"/>
      <c r="F310" s="162"/>
      <c r="G310" s="232"/>
      <c r="H310" s="232"/>
      <c r="I310" s="181"/>
      <c r="J310" s="182"/>
      <c r="K310" s="182"/>
      <c r="L310" s="182"/>
      <c r="M310" s="165"/>
      <c r="N310" s="181"/>
      <c r="O310" s="181"/>
      <c r="P310" s="183"/>
      <c r="Q310" s="104"/>
      <c r="R310" s="393"/>
      <c r="S310" s="104"/>
    </row>
    <row r="311" ht="29.25" customHeight="1">
      <c r="A311" s="230"/>
      <c r="B311" s="389"/>
      <c r="C311" s="390"/>
      <c r="D311" s="391"/>
      <c r="E311" s="383"/>
      <c r="F311" s="162"/>
      <c r="G311" s="232"/>
      <c r="H311" s="232"/>
      <c r="I311" s="181"/>
      <c r="J311" s="182"/>
      <c r="K311" s="182"/>
      <c r="L311" s="182"/>
      <c r="M311" s="165"/>
      <c r="N311" s="181"/>
      <c r="O311" s="181"/>
      <c r="P311" s="183"/>
      <c r="Q311" s="104"/>
      <c r="R311" s="388"/>
      <c r="S311" s="104"/>
    </row>
    <row r="312" ht="29.25" customHeight="1">
      <c r="A312" s="230"/>
      <c r="B312" s="389"/>
      <c r="C312" s="390"/>
      <c r="D312" s="391"/>
      <c r="E312" s="392"/>
      <c r="F312" s="162"/>
      <c r="G312" s="232"/>
      <c r="H312" s="232"/>
      <c r="I312" s="181"/>
      <c r="J312" s="182"/>
      <c r="K312" s="182"/>
      <c r="L312" s="182"/>
      <c r="M312" s="165"/>
      <c r="N312" s="181"/>
      <c r="O312" s="181"/>
      <c r="P312" s="183"/>
      <c r="Q312" s="104"/>
      <c r="R312" s="393"/>
      <c r="S312" s="104"/>
    </row>
    <row r="313" ht="29.25" customHeight="1">
      <c r="A313" s="230"/>
      <c r="B313" s="389"/>
      <c r="C313" s="390"/>
      <c r="D313" s="391"/>
      <c r="E313" s="383"/>
      <c r="F313" s="162"/>
      <c r="G313" s="232"/>
      <c r="H313" s="232"/>
      <c r="I313" s="181"/>
      <c r="J313" s="182"/>
      <c r="K313" s="182"/>
      <c r="L313" s="182"/>
      <c r="M313" s="165"/>
      <c r="N313" s="181"/>
      <c r="O313" s="181"/>
      <c r="P313" s="183"/>
      <c r="Q313" s="104"/>
      <c r="R313" s="388"/>
      <c r="S313" s="104"/>
    </row>
    <row r="314" ht="29.25" customHeight="1">
      <c r="A314" s="230"/>
      <c r="B314" s="389"/>
      <c r="C314" s="390"/>
      <c r="D314" s="391"/>
      <c r="E314" s="392"/>
      <c r="F314" s="162"/>
      <c r="G314" s="232"/>
      <c r="H314" s="232"/>
      <c r="I314" s="181"/>
      <c r="J314" s="182"/>
      <c r="K314" s="182"/>
      <c r="L314" s="182"/>
      <c r="M314" s="165"/>
      <c r="N314" s="181"/>
      <c r="O314" s="181"/>
      <c r="P314" s="183"/>
      <c r="Q314" s="104"/>
      <c r="R314" s="393"/>
      <c r="S314" s="104"/>
    </row>
    <row r="315" ht="29.25" customHeight="1">
      <c r="A315" s="230"/>
      <c r="B315" s="389"/>
      <c r="C315" s="390"/>
      <c r="D315" s="391"/>
      <c r="E315" s="383"/>
      <c r="F315" s="162"/>
      <c r="G315" s="232"/>
      <c r="H315" s="232"/>
      <c r="I315" s="181"/>
      <c r="J315" s="182"/>
      <c r="K315" s="182"/>
      <c r="L315" s="182"/>
      <c r="M315" s="165"/>
      <c r="N315" s="181"/>
      <c r="O315" s="181"/>
      <c r="P315" s="183"/>
      <c r="Q315" s="104"/>
      <c r="R315" s="388"/>
      <c r="S315" s="104"/>
    </row>
    <row r="316" ht="29.25" customHeight="1">
      <c r="A316" s="230"/>
      <c r="B316" s="389"/>
      <c r="C316" s="390"/>
      <c r="D316" s="391"/>
      <c r="E316" s="392"/>
      <c r="F316" s="162"/>
      <c r="G316" s="232"/>
      <c r="H316" s="232"/>
      <c r="I316" s="181"/>
      <c r="J316" s="182"/>
      <c r="K316" s="182"/>
      <c r="L316" s="182"/>
      <c r="M316" s="165"/>
      <c r="N316" s="181"/>
      <c r="O316" s="181"/>
      <c r="P316" s="183"/>
      <c r="Q316" s="104"/>
      <c r="R316" s="393"/>
      <c r="S316" s="104"/>
    </row>
    <row r="317" ht="29.25" customHeight="1">
      <c r="A317" s="230"/>
      <c r="B317" s="389"/>
      <c r="C317" s="390"/>
      <c r="D317" s="391"/>
      <c r="E317" s="383"/>
      <c r="F317" s="162"/>
      <c r="G317" s="232"/>
      <c r="H317" s="232"/>
      <c r="I317" s="181"/>
      <c r="J317" s="182"/>
      <c r="K317" s="182"/>
      <c r="L317" s="182"/>
      <c r="M317" s="165"/>
      <c r="N317" s="181"/>
      <c r="O317" s="181"/>
      <c r="P317" s="183"/>
      <c r="Q317" s="104"/>
      <c r="R317" s="388"/>
      <c r="S317" s="104"/>
    </row>
    <row r="318" ht="29.25" customHeight="1">
      <c r="A318" s="230"/>
      <c r="B318" s="389"/>
      <c r="C318" s="390"/>
      <c r="D318" s="391"/>
      <c r="E318" s="392"/>
      <c r="F318" s="162"/>
      <c r="G318" s="232"/>
      <c r="H318" s="232"/>
      <c r="I318" s="181"/>
      <c r="J318" s="182"/>
      <c r="K318" s="182"/>
      <c r="L318" s="182"/>
      <c r="M318" s="165"/>
      <c r="N318" s="181"/>
      <c r="O318" s="181"/>
      <c r="P318" s="183"/>
      <c r="Q318" s="104"/>
      <c r="R318" s="393"/>
      <c r="S318" s="104"/>
    </row>
    <row r="319" ht="29.25" customHeight="1">
      <c r="A319" s="230"/>
      <c r="B319" s="389"/>
      <c r="C319" s="390"/>
      <c r="D319" s="391"/>
      <c r="E319" s="383"/>
      <c r="F319" s="162"/>
      <c r="G319" s="232"/>
      <c r="H319" s="232"/>
      <c r="I319" s="181"/>
      <c r="J319" s="182"/>
      <c r="K319" s="182"/>
      <c r="L319" s="182"/>
      <c r="M319" s="165"/>
      <c r="N319" s="181"/>
      <c r="O319" s="181"/>
      <c r="P319" s="183"/>
      <c r="Q319" s="104"/>
      <c r="R319" s="388"/>
      <c r="S319" s="104"/>
    </row>
    <row r="320" ht="29.25" customHeight="1">
      <c r="A320" s="230"/>
      <c r="B320" s="389"/>
      <c r="C320" s="390"/>
      <c r="D320" s="391"/>
      <c r="E320" s="392"/>
      <c r="F320" s="162"/>
      <c r="G320" s="232"/>
      <c r="H320" s="232"/>
      <c r="I320" s="181"/>
      <c r="J320" s="182"/>
      <c r="K320" s="182"/>
      <c r="L320" s="182"/>
      <c r="M320" s="165"/>
      <c r="N320" s="181"/>
      <c r="O320" s="181"/>
      <c r="P320" s="183"/>
      <c r="Q320" s="104"/>
      <c r="R320" s="393"/>
      <c r="S320" s="104"/>
    </row>
    <row r="321" ht="29.25" customHeight="1">
      <c r="A321" s="230"/>
      <c r="B321" s="389"/>
      <c r="C321" s="390"/>
      <c r="D321" s="391"/>
      <c r="E321" s="383"/>
      <c r="F321" s="162"/>
      <c r="G321" s="232"/>
      <c r="H321" s="232"/>
      <c r="I321" s="181"/>
      <c r="J321" s="182"/>
      <c r="K321" s="182"/>
      <c r="L321" s="182"/>
      <c r="M321" s="165"/>
      <c r="N321" s="181"/>
      <c r="O321" s="181"/>
      <c r="P321" s="183"/>
      <c r="Q321" s="104"/>
      <c r="R321" s="388"/>
      <c r="S321" s="104"/>
    </row>
    <row r="322" ht="29.25" customHeight="1">
      <c r="A322" s="230"/>
      <c r="B322" s="389"/>
      <c r="C322" s="390"/>
      <c r="D322" s="391"/>
      <c r="E322" s="392"/>
      <c r="F322" s="162"/>
      <c r="G322" s="232"/>
      <c r="H322" s="232"/>
      <c r="I322" s="181"/>
      <c r="J322" s="182"/>
      <c r="K322" s="182"/>
      <c r="L322" s="182"/>
      <c r="M322" s="165"/>
      <c r="N322" s="181"/>
      <c r="O322" s="181"/>
      <c r="P322" s="183"/>
      <c r="Q322" s="104"/>
      <c r="R322" s="393"/>
      <c r="S322" s="104"/>
    </row>
    <row r="323" ht="29.25" customHeight="1">
      <c r="A323" s="230"/>
      <c r="B323" s="389"/>
      <c r="C323" s="390"/>
      <c r="D323" s="391"/>
      <c r="E323" s="383"/>
      <c r="F323" s="162"/>
      <c r="G323" s="232"/>
      <c r="H323" s="232"/>
      <c r="I323" s="181"/>
      <c r="J323" s="182"/>
      <c r="K323" s="182"/>
      <c r="L323" s="182"/>
      <c r="M323" s="165"/>
      <c r="N323" s="181"/>
      <c r="O323" s="181"/>
      <c r="P323" s="183"/>
      <c r="Q323" s="104"/>
      <c r="R323" s="388"/>
      <c r="S323" s="104"/>
    </row>
    <row r="324" ht="29.25" customHeight="1">
      <c r="A324" s="230"/>
      <c r="B324" s="389"/>
      <c r="C324" s="390"/>
      <c r="D324" s="391"/>
      <c r="E324" s="392"/>
      <c r="F324" s="162"/>
      <c r="G324" s="232"/>
      <c r="H324" s="232"/>
      <c r="I324" s="181"/>
      <c r="J324" s="182"/>
      <c r="K324" s="182"/>
      <c r="L324" s="182"/>
      <c r="M324" s="165"/>
      <c r="N324" s="181"/>
      <c r="O324" s="181"/>
      <c r="P324" s="183"/>
      <c r="Q324" s="104"/>
      <c r="R324" s="393"/>
      <c r="S324" s="104"/>
    </row>
    <row r="325" ht="29.25" customHeight="1">
      <c r="A325" s="230"/>
      <c r="B325" s="389"/>
      <c r="C325" s="390"/>
      <c r="D325" s="391"/>
      <c r="E325" s="383"/>
      <c r="F325" s="162"/>
      <c r="G325" s="232"/>
      <c r="H325" s="232"/>
      <c r="I325" s="181"/>
      <c r="J325" s="182"/>
      <c r="K325" s="182"/>
      <c r="L325" s="182"/>
      <c r="M325" s="165"/>
      <c r="N325" s="181"/>
      <c r="O325" s="181"/>
      <c r="P325" s="183"/>
      <c r="Q325" s="104"/>
      <c r="R325" s="388"/>
      <c r="S325" s="104"/>
    </row>
    <row r="326" ht="29.25" customHeight="1">
      <c r="A326" s="230"/>
      <c r="B326" s="389"/>
      <c r="C326" s="390"/>
      <c r="D326" s="391"/>
      <c r="E326" s="392"/>
      <c r="F326" s="162"/>
      <c r="G326" s="232"/>
      <c r="H326" s="232"/>
      <c r="I326" s="181"/>
      <c r="J326" s="182"/>
      <c r="K326" s="182"/>
      <c r="L326" s="182"/>
      <c r="M326" s="165"/>
      <c r="N326" s="181"/>
      <c r="O326" s="181"/>
      <c r="P326" s="183"/>
      <c r="Q326" s="104"/>
      <c r="R326" s="393"/>
      <c r="S326" s="104"/>
    </row>
    <row r="327" ht="29.25" customHeight="1">
      <c r="A327" s="230"/>
      <c r="B327" s="389"/>
      <c r="C327" s="390"/>
      <c r="D327" s="391"/>
      <c r="E327" s="383"/>
      <c r="F327" s="162"/>
      <c r="G327" s="232"/>
      <c r="H327" s="232"/>
      <c r="I327" s="181"/>
      <c r="J327" s="182"/>
      <c r="K327" s="182"/>
      <c r="L327" s="182"/>
      <c r="M327" s="165"/>
      <c r="N327" s="181"/>
      <c r="O327" s="181"/>
      <c r="P327" s="183"/>
      <c r="Q327" s="104"/>
      <c r="R327" s="388"/>
      <c r="S327" s="104"/>
    </row>
    <row r="328" ht="29.25" customHeight="1">
      <c r="A328" s="230"/>
      <c r="B328" s="389"/>
      <c r="C328" s="390"/>
      <c r="D328" s="391"/>
      <c r="E328" s="392"/>
      <c r="F328" s="162"/>
      <c r="G328" s="232"/>
      <c r="H328" s="232"/>
      <c r="I328" s="181"/>
      <c r="J328" s="182"/>
      <c r="K328" s="182"/>
      <c r="L328" s="182"/>
      <c r="M328" s="165"/>
      <c r="N328" s="181"/>
      <c r="O328" s="181"/>
      <c r="P328" s="183"/>
      <c r="Q328" s="104"/>
      <c r="R328" s="393"/>
      <c r="S328" s="104"/>
    </row>
    <row r="329" ht="29.25" customHeight="1">
      <c r="A329" s="230"/>
      <c r="B329" s="389"/>
      <c r="C329" s="390"/>
      <c r="D329" s="391"/>
      <c r="E329" s="383"/>
      <c r="F329" s="162"/>
      <c r="G329" s="232"/>
      <c r="H329" s="232"/>
      <c r="I329" s="181"/>
      <c r="J329" s="182"/>
      <c r="K329" s="182"/>
      <c r="L329" s="182"/>
      <c r="M329" s="165"/>
      <c r="N329" s="181"/>
      <c r="O329" s="181"/>
      <c r="P329" s="183"/>
      <c r="Q329" s="104"/>
      <c r="R329" s="388"/>
      <c r="S329" s="104"/>
    </row>
    <row r="330" ht="29.25" customHeight="1">
      <c r="A330" s="230"/>
      <c r="B330" s="389"/>
      <c r="C330" s="390"/>
      <c r="D330" s="391"/>
      <c r="E330" s="392"/>
      <c r="F330" s="162"/>
      <c r="G330" s="232"/>
      <c r="H330" s="232"/>
      <c r="I330" s="181"/>
      <c r="J330" s="182"/>
      <c r="K330" s="182"/>
      <c r="L330" s="182"/>
      <c r="M330" s="165"/>
      <c r="N330" s="181"/>
      <c r="O330" s="181"/>
      <c r="P330" s="183"/>
      <c r="Q330" s="104"/>
      <c r="R330" s="393"/>
      <c r="S330" s="104"/>
    </row>
    <row r="331" ht="29.25" customHeight="1">
      <c r="A331" s="230"/>
      <c r="B331" s="389"/>
      <c r="C331" s="390"/>
      <c r="D331" s="391"/>
      <c r="E331" s="383"/>
      <c r="F331" s="162"/>
      <c r="G331" s="232"/>
      <c r="H331" s="232"/>
      <c r="I331" s="181"/>
      <c r="J331" s="182"/>
      <c r="K331" s="182"/>
      <c r="L331" s="182"/>
      <c r="M331" s="165"/>
      <c r="N331" s="181"/>
      <c r="O331" s="181"/>
      <c r="P331" s="183"/>
      <c r="Q331" s="104"/>
      <c r="R331" s="388"/>
      <c r="S331" s="104"/>
    </row>
    <row r="332" ht="29.25" customHeight="1">
      <c r="A332" s="230"/>
      <c r="B332" s="389"/>
      <c r="C332" s="390"/>
      <c r="D332" s="391"/>
      <c r="E332" s="392"/>
      <c r="F332" s="162"/>
      <c r="G332" s="232"/>
      <c r="H332" s="232"/>
      <c r="I332" s="181"/>
      <c r="J332" s="182"/>
      <c r="K332" s="182"/>
      <c r="L332" s="182"/>
      <c r="M332" s="165"/>
      <c r="N332" s="181"/>
      <c r="O332" s="181"/>
      <c r="P332" s="183"/>
      <c r="Q332" s="104"/>
      <c r="R332" s="393"/>
      <c r="S332" s="104"/>
    </row>
    <row r="333" ht="29.25" customHeight="1">
      <c r="A333" s="230"/>
      <c r="B333" s="389"/>
      <c r="C333" s="390"/>
      <c r="D333" s="391"/>
      <c r="E333" s="383"/>
      <c r="F333" s="162"/>
      <c r="G333" s="232"/>
      <c r="H333" s="232"/>
      <c r="I333" s="181"/>
      <c r="J333" s="182"/>
      <c r="K333" s="182"/>
      <c r="L333" s="182"/>
      <c r="M333" s="165"/>
      <c r="N333" s="181"/>
      <c r="O333" s="181"/>
      <c r="P333" s="183"/>
      <c r="Q333" s="104"/>
      <c r="R333" s="388"/>
      <c r="S333" s="104"/>
    </row>
    <row r="334" ht="29.25" customHeight="1">
      <c r="A334" s="230"/>
      <c r="B334" s="389"/>
      <c r="C334" s="390"/>
      <c r="D334" s="391"/>
      <c r="E334" s="392"/>
      <c r="F334" s="162"/>
      <c r="G334" s="232"/>
      <c r="H334" s="232"/>
      <c r="I334" s="181"/>
      <c r="J334" s="182"/>
      <c r="K334" s="182"/>
      <c r="L334" s="182"/>
      <c r="M334" s="165"/>
      <c r="N334" s="181"/>
      <c r="O334" s="181"/>
      <c r="P334" s="183"/>
      <c r="Q334" s="104"/>
      <c r="R334" s="393"/>
      <c r="S334" s="104"/>
    </row>
    <row r="335" ht="29.25" customHeight="1">
      <c r="A335" s="230"/>
      <c r="B335" s="389"/>
      <c r="C335" s="390"/>
      <c r="D335" s="391"/>
      <c r="E335" s="383"/>
      <c r="F335" s="162"/>
      <c r="G335" s="232"/>
      <c r="H335" s="232"/>
      <c r="I335" s="181"/>
      <c r="J335" s="182"/>
      <c r="K335" s="182"/>
      <c r="L335" s="182"/>
      <c r="M335" s="165"/>
      <c r="N335" s="181"/>
      <c r="O335" s="181"/>
      <c r="P335" s="183"/>
      <c r="Q335" s="104"/>
      <c r="R335" s="388"/>
      <c r="S335" s="104"/>
    </row>
    <row r="336" ht="29.25" customHeight="1">
      <c r="A336" s="230"/>
      <c r="B336" s="389"/>
      <c r="C336" s="390"/>
      <c r="D336" s="391"/>
      <c r="E336" s="392"/>
      <c r="F336" s="162"/>
      <c r="G336" s="232"/>
      <c r="H336" s="232"/>
      <c r="I336" s="181"/>
      <c r="J336" s="182"/>
      <c r="K336" s="182"/>
      <c r="L336" s="182"/>
      <c r="M336" s="165"/>
      <c r="N336" s="181"/>
      <c r="O336" s="181"/>
      <c r="P336" s="183"/>
      <c r="Q336" s="104"/>
      <c r="R336" s="393"/>
      <c r="S336" s="104"/>
    </row>
    <row r="337" ht="29.25" customHeight="1">
      <c r="A337" s="230"/>
      <c r="B337" s="389"/>
      <c r="C337" s="390"/>
      <c r="D337" s="391"/>
      <c r="E337" s="383"/>
      <c r="F337" s="162"/>
      <c r="G337" s="232"/>
      <c r="H337" s="232"/>
      <c r="I337" s="181"/>
      <c r="J337" s="182"/>
      <c r="K337" s="182"/>
      <c r="L337" s="182"/>
      <c r="M337" s="165"/>
      <c r="N337" s="181"/>
      <c r="O337" s="181"/>
      <c r="P337" s="183"/>
      <c r="Q337" s="104"/>
      <c r="R337" s="388"/>
      <c r="S337" s="104"/>
    </row>
    <row r="338" ht="29.25" customHeight="1">
      <c r="A338" s="230"/>
      <c r="B338" s="389"/>
      <c r="C338" s="390"/>
      <c r="D338" s="391"/>
      <c r="E338" s="392"/>
      <c r="F338" s="162"/>
      <c r="G338" s="232"/>
      <c r="H338" s="232"/>
      <c r="I338" s="181"/>
      <c r="J338" s="182"/>
      <c r="K338" s="182"/>
      <c r="L338" s="182"/>
      <c r="M338" s="165"/>
      <c r="N338" s="181"/>
      <c r="O338" s="181"/>
      <c r="P338" s="183"/>
      <c r="Q338" s="104"/>
      <c r="R338" s="393"/>
      <c r="S338" s="104"/>
    </row>
    <row r="339" ht="29.25" customHeight="1">
      <c r="A339" s="230"/>
      <c r="B339" s="389"/>
      <c r="C339" s="390"/>
      <c r="D339" s="391"/>
      <c r="E339" s="383"/>
      <c r="F339" s="162"/>
      <c r="G339" s="232"/>
      <c r="H339" s="232"/>
      <c r="I339" s="181"/>
      <c r="J339" s="182"/>
      <c r="K339" s="182"/>
      <c r="L339" s="182"/>
      <c r="M339" s="165"/>
      <c r="N339" s="181"/>
      <c r="O339" s="181"/>
      <c r="P339" s="183"/>
      <c r="Q339" s="104"/>
      <c r="R339" s="388"/>
      <c r="S339" s="104"/>
    </row>
    <row r="340" ht="29.25" customHeight="1">
      <c r="A340" s="230"/>
      <c r="B340" s="389"/>
      <c r="C340" s="390"/>
      <c r="D340" s="391"/>
      <c r="E340" s="392"/>
      <c r="F340" s="162"/>
      <c r="G340" s="232"/>
      <c r="H340" s="232"/>
      <c r="I340" s="181"/>
      <c r="J340" s="182"/>
      <c r="K340" s="182"/>
      <c r="L340" s="182"/>
      <c r="M340" s="165"/>
      <c r="N340" s="181"/>
      <c r="O340" s="181"/>
      <c r="P340" s="183"/>
      <c r="Q340" s="104"/>
      <c r="R340" s="393"/>
      <c r="S340" s="104"/>
    </row>
    <row r="341" ht="29.25" customHeight="1">
      <c r="A341" s="230"/>
      <c r="B341" s="389"/>
      <c r="C341" s="390"/>
      <c r="D341" s="391"/>
      <c r="E341" s="383"/>
      <c r="F341" s="162"/>
      <c r="G341" s="232"/>
      <c r="H341" s="232"/>
      <c r="I341" s="181"/>
      <c r="J341" s="182"/>
      <c r="K341" s="182"/>
      <c r="L341" s="182"/>
      <c r="M341" s="165"/>
      <c r="N341" s="181"/>
      <c r="O341" s="181"/>
      <c r="P341" s="183"/>
      <c r="Q341" s="104"/>
      <c r="R341" s="388"/>
      <c r="S341" s="104"/>
    </row>
    <row r="342" ht="29.25" customHeight="1">
      <c r="A342" s="230"/>
      <c r="B342" s="389"/>
      <c r="C342" s="390"/>
      <c r="D342" s="391"/>
      <c r="E342" s="392"/>
      <c r="F342" s="162"/>
      <c r="G342" s="232"/>
      <c r="H342" s="232"/>
      <c r="I342" s="181"/>
      <c r="J342" s="182"/>
      <c r="K342" s="182"/>
      <c r="L342" s="182"/>
      <c r="M342" s="165"/>
      <c r="N342" s="181"/>
      <c r="O342" s="181"/>
      <c r="P342" s="183"/>
      <c r="Q342" s="104"/>
      <c r="R342" s="393"/>
      <c r="S342" s="104"/>
    </row>
    <row r="343" ht="29.25" customHeight="1">
      <c r="A343" s="230"/>
      <c r="B343" s="389"/>
      <c r="C343" s="390"/>
      <c r="D343" s="391"/>
      <c r="E343" s="383"/>
      <c r="F343" s="162"/>
      <c r="G343" s="232"/>
      <c r="H343" s="232"/>
      <c r="I343" s="181"/>
      <c r="J343" s="182"/>
      <c r="K343" s="182"/>
      <c r="L343" s="182"/>
      <c r="M343" s="165"/>
      <c r="N343" s="181"/>
      <c r="O343" s="181"/>
      <c r="P343" s="183"/>
      <c r="Q343" s="104"/>
      <c r="R343" s="388"/>
      <c r="S343" s="104"/>
    </row>
    <row r="344" ht="29.25" customHeight="1">
      <c r="A344" s="230"/>
      <c r="B344" s="389"/>
      <c r="C344" s="390"/>
      <c r="D344" s="391"/>
      <c r="E344" s="392"/>
      <c r="F344" s="162"/>
      <c r="G344" s="232"/>
      <c r="H344" s="232"/>
      <c r="I344" s="181"/>
      <c r="J344" s="182"/>
      <c r="K344" s="182"/>
      <c r="L344" s="182"/>
      <c r="M344" s="165"/>
      <c r="N344" s="181"/>
      <c r="O344" s="181"/>
      <c r="P344" s="183"/>
      <c r="Q344" s="104"/>
      <c r="R344" s="393"/>
      <c r="S344" s="104"/>
    </row>
    <row r="345" ht="29.25" customHeight="1">
      <c r="A345" s="230"/>
      <c r="B345" s="389"/>
      <c r="C345" s="390"/>
      <c r="D345" s="391"/>
      <c r="E345" s="383"/>
      <c r="F345" s="162"/>
      <c r="G345" s="232"/>
      <c r="H345" s="232"/>
      <c r="I345" s="181"/>
      <c r="J345" s="182"/>
      <c r="K345" s="182"/>
      <c r="L345" s="182"/>
      <c r="M345" s="165"/>
      <c r="N345" s="181"/>
      <c r="O345" s="181"/>
      <c r="P345" s="183"/>
      <c r="Q345" s="104"/>
      <c r="R345" s="388"/>
      <c r="S345" s="104"/>
    </row>
    <row r="346" ht="29.25" customHeight="1">
      <c r="A346" s="230"/>
      <c r="B346" s="389"/>
      <c r="C346" s="390"/>
      <c r="D346" s="391"/>
      <c r="E346" s="392"/>
      <c r="F346" s="162"/>
      <c r="G346" s="232"/>
      <c r="H346" s="232"/>
      <c r="I346" s="181"/>
      <c r="J346" s="182"/>
      <c r="K346" s="182"/>
      <c r="L346" s="182"/>
      <c r="M346" s="165"/>
      <c r="N346" s="181"/>
      <c r="O346" s="181"/>
      <c r="P346" s="183"/>
      <c r="Q346" s="104"/>
      <c r="R346" s="393"/>
      <c r="S346" s="104"/>
    </row>
    <row r="347" ht="29.25" customHeight="1">
      <c r="A347" s="230"/>
      <c r="B347" s="389"/>
      <c r="C347" s="390"/>
      <c r="D347" s="391"/>
      <c r="E347" s="383"/>
      <c r="F347" s="162"/>
      <c r="G347" s="232"/>
      <c r="H347" s="232"/>
      <c r="I347" s="181"/>
      <c r="J347" s="182"/>
      <c r="K347" s="182"/>
      <c r="L347" s="182"/>
      <c r="M347" s="165"/>
      <c r="N347" s="181"/>
      <c r="O347" s="181"/>
      <c r="P347" s="183"/>
      <c r="Q347" s="104"/>
      <c r="R347" s="388"/>
      <c r="S347" s="104"/>
    </row>
    <row r="348" ht="29.25" customHeight="1">
      <c r="A348" s="230"/>
      <c r="B348" s="389"/>
      <c r="C348" s="390"/>
      <c r="D348" s="391"/>
      <c r="E348" s="392"/>
      <c r="F348" s="162"/>
      <c r="G348" s="232"/>
      <c r="H348" s="232"/>
      <c r="I348" s="181"/>
      <c r="J348" s="182"/>
      <c r="K348" s="182"/>
      <c r="L348" s="182"/>
      <c r="M348" s="165"/>
      <c r="N348" s="181"/>
      <c r="O348" s="181"/>
      <c r="P348" s="183"/>
      <c r="Q348" s="104"/>
      <c r="R348" s="393"/>
      <c r="S348" s="104"/>
    </row>
    <row r="349" ht="29.25" customHeight="1">
      <c r="A349" s="230"/>
      <c r="B349" s="389"/>
      <c r="C349" s="390"/>
      <c r="D349" s="391"/>
      <c r="E349" s="383"/>
      <c r="F349" s="162"/>
      <c r="G349" s="232"/>
      <c r="H349" s="232"/>
      <c r="I349" s="181"/>
      <c r="J349" s="182"/>
      <c r="K349" s="182"/>
      <c r="L349" s="182"/>
      <c r="M349" s="165"/>
      <c r="N349" s="181"/>
      <c r="O349" s="181"/>
      <c r="P349" s="183"/>
      <c r="Q349" s="104"/>
      <c r="R349" s="388"/>
      <c r="S349" s="104"/>
    </row>
    <row r="350" ht="29.25" customHeight="1">
      <c r="A350" s="230"/>
      <c r="B350" s="389"/>
      <c r="C350" s="390"/>
      <c r="D350" s="391"/>
      <c r="E350" s="392"/>
      <c r="F350" s="162"/>
      <c r="G350" s="232"/>
      <c r="H350" s="232"/>
      <c r="I350" s="181"/>
      <c r="J350" s="182"/>
      <c r="K350" s="182"/>
      <c r="L350" s="182"/>
      <c r="M350" s="165"/>
      <c r="N350" s="181"/>
      <c r="O350" s="181"/>
      <c r="P350" s="183"/>
      <c r="Q350" s="104"/>
      <c r="R350" s="393"/>
      <c r="S350" s="104"/>
    </row>
    <row r="351" ht="29.25" customHeight="1">
      <c r="A351" s="230"/>
      <c r="B351" s="389"/>
      <c r="C351" s="390"/>
      <c r="D351" s="391"/>
      <c r="E351" s="383"/>
      <c r="F351" s="162"/>
      <c r="G351" s="232"/>
      <c r="H351" s="232"/>
      <c r="I351" s="181"/>
      <c r="J351" s="182"/>
      <c r="K351" s="182"/>
      <c r="L351" s="182"/>
      <c r="M351" s="165"/>
      <c r="N351" s="181"/>
      <c r="O351" s="181"/>
      <c r="P351" s="183"/>
      <c r="Q351" s="104"/>
      <c r="R351" s="388"/>
      <c r="S351" s="104"/>
    </row>
    <row r="352" ht="29.25" customHeight="1">
      <c r="A352" s="230"/>
      <c r="B352" s="389"/>
      <c r="C352" s="390"/>
      <c r="D352" s="391"/>
      <c r="E352" s="392"/>
      <c r="F352" s="162"/>
      <c r="G352" s="232"/>
      <c r="H352" s="232"/>
      <c r="I352" s="181"/>
      <c r="J352" s="182"/>
      <c r="K352" s="182"/>
      <c r="L352" s="182"/>
      <c r="M352" s="165"/>
      <c r="N352" s="181"/>
      <c r="O352" s="181"/>
      <c r="P352" s="183"/>
      <c r="Q352" s="104"/>
      <c r="R352" s="393"/>
      <c r="S352" s="104"/>
    </row>
    <row r="353" ht="29.25" customHeight="1">
      <c r="A353" s="230"/>
      <c r="B353" s="389"/>
      <c r="C353" s="390"/>
      <c r="D353" s="391"/>
      <c r="E353" s="383"/>
      <c r="F353" s="162"/>
      <c r="G353" s="232"/>
      <c r="H353" s="232"/>
      <c r="I353" s="181"/>
      <c r="J353" s="182"/>
      <c r="K353" s="182"/>
      <c r="L353" s="182"/>
      <c r="M353" s="165"/>
      <c r="N353" s="181"/>
      <c r="O353" s="181"/>
      <c r="P353" s="183"/>
      <c r="Q353" s="104"/>
      <c r="R353" s="388"/>
      <c r="S353" s="104"/>
    </row>
    <row r="354" ht="29.25" customHeight="1">
      <c r="A354" s="230"/>
      <c r="B354" s="389"/>
      <c r="C354" s="390"/>
      <c r="D354" s="391"/>
      <c r="E354" s="392"/>
      <c r="F354" s="162"/>
      <c r="G354" s="232"/>
      <c r="H354" s="232"/>
      <c r="I354" s="181"/>
      <c r="J354" s="182"/>
      <c r="K354" s="182"/>
      <c r="L354" s="182"/>
      <c r="M354" s="165"/>
      <c r="N354" s="181"/>
      <c r="O354" s="181"/>
      <c r="P354" s="183"/>
      <c r="Q354" s="104"/>
      <c r="R354" s="393"/>
      <c r="S354" s="104"/>
    </row>
    <row r="355" ht="29.25" customHeight="1">
      <c r="A355" s="230"/>
      <c r="B355" s="389"/>
      <c r="C355" s="390"/>
      <c r="D355" s="391"/>
      <c r="E355" s="383"/>
      <c r="F355" s="162"/>
      <c r="G355" s="232"/>
      <c r="H355" s="232"/>
      <c r="I355" s="181"/>
      <c r="J355" s="182"/>
      <c r="K355" s="182"/>
      <c r="L355" s="182"/>
      <c r="M355" s="165"/>
      <c r="N355" s="181"/>
      <c r="O355" s="181"/>
      <c r="P355" s="183"/>
      <c r="Q355" s="104"/>
      <c r="R355" s="388"/>
      <c r="S355" s="104"/>
    </row>
    <row r="356" ht="29.25" customHeight="1">
      <c r="A356" s="230"/>
      <c r="B356" s="389"/>
      <c r="C356" s="390"/>
      <c r="D356" s="391"/>
      <c r="E356" s="392"/>
      <c r="F356" s="162"/>
      <c r="G356" s="232"/>
      <c r="H356" s="232"/>
      <c r="I356" s="181"/>
      <c r="J356" s="182"/>
      <c r="K356" s="182"/>
      <c r="L356" s="182"/>
      <c r="M356" s="165"/>
      <c r="N356" s="181"/>
      <c r="O356" s="181"/>
      <c r="P356" s="183"/>
      <c r="Q356" s="104"/>
      <c r="R356" s="393"/>
      <c r="S356" s="104"/>
    </row>
    <row r="357" ht="29.25" customHeight="1">
      <c r="A357" s="230"/>
      <c r="B357" s="389"/>
      <c r="C357" s="390"/>
      <c r="D357" s="391"/>
      <c r="E357" s="383"/>
      <c r="F357" s="162"/>
      <c r="G357" s="232"/>
      <c r="H357" s="232"/>
      <c r="I357" s="181"/>
      <c r="J357" s="182"/>
      <c r="K357" s="182"/>
      <c r="L357" s="182"/>
      <c r="M357" s="165"/>
      <c r="N357" s="181"/>
      <c r="O357" s="181"/>
      <c r="P357" s="183"/>
      <c r="Q357" s="104"/>
      <c r="R357" s="388"/>
      <c r="S357" s="104"/>
    </row>
    <row r="358" ht="29.25" customHeight="1">
      <c r="A358" s="230"/>
      <c r="B358" s="389"/>
      <c r="C358" s="390"/>
      <c r="D358" s="391"/>
      <c r="E358" s="392"/>
      <c r="F358" s="162"/>
      <c r="G358" s="232"/>
      <c r="H358" s="232"/>
      <c r="I358" s="181"/>
      <c r="J358" s="182"/>
      <c r="K358" s="182"/>
      <c r="L358" s="182"/>
      <c r="M358" s="165"/>
      <c r="N358" s="181"/>
      <c r="O358" s="181"/>
      <c r="P358" s="183"/>
      <c r="Q358" s="104"/>
      <c r="R358" s="393"/>
      <c r="S358" s="104"/>
    </row>
    <row r="359" ht="29.25" customHeight="1">
      <c r="A359" s="230"/>
      <c r="B359" s="389"/>
      <c r="C359" s="390"/>
      <c r="D359" s="391"/>
      <c r="E359" s="383"/>
      <c r="F359" s="162"/>
      <c r="G359" s="232"/>
      <c r="H359" s="232"/>
      <c r="I359" s="181"/>
      <c r="J359" s="182"/>
      <c r="K359" s="182"/>
      <c r="L359" s="182"/>
      <c r="M359" s="165"/>
      <c r="N359" s="181"/>
      <c r="O359" s="181"/>
      <c r="P359" s="183"/>
      <c r="Q359" s="104"/>
      <c r="R359" s="388"/>
      <c r="S359" s="104"/>
    </row>
    <row r="360" ht="29.25" customHeight="1">
      <c r="A360" s="230"/>
      <c r="B360" s="389"/>
      <c r="C360" s="390"/>
      <c r="D360" s="391"/>
      <c r="E360" s="392"/>
      <c r="F360" s="162"/>
      <c r="G360" s="232"/>
      <c r="H360" s="232"/>
      <c r="I360" s="181"/>
      <c r="J360" s="182"/>
      <c r="K360" s="182"/>
      <c r="L360" s="182"/>
      <c r="M360" s="165"/>
      <c r="N360" s="181"/>
      <c r="O360" s="181"/>
      <c r="P360" s="183"/>
      <c r="Q360" s="104"/>
      <c r="R360" s="393"/>
      <c r="S360" s="104"/>
    </row>
    <row r="361" ht="29.25" customHeight="1">
      <c r="A361" s="230"/>
      <c r="B361" s="389"/>
      <c r="C361" s="390"/>
      <c r="D361" s="391"/>
      <c r="E361" s="383"/>
      <c r="F361" s="162"/>
      <c r="G361" s="232"/>
      <c r="H361" s="232"/>
      <c r="I361" s="181"/>
      <c r="J361" s="182"/>
      <c r="K361" s="182"/>
      <c r="L361" s="182"/>
      <c r="M361" s="165"/>
      <c r="N361" s="181"/>
      <c r="O361" s="181"/>
      <c r="P361" s="183"/>
      <c r="Q361" s="104"/>
      <c r="R361" s="388"/>
      <c r="S361" s="104"/>
    </row>
    <row r="362" ht="29.25" customHeight="1">
      <c r="A362" s="230"/>
      <c r="B362" s="389"/>
      <c r="C362" s="390"/>
      <c r="D362" s="391"/>
      <c r="E362" s="392"/>
      <c r="F362" s="162"/>
      <c r="G362" s="232"/>
      <c r="H362" s="232"/>
      <c r="I362" s="181"/>
      <c r="J362" s="182"/>
      <c r="K362" s="182"/>
      <c r="L362" s="182"/>
      <c r="M362" s="165"/>
      <c r="N362" s="181"/>
      <c r="O362" s="181"/>
      <c r="P362" s="183"/>
      <c r="Q362" s="104"/>
      <c r="R362" s="393"/>
      <c r="S362" s="104"/>
    </row>
    <row r="363" ht="29.25" customHeight="1">
      <c r="A363" s="230"/>
      <c r="B363" s="389"/>
      <c r="C363" s="390"/>
      <c r="D363" s="391"/>
      <c r="E363" s="383"/>
      <c r="F363" s="162"/>
      <c r="G363" s="232"/>
      <c r="H363" s="232"/>
      <c r="I363" s="181"/>
      <c r="J363" s="182"/>
      <c r="K363" s="182"/>
      <c r="L363" s="182"/>
      <c r="M363" s="165"/>
      <c r="N363" s="181"/>
      <c r="O363" s="181"/>
      <c r="P363" s="183"/>
      <c r="Q363" s="104"/>
      <c r="R363" s="388"/>
      <c r="S363" s="104"/>
    </row>
    <row r="364" ht="29.25" customHeight="1">
      <c r="A364" s="230"/>
      <c r="B364" s="389"/>
      <c r="C364" s="390"/>
      <c r="D364" s="391"/>
      <c r="E364" s="392"/>
      <c r="F364" s="162"/>
      <c r="G364" s="232"/>
      <c r="H364" s="232"/>
      <c r="I364" s="181"/>
      <c r="J364" s="182"/>
      <c r="K364" s="182"/>
      <c r="L364" s="182"/>
      <c r="M364" s="165"/>
      <c r="N364" s="181"/>
      <c r="O364" s="181"/>
      <c r="P364" s="183"/>
      <c r="Q364" s="104"/>
      <c r="R364" s="393"/>
      <c r="S364" s="104"/>
    </row>
    <row r="365" ht="29.25" customHeight="1">
      <c r="A365" s="230"/>
      <c r="B365" s="389"/>
      <c r="C365" s="390"/>
      <c r="D365" s="391"/>
      <c r="E365" s="383"/>
      <c r="F365" s="162"/>
      <c r="G365" s="232"/>
      <c r="H365" s="232"/>
      <c r="I365" s="181"/>
      <c r="J365" s="182"/>
      <c r="K365" s="182"/>
      <c r="L365" s="182"/>
      <c r="M365" s="165"/>
      <c r="N365" s="181"/>
      <c r="O365" s="181"/>
      <c r="P365" s="183"/>
      <c r="Q365" s="104"/>
      <c r="R365" s="388"/>
      <c r="S365" s="104"/>
    </row>
    <row r="366" ht="29.25" customHeight="1">
      <c r="A366" s="230"/>
      <c r="B366" s="389"/>
      <c r="C366" s="390"/>
      <c r="D366" s="391"/>
      <c r="E366" s="392"/>
      <c r="F366" s="162"/>
      <c r="G366" s="232"/>
      <c r="H366" s="232"/>
      <c r="I366" s="181"/>
      <c r="J366" s="182"/>
      <c r="K366" s="182"/>
      <c r="L366" s="182"/>
      <c r="M366" s="165"/>
      <c r="N366" s="181"/>
      <c r="O366" s="181"/>
      <c r="P366" s="183"/>
      <c r="Q366" s="104"/>
      <c r="R366" s="393"/>
      <c r="S366" s="104"/>
    </row>
    <row r="367" ht="29.25" customHeight="1">
      <c r="A367" s="230"/>
      <c r="B367" s="389"/>
      <c r="C367" s="390"/>
      <c r="D367" s="391"/>
      <c r="E367" s="383"/>
      <c r="F367" s="162"/>
      <c r="G367" s="232"/>
      <c r="H367" s="232"/>
      <c r="I367" s="181"/>
      <c r="J367" s="182"/>
      <c r="K367" s="182"/>
      <c r="L367" s="182"/>
      <c r="M367" s="165"/>
      <c r="N367" s="181"/>
      <c r="O367" s="181"/>
      <c r="P367" s="183"/>
      <c r="Q367" s="104"/>
      <c r="R367" s="388"/>
      <c r="S367" s="104"/>
    </row>
    <row r="368" ht="29.25" customHeight="1">
      <c r="A368" s="230"/>
      <c r="B368" s="389"/>
      <c r="C368" s="390"/>
      <c r="D368" s="391"/>
      <c r="E368" s="392"/>
      <c r="F368" s="162"/>
      <c r="G368" s="232"/>
      <c r="H368" s="232"/>
      <c r="I368" s="181"/>
      <c r="J368" s="182"/>
      <c r="K368" s="182"/>
      <c r="L368" s="182"/>
      <c r="M368" s="165"/>
      <c r="N368" s="181"/>
      <c r="O368" s="181"/>
      <c r="P368" s="183"/>
      <c r="Q368" s="104"/>
      <c r="R368" s="393"/>
      <c r="S368" s="104"/>
    </row>
    <row r="369" ht="29.25" customHeight="1">
      <c r="A369" s="230"/>
      <c r="B369" s="389"/>
      <c r="C369" s="390"/>
      <c r="D369" s="391"/>
      <c r="E369" s="383"/>
      <c r="F369" s="162"/>
      <c r="G369" s="232"/>
      <c r="H369" s="232"/>
      <c r="I369" s="181"/>
      <c r="J369" s="182"/>
      <c r="K369" s="182"/>
      <c r="L369" s="182"/>
      <c r="M369" s="165"/>
      <c r="N369" s="181"/>
      <c r="O369" s="181"/>
      <c r="P369" s="183"/>
      <c r="Q369" s="104"/>
      <c r="R369" s="388"/>
      <c r="S369" s="104"/>
    </row>
    <row r="370" ht="29.25" customHeight="1">
      <c r="A370" s="230"/>
      <c r="B370" s="389"/>
      <c r="C370" s="390"/>
      <c r="D370" s="391"/>
      <c r="E370" s="392"/>
      <c r="F370" s="162"/>
      <c r="G370" s="232"/>
      <c r="H370" s="232"/>
      <c r="I370" s="181"/>
      <c r="J370" s="182"/>
      <c r="K370" s="182"/>
      <c r="L370" s="182"/>
      <c r="M370" s="165"/>
      <c r="N370" s="181"/>
      <c r="O370" s="181"/>
      <c r="P370" s="183"/>
      <c r="Q370" s="104"/>
      <c r="R370" s="393"/>
      <c r="S370" s="104"/>
    </row>
    <row r="371" ht="29.25" customHeight="1">
      <c r="A371" s="230"/>
      <c r="B371" s="389"/>
      <c r="C371" s="390"/>
      <c r="D371" s="391"/>
      <c r="E371" s="383"/>
      <c r="F371" s="162"/>
      <c r="G371" s="232"/>
      <c r="H371" s="232"/>
      <c r="I371" s="181"/>
      <c r="J371" s="182"/>
      <c r="K371" s="182"/>
      <c r="L371" s="182"/>
      <c r="M371" s="165"/>
      <c r="N371" s="181"/>
      <c r="O371" s="181"/>
      <c r="P371" s="183"/>
      <c r="Q371" s="104"/>
      <c r="R371" s="388"/>
      <c r="S371" s="104"/>
    </row>
    <row r="372" ht="29.25" customHeight="1">
      <c r="A372" s="230"/>
      <c r="B372" s="389"/>
      <c r="C372" s="390"/>
      <c r="D372" s="391"/>
      <c r="E372" s="392"/>
      <c r="F372" s="162"/>
      <c r="G372" s="232"/>
      <c r="H372" s="232"/>
      <c r="I372" s="181"/>
      <c r="J372" s="182"/>
      <c r="K372" s="182"/>
      <c r="L372" s="182"/>
      <c r="M372" s="165"/>
      <c r="N372" s="181"/>
      <c r="O372" s="181"/>
      <c r="P372" s="183"/>
      <c r="Q372" s="104"/>
      <c r="R372" s="393"/>
      <c r="S372" s="104"/>
    </row>
    <row r="373" ht="29.25" customHeight="1">
      <c r="A373" s="230"/>
      <c r="B373" s="389"/>
      <c r="C373" s="390"/>
      <c r="D373" s="391"/>
      <c r="E373" s="383"/>
      <c r="F373" s="162"/>
      <c r="G373" s="232"/>
      <c r="H373" s="232"/>
      <c r="I373" s="181"/>
      <c r="J373" s="182"/>
      <c r="K373" s="182"/>
      <c r="L373" s="182"/>
      <c r="M373" s="165"/>
      <c r="N373" s="181"/>
      <c r="O373" s="181"/>
      <c r="P373" s="183"/>
      <c r="Q373" s="104"/>
      <c r="R373" s="388"/>
      <c r="S373" s="104"/>
    </row>
    <row r="374" ht="29.25" customHeight="1">
      <c r="A374" s="230"/>
      <c r="B374" s="389"/>
      <c r="C374" s="390"/>
      <c r="D374" s="391"/>
      <c r="E374" s="392"/>
      <c r="F374" s="162"/>
      <c r="G374" s="232"/>
      <c r="H374" s="232"/>
      <c r="I374" s="181"/>
      <c r="J374" s="182"/>
      <c r="K374" s="182"/>
      <c r="L374" s="182"/>
      <c r="M374" s="165"/>
      <c r="N374" s="181"/>
      <c r="O374" s="181"/>
      <c r="P374" s="183"/>
      <c r="Q374" s="104"/>
      <c r="R374" s="393"/>
      <c r="S374" s="104"/>
    </row>
    <row r="375" ht="29.25" customHeight="1">
      <c r="A375" s="230"/>
      <c r="B375" s="389"/>
      <c r="C375" s="390"/>
      <c r="D375" s="391"/>
      <c r="E375" s="383"/>
      <c r="F375" s="162"/>
      <c r="G375" s="232"/>
      <c r="H375" s="232"/>
      <c r="I375" s="181"/>
      <c r="J375" s="182"/>
      <c r="K375" s="182"/>
      <c r="L375" s="182"/>
      <c r="M375" s="165"/>
      <c r="N375" s="181"/>
      <c r="O375" s="181"/>
      <c r="P375" s="183"/>
      <c r="Q375" s="104"/>
      <c r="R375" s="388"/>
      <c r="S375" s="104"/>
    </row>
    <row r="376" ht="29.25" customHeight="1">
      <c r="A376" s="230"/>
      <c r="B376" s="389"/>
      <c r="C376" s="390"/>
      <c r="D376" s="391"/>
      <c r="E376" s="392"/>
      <c r="F376" s="162"/>
      <c r="G376" s="232"/>
      <c r="H376" s="232"/>
      <c r="I376" s="181"/>
      <c r="J376" s="182"/>
      <c r="K376" s="182"/>
      <c r="L376" s="182"/>
      <c r="M376" s="165"/>
      <c r="N376" s="181"/>
      <c r="O376" s="181"/>
      <c r="P376" s="183"/>
      <c r="Q376" s="104"/>
      <c r="R376" s="393"/>
      <c r="S376" s="104"/>
    </row>
    <row r="377" ht="29.25" customHeight="1">
      <c r="A377" s="230"/>
      <c r="B377" s="389"/>
      <c r="C377" s="390"/>
      <c r="D377" s="391"/>
      <c r="E377" s="383"/>
      <c r="F377" s="162"/>
      <c r="G377" s="232"/>
      <c r="H377" s="232"/>
      <c r="I377" s="181"/>
      <c r="J377" s="182"/>
      <c r="K377" s="182"/>
      <c r="L377" s="182"/>
      <c r="M377" s="165"/>
      <c r="N377" s="181"/>
      <c r="O377" s="181"/>
      <c r="P377" s="183"/>
      <c r="Q377" s="104"/>
      <c r="R377" s="388"/>
      <c r="S377" s="104"/>
    </row>
    <row r="378" ht="29.25" customHeight="1">
      <c r="A378" s="230"/>
      <c r="B378" s="389"/>
      <c r="C378" s="390"/>
      <c r="D378" s="391"/>
      <c r="E378" s="392"/>
      <c r="F378" s="162"/>
      <c r="G378" s="232"/>
      <c r="H378" s="232"/>
      <c r="I378" s="181"/>
      <c r="J378" s="182"/>
      <c r="K378" s="182"/>
      <c r="L378" s="182"/>
      <c r="M378" s="165"/>
      <c r="N378" s="181"/>
      <c r="O378" s="181"/>
      <c r="P378" s="183"/>
      <c r="Q378" s="104"/>
      <c r="R378" s="393"/>
      <c r="S378" s="104"/>
    </row>
    <row r="379" ht="29.25" customHeight="1">
      <c r="A379" s="230"/>
      <c r="B379" s="389"/>
      <c r="C379" s="390"/>
      <c r="D379" s="391"/>
      <c r="E379" s="383"/>
      <c r="F379" s="162"/>
      <c r="G379" s="232"/>
      <c r="H379" s="232"/>
      <c r="I379" s="181"/>
      <c r="J379" s="182"/>
      <c r="K379" s="182"/>
      <c r="L379" s="182"/>
      <c r="M379" s="165"/>
      <c r="N379" s="181"/>
      <c r="O379" s="181"/>
      <c r="P379" s="183"/>
      <c r="Q379" s="104"/>
      <c r="R379" s="388"/>
      <c r="S379" s="104"/>
    </row>
    <row r="380" ht="29.25" customHeight="1">
      <c r="A380" s="230"/>
      <c r="B380" s="389"/>
      <c r="C380" s="390"/>
      <c r="D380" s="391"/>
      <c r="E380" s="392"/>
      <c r="F380" s="162"/>
      <c r="G380" s="232"/>
      <c r="H380" s="232"/>
      <c r="I380" s="181"/>
      <c r="J380" s="182"/>
      <c r="K380" s="182"/>
      <c r="L380" s="182"/>
      <c r="M380" s="165"/>
      <c r="N380" s="181"/>
      <c r="O380" s="181"/>
      <c r="P380" s="183"/>
      <c r="Q380" s="104"/>
      <c r="R380" s="393"/>
      <c r="S380" s="104"/>
    </row>
    <row r="381" ht="29.25" customHeight="1">
      <c r="A381" s="230"/>
      <c r="B381" s="389"/>
      <c r="C381" s="390"/>
      <c r="D381" s="391"/>
      <c r="E381" s="383"/>
      <c r="F381" s="162"/>
      <c r="G381" s="232"/>
      <c r="H381" s="232"/>
      <c r="I381" s="181"/>
      <c r="J381" s="182"/>
      <c r="K381" s="182"/>
      <c r="L381" s="182"/>
      <c r="M381" s="165"/>
      <c r="N381" s="181"/>
      <c r="O381" s="181"/>
      <c r="P381" s="183"/>
      <c r="Q381" s="104"/>
      <c r="R381" s="388"/>
      <c r="S381" s="104"/>
    </row>
    <row r="382" ht="29.25" customHeight="1">
      <c r="A382" s="230"/>
      <c r="B382" s="389"/>
      <c r="C382" s="390"/>
      <c r="D382" s="391"/>
      <c r="E382" s="392"/>
      <c r="F382" s="162"/>
      <c r="G382" s="232"/>
      <c r="H382" s="232"/>
      <c r="I382" s="181"/>
      <c r="J382" s="182"/>
      <c r="K382" s="182"/>
      <c r="L382" s="182"/>
      <c r="M382" s="165"/>
      <c r="N382" s="181"/>
      <c r="O382" s="181"/>
      <c r="P382" s="183"/>
      <c r="Q382" s="104"/>
      <c r="R382" s="393"/>
      <c r="S382" s="104"/>
    </row>
    <row r="383" ht="29.25" customHeight="1">
      <c r="A383" s="230"/>
      <c r="B383" s="389"/>
      <c r="C383" s="390"/>
      <c r="D383" s="391"/>
      <c r="E383" s="383"/>
      <c r="F383" s="162"/>
      <c r="G383" s="232"/>
      <c r="H383" s="232"/>
      <c r="I383" s="181"/>
      <c r="J383" s="182"/>
      <c r="K383" s="182"/>
      <c r="L383" s="182"/>
      <c r="M383" s="165"/>
      <c r="N383" s="181"/>
      <c r="O383" s="181"/>
      <c r="P383" s="183"/>
      <c r="Q383" s="104"/>
      <c r="R383" s="388"/>
      <c r="S383" s="104"/>
    </row>
    <row r="384" ht="29.25" customHeight="1">
      <c r="A384" s="230"/>
      <c r="B384" s="389"/>
      <c r="C384" s="390"/>
      <c r="D384" s="391"/>
      <c r="E384" s="392"/>
      <c r="F384" s="162"/>
      <c r="G384" s="232"/>
      <c r="H384" s="232"/>
      <c r="I384" s="181"/>
      <c r="J384" s="182"/>
      <c r="K384" s="182"/>
      <c r="L384" s="182"/>
      <c r="M384" s="165"/>
      <c r="N384" s="181"/>
      <c r="O384" s="181"/>
      <c r="P384" s="183"/>
      <c r="Q384" s="104"/>
      <c r="R384" s="393"/>
      <c r="S384" s="104"/>
    </row>
    <row r="385" ht="29.25" customHeight="1">
      <c r="A385" s="230"/>
      <c r="B385" s="389"/>
      <c r="C385" s="390"/>
      <c r="D385" s="391"/>
      <c r="E385" s="383"/>
      <c r="F385" s="162"/>
      <c r="G385" s="232"/>
      <c r="H385" s="232"/>
      <c r="I385" s="181"/>
      <c r="J385" s="182"/>
      <c r="K385" s="182"/>
      <c r="L385" s="182"/>
      <c r="M385" s="165"/>
      <c r="N385" s="181"/>
      <c r="O385" s="181"/>
      <c r="P385" s="183"/>
      <c r="Q385" s="104"/>
      <c r="R385" s="388"/>
      <c r="S385" s="104"/>
    </row>
    <row r="386" ht="29.25" customHeight="1">
      <c r="A386" s="230"/>
      <c r="B386" s="389"/>
      <c r="C386" s="390"/>
      <c r="D386" s="391"/>
      <c r="E386" s="392"/>
      <c r="F386" s="162"/>
      <c r="G386" s="232"/>
      <c r="H386" s="232"/>
      <c r="I386" s="181"/>
      <c r="J386" s="182"/>
      <c r="K386" s="182"/>
      <c r="L386" s="182"/>
      <c r="M386" s="165"/>
      <c r="N386" s="181"/>
      <c r="O386" s="181"/>
      <c r="P386" s="183"/>
      <c r="Q386" s="104"/>
      <c r="R386" s="393"/>
      <c r="S386" s="104"/>
    </row>
    <row r="387" ht="29.25" customHeight="1">
      <c r="A387" s="230"/>
      <c r="B387" s="389"/>
      <c r="C387" s="390"/>
      <c r="D387" s="391"/>
      <c r="E387" s="383"/>
      <c r="F387" s="162"/>
      <c r="G387" s="232"/>
      <c r="H387" s="232"/>
      <c r="I387" s="181"/>
      <c r="J387" s="182"/>
      <c r="K387" s="182"/>
      <c r="L387" s="182"/>
      <c r="M387" s="165"/>
      <c r="N387" s="181"/>
      <c r="O387" s="181"/>
      <c r="P387" s="183"/>
      <c r="Q387" s="104"/>
      <c r="R387" s="388"/>
      <c r="S387" s="104"/>
    </row>
    <row r="388" ht="29.25" customHeight="1">
      <c r="A388" s="230"/>
      <c r="B388" s="389"/>
      <c r="C388" s="390"/>
      <c r="D388" s="391"/>
      <c r="E388" s="392"/>
      <c r="F388" s="162"/>
      <c r="G388" s="232"/>
      <c r="H388" s="232"/>
      <c r="I388" s="181"/>
      <c r="J388" s="182"/>
      <c r="K388" s="182"/>
      <c r="L388" s="182"/>
      <c r="M388" s="165"/>
      <c r="N388" s="181"/>
      <c r="O388" s="181"/>
      <c r="P388" s="183"/>
      <c r="Q388" s="104"/>
      <c r="R388" s="393"/>
      <c r="S388" s="104"/>
    </row>
    <row r="389" ht="29.25" customHeight="1">
      <c r="A389" s="230"/>
      <c r="B389" s="389"/>
      <c r="C389" s="390"/>
      <c r="D389" s="391"/>
      <c r="E389" s="383"/>
      <c r="F389" s="162"/>
      <c r="G389" s="232"/>
      <c r="H389" s="232"/>
      <c r="I389" s="181"/>
      <c r="J389" s="182"/>
      <c r="K389" s="182"/>
      <c r="L389" s="182"/>
      <c r="M389" s="165"/>
      <c r="N389" s="181"/>
      <c r="O389" s="181"/>
      <c r="P389" s="183"/>
      <c r="Q389" s="104"/>
      <c r="R389" s="388"/>
      <c r="S389" s="104"/>
    </row>
    <row r="390" ht="29.25" customHeight="1">
      <c r="A390" s="230"/>
      <c r="B390" s="389"/>
      <c r="C390" s="390"/>
      <c r="D390" s="391"/>
      <c r="E390" s="392"/>
      <c r="F390" s="162"/>
      <c r="G390" s="232"/>
      <c r="H390" s="232"/>
      <c r="I390" s="181"/>
      <c r="J390" s="182"/>
      <c r="K390" s="182"/>
      <c r="L390" s="182"/>
      <c r="M390" s="165"/>
      <c r="N390" s="181"/>
      <c r="O390" s="181"/>
      <c r="P390" s="183"/>
      <c r="Q390" s="104"/>
      <c r="R390" s="393"/>
      <c r="S390" s="104"/>
    </row>
    <row r="391" ht="29.25" customHeight="1">
      <c r="A391" s="230"/>
      <c r="B391" s="389"/>
      <c r="C391" s="390"/>
      <c r="D391" s="391"/>
      <c r="E391" s="383"/>
      <c r="F391" s="162"/>
      <c r="G391" s="232"/>
      <c r="H391" s="232"/>
      <c r="I391" s="181"/>
      <c r="J391" s="182"/>
      <c r="K391" s="182"/>
      <c r="L391" s="182"/>
      <c r="M391" s="165"/>
      <c r="N391" s="181"/>
      <c r="O391" s="181"/>
      <c r="P391" s="183"/>
      <c r="Q391" s="104"/>
      <c r="R391" s="388"/>
      <c r="S391" s="104"/>
    </row>
    <row r="392" ht="29.25" customHeight="1">
      <c r="A392" s="230"/>
      <c r="B392" s="389"/>
      <c r="C392" s="390"/>
      <c r="D392" s="391"/>
      <c r="E392" s="392"/>
      <c r="F392" s="162"/>
      <c r="G392" s="232"/>
      <c r="H392" s="232"/>
      <c r="I392" s="181"/>
      <c r="J392" s="182"/>
      <c r="K392" s="182"/>
      <c r="L392" s="182"/>
      <c r="M392" s="165"/>
      <c r="N392" s="181"/>
      <c r="O392" s="181"/>
      <c r="P392" s="183"/>
      <c r="Q392" s="104"/>
      <c r="R392" s="393"/>
      <c r="S392" s="104"/>
    </row>
    <row r="393" ht="29.25" customHeight="1">
      <c r="A393" s="230"/>
      <c r="B393" s="389"/>
      <c r="C393" s="390"/>
      <c r="D393" s="391"/>
      <c r="E393" s="383"/>
      <c r="F393" s="162"/>
      <c r="G393" s="232"/>
      <c r="H393" s="232"/>
      <c r="I393" s="181"/>
      <c r="J393" s="182"/>
      <c r="K393" s="182"/>
      <c r="L393" s="182"/>
      <c r="M393" s="165"/>
      <c r="N393" s="181"/>
      <c r="O393" s="181"/>
      <c r="P393" s="183"/>
      <c r="Q393" s="104"/>
      <c r="R393" s="388"/>
      <c r="S393" s="104"/>
    </row>
    <row r="394" ht="29.25" customHeight="1">
      <c r="A394" s="230"/>
      <c r="B394" s="389"/>
      <c r="C394" s="390"/>
      <c r="D394" s="391"/>
      <c r="E394" s="392"/>
      <c r="F394" s="162"/>
      <c r="G394" s="232"/>
      <c r="H394" s="232"/>
      <c r="I394" s="181"/>
      <c r="J394" s="182"/>
      <c r="K394" s="182"/>
      <c r="L394" s="182"/>
      <c r="M394" s="165"/>
      <c r="N394" s="181"/>
      <c r="O394" s="181"/>
      <c r="P394" s="183"/>
      <c r="Q394" s="104"/>
      <c r="R394" s="393"/>
      <c r="S394" s="104"/>
    </row>
    <row r="395" ht="29.25" customHeight="1">
      <c r="A395" s="230"/>
      <c r="B395" s="389"/>
      <c r="C395" s="390"/>
      <c r="D395" s="391"/>
      <c r="E395" s="383"/>
      <c r="F395" s="162"/>
      <c r="G395" s="232"/>
      <c r="H395" s="232"/>
      <c r="I395" s="181"/>
      <c r="J395" s="182"/>
      <c r="K395" s="182"/>
      <c r="L395" s="182"/>
      <c r="M395" s="165"/>
      <c r="N395" s="181"/>
      <c r="O395" s="181"/>
      <c r="P395" s="183"/>
      <c r="Q395" s="104"/>
      <c r="R395" s="388"/>
      <c r="S395" s="104"/>
    </row>
    <row r="396" ht="29.25" customHeight="1">
      <c r="A396" s="230"/>
      <c r="B396" s="389"/>
      <c r="C396" s="390"/>
      <c r="D396" s="391"/>
      <c r="E396" s="392"/>
      <c r="F396" s="162"/>
      <c r="G396" s="232"/>
      <c r="H396" s="232"/>
      <c r="I396" s="181"/>
      <c r="J396" s="182"/>
      <c r="K396" s="182"/>
      <c r="L396" s="182"/>
      <c r="M396" s="165"/>
      <c r="N396" s="181"/>
      <c r="O396" s="181"/>
      <c r="P396" s="183"/>
      <c r="Q396" s="104"/>
      <c r="R396" s="393"/>
      <c r="S396" s="104"/>
    </row>
    <row r="397" ht="29.25" customHeight="1">
      <c r="A397" s="230"/>
      <c r="B397" s="389"/>
      <c r="C397" s="390"/>
      <c r="D397" s="391"/>
      <c r="E397" s="383"/>
      <c r="F397" s="162"/>
      <c r="G397" s="232"/>
      <c r="H397" s="232"/>
      <c r="I397" s="181"/>
      <c r="J397" s="182"/>
      <c r="K397" s="182"/>
      <c r="L397" s="182"/>
      <c r="M397" s="165"/>
      <c r="N397" s="181"/>
      <c r="O397" s="181"/>
      <c r="P397" s="183"/>
      <c r="Q397" s="104"/>
      <c r="R397" s="388"/>
      <c r="S397" s="104"/>
    </row>
    <row r="398" ht="29.25" customHeight="1">
      <c r="A398" s="230"/>
      <c r="B398" s="389"/>
      <c r="C398" s="390"/>
      <c r="D398" s="391"/>
      <c r="E398" s="392"/>
      <c r="F398" s="162"/>
      <c r="G398" s="232"/>
      <c r="H398" s="232"/>
      <c r="I398" s="181"/>
      <c r="J398" s="182"/>
      <c r="K398" s="182"/>
      <c r="L398" s="182"/>
      <c r="M398" s="165"/>
      <c r="N398" s="181"/>
      <c r="O398" s="181"/>
      <c r="P398" s="183"/>
      <c r="Q398" s="104"/>
      <c r="R398" s="393"/>
      <c r="S398" s="104"/>
    </row>
    <row r="399" ht="29.25" customHeight="1">
      <c r="A399" s="230"/>
      <c r="B399" s="389"/>
      <c r="C399" s="390"/>
      <c r="D399" s="391"/>
      <c r="E399" s="383"/>
      <c r="F399" s="162"/>
      <c r="G399" s="232"/>
      <c r="H399" s="232"/>
      <c r="I399" s="181"/>
      <c r="J399" s="182"/>
      <c r="K399" s="182"/>
      <c r="L399" s="182"/>
      <c r="M399" s="165"/>
      <c r="N399" s="181"/>
      <c r="O399" s="181"/>
      <c r="P399" s="183"/>
      <c r="Q399" s="104"/>
      <c r="R399" s="388"/>
      <c r="S399" s="104"/>
    </row>
    <row r="400" ht="29.25" customHeight="1">
      <c r="A400" s="230"/>
      <c r="B400" s="389"/>
      <c r="C400" s="390"/>
      <c r="D400" s="391"/>
      <c r="E400" s="392"/>
      <c r="F400" s="162"/>
      <c r="G400" s="232"/>
      <c r="H400" s="232"/>
      <c r="I400" s="181"/>
      <c r="J400" s="182"/>
      <c r="K400" s="182"/>
      <c r="L400" s="182"/>
      <c r="M400" s="165"/>
      <c r="N400" s="181"/>
      <c r="O400" s="181"/>
      <c r="P400" s="183"/>
      <c r="Q400" s="104"/>
      <c r="R400" s="393"/>
      <c r="S400" s="104"/>
    </row>
    <row r="401" ht="29.25" customHeight="1">
      <c r="A401" s="230"/>
      <c r="B401" s="389"/>
      <c r="C401" s="390"/>
      <c r="D401" s="391"/>
      <c r="E401" s="383"/>
      <c r="F401" s="162"/>
      <c r="G401" s="232"/>
      <c r="H401" s="232"/>
      <c r="I401" s="181"/>
      <c r="J401" s="182"/>
      <c r="K401" s="182"/>
      <c r="L401" s="182"/>
      <c r="M401" s="165"/>
      <c r="N401" s="181"/>
      <c r="O401" s="181"/>
      <c r="P401" s="183"/>
      <c r="Q401" s="104"/>
      <c r="R401" s="388"/>
      <c r="S401" s="104"/>
    </row>
    <row r="402" ht="29.25" customHeight="1">
      <c r="A402" s="230"/>
      <c r="B402" s="389"/>
      <c r="C402" s="390"/>
      <c r="D402" s="391"/>
      <c r="E402" s="392"/>
      <c r="F402" s="162"/>
      <c r="G402" s="232"/>
      <c r="H402" s="232"/>
      <c r="I402" s="181"/>
      <c r="J402" s="182"/>
      <c r="K402" s="182"/>
      <c r="L402" s="182"/>
      <c r="M402" s="165"/>
      <c r="N402" s="181"/>
      <c r="O402" s="181"/>
      <c r="P402" s="183"/>
      <c r="Q402" s="104"/>
      <c r="R402" s="393"/>
      <c r="S402" s="104"/>
    </row>
    <row r="403" ht="29.25" customHeight="1">
      <c r="A403" s="230"/>
      <c r="B403" s="389"/>
      <c r="C403" s="390"/>
      <c r="D403" s="391"/>
      <c r="E403" s="383"/>
      <c r="F403" s="162"/>
      <c r="G403" s="232"/>
      <c r="H403" s="232"/>
      <c r="I403" s="181"/>
      <c r="J403" s="182"/>
      <c r="K403" s="182"/>
      <c r="L403" s="182"/>
      <c r="M403" s="165"/>
      <c r="N403" s="181"/>
      <c r="O403" s="181"/>
      <c r="P403" s="183"/>
      <c r="Q403" s="104"/>
      <c r="R403" s="388"/>
      <c r="S403" s="104"/>
    </row>
    <row r="404" ht="29.25" customHeight="1">
      <c r="A404" s="230"/>
      <c r="B404" s="389"/>
      <c r="C404" s="390"/>
      <c r="D404" s="391"/>
      <c r="E404" s="392"/>
      <c r="F404" s="162"/>
      <c r="G404" s="232"/>
      <c r="H404" s="232"/>
      <c r="I404" s="181"/>
      <c r="J404" s="182"/>
      <c r="K404" s="182"/>
      <c r="L404" s="182"/>
      <c r="M404" s="165"/>
      <c r="N404" s="181"/>
      <c r="O404" s="181"/>
      <c r="P404" s="183"/>
      <c r="Q404" s="104"/>
      <c r="R404" s="393"/>
      <c r="S404" s="104"/>
    </row>
    <row r="405" ht="29.25" customHeight="1">
      <c r="A405" s="230"/>
      <c r="B405" s="389"/>
      <c r="C405" s="390"/>
      <c r="D405" s="391"/>
      <c r="E405" s="383"/>
      <c r="F405" s="162"/>
      <c r="G405" s="232"/>
      <c r="H405" s="232"/>
      <c r="I405" s="181"/>
      <c r="J405" s="182"/>
      <c r="K405" s="182"/>
      <c r="L405" s="182"/>
      <c r="M405" s="165"/>
      <c r="N405" s="181"/>
      <c r="O405" s="181"/>
      <c r="P405" s="183"/>
      <c r="Q405" s="104"/>
      <c r="R405" s="388"/>
      <c r="S405" s="104"/>
    </row>
    <row r="406" ht="29.25" customHeight="1">
      <c r="A406" s="230"/>
      <c r="B406" s="389"/>
      <c r="C406" s="390"/>
      <c r="D406" s="391"/>
      <c r="E406" s="392"/>
      <c r="F406" s="162"/>
      <c r="G406" s="232"/>
      <c r="H406" s="232"/>
      <c r="I406" s="181"/>
      <c r="J406" s="182"/>
      <c r="K406" s="182"/>
      <c r="L406" s="182"/>
      <c r="M406" s="165"/>
      <c r="N406" s="181"/>
      <c r="O406" s="181"/>
      <c r="P406" s="183"/>
      <c r="Q406" s="104"/>
      <c r="R406" s="393"/>
      <c r="S406" s="104"/>
    </row>
    <row r="407" ht="29.25" customHeight="1">
      <c r="A407" s="230"/>
      <c r="B407" s="389"/>
      <c r="C407" s="390"/>
      <c r="D407" s="391"/>
      <c r="E407" s="383"/>
      <c r="F407" s="162"/>
      <c r="G407" s="232"/>
      <c r="H407" s="232"/>
      <c r="I407" s="181"/>
      <c r="J407" s="182"/>
      <c r="K407" s="182"/>
      <c r="L407" s="182"/>
      <c r="M407" s="165"/>
      <c r="N407" s="181"/>
      <c r="O407" s="181"/>
      <c r="P407" s="183"/>
      <c r="Q407" s="104"/>
      <c r="R407" s="388"/>
      <c r="S407" s="104"/>
    </row>
    <row r="408" ht="29.25" customHeight="1">
      <c r="A408" s="230"/>
      <c r="B408" s="389"/>
      <c r="C408" s="390"/>
      <c r="D408" s="391"/>
      <c r="E408" s="392"/>
      <c r="F408" s="162"/>
      <c r="G408" s="232"/>
      <c r="H408" s="232"/>
      <c r="I408" s="181"/>
      <c r="J408" s="182"/>
      <c r="K408" s="182"/>
      <c r="L408" s="182"/>
      <c r="M408" s="165"/>
      <c r="N408" s="181"/>
      <c r="O408" s="181"/>
      <c r="P408" s="183"/>
      <c r="Q408" s="104"/>
      <c r="R408" s="393"/>
      <c r="S408" s="104"/>
    </row>
    <row r="409" ht="29.25" customHeight="1">
      <c r="A409" s="230"/>
      <c r="B409" s="389"/>
      <c r="C409" s="390"/>
      <c r="D409" s="391"/>
      <c r="E409" s="383"/>
      <c r="F409" s="162"/>
      <c r="G409" s="232"/>
      <c r="H409" s="232"/>
      <c r="I409" s="181"/>
      <c r="J409" s="182"/>
      <c r="K409" s="182"/>
      <c r="L409" s="182"/>
      <c r="M409" s="165"/>
      <c r="N409" s="181"/>
      <c r="O409" s="181"/>
      <c r="P409" s="183"/>
      <c r="Q409" s="104"/>
      <c r="R409" s="388"/>
      <c r="S409" s="104"/>
    </row>
    <row r="410" ht="29.25" customHeight="1">
      <c r="A410" s="230"/>
      <c r="B410" s="389"/>
      <c r="C410" s="390"/>
      <c r="D410" s="391"/>
      <c r="E410" s="392"/>
      <c r="F410" s="162"/>
      <c r="G410" s="232"/>
      <c r="H410" s="232"/>
      <c r="I410" s="181"/>
      <c r="J410" s="182"/>
      <c r="K410" s="182"/>
      <c r="L410" s="182"/>
      <c r="M410" s="165"/>
      <c r="N410" s="181"/>
      <c r="O410" s="181"/>
      <c r="P410" s="183"/>
      <c r="Q410" s="104"/>
      <c r="R410" s="393"/>
      <c r="S410" s="104"/>
    </row>
    <row r="411" ht="29.25" customHeight="1">
      <c r="A411" s="230"/>
      <c r="B411" s="389"/>
      <c r="C411" s="390"/>
      <c r="D411" s="391"/>
      <c r="E411" s="383"/>
      <c r="F411" s="162"/>
      <c r="G411" s="232"/>
      <c r="H411" s="232"/>
      <c r="I411" s="181"/>
      <c r="J411" s="182"/>
      <c r="K411" s="182"/>
      <c r="L411" s="182"/>
      <c r="M411" s="165"/>
      <c r="N411" s="181"/>
      <c r="O411" s="181"/>
      <c r="P411" s="183"/>
      <c r="Q411" s="104"/>
      <c r="R411" s="388"/>
      <c r="S411" s="104"/>
    </row>
    <row r="412" ht="29.25" customHeight="1">
      <c r="A412" s="230"/>
      <c r="B412" s="389"/>
      <c r="C412" s="390"/>
      <c r="D412" s="391"/>
      <c r="E412" s="392"/>
      <c r="F412" s="162"/>
      <c r="G412" s="232"/>
      <c r="H412" s="232"/>
      <c r="I412" s="181"/>
      <c r="J412" s="182"/>
      <c r="K412" s="182"/>
      <c r="L412" s="182"/>
      <c r="M412" s="165"/>
      <c r="N412" s="181"/>
      <c r="O412" s="181"/>
      <c r="P412" s="183"/>
      <c r="Q412" s="104"/>
      <c r="R412" s="393"/>
      <c r="S412" s="104"/>
    </row>
    <row r="413" ht="29.25" customHeight="1">
      <c r="A413" s="230"/>
      <c r="B413" s="389"/>
      <c r="C413" s="390"/>
      <c r="D413" s="391"/>
      <c r="E413" s="383"/>
      <c r="F413" s="162"/>
      <c r="G413" s="232"/>
      <c r="H413" s="232"/>
      <c r="I413" s="181"/>
      <c r="J413" s="182"/>
      <c r="K413" s="182"/>
      <c r="L413" s="182"/>
      <c r="M413" s="165"/>
      <c r="N413" s="181"/>
      <c r="O413" s="181"/>
      <c r="P413" s="183"/>
      <c r="Q413" s="104"/>
      <c r="R413" s="388"/>
      <c r="S413" s="104"/>
    </row>
    <row r="414" ht="29.25" customHeight="1">
      <c r="A414" s="230"/>
      <c r="B414" s="389"/>
      <c r="C414" s="390"/>
      <c r="D414" s="391"/>
      <c r="E414" s="392"/>
      <c r="F414" s="162"/>
      <c r="G414" s="232"/>
      <c r="H414" s="232"/>
      <c r="I414" s="181"/>
      <c r="J414" s="182"/>
      <c r="K414" s="182"/>
      <c r="L414" s="182"/>
      <c r="M414" s="165"/>
      <c r="N414" s="181"/>
      <c r="O414" s="181"/>
      <c r="P414" s="183"/>
      <c r="Q414" s="104"/>
      <c r="R414" s="393"/>
      <c r="S414" s="104"/>
    </row>
    <row r="415" ht="29.25" customHeight="1">
      <c r="A415" s="230"/>
      <c r="B415" s="389"/>
      <c r="C415" s="390"/>
      <c r="D415" s="391"/>
      <c r="E415" s="383"/>
      <c r="F415" s="162"/>
      <c r="G415" s="232"/>
      <c r="H415" s="232"/>
      <c r="I415" s="181"/>
      <c r="J415" s="182"/>
      <c r="K415" s="182"/>
      <c r="L415" s="182"/>
      <c r="M415" s="165"/>
      <c r="N415" s="181"/>
      <c r="O415" s="181"/>
      <c r="P415" s="183"/>
      <c r="Q415" s="104"/>
      <c r="R415" s="388"/>
      <c r="S415" s="104"/>
    </row>
    <row r="416" ht="29.25" customHeight="1">
      <c r="A416" s="230"/>
      <c r="B416" s="389"/>
      <c r="C416" s="390"/>
      <c r="D416" s="391"/>
      <c r="E416" s="392"/>
      <c r="F416" s="162"/>
      <c r="G416" s="232"/>
      <c r="H416" s="232"/>
      <c r="I416" s="181"/>
      <c r="J416" s="182"/>
      <c r="K416" s="182"/>
      <c r="L416" s="182"/>
      <c r="M416" s="165"/>
      <c r="N416" s="181"/>
      <c r="O416" s="181"/>
      <c r="P416" s="183"/>
      <c r="Q416" s="104"/>
      <c r="R416" s="393"/>
      <c r="S416" s="104"/>
    </row>
    <row r="417" ht="29.25" customHeight="1">
      <c r="A417" s="230"/>
      <c r="B417" s="389"/>
      <c r="C417" s="390"/>
      <c r="D417" s="391"/>
      <c r="E417" s="383"/>
      <c r="F417" s="162"/>
      <c r="G417" s="232"/>
      <c r="H417" s="232"/>
      <c r="I417" s="181"/>
      <c r="J417" s="182"/>
      <c r="K417" s="182"/>
      <c r="L417" s="182"/>
      <c r="M417" s="165"/>
      <c r="N417" s="181"/>
      <c r="O417" s="181"/>
      <c r="P417" s="183"/>
      <c r="Q417" s="104"/>
      <c r="R417" s="388"/>
      <c r="S417" s="104"/>
    </row>
    <row r="418" ht="29.25" customHeight="1">
      <c r="A418" s="230"/>
      <c r="B418" s="389"/>
      <c r="C418" s="390"/>
      <c r="D418" s="391"/>
      <c r="E418" s="392"/>
      <c r="F418" s="162"/>
      <c r="G418" s="232"/>
      <c r="H418" s="232"/>
      <c r="I418" s="181"/>
      <c r="J418" s="182"/>
      <c r="K418" s="182"/>
      <c r="L418" s="182"/>
      <c r="M418" s="165"/>
      <c r="N418" s="181"/>
      <c r="O418" s="181"/>
      <c r="P418" s="183"/>
      <c r="Q418" s="104"/>
      <c r="R418" s="393"/>
      <c r="S418" s="104"/>
    </row>
    <row r="419" ht="29.25" customHeight="1">
      <c r="A419" s="230"/>
      <c r="B419" s="389"/>
      <c r="C419" s="390"/>
      <c r="D419" s="391"/>
      <c r="E419" s="383"/>
      <c r="F419" s="162"/>
      <c r="G419" s="232"/>
      <c r="H419" s="232"/>
      <c r="I419" s="181"/>
      <c r="J419" s="182"/>
      <c r="K419" s="182"/>
      <c r="L419" s="182"/>
      <c r="M419" s="165"/>
      <c r="N419" s="181"/>
      <c r="O419" s="181"/>
      <c r="P419" s="183"/>
      <c r="Q419" s="104"/>
      <c r="R419" s="388"/>
      <c r="S419" s="104"/>
    </row>
    <row r="420" ht="29.25" customHeight="1">
      <c r="A420" s="230"/>
      <c r="B420" s="389"/>
      <c r="C420" s="390"/>
      <c r="D420" s="391"/>
      <c r="E420" s="392"/>
      <c r="F420" s="162"/>
      <c r="G420" s="232"/>
      <c r="H420" s="232"/>
      <c r="I420" s="181"/>
      <c r="J420" s="182"/>
      <c r="K420" s="182"/>
      <c r="L420" s="182"/>
      <c r="M420" s="165"/>
      <c r="N420" s="181"/>
      <c r="O420" s="181"/>
      <c r="P420" s="183"/>
      <c r="Q420" s="104"/>
      <c r="R420" s="393"/>
      <c r="S420" s="104"/>
    </row>
    <row r="421" ht="29.25" customHeight="1">
      <c r="A421" s="230"/>
      <c r="B421" s="389"/>
      <c r="C421" s="390"/>
      <c r="D421" s="391"/>
      <c r="E421" s="383"/>
      <c r="F421" s="162"/>
      <c r="G421" s="232"/>
      <c r="H421" s="232"/>
      <c r="I421" s="181"/>
      <c r="J421" s="182"/>
      <c r="K421" s="182"/>
      <c r="L421" s="182"/>
      <c r="M421" s="165"/>
      <c r="N421" s="181"/>
      <c r="O421" s="181"/>
      <c r="P421" s="183"/>
      <c r="Q421" s="104"/>
      <c r="R421" s="388"/>
      <c r="S421" s="104"/>
    </row>
    <row r="422" ht="29.25" customHeight="1">
      <c r="A422" s="230"/>
      <c r="B422" s="389"/>
      <c r="C422" s="390"/>
      <c r="D422" s="391"/>
      <c r="E422" s="392"/>
      <c r="F422" s="162"/>
      <c r="G422" s="232"/>
      <c r="H422" s="232"/>
      <c r="I422" s="181"/>
      <c r="J422" s="182"/>
      <c r="K422" s="182"/>
      <c r="L422" s="182"/>
      <c r="M422" s="165"/>
      <c r="N422" s="181"/>
      <c r="O422" s="181"/>
      <c r="P422" s="183"/>
      <c r="Q422" s="104"/>
      <c r="R422" s="393"/>
      <c r="S422" s="104"/>
    </row>
    <row r="423" ht="29.25" customHeight="1">
      <c r="A423" s="230"/>
      <c r="B423" s="389"/>
      <c r="C423" s="390"/>
      <c r="D423" s="391"/>
      <c r="E423" s="383"/>
      <c r="F423" s="162"/>
      <c r="G423" s="232"/>
      <c r="H423" s="232"/>
      <c r="I423" s="181"/>
      <c r="J423" s="182"/>
      <c r="K423" s="182"/>
      <c r="L423" s="182"/>
      <c r="M423" s="165"/>
      <c r="N423" s="181"/>
      <c r="O423" s="181"/>
      <c r="P423" s="183"/>
      <c r="Q423" s="104"/>
      <c r="R423" s="388"/>
      <c r="S423" s="104"/>
    </row>
    <row r="424" ht="29.25" customHeight="1">
      <c r="A424" s="230"/>
      <c r="B424" s="389"/>
      <c r="C424" s="390"/>
      <c r="D424" s="391"/>
      <c r="E424" s="392"/>
      <c r="F424" s="162"/>
      <c r="G424" s="232"/>
      <c r="H424" s="232"/>
      <c r="I424" s="181"/>
      <c r="J424" s="182"/>
      <c r="K424" s="182"/>
      <c r="L424" s="182"/>
      <c r="M424" s="165"/>
      <c r="N424" s="181"/>
      <c r="O424" s="181"/>
      <c r="P424" s="183"/>
      <c r="Q424" s="104"/>
      <c r="R424" s="393"/>
      <c r="S424" s="104"/>
    </row>
    <row r="425" ht="29.25" customHeight="1">
      <c r="A425" s="230"/>
      <c r="B425" s="389"/>
      <c r="C425" s="390"/>
      <c r="D425" s="391"/>
      <c r="E425" s="383"/>
      <c r="F425" s="162"/>
      <c r="G425" s="232"/>
      <c r="H425" s="232"/>
      <c r="I425" s="181"/>
      <c r="J425" s="182"/>
      <c r="K425" s="182"/>
      <c r="L425" s="182"/>
      <c r="M425" s="165"/>
      <c r="N425" s="181"/>
      <c r="O425" s="181"/>
      <c r="P425" s="183"/>
      <c r="Q425" s="104"/>
      <c r="R425" s="388"/>
      <c r="S425" s="104"/>
    </row>
    <row r="426" ht="29.25" customHeight="1">
      <c r="A426" s="230"/>
      <c r="B426" s="389"/>
      <c r="C426" s="390"/>
      <c r="D426" s="391"/>
      <c r="E426" s="392"/>
      <c r="F426" s="162"/>
      <c r="G426" s="232"/>
      <c r="H426" s="232"/>
      <c r="I426" s="181"/>
      <c r="J426" s="182"/>
      <c r="K426" s="182"/>
      <c r="L426" s="182"/>
      <c r="M426" s="165"/>
      <c r="N426" s="181"/>
      <c r="O426" s="181"/>
      <c r="P426" s="183"/>
      <c r="Q426" s="104"/>
      <c r="R426" s="393"/>
      <c r="S426" s="104"/>
    </row>
    <row r="427" ht="29.25" customHeight="1">
      <c r="A427" s="230"/>
      <c r="B427" s="389"/>
      <c r="C427" s="390"/>
      <c r="D427" s="391"/>
      <c r="E427" s="383"/>
      <c r="F427" s="162"/>
      <c r="G427" s="232"/>
      <c r="H427" s="232"/>
      <c r="I427" s="181"/>
      <c r="J427" s="182"/>
      <c r="K427" s="182"/>
      <c r="L427" s="182"/>
      <c r="M427" s="165"/>
      <c r="N427" s="181"/>
      <c r="O427" s="181"/>
      <c r="P427" s="183"/>
      <c r="Q427" s="104"/>
      <c r="R427" s="388"/>
      <c r="S427" s="104"/>
    </row>
    <row r="428" ht="29.25" customHeight="1">
      <c r="A428" s="230"/>
      <c r="B428" s="389"/>
      <c r="C428" s="390"/>
      <c r="D428" s="391"/>
      <c r="E428" s="392"/>
      <c r="F428" s="162"/>
      <c r="G428" s="232"/>
      <c r="H428" s="232"/>
      <c r="I428" s="181"/>
      <c r="J428" s="182"/>
      <c r="K428" s="182"/>
      <c r="L428" s="182"/>
      <c r="M428" s="165"/>
      <c r="N428" s="181"/>
      <c r="O428" s="181"/>
      <c r="P428" s="183"/>
      <c r="Q428" s="104"/>
      <c r="R428" s="393"/>
      <c r="S428" s="104"/>
    </row>
    <row r="429" ht="29.25" customHeight="1">
      <c r="A429" s="230"/>
      <c r="B429" s="389"/>
      <c r="C429" s="390"/>
      <c r="D429" s="391"/>
      <c r="E429" s="383"/>
      <c r="F429" s="162"/>
      <c r="G429" s="232"/>
      <c r="H429" s="232"/>
      <c r="I429" s="181"/>
      <c r="J429" s="182"/>
      <c r="K429" s="182"/>
      <c r="L429" s="182"/>
      <c r="M429" s="165"/>
      <c r="N429" s="181"/>
      <c r="O429" s="181"/>
      <c r="P429" s="183"/>
      <c r="Q429" s="104"/>
      <c r="R429" s="388"/>
      <c r="S429" s="104"/>
    </row>
    <row r="430" ht="29.25" customHeight="1">
      <c r="A430" s="230"/>
      <c r="B430" s="389"/>
      <c r="C430" s="390"/>
      <c r="D430" s="391"/>
      <c r="E430" s="392"/>
      <c r="F430" s="162"/>
      <c r="G430" s="232"/>
      <c r="H430" s="232"/>
      <c r="I430" s="181"/>
      <c r="J430" s="182"/>
      <c r="K430" s="182"/>
      <c r="L430" s="182"/>
      <c r="M430" s="165"/>
      <c r="N430" s="181"/>
      <c r="O430" s="181"/>
      <c r="P430" s="183"/>
      <c r="Q430" s="104"/>
      <c r="R430" s="393"/>
      <c r="S430" s="104"/>
    </row>
    <row r="431" ht="29.25" customHeight="1">
      <c r="A431" s="230"/>
      <c r="B431" s="389"/>
      <c r="C431" s="390"/>
      <c r="D431" s="391"/>
      <c r="E431" s="383"/>
      <c r="F431" s="162"/>
      <c r="G431" s="232"/>
      <c r="H431" s="232"/>
      <c r="I431" s="181"/>
      <c r="J431" s="182"/>
      <c r="K431" s="182"/>
      <c r="L431" s="182"/>
      <c r="M431" s="165"/>
      <c r="N431" s="181"/>
      <c r="O431" s="181"/>
      <c r="P431" s="183"/>
      <c r="Q431" s="104"/>
      <c r="R431" s="388"/>
      <c r="S431" s="104"/>
    </row>
    <row r="432" ht="29.25" customHeight="1">
      <c r="A432" s="230"/>
      <c r="B432" s="389"/>
      <c r="C432" s="390"/>
      <c r="D432" s="391"/>
      <c r="E432" s="392"/>
      <c r="F432" s="162"/>
      <c r="G432" s="232"/>
      <c r="H432" s="232"/>
      <c r="I432" s="181"/>
      <c r="J432" s="182"/>
      <c r="K432" s="182"/>
      <c r="L432" s="182"/>
      <c r="M432" s="165"/>
      <c r="N432" s="181"/>
      <c r="O432" s="181"/>
      <c r="P432" s="183"/>
      <c r="Q432" s="104"/>
      <c r="R432" s="393"/>
      <c r="S432" s="104"/>
    </row>
    <row r="433" ht="29.25" customHeight="1">
      <c r="A433" s="230"/>
      <c r="B433" s="389"/>
      <c r="C433" s="390"/>
      <c r="D433" s="391"/>
      <c r="E433" s="383"/>
      <c r="F433" s="162"/>
      <c r="G433" s="232"/>
      <c r="H433" s="232"/>
      <c r="I433" s="181"/>
      <c r="J433" s="182"/>
      <c r="K433" s="182"/>
      <c r="L433" s="182"/>
      <c r="M433" s="165"/>
      <c r="N433" s="181"/>
      <c r="O433" s="181"/>
      <c r="P433" s="183"/>
      <c r="Q433" s="104"/>
      <c r="R433" s="388"/>
      <c r="S433" s="104"/>
    </row>
    <row r="434" ht="29.25" customHeight="1">
      <c r="A434" s="230"/>
      <c r="B434" s="389"/>
      <c r="C434" s="390"/>
      <c r="D434" s="391"/>
      <c r="E434" s="392"/>
      <c r="F434" s="162"/>
      <c r="G434" s="232"/>
      <c r="H434" s="232"/>
      <c r="I434" s="181"/>
      <c r="J434" s="182"/>
      <c r="K434" s="182"/>
      <c r="L434" s="182"/>
      <c r="M434" s="165"/>
      <c r="N434" s="181"/>
      <c r="O434" s="181"/>
      <c r="P434" s="183"/>
      <c r="Q434" s="104"/>
      <c r="R434" s="393"/>
      <c r="S434" s="104"/>
    </row>
    <row r="435" ht="29.25" customHeight="1">
      <c r="A435" s="230"/>
      <c r="B435" s="389"/>
      <c r="C435" s="390"/>
      <c r="D435" s="391"/>
      <c r="E435" s="383"/>
      <c r="F435" s="162"/>
      <c r="G435" s="232"/>
      <c r="H435" s="232"/>
      <c r="I435" s="181"/>
      <c r="J435" s="182"/>
      <c r="K435" s="182"/>
      <c r="L435" s="182"/>
      <c r="M435" s="165"/>
      <c r="N435" s="181"/>
      <c r="O435" s="181"/>
      <c r="P435" s="183"/>
      <c r="Q435" s="104"/>
      <c r="R435" s="388"/>
      <c r="S435" s="104"/>
    </row>
    <row r="436" ht="29.25" customHeight="1">
      <c r="A436" s="230"/>
      <c r="B436" s="389"/>
      <c r="C436" s="390"/>
      <c r="D436" s="391"/>
      <c r="E436" s="392"/>
      <c r="F436" s="162"/>
      <c r="G436" s="232"/>
      <c r="H436" s="232"/>
      <c r="I436" s="181"/>
      <c r="J436" s="182"/>
      <c r="K436" s="182"/>
      <c r="L436" s="182"/>
      <c r="M436" s="165"/>
      <c r="N436" s="181"/>
      <c r="O436" s="181"/>
      <c r="P436" s="183"/>
      <c r="Q436" s="104"/>
      <c r="R436" s="393"/>
      <c r="S436" s="104"/>
    </row>
    <row r="437" ht="29.25" customHeight="1">
      <c r="A437" s="230"/>
      <c r="B437" s="389"/>
      <c r="C437" s="390"/>
      <c r="D437" s="391"/>
      <c r="E437" s="383"/>
      <c r="F437" s="162"/>
      <c r="G437" s="232"/>
      <c r="H437" s="232"/>
      <c r="I437" s="181"/>
      <c r="J437" s="182"/>
      <c r="K437" s="182"/>
      <c r="L437" s="182"/>
      <c r="M437" s="165"/>
      <c r="N437" s="181"/>
      <c r="O437" s="181"/>
      <c r="P437" s="183"/>
      <c r="Q437" s="104"/>
      <c r="R437" s="388"/>
      <c r="S437" s="104"/>
    </row>
    <row r="438" ht="29.25" customHeight="1">
      <c r="A438" s="230"/>
      <c r="B438" s="389"/>
      <c r="C438" s="390"/>
      <c r="D438" s="391"/>
      <c r="E438" s="392"/>
      <c r="F438" s="162"/>
      <c r="G438" s="232"/>
      <c r="H438" s="232"/>
      <c r="I438" s="181"/>
      <c r="J438" s="182"/>
      <c r="K438" s="182"/>
      <c r="L438" s="182"/>
      <c r="M438" s="165"/>
      <c r="N438" s="181"/>
      <c r="O438" s="181"/>
      <c r="P438" s="183"/>
      <c r="Q438" s="104"/>
      <c r="R438" s="393"/>
      <c r="S438" s="104"/>
    </row>
    <row r="439" ht="29.25" customHeight="1">
      <c r="A439" s="230"/>
      <c r="B439" s="389"/>
      <c r="C439" s="390"/>
      <c r="D439" s="391"/>
      <c r="E439" s="383"/>
      <c r="F439" s="162"/>
      <c r="G439" s="232"/>
      <c r="H439" s="232"/>
      <c r="I439" s="181"/>
      <c r="J439" s="182"/>
      <c r="K439" s="182"/>
      <c r="L439" s="182"/>
      <c r="M439" s="165"/>
      <c r="N439" s="181"/>
      <c r="O439" s="181"/>
      <c r="P439" s="183"/>
      <c r="Q439" s="104"/>
      <c r="R439" s="388"/>
      <c r="S439" s="104"/>
    </row>
    <row r="440" ht="29.25" customHeight="1">
      <c r="A440" s="230"/>
      <c r="B440" s="389"/>
      <c r="C440" s="390"/>
      <c r="D440" s="391"/>
      <c r="E440" s="392"/>
      <c r="F440" s="162"/>
      <c r="G440" s="232"/>
      <c r="H440" s="232"/>
      <c r="I440" s="181"/>
      <c r="J440" s="182"/>
      <c r="K440" s="182"/>
      <c r="L440" s="182"/>
      <c r="M440" s="165"/>
      <c r="N440" s="181"/>
      <c r="O440" s="181"/>
      <c r="P440" s="183"/>
      <c r="Q440" s="104"/>
      <c r="R440" s="393"/>
      <c r="S440" s="104"/>
    </row>
    <row r="441" ht="29.25" customHeight="1">
      <c r="A441" s="230"/>
      <c r="B441" s="389"/>
      <c r="C441" s="390"/>
      <c r="D441" s="391"/>
      <c r="E441" s="383"/>
      <c r="F441" s="162"/>
      <c r="G441" s="232"/>
      <c r="H441" s="232"/>
      <c r="I441" s="181"/>
      <c r="J441" s="182"/>
      <c r="K441" s="182"/>
      <c r="L441" s="182"/>
      <c r="M441" s="165"/>
      <c r="N441" s="181"/>
      <c r="O441" s="181"/>
      <c r="P441" s="183"/>
      <c r="Q441" s="104"/>
      <c r="R441" s="388"/>
      <c r="S441" s="104"/>
    </row>
    <row r="442" ht="29.25" customHeight="1">
      <c r="A442" s="230"/>
      <c r="B442" s="389"/>
      <c r="C442" s="390"/>
      <c r="D442" s="391"/>
      <c r="E442" s="392"/>
      <c r="F442" s="162"/>
      <c r="G442" s="232"/>
      <c r="H442" s="232"/>
      <c r="I442" s="181"/>
      <c r="J442" s="182"/>
      <c r="K442" s="182"/>
      <c r="L442" s="182"/>
      <c r="M442" s="165"/>
      <c r="N442" s="181"/>
      <c r="O442" s="181"/>
      <c r="P442" s="183"/>
      <c r="Q442" s="104"/>
      <c r="R442" s="393"/>
      <c r="S442" s="104"/>
    </row>
    <row r="443" ht="29.25" customHeight="1">
      <c r="A443" s="230"/>
      <c r="B443" s="389"/>
      <c r="C443" s="390"/>
      <c r="D443" s="391"/>
      <c r="E443" s="383"/>
      <c r="F443" s="162"/>
      <c r="G443" s="232"/>
      <c r="H443" s="232"/>
      <c r="I443" s="181"/>
      <c r="J443" s="182"/>
      <c r="K443" s="182"/>
      <c r="L443" s="182"/>
      <c r="M443" s="165"/>
      <c r="N443" s="181"/>
      <c r="O443" s="181"/>
      <c r="P443" s="183"/>
      <c r="Q443" s="104"/>
      <c r="R443" s="388"/>
      <c r="S443" s="104"/>
    </row>
    <row r="444" ht="29.25" customHeight="1">
      <c r="A444" s="230"/>
      <c r="B444" s="389"/>
      <c r="C444" s="390"/>
      <c r="D444" s="391"/>
      <c r="E444" s="392"/>
      <c r="F444" s="162"/>
      <c r="G444" s="232"/>
      <c r="H444" s="232"/>
      <c r="I444" s="181"/>
      <c r="J444" s="182"/>
      <c r="K444" s="182"/>
      <c r="L444" s="182"/>
      <c r="M444" s="165"/>
      <c r="N444" s="181"/>
      <c r="O444" s="181"/>
      <c r="P444" s="183"/>
      <c r="Q444" s="104"/>
      <c r="R444" s="393"/>
      <c r="S444" s="104"/>
    </row>
    <row r="445" ht="29.25" customHeight="1">
      <c r="A445" s="230"/>
      <c r="B445" s="389"/>
      <c r="C445" s="390"/>
      <c r="D445" s="391"/>
      <c r="E445" s="383"/>
      <c r="F445" s="162"/>
      <c r="G445" s="232"/>
      <c r="H445" s="232"/>
      <c r="I445" s="181"/>
      <c r="J445" s="182"/>
      <c r="K445" s="182"/>
      <c r="L445" s="182"/>
      <c r="M445" s="165"/>
      <c r="N445" s="181"/>
      <c r="O445" s="181"/>
      <c r="P445" s="183"/>
      <c r="Q445" s="104"/>
      <c r="R445" s="388"/>
      <c r="S445" s="104"/>
    </row>
    <row r="446" ht="29.25" customHeight="1">
      <c r="A446" s="230"/>
      <c r="B446" s="389"/>
      <c r="C446" s="390"/>
      <c r="D446" s="391"/>
      <c r="E446" s="392"/>
      <c r="F446" s="162"/>
      <c r="G446" s="232"/>
      <c r="H446" s="232"/>
      <c r="I446" s="181"/>
      <c r="J446" s="182"/>
      <c r="K446" s="182"/>
      <c r="L446" s="182"/>
      <c r="M446" s="165"/>
      <c r="N446" s="181"/>
      <c r="O446" s="181"/>
      <c r="P446" s="183"/>
      <c r="Q446" s="104"/>
      <c r="R446" s="393"/>
      <c r="S446" s="104"/>
    </row>
    <row r="447" ht="29.25" customHeight="1">
      <c r="A447" s="230"/>
      <c r="B447" s="389"/>
      <c r="C447" s="390"/>
      <c r="D447" s="391"/>
      <c r="E447" s="383"/>
      <c r="F447" s="162"/>
      <c r="G447" s="232"/>
      <c r="H447" s="232"/>
      <c r="I447" s="181"/>
      <c r="J447" s="182"/>
      <c r="K447" s="182"/>
      <c r="L447" s="182"/>
      <c r="M447" s="165"/>
      <c r="N447" s="181"/>
      <c r="O447" s="181"/>
      <c r="P447" s="183"/>
      <c r="Q447" s="104"/>
      <c r="R447" s="388"/>
      <c r="S447" s="104"/>
    </row>
    <row r="448" ht="29.25" customHeight="1">
      <c r="A448" s="230"/>
      <c r="B448" s="389"/>
      <c r="C448" s="390"/>
      <c r="D448" s="391"/>
      <c r="E448" s="392"/>
      <c r="F448" s="162"/>
      <c r="G448" s="232"/>
      <c r="H448" s="232"/>
      <c r="I448" s="181"/>
      <c r="J448" s="182"/>
      <c r="K448" s="182"/>
      <c r="L448" s="182"/>
      <c r="M448" s="165"/>
      <c r="N448" s="181"/>
      <c r="O448" s="181"/>
      <c r="P448" s="183"/>
      <c r="Q448" s="104"/>
      <c r="R448" s="393"/>
      <c r="S448" s="104"/>
    </row>
    <row r="449" ht="29.25" customHeight="1">
      <c r="A449" s="230"/>
      <c r="B449" s="389"/>
      <c r="C449" s="390"/>
      <c r="D449" s="391"/>
      <c r="E449" s="383"/>
      <c r="F449" s="162"/>
      <c r="G449" s="232"/>
      <c r="H449" s="232"/>
      <c r="I449" s="181"/>
      <c r="J449" s="182"/>
      <c r="K449" s="182"/>
      <c r="L449" s="182"/>
      <c r="M449" s="165"/>
      <c r="N449" s="181"/>
      <c r="O449" s="181"/>
      <c r="P449" s="183"/>
      <c r="Q449" s="104"/>
      <c r="R449" s="388"/>
      <c r="S449" s="104"/>
    </row>
    <row r="450" ht="29.25" customHeight="1">
      <c r="A450" s="230"/>
      <c r="B450" s="389"/>
      <c r="C450" s="390"/>
      <c r="D450" s="391"/>
      <c r="E450" s="392"/>
      <c r="F450" s="162"/>
      <c r="G450" s="232"/>
      <c r="H450" s="232"/>
      <c r="I450" s="181"/>
      <c r="J450" s="182"/>
      <c r="K450" s="182"/>
      <c r="L450" s="182"/>
      <c r="M450" s="165"/>
      <c r="N450" s="181"/>
      <c r="O450" s="181"/>
      <c r="P450" s="183"/>
      <c r="Q450" s="104"/>
      <c r="R450" s="393"/>
      <c r="S450" s="104"/>
    </row>
    <row r="451" ht="29.25" customHeight="1">
      <c r="A451" s="230"/>
      <c r="B451" s="389"/>
      <c r="C451" s="390"/>
      <c r="D451" s="391"/>
      <c r="E451" s="383"/>
      <c r="F451" s="162"/>
      <c r="G451" s="232"/>
      <c r="H451" s="232"/>
      <c r="I451" s="181"/>
      <c r="J451" s="182"/>
      <c r="K451" s="182"/>
      <c r="L451" s="182"/>
      <c r="M451" s="165"/>
      <c r="N451" s="181"/>
      <c r="O451" s="181"/>
      <c r="P451" s="183"/>
      <c r="Q451" s="104"/>
      <c r="R451" s="388"/>
      <c r="S451" s="104"/>
    </row>
    <row r="452" ht="29.25" customHeight="1">
      <c r="A452" s="230"/>
      <c r="B452" s="389"/>
      <c r="C452" s="390"/>
      <c r="D452" s="391"/>
      <c r="E452" s="392"/>
      <c r="F452" s="162"/>
      <c r="G452" s="232"/>
      <c r="H452" s="232"/>
      <c r="I452" s="181"/>
      <c r="J452" s="182"/>
      <c r="K452" s="182"/>
      <c r="L452" s="182"/>
      <c r="M452" s="165"/>
      <c r="N452" s="181"/>
      <c r="O452" s="181"/>
      <c r="P452" s="183"/>
      <c r="Q452" s="104"/>
      <c r="R452" s="393"/>
      <c r="S452" s="104"/>
    </row>
    <row r="453" ht="29.25" customHeight="1">
      <c r="A453" s="230"/>
      <c r="B453" s="389"/>
      <c r="C453" s="390"/>
      <c r="D453" s="391"/>
      <c r="E453" s="383"/>
      <c r="F453" s="162"/>
      <c r="G453" s="232"/>
      <c r="H453" s="232"/>
      <c r="I453" s="181"/>
      <c r="J453" s="182"/>
      <c r="K453" s="182"/>
      <c r="L453" s="182"/>
      <c r="M453" s="165"/>
      <c r="N453" s="181"/>
      <c r="O453" s="181"/>
      <c r="P453" s="183"/>
      <c r="Q453" s="104"/>
      <c r="R453" s="388"/>
      <c r="S453" s="104"/>
    </row>
    <row r="454" ht="29.25" customHeight="1">
      <c r="A454" s="230"/>
      <c r="B454" s="389"/>
      <c r="C454" s="390"/>
      <c r="D454" s="391"/>
      <c r="E454" s="392"/>
      <c r="F454" s="162"/>
      <c r="G454" s="232"/>
      <c r="H454" s="232"/>
      <c r="I454" s="181"/>
      <c r="J454" s="182"/>
      <c r="K454" s="182"/>
      <c r="L454" s="182"/>
      <c r="M454" s="165"/>
      <c r="N454" s="181"/>
      <c r="O454" s="181"/>
      <c r="P454" s="183"/>
      <c r="Q454" s="104"/>
      <c r="R454" s="393"/>
      <c r="S454" s="104"/>
    </row>
    <row r="455" ht="29.25" customHeight="1">
      <c r="A455" s="230"/>
      <c r="B455" s="389"/>
      <c r="C455" s="390"/>
      <c r="D455" s="391"/>
      <c r="E455" s="383"/>
      <c r="F455" s="162"/>
      <c r="G455" s="232"/>
      <c r="H455" s="232"/>
      <c r="I455" s="181"/>
      <c r="J455" s="182"/>
      <c r="K455" s="182"/>
      <c r="L455" s="182"/>
      <c r="M455" s="165"/>
      <c r="N455" s="181"/>
      <c r="O455" s="181"/>
      <c r="P455" s="183"/>
      <c r="Q455" s="104"/>
      <c r="R455" s="388"/>
      <c r="S455" s="104"/>
    </row>
    <row r="456" ht="29.25" customHeight="1">
      <c r="A456" s="230"/>
      <c r="B456" s="389"/>
      <c r="C456" s="390"/>
      <c r="D456" s="391"/>
      <c r="E456" s="392"/>
      <c r="F456" s="162"/>
      <c r="G456" s="232"/>
      <c r="H456" s="232"/>
      <c r="I456" s="181"/>
      <c r="J456" s="182"/>
      <c r="K456" s="182"/>
      <c r="L456" s="182"/>
      <c r="M456" s="165"/>
      <c r="N456" s="181"/>
      <c r="O456" s="181"/>
      <c r="P456" s="183"/>
      <c r="Q456" s="104"/>
      <c r="R456" s="393"/>
      <c r="S456" s="104"/>
    </row>
    <row r="457" ht="29.25" customHeight="1">
      <c r="A457" s="230"/>
      <c r="B457" s="389"/>
      <c r="C457" s="390"/>
      <c r="D457" s="391"/>
      <c r="E457" s="383"/>
      <c r="F457" s="162"/>
      <c r="G457" s="232"/>
      <c r="H457" s="232"/>
      <c r="I457" s="181"/>
      <c r="J457" s="182"/>
      <c r="K457" s="182"/>
      <c r="L457" s="182"/>
      <c r="M457" s="165"/>
      <c r="N457" s="181"/>
      <c r="O457" s="181"/>
      <c r="P457" s="183"/>
      <c r="Q457" s="104"/>
      <c r="R457" s="388"/>
      <c r="S457" s="104"/>
    </row>
    <row r="458" ht="29.25" customHeight="1">
      <c r="A458" s="230"/>
      <c r="B458" s="389"/>
      <c r="C458" s="390"/>
      <c r="D458" s="391"/>
      <c r="E458" s="392"/>
      <c r="F458" s="162"/>
      <c r="G458" s="232"/>
      <c r="H458" s="232"/>
      <c r="I458" s="181"/>
      <c r="J458" s="182"/>
      <c r="K458" s="182"/>
      <c r="L458" s="182"/>
      <c r="M458" s="165"/>
      <c r="N458" s="181"/>
      <c r="O458" s="181"/>
      <c r="P458" s="183"/>
      <c r="Q458" s="104"/>
      <c r="R458" s="393"/>
      <c r="S458" s="104"/>
    </row>
    <row r="459" ht="29.25" customHeight="1">
      <c r="A459" s="230"/>
      <c r="B459" s="389"/>
      <c r="C459" s="390"/>
      <c r="D459" s="391"/>
      <c r="E459" s="383"/>
      <c r="F459" s="162"/>
      <c r="G459" s="232"/>
      <c r="H459" s="232"/>
      <c r="I459" s="181"/>
      <c r="J459" s="182"/>
      <c r="K459" s="182"/>
      <c r="L459" s="182"/>
      <c r="M459" s="165"/>
      <c r="N459" s="181"/>
      <c r="O459" s="181"/>
      <c r="P459" s="183"/>
      <c r="Q459" s="104"/>
      <c r="R459" s="388"/>
      <c r="S459" s="104"/>
    </row>
    <row r="460" ht="29.25" customHeight="1">
      <c r="A460" s="230"/>
      <c r="B460" s="389"/>
      <c r="C460" s="390"/>
      <c r="D460" s="391"/>
      <c r="E460" s="392"/>
      <c r="F460" s="162"/>
      <c r="G460" s="232"/>
      <c r="H460" s="232"/>
      <c r="I460" s="181"/>
      <c r="J460" s="182"/>
      <c r="K460" s="182"/>
      <c r="L460" s="182"/>
      <c r="M460" s="165"/>
      <c r="N460" s="181"/>
      <c r="O460" s="181"/>
      <c r="P460" s="183"/>
      <c r="Q460" s="104"/>
      <c r="R460" s="393"/>
      <c r="S460" s="104"/>
    </row>
    <row r="461" ht="29.25" customHeight="1">
      <c r="A461" s="230"/>
      <c r="B461" s="389"/>
      <c r="C461" s="390"/>
      <c r="D461" s="391"/>
      <c r="E461" s="383"/>
      <c r="F461" s="162"/>
      <c r="G461" s="232"/>
      <c r="H461" s="232"/>
      <c r="I461" s="181"/>
      <c r="J461" s="182"/>
      <c r="K461" s="182"/>
      <c r="L461" s="182"/>
      <c r="M461" s="165"/>
      <c r="N461" s="181"/>
      <c r="O461" s="181"/>
      <c r="P461" s="183"/>
      <c r="Q461" s="104"/>
      <c r="R461" s="388"/>
      <c r="S461" s="104"/>
    </row>
    <row r="462" ht="29.25" customHeight="1">
      <c r="A462" s="230"/>
      <c r="B462" s="389"/>
      <c r="C462" s="390"/>
      <c r="D462" s="391"/>
      <c r="E462" s="392"/>
      <c r="F462" s="162"/>
      <c r="G462" s="232"/>
      <c r="H462" s="232"/>
      <c r="I462" s="181"/>
      <c r="J462" s="182"/>
      <c r="K462" s="182"/>
      <c r="L462" s="182"/>
      <c r="M462" s="165"/>
      <c r="N462" s="181"/>
      <c r="O462" s="181"/>
      <c r="P462" s="183"/>
      <c r="Q462" s="104"/>
      <c r="R462" s="393"/>
      <c r="S462" s="104"/>
    </row>
    <row r="463" ht="29.25" customHeight="1">
      <c r="A463" s="230"/>
      <c r="B463" s="389"/>
      <c r="C463" s="390"/>
      <c r="D463" s="391"/>
      <c r="E463" s="383"/>
      <c r="F463" s="162"/>
      <c r="G463" s="232"/>
      <c r="H463" s="232"/>
      <c r="I463" s="181"/>
      <c r="J463" s="182"/>
      <c r="K463" s="182"/>
      <c r="L463" s="182"/>
      <c r="M463" s="165"/>
      <c r="N463" s="181"/>
      <c r="O463" s="181"/>
      <c r="P463" s="183"/>
      <c r="Q463" s="104"/>
      <c r="R463" s="388"/>
      <c r="S463" s="104"/>
    </row>
    <row r="464" ht="29.25" customHeight="1">
      <c r="A464" s="230"/>
      <c r="B464" s="389"/>
      <c r="C464" s="390"/>
      <c r="D464" s="391"/>
      <c r="E464" s="392"/>
      <c r="F464" s="162"/>
      <c r="G464" s="232"/>
      <c r="H464" s="232"/>
      <c r="I464" s="181"/>
      <c r="J464" s="182"/>
      <c r="K464" s="182"/>
      <c r="L464" s="182"/>
      <c r="M464" s="165"/>
      <c r="N464" s="181"/>
      <c r="O464" s="181"/>
      <c r="P464" s="183"/>
      <c r="Q464" s="104"/>
      <c r="R464" s="393"/>
      <c r="S464" s="104"/>
    </row>
    <row r="465" ht="29.25" customHeight="1">
      <c r="A465" s="230"/>
      <c r="B465" s="389"/>
      <c r="C465" s="390"/>
      <c r="D465" s="391"/>
      <c r="E465" s="383"/>
      <c r="F465" s="162"/>
      <c r="G465" s="232"/>
      <c r="H465" s="232"/>
      <c r="I465" s="181"/>
      <c r="J465" s="182"/>
      <c r="K465" s="182"/>
      <c r="L465" s="182"/>
      <c r="M465" s="165"/>
      <c r="N465" s="181"/>
      <c r="O465" s="181"/>
      <c r="P465" s="183"/>
      <c r="Q465" s="104"/>
      <c r="R465" s="388"/>
      <c r="S465" s="104"/>
    </row>
    <row r="466" ht="29.25" customHeight="1">
      <c r="A466" s="230"/>
      <c r="B466" s="389"/>
      <c r="C466" s="390"/>
      <c r="D466" s="391"/>
      <c r="E466" s="392"/>
      <c r="F466" s="162"/>
      <c r="G466" s="232"/>
      <c r="H466" s="232"/>
      <c r="I466" s="181"/>
      <c r="J466" s="182"/>
      <c r="K466" s="182"/>
      <c r="L466" s="182"/>
      <c r="M466" s="165"/>
      <c r="N466" s="181"/>
      <c r="O466" s="181"/>
      <c r="P466" s="183"/>
      <c r="Q466" s="104"/>
      <c r="R466" s="393"/>
      <c r="S466" s="104"/>
    </row>
    <row r="467" ht="29.25" customHeight="1">
      <c r="A467" s="230"/>
      <c r="B467" s="389"/>
      <c r="C467" s="390"/>
      <c r="D467" s="391"/>
      <c r="E467" s="383"/>
      <c r="F467" s="162"/>
      <c r="G467" s="232"/>
      <c r="H467" s="232"/>
      <c r="I467" s="181"/>
      <c r="J467" s="182"/>
      <c r="K467" s="182"/>
      <c r="L467" s="182"/>
      <c r="M467" s="165"/>
      <c r="N467" s="181"/>
      <c r="O467" s="181"/>
      <c r="P467" s="183"/>
      <c r="Q467" s="104"/>
      <c r="R467" s="388"/>
      <c r="S467" s="104"/>
    </row>
    <row r="468" ht="29.25" customHeight="1">
      <c r="A468" s="230"/>
      <c r="B468" s="389"/>
      <c r="C468" s="390"/>
      <c r="D468" s="391"/>
      <c r="E468" s="392"/>
      <c r="F468" s="162"/>
      <c r="G468" s="232"/>
      <c r="H468" s="232"/>
      <c r="I468" s="181"/>
      <c r="J468" s="182"/>
      <c r="K468" s="182"/>
      <c r="L468" s="182"/>
      <c r="M468" s="165"/>
      <c r="N468" s="181"/>
      <c r="O468" s="181"/>
      <c r="P468" s="183"/>
      <c r="Q468" s="104"/>
      <c r="R468" s="393"/>
      <c r="S468" s="104"/>
    </row>
    <row r="469" ht="29.25" customHeight="1">
      <c r="A469" s="230"/>
      <c r="B469" s="389"/>
      <c r="C469" s="390"/>
      <c r="D469" s="391"/>
      <c r="E469" s="383"/>
      <c r="F469" s="162"/>
      <c r="G469" s="232"/>
      <c r="H469" s="232"/>
      <c r="I469" s="181"/>
      <c r="J469" s="182"/>
      <c r="K469" s="182"/>
      <c r="L469" s="182"/>
      <c r="M469" s="165"/>
      <c r="N469" s="181"/>
      <c r="O469" s="181"/>
      <c r="P469" s="183"/>
      <c r="Q469" s="104"/>
      <c r="R469" s="388"/>
      <c r="S469" s="104"/>
    </row>
    <row r="470" ht="29.25" customHeight="1">
      <c r="A470" s="230"/>
      <c r="B470" s="389"/>
      <c r="C470" s="390"/>
      <c r="D470" s="391"/>
      <c r="E470" s="392"/>
      <c r="F470" s="162"/>
      <c r="G470" s="232"/>
      <c r="H470" s="232"/>
      <c r="I470" s="181"/>
      <c r="J470" s="182"/>
      <c r="K470" s="182"/>
      <c r="L470" s="182"/>
      <c r="M470" s="165"/>
      <c r="N470" s="181"/>
      <c r="O470" s="181"/>
      <c r="P470" s="183"/>
      <c r="Q470" s="104"/>
      <c r="R470" s="393"/>
      <c r="S470" s="104"/>
    </row>
    <row r="471" ht="29.25" customHeight="1">
      <c r="A471" s="230"/>
      <c r="B471" s="389"/>
      <c r="C471" s="390"/>
      <c r="D471" s="391"/>
      <c r="E471" s="383"/>
      <c r="F471" s="162"/>
      <c r="G471" s="232"/>
      <c r="H471" s="232"/>
      <c r="I471" s="181"/>
      <c r="J471" s="182"/>
      <c r="K471" s="182"/>
      <c r="L471" s="182"/>
      <c r="M471" s="165"/>
      <c r="N471" s="181"/>
      <c r="O471" s="181"/>
      <c r="P471" s="183"/>
      <c r="Q471" s="104"/>
      <c r="R471" s="388"/>
      <c r="S471" s="104"/>
    </row>
    <row r="472" ht="29.25" customHeight="1">
      <c r="A472" s="230"/>
      <c r="B472" s="389"/>
      <c r="C472" s="390"/>
      <c r="D472" s="391"/>
      <c r="E472" s="392"/>
      <c r="F472" s="162"/>
      <c r="G472" s="232"/>
      <c r="H472" s="232"/>
      <c r="I472" s="181"/>
      <c r="J472" s="182"/>
      <c r="K472" s="182"/>
      <c r="L472" s="182"/>
      <c r="M472" s="165"/>
      <c r="N472" s="181"/>
      <c r="O472" s="181"/>
      <c r="P472" s="183"/>
      <c r="Q472" s="104"/>
      <c r="R472" s="393"/>
      <c r="S472" s="104"/>
    </row>
    <row r="473" ht="29.25" customHeight="1">
      <c r="A473" s="230"/>
      <c r="B473" s="389"/>
      <c r="C473" s="390"/>
      <c r="D473" s="391"/>
      <c r="E473" s="383"/>
      <c r="F473" s="162"/>
      <c r="G473" s="232"/>
      <c r="H473" s="232"/>
      <c r="I473" s="181"/>
      <c r="J473" s="182"/>
      <c r="K473" s="182"/>
      <c r="L473" s="182"/>
      <c r="M473" s="165"/>
      <c r="N473" s="181"/>
      <c r="O473" s="181"/>
      <c r="P473" s="183"/>
      <c r="Q473" s="104"/>
      <c r="R473" s="388"/>
      <c r="S473" s="104"/>
    </row>
    <row r="474" ht="29.25" customHeight="1">
      <c r="A474" s="230"/>
      <c r="B474" s="389"/>
      <c r="C474" s="390"/>
      <c r="D474" s="391"/>
      <c r="E474" s="392"/>
      <c r="F474" s="162"/>
      <c r="G474" s="232"/>
      <c r="H474" s="232"/>
      <c r="I474" s="181"/>
      <c r="J474" s="182"/>
      <c r="K474" s="182"/>
      <c r="L474" s="182"/>
      <c r="M474" s="165"/>
      <c r="N474" s="181"/>
      <c r="O474" s="181"/>
      <c r="P474" s="183"/>
      <c r="Q474" s="104"/>
      <c r="R474" s="393"/>
      <c r="S474" s="104"/>
    </row>
    <row r="475" ht="29.25" customHeight="1">
      <c r="A475" s="230"/>
      <c r="B475" s="389"/>
      <c r="C475" s="390"/>
      <c r="D475" s="391"/>
      <c r="E475" s="383"/>
      <c r="F475" s="162"/>
      <c r="G475" s="232"/>
      <c r="H475" s="232"/>
      <c r="I475" s="181"/>
      <c r="J475" s="182"/>
      <c r="K475" s="182"/>
      <c r="L475" s="182"/>
      <c r="M475" s="165"/>
      <c r="N475" s="181"/>
      <c r="O475" s="181"/>
      <c r="P475" s="183"/>
      <c r="Q475" s="104"/>
      <c r="R475" s="388"/>
      <c r="S475" s="104"/>
    </row>
    <row r="476" ht="29.25" customHeight="1">
      <c r="A476" s="230"/>
      <c r="B476" s="389"/>
      <c r="C476" s="390"/>
      <c r="D476" s="391"/>
      <c r="E476" s="392"/>
      <c r="F476" s="162"/>
      <c r="G476" s="232"/>
      <c r="H476" s="232"/>
      <c r="I476" s="181"/>
      <c r="J476" s="182"/>
      <c r="K476" s="182"/>
      <c r="L476" s="182"/>
      <c r="M476" s="165"/>
      <c r="N476" s="181"/>
      <c r="O476" s="181"/>
      <c r="P476" s="183"/>
      <c r="Q476" s="104"/>
      <c r="R476" s="393"/>
      <c r="S476" s="104"/>
    </row>
    <row r="477" ht="29.25" customHeight="1">
      <c r="A477" s="230"/>
      <c r="B477" s="389"/>
      <c r="C477" s="390"/>
      <c r="D477" s="391"/>
      <c r="E477" s="383"/>
      <c r="F477" s="162"/>
      <c r="G477" s="232"/>
      <c r="H477" s="232"/>
      <c r="I477" s="181"/>
      <c r="J477" s="182"/>
      <c r="K477" s="182"/>
      <c r="L477" s="182"/>
      <c r="M477" s="165"/>
      <c r="N477" s="181"/>
      <c r="O477" s="181"/>
      <c r="P477" s="183"/>
      <c r="Q477" s="104"/>
      <c r="R477" s="388"/>
      <c r="S477" s="104"/>
    </row>
    <row r="478" ht="29.25" customHeight="1">
      <c r="A478" s="230"/>
      <c r="B478" s="389"/>
      <c r="C478" s="390"/>
      <c r="D478" s="391"/>
      <c r="E478" s="392"/>
      <c r="F478" s="162"/>
      <c r="G478" s="232"/>
      <c r="H478" s="232"/>
      <c r="I478" s="181"/>
      <c r="J478" s="182"/>
      <c r="K478" s="182"/>
      <c r="L478" s="182"/>
      <c r="M478" s="165"/>
      <c r="N478" s="181"/>
      <c r="O478" s="181"/>
      <c r="P478" s="183"/>
      <c r="Q478" s="104"/>
      <c r="R478" s="393"/>
      <c r="S478" s="104"/>
    </row>
    <row r="479" ht="29.25" customHeight="1">
      <c r="A479" s="230"/>
      <c r="B479" s="389"/>
      <c r="C479" s="390"/>
      <c r="D479" s="391"/>
      <c r="E479" s="383"/>
      <c r="F479" s="162"/>
      <c r="G479" s="232"/>
      <c r="H479" s="232"/>
      <c r="I479" s="181"/>
      <c r="J479" s="182"/>
      <c r="K479" s="182"/>
      <c r="L479" s="182"/>
      <c r="M479" s="165"/>
      <c r="N479" s="181"/>
      <c r="O479" s="181"/>
      <c r="P479" s="183"/>
      <c r="Q479" s="104"/>
      <c r="R479" s="388"/>
      <c r="S479" s="104"/>
    </row>
    <row r="480" ht="29.25" customHeight="1">
      <c r="A480" s="230"/>
      <c r="B480" s="389"/>
      <c r="C480" s="390"/>
      <c r="D480" s="391"/>
      <c r="E480" s="392"/>
      <c r="F480" s="162"/>
      <c r="G480" s="232"/>
      <c r="H480" s="232"/>
      <c r="I480" s="181"/>
      <c r="J480" s="182"/>
      <c r="K480" s="182"/>
      <c r="L480" s="182"/>
      <c r="M480" s="165"/>
      <c r="N480" s="181"/>
      <c r="O480" s="181"/>
      <c r="P480" s="183"/>
      <c r="Q480" s="104"/>
      <c r="R480" s="393"/>
      <c r="S480" s="104"/>
    </row>
    <row r="481" ht="29.25" customHeight="1">
      <c r="A481" s="230"/>
      <c r="B481" s="389"/>
      <c r="C481" s="390"/>
      <c r="D481" s="391"/>
      <c r="E481" s="383"/>
      <c r="F481" s="162"/>
      <c r="G481" s="232"/>
      <c r="H481" s="232"/>
      <c r="I481" s="181"/>
      <c r="J481" s="182"/>
      <c r="K481" s="182"/>
      <c r="L481" s="182"/>
      <c r="M481" s="165"/>
      <c r="N481" s="181"/>
      <c r="O481" s="181"/>
      <c r="P481" s="183"/>
      <c r="Q481" s="104"/>
      <c r="R481" s="388"/>
      <c r="S481" s="104"/>
    </row>
    <row r="482" ht="29.25" customHeight="1">
      <c r="A482" s="230"/>
      <c r="B482" s="389"/>
      <c r="C482" s="390"/>
      <c r="D482" s="391"/>
      <c r="E482" s="392"/>
      <c r="F482" s="162"/>
      <c r="G482" s="232"/>
      <c r="H482" s="232"/>
      <c r="I482" s="181"/>
      <c r="J482" s="182"/>
      <c r="K482" s="182"/>
      <c r="L482" s="182"/>
      <c r="M482" s="165"/>
      <c r="N482" s="181"/>
      <c r="O482" s="181"/>
      <c r="P482" s="183"/>
      <c r="Q482" s="104"/>
      <c r="R482" s="393"/>
      <c r="S482" s="104"/>
    </row>
    <row r="483" ht="29.25" customHeight="1">
      <c r="A483" s="230"/>
      <c r="B483" s="389"/>
      <c r="C483" s="390"/>
      <c r="D483" s="391"/>
      <c r="E483" s="383"/>
      <c r="F483" s="162"/>
      <c r="G483" s="232"/>
      <c r="H483" s="232"/>
      <c r="I483" s="181"/>
      <c r="J483" s="182"/>
      <c r="K483" s="182"/>
      <c r="L483" s="182"/>
      <c r="M483" s="165"/>
      <c r="N483" s="181"/>
      <c r="O483" s="181"/>
      <c r="P483" s="183"/>
      <c r="Q483" s="104"/>
      <c r="R483" s="388"/>
      <c r="S483" s="104"/>
    </row>
    <row r="484" ht="29.25" customHeight="1">
      <c r="A484" s="230"/>
      <c r="B484" s="389"/>
      <c r="C484" s="390"/>
      <c r="D484" s="391"/>
      <c r="E484" s="392"/>
      <c r="F484" s="162"/>
      <c r="G484" s="232"/>
      <c r="H484" s="232"/>
      <c r="I484" s="181"/>
      <c r="J484" s="182"/>
      <c r="K484" s="182"/>
      <c r="L484" s="182"/>
      <c r="M484" s="165"/>
      <c r="N484" s="181"/>
      <c r="O484" s="181"/>
      <c r="P484" s="183"/>
      <c r="Q484" s="104"/>
      <c r="R484" s="393"/>
      <c r="S484" s="104"/>
    </row>
    <row r="485" ht="29.25" customHeight="1">
      <c r="A485" s="230"/>
      <c r="B485" s="389"/>
      <c r="C485" s="390"/>
      <c r="D485" s="391"/>
      <c r="E485" s="383"/>
      <c r="F485" s="162"/>
      <c r="G485" s="232"/>
      <c r="H485" s="232"/>
      <c r="I485" s="181"/>
      <c r="J485" s="182"/>
      <c r="K485" s="182"/>
      <c r="L485" s="182"/>
      <c r="M485" s="165"/>
      <c r="N485" s="181"/>
      <c r="O485" s="181"/>
      <c r="P485" s="183"/>
      <c r="Q485" s="104"/>
      <c r="R485" s="388"/>
      <c r="S485" s="104"/>
    </row>
    <row r="486" ht="29.25" customHeight="1">
      <c r="A486" s="230"/>
      <c r="B486" s="389"/>
      <c r="C486" s="390"/>
      <c r="D486" s="391"/>
      <c r="E486" s="392"/>
      <c r="F486" s="162"/>
      <c r="G486" s="232"/>
      <c r="H486" s="232"/>
      <c r="I486" s="181"/>
      <c r="J486" s="182"/>
      <c r="K486" s="182"/>
      <c r="L486" s="182"/>
      <c r="M486" s="165"/>
      <c r="N486" s="181"/>
      <c r="O486" s="181"/>
      <c r="P486" s="183"/>
      <c r="Q486" s="104"/>
      <c r="R486" s="393"/>
      <c r="S486" s="104"/>
    </row>
    <row r="487" ht="29.25" customHeight="1">
      <c r="A487" s="230"/>
      <c r="B487" s="389"/>
      <c r="C487" s="390"/>
      <c r="D487" s="391"/>
      <c r="E487" s="383"/>
      <c r="F487" s="162"/>
      <c r="G487" s="232"/>
      <c r="H487" s="232"/>
      <c r="I487" s="181"/>
      <c r="J487" s="182"/>
      <c r="K487" s="182"/>
      <c r="L487" s="182"/>
      <c r="M487" s="165"/>
      <c r="N487" s="181"/>
      <c r="O487" s="181"/>
      <c r="P487" s="183"/>
      <c r="Q487" s="104"/>
      <c r="R487" s="388"/>
      <c r="S487" s="104"/>
    </row>
    <row r="488" ht="29.25" customHeight="1">
      <c r="A488" s="230"/>
      <c r="B488" s="389"/>
      <c r="C488" s="390"/>
      <c r="D488" s="391"/>
      <c r="E488" s="392"/>
      <c r="F488" s="162"/>
      <c r="G488" s="232"/>
      <c r="H488" s="232"/>
      <c r="I488" s="181"/>
      <c r="J488" s="182"/>
      <c r="K488" s="182"/>
      <c r="L488" s="182"/>
      <c r="M488" s="165"/>
      <c r="N488" s="181"/>
      <c r="O488" s="181"/>
      <c r="P488" s="183"/>
      <c r="Q488" s="104"/>
      <c r="R488" s="393"/>
      <c r="S488" s="104"/>
    </row>
    <row r="489" ht="29.25" customHeight="1">
      <c r="A489" s="230"/>
      <c r="B489" s="389"/>
      <c r="C489" s="390"/>
      <c r="D489" s="391"/>
      <c r="E489" s="383"/>
      <c r="F489" s="162"/>
      <c r="G489" s="232"/>
      <c r="H489" s="232"/>
      <c r="I489" s="181"/>
      <c r="J489" s="182"/>
      <c r="K489" s="182"/>
      <c r="L489" s="182"/>
      <c r="M489" s="165"/>
      <c r="N489" s="181"/>
      <c r="O489" s="181"/>
      <c r="P489" s="183"/>
      <c r="Q489" s="104"/>
      <c r="R489" s="388"/>
      <c r="S489" s="104"/>
    </row>
    <row r="490" ht="29.25" customHeight="1">
      <c r="A490" s="230"/>
      <c r="B490" s="389"/>
      <c r="C490" s="390"/>
      <c r="D490" s="391"/>
      <c r="E490" s="392"/>
      <c r="F490" s="162"/>
      <c r="G490" s="232"/>
      <c r="H490" s="232"/>
      <c r="I490" s="181"/>
      <c r="J490" s="182"/>
      <c r="K490" s="182"/>
      <c r="L490" s="182"/>
      <c r="M490" s="165"/>
      <c r="N490" s="181"/>
      <c r="O490" s="181"/>
      <c r="P490" s="183"/>
      <c r="Q490" s="104"/>
      <c r="R490" s="393"/>
      <c r="S490" s="104"/>
    </row>
    <row r="491" ht="29.25" customHeight="1">
      <c r="A491" s="230"/>
      <c r="B491" s="389"/>
      <c r="C491" s="390"/>
      <c r="D491" s="391"/>
      <c r="E491" s="383"/>
      <c r="F491" s="162"/>
      <c r="G491" s="232"/>
      <c r="H491" s="232"/>
      <c r="I491" s="181"/>
      <c r="J491" s="182"/>
      <c r="K491" s="182"/>
      <c r="L491" s="182"/>
      <c r="M491" s="165"/>
      <c r="N491" s="181"/>
      <c r="O491" s="181"/>
      <c r="P491" s="183"/>
      <c r="Q491" s="104"/>
      <c r="R491" s="388"/>
      <c r="S491" s="104"/>
    </row>
    <row r="492" ht="29.25" customHeight="1">
      <c r="A492" s="230"/>
      <c r="B492" s="389"/>
      <c r="C492" s="390"/>
      <c r="D492" s="391"/>
      <c r="E492" s="392"/>
      <c r="F492" s="162"/>
      <c r="G492" s="232"/>
      <c r="H492" s="232"/>
      <c r="I492" s="181"/>
      <c r="J492" s="182"/>
      <c r="K492" s="182"/>
      <c r="L492" s="182"/>
      <c r="M492" s="165"/>
      <c r="N492" s="181"/>
      <c r="O492" s="181"/>
      <c r="P492" s="183"/>
      <c r="Q492" s="104"/>
      <c r="R492" s="393"/>
      <c r="S492" s="104"/>
    </row>
    <row r="493" ht="29.25" customHeight="1">
      <c r="A493" s="230"/>
      <c r="B493" s="389"/>
      <c r="C493" s="390"/>
      <c r="D493" s="391"/>
      <c r="E493" s="383"/>
      <c r="F493" s="162"/>
      <c r="G493" s="232"/>
      <c r="H493" s="232"/>
      <c r="I493" s="181"/>
      <c r="J493" s="182"/>
      <c r="K493" s="182"/>
      <c r="L493" s="182"/>
      <c r="M493" s="165"/>
      <c r="N493" s="181"/>
      <c r="O493" s="181"/>
      <c r="P493" s="183"/>
      <c r="Q493" s="104"/>
      <c r="R493" s="388"/>
      <c r="S493" s="104"/>
    </row>
    <row r="494" ht="29.25" customHeight="1">
      <c r="A494" s="230"/>
      <c r="B494" s="389"/>
      <c r="C494" s="390"/>
      <c r="D494" s="391"/>
      <c r="E494" s="392"/>
      <c r="F494" s="162"/>
      <c r="G494" s="232"/>
      <c r="H494" s="232"/>
      <c r="I494" s="181"/>
      <c r="J494" s="182"/>
      <c r="K494" s="182"/>
      <c r="L494" s="182"/>
      <c r="M494" s="165"/>
      <c r="N494" s="181"/>
      <c r="O494" s="181"/>
      <c r="P494" s="183"/>
      <c r="Q494" s="104"/>
      <c r="R494" s="393"/>
      <c r="S494" s="104"/>
    </row>
    <row r="495" ht="29.25" customHeight="1">
      <c r="A495" s="230"/>
      <c r="B495" s="389"/>
      <c r="C495" s="390"/>
      <c r="D495" s="391"/>
      <c r="E495" s="383"/>
      <c r="F495" s="162"/>
      <c r="G495" s="232"/>
      <c r="H495" s="232"/>
      <c r="I495" s="181"/>
      <c r="J495" s="182"/>
      <c r="K495" s="182"/>
      <c r="L495" s="182"/>
      <c r="M495" s="165"/>
      <c r="N495" s="181"/>
      <c r="O495" s="181"/>
      <c r="P495" s="183"/>
      <c r="Q495" s="104"/>
      <c r="R495" s="388"/>
      <c r="S495" s="104"/>
    </row>
    <row r="496" ht="29.25" customHeight="1">
      <c r="A496" s="230"/>
      <c r="B496" s="389"/>
      <c r="C496" s="390"/>
      <c r="D496" s="391"/>
      <c r="E496" s="392"/>
      <c r="F496" s="162"/>
      <c r="G496" s="232"/>
      <c r="H496" s="232"/>
      <c r="I496" s="181"/>
      <c r="J496" s="182"/>
      <c r="K496" s="182"/>
      <c r="L496" s="182"/>
      <c r="M496" s="165"/>
      <c r="N496" s="181"/>
      <c r="O496" s="181"/>
      <c r="P496" s="183"/>
      <c r="Q496" s="104"/>
      <c r="R496" s="393"/>
      <c r="S496" s="104"/>
    </row>
    <row r="497" ht="29.25" customHeight="1">
      <c r="A497" s="230"/>
      <c r="B497" s="389"/>
      <c r="C497" s="390"/>
      <c r="D497" s="391"/>
      <c r="E497" s="383"/>
      <c r="F497" s="162"/>
      <c r="G497" s="232"/>
      <c r="H497" s="232"/>
      <c r="I497" s="181"/>
      <c r="J497" s="182"/>
      <c r="K497" s="182"/>
      <c r="L497" s="182"/>
      <c r="M497" s="165"/>
      <c r="N497" s="181"/>
      <c r="O497" s="181"/>
      <c r="P497" s="183"/>
      <c r="Q497" s="104"/>
      <c r="R497" s="388"/>
      <c r="S497" s="104"/>
    </row>
    <row r="498" ht="29.25" customHeight="1">
      <c r="A498" s="230"/>
      <c r="B498" s="389"/>
      <c r="C498" s="390"/>
      <c r="D498" s="391"/>
      <c r="E498" s="392"/>
      <c r="F498" s="162"/>
      <c r="G498" s="232"/>
      <c r="H498" s="232"/>
      <c r="I498" s="181"/>
      <c r="J498" s="182"/>
      <c r="K498" s="182"/>
      <c r="L498" s="182"/>
      <c r="M498" s="165"/>
      <c r="N498" s="181"/>
      <c r="O498" s="181"/>
      <c r="P498" s="183"/>
      <c r="Q498" s="104"/>
      <c r="R498" s="393"/>
      <c r="S498" s="104"/>
    </row>
    <row r="499" ht="29.25" customHeight="1">
      <c r="A499" s="230"/>
      <c r="B499" s="389"/>
      <c r="C499" s="390"/>
      <c r="D499" s="391"/>
      <c r="E499" s="383"/>
      <c r="F499" s="162"/>
      <c r="G499" s="232"/>
      <c r="H499" s="232"/>
      <c r="I499" s="181"/>
      <c r="J499" s="182"/>
      <c r="K499" s="182"/>
      <c r="L499" s="182"/>
      <c r="M499" s="165"/>
      <c r="N499" s="181"/>
      <c r="O499" s="181"/>
      <c r="P499" s="183"/>
      <c r="Q499" s="104"/>
      <c r="R499" s="388"/>
      <c r="S499" s="104"/>
    </row>
    <row r="500" ht="29.25" customHeight="1">
      <c r="A500" s="230"/>
      <c r="B500" s="389"/>
      <c r="C500" s="390"/>
      <c r="D500" s="391"/>
      <c r="E500" s="392"/>
      <c r="F500" s="162"/>
      <c r="G500" s="232"/>
      <c r="H500" s="232"/>
      <c r="I500" s="181"/>
      <c r="J500" s="182"/>
      <c r="K500" s="182"/>
      <c r="L500" s="182"/>
      <c r="M500" s="165"/>
      <c r="N500" s="181"/>
      <c r="O500" s="181"/>
      <c r="P500" s="183"/>
      <c r="Q500" s="104"/>
      <c r="R500" s="393"/>
      <c r="S500" s="104"/>
    </row>
    <row r="501" ht="29.25" customHeight="1">
      <c r="A501" s="230"/>
      <c r="B501" s="389"/>
      <c r="C501" s="390"/>
      <c r="D501" s="391"/>
      <c r="E501" s="383"/>
      <c r="F501" s="162"/>
      <c r="G501" s="232"/>
      <c r="H501" s="232"/>
      <c r="I501" s="181"/>
      <c r="J501" s="182"/>
      <c r="K501" s="182"/>
      <c r="L501" s="182"/>
      <c r="M501" s="165"/>
      <c r="N501" s="181"/>
      <c r="O501" s="181"/>
      <c r="P501" s="183"/>
      <c r="Q501" s="104"/>
      <c r="R501" s="388"/>
      <c r="S501" s="104"/>
    </row>
    <row r="502" ht="29.25" customHeight="1">
      <c r="A502" s="230"/>
      <c r="B502" s="389"/>
      <c r="C502" s="390"/>
      <c r="D502" s="391"/>
      <c r="E502" s="392"/>
      <c r="F502" s="162"/>
      <c r="G502" s="232"/>
      <c r="H502" s="232"/>
      <c r="I502" s="181"/>
      <c r="J502" s="182"/>
      <c r="K502" s="182"/>
      <c r="L502" s="182"/>
      <c r="M502" s="165"/>
      <c r="N502" s="181"/>
      <c r="O502" s="181"/>
      <c r="P502" s="183"/>
      <c r="Q502" s="104"/>
      <c r="R502" s="393"/>
      <c r="S502" s="104"/>
    </row>
    <row r="503" ht="29.25" customHeight="1">
      <c r="A503" s="230"/>
      <c r="B503" s="389"/>
      <c r="C503" s="390"/>
      <c r="D503" s="391"/>
      <c r="E503" s="383"/>
      <c r="F503" s="162"/>
      <c r="G503" s="232"/>
      <c r="H503" s="232"/>
      <c r="I503" s="181"/>
      <c r="J503" s="182"/>
      <c r="K503" s="182"/>
      <c r="L503" s="182"/>
      <c r="M503" s="165"/>
      <c r="N503" s="181"/>
      <c r="O503" s="181"/>
      <c r="P503" s="183"/>
      <c r="Q503" s="104"/>
      <c r="R503" s="388"/>
      <c r="S503" s="104"/>
    </row>
    <row r="504" ht="29.25" customHeight="1">
      <c r="A504" s="230"/>
      <c r="B504" s="389"/>
      <c r="C504" s="390"/>
      <c r="D504" s="391"/>
      <c r="E504" s="392"/>
      <c r="F504" s="162"/>
      <c r="G504" s="232"/>
      <c r="H504" s="232"/>
      <c r="I504" s="181"/>
      <c r="J504" s="182"/>
      <c r="K504" s="182"/>
      <c r="L504" s="182"/>
      <c r="M504" s="165"/>
      <c r="N504" s="181"/>
      <c r="O504" s="181"/>
      <c r="P504" s="183"/>
      <c r="Q504" s="104"/>
      <c r="R504" s="393"/>
      <c r="S504" s="104"/>
    </row>
    <row r="505" ht="29.25" customHeight="1">
      <c r="A505" s="230"/>
      <c r="B505" s="389"/>
      <c r="C505" s="390"/>
      <c r="D505" s="391"/>
      <c r="E505" s="383"/>
      <c r="F505" s="162"/>
      <c r="G505" s="232"/>
      <c r="H505" s="232"/>
      <c r="I505" s="181"/>
      <c r="J505" s="182"/>
      <c r="K505" s="182"/>
      <c r="L505" s="182"/>
      <c r="M505" s="165"/>
      <c r="N505" s="181"/>
      <c r="O505" s="181"/>
      <c r="P505" s="183"/>
      <c r="Q505" s="104"/>
      <c r="R505" s="388"/>
      <c r="S505" s="104"/>
    </row>
    <row r="506" ht="29.25" customHeight="1">
      <c r="A506" s="230"/>
      <c r="B506" s="389"/>
      <c r="C506" s="390"/>
      <c r="D506" s="391"/>
      <c r="E506" s="392"/>
      <c r="F506" s="162"/>
      <c r="G506" s="232"/>
      <c r="H506" s="232"/>
      <c r="I506" s="181"/>
      <c r="J506" s="182"/>
      <c r="K506" s="182"/>
      <c r="L506" s="182"/>
      <c r="M506" s="165"/>
      <c r="N506" s="181"/>
      <c r="O506" s="181"/>
      <c r="P506" s="183"/>
      <c r="Q506" s="104"/>
      <c r="R506" s="393"/>
      <c r="S506" s="104"/>
    </row>
    <row r="507" ht="29.25" customHeight="1">
      <c r="A507" s="230"/>
      <c r="B507" s="389"/>
      <c r="C507" s="390"/>
      <c r="D507" s="391"/>
      <c r="E507" s="383"/>
      <c r="F507" s="162"/>
      <c r="G507" s="232"/>
      <c r="H507" s="232"/>
      <c r="I507" s="181"/>
      <c r="J507" s="182"/>
      <c r="K507" s="182"/>
      <c r="L507" s="182"/>
      <c r="M507" s="165"/>
      <c r="N507" s="181"/>
      <c r="O507" s="181"/>
      <c r="P507" s="183"/>
      <c r="Q507" s="104"/>
      <c r="R507" s="388"/>
      <c r="S507" s="104"/>
    </row>
    <row r="508" ht="29.25" customHeight="1">
      <c r="A508" s="230"/>
      <c r="B508" s="389"/>
      <c r="C508" s="390"/>
      <c r="D508" s="391"/>
      <c r="E508" s="392"/>
      <c r="F508" s="162"/>
      <c r="G508" s="232"/>
      <c r="H508" s="232"/>
      <c r="I508" s="181"/>
      <c r="J508" s="182"/>
      <c r="K508" s="182"/>
      <c r="L508" s="182"/>
      <c r="M508" s="165"/>
      <c r="N508" s="181"/>
      <c r="O508" s="181"/>
      <c r="P508" s="183"/>
      <c r="Q508" s="104"/>
      <c r="R508" s="393"/>
      <c r="S508" s="104"/>
    </row>
    <row r="509" ht="29.25" customHeight="1">
      <c r="A509" s="230"/>
      <c r="B509" s="389"/>
      <c r="C509" s="390"/>
      <c r="D509" s="391"/>
      <c r="E509" s="383"/>
      <c r="F509" s="162"/>
      <c r="G509" s="232"/>
      <c r="H509" s="232"/>
      <c r="I509" s="181"/>
      <c r="J509" s="182"/>
      <c r="K509" s="182"/>
      <c r="L509" s="182"/>
      <c r="M509" s="165"/>
      <c r="N509" s="181"/>
      <c r="O509" s="181"/>
      <c r="P509" s="183"/>
      <c r="Q509" s="104"/>
      <c r="R509" s="388"/>
      <c r="S509" s="104"/>
    </row>
    <row r="510" ht="29.25" customHeight="1">
      <c r="A510" s="230"/>
      <c r="B510" s="389"/>
      <c r="C510" s="390"/>
      <c r="D510" s="391"/>
      <c r="E510" s="392"/>
      <c r="F510" s="162"/>
      <c r="G510" s="232"/>
      <c r="H510" s="232"/>
      <c r="I510" s="181"/>
      <c r="J510" s="182"/>
      <c r="K510" s="182"/>
      <c r="L510" s="182"/>
      <c r="M510" s="165"/>
      <c r="N510" s="181"/>
      <c r="O510" s="181"/>
      <c r="P510" s="183"/>
      <c r="Q510" s="104"/>
      <c r="R510" s="393"/>
      <c r="S510" s="104"/>
    </row>
    <row r="511" ht="29.25" customHeight="1">
      <c r="A511" s="230"/>
      <c r="B511" s="389"/>
      <c r="C511" s="390"/>
      <c r="D511" s="391"/>
      <c r="E511" s="383"/>
      <c r="F511" s="162"/>
      <c r="G511" s="232"/>
      <c r="H511" s="232"/>
      <c r="I511" s="181"/>
      <c r="J511" s="182"/>
      <c r="K511" s="182"/>
      <c r="L511" s="182"/>
      <c r="M511" s="165"/>
      <c r="N511" s="181"/>
      <c r="O511" s="181"/>
      <c r="P511" s="183"/>
      <c r="Q511" s="104"/>
      <c r="R511" s="388"/>
      <c r="S511" s="104"/>
    </row>
    <row r="512" ht="29.25" customHeight="1">
      <c r="A512" s="230"/>
      <c r="B512" s="389"/>
      <c r="C512" s="390"/>
      <c r="D512" s="391"/>
      <c r="E512" s="392"/>
      <c r="F512" s="162"/>
      <c r="G512" s="232"/>
      <c r="H512" s="232"/>
      <c r="I512" s="181"/>
      <c r="J512" s="182"/>
      <c r="K512" s="182"/>
      <c r="L512" s="182"/>
      <c r="M512" s="165"/>
      <c r="N512" s="181"/>
      <c r="O512" s="181"/>
      <c r="P512" s="183"/>
      <c r="Q512" s="104"/>
      <c r="R512" s="393"/>
      <c r="S512" s="104"/>
    </row>
    <row r="513" ht="29.25" customHeight="1">
      <c r="A513" s="230"/>
      <c r="B513" s="389"/>
      <c r="C513" s="390"/>
      <c r="D513" s="391"/>
      <c r="E513" s="383"/>
      <c r="F513" s="162"/>
      <c r="G513" s="232"/>
      <c r="H513" s="232"/>
      <c r="I513" s="181"/>
      <c r="J513" s="182"/>
      <c r="K513" s="182"/>
      <c r="L513" s="182"/>
      <c r="M513" s="165"/>
      <c r="N513" s="181"/>
      <c r="O513" s="181"/>
      <c r="P513" s="183"/>
      <c r="Q513" s="104"/>
      <c r="R513" s="388"/>
      <c r="S513" s="104"/>
    </row>
    <row r="514" ht="29.25" customHeight="1">
      <c r="A514" s="230"/>
      <c r="B514" s="389"/>
      <c r="C514" s="390"/>
      <c r="D514" s="391"/>
      <c r="E514" s="392"/>
      <c r="F514" s="162"/>
      <c r="G514" s="232"/>
      <c r="H514" s="232"/>
      <c r="I514" s="181"/>
      <c r="J514" s="182"/>
      <c r="K514" s="182"/>
      <c r="L514" s="182"/>
      <c r="M514" s="165"/>
      <c r="N514" s="181"/>
      <c r="O514" s="181"/>
      <c r="P514" s="183"/>
      <c r="Q514" s="104"/>
      <c r="R514" s="393"/>
      <c r="S514" s="104"/>
    </row>
    <row r="515" ht="29.25" customHeight="1">
      <c r="A515" s="230"/>
      <c r="B515" s="389"/>
      <c r="C515" s="390"/>
      <c r="D515" s="391"/>
      <c r="E515" s="383"/>
      <c r="F515" s="162"/>
      <c r="G515" s="232"/>
      <c r="H515" s="232"/>
      <c r="I515" s="181"/>
      <c r="J515" s="182"/>
      <c r="K515" s="182"/>
      <c r="L515" s="182"/>
      <c r="M515" s="165"/>
      <c r="N515" s="181"/>
      <c r="O515" s="181"/>
      <c r="P515" s="183"/>
      <c r="Q515" s="104"/>
      <c r="R515" s="388"/>
      <c r="S515" s="104"/>
    </row>
    <row r="516" ht="29.25" customHeight="1">
      <c r="A516" s="230"/>
      <c r="B516" s="389"/>
      <c r="C516" s="390"/>
      <c r="D516" s="391"/>
      <c r="E516" s="392"/>
      <c r="F516" s="162"/>
      <c r="G516" s="232"/>
      <c r="H516" s="232"/>
      <c r="I516" s="181"/>
      <c r="J516" s="182"/>
      <c r="K516" s="182"/>
      <c r="L516" s="182"/>
      <c r="M516" s="165"/>
      <c r="N516" s="181"/>
      <c r="O516" s="181"/>
      <c r="P516" s="183"/>
      <c r="Q516" s="104"/>
      <c r="R516" s="393"/>
      <c r="S516" s="104"/>
    </row>
    <row r="517" ht="29.25" customHeight="1">
      <c r="A517" s="230"/>
      <c r="B517" s="389"/>
      <c r="C517" s="390"/>
      <c r="D517" s="391"/>
      <c r="E517" s="383"/>
      <c r="F517" s="162"/>
      <c r="G517" s="232"/>
      <c r="H517" s="232"/>
      <c r="I517" s="181"/>
      <c r="J517" s="182"/>
      <c r="K517" s="182"/>
      <c r="L517" s="182"/>
      <c r="M517" s="165"/>
      <c r="N517" s="181"/>
      <c r="O517" s="181"/>
      <c r="P517" s="183"/>
      <c r="Q517" s="104"/>
      <c r="R517" s="388"/>
      <c r="S517" s="104"/>
    </row>
    <row r="518" ht="29.25" customHeight="1">
      <c r="A518" s="230"/>
      <c r="B518" s="389"/>
      <c r="C518" s="390"/>
      <c r="D518" s="391"/>
      <c r="E518" s="392"/>
      <c r="F518" s="162"/>
      <c r="G518" s="232"/>
      <c r="H518" s="232"/>
      <c r="I518" s="181"/>
      <c r="J518" s="182"/>
      <c r="K518" s="182"/>
      <c r="L518" s="182"/>
      <c r="M518" s="165"/>
      <c r="N518" s="181"/>
      <c r="O518" s="181"/>
      <c r="P518" s="183"/>
      <c r="Q518" s="104"/>
      <c r="R518" s="393"/>
      <c r="S518" s="104"/>
    </row>
    <row r="519" ht="29.25" customHeight="1">
      <c r="A519" s="230"/>
      <c r="B519" s="389"/>
      <c r="C519" s="390"/>
      <c r="D519" s="391"/>
      <c r="E519" s="383"/>
      <c r="F519" s="162"/>
      <c r="G519" s="232"/>
      <c r="H519" s="232"/>
      <c r="I519" s="181"/>
      <c r="J519" s="182"/>
      <c r="K519" s="182"/>
      <c r="L519" s="182"/>
      <c r="M519" s="165"/>
      <c r="N519" s="181"/>
      <c r="O519" s="181"/>
      <c r="P519" s="183"/>
      <c r="Q519" s="104"/>
      <c r="R519" s="388"/>
      <c r="S519" s="104"/>
    </row>
    <row r="520" ht="29.25" customHeight="1">
      <c r="A520" s="230"/>
      <c r="B520" s="389"/>
      <c r="C520" s="390"/>
      <c r="D520" s="391"/>
      <c r="E520" s="392"/>
      <c r="F520" s="162"/>
      <c r="G520" s="232"/>
      <c r="H520" s="232"/>
      <c r="I520" s="181"/>
      <c r="J520" s="182"/>
      <c r="K520" s="182"/>
      <c r="L520" s="182"/>
      <c r="M520" s="165"/>
      <c r="N520" s="181"/>
      <c r="O520" s="181"/>
      <c r="P520" s="183"/>
      <c r="Q520" s="104"/>
      <c r="R520" s="393"/>
      <c r="S520" s="104"/>
    </row>
    <row r="521" ht="29.25" customHeight="1">
      <c r="A521" s="230"/>
      <c r="B521" s="389"/>
      <c r="C521" s="390"/>
      <c r="D521" s="391"/>
      <c r="E521" s="383"/>
      <c r="F521" s="162"/>
      <c r="G521" s="232"/>
      <c r="H521" s="232"/>
      <c r="I521" s="181"/>
      <c r="J521" s="182"/>
      <c r="K521" s="182"/>
      <c r="L521" s="182"/>
      <c r="M521" s="165"/>
      <c r="N521" s="181"/>
      <c r="O521" s="181"/>
      <c r="P521" s="183"/>
      <c r="Q521" s="104"/>
      <c r="R521" s="388"/>
      <c r="S521" s="104"/>
    </row>
    <row r="522" ht="29.25" customHeight="1">
      <c r="A522" s="230"/>
      <c r="B522" s="389"/>
      <c r="C522" s="390"/>
      <c r="D522" s="391"/>
      <c r="E522" s="392"/>
      <c r="F522" s="162"/>
      <c r="G522" s="232"/>
      <c r="H522" s="232"/>
      <c r="I522" s="181"/>
      <c r="J522" s="182"/>
      <c r="K522" s="182"/>
      <c r="L522" s="182"/>
      <c r="M522" s="165"/>
      <c r="N522" s="181"/>
      <c r="O522" s="181"/>
      <c r="P522" s="183"/>
      <c r="Q522" s="104"/>
      <c r="R522" s="393"/>
      <c r="S522" s="104"/>
    </row>
    <row r="523" ht="29.25" customHeight="1">
      <c r="A523" s="230"/>
      <c r="B523" s="389"/>
      <c r="C523" s="390"/>
      <c r="D523" s="391"/>
      <c r="E523" s="383"/>
      <c r="F523" s="162"/>
      <c r="G523" s="232"/>
      <c r="H523" s="232"/>
      <c r="I523" s="181"/>
      <c r="J523" s="182"/>
      <c r="K523" s="182"/>
      <c r="L523" s="182"/>
      <c r="M523" s="165"/>
      <c r="N523" s="181"/>
      <c r="O523" s="181"/>
      <c r="P523" s="183"/>
      <c r="Q523" s="104"/>
      <c r="R523" s="388"/>
      <c r="S523" s="104"/>
    </row>
    <row r="524" ht="29.25" customHeight="1">
      <c r="A524" s="230"/>
      <c r="B524" s="389"/>
      <c r="C524" s="390"/>
      <c r="D524" s="391"/>
      <c r="E524" s="392"/>
      <c r="F524" s="162"/>
      <c r="G524" s="232"/>
      <c r="H524" s="232"/>
      <c r="I524" s="181"/>
      <c r="J524" s="182"/>
      <c r="K524" s="182"/>
      <c r="L524" s="182"/>
      <c r="M524" s="165"/>
      <c r="N524" s="181"/>
      <c r="O524" s="181"/>
      <c r="P524" s="183"/>
      <c r="Q524" s="104"/>
      <c r="R524" s="393"/>
      <c r="S524" s="104"/>
    </row>
    <row r="525" ht="29.25" customHeight="1">
      <c r="A525" s="230"/>
      <c r="B525" s="389"/>
      <c r="C525" s="390"/>
      <c r="D525" s="391"/>
      <c r="E525" s="383"/>
      <c r="F525" s="162"/>
      <c r="G525" s="232"/>
      <c r="H525" s="232"/>
      <c r="I525" s="181"/>
      <c r="J525" s="182"/>
      <c r="K525" s="182"/>
      <c r="L525" s="182"/>
      <c r="M525" s="165"/>
      <c r="N525" s="181"/>
      <c r="O525" s="181"/>
      <c r="P525" s="183"/>
      <c r="Q525" s="104"/>
      <c r="R525" s="388"/>
      <c r="S525" s="104"/>
    </row>
    <row r="526" ht="29.25" customHeight="1">
      <c r="A526" s="230"/>
      <c r="B526" s="389"/>
      <c r="C526" s="390"/>
      <c r="D526" s="391"/>
      <c r="E526" s="392"/>
      <c r="F526" s="162"/>
      <c r="G526" s="232"/>
      <c r="H526" s="232"/>
      <c r="I526" s="181"/>
      <c r="J526" s="182"/>
      <c r="K526" s="182"/>
      <c r="L526" s="182"/>
      <c r="M526" s="165"/>
      <c r="N526" s="181"/>
      <c r="O526" s="181"/>
      <c r="P526" s="183"/>
      <c r="Q526" s="104"/>
      <c r="R526" s="393"/>
      <c r="S526" s="104"/>
    </row>
    <row r="527" ht="29.25" customHeight="1">
      <c r="A527" s="230"/>
      <c r="B527" s="389"/>
      <c r="C527" s="390"/>
      <c r="D527" s="391"/>
      <c r="E527" s="383"/>
      <c r="F527" s="162"/>
      <c r="G527" s="232"/>
      <c r="H527" s="232"/>
      <c r="I527" s="181"/>
      <c r="J527" s="182"/>
      <c r="K527" s="182"/>
      <c r="L527" s="182"/>
      <c r="M527" s="165"/>
      <c r="N527" s="181"/>
      <c r="O527" s="181"/>
      <c r="P527" s="183"/>
      <c r="Q527" s="104"/>
      <c r="R527" s="388"/>
      <c r="S527" s="104"/>
    </row>
    <row r="528" ht="29.25" customHeight="1">
      <c r="A528" s="230"/>
      <c r="B528" s="389"/>
      <c r="C528" s="390"/>
      <c r="D528" s="391"/>
      <c r="E528" s="392"/>
      <c r="F528" s="162"/>
      <c r="G528" s="232"/>
      <c r="H528" s="232"/>
      <c r="I528" s="181"/>
      <c r="J528" s="182"/>
      <c r="K528" s="182"/>
      <c r="L528" s="182"/>
      <c r="M528" s="165"/>
      <c r="N528" s="181"/>
      <c r="O528" s="181"/>
      <c r="P528" s="183"/>
      <c r="Q528" s="104"/>
      <c r="R528" s="393"/>
      <c r="S528" s="104"/>
    </row>
    <row r="529" ht="29.25" customHeight="1">
      <c r="A529" s="230"/>
      <c r="B529" s="389"/>
      <c r="C529" s="390"/>
      <c r="D529" s="391"/>
      <c r="E529" s="383"/>
      <c r="F529" s="162"/>
      <c r="G529" s="232"/>
      <c r="H529" s="232"/>
      <c r="I529" s="181"/>
      <c r="J529" s="182"/>
      <c r="K529" s="182"/>
      <c r="L529" s="182"/>
      <c r="M529" s="165"/>
      <c r="N529" s="181"/>
      <c r="O529" s="181"/>
      <c r="P529" s="183"/>
      <c r="Q529" s="104"/>
      <c r="R529" s="388"/>
      <c r="S529" s="104"/>
    </row>
    <row r="530" ht="29.25" customHeight="1">
      <c r="A530" s="230"/>
      <c r="B530" s="389"/>
      <c r="C530" s="390"/>
      <c r="D530" s="391"/>
      <c r="E530" s="392"/>
      <c r="F530" s="162"/>
      <c r="G530" s="232"/>
      <c r="H530" s="232"/>
      <c r="I530" s="181"/>
      <c r="J530" s="182"/>
      <c r="K530" s="182"/>
      <c r="L530" s="182"/>
      <c r="M530" s="165"/>
      <c r="N530" s="181"/>
      <c r="O530" s="181"/>
      <c r="P530" s="183"/>
      <c r="Q530" s="104"/>
      <c r="R530" s="393"/>
      <c r="S530" s="104"/>
    </row>
    <row r="531" ht="29.25" customHeight="1">
      <c r="A531" s="230"/>
      <c r="B531" s="389"/>
      <c r="C531" s="390"/>
      <c r="D531" s="391"/>
      <c r="E531" s="383"/>
      <c r="F531" s="162"/>
      <c r="G531" s="232"/>
      <c r="H531" s="232"/>
      <c r="I531" s="181"/>
      <c r="J531" s="182"/>
      <c r="K531" s="182"/>
      <c r="L531" s="182"/>
      <c r="M531" s="165"/>
      <c r="N531" s="181"/>
      <c r="O531" s="181"/>
      <c r="P531" s="183"/>
      <c r="Q531" s="104"/>
      <c r="R531" s="388"/>
      <c r="S531" s="104"/>
    </row>
    <row r="532" ht="29.25" customHeight="1">
      <c r="A532" s="230"/>
      <c r="B532" s="389"/>
      <c r="C532" s="390"/>
      <c r="D532" s="391"/>
      <c r="E532" s="392"/>
      <c r="F532" s="162"/>
      <c r="G532" s="232"/>
      <c r="H532" s="232"/>
      <c r="I532" s="181"/>
      <c r="J532" s="182"/>
      <c r="K532" s="182"/>
      <c r="L532" s="182"/>
      <c r="M532" s="165"/>
      <c r="N532" s="181"/>
      <c r="O532" s="181"/>
      <c r="P532" s="183"/>
      <c r="Q532" s="104"/>
      <c r="R532" s="393"/>
      <c r="S532" s="104"/>
    </row>
    <row r="533" ht="29.25" customHeight="1">
      <c r="A533" s="230"/>
      <c r="B533" s="389"/>
      <c r="C533" s="390"/>
      <c r="D533" s="391"/>
      <c r="E533" s="383"/>
      <c r="F533" s="162"/>
      <c r="G533" s="232"/>
      <c r="H533" s="232"/>
      <c r="I533" s="181"/>
      <c r="J533" s="182"/>
      <c r="K533" s="182"/>
      <c r="L533" s="182"/>
      <c r="M533" s="165"/>
      <c r="N533" s="181"/>
      <c r="O533" s="181"/>
      <c r="P533" s="183"/>
      <c r="Q533" s="104"/>
      <c r="R533" s="388"/>
      <c r="S533" s="104"/>
    </row>
    <row r="534" ht="29.25" customHeight="1">
      <c r="A534" s="230"/>
      <c r="B534" s="389"/>
      <c r="C534" s="390"/>
      <c r="D534" s="391"/>
      <c r="E534" s="392"/>
      <c r="F534" s="162"/>
      <c r="G534" s="232"/>
      <c r="H534" s="232"/>
      <c r="I534" s="181"/>
      <c r="J534" s="182"/>
      <c r="K534" s="182"/>
      <c r="L534" s="182"/>
      <c r="M534" s="165"/>
      <c r="N534" s="181"/>
      <c r="O534" s="181"/>
      <c r="P534" s="183"/>
      <c r="Q534" s="104"/>
      <c r="R534" s="393"/>
      <c r="S534" s="104"/>
    </row>
    <row r="535" ht="29.25" customHeight="1">
      <c r="A535" s="230"/>
      <c r="B535" s="389"/>
      <c r="C535" s="390"/>
      <c r="D535" s="391"/>
      <c r="E535" s="383"/>
      <c r="F535" s="162"/>
      <c r="G535" s="232"/>
      <c r="H535" s="232"/>
      <c r="I535" s="181"/>
      <c r="J535" s="182"/>
      <c r="K535" s="182"/>
      <c r="L535" s="182"/>
      <c r="M535" s="165"/>
      <c r="N535" s="181"/>
      <c r="O535" s="181"/>
      <c r="P535" s="183"/>
      <c r="Q535" s="104"/>
      <c r="R535" s="388"/>
      <c r="S535" s="104"/>
    </row>
    <row r="536" ht="29.25" customHeight="1">
      <c r="A536" s="230"/>
      <c r="B536" s="389"/>
      <c r="C536" s="390"/>
      <c r="D536" s="391"/>
      <c r="E536" s="392"/>
      <c r="F536" s="162"/>
      <c r="G536" s="232"/>
      <c r="H536" s="232"/>
      <c r="I536" s="181"/>
      <c r="J536" s="182"/>
      <c r="K536" s="182"/>
      <c r="L536" s="182"/>
      <c r="M536" s="165"/>
      <c r="N536" s="181"/>
      <c r="O536" s="181"/>
      <c r="P536" s="183"/>
      <c r="Q536" s="104"/>
      <c r="R536" s="393"/>
      <c r="S536" s="104"/>
    </row>
    <row r="537" ht="29.25" customHeight="1">
      <c r="A537" s="230"/>
      <c r="B537" s="389"/>
      <c r="C537" s="390"/>
      <c r="D537" s="391"/>
      <c r="E537" s="383"/>
      <c r="F537" s="162"/>
      <c r="G537" s="232"/>
      <c r="H537" s="232"/>
      <c r="I537" s="181"/>
      <c r="J537" s="182"/>
      <c r="K537" s="182"/>
      <c r="L537" s="182"/>
      <c r="M537" s="165"/>
      <c r="N537" s="181"/>
      <c r="O537" s="181"/>
      <c r="P537" s="183"/>
      <c r="Q537" s="104"/>
      <c r="R537" s="388"/>
      <c r="S537" s="104"/>
    </row>
    <row r="538" ht="29.25" customHeight="1">
      <c r="A538" s="230"/>
      <c r="B538" s="389"/>
      <c r="C538" s="390"/>
      <c r="D538" s="391"/>
      <c r="E538" s="392"/>
      <c r="F538" s="162"/>
      <c r="G538" s="232"/>
      <c r="H538" s="232"/>
      <c r="I538" s="181"/>
      <c r="J538" s="182"/>
      <c r="K538" s="182"/>
      <c r="L538" s="182"/>
      <c r="M538" s="165"/>
      <c r="N538" s="181"/>
      <c r="O538" s="181"/>
      <c r="P538" s="183"/>
      <c r="Q538" s="104"/>
      <c r="R538" s="393"/>
      <c r="S538" s="104"/>
    </row>
    <row r="539" ht="29.25" customHeight="1">
      <c r="A539" s="230"/>
      <c r="B539" s="389"/>
      <c r="C539" s="390"/>
      <c r="D539" s="391"/>
      <c r="E539" s="383"/>
      <c r="F539" s="162"/>
      <c r="G539" s="232"/>
      <c r="H539" s="232"/>
      <c r="I539" s="181"/>
      <c r="J539" s="182"/>
      <c r="K539" s="182"/>
      <c r="L539" s="182"/>
      <c r="M539" s="165"/>
      <c r="N539" s="181"/>
      <c r="O539" s="181"/>
      <c r="P539" s="183"/>
      <c r="Q539" s="104"/>
      <c r="R539" s="388"/>
      <c r="S539" s="104"/>
    </row>
    <row r="540" ht="29.25" customHeight="1">
      <c r="A540" s="230"/>
      <c r="B540" s="389"/>
      <c r="C540" s="390"/>
      <c r="D540" s="391"/>
      <c r="E540" s="392"/>
      <c r="F540" s="162"/>
      <c r="G540" s="232"/>
      <c r="H540" s="232"/>
      <c r="I540" s="181"/>
      <c r="J540" s="182"/>
      <c r="K540" s="182"/>
      <c r="L540" s="182"/>
      <c r="M540" s="165"/>
      <c r="N540" s="181"/>
      <c r="O540" s="181"/>
      <c r="P540" s="183"/>
      <c r="Q540" s="104"/>
      <c r="R540" s="393"/>
      <c r="S540" s="104"/>
    </row>
    <row r="541" ht="29.25" customHeight="1">
      <c r="A541" s="230"/>
      <c r="B541" s="389"/>
      <c r="C541" s="390"/>
      <c r="D541" s="391"/>
      <c r="E541" s="383"/>
      <c r="F541" s="162"/>
      <c r="G541" s="232"/>
      <c r="H541" s="232"/>
      <c r="I541" s="181"/>
      <c r="J541" s="182"/>
      <c r="K541" s="182"/>
      <c r="L541" s="182"/>
      <c r="M541" s="165"/>
      <c r="N541" s="181"/>
      <c r="O541" s="181"/>
      <c r="P541" s="183"/>
      <c r="Q541" s="104"/>
      <c r="R541" s="388"/>
      <c r="S541" s="104"/>
    </row>
    <row r="542" ht="29.25" customHeight="1">
      <c r="A542" s="230"/>
      <c r="B542" s="389"/>
      <c r="C542" s="390"/>
      <c r="D542" s="391"/>
      <c r="E542" s="392"/>
      <c r="F542" s="162"/>
      <c r="G542" s="232"/>
      <c r="H542" s="232"/>
      <c r="I542" s="181"/>
      <c r="J542" s="182"/>
      <c r="K542" s="182"/>
      <c r="L542" s="182"/>
      <c r="M542" s="165"/>
      <c r="N542" s="181"/>
      <c r="O542" s="181"/>
      <c r="P542" s="183"/>
      <c r="Q542" s="104"/>
      <c r="R542" s="393"/>
      <c r="S542" s="104"/>
    </row>
    <row r="543" ht="29.25" customHeight="1">
      <c r="A543" s="230"/>
      <c r="B543" s="389"/>
      <c r="C543" s="390"/>
      <c r="D543" s="391"/>
      <c r="E543" s="383"/>
      <c r="F543" s="162"/>
      <c r="G543" s="232"/>
      <c r="H543" s="232"/>
      <c r="I543" s="181"/>
      <c r="J543" s="182"/>
      <c r="K543" s="182"/>
      <c r="L543" s="182"/>
      <c r="M543" s="165"/>
      <c r="N543" s="181"/>
      <c r="O543" s="181"/>
      <c r="P543" s="183"/>
      <c r="Q543" s="104"/>
      <c r="R543" s="388"/>
      <c r="S543" s="104"/>
    </row>
    <row r="544" ht="29.25" customHeight="1">
      <c r="A544" s="230"/>
      <c r="B544" s="389"/>
      <c r="C544" s="390"/>
      <c r="D544" s="391"/>
      <c r="E544" s="392"/>
      <c r="F544" s="162"/>
      <c r="G544" s="232"/>
      <c r="H544" s="232"/>
      <c r="I544" s="181"/>
      <c r="J544" s="182"/>
      <c r="K544" s="182"/>
      <c r="L544" s="182"/>
      <c r="M544" s="165"/>
      <c r="N544" s="181"/>
      <c r="O544" s="181"/>
      <c r="P544" s="183"/>
      <c r="Q544" s="104"/>
      <c r="R544" s="393"/>
      <c r="S544" s="104"/>
    </row>
    <row r="545" ht="29.25" customHeight="1">
      <c r="A545" s="230"/>
      <c r="B545" s="389"/>
      <c r="C545" s="390"/>
      <c r="D545" s="391"/>
      <c r="E545" s="383"/>
      <c r="F545" s="162"/>
      <c r="G545" s="232"/>
      <c r="H545" s="232"/>
      <c r="I545" s="181"/>
      <c r="J545" s="182"/>
      <c r="K545" s="182"/>
      <c r="L545" s="182"/>
      <c r="M545" s="165"/>
      <c r="N545" s="181"/>
      <c r="O545" s="181"/>
      <c r="P545" s="183"/>
      <c r="Q545" s="104"/>
      <c r="R545" s="388"/>
      <c r="S545" s="104"/>
    </row>
    <row r="546" ht="29.25" customHeight="1">
      <c r="A546" s="230"/>
      <c r="B546" s="389"/>
      <c r="C546" s="390"/>
      <c r="D546" s="391"/>
      <c r="E546" s="392"/>
      <c r="F546" s="162"/>
      <c r="G546" s="232"/>
      <c r="H546" s="232"/>
      <c r="I546" s="181"/>
      <c r="J546" s="182"/>
      <c r="K546" s="182"/>
      <c r="L546" s="182"/>
      <c r="M546" s="165"/>
      <c r="N546" s="181"/>
      <c r="O546" s="181"/>
      <c r="P546" s="183"/>
      <c r="Q546" s="104"/>
      <c r="R546" s="393"/>
      <c r="S546" s="104"/>
    </row>
    <row r="547" ht="29.25" customHeight="1">
      <c r="A547" s="230"/>
      <c r="B547" s="389"/>
      <c r="C547" s="390"/>
      <c r="D547" s="391"/>
      <c r="E547" s="383"/>
      <c r="F547" s="162"/>
      <c r="G547" s="232"/>
      <c r="H547" s="232"/>
      <c r="I547" s="181"/>
      <c r="J547" s="182"/>
      <c r="K547" s="182"/>
      <c r="L547" s="182"/>
      <c r="M547" s="165"/>
      <c r="N547" s="181"/>
      <c r="O547" s="181"/>
      <c r="P547" s="183"/>
      <c r="Q547" s="104"/>
      <c r="R547" s="388"/>
      <c r="S547" s="104"/>
    </row>
    <row r="548" ht="29.25" customHeight="1">
      <c r="A548" s="230"/>
      <c r="B548" s="389"/>
      <c r="C548" s="390"/>
      <c r="D548" s="391"/>
      <c r="E548" s="392"/>
      <c r="F548" s="162"/>
      <c r="G548" s="232"/>
      <c r="H548" s="232"/>
      <c r="I548" s="181"/>
      <c r="J548" s="182"/>
      <c r="K548" s="182"/>
      <c r="L548" s="182"/>
      <c r="M548" s="165"/>
      <c r="N548" s="181"/>
      <c r="O548" s="181"/>
      <c r="P548" s="183"/>
      <c r="Q548" s="104"/>
      <c r="R548" s="393"/>
      <c r="S548" s="104"/>
    </row>
    <row r="549" ht="29.25" customHeight="1">
      <c r="A549" s="230"/>
      <c r="B549" s="389"/>
      <c r="C549" s="390"/>
      <c r="D549" s="391"/>
      <c r="E549" s="383"/>
      <c r="F549" s="162"/>
      <c r="G549" s="232"/>
      <c r="H549" s="232"/>
      <c r="I549" s="181"/>
      <c r="J549" s="182"/>
      <c r="K549" s="182"/>
      <c r="L549" s="182"/>
      <c r="M549" s="165"/>
      <c r="N549" s="181"/>
      <c r="O549" s="181"/>
      <c r="P549" s="183"/>
      <c r="Q549" s="104"/>
      <c r="R549" s="388"/>
      <c r="S549" s="104"/>
    </row>
    <row r="550" ht="29.25" customHeight="1">
      <c r="A550" s="230"/>
      <c r="B550" s="389"/>
      <c r="C550" s="390"/>
      <c r="D550" s="391"/>
      <c r="E550" s="392"/>
      <c r="F550" s="162"/>
      <c r="G550" s="232"/>
      <c r="H550" s="232"/>
      <c r="I550" s="181"/>
      <c r="J550" s="182"/>
      <c r="K550" s="182"/>
      <c r="L550" s="182"/>
      <c r="M550" s="165"/>
      <c r="N550" s="181"/>
      <c r="O550" s="181"/>
      <c r="P550" s="183"/>
      <c r="Q550" s="104"/>
      <c r="R550" s="393"/>
      <c r="S550" s="104"/>
    </row>
    <row r="551" ht="29.25" customHeight="1">
      <c r="A551" s="230"/>
      <c r="B551" s="389"/>
      <c r="C551" s="390"/>
      <c r="D551" s="391"/>
      <c r="E551" s="383"/>
      <c r="F551" s="162"/>
      <c r="G551" s="232"/>
      <c r="H551" s="232"/>
      <c r="I551" s="181"/>
      <c r="J551" s="182"/>
      <c r="K551" s="182"/>
      <c r="L551" s="182"/>
      <c r="M551" s="165"/>
      <c r="N551" s="181"/>
      <c r="O551" s="181"/>
      <c r="P551" s="183"/>
      <c r="Q551" s="104"/>
      <c r="R551" s="388"/>
      <c r="S551" s="104"/>
    </row>
    <row r="552" ht="29.25" customHeight="1">
      <c r="A552" s="230"/>
      <c r="B552" s="389"/>
      <c r="C552" s="390"/>
      <c r="D552" s="391"/>
      <c r="E552" s="392"/>
      <c r="F552" s="162"/>
      <c r="G552" s="232"/>
      <c r="H552" s="232"/>
      <c r="I552" s="181"/>
      <c r="J552" s="182"/>
      <c r="K552" s="182"/>
      <c r="L552" s="182"/>
      <c r="M552" s="165"/>
      <c r="N552" s="181"/>
      <c r="O552" s="181"/>
      <c r="P552" s="183"/>
      <c r="Q552" s="104"/>
      <c r="R552" s="393"/>
      <c r="S552" s="104"/>
    </row>
    <row r="553" ht="29.25" customHeight="1">
      <c r="A553" s="230"/>
      <c r="B553" s="389"/>
      <c r="C553" s="390"/>
      <c r="D553" s="391"/>
      <c r="E553" s="383"/>
      <c r="F553" s="162"/>
      <c r="G553" s="232"/>
      <c r="H553" s="232"/>
      <c r="I553" s="181"/>
      <c r="J553" s="182"/>
      <c r="K553" s="182"/>
      <c r="L553" s="182"/>
      <c r="M553" s="165"/>
      <c r="N553" s="181"/>
      <c r="O553" s="181"/>
      <c r="P553" s="183"/>
      <c r="Q553" s="104"/>
      <c r="R553" s="388"/>
      <c r="S553" s="104"/>
    </row>
    <row r="554" ht="29.25" customHeight="1">
      <c r="A554" s="230"/>
      <c r="B554" s="389"/>
      <c r="C554" s="390"/>
      <c r="D554" s="391"/>
      <c r="E554" s="392"/>
      <c r="F554" s="162"/>
      <c r="G554" s="232"/>
      <c r="H554" s="232"/>
      <c r="I554" s="181"/>
      <c r="J554" s="182"/>
      <c r="K554" s="182"/>
      <c r="L554" s="182"/>
      <c r="M554" s="165"/>
      <c r="N554" s="181"/>
      <c r="O554" s="181"/>
      <c r="P554" s="183"/>
      <c r="Q554" s="104"/>
      <c r="R554" s="393"/>
      <c r="S554" s="104"/>
    </row>
    <row r="555" ht="29.25" customHeight="1">
      <c r="A555" s="230"/>
      <c r="B555" s="389"/>
      <c r="C555" s="390"/>
      <c r="D555" s="391"/>
      <c r="E555" s="383"/>
      <c r="F555" s="162"/>
      <c r="G555" s="232"/>
      <c r="H555" s="232"/>
      <c r="I555" s="181"/>
      <c r="J555" s="182"/>
      <c r="K555" s="182"/>
      <c r="L555" s="182"/>
      <c r="M555" s="165"/>
      <c r="N555" s="181"/>
      <c r="O555" s="181"/>
      <c r="P555" s="183"/>
      <c r="Q555" s="104"/>
      <c r="R555" s="388"/>
      <c r="S555" s="104"/>
    </row>
    <row r="556" ht="29.25" customHeight="1">
      <c r="A556" s="230"/>
      <c r="B556" s="389"/>
      <c r="C556" s="390"/>
      <c r="D556" s="391"/>
      <c r="E556" s="392"/>
      <c r="F556" s="162"/>
      <c r="G556" s="232"/>
      <c r="H556" s="232"/>
      <c r="I556" s="181"/>
      <c r="J556" s="182"/>
      <c r="K556" s="182"/>
      <c r="L556" s="182"/>
      <c r="M556" s="165"/>
      <c r="N556" s="181"/>
      <c r="O556" s="181"/>
      <c r="P556" s="183"/>
      <c r="Q556" s="104"/>
      <c r="R556" s="393"/>
      <c r="S556" s="104"/>
    </row>
    <row r="557" ht="29.25" customHeight="1">
      <c r="A557" s="230"/>
      <c r="B557" s="389"/>
      <c r="C557" s="390"/>
      <c r="D557" s="391"/>
      <c r="E557" s="383"/>
      <c r="F557" s="162"/>
      <c r="G557" s="232"/>
      <c r="H557" s="232"/>
      <c r="I557" s="181"/>
      <c r="J557" s="182"/>
      <c r="K557" s="182"/>
      <c r="L557" s="182"/>
      <c r="M557" s="165"/>
      <c r="N557" s="181"/>
      <c r="O557" s="181"/>
      <c r="P557" s="183"/>
      <c r="Q557" s="104"/>
      <c r="R557" s="388"/>
      <c r="S557" s="104"/>
    </row>
    <row r="558" ht="29.25" customHeight="1">
      <c r="A558" s="230"/>
      <c r="B558" s="389"/>
      <c r="C558" s="390"/>
      <c r="D558" s="391"/>
      <c r="E558" s="392"/>
      <c r="F558" s="162"/>
      <c r="G558" s="232"/>
      <c r="H558" s="232"/>
      <c r="I558" s="181"/>
      <c r="J558" s="182"/>
      <c r="K558" s="182"/>
      <c r="L558" s="182"/>
      <c r="M558" s="165"/>
      <c r="N558" s="181"/>
      <c r="O558" s="181"/>
      <c r="P558" s="183"/>
      <c r="Q558" s="104"/>
      <c r="R558" s="393"/>
      <c r="S558" s="104"/>
    </row>
    <row r="559" ht="29.25" customHeight="1">
      <c r="A559" s="230"/>
      <c r="B559" s="389"/>
      <c r="C559" s="390"/>
      <c r="D559" s="391"/>
      <c r="E559" s="383"/>
      <c r="F559" s="162"/>
      <c r="G559" s="232"/>
      <c r="H559" s="232"/>
      <c r="I559" s="181"/>
      <c r="J559" s="182"/>
      <c r="K559" s="182"/>
      <c r="L559" s="182"/>
      <c r="M559" s="165"/>
      <c r="N559" s="181"/>
      <c r="O559" s="181"/>
      <c r="P559" s="183"/>
      <c r="Q559" s="104"/>
      <c r="R559" s="388"/>
      <c r="S559" s="104"/>
    </row>
    <row r="560" ht="29.25" customHeight="1">
      <c r="A560" s="230"/>
      <c r="B560" s="389"/>
      <c r="C560" s="390"/>
      <c r="D560" s="391"/>
      <c r="E560" s="392"/>
      <c r="F560" s="162"/>
      <c r="G560" s="232"/>
      <c r="H560" s="232"/>
      <c r="I560" s="181"/>
      <c r="J560" s="182"/>
      <c r="K560" s="182"/>
      <c r="L560" s="182"/>
      <c r="M560" s="165"/>
      <c r="N560" s="181"/>
      <c r="O560" s="181"/>
      <c r="P560" s="183"/>
      <c r="Q560" s="104"/>
      <c r="R560" s="393"/>
      <c r="S560" s="104"/>
    </row>
    <row r="561" ht="29.25" customHeight="1">
      <c r="A561" s="230"/>
      <c r="B561" s="389"/>
      <c r="C561" s="390"/>
      <c r="D561" s="391"/>
      <c r="E561" s="383"/>
      <c r="F561" s="162"/>
      <c r="G561" s="232"/>
      <c r="H561" s="232"/>
      <c r="I561" s="181"/>
      <c r="J561" s="182"/>
      <c r="K561" s="182"/>
      <c r="L561" s="182"/>
      <c r="M561" s="165"/>
      <c r="N561" s="181"/>
      <c r="O561" s="181"/>
      <c r="P561" s="183"/>
      <c r="Q561" s="104"/>
      <c r="R561" s="388"/>
      <c r="S561" s="104"/>
    </row>
    <row r="562" ht="29.25" customHeight="1">
      <c r="A562" s="230"/>
      <c r="B562" s="389"/>
      <c r="C562" s="390"/>
      <c r="D562" s="391"/>
      <c r="E562" s="392"/>
      <c r="F562" s="162"/>
      <c r="G562" s="232"/>
      <c r="H562" s="232"/>
      <c r="I562" s="181"/>
      <c r="J562" s="182"/>
      <c r="K562" s="182"/>
      <c r="L562" s="182"/>
      <c r="M562" s="165"/>
      <c r="N562" s="181"/>
      <c r="O562" s="181"/>
      <c r="P562" s="183"/>
      <c r="Q562" s="104"/>
      <c r="R562" s="393"/>
      <c r="S562" s="104"/>
    </row>
    <row r="563" ht="29.25" customHeight="1">
      <c r="A563" s="230"/>
      <c r="B563" s="389"/>
      <c r="C563" s="390"/>
      <c r="D563" s="391"/>
      <c r="E563" s="383"/>
      <c r="F563" s="162"/>
      <c r="G563" s="232"/>
      <c r="H563" s="232"/>
      <c r="I563" s="181"/>
      <c r="J563" s="182"/>
      <c r="K563" s="182"/>
      <c r="L563" s="182"/>
      <c r="M563" s="165"/>
      <c r="N563" s="181"/>
      <c r="O563" s="181"/>
      <c r="P563" s="183"/>
      <c r="Q563" s="104"/>
      <c r="R563" s="388"/>
      <c r="S563" s="104"/>
    </row>
    <row r="564" ht="29.25" customHeight="1">
      <c r="A564" s="230"/>
      <c r="B564" s="389"/>
      <c r="C564" s="390"/>
      <c r="D564" s="391"/>
      <c r="E564" s="392"/>
      <c r="F564" s="162"/>
      <c r="G564" s="232"/>
      <c r="H564" s="232"/>
      <c r="I564" s="181"/>
      <c r="J564" s="182"/>
      <c r="K564" s="182"/>
      <c r="L564" s="182"/>
      <c r="M564" s="165"/>
      <c r="N564" s="181"/>
      <c r="O564" s="181"/>
      <c r="P564" s="183"/>
      <c r="Q564" s="104"/>
      <c r="R564" s="393"/>
      <c r="S564" s="104"/>
    </row>
    <row r="565" ht="29.25" customHeight="1">
      <c r="A565" s="230"/>
      <c r="B565" s="389"/>
      <c r="C565" s="390"/>
      <c r="D565" s="391"/>
      <c r="E565" s="383"/>
      <c r="F565" s="162"/>
      <c r="G565" s="232"/>
      <c r="H565" s="232"/>
      <c r="I565" s="181"/>
      <c r="J565" s="182"/>
      <c r="K565" s="182"/>
      <c r="L565" s="182"/>
      <c r="M565" s="165"/>
      <c r="N565" s="181"/>
      <c r="O565" s="181"/>
      <c r="P565" s="183"/>
      <c r="Q565" s="104"/>
      <c r="R565" s="388"/>
      <c r="S565" s="104"/>
    </row>
    <row r="566" ht="29.25" customHeight="1">
      <c r="A566" s="230"/>
      <c r="B566" s="389"/>
      <c r="C566" s="390"/>
      <c r="D566" s="391"/>
      <c r="E566" s="392"/>
      <c r="F566" s="162"/>
      <c r="G566" s="232"/>
      <c r="H566" s="232"/>
      <c r="I566" s="181"/>
      <c r="J566" s="182"/>
      <c r="K566" s="182"/>
      <c r="L566" s="182"/>
      <c r="M566" s="165"/>
      <c r="N566" s="181"/>
      <c r="O566" s="181"/>
      <c r="P566" s="183"/>
      <c r="Q566" s="104"/>
      <c r="R566" s="393"/>
      <c r="S566" s="104"/>
    </row>
    <row r="567" ht="29.25" customHeight="1">
      <c r="A567" s="230"/>
      <c r="B567" s="389"/>
      <c r="C567" s="390"/>
      <c r="D567" s="391"/>
      <c r="E567" s="383"/>
      <c r="F567" s="162"/>
      <c r="G567" s="232"/>
      <c r="H567" s="232"/>
      <c r="I567" s="181"/>
      <c r="J567" s="182"/>
      <c r="K567" s="182"/>
      <c r="L567" s="182"/>
      <c r="M567" s="165"/>
      <c r="N567" s="181"/>
      <c r="O567" s="181"/>
      <c r="P567" s="183"/>
      <c r="Q567" s="104"/>
      <c r="R567" s="388"/>
      <c r="S567" s="104"/>
    </row>
    <row r="568" ht="29.25" customHeight="1">
      <c r="A568" s="230"/>
      <c r="B568" s="389"/>
      <c r="C568" s="390"/>
      <c r="D568" s="391"/>
      <c r="E568" s="392"/>
      <c r="F568" s="162"/>
      <c r="G568" s="232"/>
      <c r="H568" s="232"/>
      <c r="I568" s="181"/>
      <c r="J568" s="182"/>
      <c r="K568" s="182"/>
      <c r="L568" s="182"/>
      <c r="M568" s="165"/>
      <c r="N568" s="181"/>
      <c r="O568" s="181"/>
      <c r="P568" s="183"/>
      <c r="Q568" s="104"/>
      <c r="R568" s="393"/>
      <c r="S568" s="104"/>
    </row>
    <row r="569" ht="29.25" customHeight="1">
      <c r="A569" s="230"/>
      <c r="B569" s="389"/>
      <c r="C569" s="390"/>
      <c r="D569" s="391"/>
      <c r="E569" s="383"/>
      <c r="F569" s="162"/>
      <c r="G569" s="232"/>
      <c r="H569" s="232"/>
      <c r="I569" s="181"/>
      <c r="J569" s="182"/>
      <c r="K569" s="182"/>
      <c r="L569" s="182"/>
      <c r="M569" s="165"/>
      <c r="N569" s="181"/>
      <c r="O569" s="181"/>
      <c r="P569" s="183"/>
      <c r="Q569" s="104"/>
      <c r="R569" s="388"/>
      <c r="S569" s="104"/>
    </row>
    <row r="570" ht="29.25" customHeight="1">
      <c r="A570" s="230"/>
      <c r="B570" s="389"/>
      <c r="C570" s="390"/>
      <c r="D570" s="391"/>
      <c r="E570" s="392"/>
      <c r="F570" s="162"/>
      <c r="G570" s="232"/>
      <c r="H570" s="232"/>
      <c r="I570" s="181"/>
      <c r="J570" s="182"/>
      <c r="K570" s="182"/>
      <c r="L570" s="182"/>
      <c r="M570" s="165"/>
      <c r="N570" s="181"/>
      <c r="O570" s="181"/>
      <c r="P570" s="183"/>
      <c r="Q570" s="104"/>
      <c r="R570" s="393"/>
      <c r="S570" s="104"/>
    </row>
    <row r="571" ht="29.25" customHeight="1">
      <c r="A571" s="230"/>
      <c r="B571" s="389"/>
      <c r="C571" s="390"/>
      <c r="D571" s="391"/>
      <c r="E571" s="383"/>
      <c r="F571" s="162"/>
      <c r="G571" s="232"/>
      <c r="H571" s="232"/>
      <c r="I571" s="181"/>
      <c r="J571" s="182"/>
      <c r="K571" s="182"/>
      <c r="L571" s="182"/>
      <c r="M571" s="165"/>
      <c r="N571" s="181"/>
      <c r="O571" s="181"/>
      <c r="P571" s="183"/>
      <c r="Q571" s="104"/>
      <c r="R571" s="388"/>
      <c r="S571" s="104"/>
    </row>
    <row r="572" ht="29.25" customHeight="1">
      <c r="A572" s="230"/>
      <c r="B572" s="389"/>
      <c r="C572" s="390"/>
      <c r="D572" s="391"/>
      <c r="E572" s="392"/>
      <c r="F572" s="162"/>
      <c r="G572" s="232"/>
      <c r="H572" s="232"/>
      <c r="I572" s="181"/>
      <c r="J572" s="182"/>
      <c r="K572" s="182"/>
      <c r="L572" s="182"/>
      <c r="M572" s="165"/>
      <c r="N572" s="181"/>
      <c r="O572" s="181"/>
      <c r="P572" s="183"/>
      <c r="Q572" s="104"/>
      <c r="R572" s="393"/>
      <c r="S572" s="104"/>
    </row>
    <row r="573" ht="29.25" customHeight="1">
      <c r="A573" s="230"/>
      <c r="B573" s="389"/>
      <c r="C573" s="390"/>
      <c r="D573" s="391"/>
      <c r="E573" s="383"/>
      <c r="F573" s="162"/>
      <c r="G573" s="232"/>
      <c r="H573" s="232"/>
      <c r="I573" s="181"/>
      <c r="J573" s="182"/>
      <c r="K573" s="182"/>
      <c r="L573" s="182"/>
      <c r="M573" s="165"/>
      <c r="N573" s="181"/>
      <c r="O573" s="181"/>
      <c r="P573" s="183"/>
      <c r="Q573" s="104"/>
      <c r="R573" s="388"/>
      <c r="S573" s="104"/>
    </row>
    <row r="574" ht="29.25" customHeight="1">
      <c r="A574" s="230"/>
      <c r="B574" s="389"/>
      <c r="C574" s="390"/>
      <c r="D574" s="391"/>
      <c r="E574" s="392"/>
      <c r="F574" s="162"/>
      <c r="G574" s="232"/>
      <c r="H574" s="232"/>
      <c r="I574" s="181"/>
      <c r="J574" s="182"/>
      <c r="K574" s="182"/>
      <c r="L574" s="182"/>
      <c r="M574" s="165"/>
      <c r="N574" s="181"/>
      <c r="O574" s="181"/>
      <c r="P574" s="183"/>
      <c r="Q574" s="104"/>
      <c r="R574" s="393"/>
      <c r="S574" s="104"/>
    </row>
    <row r="575" ht="29.25" customHeight="1">
      <c r="A575" s="230"/>
      <c r="B575" s="389"/>
      <c r="C575" s="390"/>
      <c r="D575" s="391"/>
      <c r="E575" s="383"/>
      <c r="F575" s="162"/>
      <c r="G575" s="232"/>
      <c r="H575" s="232"/>
      <c r="I575" s="181"/>
      <c r="J575" s="182"/>
      <c r="K575" s="182"/>
      <c r="L575" s="182"/>
      <c r="M575" s="165"/>
      <c r="N575" s="181"/>
      <c r="O575" s="181"/>
      <c r="P575" s="183"/>
      <c r="Q575" s="104"/>
      <c r="R575" s="388"/>
      <c r="S575" s="104"/>
    </row>
    <row r="576" ht="29.25" customHeight="1">
      <c r="A576" s="230"/>
      <c r="B576" s="389"/>
      <c r="C576" s="390"/>
      <c r="D576" s="391"/>
      <c r="E576" s="392"/>
      <c r="F576" s="162"/>
      <c r="G576" s="232"/>
      <c r="H576" s="232"/>
      <c r="I576" s="181"/>
      <c r="J576" s="182"/>
      <c r="K576" s="182"/>
      <c r="L576" s="182"/>
      <c r="M576" s="165"/>
      <c r="N576" s="181"/>
      <c r="O576" s="181"/>
      <c r="P576" s="183"/>
      <c r="Q576" s="104"/>
      <c r="R576" s="393"/>
      <c r="S576" s="104"/>
    </row>
    <row r="577" ht="29.25" customHeight="1">
      <c r="A577" s="230"/>
      <c r="B577" s="389"/>
      <c r="C577" s="390"/>
      <c r="D577" s="391"/>
      <c r="E577" s="383"/>
      <c r="F577" s="162"/>
      <c r="G577" s="232"/>
      <c r="H577" s="232"/>
      <c r="I577" s="181"/>
      <c r="J577" s="182"/>
      <c r="K577" s="182"/>
      <c r="L577" s="182"/>
      <c r="M577" s="165"/>
      <c r="N577" s="181"/>
      <c r="O577" s="181"/>
      <c r="P577" s="183"/>
      <c r="Q577" s="104"/>
      <c r="R577" s="388"/>
      <c r="S577" s="104"/>
    </row>
    <row r="578" ht="29.25" customHeight="1">
      <c r="A578" s="230"/>
      <c r="B578" s="389"/>
      <c r="C578" s="390"/>
      <c r="D578" s="391"/>
      <c r="E578" s="392"/>
      <c r="F578" s="162"/>
      <c r="G578" s="232"/>
      <c r="H578" s="232"/>
      <c r="I578" s="181"/>
      <c r="J578" s="182"/>
      <c r="K578" s="182"/>
      <c r="L578" s="182"/>
      <c r="M578" s="165"/>
      <c r="N578" s="181"/>
      <c r="O578" s="181"/>
      <c r="P578" s="183"/>
      <c r="Q578" s="104"/>
      <c r="R578" s="393"/>
      <c r="S578" s="104"/>
    </row>
    <row r="579" ht="29.25" customHeight="1">
      <c r="A579" s="230"/>
      <c r="B579" s="389"/>
      <c r="C579" s="390"/>
      <c r="D579" s="391"/>
      <c r="E579" s="383"/>
      <c r="F579" s="162"/>
      <c r="G579" s="232"/>
      <c r="H579" s="232"/>
      <c r="I579" s="181"/>
      <c r="J579" s="182"/>
      <c r="K579" s="182"/>
      <c r="L579" s="182"/>
      <c r="M579" s="165"/>
      <c r="N579" s="181"/>
      <c r="O579" s="181"/>
      <c r="P579" s="183"/>
      <c r="Q579" s="104"/>
      <c r="R579" s="388"/>
      <c r="S579" s="104"/>
    </row>
    <row r="580" ht="29.25" customHeight="1">
      <c r="A580" s="230"/>
      <c r="B580" s="389"/>
      <c r="C580" s="390"/>
      <c r="D580" s="391"/>
      <c r="E580" s="392"/>
      <c r="F580" s="162"/>
      <c r="G580" s="232"/>
      <c r="H580" s="232"/>
      <c r="I580" s="181"/>
      <c r="J580" s="182"/>
      <c r="K580" s="182"/>
      <c r="L580" s="182"/>
      <c r="M580" s="165"/>
      <c r="N580" s="181"/>
      <c r="O580" s="181"/>
      <c r="P580" s="183"/>
      <c r="Q580" s="104"/>
      <c r="R580" s="393"/>
      <c r="S580" s="104"/>
    </row>
    <row r="581" ht="29.25" customHeight="1">
      <c r="A581" s="230"/>
      <c r="B581" s="389"/>
      <c r="C581" s="390"/>
      <c r="D581" s="391"/>
      <c r="E581" s="383"/>
      <c r="F581" s="162"/>
      <c r="G581" s="232"/>
      <c r="H581" s="232"/>
      <c r="I581" s="181"/>
      <c r="J581" s="182"/>
      <c r="K581" s="182"/>
      <c r="L581" s="182"/>
      <c r="M581" s="165"/>
      <c r="N581" s="181"/>
      <c r="O581" s="181"/>
      <c r="P581" s="183"/>
      <c r="Q581" s="104"/>
      <c r="R581" s="388"/>
      <c r="S581" s="104"/>
    </row>
    <row r="582" ht="29.25" customHeight="1">
      <c r="A582" s="230"/>
      <c r="B582" s="389"/>
      <c r="C582" s="390"/>
      <c r="D582" s="391"/>
      <c r="E582" s="392"/>
      <c r="F582" s="162"/>
      <c r="G582" s="232"/>
      <c r="H582" s="232"/>
      <c r="I582" s="181"/>
      <c r="J582" s="182"/>
      <c r="K582" s="182"/>
      <c r="L582" s="182"/>
      <c r="M582" s="165"/>
      <c r="N582" s="181"/>
      <c r="O582" s="181"/>
      <c r="P582" s="183"/>
      <c r="Q582" s="104"/>
      <c r="R582" s="393"/>
      <c r="S582" s="104"/>
    </row>
    <row r="583" ht="29.25" customHeight="1">
      <c r="A583" s="230"/>
      <c r="B583" s="389"/>
      <c r="C583" s="390"/>
      <c r="D583" s="391"/>
      <c r="E583" s="383"/>
      <c r="F583" s="162"/>
      <c r="G583" s="232"/>
      <c r="H583" s="232"/>
      <c r="I583" s="181"/>
      <c r="J583" s="182"/>
      <c r="K583" s="182"/>
      <c r="L583" s="182"/>
      <c r="M583" s="165"/>
      <c r="N583" s="181"/>
      <c r="O583" s="181"/>
      <c r="P583" s="183"/>
      <c r="Q583" s="104"/>
      <c r="R583" s="388"/>
      <c r="S583" s="104"/>
    </row>
    <row r="584" ht="29.25" customHeight="1">
      <c r="A584" s="230"/>
      <c r="B584" s="389"/>
      <c r="C584" s="390"/>
      <c r="D584" s="391"/>
      <c r="E584" s="392"/>
      <c r="F584" s="162"/>
      <c r="G584" s="232"/>
      <c r="H584" s="232"/>
      <c r="I584" s="181"/>
      <c r="J584" s="182"/>
      <c r="K584" s="182"/>
      <c r="L584" s="182"/>
      <c r="M584" s="165"/>
      <c r="N584" s="181"/>
      <c r="O584" s="181"/>
      <c r="P584" s="183"/>
      <c r="Q584" s="104"/>
      <c r="R584" s="393"/>
      <c r="S584" s="104"/>
    </row>
    <row r="585" ht="29.25" customHeight="1">
      <c r="A585" s="230"/>
      <c r="B585" s="389"/>
      <c r="C585" s="390"/>
      <c r="D585" s="391"/>
      <c r="E585" s="383"/>
      <c r="F585" s="162"/>
      <c r="G585" s="232"/>
      <c r="H585" s="232"/>
      <c r="I585" s="181"/>
      <c r="J585" s="182"/>
      <c r="K585" s="182"/>
      <c r="L585" s="182"/>
      <c r="M585" s="165"/>
      <c r="N585" s="181"/>
      <c r="O585" s="181"/>
      <c r="P585" s="183"/>
      <c r="Q585" s="104"/>
      <c r="R585" s="388"/>
      <c r="S585" s="104"/>
    </row>
    <row r="586" ht="29.25" customHeight="1">
      <c r="A586" s="230"/>
      <c r="B586" s="389"/>
      <c r="C586" s="390"/>
      <c r="D586" s="391"/>
      <c r="E586" s="392"/>
      <c r="F586" s="162"/>
      <c r="G586" s="232"/>
      <c r="H586" s="232"/>
      <c r="I586" s="181"/>
      <c r="J586" s="182"/>
      <c r="K586" s="182"/>
      <c r="L586" s="182"/>
      <c r="M586" s="165"/>
      <c r="N586" s="181"/>
      <c r="O586" s="181"/>
      <c r="P586" s="183"/>
      <c r="Q586" s="104"/>
      <c r="R586" s="393"/>
      <c r="S586" s="104"/>
    </row>
    <row r="587" ht="29.25" customHeight="1">
      <c r="A587" s="230"/>
      <c r="B587" s="389"/>
      <c r="C587" s="390"/>
      <c r="D587" s="391"/>
      <c r="E587" s="383"/>
      <c r="F587" s="162"/>
      <c r="G587" s="232"/>
      <c r="H587" s="232"/>
      <c r="I587" s="181"/>
      <c r="J587" s="182"/>
      <c r="K587" s="182"/>
      <c r="L587" s="182"/>
      <c r="M587" s="165"/>
      <c r="N587" s="181"/>
      <c r="O587" s="181"/>
      <c r="P587" s="183"/>
      <c r="Q587" s="104"/>
      <c r="R587" s="388"/>
      <c r="S587" s="104"/>
    </row>
    <row r="588" ht="29.25" customHeight="1">
      <c r="A588" s="230"/>
      <c r="B588" s="389"/>
      <c r="C588" s="390"/>
      <c r="D588" s="391"/>
      <c r="E588" s="392"/>
      <c r="F588" s="162"/>
      <c r="G588" s="232"/>
      <c r="H588" s="232"/>
      <c r="I588" s="181"/>
      <c r="J588" s="182"/>
      <c r="K588" s="182"/>
      <c r="L588" s="182"/>
      <c r="M588" s="165"/>
      <c r="N588" s="181"/>
      <c r="O588" s="181"/>
      <c r="P588" s="183"/>
      <c r="Q588" s="104"/>
      <c r="R588" s="393"/>
      <c r="S588" s="104"/>
    </row>
    <row r="589" ht="29.25" customHeight="1">
      <c r="A589" s="230"/>
      <c r="B589" s="389"/>
      <c r="C589" s="390"/>
      <c r="D589" s="391"/>
      <c r="E589" s="383"/>
      <c r="F589" s="162"/>
      <c r="G589" s="232"/>
      <c r="H589" s="232"/>
      <c r="I589" s="181"/>
      <c r="J589" s="182"/>
      <c r="K589" s="182"/>
      <c r="L589" s="182"/>
      <c r="M589" s="165"/>
      <c r="N589" s="181"/>
      <c r="O589" s="181"/>
      <c r="P589" s="183"/>
      <c r="Q589" s="104"/>
      <c r="R589" s="388"/>
      <c r="S589" s="104"/>
    </row>
    <row r="590" ht="29.25" customHeight="1">
      <c r="A590" s="230"/>
      <c r="B590" s="389"/>
      <c r="C590" s="390"/>
      <c r="D590" s="391"/>
      <c r="E590" s="392"/>
      <c r="F590" s="162"/>
      <c r="G590" s="232"/>
      <c r="H590" s="232"/>
      <c r="I590" s="181"/>
      <c r="J590" s="182"/>
      <c r="K590" s="182"/>
      <c r="L590" s="182"/>
      <c r="M590" s="165"/>
      <c r="N590" s="181"/>
      <c r="O590" s="181"/>
      <c r="P590" s="183"/>
      <c r="Q590" s="104"/>
      <c r="R590" s="393"/>
      <c r="S590" s="104"/>
    </row>
    <row r="591" ht="29.25" customHeight="1">
      <c r="A591" s="230"/>
      <c r="B591" s="389"/>
      <c r="C591" s="390"/>
      <c r="D591" s="391"/>
      <c r="E591" s="383"/>
      <c r="F591" s="162"/>
      <c r="G591" s="232"/>
      <c r="H591" s="232"/>
      <c r="I591" s="181"/>
      <c r="J591" s="182"/>
      <c r="K591" s="182"/>
      <c r="L591" s="182"/>
      <c r="M591" s="165"/>
      <c r="N591" s="181"/>
      <c r="O591" s="181"/>
      <c r="P591" s="183"/>
      <c r="Q591" s="104"/>
      <c r="R591" s="388"/>
      <c r="S591" s="104"/>
    </row>
    <row r="592" ht="29.25" customHeight="1">
      <c r="A592" s="230"/>
      <c r="B592" s="389"/>
      <c r="C592" s="390"/>
      <c r="D592" s="391"/>
      <c r="E592" s="392"/>
      <c r="F592" s="162"/>
      <c r="G592" s="232"/>
      <c r="H592" s="232"/>
      <c r="I592" s="181"/>
      <c r="J592" s="182"/>
      <c r="K592" s="182"/>
      <c r="L592" s="182"/>
      <c r="M592" s="165"/>
      <c r="N592" s="181"/>
      <c r="O592" s="181"/>
      <c r="P592" s="183"/>
      <c r="Q592" s="104"/>
      <c r="R592" s="393"/>
      <c r="S592" s="104"/>
    </row>
    <row r="593" ht="29.25" customHeight="1">
      <c r="A593" s="230"/>
      <c r="B593" s="389"/>
      <c r="C593" s="390"/>
      <c r="D593" s="391"/>
      <c r="E593" s="383"/>
      <c r="F593" s="162"/>
      <c r="G593" s="232"/>
      <c r="H593" s="232"/>
      <c r="I593" s="181"/>
      <c r="J593" s="182"/>
      <c r="K593" s="182"/>
      <c r="L593" s="182"/>
      <c r="M593" s="165"/>
      <c r="N593" s="181"/>
      <c r="O593" s="181"/>
      <c r="P593" s="183"/>
      <c r="Q593" s="104"/>
      <c r="R593" s="388"/>
      <c r="S593" s="104"/>
    </row>
    <row r="594" ht="29.25" customHeight="1">
      <c r="A594" s="230"/>
      <c r="B594" s="389"/>
      <c r="C594" s="390"/>
      <c r="D594" s="391"/>
      <c r="E594" s="392"/>
      <c r="F594" s="162"/>
      <c r="G594" s="232"/>
      <c r="H594" s="232"/>
      <c r="I594" s="181"/>
      <c r="J594" s="182"/>
      <c r="K594" s="182"/>
      <c r="L594" s="182"/>
      <c r="M594" s="165"/>
      <c r="N594" s="181"/>
      <c r="O594" s="181"/>
      <c r="P594" s="183"/>
      <c r="Q594" s="104"/>
      <c r="R594" s="393"/>
      <c r="S594" s="104"/>
    </row>
    <row r="595" ht="29.25" customHeight="1">
      <c r="A595" s="230"/>
      <c r="B595" s="389"/>
      <c r="C595" s="390"/>
      <c r="D595" s="391"/>
      <c r="E595" s="383"/>
      <c r="F595" s="162"/>
      <c r="G595" s="232"/>
      <c r="H595" s="232"/>
      <c r="I595" s="181"/>
      <c r="J595" s="182"/>
      <c r="K595" s="182"/>
      <c r="L595" s="182"/>
      <c r="M595" s="165"/>
      <c r="N595" s="181"/>
      <c r="O595" s="181"/>
      <c r="P595" s="183"/>
      <c r="Q595" s="104"/>
      <c r="R595" s="388"/>
      <c r="S595" s="104"/>
    </row>
    <row r="596" ht="29.25" customHeight="1">
      <c r="A596" s="230"/>
      <c r="B596" s="389"/>
      <c r="C596" s="390"/>
      <c r="D596" s="391"/>
      <c r="E596" s="392"/>
      <c r="F596" s="162"/>
      <c r="G596" s="232"/>
      <c r="H596" s="232"/>
      <c r="I596" s="181"/>
      <c r="J596" s="182"/>
      <c r="K596" s="182"/>
      <c r="L596" s="182"/>
      <c r="M596" s="165"/>
      <c r="N596" s="181"/>
      <c r="O596" s="181"/>
      <c r="P596" s="183"/>
      <c r="Q596" s="104"/>
      <c r="R596" s="393"/>
      <c r="S596" s="104"/>
    </row>
    <row r="597" ht="29.25" customHeight="1">
      <c r="A597" s="230"/>
      <c r="B597" s="389"/>
      <c r="C597" s="390"/>
      <c r="D597" s="391"/>
      <c r="E597" s="383"/>
      <c r="F597" s="162"/>
      <c r="G597" s="232"/>
      <c r="H597" s="232"/>
      <c r="I597" s="181"/>
      <c r="J597" s="182"/>
      <c r="K597" s="182"/>
      <c r="L597" s="182"/>
      <c r="M597" s="165"/>
      <c r="N597" s="181"/>
      <c r="O597" s="181"/>
      <c r="P597" s="183"/>
      <c r="Q597" s="104"/>
      <c r="R597" s="388"/>
      <c r="S597" s="104"/>
    </row>
    <row r="598" ht="29.25" customHeight="1">
      <c r="A598" s="230"/>
      <c r="B598" s="389"/>
      <c r="C598" s="390"/>
      <c r="D598" s="391"/>
      <c r="E598" s="392"/>
      <c r="F598" s="162"/>
      <c r="G598" s="232"/>
      <c r="H598" s="232"/>
      <c r="I598" s="181"/>
      <c r="J598" s="182"/>
      <c r="K598" s="182"/>
      <c r="L598" s="182"/>
      <c r="M598" s="165"/>
      <c r="N598" s="181"/>
      <c r="O598" s="181"/>
      <c r="P598" s="183"/>
      <c r="Q598" s="104"/>
      <c r="R598" s="393"/>
      <c r="S598" s="104"/>
    </row>
    <row r="599" ht="29.25" customHeight="1">
      <c r="A599" s="230"/>
      <c r="B599" s="389"/>
      <c r="C599" s="390"/>
      <c r="D599" s="391"/>
      <c r="E599" s="383"/>
      <c r="F599" s="162"/>
      <c r="G599" s="232"/>
      <c r="H599" s="232"/>
      <c r="I599" s="181"/>
      <c r="J599" s="182"/>
      <c r="K599" s="182"/>
      <c r="L599" s="182"/>
      <c r="M599" s="165"/>
      <c r="N599" s="181"/>
      <c r="O599" s="181"/>
      <c r="P599" s="183"/>
      <c r="Q599" s="104"/>
      <c r="R599" s="388"/>
      <c r="S599" s="104"/>
    </row>
    <row r="600" ht="29.25" customHeight="1">
      <c r="A600" s="230"/>
      <c r="B600" s="389"/>
      <c r="C600" s="390"/>
      <c r="D600" s="391"/>
      <c r="E600" s="392"/>
      <c r="F600" s="162"/>
      <c r="G600" s="232"/>
      <c r="H600" s="232"/>
      <c r="I600" s="181"/>
      <c r="J600" s="182"/>
      <c r="K600" s="182"/>
      <c r="L600" s="182"/>
      <c r="M600" s="165"/>
      <c r="N600" s="181"/>
      <c r="O600" s="181"/>
      <c r="P600" s="183"/>
      <c r="Q600" s="104"/>
      <c r="R600" s="393"/>
      <c r="S600" s="104"/>
    </row>
    <row r="601" ht="29.25" customHeight="1">
      <c r="A601" s="230"/>
      <c r="B601" s="389"/>
      <c r="C601" s="390"/>
      <c r="D601" s="391"/>
      <c r="E601" s="383"/>
      <c r="F601" s="162"/>
      <c r="G601" s="232"/>
      <c r="H601" s="232"/>
      <c r="I601" s="181"/>
      <c r="J601" s="182"/>
      <c r="K601" s="182"/>
      <c r="L601" s="182"/>
      <c r="M601" s="165"/>
      <c r="N601" s="181"/>
      <c r="O601" s="181"/>
      <c r="P601" s="183"/>
      <c r="Q601" s="104"/>
      <c r="R601" s="388"/>
      <c r="S601" s="104"/>
    </row>
    <row r="602" ht="29.25" customHeight="1">
      <c r="A602" s="230"/>
      <c r="B602" s="389"/>
      <c r="C602" s="390"/>
      <c r="D602" s="391"/>
      <c r="E602" s="392"/>
      <c r="F602" s="162"/>
      <c r="G602" s="232"/>
      <c r="H602" s="232"/>
      <c r="I602" s="181"/>
      <c r="J602" s="182"/>
      <c r="K602" s="182"/>
      <c r="L602" s="182"/>
      <c r="M602" s="165"/>
      <c r="N602" s="181"/>
      <c r="O602" s="181"/>
      <c r="P602" s="183"/>
      <c r="Q602" s="104"/>
      <c r="R602" s="393"/>
      <c r="S602" s="104"/>
    </row>
    <row r="603" ht="29.25" customHeight="1">
      <c r="A603" s="230"/>
      <c r="B603" s="389"/>
      <c r="C603" s="390"/>
      <c r="D603" s="391"/>
      <c r="E603" s="383"/>
      <c r="F603" s="162"/>
      <c r="G603" s="232"/>
      <c r="H603" s="232"/>
      <c r="I603" s="181"/>
      <c r="J603" s="182"/>
      <c r="K603" s="182"/>
      <c r="L603" s="182"/>
      <c r="M603" s="165"/>
      <c r="N603" s="181"/>
      <c r="O603" s="181"/>
      <c r="P603" s="183"/>
      <c r="Q603" s="104"/>
      <c r="R603" s="388"/>
      <c r="S603" s="104"/>
    </row>
    <row r="604" ht="29.25" customHeight="1">
      <c r="A604" s="230"/>
      <c r="B604" s="389"/>
      <c r="C604" s="390"/>
      <c r="D604" s="391"/>
      <c r="E604" s="392"/>
      <c r="F604" s="162"/>
      <c r="G604" s="232"/>
      <c r="H604" s="232"/>
      <c r="I604" s="181"/>
      <c r="J604" s="182"/>
      <c r="K604" s="182"/>
      <c r="L604" s="182"/>
      <c r="M604" s="165"/>
      <c r="N604" s="181"/>
      <c r="O604" s="181"/>
      <c r="P604" s="183"/>
      <c r="Q604" s="104"/>
      <c r="R604" s="393"/>
      <c r="S604" s="104"/>
    </row>
    <row r="605" ht="29.25" customHeight="1">
      <c r="A605" s="230"/>
      <c r="B605" s="389"/>
      <c r="C605" s="390"/>
      <c r="D605" s="391"/>
      <c r="E605" s="383"/>
      <c r="F605" s="162"/>
      <c r="G605" s="232"/>
      <c r="H605" s="232"/>
      <c r="I605" s="181"/>
      <c r="J605" s="182"/>
      <c r="K605" s="182"/>
      <c r="L605" s="182"/>
      <c r="M605" s="165"/>
      <c r="N605" s="181"/>
      <c r="O605" s="181"/>
      <c r="P605" s="183"/>
      <c r="Q605" s="104"/>
      <c r="R605" s="388"/>
      <c r="S605" s="104"/>
    </row>
    <row r="606" ht="29.25" customHeight="1">
      <c r="A606" s="230"/>
      <c r="B606" s="389"/>
      <c r="C606" s="390"/>
      <c r="D606" s="391"/>
      <c r="E606" s="392"/>
      <c r="F606" s="162"/>
      <c r="G606" s="232"/>
      <c r="H606" s="232"/>
      <c r="I606" s="181"/>
      <c r="J606" s="182"/>
      <c r="K606" s="182"/>
      <c r="L606" s="182"/>
      <c r="M606" s="165"/>
      <c r="N606" s="181"/>
      <c r="O606" s="181"/>
      <c r="P606" s="183"/>
      <c r="Q606" s="104"/>
      <c r="R606" s="393"/>
      <c r="S606" s="104"/>
    </row>
    <row r="607" ht="29.25" customHeight="1">
      <c r="A607" s="230"/>
      <c r="B607" s="389"/>
      <c r="C607" s="390"/>
      <c r="D607" s="391"/>
      <c r="E607" s="383"/>
      <c r="F607" s="162"/>
      <c r="G607" s="232"/>
      <c r="H607" s="232"/>
      <c r="I607" s="181"/>
      <c r="J607" s="182"/>
      <c r="K607" s="182"/>
      <c r="L607" s="182"/>
      <c r="M607" s="165"/>
      <c r="N607" s="181"/>
      <c r="O607" s="181"/>
      <c r="P607" s="183"/>
      <c r="Q607" s="104"/>
      <c r="R607" s="388"/>
      <c r="S607" s="104"/>
    </row>
    <row r="608" ht="29.25" customHeight="1">
      <c r="A608" s="230"/>
      <c r="B608" s="389"/>
      <c r="C608" s="390"/>
      <c r="D608" s="391"/>
      <c r="E608" s="392"/>
      <c r="F608" s="162"/>
      <c r="G608" s="232"/>
      <c r="H608" s="232"/>
      <c r="I608" s="181"/>
      <c r="J608" s="182"/>
      <c r="K608" s="182"/>
      <c r="L608" s="182"/>
      <c r="M608" s="165"/>
      <c r="N608" s="181"/>
      <c r="O608" s="181"/>
      <c r="P608" s="183"/>
      <c r="Q608" s="104"/>
      <c r="R608" s="393"/>
      <c r="S608" s="104"/>
    </row>
    <row r="609" ht="29.25" customHeight="1">
      <c r="A609" s="230"/>
      <c r="B609" s="389"/>
      <c r="C609" s="390"/>
      <c r="D609" s="391"/>
      <c r="E609" s="383"/>
      <c r="F609" s="162"/>
      <c r="G609" s="232"/>
      <c r="H609" s="232"/>
      <c r="I609" s="181"/>
      <c r="J609" s="182"/>
      <c r="K609" s="182"/>
      <c r="L609" s="182"/>
      <c r="M609" s="165"/>
      <c r="N609" s="181"/>
      <c r="O609" s="181"/>
      <c r="P609" s="183"/>
      <c r="Q609" s="104"/>
      <c r="R609" s="388"/>
      <c r="S609" s="104"/>
    </row>
    <row r="610" ht="29.25" customHeight="1">
      <c r="A610" s="230"/>
      <c r="B610" s="389"/>
      <c r="C610" s="390"/>
      <c r="D610" s="391"/>
      <c r="E610" s="392"/>
      <c r="F610" s="162"/>
      <c r="G610" s="232"/>
      <c r="H610" s="232"/>
      <c r="I610" s="181"/>
      <c r="J610" s="182"/>
      <c r="K610" s="182"/>
      <c r="L610" s="182"/>
      <c r="M610" s="165"/>
      <c r="N610" s="181"/>
      <c r="O610" s="181"/>
      <c r="P610" s="183"/>
      <c r="Q610" s="104"/>
      <c r="R610" s="393"/>
      <c r="S610" s="104"/>
    </row>
    <row r="611" ht="29.25" customHeight="1">
      <c r="A611" s="230"/>
      <c r="B611" s="389"/>
      <c r="C611" s="390"/>
      <c r="D611" s="391"/>
      <c r="E611" s="383"/>
      <c r="F611" s="162"/>
      <c r="G611" s="232"/>
      <c r="H611" s="232"/>
      <c r="I611" s="181"/>
      <c r="J611" s="182"/>
      <c r="K611" s="182"/>
      <c r="L611" s="182"/>
      <c r="M611" s="165"/>
      <c r="N611" s="181"/>
      <c r="O611" s="181"/>
      <c r="P611" s="183"/>
      <c r="Q611" s="104"/>
      <c r="R611" s="388"/>
      <c r="S611" s="104"/>
    </row>
    <row r="612" ht="29.25" customHeight="1">
      <c r="A612" s="230"/>
      <c r="B612" s="389"/>
      <c r="C612" s="390"/>
      <c r="D612" s="391"/>
      <c r="E612" s="392"/>
      <c r="F612" s="162"/>
      <c r="G612" s="232"/>
      <c r="H612" s="232"/>
      <c r="I612" s="181"/>
      <c r="J612" s="182"/>
      <c r="K612" s="182"/>
      <c r="L612" s="182"/>
      <c r="M612" s="165"/>
      <c r="N612" s="181"/>
      <c r="O612" s="181"/>
      <c r="P612" s="183"/>
      <c r="Q612" s="104"/>
      <c r="R612" s="393"/>
      <c r="S612" s="104"/>
    </row>
    <row r="613" ht="29.25" customHeight="1">
      <c r="A613" s="230"/>
      <c r="B613" s="389"/>
      <c r="C613" s="390"/>
      <c r="D613" s="391"/>
      <c r="E613" s="383"/>
      <c r="F613" s="162"/>
      <c r="G613" s="232"/>
      <c r="H613" s="232"/>
      <c r="I613" s="181"/>
      <c r="J613" s="182"/>
      <c r="K613" s="182"/>
      <c r="L613" s="182"/>
      <c r="M613" s="165"/>
      <c r="N613" s="181"/>
      <c r="O613" s="181"/>
      <c r="P613" s="183"/>
      <c r="Q613" s="104"/>
      <c r="R613" s="388"/>
      <c r="S613" s="104"/>
    </row>
    <row r="614" ht="29.25" customHeight="1">
      <c r="A614" s="230"/>
      <c r="B614" s="389"/>
      <c r="C614" s="390"/>
      <c r="D614" s="391"/>
      <c r="E614" s="392"/>
      <c r="F614" s="162"/>
      <c r="G614" s="232"/>
      <c r="H614" s="232"/>
      <c r="I614" s="181"/>
      <c r="J614" s="182"/>
      <c r="K614" s="182"/>
      <c r="L614" s="182"/>
      <c r="M614" s="165"/>
      <c r="N614" s="181"/>
      <c r="O614" s="181"/>
      <c r="P614" s="183"/>
      <c r="Q614" s="104"/>
      <c r="R614" s="393"/>
      <c r="S614" s="104"/>
    </row>
    <row r="615" ht="29.25" customHeight="1">
      <c r="A615" s="230"/>
      <c r="B615" s="389"/>
      <c r="C615" s="390"/>
      <c r="D615" s="391"/>
      <c r="E615" s="383"/>
      <c r="F615" s="162"/>
      <c r="G615" s="232"/>
      <c r="H615" s="232"/>
      <c r="I615" s="181"/>
      <c r="J615" s="182"/>
      <c r="K615" s="182"/>
      <c r="L615" s="182"/>
      <c r="M615" s="165"/>
      <c r="N615" s="181"/>
      <c r="O615" s="181"/>
      <c r="P615" s="183"/>
      <c r="Q615" s="104"/>
      <c r="R615" s="388"/>
      <c r="S615" s="104"/>
    </row>
    <row r="616" ht="29.25" customHeight="1">
      <c r="A616" s="230"/>
      <c r="B616" s="389"/>
      <c r="C616" s="390"/>
      <c r="D616" s="391"/>
      <c r="E616" s="392"/>
      <c r="F616" s="162"/>
      <c r="G616" s="232"/>
      <c r="H616" s="232"/>
      <c r="I616" s="181"/>
      <c r="J616" s="182"/>
      <c r="K616" s="182"/>
      <c r="L616" s="182"/>
      <c r="M616" s="165"/>
      <c r="N616" s="181"/>
      <c r="O616" s="181"/>
      <c r="P616" s="183"/>
      <c r="Q616" s="104"/>
      <c r="R616" s="393"/>
      <c r="S616" s="104"/>
    </row>
    <row r="617" ht="29.25" customHeight="1">
      <c r="A617" s="230"/>
      <c r="B617" s="389"/>
      <c r="C617" s="390"/>
      <c r="D617" s="391"/>
      <c r="E617" s="383"/>
      <c r="F617" s="162"/>
      <c r="G617" s="232"/>
      <c r="H617" s="232"/>
      <c r="I617" s="181"/>
      <c r="J617" s="182"/>
      <c r="K617" s="182"/>
      <c r="L617" s="182"/>
      <c r="M617" s="165"/>
      <c r="N617" s="181"/>
      <c r="O617" s="181"/>
      <c r="P617" s="183"/>
      <c r="Q617" s="104"/>
      <c r="R617" s="388"/>
      <c r="S617" s="104"/>
    </row>
    <row r="618" ht="29.25" customHeight="1">
      <c r="A618" s="230"/>
      <c r="B618" s="389"/>
      <c r="C618" s="390"/>
      <c r="D618" s="391"/>
      <c r="E618" s="392"/>
      <c r="F618" s="162"/>
      <c r="G618" s="232"/>
      <c r="H618" s="232"/>
      <c r="I618" s="181"/>
      <c r="J618" s="182"/>
      <c r="K618" s="182"/>
      <c r="L618" s="182"/>
      <c r="M618" s="165"/>
      <c r="N618" s="181"/>
      <c r="O618" s="181"/>
      <c r="P618" s="183"/>
      <c r="Q618" s="104"/>
      <c r="R618" s="393"/>
      <c r="S618" s="104"/>
    </row>
    <row r="619" ht="29.25" customHeight="1">
      <c r="A619" s="230"/>
      <c r="B619" s="389"/>
      <c r="C619" s="390"/>
      <c r="D619" s="391"/>
      <c r="E619" s="383"/>
      <c r="F619" s="162"/>
      <c r="G619" s="232"/>
      <c r="H619" s="232"/>
      <c r="I619" s="181"/>
      <c r="J619" s="182"/>
      <c r="K619" s="182"/>
      <c r="L619" s="182"/>
      <c r="M619" s="165"/>
      <c r="N619" s="181"/>
      <c r="O619" s="181"/>
      <c r="P619" s="183"/>
      <c r="Q619" s="104"/>
      <c r="R619" s="388"/>
      <c r="S619" s="104"/>
    </row>
    <row r="620" ht="29.25" customHeight="1">
      <c r="A620" s="230"/>
      <c r="B620" s="389"/>
      <c r="C620" s="390"/>
      <c r="D620" s="391"/>
      <c r="E620" s="392"/>
      <c r="F620" s="162"/>
      <c r="G620" s="232"/>
      <c r="H620" s="232"/>
      <c r="I620" s="181"/>
      <c r="J620" s="182"/>
      <c r="K620" s="182"/>
      <c r="L620" s="182"/>
      <c r="M620" s="165"/>
      <c r="N620" s="181"/>
      <c r="O620" s="181"/>
      <c r="P620" s="183"/>
      <c r="Q620" s="104"/>
      <c r="R620" s="393"/>
      <c r="S620" s="104"/>
    </row>
    <row r="621" ht="29.25" customHeight="1">
      <c r="A621" s="230"/>
      <c r="B621" s="389"/>
      <c r="C621" s="390"/>
      <c r="D621" s="391"/>
      <c r="E621" s="383"/>
      <c r="F621" s="162"/>
      <c r="G621" s="232"/>
      <c r="H621" s="232"/>
      <c r="I621" s="181"/>
      <c r="J621" s="182"/>
      <c r="K621" s="182"/>
      <c r="L621" s="182"/>
      <c r="M621" s="165"/>
      <c r="N621" s="181"/>
      <c r="O621" s="181"/>
      <c r="P621" s="183"/>
      <c r="Q621" s="104"/>
      <c r="R621" s="388"/>
      <c r="S621" s="104"/>
    </row>
    <row r="622" ht="29.25" customHeight="1">
      <c r="A622" s="230"/>
      <c r="B622" s="389"/>
      <c r="C622" s="390"/>
      <c r="D622" s="391"/>
      <c r="E622" s="392"/>
      <c r="F622" s="162"/>
      <c r="G622" s="232"/>
      <c r="H622" s="232"/>
      <c r="I622" s="181"/>
      <c r="J622" s="182"/>
      <c r="K622" s="182"/>
      <c r="L622" s="182"/>
      <c r="M622" s="165"/>
      <c r="N622" s="181"/>
      <c r="O622" s="181"/>
      <c r="P622" s="183"/>
      <c r="Q622" s="104"/>
      <c r="R622" s="393"/>
      <c r="S622" s="104"/>
    </row>
    <row r="623" ht="29.25" customHeight="1">
      <c r="A623" s="230"/>
      <c r="B623" s="389"/>
      <c r="C623" s="390"/>
      <c r="D623" s="391"/>
      <c r="E623" s="383"/>
      <c r="F623" s="162"/>
      <c r="G623" s="232"/>
      <c r="H623" s="232"/>
      <c r="I623" s="181"/>
      <c r="J623" s="182"/>
      <c r="K623" s="182"/>
      <c r="L623" s="182"/>
      <c r="M623" s="165"/>
      <c r="N623" s="181"/>
      <c r="O623" s="181"/>
      <c r="P623" s="183"/>
      <c r="Q623" s="104"/>
      <c r="R623" s="388"/>
      <c r="S623" s="104"/>
    </row>
    <row r="624" ht="29.25" customHeight="1">
      <c r="A624" s="230"/>
      <c r="B624" s="389"/>
      <c r="C624" s="390"/>
      <c r="D624" s="391"/>
      <c r="E624" s="392"/>
      <c r="F624" s="162"/>
      <c r="G624" s="232"/>
      <c r="H624" s="232"/>
      <c r="I624" s="181"/>
      <c r="J624" s="182"/>
      <c r="K624" s="182"/>
      <c r="L624" s="182"/>
      <c r="M624" s="165"/>
      <c r="N624" s="181"/>
      <c r="O624" s="181"/>
      <c r="P624" s="183"/>
      <c r="Q624" s="104"/>
      <c r="R624" s="393"/>
      <c r="S624" s="104"/>
    </row>
    <row r="625" ht="29.25" customHeight="1">
      <c r="A625" s="230"/>
      <c r="B625" s="389"/>
      <c r="C625" s="390"/>
      <c r="D625" s="391"/>
      <c r="E625" s="383"/>
      <c r="F625" s="162"/>
      <c r="G625" s="232"/>
      <c r="H625" s="232"/>
      <c r="I625" s="181"/>
      <c r="J625" s="182"/>
      <c r="K625" s="182"/>
      <c r="L625" s="182"/>
      <c r="M625" s="165"/>
      <c r="N625" s="181"/>
      <c r="O625" s="181"/>
      <c r="P625" s="183"/>
      <c r="Q625" s="104"/>
      <c r="R625" s="388"/>
      <c r="S625" s="104"/>
    </row>
    <row r="626" ht="29.25" customHeight="1">
      <c r="A626" s="230"/>
      <c r="B626" s="389"/>
      <c r="C626" s="390"/>
      <c r="D626" s="391"/>
      <c r="E626" s="392"/>
      <c r="F626" s="162"/>
      <c r="G626" s="232"/>
      <c r="H626" s="232"/>
      <c r="I626" s="181"/>
      <c r="J626" s="182"/>
      <c r="K626" s="182"/>
      <c r="L626" s="182"/>
      <c r="M626" s="165"/>
      <c r="N626" s="181"/>
      <c r="O626" s="181"/>
      <c r="P626" s="183"/>
      <c r="Q626" s="104"/>
      <c r="R626" s="393"/>
      <c r="S626" s="104"/>
    </row>
    <row r="627" ht="29.25" customHeight="1">
      <c r="A627" s="230"/>
      <c r="B627" s="389"/>
      <c r="C627" s="390"/>
      <c r="D627" s="391"/>
      <c r="E627" s="383"/>
      <c r="F627" s="162"/>
      <c r="G627" s="232"/>
      <c r="H627" s="232"/>
      <c r="I627" s="181"/>
      <c r="J627" s="182"/>
      <c r="K627" s="182"/>
      <c r="L627" s="182"/>
      <c r="M627" s="165"/>
      <c r="N627" s="181"/>
      <c r="O627" s="181"/>
      <c r="P627" s="183"/>
      <c r="Q627" s="104"/>
      <c r="R627" s="388"/>
      <c r="S627" s="104"/>
    </row>
    <row r="628" ht="29.25" customHeight="1">
      <c r="A628" s="230"/>
      <c r="B628" s="389"/>
      <c r="C628" s="390"/>
      <c r="D628" s="391"/>
      <c r="E628" s="392"/>
      <c r="F628" s="162"/>
      <c r="G628" s="232"/>
      <c r="H628" s="232"/>
      <c r="I628" s="181"/>
      <c r="J628" s="182"/>
      <c r="K628" s="182"/>
      <c r="L628" s="182"/>
      <c r="M628" s="165"/>
      <c r="N628" s="181"/>
      <c r="O628" s="181"/>
      <c r="P628" s="183"/>
      <c r="Q628" s="104"/>
      <c r="R628" s="393"/>
      <c r="S628" s="104"/>
    </row>
    <row r="629" ht="29.25" customHeight="1">
      <c r="A629" s="230"/>
      <c r="B629" s="389"/>
      <c r="C629" s="390"/>
      <c r="D629" s="391"/>
      <c r="E629" s="383"/>
      <c r="F629" s="162"/>
      <c r="G629" s="232"/>
      <c r="H629" s="232"/>
      <c r="I629" s="181"/>
      <c r="J629" s="182"/>
      <c r="K629" s="182"/>
      <c r="L629" s="182"/>
      <c r="M629" s="165"/>
      <c r="N629" s="181"/>
      <c r="O629" s="181"/>
      <c r="P629" s="183"/>
      <c r="Q629" s="104"/>
      <c r="R629" s="388"/>
      <c r="S629" s="104"/>
    </row>
    <row r="630" ht="29.25" customHeight="1">
      <c r="A630" s="230"/>
      <c r="B630" s="389"/>
      <c r="C630" s="390"/>
      <c r="D630" s="391"/>
      <c r="E630" s="392"/>
      <c r="F630" s="162"/>
      <c r="G630" s="232"/>
      <c r="H630" s="232"/>
      <c r="I630" s="181"/>
      <c r="J630" s="182"/>
      <c r="K630" s="182"/>
      <c r="L630" s="182"/>
      <c r="M630" s="165"/>
      <c r="N630" s="181"/>
      <c r="O630" s="181"/>
      <c r="P630" s="183"/>
      <c r="Q630" s="104"/>
      <c r="R630" s="393"/>
      <c r="S630" s="104"/>
    </row>
    <row r="631" ht="29.25" customHeight="1">
      <c r="A631" s="230"/>
      <c r="B631" s="389"/>
      <c r="C631" s="390"/>
      <c r="D631" s="391"/>
      <c r="E631" s="383"/>
      <c r="F631" s="162"/>
      <c r="G631" s="232"/>
      <c r="H631" s="232"/>
      <c r="I631" s="181"/>
      <c r="J631" s="182"/>
      <c r="K631" s="182"/>
      <c r="L631" s="182"/>
      <c r="M631" s="165"/>
      <c r="N631" s="181"/>
      <c r="O631" s="181"/>
      <c r="P631" s="183"/>
      <c r="Q631" s="104"/>
      <c r="R631" s="388"/>
      <c r="S631" s="104"/>
    </row>
    <row r="632" ht="29.25" customHeight="1">
      <c r="A632" s="230"/>
      <c r="B632" s="389"/>
      <c r="C632" s="390"/>
      <c r="D632" s="391"/>
      <c r="E632" s="392"/>
      <c r="F632" s="162"/>
      <c r="G632" s="232"/>
      <c r="H632" s="232"/>
      <c r="I632" s="181"/>
      <c r="J632" s="182"/>
      <c r="K632" s="182"/>
      <c r="L632" s="182"/>
      <c r="M632" s="165"/>
      <c r="N632" s="181"/>
      <c r="O632" s="181"/>
      <c r="P632" s="183"/>
      <c r="Q632" s="104"/>
      <c r="R632" s="393"/>
      <c r="S632" s="104"/>
    </row>
    <row r="633" ht="29.25" customHeight="1">
      <c r="A633" s="230"/>
      <c r="B633" s="389"/>
      <c r="C633" s="390"/>
      <c r="D633" s="391"/>
      <c r="E633" s="383"/>
      <c r="F633" s="162"/>
      <c r="G633" s="232"/>
      <c r="H633" s="232"/>
      <c r="I633" s="181"/>
      <c r="J633" s="182"/>
      <c r="K633" s="182"/>
      <c r="L633" s="182"/>
      <c r="M633" s="165"/>
      <c r="N633" s="181"/>
      <c r="O633" s="181"/>
      <c r="P633" s="183"/>
      <c r="Q633" s="104"/>
      <c r="R633" s="388"/>
      <c r="S633" s="104"/>
    </row>
    <row r="634" ht="29.25" customHeight="1">
      <c r="A634" s="230"/>
      <c r="B634" s="389"/>
      <c r="C634" s="390"/>
      <c r="D634" s="391"/>
      <c r="E634" s="392"/>
      <c r="F634" s="162"/>
      <c r="G634" s="232"/>
      <c r="H634" s="232"/>
      <c r="I634" s="181"/>
      <c r="J634" s="182"/>
      <c r="K634" s="182"/>
      <c r="L634" s="182"/>
      <c r="M634" s="165"/>
      <c r="N634" s="181"/>
      <c r="O634" s="181"/>
      <c r="P634" s="183"/>
      <c r="Q634" s="104"/>
      <c r="R634" s="393"/>
      <c r="S634" s="104"/>
    </row>
    <row r="635" ht="29.25" customHeight="1">
      <c r="A635" s="230"/>
      <c r="B635" s="389"/>
      <c r="C635" s="390"/>
      <c r="D635" s="391"/>
      <c r="E635" s="383"/>
      <c r="F635" s="162"/>
      <c r="G635" s="232"/>
      <c r="H635" s="232"/>
      <c r="I635" s="181"/>
      <c r="J635" s="182"/>
      <c r="K635" s="182"/>
      <c r="L635" s="182"/>
      <c r="M635" s="165"/>
      <c r="N635" s="181"/>
      <c r="O635" s="181"/>
      <c r="P635" s="183"/>
      <c r="Q635" s="104"/>
      <c r="R635" s="388"/>
      <c r="S635" s="104"/>
    </row>
    <row r="636" ht="29.25" customHeight="1">
      <c r="A636" s="230"/>
      <c r="B636" s="389"/>
      <c r="C636" s="390"/>
      <c r="D636" s="391"/>
      <c r="E636" s="392"/>
      <c r="F636" s="162"/>
      <c r="G636" s="232"/>
      <c r="H636" s="232"/>
      <c r="I636" s="181"/>
      <c r="J636" s="182"/>
      <c r="K636" s="182"/>
      <c r="L636" s="182"/>
      <c r="M636" s="165"/>
      <c r="N636" s="181"/>
      <c r="O636" s="181"/>
      <c r="P636" s="183"/>
      <c r="Q636" s="104"/>
      <c r="R636" s="393"/>
      <c r="S636" s="104"/>
    </row>
    <row r="637" ht="29.25" customHeight="1">
      <c r="A637" s="230"/>
      <c r="B637" s="389"/>
      <c r="C637" s="390"/>
      <c r="D637" s="391"/>
      <c r="E637" s="383"/>
      <c r="F637" s="162"/>
      <c r="G637" s="232"/>
      <c r="H637" s="232"/>
      <c r="I637" s="181"/>
      <c r="J637" s="182"/>
      <c r="K637" s="182"/>
      <c r="L637" s="182"/>
      <c r="M637" s="165"/>
      <c r="N637" s="181"/>
      <c r="O637" s="181"/>
      <c r="P637" s="183"/>
      <c r="Q637" s="104"/>
      <c r="R637" s="388"/>
      <c r="S637" s="104"/>
    </row>
    <row r="638" ht="29.25" customHeight="1">
      <c r="A638" s="230"/>
      <c r="B638" s="389"/>
      <c r="C638" s="390"/>
      <c r="D638" s="391"/>
      <c r="E638" s="392"/>
      <c r="F638" s="162"/>
      <c r="G638" s="232"/>
      <c r="H638" s="232"/>
      <c r="I638" s="181"/>
      <c r="J638" s="182"/>
      <c r="K638" s="182"/>
      <c r="L638" s="182"/>
      <c r="M638" s="165"/>
      <c r="N638" s="181"/>
      <c r="O638" s="181"/>
      <c r="P638" s="183"/>
      <c r="Q638" s="104"/>
      <c r="R638" s="393"/>
      <c r="S638" s="104"/>
    </row>
    <row r="639" ht="29.25" customHeight="1">
      <c r="A639" s="230"/>
      <c r="B639" s="389"/>
      <c r="C639" s="390"/>
      <c r="D639" s="391"/>
      <c r="E639" s="383"/>
      <c r="F639" s="162"/>
      <c r="G639" s="232"/>
      <c r="H639" s="232"/>
      <c r="I639" s="181"/>
      <c r="J639" s="182"/>
      <c r="K639" s="182"/>
      <c r="L639" s="182"/>
      <c r="M639" s="165"/>
      <c r="N639" s="181"/>
      <c r="O639" s="181"/>
      <c r="P639" s="183"/>
      <c r="Q639" s="104"/>
      <c r="R639" s="388"/>
      <c r="S639" s="104"/>
    </row>
    <row r="640" ht="29.25" customHeight="1">
      <c r="A640" s="230"/>
      <c r="B640" s="389"/>
      <c r="C640" s="390"/>
      <c r="D640" s="391"/>
      <c r="E640" s="392"/>
      <c r="F640" s="162"/>
      <c r="G640" s="232"/>
      <c r="H640" s="232"/>
      <c r="I640" s="181"/>
      <c r="J640" s="182"/>
      <c r="K640" s="182"/>
      <c r="L640" s="182"/>
      <c r="M640" s="165"/>
      <c r="N640" s="181"/>
      <c r="O640" s="181"/>
      <c r="P640" s="183"/>
      <c r="Q640" s="104"/>
      <c r="R640" s="393"/>
      <c r="S640" s="104"/>
    </row>
    <row r="641" ht="29.25" customHeight="1">
      <c r="A641" s="230"/>
      <c r="B641" s="389"/>
      <c r="C641" s="390"/>
      <c r="D641" s="391"/>
      <c r="E641" s="383"/>
      <c r="F641" s="162"/>
      <c r="G641" s="232"/>
      <c r="H641" s="232"/>
      <c r="I641" s="181"/>
      <c r="J641" s="182"/>
      <c r="K641" s="182"/>
      <c r="L641" s="182"/>
      <c r="M641" s="165"/>
      <c r="N641" s="181"/>
      <c r="O641" s="181"/>
      <c r="P641" s="183"/>
      <c r="Q641" s="104"/>
      <c r="R641" s="388"/>
      <c r="S641" s="104"/>
    </row>
    <row r="642" ht="29.25" customHeight="1">
      <c r="A642" s="230"/>
      <c r="B642" s="389"/>
      <c r="C642" s="390"/>
      <c r="D642" s="391"/>
      <c r="E642" s="392"/>
      <c r="F642" s="162"/>
      <c r="G642" s="232"/>
      <c r="H642" s="232"/>
      <c r="I642" s="181"/>
      <c r="J642" s="182"/>
      <c r="K642" s="182"/>
      <c r="L642" s="182"/>
      <c r="M642" s="165"/>
      <c r="N642" s="181"/>
      <c r="O642" s="181"/>
      <c r="P642" s="183"/>
      <c r="Q642" s="104"/>
      <c r="R642" s="393"/>
      <c r="S642" s="104"/>
    </row>
    <row r="643" ht="29.25" customHeight="1">
      <c r="A643" s="230"/>
      <c r="B643" s="389"/>
      <c r="C643" s="390"/>
      <c r="D643" s="391"/>
      <c r="E643" s="383"/>
      <c r="F643" s="162"/>
      <c r="G643" s="232"/>
      <c r="H643" s="232"/>
      <c r="I643" s="181"/>
      <c r="J643" s="182"/>
      <c r="K643" s="182"/>
      <c r="L643" s="182"/>
      <c r="M643" s="165"/>
      <c r="N643" s="181"/>
      <c r="O643" s="181"/>
      <c r="P643" s="183"/>
      <c r="Q643" s="104"/>
      <c r="R643" s="388"/>
      <c r="S643" s="104"/>
    </row>
    <row r="644" ht="29.25" customHeight="1">
      <c r="A644" s="230"/>
      <c r="B644" s="389"/>
      <c r="C644" s="390"/>
      <c r="D644" s="391"/>
      <c r="E644" s="392"/>
      <c r="F644" s="162"/>
      <c r="G644" s="232"/>
      <c r="H644" s="232"/>
      <c r="I644" s="181"/>
      <c r="J644" s="182"/>
      <c r="K644" s="182"/>
      <c r="L644" s="182"/>
      <c r="M644" s="165"/>
      <c r="N644" s="181"/>
      <c r="O644" s="181"/>
      <c r="P644" s="183"/>
      <c r="Q644" s="104"/>
      <c r="R644" s="393"/>
      <c r="S644" s="104"/>
    </row>
    <row r="645" ht="29.25" customHeight="1">
      <c r="A645" s="230"/>
      <c r="B645" s="389"/>
      <c r="C645" s="390"/>
      <c r="D645" s="391"/>
      <c r="E645" s="383"/>
      <c r="F645" s="162"/>
      <c r="G645" s="232"/>
      <c r="H645" s="232"/>
      <c r="I645" s="181"/>
      <c r="J645" s="182"/>
      <c r="K645" s="182"/>
      <c r="L645" s="182"/>
      <c r="M645" s="165"/>
      <c r="N645" s="181"/>
      <c r="O645" s="181"/>
      <c r="P645" s="183"/>
      <c r="Q645" s="104"/>
      <c r="R645" s="388"/>
      <c r="S645" s="104"/>
    </row>
    <row r="646" ht="29.25" customHeight="1">
      <c r="A646" s="230"/>
      <c r="B646" s="389"/>
      <c r="C646" s="390"/>
      <c r="D646" s="391"/>
      <c r="E646" s="392"/>
      <c r="F646" s="162"/>
      <c r="G646" s="232"/>
      <c r="H646" s="232"/>
      <c r="I646" s="181"/>
      <c r="J646" s="182"/>
      <c r="K646" s="182"/>
      <c r="L646" s="182"/>
      <c r="M646" s="165"/>
      <c r="N646" s="181"/>
      <c r="O646" s="181"/>
      <c r="P646" s="183"/>
      <c r="Q646" s="104"/>
      <c r="R646" s="393"/>
      <c r="S646" s="104"/>
    </row>
    <row r="647" ht="29.25" customHeight="1">
      <c r="A647" s="230"/>
      <c r="B647" s="389"/>
      <c r="C647" s="390"/>
      <c r="D647" s="391"/>
      <c r="E647" s="383"/>
      <c r="F647" s="162"/>
      <c r="G647" s="232"/>
      <c r="H647" s="232"/>
      <c r="I647" s="181"/>
      <c r="J647" s="182"/>
      <c r="K647" s="182"/>
      <c r="L647" s="182"/>
      <c r="M647" s="165"/>
      <c r="N647" s="181"/>
      <c r="O647" s="181"/>
      <c r="P647" s="183"/>
      <c r="Q647" s="104"/>
      <c r="R647" s="388"/>
      <c r="S647" s="104"/>
    </row>
    <row r="648" ht="29.25" customHeight="1">
      <c r="A648" s="230"/>
      <c r="B648" s="389"/>
      <c r="C648" s="390"/>
      <c r="D648" s="391"/>
      <c r="E648" s="392"/>
      <c r="F648" s="162"/>
      <c r="G648" s="232"/>
      <c r="H648" s="232"/>
      <c r="I648" s="181"/>
      <c r="J648" s="182"/>
      <c r="K648" s="182"/>
      <c r="L648" s="182"/>
      <c r="M648" s="165"/>
      <c r="N648" s="181"/>
      <c r="O648" s="181"/>
      <c r="P648" s="183"/>
      <c r="Q648" s="104"/>
      <c r="R648" s="393"/>
      <c r="S648" s="104"/>
    </row>
    <row r="649" ht="29.25" customHeight="1">
      <c r="A649" s="230"/>
      <c r="B649" s="389"/>
      <c r="C649" s="390"/>
      <c r="D649" s="391"/>
      <c r="E649" s="383"/>
      <c r="F649" s="162"/>
      <c r="G649" s="232"/>
      <c r="H649" s="232"/>
      <c r="I649" s="181"/>
      <c r="J649" s="182"/>
      <c r="K649" s="182"/>
      <c r="L649" s="182"/>
      <c r="M649" s="165"/>
      <c r="N649" s="181"/>
      <c r="O649" s="181"/>
      <c r="P649" s="183"/>
      <c r="Q649" s="104"/>
      <c r="R649" s="388"/>
      <c r="S649" s="104"/>
    </row>
    <row r="650" ht="29.25" customHeight="1">
      <c r="A650" s="230"/>
      <c r="B650" s="389"/>
      <c r="C650" s="390"/>
      <c r="D650" s="391"/>
      <c r="E650" s="392"/>
      <c r="F650" s="162"/>
      <c r="G650" s="232"/>
      <c r="H650" s="232"/>
      <c r="I650" s="181"/>
      <c r="J650" s="182"/>
      <c r="K650" s="182"/>
      <c r="L650" s="182"/>
      <c r="M650" s="165"/>
      <c r="N650" s="181"/>
      <c r="O650" s="181"/>
      <c r="P650" s="183"/>
      <c r="Q650" s="104"/>
      <c r="R650" s="393"/>
      <c r="S650" s="104"/>
    </row>
    <row r="651" ht="29.25" customHeight="1">
      <c r="A651" s="230"/>
      <c r="B651" s="389"/>
      <c r="C651" s="390"/>
      <c r="D651" s="391"/>
      <c r="E651" s="383"/>
      <c r="F651" s="162"/>
      <c r="G651" s="232"/>
      <c r="H651" s="232"/>
      <c r="I651" s="181"/>
      <c r="J651" s="182"/>
      <c r="K651" s="182"/>
      <c r="L651" s="182"/>
      <c r="M651" s="165"/>
      <c r="N651" s="181"/>
      <c r="O651" s="181"/>
      <c r="P651" s="183"/>
      <c r="Q651" s="104"/>
      <c r="R651" s="388"/>
      <c r="S651" s="104"/>
    </row>
    <row r="652" ht="29.25" customHeight="1">
      <c r="A652" s="230"/>
      <c r="B652" s="389"/>
      <c r="C652" s="390"/>
      <c r="D652" s="391"/>
      <c r="E652" s="392"/>
      <c r="F652" s="162"/>
      <c r="G652" s="232"/>
      <c r="H652" s="232"/>
      <c r="I652" s="181"/>
      <c r="J652" s="182"/>
      <c r="K652" s="182"/>
      <c r="L652" s="182"/>
      <c r="M652" s="165"/>
      <c r="N652" s="181"/>
      <c r="O652" s="181"/>
      <c r="P652" s="183"/>
      <c r="Q652" s="104"/>
      <c r="R652" s="393"/>
      <c r="S652" s="104"/>
    </row>
    <row r="653" ht="29.25" customHeight="1">
      <c r="A653" s="230"/>
      <c r="B653" s="389"/>
      <c r="C653" s="390"/>
      <c r="D653" s="391"/>
      <c r="E653" s="383"/>
      <c r="F653" s="162"/>
      <c r="G653" s="232"/>
      <c r="H653" s="232"/>
      <c r="I653" s="181"/>
      <c r="J653" s="182"/>
      <c r="K653" s="182"/>
      <c r="L653" s="182"/>
      <c r="M653" s="165"/>
      <c r="N653" s="181"/>
      <c r="O653" s="181"/>
      <c r="P653" s="183"/>
      <c r="Q653" s="104"/>
      <c r="R653" s="388"/>
      <c r="S653" s="104"/>
    </row>
    <row r="654" ht="29.25" customHeight="1">
      <c r="A654" s="230"/>
      <c r="B654" s="389"/>
      <c r="C654" s="390"/>
      <c r="D654" s="391"/>
      <c r="E654" s="392"/>
      <c r="F654" s="162"/>
      <c r="G654" s="232"/>
      <c r="H654" s="232"/>
      <c r="I654" s="181"/>
      <c r="J654" s="182"/>
      <c r="K654" s="182"/>
      <c r="L654" s="182"/>
      <c r="M654" s="165"/>
      <c r="N654" s="181"/>
      <c r="O654" s="181"/>
      <c r="P654" s="183"/>
      <c r="Q654" s="104"/>
      <c r="R654" s="393"/>
      <c r="S654" s="104"/>
    </row>
    <row r="655" ht="29.25" customHeight="1">
      <c r="A655" s="230"/>
      <c r="B655" s="389"/>
      <c r="C655" s="390"/>
      <c r="D655" s="391"/>
      <c r="E655" s="383"/>
      <c r="F655" s="162"/>
      <c r="G655" s="232"/>
      <c r="H655" s="232"/>
      <c r="I655" s="181"/>
      <c r="J655" s="182"/>
      <c r="K655" s="182"/>
      <c r="L655" s="182"/>
      <c r="M655" s="165"/>
      <c r="N655" s="181"/>
      <c r="O655" s="181"/>
      <c r="P655" s="183"/>
      <c r="Q655" s="104"/>
      <c r="R655" s="388"/>
      <c r="S655" s="104"/>
    </row>
    <row r="656" ht="29.25" customHeight="1">
      <c r="A656" s="230"/>
      <c r="B656" s="389"/>
      <c r="C656" s="390"/>
      <c r="D656" s="391"/>
      <c r="E656" s="392"/>
      <c r="F656" s="162"/>
      <c r="G656" s="232"/>
      <c r="H656" s="232"/>
      <c r="I656" s="181"/>
      <c r="J656" s="182"/>
      <c r="K656" s="182"/>
      <c r="L656" s="182"/>
      <c r="M656" s="165"/>
      <c r="N656" s="181"/>
      <c r="O656" s="181"/>
      <c r="P656" s="183"/>
      <c r="Q656" s="104"/>
      <c r="R656" s="393"/>
      <c r="S656" s="104"/>
    </row>
    <row r="657" ht="29.25" customHeight="1">
      <c r="A657" s="230"/>
      <c r="B657" s="389"/>
      <c r="C657" s="390"/>
      <c r="D657" s="391"/>
      <c r="E657" s="383"/>
      <c r="F657" s="162"/>
      <c r="G657" s="232"/>
      <c r="H657" s="232"/>
      <c r="I657" s="181"/>
      <c r="J657" s="182"/>
      <c r="K657" s="182"/>
      <c r="L657" s="182"/>
      <c r="M657" s="165"/>
      <c r="N657" s="181"/>
      <c r="O657" s="181"/>
      <c r="P657" s="183"/>
      <c r="Q657" s="104"/>
      <c r="R657" s="388"/>
      <c r="S657" s="104"/>
    </row>
    <row r="658" ht="29.25" customHeight="1">
      <c r="A658" s="230"/>
      <c r="B658" s="389"/>
      <c r="C658" s="390"/>
      <c r="D658" s="391"/>
      <c r="E658" s="392"/>
      <c r="F658" s="162"/>
      <c r="G658" s="232"/>
      <c r="H658" s="232"/>
      <c r="I658" s="181"/>
      <c r="J658" s="182"/>
      <c r="K658" s="182"/>
      <c r="L658" s="182"/>
      <c r="M658" s="165"/>
      <c r="N658" s="181"/>
      <c r="O658" s="181"/>
      <c r="P658" s="183"/>
      <c r="Q658" s="104"/>
      <c r="R658" s="393"/>
      <c r="S658" s="104"/>
    </row>
    <row r="659" ht="29.25" customHeight="1">
      <c r="A659" s="230"/>
      <c r="B659" s="389"/>
      <c r="C659" s="390"/>
      <c r="D659" s="391"/>
      <c r="E659" s="383"/>
      <c r="F659" s="162"/>
      <c r="G659" s="232"/>
      <c r="H659" s="232"/>
      <c r="I659" s="181"/>
      <c r="J659" s="182"/>
      <c r="K659" s="182"/>
      <c r="L659" s="182"/>
      <c r="M659" s="165"/>
      <c r="N659" s="181"/>
      <c r="O659" s="181"/>
      <c r="P659" s="183"/>
      <c r="Q659" s="104"/>
      <c r="R659" s="388"/>
      <c r="S659" s="104"/>
    </row>
    <row r="660" ht="29.25" customHeight="1">
      <c r="A660" s="230"/>
      <c r="B660" s="389"/>
      <c r="C660" s="390"/>
      <c r="D660" s="391"/>
      <c r="E660" s="392"/>
      <c r="F660" s="162"/>
      <c r="G660" s="232"/>
      <c r="H660" s="232"/>
      <c r="I660" s="181"/>
      <c r="J660" s="182"/>
      <c r="K660" s="182"/>
      <c r="L660" s="182"/>
      <c r="M660" s="165"/>
      <c r="N660" s="181"/>
      <c r="O660" s="181"/>
      <c r="P660" s="183"/>
      <c r="Q660" s="104"/>
      <c r="R660" s="393"/>
      <c r="S660" s="104"/>
    </row>
    <row r="661" ht="29.25" customHeight="1">
      <c r="A661" s="230"/>
      <c r="B661" s="389"/>
      <c r="C661" s="390"/>
      <c r="D661" s="391"/>
      <c r="E661" s="383"/>
      <c r="F661" s="162"/>
      <c r="G661" s="232"/>
      <c r="H661" s="232"/>
      <c r="I661" s="181"/>
      <c r="J661" s="182"/>
      <c r="K661" s="182"/>
      <c r="L661" s="182"/>
      <c r="M661" s="165"/>
      <c r="N661" s="181"/>
      <c r="O661" s="181"/>
      <c r="P661" s="183"/>
      <c r="Q661" s="104"/>
      <c r="R661" s="388"/>
      <c r="S661" s="104"/>
    </row>
    <row r="662" ht="29.25" customHeight="1">
      <c r="A662" s="230"/>
      <c r="B662" s="389"/>
      <c r="C662" s="390"/>
      <c r="D662" s="391"/>
      <c r="E662" s="392"/>
      <c r="F662" s="162"/>
      <c r="G662" s="232"/>
      <c r="H662" s="232"/>
      <c r="I662" s="181"/>
      <c r="J662" s="182"/>
      <c r="K662" s="182"/>
      <c r="L662" s="182"/>
      <c r="M662" s="165"/>
      <c r="N662" s="181"/>
      <c r="O662" s="181"/>
      <c r="P662" s="183"/>
      <c r="Q662" s="104"/>
      <c r="R662" s="393"/>
      <c r="S662" s="104"/>
    </row>
    <row r="663" ht="29.25" customHeight="1">
      <c r="A663" s="230"/>
      <c r="B663" s="389"/>
      <c r="C663" s="390"/>
      <c r="D663" s="391"/>
      <c r="E663" s="383"/>
      <c r="F663" s="162"/>
      <c r="G663" s="232"/>
      <c r="H663" s="232"/>
      <c r="I663" s="181"/>
      <c r="J663" s="182"/>
      <c r="K663" s="182"/>
      <c r="L663" s="182"/>
      <c r="M663" s="165"/>
      <c r="N663" s="181"/>
      <c r="O663" s="181"/>
      <c r="P663" s="183"/>
      <c r="Q663" s="104"/>
      <c r="R663" s="388"/>
      <c r="S663" s="104"/>
    </row>
    <row r="664" ht="29.25" customHeight="1">
      <c r="A664" s="230"/>
      <c r="B664" s="389"/>
      <c r="C664" s="390"/>
      <c r="D664" s="391"/>
      <c r="E664" s="392"/>
      <c r="F664" s="162"/>
      <c r="G664" s="232"/>
      <c r="H664" s="232"/>
      <c r="I664" s="181"/>
      <c r="J664" s="182"/>
      <c r="K664" s="182"/>
      <c r="L664" s="182"/>
      <c r="M664" s="165"/>
      <c r="N664" s="181"/>
      <c r="O664" s="181"/>
      <c r="P664" s="183"/>
      <c r="Q664" s="104"/>
      <c r="R664" s="393"/>
      <c r="S664" s="104"/>
    </row>
    <row r="665" ht="29.25" customHeight="1">
      <c r="A665" s="230"/>
      <c r="B665" s="389"/>
      <c r="C665" s="390"/>
      <c r="D665" s="391"/>
      <c r="E665" s="383"/>
      <c r="F665" s="162"/>
      <c r="G665" s="232"/>
      <c r="H665" s="232"/>
      <c r="I665" s="181"/>
      <c r="J665" s="182"/>
      <c r="K665" s="182"/>
      <c r="L665" s="182"/>
      <c r="M665" s="165"/>
      <c r="N665" s="181"/>
      <c r="O665" s="181"/>
      <c r="P665" s="183"/>
      <c r="Q665" s="104"/>
      <c r="R665" s="388"/>
      <c r="S665" s="104"/>
    </row>
    <row r="666" ht="29.25" customHeight="1">
      <c r="A666" s="230"/>
      <c r="B666" s="389"/>
      <c r="C666" s="390"/>
      <c r="D666" s="391"/>
      <c r="E666" s="392"/>
      <c r="F666" s="162"/>
      <c r="G666" s="232"/>
      <c r="H666" s="232"/>
      <c r="I666" s="181"/>
      <c r="J666" s="182"/>
      <c r="K666" s="182"/>
      <c r="L666" s="182"/>
      <c r="M666" s="165"/>
      <c r="N666" s="181"/>
      <c r="O666" s="181"/>
      <c r="P666" s="183"/>
      <c r="Q666" s="104"/>
      <c r="R666" s="393"/>
      <c r="S666" s="104"/>
    </row>
    <row r="667" ht="29.25" customHeight="1">
      <c r="A667" s="230"/>
      <c r="B667" s="389"/>
      <c r="C667" s="390"/>
      <c r="D667" s="391"/>
      <c r="E667" s="383"/>
      <c r="F667" s="162"/>
      <c r="G667" s="232"/>
      <c r="H667" s="232"/>
      <c r="I667" s="181"/>
      <c r="J667" s="182"/>
      <c r="K667" s="182"/>
      <c r="L667" s="182"/>
      <c r="M667" s="165"/>
      <c r="N667" s="181"/>
      <c r="O667" s="181"/>
      <c r="P667" s="183"/>
      <c r="Q667" s="104"/>
      <c r="R667" s="388"/>
      <c r="S667" s="104"/>
    </row>
    <row r="668" ht="29.25" customHeight="1">
      <c r="A668" s="230"/>
      <c r="B668" s="389"/>
      <c r="C668" s="390"/>
      <c r="D668" s="391"/>
      <c r="E668" s="392"/>
      <c r="F668" s="162"/>
      <c r="G668" s="232"/>
      <c r="H668" s="232"/>
      <c r="I668" s="181"/>
      <c r="J668" s="182"/>
      <c r="K668" s="182"/>
      <c r="L668" s="182"/>
      <c r="M668" s="165"/>
      <c r="N668" s="181"/>
      <c r="O668" s="181"/>
      <c r="P668" s="183"/>
      <c r="Q668" s="104"/>
      <c r="R668" s="393"/>
      <c r="S668" s="104"/>
    </row>
    <row r="669" ht="29.25" customHeight="1">
      <c r="A669" s="230"/>
      <c r="B669" s="389"/>
      <c r="C669" s="390"/>
      <c r="D669" s="391"/>
      <c r="E669" s="383"/>
      <c r="F669" s="162"/>
      <c r="G669" s="232"/>
      <c r="H669" s="232"/>
      <c r="I669" s="181"/>
      <c r="J669" s="182"/>
      <c r="K669" s="182"/>
      <c r="L669" s="182"/>
      <c r="M669" s="165"/>
      <c r="N669" s="181"/>
      <c r="O669" s="181"/>
      <c r="P669" s="183"/>
      <c r="Q669" s="104"/>
      <c r="R669" s="388"/>
      <c r="S669" s="104"/>
    </row>
    <row r="670" ht="29.25" customHeight="1">
      <c r="A670" s="230"/>
      <c r="B670" s="389"/>
      <c r="C670" s="390"/>
      <c r="D670" s="391"/>
      <c r="E670" s="392"/>
      <c r="F670" s="162"/>
      <c r="G670" s="232"/>
      <c r="H670" s="232"/>
      <c r="I670" s="181"/>
      <c r="J670" s="182"/>
      <c r="K670" s="182"/>
      <c r="L670" s="182"/>
      <c r="M670" s="165"/>
      <c r="N670" s="181"/>
      <c r="O670" s="181"/>
      <c r="P670" s="183"/>
      <c r="Q670" s="104"/>
      <c r="R670" s="393"/>
      <c r="S670" s="104"/>
    </row>
    <row r="671" ht="29.25" customHeight="1">
      <c r="A671" s="230"/>
      <c r="B671" s="389"/>
      <c r="C671" s="390"/>
      <c r="D671" s="391"/>
      <c r="E671" s="383"/>
      <c r="F671" s="162"/>
      <c r="G671" s="232"/>
      <c r="H671" s="232"/>
      <c r="I671" s="181"/>
      <c r="J671" s="182"/>
      <c r="K671" s="182"/>
      <c r="L671" s="182"/>
      <c r="M671" s="165"/>
      <c r="N671" s="181"/>
      <c r="O671" s="181"/>
      <c r="P671" s="183"/>
      <c r="Q671" s="104"/>
      <c r="R671" s="388"/>
      <c r="S671" s="104"/>
    </row>
    <row r="672" ht="29.25" customHeight="1">
      <c r="A672" s="230"/>
      <c r="B672" s="389"/>
      <c r="C672" s="390"/>
      <c r="D672" s="391"/>
      <c r="E672" s="392"/>
      <c r="F672" s="162"/>
      <c r="G672" s="232"/>
      <c r="H672" s="232"/>
      <c r="I672" s="181"/>
      <c r="J672" s="182"/>
      <c r="K672" s="182"/>
      <c r="L672" s="182"/>
      <c r="M672" s="165"/>
      <c r="N672" s="181"/>
      <c r="O672" s="181"/>
      <c r="P672" s="183"/>
      <c r="Q672" s="104"/>
      <c r="R672" s="393"/>
      <c r="S672" s="104"/>
    </row>
    <row r="673" ht="29.25" customHeight="1">
      <c r="A673" s="230"/>
      <c r="B673" s="389"/>
      <c r="C673" s="390"/>
      <c r="D673" s="391"/>
      <c r="E673" s="383"/>
      <c r="F673" s="162"/>
      <c r="G673" s="232"/>
      <c r="H673" s="232"/>
      <c r="I673" s="181"/>
      <c r="J673" s="182"/>
      <c r="K673" s="182"/>
      <c r="L673" s="182"/>
      <c r="M673" s="165"/>
      <c r="N673" s="181"/>
      <c r="O673" s="181"/>
      <c r="P673" s="183"/>
      <c r="Q673" s="104"/>
      <c r="R673" s="388"/>
      <c r="S673" s="104"/>
    </row>
    <row r="674" ht="29.25" customHeight="1">
      <c r="A674" s="230"/>
      <c r="B674" s="389"/>
      <c r="C674" s="390"/>
      <c r="D674" s="391"/>
      <c r="E674" s="392"/>
      <c r="F674" s="162"/>
      <c r="G674" s="232"/>
      <c r="H674" s="232"/>
      <c r="I674" s="181"/>
      <c r="J674" s="182"/>
      <c r="K674" s="182"/>
      <c r="L674" s="182"/>
      <c r="M674" s="165"/>
      <c r="N674" s="181"/>
      <c r="O674" s="181"/>
      <c r="P674" s="183"/>
      <c r="Q674" s="104"/>
      <c r="R674" s="393"/>
      <c r="S674" s="104"/>
    </row>
    <row r="675" ht="29.25" customHeight="1">
      <c r="A675" s="230"/>
      <c r="B675" s="389"/>
      <c r="C675" s="390"/>
      <c r="D675" s="391"/>
      <c r="E675" s="383"/>
      <c r="F675" s="162"/>
      <c r="G675" s="232"/>
      <c r="H675" s="232"/>
      <c r="I675" s="181"/>
      <c r="J675" s="182"/>
      <c r="K675" s="182"/>
      <c r="L675" s="182"/>
      <c r="M675" s="165"/>
      <c r="N675" s="181"/>
      <c r="O675" s="181"/>
      <c r="P675" s="183"/>
      <c r="Q675" s="104"/>
      <c r="R675" s="388"/>
      <c r="S675" s="104"/>
    </row>
    <row r="676" ht="29.25" customHeight="1">
      <c r="A676" s="230"/>
      <c r="B676" s="389"/>
      <c r="C676" s="390"/>
      <c r="D676" s="391"/>
      <c r="E676" s="392"/>
      <c r="F676" s="162"/>
      <c r="G676" s="232"/>
      <c r="H676" s="232"/>
      <c r="I676" s="181"/>
      <c r="J676" s="182"/>
      <c r="K676" s="182"/>
      <c r="L676" s="182"/>
      <c r="M676" s="165"/>
      <c r="N676" s="181"/>
      <c r="O676" s="181"/>
      <c r="P676" s="183"/>
      <c r="Q676" s="104"/>
      <c r="R676" s="393"/>
      <c r="S676" s="104"/>
    </row>
    <row r="677" ht="29.25" customHeight="1">
      <c r="A677" s="230"/>
      <c r="B677" s="389"/>
      <c r="C677" s="390"/>
      <c r="D677" s="391"/>
      <c r="E677" s="383"/>
      <c r="F677" s="162"/>
      <c r="G677" s="232"/>
      <c r="H677" s="232"/>
      <c r="I677" s="181"/>
      <c r="J677" s="182"/>
      <c r="K677" s="182"/>
      <c r="L677" s="182"/>
      <c r="M677" s="165"/>
      <c r="N677" s="181"/>
      <c r="O677" s="181"/>
      <c r="P677" s="183"/>
      <c r="Q677" s="104"/>
      <c r="R677" s="388"/>
      <c r="S677" s="104"/>
    </row>
    <row r="678" ht="29.25" customHeight="1">
      <c r="A678" s="230"/>
      <c r="B678" s="389"/>
      <c r="C678" s="390"/>
      <c r="D678" s="391"/>
      <c r="E678" s="392"/>
      <c r="F678" s="162"/>
      <c r="G678" s="232"/>
      <c r="H678" s="232"/>
      <c r="I678" s="181"/>
      <c r="J678" s="182"/>
      <c r="K678" s="182"/>
      <c r="L678" s="182"/>
      <c r="M678" s="165"/>
      <c r="N678" s="181"/>
      <c r="O678" s="181"/>
      <c r="P678" s="183"/>
      <c r="Q678" s="104"/>
      <c r="R678" s="393"/>
      <c r="S678" s="104"/>
    </row>
    <row r="679" ht="29.25" customHeight="1">
      <c r="A679" s="230"/>
      <c r="B679" s="389"/>
      <c r="C679" s="390"/>
      <c r="D679" s="391"/>
      <c r="E679" s="383"/>
      <c r="F679" s="162"/>
      <c r="G679" s="232"/>
      <c r="H679" s="232"/>
      <c r="I679" s="181"/>
      <c r="J679" s="182"/>
      <c r="K679" s="182"/>
      <c r="L679" s="182"/>
      <c r="M679" s="165"/>
      <c r="N679" s="181"/>
      <c r="O679" s="181"/>
      <c r="P679" s="183"/>
      <c r="Q679" s="104"/>
      <c r="R679" s="388"/>
      <c r="S679" s="104"/>
    </row>
    <row r="680" ht="29.25" customHeight="1">
      <c r="A680" s="230"/>
      <c r="B680" s="389"/>
      <c r="C680" s="390"/>
      <c r="D680" s="391"/>
      <c r="E680" s="392"/>
      <c r="F680" s="162"/>
      <c r="G680" s="232"/>
      <c r="H680" s="232"/>
      <c r="I680" s="181"/>
      <c r="J680" s="182"/>
      <c r="K680" s="182"/>
      <c r="L680" s="182"/>
      <c r="M680" s="165"/>
      <c r="N680" s="181"/>
      <c r="O680" s="181"/>
      <c r="P680" s="183"/>
      <c r="Q680" s="104"/>
      <c r="R680" s="393"/>
      <c r="S680" s="104"/>
    </row>
    <row r="681" ht="29.25" customHeight="1">
      <c r="A681" s="230"/>
      <c r="B681" s="389"/>
      <c r="C681" s="390"/>
      <c r="D681" s="391"/>
      <c r="E681" s="383"/>
      <c r="F681" s="162"/>
      <c r="G681" s="232"/>
      <c r="H681" s="232"/>
      <c r="I681" s="181"/>
      <c r="J681" s="182"/>
      <c r="K681" s="182"/>
      <c r="L681" s="182"/>
      <c r="M681" s="165"/>
      <c r="N681" s="181"/>
      <c r="O681" s="181"/>
      <c r="P681" s="183"/>
      <c r="Q681" s="104"/>
      <c r="R681" s="388"/>
      <c r="S681" s="104"/>
    </row>
    <row r="682" ht="29.25" customHeight="1">
      <c r="A682" s="230"/>
      <c r="B682" s="389"/>
      <c r="C682" s="390"/>
      <c r="D682" s="391"/>
      <c r="E682" s="392"/>
      <c r="F682" s="162"/>
      <c r="G682" s="232"/>
      <c r="H682" s="232"/>
      <c r="I682" s="181"/>
      <c r="J682" s="182"/>
      <c r="K682" s="182"/>
      <c r="L682" s="182"/>
      <c r="M682" s="165"/>
      <c r="N682" s="181"/>
      <c r="O682" s="181"/>
      <c r="P682" s="183"/>
      <c r="Q682" s="104"/>
      <c r="R682" s="393"/>
      <c r="S682" s="104"/>
    </row>
    <row r="683" ht="29.25" customHeight="1">
      <c r="A683" s="230"/>
      <c r="B683" s="389"/>
      <c r="C683" s="390"/>
      <c r="D683" s="391"/>
      <c r="E683" s="383"/>
      <c r="F683" s="162"/>
      <c r="G683" s="232"/>
      <c r="H683" s="232"/>
      <c r="I683" s="181"/>
      <c r="J683" s="182"/>
      <c r="K683" s="182"/>
      <c r="L683" s="182"/>
      <c r="M683" s="165"/>
      <c r="N683" s="181"/>
      <c r="O683" s="181"/>
      <c r="P683" s="183"/>
      <c r="Q683" s="104"/>
      <c r="R683" s="388"/>
      <c r="S683" s="104"/>
    </row>
    <row r="684" ht="29.25" customHeight="1">
      <c r="A684" s="230"/>
      <c r="B684" s="389"/>
      <c r="C684" s="390"/>
      <c r="D684" s="391"/>
      <c r="E684" s="392"/>
      <c r="F684" s="162"/>
      <c r="G684" s="232"/>
      <c r="H684" s="232"/>
      <c r="I684" s="181"/>
      <c r="J684" s="182"/>
      <c r="K684" s="182"/>
      <c r="L684" s="182"/>
      <c r="M684" s="165"/>
      <c r="N684" s="181"/>
      <c r="O684" s="181"/>
      <c r="P684" s="183"/>
      <c r="Q684" s="104"/>
      <c r="R684" s="393"/>
      <c r="S684" s="104"/>
    </row>
    <row r="685" ht="29.25" customHeight="1">
      <c r="A685" s="230"/>
      <c r="B685" s="389"/>
      <c r="C685" s="390"/>
      <c r="D685" s="391"/>
      <c r="E685" s="383"/>
      <c r="F685" s="162"/>
      <c r="G685" s="232"/>
      <c r="H685" s="232"/>
      <c r="I685" s="181"/>
      <c r="J685" s="182"/>
      <c r="K685" s="182"/>
      <c r="L685" s="182"/>
      <c r="M685" s="165"/>
      <c r="N685" s="181"/>
      <c r="O685" s="181"/>
      <c r="P685" s="183"/>
      <c r="Q685" s="104"/>
      <c r="R685" s="388"/>
      <c r="S685" s="104"/>
    </row>
    <row r="686" ht="29.25" customHeight="1">
      <c r="A686" s="230"/>
      <c r="B686" s="389"/>
      <c r="C686" s="390"/>
      <c r="D686" s="391"/>
      <c r="E686" s="392"/>
      <c r="F686" s="162"/>
      <c r="G686" s="232"/>
      <c r="H686" s="232"/>
      <c r="I686" s="181"/>
      <c r="J686" s="182"/>
      <c r="K686" s="182"/>
      <c r="L686" s="182"/>
      <c r="M686" s="165"/>
      <c r="N686" s="181"/>
      <c r="O686" s="181"/>
      <c r="P686" s="183"/>
      <c r="Q686" s="104"/>
      <c r="R686" s="393"/>
      <c r="S686" s="104"/>
    </row>
    <row r="687" ht="29.25" customHeight="1">
      <c r="A687" s="230"/>
      <c r="B687" s="389"/>
      <c r="C687" s="390"/>
      <c r="D687" s="391"/>
      <c r="E687" s="383"/>
      <c r="F687" s="162"/>
      <c r="G687" s="232"/>
      <c r="H687" s="232"/>
      <c r="I687" s="181"/>
      <c r="J687" s="182"/>
      <c r="K687" s="182"/>
      <c r="L687" s="182"/>
      <c r="M687" s="165"/>
      <c r="N687" s="181"/>
      <c r="O687" s="181"/>
      <c r="P687" s="183"/>
      <c r="Q687" s="104"/>
      <c r="R687" s="388"/>
      <c r="S687" s="104"/>
    </row>
    <row r="688" ht="29.25" customHeight="1">
      <c r="A688" s="230"/>
      <c r="B688" s="389"/>
      <c r="C688" s="390"/>
      <c r="D688" s="391"/>
      <c r="E688" s="392"/>
      <c r="F688" s="162"/>
      <c r="G688" s="232"/>
      <c r="H688" s="232"/>
      <c r="I688" s="181"/>
      <c r="J688" s="182"/>
      <c r="K688" s="182"/>
      <c r="L688" s="182"/>
      <c r="M688" s="165"/>
      <c r="N688" s="181"/>
      <c r="O688" s="181"/>
      <c r="P688" s="183"/>
      <c r="Q688" s="104"/>
      <c r="R688" s="393"/>
      <c r="S688" s="104"/>
    </row>
    <row r="689" ht="29.25" customHeight="1">
      <c r="A689" s="230"/>
      <c r="B689" s="389"/>
      <c r="C689" s="390"/>
      <c r="D689" s="391"/>
      <c r="E689" s="383"/>
      <c r="F689" s="162"/>
      <c r="G689" s="232"/>
      <c r="H689" s="232"/>
      <c r="I689" s="181"/>
      <c r="J689" s="182"/>
      <c r="K689" s="182"/>
      <c r="L689" s="182"/>
      <c r="M689" s="165"/>
      <c r="N689" s="181"/>
      <c r="O689" s="181"/>
      <c r="P689" s="183"/>
      <c r="Q689" s="104"/>
      <c r="R689" s="388"/>
      <c r="S689" s="104"/>
    </row>
    <row r="690" ht="29.25" customHeight="1">
      <c r="A690" s="230"/>
      <c r="B690" s="389"/>
      <c r="C690" s="390"/>
      <c r="D690" s="391"/>
      <c r="E690" s="392"/>
      <c r="F690" s="162"/>
      <c r="G690" s="232"/>
      <c r="H690" s="232"/>
      <c r="I690" s="181"/>
      <c r="J690" s="182"/>
      <c r="K690" s="182"/>
      <c r="L690" s="182"/>
      <c r="M690" s="165"/>
      <c r="N690" s="181"/>
      <c r="O690" s="181"/>
      <c r="P690" s="183"/>
      <c r="Q690" s="104"/>
      <c r="R690" s="393"/>
      <c r="S690" s="104"/>
    </row>
    <row r="691" ht="29.25" customHeight="1">
      <c r="A691" s="230"/>
      <c r="B691" s="389"/>
      <c r="C691" s="390"/>
      <c r="D691" s="391"/>
      <c r="E691" s="383"/>
      <c r="F691" s="162"/>
      <c r="G691" s="232"/>
      <c r="H691" s="232"/>
      <c r="I691" s="181"/>
      <c r="J691" s="182"/>
      <c r="K691" s="182"/>
      <c r="L691" s="182"/>
      <c r="M691" s="165"/>
      <c r="N691" s="181"/>
      <c r="O691" s="181"/>
      <c r="P691" s="183"/>
      <c r="Q691" s="104"/>
      <c r="R691" s="388"/>
      <c r="S691" s="104"/>
    </row>
    <row r="692" ht="29.25" customHeight="1">
      <c r="A692" s="230"/>
      <c r="B692" s="389"/>
      <c r="C692" s="390"/>
      <c r="D692" s="391"/>
      <c r="E692" s="392"/>
      <c r="F692" s="162"/>
      <c r="G692" s="232"/>
      <c r="H692" s="232"/>
      <c r="I692" s="181"/>
      <c r="J692" s="182"/>
      <c r="K692" s="182"/>
      <c r="L692" s="182"/>
      <c r="M692" s="165"/>
      <c r="N692" s="181"/>
      <c r="O692" s="181"/>
      <c r="P692" s="183"/>
      <c r="Q692" s="104"/>
      <c r="R692" s="393"/>
      <c r="S692" s="104"/>
    </row>
    <row r="693" ht="29.25" customHeight="1">
      <c r="A693" s="230"/>
      <c r="B693" s="389"/>
      <c r="C693" s="390"/>
      <c r="D693" s="391"/>
      <c r="E693" s="383"/>
      <c r="F693" s="162"/>
      <c r="G693" s="232"/>
      <c r="H693" s="232"/>
      <c r="I693" s="181"/>
      <c r="J693" s="182"/>
      <c r="K693" s="182"/>
      <c r="L693" s="182"/>
      <c r="M693" s="165"/>
      <c r="N693" s="181"/>
      <c r="O693" s="181"/>
      <c r="P693" s="183"/>
      <c r="Q693" s="104"/>
      <c r="R693" s="388"/>
      <c r="S693" s="104"/>
    </row>
    <row r="694" ht="29.25" customHeight="1">
      <c r="A694" s="230"/>
      <c r="B694" s="389"/>
      <c r="C694" s="390"/>
      <c r="D694" s="391"/>
      <c r="E694" s="392"/>
      <c r="F694" s="162"/>
      <c r="G694" s="232"/>
      <c r="H694" s="232"/>
      <c r="I694" s="181"/>
      <c r="J694" s="182"/>
      <c r="K694" s="182"/>
      <c r="L694" s="182"/>
      <c r="M694" s="165"/>
      <c r="N694" s="181"/>
      <c r="O694" s="181"/>
      <c r="P694" s="183"/>
      <c r="Q694" s="104"/>
      <c r="R694" s="393"/>
      <c r="S694" s="104"/>
    </row>
    <row r="695" ht="29.25" customHeight="1">
      <c r="A695" s="230"/>
      <c r="B695" s="389"/>
      <c r="C695" s="390"/>
      <c r="D695" s="391"/>
      <c r="E695" s="383"/>
      <c r="F695" s="162"/>
      <c r="G695" s="232"/>
      <c r="H695" s="232"/>
      <c r="I695" s="181"/>
      <c r="J695" s="182"/>
      <c r="K695" s="182"/>
      <c r="L695" s="182"/>
      <c r="M695" s="165"/>
      <c r="N695" s="181"/>
      <c r="O695" s="181"/>
      <c r="P695" s="183"/>
      <c r="Q695" s="104"/>
      <c r="R695" s="388"/>
      <c r="S695" s="104"/>
    </row>
    <row r="696" ht="29.25" customHeight="1">
      <c r="A696" s="230"/>
      <c r="B696" s="389"/>
      <c r="C696" s="390"/>
      <c r="D696" s="391"/>
      <c r="E696" s="392"/>
      <c r="F696" s="162"/>
      <c r="G696" s="232"/>
      <c r="H696" s="232"/>
      <c r="I696" s="181"/>
      <c r="J696" s="182"/>
      <c r="K696" s="182"/>
      <c r="L696" s="182"/>
      <c r="M696" s="165"/>
      <c r="N696" s="181"/>
      <c r="O696" s="181"/>
      <c r="P696" s="183"/>
      <c r="Q696" s="104"/>
      <c r="R696" s="393"/>
      <c r="S696" s="104"/>
    </row>
    <row r="697" ht="29.25" customHeight="1">
      <c r="A697" s="230"/>
      <c r="B697" s="389"/>
      <c r="C697" s="390"/>
      <c r="D697" s="391"/>
      <c r="E697" s="383"/>
      <c r="F697" s="162"/>
      <c r="G697" s="232"/>
      <c r="H697" s="232"/>
      <c r="I697" s="181"/>
      <c r="J697" s="182"/>
      <c r="K697" s="182"/>
      <c r="L697" s="182"/>
      <c r="M697" s="165"/>
      <c r="N697" s="181"/>
      <c r="O697" s="181"/>
      <c r="P697" s="183"/>
      <c r="Q697" s="104"/>
      <c r="R697" s="388"/>
      <c r="S697" s="104"/>
    </row>
    <row r="698" ht="29.25" customHeight="1">
      <c r="A698" s="230"/>
      <c r="B698" s="389"/>
      <c r="C698" s="390"/>
      <c r="D698" s="391"/>
      <c r="E698" s="392"/>
      <c r="F698" s="162"/>
      <c r="G698" s="232"/>
      <c r="H698" s="232"/>
      <c r="I698" s="181"/>
      <c r="J698" s="182"/>
      <c r="K698" s="182"/>
      <c r="L698" s="182"/>
      <c r="M698" s="165"/>
      <c r="N698" s="181"/>
      <c r="O698" s="181"/>
      <c r="P698" s="183"/>
      <c r="Q698" s="104"/>
      <c r="R698" s="393"/>
      <c r="S698" s="104"/>
    </row>
    <row r="699" ht="29.25" customHeight="1">
      <c r="A699" s="230"/>
      <c r="B699" s="389"/>
      <c r="C699" s="390"/>
      <c r="D699" s="391"/>
      <c r="E699" s="383"/>
      <c r="F699" s="162"/>
      <c r="G699" s="232"/>
      <c r="H699" s="232"/>
      <c r="I699" s="181"/>
      <c r="J699" s="182"/>
      <c r="K699" s="182"/>
      <c r="L699" s="182"/>
      <c r="M699" s="165"/>
      <c r="N699" s="181"/>
      <c r="O699" s="181"/>
      <c r="P699" s="183"/>
      <c r="Q699" s="104"/>
      <c r="R699" s="388"/>
      <c r="S699" s="104"/>
    </row>
    <row r="700" ht="29.25" customHeight="1">
      <c r="A700" s="230"/>
      <c r="B700" s="389"/>
      <c r="C700" s="390"/>
      <c r="D700" s="391"/>
      <c r="E700" s="392"/>
      <c r="F700" s="162"/>
      <c r="G700" s="232"/>
      <c r="H700" s="232"/>
      <c r="I700" s="181"/>
      <c r="J700" s="182"/>
      <c r="K700" s="182"/>
      <c r="L700" s="182"/>
      <c r="M700" s="165"/>
      <c r="N700" s="181"/>
      <c r="O700" s="181"/>
      <c r="P700" s="183"/>
      <c r="Q700" s="104"/>
      <c r="R700" s="393"/>
      <c r="S700" s="104"/>
    </row>
    <row r="701" ht="29.25" customHeight="1">
      <c r="A701" s="230"/>
      <c r="B701" s="389"/>
      <c r="C701" s="390"/>
      <c r="D701" s="391"/>
      <c r="E701" s="383"/>
      <c r="F701" s="162"/>
      <c r="G701" s="232"/>
      <c r="H701" s="232"/>
      <c r="I701" s="181"/>
      <c r="J701" s="182"/>
      <c r="K701" s="182"/>
      <c r="L701" s="182"/>
      <c r="M701" s="165"/>
      <c r="N701" s="181"/>
      <c r="O701" s="181"/>
      <c r="P701" s="183"/>
      <c r="Q701" s="104"/>
      <c r="R701" s="388"/>
      <c r="S701" s="104"/>
    </row>
    <row r="702" ht="29.25" customHeight="1">
      <c r="A702" s="230"/>
      <c r="B702" s="389"/>
      <c r="C702" s="390"/>
      <c r="D702" s="391"/>
      <c r="E702" s="392"/>
      <c r="F702" s="162"/>
      <c r="G702" s="232"/>
      <c r="H702" s="232"/>
      <c r="I702" s="181"/>
      <c r="J702" s="182"/>
      <c r="K702" s="182"/>
      <c r="L702" s="182"/>
      <c r="M702" s="165"/>
      <c r="N702" s="181"/>
      <c r="O702" s="181"/>
      <c r="P702" s="183"/>
      <c r="Q702" s="104"/>
      <c r="R702" s="393"/>
      <c r="S702" s="104"/>
    </row>
    <row r="703" ht="29.25" customHeight="1">
      <c r="A703" s="230"/>
      <c r="B703" s="389"/>
      <c r="C703" s="390"/>
      <c r="D703" s="391"/>
      <c r="E703" s="383"/>
      <c r="F703" s="162"/>
      <c r="G703" s="232"/>
      <c r="H703" s="232"/>
      <c r="I703" s="181"/>
      <c r="J703" s="182"/>
      <c r="K703" s="182"/>
      <c r="L703" s="182"/>
      <c r="M703" s="165"/>
      <c r="N703" s="181"/>
      <c r="O703" s="181"/>
      <c r="P703" s="183"/>
      <c r="Q703" s="104"/>
      <c r="R703" s="388"/>
      <c r="S703" s="104"/>
    </row>
    <row r="704" ht="29.25" customHeight="1">
      <c r="A704" s="230"/>
      <c r="B704" s="389"/>
      <c r="C704" s="390"/>
      <c r="D704" s="391"/>
      <c r="E704" s="392"/>
      <c r="F704" s="162"/>
      <c r="G704" s="232"/>
      <c r="H704" s="232"/>
      <c r="I704" s="181"/>
      <c r="J704" s="182"/>
      <c r="K704" s="182"/>
      <c r="L704" s="182"/>
      <c r="M704" s="165"/>
      <c r="N704" s="181"/>
      <c r="O704" s="181"/>
      <c r="P704" s="183"/>
      <c r="Q704" s="104"/>
      <c r="R704" s="393"/>
      <c r="S704" s="104"/>
    </row>
    <row r="705" ht="29.25" customHeight="1">
      <c r="A705" s="230"/>
      <c r="B705" s="389"/>
      <c r="C705" s="390"/>
      <c r="D705" s="391"/>
      <c r="E705" s="383"/>
      <c r="F705" s="162"/>
      <c r="G705" s="232"/>
      <c r="H705" s="232"/>
      <c r="I705" s="181"/>
      <c r="J705" s="182"/>
      <c r="K705" s="182"/>
      <c r="L705" s="182"/>
      <c r="M705" s="165"/>
      <c r="N705" s="181"/>
      <c r="O705" s="181"/>
      <c r="P705" s="183"/>
      <c r="Q705" s="104"/>
      <c r="R705" s="388"/>
      <c r="S705" s="104"/>
    </row>
    <row r="706" ht="29.25" customHeight="1">
      <c r="A706" s="230"/>
      <c r="B706" s="389"/>
      <c r="C706" s="390"/>
      <c r="D706" s="391"/>
      <c r="E706" s="392"/>
      <c r="F706" s="162"/>
      <c r="G706" s="232"/>
      <c r="H706" s="232"/>
      <c r="I706" s="181"/>
      <c r="J706" s="182"/>
      <c r="K706" s="182"/>
      <c r="L706" s="182"/>
      <c r="M706" s="165"/>
      <c r="N706" s="181"/>
      <c r="O706" s="181"/>
      <c r="P706" s="183"/>
      <c r="Q706" s="104"/>
      <c r="R706" s="393"/>
      <c r="S706" s="104"/>
    </row>
    <row r="707" ht="29.25" customHeight="1">
      <c r="A707" s="230"/>
      <c r="B707" s="389"/>
      <c r="C707" s="390"/>
      <c r="D707" s="391"/>
      <c r="E707" s="383"/>
      <c r="F707" s="162"/>
      <c r="G707" s="232"/>
      <c r="H707" s="232"/>
      <c r="I707" s="181"/>
      <c r="J707" s="182"/>
      <c r="K707" s="182"/>
      <c r="L707" s="182"/>
      <c r="M707" s="165"/>
      <c r="N707" s="181"/>
      <c r="O707" s="181"/>
      <c r="P707" s="183"/>
      <c r="Q707" s="104"/>
      <c r="R707" s="388"/>
      <c r="S707" s="104"/>
    </row>
    <row r="708" ht="29.25" customHeight="1">
      <c r="A708" s="230"/>
      <c r="B708" s="389"/>
      <c r="C708" s="390"/>
      <c r="D708" s="391"/>
      <c r="E708" s="392"/>
      <c r="F708" s="162"/>
      <c r="G708" s="232"/>
      <c r="H708" s="232"/>
      <c r="I708" s="181"/>
      <c r="J708" s="182"/>
      <c r="K708" s="182"/>
      <c r="L708" s="182"/>
      <c r="M708" s="165"/>
      <c r="N708" s="181"/>
      <c r="O708" s="181"/>
      <c r="P708" s="183"/>
      <c r="Q708" s="104"/>
      <c r="R708" s="393"/>
      <c r="S708" s="104"/>
    </row>
    <row r="709" ht="29.25" customHeight="1">
      <c r="A709" s="230"/>
      <c r="B709" s="389"/>
      <c r="C709" s="390"/>
      <c r="D709" s="391"/>
      <c r="E709" s="383"/>
      <c r="F709" s="162"/>
      <c r="G709" s="232"/>
      <c r="H709" s="232"/>
      <c r="I709" s="181"/>
      <c r="J709" s="182"/>
      <c r="K709" s="182"/>
      <c r="L709" s="182"/>
      <c r="M709" s="165"/>
      <c r="N709" s="181"/>
      <c r="O709" s="181"/>
      <c r="P709" s="183"/>
      <c r="Q709" s="104"/>
      <c r="R709" s="388"/>
      <c r="S709" s="104"/>
    </row>
    <row r="710" ht="29.25" customHeight="1">
      <c r="A710" s="230"/>
      <c r="B710" s="389"/>
      <c r="C710" s="390"/>
      <c r="D710" s="391"/>
      <c r="E710" s="392"/>
      <c r="F710" s="162"/>
      <c r="G710" s="232"/>
      <c r="H710" s="232"/>
      <c r="I710" s="181"/>
      <c r="J710" s="182"/>
      <c r="K710" s="182"/>
      <c r="L710" s="182"/>
      <c r="M710" s="165"/>
      <c r="N710" s="181"/>
      <c r="O710" s="181"/>
      <c r="P710" s="183"/>
      <c r="Q710" s="104"/>
      <c r="R710" s="393"/>
      <c r="S710" s="104"/>
    </row>
    <row r="711" ht="29.25" customHeight="1">
      <c r="A711" s="230"/>
      <c r="B711" s="389"/>
      <c r="C711" s="390"/>
      <c r="D711" s="391"/>
      <c r="E711" s="383"/>
      <c r="F711" s="162"/>
      <c r="G711" s="232"/>
      <c r="H711" s="232"/>
      <c r="I711" s="181"/>
      <c r="J711" s="182"/>
      <c r="K711" s="182"/>
      <c r="L711" s="182"/>
      <c r="M711" s="165"/>
      <c r="N711" s="181"/>
      <c r="O711" s="181"/>
      <c r="P711" s="183"/>
      <c r="Q711" s="104"/>
      <c r="R711" s="388"/>
      <c r="S711" s="104"/>
    </row>
    <row r="712" ht="29.25" customHeight="1">
      <c r="A712" s="230"/>
      <c r="B712" s="389"/>
      <c r="C712" s="390"/>
      <c r="D712" s="391"/>
      <c r="E712" s="392"/>
      <c r="F712" s="162"/>
      <c r="G712" s="232"/>
      <c r="H712" s="232"/>
      <c r="I712" s="181"/>
      <c r="J712" s="182"/>
      <c r="K712" s="182"/>
      <c r="L712" s="182"/>
      <c r="M712" s="165"/>
      <c r="N712" s="181"/>
      <c r="O712" s="181"/>
      <c r="P712" s="183"/>
      <c r="Q712" s="104"/>
      <c r="R712" s="393"/>
      <c r="S712" s="104"/>
    </row>
    <row r="713" ht="29.25" customHeight="1">
      <c r="A713" s="230"/>
      <c r="B713" s="389"/>
      <c r="C713" s="390"/>
      <c r="D713" s="391"/>
      <c r="E713" s="383"/>
      <c r="F713" s="162"/>
      <c r="G713" s="232"/>
      <c r="H713" s="232"/>
      <c r="I713" s="181"/>
      <c r="J713" s="182"/>
      <c r="K713" s="182"/>
      <c r="L713" s="182"/>
      <c r="M713" s="165"/>
      <c r="N713" s="181"/>
      <c r="O713" s="181"/>
      <c r="P713" s="183"/>
      <c r="Q713" s="104"/>
      <c r="R713" s="388"/>
      <c r="S713" s="104"/>
    </row>
    <row r="714" ht="29.25" customHeight="1">
      <c r="A714" s="230"/>
      <c r="B714" s="389"/>
      <c r="C714" s="390"/>
      <c r="D714" s="391"/>
      <c r="E714" s="392"/>
      <c r="F714" s="162"/>
      <c r="G714" s="232"/>
      <c r="H714" s="232"/>
      <c r="I714" s="181"/>
      <c r="J714" s="182"/>
      <c r="K714" s="182"/>
      <c r="L714" s="182"/>
      <c r="M714" s="165"/>
      <c r="N714" s="181"/>
      <c r="O714" s="181"/>
      <c r="P714" s="183"/>
      <c r="Q714" s="104"/>
      <c r="R714" s="393"/>
      <c r="S714" s="104"/>
    </row>
    <row r="715" ht="29.25" customHeight="1">
      <c r="A715" s="230"/>
      <c r="B715" s="389"/>
      <c r="C715" s="390"/>
      <c r="D715" s="391"/>
      <c r="E715" s="383"/>
      <c r="F715" s="162"/>
      <c r="G715" s="232"/>
      <c r="H715" s="232"/>
      <c r="I715" s="181"/>
      <c r="J715" s="182"/>
      <c r="K715" s="182"/>
      <c r="L715" s="182"/>
      <c r="M715" s="165"/>
      <c r="N715" s="181"/>
      <c r="O715" s="181"/>
      <c r="P715" s="183"/>
      <c r="Q715" s="104"/>
      <c r="R715" s="388"/>
      <c r="S715" s="104"/>
    </row>
    <row r="716" ht="29.25" customHeight="1">
      <c r="A716" s="230"/>
      <c r="B716" s="389"/>
      <c r="C716" s="390"/>
      <c r="D716" s="391"/>
      <c r="E716" s="392"/>
      <c r="F716" s="162"/>
      <c r="G716" s="232"/>
      <c r="H716" s="232"/>
      <c r="I716" s="181"/>
      <c r="J716" s="182"/>
      <c r="K716" s="182"/>
      <c r="L716" s="182"/>
      <c r="M716" s="165"/>
      <c r="N716" s="181"/>
      <c r="O716" s="181"/>
      <c r="P716" s="183"/>
      <c r="Q716" s="104"/>
      <c r="R716" s="393"/>
      <c r="S716" s="104"/>
    </row>
    <row r="717" ht="29.25" customHeight="1">
      <c r="A717" s="230"/>
      <c r="B717" s="389"/>
      <c r="C717" s="390"/>
      <c r="D717" s="391"/>
      <c r="E717" s="383"/>
      <c r="F717" s="162"/>
      <c r="G717" s="232"/>
      <c r="H717" s="232"/>
      <c r="I717" s="181"/>
      <c r="J717" s="182"/>
      <c r="K717" s="182"/>
      <c r="L717" s="182"/>
      <c r="M717" s="165"/>
      <c r="N717" s="181"/>
      <c r="O717" s="181"/>
      <c r="P717" s="183"/>
      <c r="Q717" s="104"/>
      <c r="R717" s="388"/>
      <c r="S717" s="104"/>
    </row>
    <row r="718" ht="29.25" customHeight="1">
      <c r="A718" s="230"/>
      <c r="B718" s="389"/>
      <c r="C718" s="390"/>
      <c r="D718" s="391"/>
      <c r="E718" s="392"/>
      <c r="F718" s="162"/>
      <c r="G718" s="232"/>
      <c r="H718" s="232"/>
      <c r="I718" s="181"/>
      <c r="J718" s="182"/>
      <c r="K718" s="182"/>
      <c r="L718" s="182"/>
      <c r="M718" s="165"/>
      <c r="N718" s="181"/>
      <c r="O718" s="181"/>
      <c r="P718" s="183"/>
      <c r="Q718" s="104"/>
      <c r="R718" s="393"/>
      <c r="S718" s="104"/>
    </row>
    <row r="719" ht="29.25" customHeight="1">
      <c r="A719" s="230"/>
      <c r="B719" s="389"/>
      <c r="C719" s="390"/>
      <c r="D719" s="391"/>
      <c r="E719" s="383"/>
      <c r="F719" s="162"/>
      <c r="G719" s="232"/>
      <c r="H719" s="232"/>
      <c r="I719" s="181"/>
      <c r="J719" s="182"/>
      <c r="K719" s="182"/>
      <c r="L719" s="182"/>
      <c r="M719" s="165"/>
      <c r="N719" s="181"/>
      <c r="O719" s="181"/>
      <c r="P719" s="183"/>
      <c r="Q719" s="104"/>
      <c r="R719" s="388"/>
      <c r="S719" s="104"/>
    </row>
    <row r="720" ht="29.25" customHeight="1">
      <c r="A720" s="230"/>
      <c r="B720" s="389"/>
      <c r="C720" s="390"/>
      <c r="D720" s="391"/>
      <c r="E720" s="392"/>
      <c r="F720" s="162"/>
      <c r="G720" s="232"/>
      <c r="H720" s="232"/>
      <c r="I720" s="181"/>
      <c r="J720" s="182"/>
      <c r="K720" s="182"/>
      <c r="L720" s="182"/>
      <c r="M720" s="165"/>
      <c r="N720" s="181"/>
      <c r="O720" s="181"/>
      <c r="P720" s="183"/>
      <c r="Q720" s="104"/>
      <c r="R720" s="393"/>
      <c r="S720" s="104"/>
    </row>
    <row r="721" ht="29.25" customHeight="1">
      <c r="A721" s="230"/>
      <c r="B721" s="389"/>
      <c r="C721" s="390"/>
      <c r="D721" s="391"/>
      <c r="E721" s="383"/>
      <c r="F721" s="162"/>
      <c r="G721" s="232"/>
      <c r="H721" s="232"/>
      <c r="I721" s="181"/>
      <c r="J721" s="182"/>
      <c r="K721" s="182"/>
      <c r="L721" s="182"/>
      <c r="M721" s="165"/>
      <c r="N721" s="181"/>
      <c r="O721" s="181"/>
      <c r="P721" s="183"/>
      <c r="Q721" s="104"/>
      <c r="R721" s="388"/>
      <c r="S721" s="104"/>
    </row>
    <row r="722" ht="29.25" customHeight="1">
      <c r="A722" s="230"/>
      <c r="B722" s="389"/>
      <c r="C722" s="390"/>
      <c r="D722" s="391"/>
      <c r="E722" s="392"/>
      <c r="F722" s="162"/>
      <c r="G722" s="232"/>
      <c r="H722" s="232"/>
      <c r="I722" s="181"/>
      <c r="J722" s="182"/>
      <c r="K722" s="182"/>
      <c r="L722" s="182"/>
      <c r="M722" s="165"/>
      <c r="N722" s="181"/>
      <c r="O722" s="181"/>
      <c r="P722" s="183"/>
      <c r="Q722" s="104"/>
      <c r="R722" s="393"/>
      <c r="S722" s="104"/>
    </row>
    <row r="723" ht="29.25" customHeight="1">
      <c r="A723" s="230"/>
      <c r="B723" s="389"/>
      <c r="C723" s="390"/>
      <c r="D723" s="391"/>
      <c r="E723" s="383"/>
      <c r="F723" s="162"/>
      <c r="G723" s="232"/>
      <c r="H723" s="232"/>
      <c r="I723" s="181"/>
      <c r="J723" s="182"/>
      <c r="K723" s="182"/>
      <c r="L723" s="182"/>
      <c r="M723" s="165"/>
      <c r="N723" s="181"/>
      <c r="O723" s="181"/>
      <c r="P723" s="183"/>
      <c r="Q723" s="104"/>
      <c r="R723" s="388"/>
      <c r="S723" s="104"/>
    </row>
    <row r="724" ht="29.25" customHeight="1">
      <c r="A724" s="230"/>
      <c r="B724" s="389"/>
      <c r="C724" s="390"/>
      <c r="D724" s="391"/>
      <c r="E724" s="392"/>
      <c r="F724" s="162"/>
      <c r="G724" s="232"/>
      <c r="H724" s="232"/>
      <c r="I724" s="181"/>
      <c r="J724" s="182"/>
      <c r="K724" s="182"/>
      <c r="L724" s="182"/>
      <c r="M724" s="165"/>
      <c r="N724" s="181"/>
      <c r="O724" s="181"/>
      <c r="P724" s="183"/>
      <c r="Q724" s="104"/>
      <c r="R724" s="393"/>
      <c r="S724" s="104"/>
    </row>
    <row r="725" ht="29.25" customHeight="1">
      <c r="A725" s="230"/>
      <c r="B725" s="389"/>
      <c r="C725" s="390"/>
      <c r="D725" s="391"/>
      <c r="E725" s="383"/>
      <c r="F725" s="162"/>
      <c r="G725" s="232"/>
      <c r="H725" s="232"/>
      <c r="I725" s="181"/>
      <c r="J725" s="182"/>
      <c r="K725" s="182"/>
      <c r="L725" s="182"/>
      <c r="M725" s="165"/>
      <c r="N725" s="181"/>
      <c r="O725" s="181"/>
      <c r="P725" s="183"/>
      <c r="Q725" s="104"/>
      <c r="R725" s="388"/>
      <c r="S725" s="104"/>
    </row>
    <row r="726" ht="29.25" customHeight="1">
      <c r="A726" s="230"/>
      <c r="B726" s="389"/>
      <c r="C726" s="390"/>
      <c r="D726" s="391"/>
      <c r="E726" s="392"/>
      <c r="F726" s="162"/>
      <c r="G726" s="232"/>
      <c r="H726" s="232"/>
      <c r="I726" s="181"/>
      <c r="J726" s="182"/>
      <c r="K726" s="182"/>
      <c r="L726" s="182"/>
      <c r="M726" s="165"/>
      <c r="N726" s="181"/>
      <c r="O726" s="181"/>
      <c r="P726" s="183"/>
      <c r="Q726" s="104"/>
      <c r="R726" s="393"/>
      <c r="S726" s="104"/>
    </row>
    <row r="727" ht="29.25" customHeight="1">
      <c r="A727" s="230"/>
      <c r="B727" s="389"/>
      <c r="C727" s="390"/>
      <c r="D727" s="391"/>
      <c r="E727" s="383"/>
      <c r="F727" s="162"/>
      <c r="G727" s="232"/>
      <c r="H727" s="232"/>
      <c r="I727" s="181"/>
      <c r="J727" s="182"/>
      <c r="K727" s="182"/>
      <c r="L727" s="182"/>
      <c r="M727" s="165"/>
      <c r="N727" s="181"/>
      <c r="O727" s="181"/>
      <c r="P727" s="183"/>
      <c r="Q727" s="104"/>
      <c r="R727" s="388"/>
      <c r="S727" s="104"/>
    </row>
    <row r="728" ht="29.25" customHeight="1">
      <c r="A728" s="230"/>
      <c r="B728" s="389"/>
      <c r="C728" s="390"/>
      <c r="D728" s="391"/>
      <c r="E728" s="392"/>
      <c r="F728" s="162"/>
      <c r="G728" s="232"/>
      <c r="H728" s="232"/>
      <c r="I728" s="181"/>
      <c r="J728" s="182"/>
      <c r="K728" s="182"/>
      <c r="L728" s="182"/>
      <c r="M728" s="165"/>
      <c r="N728" s="181"/>
      <c r="O728" s="181"/>
      <c r="P728" s="183"/>
      <c r="Q728" s="104"/>
      <c r="R728" s="393"/>
      <c r="S728" s="104"/>
    </row>
    <row r="729" ht="29.25" customHeight="1">
      <c r="A729" s="230"/>
      <c r="B729" s="389"/>
      <c r="C729" s="390"/>
      <c r="D729" s="391"/>
      <c r="E729" s="383"/>
      <c r="F729" s="162"/>
      <c r="G729" s="232"/>
      <c r="H729" s="232"/>
      <c r="I729" s="181"/>
      <c r="J729" s="182"/>
      <c r="K729" s="182"/>
      <c r="L729" s="182"/>
      <c r="M729" s="165"/>
      <c r="N729" s="181"/>
      <c r="O729" s="181"/>
      <c r="P729" s="183"/>
      <c r="Q729" s="104"/>
      <c r="R729" s="388"/>
      <c r="S729" s="104"/>
    </row>
    <row r="730" ht="29.25" customHeight="1">
      <c r="A730" s="230"/>
      <c r="B730" s="389"/>
      <c r="C730" s="390"/>
      <c r="D730" s="391"/>
      <c r="E730" s="392"/>
      <c r="F730" s="162"/>
      <c r="G730" s="232"/>
      <c r="H730" s="232"/>
      <c r="I730" s="181"/>
      <c r="J730" s="182"/>
      <c r="K730" s="182"/>
      <c r="L730" s="182"/>
      <c r="M730" s="165"/>
      <c r="N730" s="181"/>
      <c r="O730" s="181"/>
      <c r="P730" s="183"/>
      <c r="Q730" s="104"/>
      <c r="R730" s="393"/>
      <c r="S730" s="104"/>
    </row>
    <row r="731" ht="29.25" customHeight="1">
      <c r="A731" s="230"/>
      <c r="B731" s="389"/>
      <c r="C731" s="390"/>
      <c r="D731" s="391"/>
      <c r="E731" s="383"/>
      <c r="F731" s="162"/>
      <c r="G731" s="232"/>
      <c r="H731" s="232"/>
      <c r="I731" s="181"/>
      <c r="J731" s="182"/>
      <c r="K731" s="182"/>
      <c r="L731" s="182"/>
      <c r="M731" s="165"/>
      <c r="N731" s="181"/>
      <c r="O731" s="181"/>
      <c r="P731" s="183"/>
      <c r="Q731" s="104"/>
      <c r="R731" s="388"/>
      <c r="S731" s="104"/>
    </row>
    <row r="732" ht="29.25" customHeight="1">
      <c r="A732" s="230"/>
      <c r="B732" s="389"/>
      <c r="C732" s="390"/>
      <c r="D732" s="391"/>
      <c r="E732" s="392"/>
      <c r="F732" s="162"/>
      <c r="G732" s="232"/>
      <c r="H732" s="232"/>
      <c r="I732" s="181"/>
      <c r="J732" s="182"/>
      <c r="K732" s="182"/>
      <c r="L732" s="182"/>
      <c r="M732" s="165"/>
      <c r="N732" s="181"/>
      <c r="O732" s="181"/>
      <c r="P732" s="183"/>
      <c r="Q732" s="104"/>
      <c r="R732" s="393"/>
      <c r="S732" s="104"/>
    </row>
    <row r="733" ht="29.25" customHeight="1">
      <c r="A733" s="230"/>
      <c r="B733" s="389"/>
      <c r="C733" s="390"/>
      <c r="D733" s="391"/>
      <c r="E733" s="383"/>
      <c r="F733" s="162"/>
      <c r="G733" s="232"/>
      <c r="H733" s="232"/>
      <c r="I733" s="181"/>
      <c r="J733" s="182"/>
      <c r="K733" s="182"/>
      <c r="L733" s="182"/>
      <c r="M733" s="165"/>
      <c r="N733" s="181"/>
      <c r="O733" s="181"/>
      <c r="P733" s="183"/>
      <c r="Q733" s="104"/>
      <c r="R733" s="388"/>
      <c r="S733" s="104"/>
    </row>
    <row r="734" ht="29.25" customHeight="1">
      <c r="A734" s="230"/>
      <c r="B734" s="389"/>
      <c r="C734" s="390"/>
      <c r="D734" s="391"/>
      <c r="E734" s="392"/>
      <c r="F734" s="162"/>
      <c r="G734" s="232"/>
      <c r="H734" s="232"/>
      <c r="I734" s="181"/>
      <c r="J734" s="182"/>
      <c r="K734" s="182"/>
      <c r="L734" s="182"/>
      <c r="M734" s="165"/>
      <c r="N734" s="181"/>
      <c r="O734" s="181"/>
      <c r="P734" s="183"/>
      <c r="Q734" s="104"/>
      <c r="R734" s="393"/>
      <c r="S734" s="104"/>
    </row>
    <row r="735" ht="29.25" customHeight="1">
      <c r="A735" s="230"/>
      <c r="B735" s="389"/>
      <c r="C735" s="390"/>
      <c r="D735" s="391"/>
      <c r="E735" s="383"/>
      <c r="F735" s="162"/>
      <c r="G735" s="232"/>
      <c r="H735" s="232"/>
      <c r="I735" s="181"/>
      <c r="J735" s="182"/>
      <c r="K735" s="182"/>
      <c r="L735" s="182"/>
      <c r="M735" s="165"/>
      <c r="N735" s="181"/>
      <c r="O735" s="181"/>
      <c r="P735" s="183"/>
      <c r="Q735" s="104"/>
      <c r="R735" s="388"/>
      <c r="S735" s="104"/>
    </row>
    <row r="736" ht="29.25" customHeight="1">
      <c r="A736" s="230"/>
      <c r="B736" s="389"/>
      <c r="C736" s="390"/>
      <c r="D736" s="391"/>
      <c r="E736" s="392"/>
      <c r="F736" s="162"/>
      <c r="G736" s="232"/>
      <c r="H736" s="232"/>
      <c r="I736" s="181"/>
      <c r="J736" s="182"/>
      <c r="K736" s="182"/>
      <c r="L736" s="182"/>
      <c r="M736" s="165"/>
      <c r="N736" s="181"/>
      <c r="O736" s="181"/>
      <c r="P736" s="183"/>
      <c r="Q736" s="104"/>
      <c r="R736" s="393"/>
      <c r="S736" s="104"/>
    </row>
    <row r="737" ht="29.25" customHeight="1">
      <c r="A737" s="230"/>
      <c r="B737" s="389"/>
      <c r="C737" s="390"/>
      <c r="D737" s="391"/>
      <c r="E737" s="383"/>
      <c r="F737" s="162"/>
      <c r="G737" s="232"/>
      <c r="H737" s="232"/>
      <c r="I737" s="181"/>
      <c r="J737" s="182"/>
      <c r="K737" s="182"/>
      <c r="L737" s="182"/>
      <c r="M737" s="165"/>
      <c r="N737" s="181"/>
      <c r="O737" s="181"/>
      <c r="P737" s="183"/>
      <c r="Q737" s="104"/>
      <c r="R737" s="388"/>
      <c r="S737" s="104"/>
    </row>
    <row r="738" ht="29.25" customHeight="1">
      <c r="A738" s="230"/>
      <c r="B738" s="389"/>
      <c r="C738" s="390"/>
      <c r="D738" s="391"/>
      <c r="E738" s="392"/>
      <c r="F738" s="162"/>
      <c r="G738" s="232"/>
      <c r="H738" s="232"/>
      <c r="I738" s="181"/>
      <c r="J738" s="182"/>
      <c r="K738" s="182"/>
      <c r="L738" s="182"/>
      <c r="M738" s="165"/>
      <c r="N738" s="181"/>
      <c r="O738" s="181"/>
      <c r="P738" s="183"/>
      <c r="Q738" s="104"/>
      <c r="R738" s="393"/>
      <c r="S738" s="104"/>
    </row>
    <row r="739" ht="29.25" customHeight="1">
      <c r="A739" s="230"/>
      <c r="B739" s="389"/>
      <c r="C739" s="390"/>
      <c r="D739" s="391"/>
      <c r="E739" s="383"/>
      <c r="F739" s="162"/>
      <c r="G739" s="232"/>
      <c r="H739" s="232"/>
      <c r="I739" s="181"/>
      <c r="J739" s="182"/>
      <c r="K739" s="182"/>
      <c r="L739" s="182"/>
      <c r="M739" s="165"/>
      <c r="N739" s="181"/>
      <c r="O739" s="181"/>
      <c r="P739" s="183"/>
      <c r="Q739" s="104"/>
      <c r="R739" s="388"/>
      <c r="S739" s="104"/>
    </row>
    <row r="740" ht="29.25" customHeight="1">
      <c r="A740" s="230"/>
      <c r="B740" s="389"/>
      <c r="C740" s="390"/>
      <c r="D740" s="391"/>
      <c r="E740" s="392"/>
      <c r="F740" s="162"/>
      <c r="G740" s="232"/>
      <c r="H740" s="232"/>
      <c r="I740" s="181"/>
      <c r="J740" s="182"/>
      <c r="K740" s="182"/>
      <c r="L740" s="182"/>
      <c r="M740" s="165"/>
      <c r="N740" s="181"/>
      <c r="O740" s="181"/>
      <c r="P740" s="183"/>
      <c r="Q740" s="104"/>
      <c r="R740" s="393"/>
      <c r="S740" s="104"/>
    </row>
    <row r="741" ht="29.25" customHeight="1">
      <c r="A741" s="230"/>
      <c r="B741" s="389"/>
      <c r="C741" s="390"/>
      <c r="D741" s="391"/>
      <c r="E741" s="383"/>
      <c r="F741" s="162"/>
      <c r="G741" s="232"/>
      <c r="H741" s="232"/>
      <c r="I741" s="181"/>
      <c r="J741" s="182"/>
      <c r="K741" s="182"/>
      <c r="L741" s="182"/>
      <c r="M741" s="165"/>
      <c r="N741" s="181"/>
      <c r="O741" s="181"/>
      <c r="P741" s="183"/>
      <c r="Q741" s="104"/>
      <c r="R741" s="388"/>
      <c r="S741" s="104"/>
    </row>
    <row r="742" ht="29.25" customHeight="1">
      <c r="A742" s="230"/>
      <c r="B742" s="389"/>
      <c r="C742" s="390"/>
      <c r="D742" s="391"/>
      <c r="E742" s="392"/>
      <c r="F742" s="162"/>
      <c r="G742" s="232"/>
      <c r="H742" s="232"/>
      <c r="I742" s="181"/>
      <c r="J742" s="182"/>
      <c r="K742" s="182"/>
      <c r="L742" s="182"/>
      <c r="M742" s="165"/>
      <c r="N742" s="181"/>
      <c r="O742" s="181"/>
      <c r="P742" s="183"/>
      <c r="Q742" s="104"/>
      <c r="R742" s="393"/>
      <c r="S742" s="104"/>
    </row>
    <row r="743" ht="29.25" customHeight="1">
      <c r="A743" s="230"/>
      <c r="B743" s="389"/>
      <c r="C743" s="390"/>
      <c r="D743" s="391"/>
      <c r="E743" s="383"/>
      <c r="F743" s="162"/>
      <c r="G743" s="232"/>
      <c r="H743" s="232"/>
      <c r="I743" s="181"/>
      <c r="J743" s="182"/>
      <c r="K743" s="182"/>
      <c r="L743" s="182"/>
      <c r="M743" s="165"/>
      <c r="N743" s="181"/>
      <c r="O743" s="181"/>
      <c r="P743" s="183"/>
      <c r="Q743" s="104"/>
      <c r="R743" s="388"/>
      <c r="S743" s="104"/>
    </row>
    <row r="744" ht="29.25" customHeight="1">
      <c r="A744" s="230"/>
      <c r="B744" s="389"/>
      <c r="C744" s="390"/>
      <c r="D744" s="391"/>
      <c r="E744" s="392"/>
      <c r="F744" s="162"/>
      <c r="G744" s="232"/>
      <c r="H744" s="232"/>
      <c r="I744" s="181"/>
      <c r="J744" s="182"/>
      <c r="K744" s="182"/>
      <c r="L744" s="182"/>
      <c r="M744" s="165"/>
      <c r="N744" s="181"/>
      <c r="O744" s="181"/>
      <c r="P744" s="183"/>
      <c r="Q744" s="104"/>
      <c r="R744" s="393"/>
      <c r="S744" s="104"/>
    </row>
    <row r="745" ht="29.25" customHeight="1">
      <c r="A745" s="230"/>
      <c r="B745" s="389"/>
      <c r="C745" s="390"/>
      <c r="D745" s="391"/>
      <c r="E745" s="383"/>
      <c r="F745" s="162"/>
      <c r="G745" s="232"/>
      <c r="H745" s="232"/>
      <c r="I745" s="181"/>
      <c r="J745" s="182"/>
      <c r="K745" s="182"/>
      <c r="L745" s="182"/>
      <c r="M745" s="165"/>
      <c r="N745" s="181"/>
      <c r="O745" s="181"/>
      <c r="P745" s="183"/>
      <c r="Q745" s="104"/>
      <c r="R745" s="388"/>
      <c r="S745" s="104"/>
    </row>
    <row r="746" ht="29.25" customHeight="1">
      <c r="A746" s="230"/>
      <c r="B746" s="389"/>
      <c r="C746" s="390"/>
      <c r="D746" s="391"/>
      <c r="E746" s="392"/>
      <c r="F746" s="162"/>
      <c r="G746" s="232"/>
      <c r="H746" s="232"/>
      <c r="I746" s="181"/>
      <c r="J746" s="182"/>
      <c r="K746" s="182"/>
      <c r="L746" s="182"/>
      <c r="M746" s="165"/>
      <c r="N746" s="181"/>
      <c r="O746" s="181"/>
      <c r="P746" s="183"/>
      <c r="Q746" s="104"/>
      <c r="R746" s="393"/>
      <c r="S746" s="104"/>
    </row>
    <row r="747" ht="29.25" customHeight="1">
      <c r="A747" s="230"/>
      <c r="B747" s="389"/>
      <c r="C747" s="390"/>
      <c r="D747" s="391"/>
      <c r="E747" s="383"/>
      <c r="F747" s="162"/>
      <c r="G747" s="232"/>
      <c r="H747" s="232"/>
      <c r="I747" s="181"/>
      <c r="J747" s="182"/>
      <c r="K747" s="182"/>
      <c r="L747" s="182"/>
      <c r="M747" s="165"/>
      <c r="N747" s="181"/>
      <c r="O747" s="181"/>
      <c r="P747" s="183"/>
      <c r="Q747" s="104"/>
      <c r="R747" s="388"/>
      <c r="S747" s="104"/>
    </row>
    <row r="748" ht="29.25" customHeight="1">
      <c r="A748" s="230"/>
      <c r="B748" s="389"/>
      <c r="C748" s="390"/>
      <c r="D748" s="391"/>
      <c r="E748" s="392"/>
      <c r="F748" s="162"/>
      <c r="G748" s="232"/>
      <c r="H748" s="232"/>
      <c r="I748" s="181"/>
      <c r="J748" s="182"/>
      <c r="K748" s="182"/>
      <c r="L748" s="182"/>
      <c r="M748" s="165"/>
      <c r="N748" s="181"/>
      <c r="O748" s="181"/>
      <c r="P748" s="183"/>
      <c r="Q748" s="104"/>
      <c r="R748" s="393"/>
      <c r="S748" s="104"/>
    </row>
    <row r="749" ht="29.25" customHeight="1">
      <c r="A749" s="230"/>
      <c r="B749" s="389"/>
      <c r="C749" s="390"/>
      <c r="D749" s="391"/>
      <c r="E749" s="383"/>
      <c r="F749" s="162"/>
      <c r="G749" s="232"/>
      <c r="H749" s="232"/>
      <c r="I749" s="181"/>
      <c r="J749" s="182"/>
      <c r="K749" s="182"/>
      <c r="L749" s="182"/>
      <c r="M749" s="165"/>
      <c r="N749" s="181"/>
      <c r="O749" s="181"/>
      <c r="P749" s="183"/>
      <c r="Q749" s="104"/>
      <c r="R749" s="388"/>
      <c r="S749" s="104"/>
    </row>
    <row r="750" ht="29.25" customHeight="1">
      <c r="A750" s="230"/>
      <c r="B750" s="389"/>
      <c r="C750" s="390"/>
      <c r="D750" s="391"/>
      <c r="E750" s="392"/>
      <c r="F750" s="162"/>
      <c r="G750" s="232"/>
      <c r="H750" s="232"/>
      <c r="I750" s="181"/>
      <c r="J750" s="182"/>
      <c r="K750" s="182"/>
      <c r="L750" s="182"/>
      <c r="M750" s="165"/>
      <c r="N750" s="181"/>
      <c r="O750" s="181"/>
      <c r="P750" s="183"/>
      <c r="Q750" s="104"/>
      <c r="R750" s="393"/>
      <c r="S750" s="104"/>
    </row>
    <row r="751" ht="29.25" customHeight="1">
      <c r="A751" s="230"/>
      <c r="B751" s="389"/>
      <c r="C751" s="390"/>
      <c r="D751" s="391"/>
      <c r="E751" s="383"/>
      <c r="F751" s="162"/>
      <c r="G751" s="232"/>
      <c r="H751" s="232"/>
      <c r="I751" s="181"/>
      <c r="J751" s="182"/>
      <c r="K751" s="182"/>
      <c r="L751" s="182"/>
      <c r="M751" s="165"/>
      <c r="N751" s="181"/>
      <c r="O751" s="181"/>
      <c r="P751" s="183"/>
      <c r="Q751" s="104"/>
      <c r="R751" s="388"/>
      <c r="S751" s="104"/>
    </row>
    <row r="752" ht="29.25" customHeight="1">
      <c r="A752" s="230"/>
      <c r="B752" s="389"/>
      <c r="C752" s="390"/>
      <c r="D752" s="391"/>
      <c r="E752" s="392"/>
      <c r="F752" s="162"/>
      <c r="G752" s="232"/>
      <c r="H752" s="232"/>
      <c r="I752" s="181"/>
      <c r="J752" s="182"/>
      <c r="K752" s="182"/>
      <c r="L752" s="182"/>
      <c r="M752" s="165"/>
      <c r="N752" s="181"/>
      <c r="O752" s="181"/>
      <c r="P752" s="183"/>
      <c r="Q752" s="104"/>
      <c r="R752" s="393"/>
      <c r="S752" s="104"/>
    </row>
    <row r="753" ht="29.25" customHeight="1">
      <c r="A753" s="230"/>
      <c r="B753" s="389"/>
      <c r="C753" s="390"/>
      <c r="D753" s="391"/>
      <c r="E753" s="383"/>
      <c r="F753" s="162"/>
      <c r="G753" s="232"/>
      <c r="H753" s="232"/>
      <c r="I753" s="181"/>
      <c r="J753" s="182"/>
      <c r="K753" s="182"/>
      <c r="L753" s="182"/>
      <c r="M753" s="165"/>
      <c r="N753" s="181"/>
      <c r="O753" s="181"/>
      <c r="P753" s="183"/>
      <c r="Q753" s="104"/>
      <c r="R753" s="388"/>
      <c r="S753" s="104"/>
    </row>
    <row r="754" ht="29.25" customHeight="1">
      <c r="A754" s="230"/>
      <c r="B754" s="389"/>
      <c r="C754" s="390"/>
      <c r="D754" s="391"/>
      <c r="E754" s="392"/>
      <c r="F754" s="162"/>
      <c r="G754" s="232"/>
      <c r="H754" s="232"/>
      <c r="I754" s="181"/>
      <c r="J754" s="182"/>
      <c r="K754" s="182"/>
      <c r="L754" s="182"/>
      <c r="M754" s="165"/>
      <c r="N754" s="181"/>
      <c r="O754" s="181"/>
      <c r="P754" s="183"/>
      <c r="Q754" s="104"/>
      <c r="R754" s="393"/>
      <c r="S754" s="104"/>
    </row>
    <row r="755" ht="29.25" customHeight="1">
      <c r="A755" s="230"/>
      <c r="B755" s="389"/>
      <c r="C755" s="390"/>
      <c r="D755" s="391"/>
      <c r="E755" s="383"/>
      <c r="F755" s="162"/>
      <c r="G755" s="232"/>
      <c r="H755" s="232"/>
      <c r="I755" s="181"/>
      <c r="J755" s="182"/>
      <c r="K755" s="182"/>
      <c r="L755" s="182"/>
      <c r="M755" s="165"/>
      <c r="N755" s="181"/>
      <c r="O755" s="181"/>
      <c r="P755" s="183"/>
      <c r="Q755" s="104"/>
      <c r="R755" s="388"/>
      <c r="S755" s="104"/>
    </row>
    <row r="756" ht="29.25" customHeight="1">
      <c r="A756" s="230"/>
      <c r="B756" s="389"/>
      <c r="C756" s="390"/>
      <c r="D756" s="391"/>
      <c r="E756" s="392"/>
      <c r="F756" s="162"/>
      <c r="G756" s="232"/>
      <c r="H756" s="232"/>
      <c r="I756" s="181"/>
      <c r="J756" s="182"/>
      <c r="K756" s="182"/>
      <c r="L756" s="182"/>
      <c r="M756" s="165"/>
      <c r="N756" s="181"/>
      <c r="O756" s="181"/>
      <c r="P756" s="183"/>
      <c r="Q756" s="104"/>
      <c r="R756" s="393"/>
      <c r="S756" s="104"/>
    </row>
    <row r="757" ht="29.25" customHeight="1">
      <c r="A757" s="230"/>
      <c r="B757" s="389"/>
      <c r="C757" s="390"/>
      <c r="D757" s="391"/>
      <c r="E757" s="383"/>
      <c r="F757" s="162"/>
      <c r="G757" s="232"/>
      <c r="H757" s="232"/>
      <c r="I757" s="181"/>
      <c r="J757" s="182"/>
      <c r="K757" s="182"/>
      <c r="L757" s="182"/>
      <c r="M757" s="165"/>
      <c r="N757" s="181"/>
      <c r="O757" s="181"/>
      <c r="P757" s="183"/>
      <c r="Q757" s="104"/>
      <c r="R757" s="388"/>
      <c r="S757" s="104"/>
    </row>
    <row r="758" ht="29.25" customHeight="1">
      <c r="A758" s="230"/>
      <c r="B758" s="389"/>
      <c r="C758" s="390"/>
      <c r="D758" s="391"/>
      <c r="E758" s="392"/>
      <c r="F758" s="162"/>
      <c r="G758" s="232"/>
      <c r="H758" s="232"/>
      <c r="I758" s="181"/>
      <c r="J758" s="182"/>
      <c r="K758" s="182"/>
      <c r="L758" s="182"/>
      <c r="M758" s="165"/>
      <c r="N758" s="181"/>
      <c r="O758" s="181"/>
      <c r="P758" s="183"/>
      <c r="Q758" s="104"/>
      <c r="R758" s="393"/>
      <c r="S758" s="104"/>
    </row>
    <row r="759" ht="29.25" customHeight="1">
      <c r="A759" s="230"/>
      <c r="B759" s="389"/>
      <c r="C759" s="390"/>
      <c r="D759" s="391"/>
      <c r="E759" s="383"/>
      <c r="F759" s="162"/>
      <c r="G759" s="232"/>
      <c r="H759" s="232"/>
      <c r="I759" s="181"/>
      <c r="J759" s="182"/>
      <c r="K759" s="182"/>
      <c r="L759" s="182"/>
      <c r="M759" s="165"/>
      <c r="N759" s="181"/>
      <c r="O759" s="181"/>
      <c r="P759" s="183"/>
      <c r="Q759" s="104"/>
      <c r="R759" s="388"/>
      <c r="S759" s="104"/>
    </row>
    <row r="760" ht="29.25" customHeight="1">
      <c r="A760" s="230"/>
      <c r="B760" s="389"/>
      <c r="C760" s="390"/>
      <c r="D760" s="391"/>
      <c r="E760" s="392"/>
      <c r="F760" s="162"/>
      <c r="G760" s="232"/>
      <c r="H760" s="232"/>
      <c r="I760" s="181"/>
      <c r="J760" s="182"/>
      <c r="K760" s="182"/>
      <c r="L760" s="182"/>
      <c r="M760" s="165"/>
      <c r="N760" s="181"/>
      <c r="O760" s="181"/>
      <c r="P760" s="183"/>
      <c r="Q760" s="104"/>
      <c r="R760" s="393"/>
      <c r="S760" s="104"/>
    </row>
    <row r="761" ht="29.25" customHeight="1">
      <c r="A761" s="230"/>
      <c r="B761" s="389"/>
      <c r="C761" s="390"/>
      <c r="D761" s="391"/>
      <c r="E761" s="383"/>
      <c r="F761" s="162"/>
      <c r="G761" s="232"/>
      <c r="H761" s="232"/>
      <c r="I761" s="181"/>
      <c r="J761" s="182"/>
      <c r="K761" s="182"/>
      <c r="L761" s="182"/>
      <c r="M761" s="165"/>
      <c r="N761" s="181"/>
      <c r="O761" s="181"/>
      <c r="P761" s="183"/>
      <c r="Q761" s="104"/>
      <c r="R761" s="388"/>
      <c r="S761" s="104"/>
    </row>
    <row r="762" ht="29.25" customHeight="1">
      <c r="A762" s="230"/>
      <c r="B762" s="389"/>
      <c r="C762" s="390"/>
      <c r="D762" s="391"/>
      <c r="E762" s="392"/>
      <c r="F762" s="162"/>
      <c r="G762" s="232"/>
      <c r="H762" s="232"/>
      <c r="I762" s="181"/>
      <c r="J762" s="182"/>
      <c r="K762" s="182"/>
      <c r="L762" s="182"/>
      <c r="M762" s="165"/>
      <c r="N762" s="181"/>
      <c r="O762" s="181"/>
      <c r="P762" s="183"/>
      <c r="Q762" s="104"/>
      <c r="R762" s="393"/>
      <c r="S762" s="104"/>
    </row>
    <row r="763" ht="29.25" customHeight="1">
      <c r="A763" s="230"/>
      <c r="B763" s="389"/>
      <c r="C763" s="390"/>
      <c r="D763" s="391"/>
      <c r="E763" s="383"/>
      <c r="F763" s="162"/>
      <c r="G763" s="232"/>
      <c r="H763" s="232"/>
      <c r="I763" s="181"/>
      <c r="J763" s="182"/>
      <c r="K763" s="182"/>
      <c r="L763" s="182"/>
      <c r="M763" s="165"/>
      <c r="N763" s="181"/>
      <c r="O763" s="181"/>
      <c r="P763" s="183"/>
      <c r="Q763" s="104"/>
      <c r="R763" s="388"/>
      <c r="S763" s="104"/>
    </row>
    <row r="764" ht="29.25" customHeight="1">
      <c r="A764" s="230"/>
      <c r="B764" s="389"/>
      <c r="C764" s="390"/>
      <c r="D764" s="391"/>
      <c r="E764" s="392"/>
      <c r="F764" s="162"/>
      <c r="G764" s="232"/>
      <c r="H764" s="232"/>
      <c r="I764" s="181"/>
      <c r="J764" s="182"/>
      <c r="K764" s="182"/>
      <c r="L764" s="182"/>
      <c r="M764" s="165"/>
      <c r="N764" s="181"/>
      <c r="O764" s="181"/>
      <c r="P764" s="183"/>
      <c r="Q764" s="104"/>
      <c r="R764" s="393"/>
      <c r="S764" s="104"/>
    </row>
    <row r="765" ht="29.25" customHeight="1">
      <c r="A765" s="230"/>
      <c r="B765" s="389"/>
      <c r="C765" s="390"/>
      <c r="D765" s="391"/>
      <c r="E765" s="383"/>
      <c r="F765" s="162"/>
      <c r="G765" s="232"/>
      <c r="H765" s="232"/>
      <c r="I765" s="181"/>
      <c r="J765" s="182"/>
      <c r="K765" s="182"/>
      <c r="L765" s="182"/>
      <c r="M765" s="165"/>
      <c r="N765" s="181"/>
      <c r="O765" s="181"/>
      <c r="P765" s="183"/>
      <c r="Q765" s="104"/>
      <c r="R765" s="388"/>
      <c r="S765" s="104"/>
    </row>
    <row r="766" ht="29.25" customHeight="1">
      <c r="A766" s="230"/>
      <c r="B766" s="389"/>
      <c r="C766" s="390"/>
      <c r="D766" s="391"/>
      <c r="E766" s="392"/>
      <c r="F766" s="162"/>
      <c r="G766" s="232"/>
      <c r="H766" s="232"/>
      <c r="I766" s="181"/>
      <c r="J766" s="182"/>
      <c r="K766" s="182"/>
      <c r="L766" s="182"/>
      <c r="M766" s="165"/>
      <c r="N766" s="181"/>
      <c r="O766" s="181"/>
      <c r="P766" s="183"/>
      <c r="Q766" s="104"/>
      <c r="R766" s="393"/>
      <c r="S766" s="104"/>
    </row>
    <row r="767" ht="29.25" customHeight="1">
      <c r="A767" s="230"/>
      <c r="B767" s="389"/>
      <c r="C767" s="390"/>
      <c r="D767" s="391"/>
      <c r="E767" s="383"/>
      <c r="F767" s="162"/>
      <c r="G767" s="232"/>
      <c r="H767" s="232"/>
      <c r="I767" s="181"/>
      <c r="J767" s="182"/>
      <c r="K767" s="182"/>
      <c r="L767" s="182"/>
      <c r="M767" s="165"/>
      <c r="N767" s="181"/>
      <c r="O767" s="181"/>
      <c r="P767" s="183"/>
      <c r="Q767" s="104"/>
      <c r="R767" s="388"/>
      <c r="S767" s="104"/>
    </row>
    <row r="768" ht="29.25" customHeight="1">
      <c r="A768" s="230"/>
      <c r="B768" s="389"/>
      <c r="C768" s="390"/>
      <c r="D768" s="391"/>
      <c r="E768" s="392"/>
      <c r="F768" s="162"/>
      <c r="G768" s="232"/>
      <c r="H768" s="232"/>
      <c r="I768" s="181"/>
      <c r="J768" s="182"/>
      <c r="K768" s="182"/>
      <c r="L768" s="182"/>
      <c r="M768" s="165"/>
      <c r="N768" s="181"/>
      <c r="O768" s="181"/>
      <c r="P768" s="183"/>
      <c r="Q768" s="104"/>
      <c r="R768" s="393"/>
      <c r="S768" s="104"/>
    </row>
    <row r="769" ht="29.25" customHeight="1">
      <c r="A769" s="230"/>
      <c r="B769" s="389"/>
      <c r="C769" s="390"/>
      <c r="D769" s="391"/>
      <c r="E769" s="383"/>
      <c r="F769" s="162"/>
      <c r="G769" s="232"/>
      <c r="H769" s="232"/>
      <c r="I769" s="181"/>
      <c r="J769" s="182"/>
      <c r="K769" s="182"/>
      <c r="L769" s="182"/>
      <c r="M769" s="165"/>
      <c r="N769" s="181"/>
      <c r="O769" s="181"/>
      <c r="P769" s="183"/>
      <c r="Q769" s="104"/>
      <c r="R769" s="388"/>
      <c r="S769" s="104"/>
    </row>
    <row r="770" ht="29.25" customHeight="1">
      <c r="A770" s="230"/>
      <c r="B770" s="389"/>
      <c r="C770" s="390"/>
      <c r="D770" s="391"/>
      <c r="E770" s="392"/>
      <c r="F770" s="162"/>
      <c r="G770" s="232"/>
      <c r="H770" s="232"/>
      <c r="I770" s="181"/>
      <c r="J770" s="182"/>
      <c r="K770" s="182"/>
      <c r="L770" s="182"/>
      <c r="M770" s="165"/>
      <c r="N770" s="181"/>
      <c r="O770" s="181"/>
      <c r="P770" s="183"/>
      <c r="Q770" s="104"/>
      <c r="R770" s="393"/>
      <c r="S770" s="104"/>
    </row>
    <row r="771" ht="29.25" customHeight="1">
      <c r="A771" s="230"/>
      <c r="B771" s="389"/>
      <c r="C771" s="390"/>
      <c r="D771" s="391"/>
      <c r="E771" s="383"/>
      <c r="F771" s="162"/>
      <c r="G771" s="232"/>
      <c r="H771" s="232"/>
      <c r="I771" s="181"/>
      <c r="J771" s="182"/>
      <c r="K771" s="182"/>
      <c r="L771" s="182"/>
      <c r="M771" s="165"/>
      <c r="N771" s="181"/>
      <c r="O771" s="181"/>
      <c r="P771" s="183"/>
      <c r="Q771" s="104"/>
      <c r="R771" s="388"/>
      <c r="S771" s="104"/>
    </row>
    <row r="772" ht="29.25" customHeight="1">
      <c r="A772" s="230"/>
      <c r="B772" s="389"/>
      <c r="C772" s="390"/>
      <c r="D772" s="391"/>
      <c r="E772" s="392"/>
      <c r="F772" s="162"/>
      <c r="G772" s="232"/>
      <c r="H772" s="232"/>
      <c r="I772" s="181"/>
      <c r="J772" s="182"/>
      <c r="K772" s="182"/>
      <c r="L772" s="182"/>
      <c r="M772" s="165"/>
      <c r="N772" s="181"/>
      <c r="O772" s="181"/>
      <c r="P772" s="183"/>
      <c r="Q772" s="104"/>
      <c r="R772" s="393"/>
      <c r="S772" s="104"/>
    </row>
    <row r="773" ht="29.25" customHeight="1">
      <c r="A773" s="230"/>
      <c r="B773" s="389"/>
      <c r="C773" s="390"/>
      <c r="D773" s="391"/>
      <c r="E773" s="383"/>
      <c r="F773" s="162"/>
      <c r="G773" s="232"/>
      <c r="H773" s="232"/>
      <c r="I773" s="181"/>
      <c r="J773" s="182"/>
      <c r="K773" s="182"/>
      <c r="L773" s="182"/>
      <c r="M773" s="165"/>
      <c r="N773" s="181"/>
      <c r="O773" s="181"/>
      <c r="P773" s="183"/>
      <c r="Q773" s="104"/>
      <c r="R773" s="388"/>
      <c r="S773" s="104"/>
    </row>
    <row r="774" ht="29.25" customHeight="1">
      <c r="A774" s="230"/>
      <c r="B774" s="389"/>
      <c r="C774" s="390"/>
      <c r="D774" s="391"/>
      <c r="E774" s="392"/>
      <c r="F774" s="162"/>
      <c r="G774" s="232"/>
      <c r="H774" s="232"/>
      <c r="I774" s="181"/>
      <c r="J774" s="182"/>
      <c r="K774" s="182"/>
      <c r="L774" s="182"/>
      <c r="M774" s="165"/>
      <c r="N774" s="181"/>
      <c r="O774" s="181"/>
      <c r="P774" s="183"/>
      <c r="Q774" s="104"/>
      <c r="R774" s="393"/>
      <c r="S774" s="104"/>
    </row>
    <row r="775" ht="29.25" customHeight="1">
      <c r="A775" s="230"/>
      <c r="B775" s="389"/>
      <c r="C775" s="390"/>
      <c r="D775" s="391"/>
      <c r="E775" s="383"/>
      <c r="F775" s="162"/>
      <c r="G775" s="232"/>
      <c r="H775" s="232"/>
      <c r="I775" s="181"/>
      <c r="J775" s="182"/>
      <c r="K775" s="182"/>
      <c r="L775" s="182"/>
      <c r="M775" s="165"/>
      <c r="N775" s="181"/>
      <c r="O775" s="181"/>
      <c r="P775" s="183"/>
      <c r="Q775" s="104"/>
      <c r="R775" s="388"/>
      <c r="S775" s="104"/>
    </row>
    <row r="776" ht="29.25" customHeight="1">
      <c r="A776" s="230"/>
      <c r="B776" s="389"/>
      <c r="C776" s="390"/>
      <c r="D776" s="391"/>
      <c r="E776" s="392"/>
      <c r="F776" s="162"/>
      <c r="G776" s="232"/>
      <c r="H776" s="232"/>
      <c r="I776" s="181"/>
      <c r="J776" s="182"/>
      <c r="K776" s="182"/>
      <c r="L776" s="182"/>
      <c r="M776" s="165"/>
      <c r="N776" s="181"/>
      <c r="O776" s="181"/>
      <c r="P776" s="183"/>
      <c r="Q776" s="104"/>
      <c r="R776" s="393"/>
      <c r="S776" s="104"/>
    </row>
    <row r="777" ht="29.25" customHeight="1">
      <c r="A777" s="230"/>
      <c r="B777" s="389"/>
      <c r="C777" s="390"/>
      <c r="D777" s="391"/>
      <c r="E777" s="383"/>
      <c r="F777" s="162"/>
      <c r="G777" s="232"/>
      <c r="H777" s="232"/>
      <c r="I777" s="181"/>
      <c r="J777" s="182"/>
      <c r="K777" s="182"/>
      <c r="L777" s="182"/>
      <c r="M777" s="165"/>
      <c r="N777" s="181"/>
      <c r="O777" s="181"/>
      <c r="P777" s="183"/>
      <c r="Q777" s="104"/>
      <c r="R777" s="388"/>
      <c r="S777" s="104"/>
    </row>
    <row r="778" ht="29.25" customHeight="1">
      <c r="A778" s="230"/>
      <c r="B778" s="389"/>
      <c r="C778" s="390"/>
      <c r="D778" s="391"/>
      <c r="E778" s="392"/>
      <c r="F778" s="162"/>
      <c r="G778" s="232"/>
      <c r="H778" s="232"/>
      <c r="I778" s="181"/>
      <c r="J778" s="182"/>
      <c r="K778" s="182"/>
      <c r="L778" s="182"/>
      <c r="M778" s="165"/>
      <c r="N778" s="181"/>
      <c r="O778" s="181"/>
      <c r="P778" s="183"/>
      <c r="Q778" s="104"/>
      <c r="R778" s="393"/>
      <c r="S778" s="104"/>
    </row>
    <row r="779" ht="29.25" customHeight="1">
      <c r="A779" s="230"/>
      <c r="B779" s="389"/>
      <c r="C779" s="390"/>
      <c r="D779" s="391"/>
      <c r="E779" s="383"/>
      <c r="F779" s="162"/>
      <c r="G779" s="232"/>
      <c r="H779" s="232"/>
      <c r="I779" s="181"/>
      <c r="J779" s="182"/>
      <c r="K779" s="182"/>
      <c r="L779" s="182"/>
      <c r="M779" s="165"/>
      <c r="N779" s="181"/>
      <c r="O779" s="181"/>
      <c r="P779" s="183"/>
      <c r="Q779" s="104"/>
      <c r="R779" s="388"/>
      <c r="S779" s="104"/>
    </row>
    <row r="780" ht="29.25" customHeight="1">
      <c r="A780" s="230"/>
      <c r="B780" s="389"/>
      <c r="C780" s="390"/>
      <c r="D780" s="391"/>
      <c r="E780" s="392"/>
      <c r="F780" s="162"/>
      <c r="G780" s="232"/>
      <c r="H780" s="232"/>
      <c r="I780" s="181"/>
      <c r="J780" s="182"/>
      <c r="K780" s="182"/>
      <c r="L780" s="182"/>
      <c r="M780" s="165"/>
      <c r="N780" s="181"/>
      <c r="O780" s="181"/>
      <c r="P780" s="183"/>
      <c r="Q780" s="104"/>
      <c r="R780" s="393"/>
      <c r="S780" s="104"/>
    </row>
    <row r="781" ht="29.25" customHeight="1">
      <c r="A781" s="230"/>
      <c r="B781" s="389"/>
      <c r="C781" s="390"/>
      <c r="D781" s="391"/>
      <c r="E781" s="383"/>
      <c r="F781" s="162"/>
      <c r="G781" s="232"/>
      <c r="H781" s="232"/>
      <c r="I781" s="181"/>
      <c r="J781" s="182"/>
      <c r="K781" s="182"/>
      <c r="L781" s="182"/>
      <c r="M781" s="165"/>
      <c r="N781" s="181"/>
      <c r="O781" s="181"/>
      <c r="P781" s="183"/>
      <c r="Q781" s="104"/>
      <c r="R781" s="388"/>
      <c r="S781" s="104"/>
    </row>
    <row r="782" ht="29.25" customHeight="1">
      <c r="A782" s="230"/>
      <c r="B782" s="389"/>
      <c r="C782" s="390"/>
      <c r="D782" s="391"/>
      <c r="E782" s="392"/>
      <c r="F782" s="162"/>
      <c r="G782" s="232"/>
      <c r="H782" s="232"/>
      <c r="I782" s="181"/>
      <c r="J782" s="182"/>
      <c r="K782" s="182"/>
      <c r="L782" s="182"/>
      <c r="M782" s="165"/>
      <c r="N782" s="181"/>
      <c r="O782" s="181"/>
      <c r="P782" s="183"/>
      <c r="Q782" s="104"/>
      <c r="R782" s="393"/>
      <c r="S782" s="104"/>
    </row>
    <row r="783" ht="29.25" customHeight="1">
      <c r="A783" s="230"/>
      <c r="B783" s="389"/>
      <c r="C783" s="390"/>
      <c r="D783" s="391"/>
      <c r="E783" s="383"/>
      <c r="F783" s="162"/>
      <c r="G783" s="232"/>
      <c r="H783" s="232"/>
      <c r="I783" s="181"/>
      <c r="J783" s="182"/>
      <c r="K783" s="182"/>
      <c r="L783" s="182"/>
      <c r="M783" s="165"/>
      <c r="N783" s="181"/>
      <c r="O783" s="181"/>
      <c r="P783" s="183"/>
      <c r="Q783" s="104"/>
      <c r="R783" s="388"/>
      <c r="S783" s="104"/>
    </row>
    <row r="784" ht="29.25" customHeight="1">
      <c r="A784" s="230"/>
      <c r="B784" s="389"/>
      <c r="C784" s="390"/>
      <c r="D784" s="391"/>
      <c r="E784" s="392"/>
      <c r="F784" s="162"/>
      <c r="G784" s="232"/>
      <c r="H784" s="232"/>
      <c r="I784" s="181"/>
      <c r="J784" s="182"/>
      <c r="K784" s="182"/>
      <c r="L784" s="182"/>
      <c r="M784" s="165"/>
      <c r="N784" s="181"/>
      <c r="O784" s="181"/>
      <c r="P784" s="183"/>
      <c r="Q784" s="104"/>
      <c r="R784" s="393"/>
      <c r="S784" s="104"/>
    </row>
    <row r="785" ht="29.25" customHeight="1">
      <c r="A785" s="230"/>
      <c r="B785" s="389"/>
      <c r="C785" s="390"/>
      <c r="D785" s="391"/>
      <c r="E785" s="383"/>
      <c r="F785" s="162"/>
      <c r="G785" s="232"/>
      <c r="H785" s="232"/>
      <c r="I785" s="181"/>
      <c r="J785" s="182"/>
      <c r="K785" s="182"/>
      <c r="L785" s="182"/>
      <c r="M785" s="165"/>
      <c r="N785" s="181"/>
      <c r="O785" s="181"/>
      <c r="P785" s="183"/>
      <c r="Q785" s="104"/>
      <c r="R785" s="388"/>
      <c r="S785" s="104"/>
    </row>
    <row r="786" ht="29.25" customHeight="1">
      <c r="A786" s="230"/>
      <c r="B786" s="389"/>
      <c r="C786" s="390"/>
      <c r="D786" s="391"/>
      <c r="E786" s="392"/>
      <c r="F786" s="162"/>
      <c r="G786" s="232"/>
      <c r="H786" s="232"/>
      <c r="I786" s="181"/>
      <c r="J786" s="182"/>
      <c r="K786" s="182"/>
      <c r="L786" s="182"/>
      <c r="M786" s="165"/>
      <c r="N786" s="181"/>
      <c r="O786" s="181"/>
      <c r="P786" s="183"/>
      <c r="Q786" s="104"/>
      <c r="R786" s="393"/>
      <c r="S786" s="104"/>
    </row>
    <row r="787" ht="29.25" customHeight="1">
      <c r="A787" s="230"/>
      <c r="B787" s="389"/>
      <c r="C787" s="390"/>
      <c r="D787" s="391"/>
      <c r="E787" s="383"/>
      <c r="F787" s="162"/>
      <c r="G787" s="232"/>
      <c r="H787" s="232"/>
      <c r="I787" s="181"/>
      <c r="J787" s="182"/>
      <c r="K787" s="182"/>
      <c r="L787" s="182"/>
      <c r="M787" s="165"/>
      <c r="N787" s="181"/>
      <c r="O787" s="181"/>
      <c r="P787" s="183"/>
      <c r="Q787" s="104"/>
      <c r="R787" s="388"/>
      <c r="S787" s="104"/>
    </row>
    <row r="788" ht="29.25" customHeight="1">
      <c r="A788" s="230"/>
      <c r="B788" s="389"/>
      <c r="C788" s="390"/>
      <c r="D788" s="391"/>
      <c r="E788" s="392"/>
      <c r="F788" s="162"/>
      <c r="G788" s="232"/>
      <c r="H788" s="232"/>
      <c r="I788" s="181"/>
      <c r="J788" s="182"/>
      <c r="K788" s="182"/>
      <c r="L788" s="182"/>
      <c r="M788" s="165"/>
      <c r="N788" s="181"/>
      <c r="O788" s="181"/>
      <c r="P788" s="183"/>
      <c r="Q788" s="104"/>
      <c r="R788" s="393"/>
      <c r="S788" s="104"/>
    </row>
    <row r="789" ht="29.25" customHeight="1">
      <c r="A789" s="230"/>
      <c r="B789" s="389"/>
      <c r="C789" s="390"/>
      <c r="D789" s="391"/>
      <c r="E789" s="383"/>
      <c r="F789" s="162"/>
      <c r="G789" s="232"/>
      <c r="H789" s="232"/>
      <c r="I789" s="181"/>
      <c r="J789" s="182"/>
      <c r="K789" s="182"/>
      <c r="L789" s="182"/>
      <c r="M789" s="165"/>
      <c r="N789" s="181"/>
      <c r="O789" s="181"/>
      <c r="P789" s="183"/>
      <c r="Q789" s="104"/>
      <c r="R789" s="388"/>
      <c r="S789" s="104"/>
    </row>
    <row r="790" ht="29.25" customHeight="1">
      <c r="A790" s="230"/>
      <c r="B790" s="389"/>
      <c r="C790" s="390"/>
      <c r="D790" s="391"/>
      <c r="E790" s="392"/>
      <c r="F790" s="162"/>
      <c r="G790" s="232"/>
      <c r="H790" s="232"/>
      <c r="I790" s="181"/>
      <c r="J790" s="182"/>
      <c r="K790" s="182"/>
      <c r="L790" s="182"/>
      <c r="M790" s="165"/>
      <c r="N790" s="181"/>
      <c r="O790" s="181"/>
      <c r="P790" s="183"/>
      <c r="Q790" s="104"/>
      <c r="R790" s="393"/>
      <c r="S790" s="104"/>
    </row>
    <row r="791" ht="29.25" customHeight="1">
      <c r="A791" s="230"/>
      <c r="B791" s="389"/>
      <c r="C791" s="390"/>
      <c r="D791" s="391"/>
      <c r="E791" s="383"/>
      <c r="F791" s="162"/>
      <c r="G791" s="232"/>
      <c r="H791" s="232"/>
      <c r="I791" s="181"/>
      <c r="J791" s="182"/>
      <c r="K791" s="182"/>
      <c r="L791" s="182"/>
      <c r="M791" s="165"/>
      <c r="N791" s="181"/>
      <c r="O791" s="181"/>
      <c r="P791" s="183"/>
      <c r="Q791" s="104"/>
      <c r="R791" s="388"/>
      <c r="S791" s="104"/>
    </row>
    <row r="792" ht="29.25" customHeight="1">
      <c r="A792" s="230"/>
      <c r="B792" s="389"/>
      <c r="C792" s="390"/>
      <c r="D792" s="391"/>
      <c r="E792" s="392"/>
      <c r="F792" s="162"/>
      <c r="G792" s="232"/>
      <c r="H792" s="232"/>
      <c r="I792" s="181"/>
      <c r="J792" s="182"/>
      <c r="K792" s="182"/>
      <c r="L792" s="182"/>
      <c r="M792" s="165"/>
      <c r="N792" s="181"/>
      <c r="O792" s="181"/>
      <c r="P792" s="183"/>
      <c r="Q792" s="104"/>
      <c r="R792" s="393"/>
      <c r="S792" s="104"/>
    </row>
    <row r="793" ht="29.25" customHeight="1">
      <c r="A793" s="230"/>
      <c r="B793" s="389"/>
      <c r="C793" s="390"/>
      <c r="D793" s="391"/>
      <c r="E793" s="383"/>
      <c r="F793" s="162"/>
      <c r="G793" s="232"/>
      <c r="H793" s="232"/>
      <c r="I793" s="181"/>
      <c r="J793" s="182"/>
      <c r="K793" s="182"/>
      <c r="L793" s="182"/>
      <c r="M793" s="165"/>
      <c r="N793" s="181"/>
      <c r="O793" s="181"/>
      <c r="P793" s="183"/>
      <c r="Q793" s="104"/>
      <c r="R793" s="388"/>
      <c r="S793" s="104"/>
    </row>
    <row r="794" ht="29.25" customHeight="1">
      <c r="A794" s="230"/>
      <c r="B794" s="389"/>
      <c r="C794" s="390"/>
      <c r="D794" s="391"/>
      <c r="E794" s="392"/>
      <c r="F794" s="162"/>
      <c r="G794" s="232"/>
      <c r="H794" s="232"/>
      <c r="I794" s="181"/>
      <c r="J794" s="182"/>
      <c r="K794" s="182"/>
      <c r="L794" s="182"/>
      <c r="M794" s="165"/>
      <c r="N794" s="181"/>
      <c r="O794" s="181"/>
      <c r="P794" s="183"/>
      <c r="Q794" s="104"/>
      <c r="R794" s="393"/>
      <c r="S794" s="104"/>
    </row>
    <row r="795" ht="29.25" customHeight="1">
      <c r="A795" s="230"/>
      <c r="B795" s="389"/>
      <c r="C795" s="390"/>
      <c r="D795" s="391"/>
      <c r="E795" s="383"/>
      <c r="F795" s="162"/>
      <c r="G795" s="232"/>
      <c r="H795" s="232"/>
      <c r="I795" s="181"/>
      <c r="J795" s="182"/>
      <c r="K795" s="182"/>
      <c r="L795" s="182"/>
      <c r="M795" s="165"/>
      <c r="N795" s="181"/>
      <c r="O795" s="181"/>
      <c r="P795" s="183"/>
      <c r="Q795" s="104"/>
      <c r="R795" s="388"/>
      <c r="S795" s="104"/>
    </row>
    <row r="796" ht="29.25" customHeight="1">
      <c r="A796" s="230"/>
      <c r="B796" s="389"/>
      <c r="C796" s="390"/>
      <c r="D796" s="391"/>
      <c r="E796" s="392"/>
      <c r="F796" s="162"/>
      <c r="G796" s="232"/>
      <c r="H796" s="232"/>
      <c r="I796" s="181"/>
      <c r="J796" s="182"/>
      <c r="K796" s="182"/>
      <c r="L796" s="182"/>
      <c r="M796" s="165"/>
      <c r="N796" s="181"/>
      <c r="O796" s="181"/>
      <c r="P796" s="183"/>
      <c r="Q796" s="104"/>
      <c r="R796" s="393"/>
      <c r="S796" s="104"/>
    </row>
    <row r="797" ht="29.25" customHeight="1">
      <c r="A797" s="230"/>
      <c r="B797" s="389"/>
      <c r="C797" s="390"/>
      <c r="D797" s="391"/>
      <c r="E797" s="383"/>
      <c r="F797" s="162"/>
      <c r="G797" s="232"/>
      <c r="H797" s="232"/>
      <c r="I797" s="181"/>
      <c r="J797" s="182"/>
      <c r="K797" s="182"/>
      <c r="L797" s="182"/>
      <c r="M797" s="165"/>
      <c r="N797" s="181"/>
      <c r="O797" s="181"/>
      <c r="P797" s="183"/>
      <c r="Q797" s="104"/>
      <c r="R797" s="388"/>
      <c r="S797" s="104"/>
    </row>
    <row r="798" ht="29.25" customHeight="1">
      <c r="A798" s="230"/>
      <c r="B798" s="389"/>
      <c r="C798" s="390"/>
      <c r="D798" s="391"/>
      <c r="E798" s="392"/>
      <c r="F798" s="162"/>
      <c r="G798" s="232"/>
      <c r="H798" s="232"/>
      <c r="I798" s="181"/>
      <c r="J798" s="182"/>
      <c r="K798" s="182"/>
      <c r="L798" s="182"/>
      <c r="M798" s="165"/>
      <c r="N798" s="181"/>
      <c r="O798" s="181"/>
      <c r="P798" s="183"/>
      <c r="Q798" s="104"/>
      <c r="R798" s="393"/>
      <c r="S798" s="104"/>
    </row>
    <row r="799" ht="29.25" customHeight="1">
      <c r="A799" s="230"/>
      <c r="B799" s="389"/>
      <c r="C799" s="390"/>
      <c r="D799" s="391"/>
      <c r="E799" s="383"/>
      <c r="F799" s="162"/>
      <c r="G799" s="232"/>
      <c r="H799" s="232"/>
      <c r="I799" s="181"/>
      <c r="J799" s="182"/>
      <c r="K799" s="182"/>
      <c r="L799" s="182"/>
      <c r="M799" s="165"/>
      <c r="N799" s="181"/>
      <c r="O799" s="181"/>
      <c r="P799" s="183"/>
      <c r="Q799" s="104"/>
      <c r="R799" s="388"/>
      <c r="S799" s="104"/>
    </row>
    <row r="800" ht="29.25" customHeight="1">
      <c r="A800" s="230"/>
      <c r="B800" s="389"/>
      <c r="C800" s="390"/>
      <c r="D800" s="391"/>
      <c r="E800" s="392"/>
      <c r="F800" s="162"/>
      <c r="G800" s="232"/>
      <c r="H800" s="232"/>
      <c r="I800" s="181"/>
      <c r="J800" s="182"/>
      <c r="K800" s="182"/>
      <c r="L800" s="182"/>
      <c r="M800" s="165"/>
      <c r="N800" s="181"/>
      <c r="O800" s="181"/>
      <c r="P800" s="183"/>
      <c r="Q800" s="104"/>
      <c r="R800" s="393"/>
      <c r="S800" s="104"/>
    </row>
    <row r="801" ht="29.25" customHeight="1">
      <c r="A801" s="230"/>
      <c r="B801" s="389"/>
      <c r="C801" s="390"/>
      <c r="D801" s="391"/>
      <c r="E801" s="383"/>
      <c r="F801" s="162"/>
      <c r="G801" s="232"/>
      <c r="H801" s="232"/>
      <c r="I801" s="181"/>
      <c r="J801" s="182"/>
      <c r="K801" s="182"/>
      <c r="L801" s="182"/>
      <c r="M801" s="165"/>
      <c r="N801" s="181"/>
      <c r="O801" s="181"/>
      <c r="P801" s="183"/>
      <c r="Q801" s="104"/>
      <c r="R801" s="388"/>
      <c r="S801" s="104"/>
    </row>
    <row r="802" ht="29.25" customHeight="1">
      <c r="A802" s="230"/>
      <c r="B802" s="389"/>
      <c r="C802" s="390"/>
      <c r="D802" s="391"/>
      <c r="E802" s="392"/>
      <c r="F802" s="162"/>
      <c r="G802" s="232"/>
      <c r="H802" s="232"/>
      <c r="I802" s="181"/>
      <c r="J802" s="182"/>
      <c r="K802" s="182"/>
      <c r="L802" s="182"/>
      <c r="M802" s="165"/>
      <c r="N802" s="181"/>
      <c r="O802" s="181"/>
      <c r="P802" s="183"/>
      <c r="Q802" s="104"/>
      <c r="R802" s="393"/>
      <c r="S802" s="104"/>
    </row>
    <row r="803" ht="29.25" customHeight="1">
      <c r="A803" s="230"/>
      <c r="B803" s="389"/>
      <c r="C803" s="390"/>
      <c r="D803" s="391"/>
      <c r="E803" s="383"/>
      <c r="F803" s="162"/>
      <c r="G803" s="232"/>
      <c r="H803" s="232"/>
      <c r="I803" s="181"/>
      <c r="J803" s="182"/>
      <c r="K803" s="182"/>
      <c r="L803" s="182"/>
      <c r="M803" s="165"/>
      <c r="N803" s="181"/>
      <c r="O803" s="181"/>
      <c r="P803" s="183"/>
      <c r="Q803" s="104"/>
      <c r="R803" s="388"/>
      <c r="S803" s="104"/>
    </row>
    <row r="804" ht="29.25" customHeight="1">
      <c r="A804" s="230"/>
      <c r="B804" s="389"/>
      <c r="C804" s="390"/>
      <c r="D804" s="391"/>
      <c r="E804" s="392"/>
      <c r="F804" s="162"/>
      <c r="G804" s="232"/>
      <c r="H804" s="232"/>
      <c r="I804" s="181"/>
      <c r="J804" s="182"/>
      <c r="K804" s="182"/>
      <c r="L804" s="182"/>
      <c r="M804" s="165"/>
      <c r="N804" s="181"/>
      <c r="O804" s="181"/>
      <c r="P804" s="183"/>
      <c r="Q804" s="104"/>
      <c r="R804" s="393"/>
      <c r="S804" s="104"/>
    </row>
    <row r="805" ht="29.25" customHeight="1">
      <c r="A805" s="230"/>
      <c r="B805" s="389"/>
      <c r="C805" s="390"/>
      <c r="D805" s="391"/>
      <c r="E805" s="383"/>
      <c r="F805" s="162"/>
      <c r="G805" s="232"/>
      <c r="H805" s="232"/>
      <c r="I805" s="181"/>
      <c r="J805" s="182"/>
      <c r="K805" s="182"/>
      <c r="L805" s="182"/>
      <c r="M805" s="165"/>
      <c r="N805" s="181"/>
      <c r="O805" s="181"/>
      <c r="P805" s="183"/>
      <c r="Q805" s="104"/>
      <c r="R805" s="388"/>
      <c r="S805" s="104"/>
    </row>
    <row r="806" ht="29.25" customHeight="1">
      <c r="A806" s="230"/>
      <c r="B806" s="389"/>
      <c r="C806" s="390"/>
      <c r="D806" s="391"/>
      <c r="E806" s="392"/>
      <c r="F806" s="162"/>
      <c r="G806" s="232"/>
      <c r="H806" s="232"/>
      <c r="I806" s="181"/>
      <c r="J806" s="182"/>
      <c r="K806" s="182"/>
      <c r="L806" s="182"/>
      <c r="M806" s="165"/>
      <c r="N806" s="181"/>
      <c r="O806" s="181"/>
      <c r="P806" s="183"/>
      <c r="Q806" s="104"/>
      <c r="R806" s="393"/>
      <c r="S806" s="104"/>
    </row>
    <row r="807" ht="29.25" customHeight="1">
      <c r="A807" s="230"/>
      <c r="B807" s="389"/>
      <c r="C807" s="390"/>
      <c r="D807" s="391"/>
      <c r="E807" s="383"/>
      <c r="F807" s="162"/>
      <c r="G807" s="232"/>
      <c r="H807" s="232"/>
      <c r="I807" s="181"/>
      <c r="J807" s="182"/>
      <c r="K807" s="182"/>
      <c r="L807" s="182"/>
      <c r="M807" s="165"/>
      <c r="N807" s="181"/>
      <c r="O807" s="181"/>
      <c r="P807" s="183"/>
      <c r="Q807" s="104"/>
      <c r="R807" s="388"/>
      <c r="S807" s="104"/>
    </row>
    <row r="808" ht="29.25" customHeight="1">
      <c r="A808" s="230"/>
      <c r="B808" s="389"/>
      <c r="C808" s="390"/>
      <c r="D808" s="391"/>
      <c r="E808" s="392"/>
      <c r="F808" s="162"/>
      <c r="G808" s="232"/>
      <c r="H808" s="232"/>
      <c r="I808" s="181"/>
      <c r="J808" s="182"/>
      <c r="K808" s="182"/>
      <c r="L808" s="182"/>
      <c r="M808" s="165"/>
      <c r="N808" s="181"/>
      <c r="O808" s="181"/>
      <c r="P808" s="183"/>
      <c r="Q808" s="104"/>
      <c r="R808" s="393"/>
      <c r="S808" s="104"/>
    </row>
    <row r="809" ht="29.25" customHeight="1">
      <c r="A809" s="230"/>
      <c r="B809" s="389"/>
      <c r="C809" s="390"/>
      <c r="D809" s="391"/>
      <c r="E809" s="383"/>
      <c r="F809" s="162"/>
      <c r="G809" s="232"/>
      <c r="H809" s="232"/>
      <c r="I809" s="181"/>
      <c r="J809" s="182"/>
      <c r="K809" s="182"/>
      <c r="L809" s="182"/>
      <c r="M809" s="165"/>
      <c r="N809" s="181"/>
      <c r="O809" s="181"/>
      <c r="P809" s="183"/>
      <c r="Q809" s="104"/>
      <c r="R809" s="388"/>
      <c r="S809" s="104"/>
    </row>
    <row r="810" ht="29.25" customHeight="1">
      <c r="A810" s="230"/>
      <c r="B810" s="389"/>
      <c r="C810" s="390"/>
      <c r="D810" s="391"/>
      <c r="E810" s="392"/>
      <c r="F810" s="162"/>
      <c r="G810" s="232"/>
      <c r="H810" s="232"/>
      <c r="I810" s="181"/>
      <c r="J810" s="182"/>
      <c r="K810" s="182"/>
      <c r="L810" s="182"/>
      <c r="M810" s="165"/>
      <c r="N810" s="181"/>
      <c r="O810" s="181"/>
      <c r="P810" s="183"/>
      <c r="Q810" s="104"/>
      <c r="R810" s="393"/>
      <c r="S810" s="104"/>
    </row>
    <row r="811" ht="29.25" customHeight="1">
      <c r="A811" s="230"/>
      <c r="B811" s="389"/>
      <c r="C811" s="390"/>
      <c r="D811" s="391"/>
      <c r="E811" s="383"/>
      <c r="F811" s="162"/>
      <c r="G811" s="232"/>
      <c r="H811" s="232"/>
      <c r="I811" s="181"/>
      <c r="J811" s="182"/>
      <c r="K811" s="182"/>
      <c r="L811" s="182"/>
      <c r="M811" s="165"/>
      <c r="N811" s="181"/>
      <c r="O811" s="181"/>
      <c r="P811" s="183"/>
      <c r="Q811" s="104"/>
      <c r="R811" s="388"/>
      <c r="S811" s="104"/>
    </row>
    <row r="812" ht="29.25" customHeight="1">
      <c r="A812" s="230"/>
      <c r="B812" s="389"/>
      <c r="C812" s="390"/>
      <c r="D812" s="391"/>
      <c r="E812" s="392"/>
      <c r="F812" s="162"/>
      <c r="G812" s="232"/>
      <c r="H812" s="232"/>
      <c r="I812" s="181"/>
      <c r="J812" s="182"/>
      <c r="K812" s="182"/>
      <c r="L812" s="182"/>
      <c r="M812" s="165"/>
      <c r="N812" s="181"/>
      <c r="O812" s="181"/>
      <c r="P812" s="183"/>
      <c r="Q812" s="104"/>
      <c r="R812" s="393"/>
      <c r="S812" s="104"/>
    </row>
    <row r="813" ht="29.25" customHeight="1">
      <c r="A813" s="230"/>
      <c r="B813" s="389"/>
      <c r="C813" s="390"/>
      <c r="D813" s="391"/>
      <c r="E813" s="383"/>
      <c r="F813" s="162"/>
      <c r="G813" s="232"/>
      <c r="H813" s="232"/>
      <c r="I813" s="181"/>
      <c r="J813" s="182"/>
      <c r="K813" s="182"/>
      <c r="L813" s="182"/>
      <c r="M813" s="165"/>
      <c r="N813" s="181"/>
      <c r="O813" s="181"/>
      <c r="P813" s="183"/>
      <c r="Q813" s="104"/>
      <c r="R813" s="388"/>
      <c r="S813" s="104"/>
    </row>
    <row r="814" ht="29.25" customHeight="1">
      <c r="A814" s="230"/>
      <c r="B814" s="389"/>
      <c r="C814" s="390"/>
      <c r="D814" s="391"/>
      <c r="E814" s="392"/>
      <c r="F814" s="162"/>
      <c r="G814" s="232"/>
      <c r="H814" s="232"/>
      <c r="I814" s="181"/>
      <c r="J814" s="182"/>
      <c r="K814" s="182"/>
      <c r="L814" s="182"/>
      <c r="M814" s="165"/>
      <c r="N814" s="181"/>
      <c r="O814" s="181"/>
      <c r="P814" s="183"/>
      <c r="Q814" s="104"/>
      <c r="R814" s="393"/>
      <c r="S814" s="104"/>
    </row>
    <row r="815" ht="29.25" customHeight="1">
      <c r="A815" s="230"/>
      <c r="B815" s="389"/>
      <c r="C815" s="390"/>
      <c r="D815" s="391"/>
      <c r="E815" s="383"/>
      <c r="F815" s="162"/>
      <c r="G815" s="232"/>
      <c r="H815" s="232"/>
      <c r="I815" s="181"/>
      <c r="J815" s="182"/>
      <c r="K815" s="182"/>
      <c r="L815" s="182"/>
      <c r="M815" s="165"/>
      <c r="N815" s="181"/>
      <c r="O815" s="181"/>
      <c r="P815" s="183"/>
      <c r="Q815" s="104"/>
      <c r="R815" s="388"/>
      <c r="S815" s="104"/>
    </row>
    <row r="816" ht="29.25" customHeight="1">
      <c r="A816" s="230"/>
      <c r="B816" s="389"/>
      <c r="C816" s="390"/>
      <c r="D816" s="391"/>
      <c r="E816" s="392"/>
      <c r="F816" s="162"/>
      <c r="G816" s="232"/>
      <c r="H816" s="232"/>
      <c r="I816" s="181"/>
      <c r="J816" s="182"/>
      <c r="K816" s="182"/>
      <c r="L816" s="182"/>
      <c r="M816" s="165"/>
      <c r="N816" s="181"/>
      <c r="O816" s="181"/>
      <c r="P816" s="183"/>
      <c r="Q816" s="104"/>
      <c r="R816" s="393"/>
      <c r="S816" s="104"/>
    </row>
    <row r="817" ht="29.25" customHeight="1">
      <c r="A817" s="230"/>
      <c r="B817" s="389"/>
      <c r="C817" s="390"/>
      <c r="D817" s="391"/>
      <c r="E817" s="383"/>
      <c r="F817" s="162"/>
      <c r="G817" s="232"/>
      <c r="H817" s="232"/>
      <c r="I817" s="181"/>
      <c r="J817" s="182"/>
      <c r="K817" s="182"/>
      <c r="L817" s="182"/>
      <c r="M817" s="165"/>
      <c r="N817" s="181"/>
      <c r="O817" s="181"/>
      <c r="P817" s="183"/>
      <c r="Q817" s="104"/>
      <c r="R817" s="388"/>
      <c r="S817" s="104"/>
    </row>
    <row r="818" ht="29.25" customHeight="1">
      <c r="A818" s="230"/>
      <c r="B818" s="389"/>
      <c r="C818" s="390"/>
      <c r="D818" s="391"/>
      <c r="E818" s="392"/>
      <c r="F818" s="162"/>
      <c r="G818" s="232"/>
      <c r="H818" s="232"/>
      <c r="I818" s="181"/>
      <c r="J818" s="182"/>
      <c r="K818" s="182"/>
      <c r="L818" s="182"/>
      <c r="M818" s="165"/>
      <c r="N818" s="181"/>
      <c r="O818" s="181"/>
      <c r="P818" s="183"/>
      <c r="Q818" s="104"/>
      <c r="R818" s="393"/>
      <c r="S818" s="104"/>
    </row>
    <row r="819" ht="29.25" customHeight="1">
      <c r="A819" s="230"/>
      <c r="B819" s="389"/>
      <c r="C819" s="390"/>
      <c r="D819" s="391"/>
      <c r="E819" s="383"/>
      <c r="F819" s="162"/>
      <c r="G819" s="232"/>
      <c r="H819" s="232"/>
      <c r="I819" s="181"/>
      <c r="J819" s="182"/>
      <c r="K819" s="182"/>
      <c r="L819" s="182"/>
      <c r="M819" s="165"/>
      <c r="N819" s="181"/>
      <c r="O819" s="181"/>
      <c r="P819" s="183"/>
      <c r="Q819" s="104"/>
      <c r="R819" s="388"/>
      <c r="S819" s="104"/>
    </row>
    <row r="820" ht="29.25" customHeight="1">
      <c r="A820" s="230"/>
      <c r="B820" s="389"/>
      <c r="C820" s="390"/>
      <c r="D820" s="391"/>
      <c r="E820" s="392"/>
      <c r="F820" s="162"/>
      <c r="G820" s="232"/>
      <c r="H820" s="232"/>
      <c r="I820" s="181"/>
      <c r="J820" s="182"/>
      <c r="K820" s="182"/>
      <c r="L820" s="182"/>
      <c r="M820" s="165"/>
      <c r="N820" s="181"/>
      <c r="O820" s="181"/>
      <c r="P820" s="183"/>
      <c r="Q820" s="104"/>
      <c r="R820" s="393"/>
      <c r="S820" s="104"/>
    </row>
    <row r="821" ht="29.25" customHeight="1">
      <c r="A821" s="230"/>
      <c r="B821" s="389"/>
      <c r="C821" s="390"/>
      <c r="D821" s="391"/>
      <c r="E821" s="383"/>
      <c r="F821" s="162"/>
      <c r="G821" s="232"/>
      <c r="H821" s="232"/>
      <c r="I821" s="181"/>
      <c r="J821" s="182"/>
      <c r="K821" s="182"/>
      <c r="L821" s="182"/>
      <c r="M821" s="165"/>
      <c r="N821" s="181"/>
      <c r="O821" s="181"/>
      <c r="P821" s="183"/>
      <c r="Q821" s="104"/>
      <c r="R821" s="388"/>
      <c r="S821" s="104"/>
    </row>
    <row r="822" ht="29.25" customHeight="1">
      <c r="A822" s="230"/>
      <c r="B822" s="389"/>
      <c r="C822" s="390"/>
      <c r="D822" s="391"/>
      <c r="E822" s="392"/>
      <c r="F822" s="162"/>
      <c r="G822" s="232"/>
      <c r="H822" s="232"/>
      <c r="I822" s="181"/>
      <c r="J822" s="182"/>
      <c r="K822" s="182"/>
      <c r="L822" s="182"/>
      <c r="M822" s="165"/>
      <c r="N822" s="181"/>
      <c r="O822" s="181"/>
      <c r="P822" s="183"/>
      <c r="Q822" s="104"/>
      <c r="R822" s="393"/>
      <c r="S822" s="104"/>
    </row>
    <row r="823" ht="29.25" customHeight="1">
      <c r="A823" s="230"/>
      <c r="B823" s="389"/>
      <c r="C823" s="390"/>
      <c r="D823" s="391"/>
      <c r="E823" s="383"/>
      <c r="F823" s="162"/>
      <c r="G823" s="232"/>
      <c r="H823" s="232"/>
      <c r="I823" s="181"/>
      <c r="J823" s="182"/>
      <c r="K823" s="182"/>
      <c r="L823" s="182"/>
      <c r="M823" s="165"/>
      <c r="N823" s="181"/>
      <c r="O823" s="181"/>
      <c r="P823" s="183"/>
      <c r="Q823" s="104"/>
      <c r="R823" s="388"/>
      <c r="S823" s="104"/>
    </row>
    <row r="824" ht="29.25" customHeight="1">
      <c r="A824" s="230"/>
      <c r="B824" s="389"/>
      <c r="C824" s="390"/>
      <c r="D824" s="391"/>
      <c r="E824" s="392"/>
      <c r="F824" s="162"/>
      <c r="G824" s="232"/>
      <c r="H824" s="232"/>
      <c r="I824" s="181"/>
      <c r="J824" s="182"/>
      <c r="K824" s="182"/>
      <c r="L824" s="182"/>
      <c r="M824" s="165"/>
      <c r="N824" s="181"/>
      <c r="O824" s="181"/>
      <c r="P824" s="183"/>
      <c r="Q824" s="104"/>
      <c r="R824" s="393"/>
      <c r="S824" s="104"/>
    </row>
    <row r="825" ht="29.25" customHeight="1">
      <c r="A825" s="230"/>
      <c r="B825" s="389"/>
      <c r="C825" s="390"/>
      <c r="D825" s="391"/>
      <c r="E825" s="383"/>
      <c r="F825" s="162"/>
      <c r="G825" s="232"/>
      <c r="H825" s="232"/>
      <c r="I825" s="181"/>
      <c r="J825" s="182"/>
      <c r="K825" s="182"/>
      <c r="L825" s="182"/>
      <c r="M825" s="165"/>
      <c r="N825" s="181"/>
      <c r="O825" s="181"/>
      <c r="P825" s="183"/>
      <c r="Q825" s="104"/>
      <c r="R825" s="388"/>
      <c r="S825" s="104"/>
    </row>
    <row r="826" ht="29.25" customHeight="1">
      <c r="A826" s="230"/>
      <c r="B826" s="389"/>
      <c r="C826" s="390"/>
      <c r="D826" s="391"/>
      <c r="E826" s="392"/>
      <c r="F826" s="162"/>
      <c r="G826" s="232"/>
      <c r="H826" s="232"/>
      <c r="I826" s="181"/>
      <c r="J826" s="182"/>
      <c r="K826" s="182"/>
      <c r="L826" s="182"/>
      <c r="M826" s="165"/>
      <c r="N826" s="181"/>
      <c r="O826" s="181"/>
      <c r="P826" s="183"/>
      <c r="Q826" s="104"/>
      <c r="R826" s="393"/>
      <c r="S826" s="104"/>
    </row>
    <row r="827" ht="29.25" customHeight="1">
      <c r="A827" s="230"/>
      <c r="B827" s="389"/>
      <c r="C827" s="390"/>
      <c r="D827" s="391"/>
      <c r="E827" s="383"/>
      <c r="F827" s="162"/>
      <c r="G827" s="232"/>
      <c r="H827" s="232"/>
      <c r="I827" s="181"/>
      <c r="J827" s="182"/>
      <c r="K827" s="182"/>
      <c r="L827" s="182"/>
      <c r="M827" s="165"/>
      <c r="N827" s="181"/>
      <c r="O827" s="181"/>
      <c r="P827" s="183"/>
      <c r="Q827" s="104"/>
      <c r="R827" s="388"/>
      <c r="S827" s="104"/>
    </row>
    <row r="828" ht="29.25" customHeight="1">
      <c r="A828" s="230"/>
      <c r="B828" s="389"/>
      <c r="C828" s="390"/>
      <c r="D828" s="391"/>
      <c r="E828" s="392"/>
      <c r="F828" s="162"/>
      <c r="G828" s="232"/>
      <c r="H828" s="232"/>
      <c r="I828" s="181"/>
      <c r="J828" s="182"/>
      <c r="K828" s="182"/>
      <c r="L828" s="182"/>
      <c r="M828" s="165"/>
      <c r="N828" s="181"/>
      <c r="O828" s="181"/>
      <c r="P828" s="183"/>
      <c r="Q828" s="104"/>
      <c r="R828" s="393"/>
      <c r="S828" s="104"/>
    </row>
    <row r="829" ht="29.25" customHeight="1">
      <c r="A829" s="230"/>
      <c r="B829" s="389"/>
      <c r="C829" s="390"/>
      <c r="D829" s="391"/>
      <c r="E829" s="383"/>
      <c r="F829" s="162"/>
      <c r="G829" s="232"/>
      <c r="H829" s="232"/>
      <c r="I829" s="181"/>
      <c r="J829" s="182"/>
      <c r="K829" s="182"/>
      <c r="L829" s="182"/>
      <c r="M829" s="165"/>
      <c r="N829" s="181"/>
      <c r="O829" s="181"/>
      <c r="P829" s="183"/>
      <c r="Q829" s="104"/>
      <c r="R829" s="388"/>
      <c r="S829" s="104"/>
    </row>
    <row r="830" ht="29.25" customHeight="1">
      <c r="A830" s="230"/>
      <c r="B830" s="389"/>
      <c r="C830" s="390"/>
      <c r="D830" s="391"/>
      <c r="E830" s="392"/>
      <c r="F830" s="162"/>
      <c r="G830" s="232"/>
      <c r="H830" s="232"/>
      <c r="I830" s="181"/>
      <c r="J830" s="182"/>
      <c r="K830" s="182"/>
      <c r="L830" s="182"/>
      <c r="M830" s="165"/>
      <c r="N830" s="181"/>
      <c r="O830" s="181"/>
      <c r="P830" s="183"/>
      <c r="Q830" s="104"/>
      <c r="R830" s="393"/>
      <c r="S830" s="104"/>
    </row>
    <row r="831" ht="29.25" customHeight="1">
      <c r="A831" s="230"/>
      <c r="B831" s="389"/>
      <c r="C831" s="390"/>
      <c r="D831" s="391"/>
      <c r="E831" s="383"/>
      <c r="F831" s="162"/>
      <c r="G831" s="232"/>
      <c r="H831" s="232"/>
      <c r="I831" s="181"/>
      <c r="J831" s="182"/>
      <c r="K831" s="182"/>
      <c r="L831" s="182"/>
      <c r="M831" s="165"/>
      <c r="N831" s="181"/>
      <c r="O831" s="181"/>
      <c r="P831" s="183"/>
      <c r="Q831" s="104"/>
      <c r="R831" s="388"/>
      <c r="S831" s="104"/>
    </row>
    <row r="832" ht="29.25" customHeight="1">
      <c r="A832" s="230"/>
      <c r="B832" s="389"/>
      <c r="C832" s="390"/>
      <c r="D832" s="391"/>
      <c r="E832" s="392"/>
      <c r="F832" s="162"/>
      <c r="G832" s="232"/>
      <c r="H832" s="232"/>
      <c r="I832" s="181"/>
      <c r="J832" s="182"/>
      <c r="K832" s="182"/>
      <c r="L832" s="182"/>
      <c r="M832" s="165"/>
      <c r="N832" s="181"/>
      <c r="O832" s="181"/>
      <c r="P832" s="183"/>
      <c r="Q832" s="104"/>
      <c r="R832" s="393"/>
      <c r="S832" s="104"/>
    </row>
    <row r="833" ht="29.25" customHeight="1">
      <c r="A833" s="230"/>
      <c r="B833" s="389"/>
      <c r="C833" s="390"/>
      <c r="D833" s="391"/>
      <c r="E833" s="383"/>
      <c r="F833" s="162"/>
      <c r="G833" s="232"/>
      <c r="H833" s="232"/>
      <c r="I833" s="181"/>
      <c r="J833" s="182"/>
      <c r="K833" s="182"/>
      <c r="L833" s="182"/>
      <c r="M833" s="165"/>
      <c r="N833" s="181"/>
      <c r="O833" s="181"/>
      <c r="P833" s="183"/>
      <c r="Q833" s="104"/>
      <c r="R833" s="388"/>
      <c r="S833" s="104"/>
    </row>
    <row r="834" ht="29.25" customHeight="1">
      <c r="A834" s="230"/>
      <c r="B834" s="389"/>
      <c r="C834" s="390"/>
      <c r="D834" s="391"/>
      <c r="E834" s="392"/>
      <c r="F834" s="162"/>
      <c r="G834" s="232"/>
      <c r="H834" s="232"/>
      <c r="I834" s="181"/>
      <c r="J834" s="182"/>
      <c r="K834" s="182"/>
      <c r="L834" s="182"/>
      <c r="M834" s="165"/>
      <c r="N834" s="181"/>
      <c r="O834" s="181"/>
      <c r="P834" s="183"/>
      <c r="Q834" s="104"/>
      <c r="R834" s="393"/>
      <c r="S834" s="104"/>
    </row>
    <row r="835" ht="29.25" customHeight="1">
      <c r="A835" s="230"/>
      <c r="B835" s="389"/>
      <c r="C835" s="390"/>
      <c r="D835" s="391"/>
      <c r="E835" s="383"/>
      <c r="F835" s="162"/>
      <c r="G835" s="232"/>
      <c r="H835" s="232"/>
      <c r="I835" s="181"/>
      <c r="J835" s="182"/>
      <c r="K835" s="182"/>
      <c r="L835" s="182"/>
      <c r="M835" s="165"/>
      <c r="N835" s="181"/>
      <c r="O835" s="181"/>
      <c r="P835" s="183"/>
      <c r="Q835" s="104"/>
      <c r="R835" s="388"/>
      <c r="S835" s="104"/>
    </row>
    <row r="836" ht="29.25" customHeight="1">
      <c r="A836" s="230"/>
      <c r="B836" s="389"/>
      <c r="C836" s="390"/>
      <c r="D836" s="391"/>
      <c r="E836" s="392"/>
      <c r="F836" s="162"/>
      <c r="G836" s="232"/>
      <c r="H836" s="232"/>
      <c r="I836" s="181"/>
      <c r="J836" s="182"/>
      <c r="K836" s="182"/>
      <c r="L836" s="182"/>
      <c r="M836" s="165"/>
      <c r="N836" s="181"/>
      <c r="O836" s="181"/>
      <c r="P836" s="183"/>
      <c r="Q836" s="104"/>
      <c r="R836" s="393"/>
      <c r="S836" s="104"/>
    </row>
    <row r="837" ht="29.25" customHeight="1">
      <c r="A837" s="230"/>
      <c r="B837" s="389"/>
      <c r="C837" s="390"/>
      <c r="D837" s="391"/>
      <c r="E837" s="383"/>
      <c r="F837" s="162"/>
      <c r="G837" s="232"/>
      <c r="H837" s="232"/>
      <c r="I837" s="181"/>
      <c r="J837" s="182"/>
      <c r="K837" s="182"/>
      <c r="L837" s="182"/>
      <c r="M837" s="165"/>
      <c r="N837" s="181"/>
      <c r="O837" s="181"/>
      <c r="P837" s="183"/>
      <c r="Q837" s="104"/>
      <c r="R837" s="388"/>
      <c r="S837" s="104"/>
    </row>
    <row r="838" ht="29.25" customHeight="1">
      <c r="A838" s="230"/>
      <c r="B838" s="389"/>
      <c r="C838" s="390"/>
      <c r="D838" s="391"/>
      <c r="E838" s="392"/>
      <c r="F838" s="162"/>
      <c r="G838" s="232"/>
      <c r="H838" s="232"/>
      <c r="I838" s="181"/>
      <c r="J838" s="182"/>
      <c r="K838" s="182"/>
      <c r="L838" s="182"/>
      <c r="M838" s="165"/>
      <c r="N838" s="181"/>
      <c r="O838" s="181"/>
      <c r="P838" s="183"/>
      <c r="Q838" s="104"/>
      <c r="R838" s="393"/>
      <c r="S838" s="104"/>
    </row>
    <row r="839" ht="29.25" customHeight="1">
      <c r="A839" s="230"/>
      <c r="B839" s="389"/>
      <c r="C839" s="390"/>
      <c r="D839" s="391"/>
      <c r="E839" s="383"/>
      <c r="F839" s="162"/>
      <c r="G839" s="232"/>
      <c r="H839" s="232"/>
      <c r="I839" s="181"/>
      <c r="J839" s="182"/>
      <c r="K839" s="182"/>
      <c r="L839" s="182"/>
      <c r="M839" s="165"/>
      <c r="N839" s="181"/>
      <c r="O839" s="181"/>
      <c r="P839" s="183"/>
      <c r="Q839" s="104"/>
      <c r="R839" s="388"/>
      <c r="S839" s="104"/>
    </row>
    <row r="840" ht="29.25" customHeight="1">
      <c r="A840" s="230"/>
      <c r="B840" s="389"/>
      <c r="C840" s="390"/>
      <c r="D840" s="391"/>
      <c r="E840" s="392"/>
      <c r="F840" s="162"/>
      <c r="G840" s="232"/>
      <c r="H840" s="232"/>
      <c r="I840" s="181"/>
      <c r="J840" s="182"/>
      <c r="K840" s="182"/>
      <c r="L840" s="182"/>
      <c r="M840" s="165"/>
      <c r="N840" s="181"/>
      <c r="O840" s="181"/>
      <c r="P840" s="183"/>
      <c r="Q840" s="104"/>
      <c r="R840" s="393"/>
      <c r="S840" s="104"/>
    </row>
    <row r="841" ht="29.25" customHeight="1">
      <c r="A841" s="230"/>
      <c r="B841" s="389"/>
      <c r="C841" s="390"/>
      <c r="D841" s="391"/>
      <c r="E841" s="383"/>
      <c r="F841" s="162"/>
      <c r="G841" s="232"/>
      <c r="H841" s="232"/>
      <c r="I841" s="181"/>
      <c r="J841" s="182"/>
      <c r="K841" s="182"/>
      <c r="L841" s="182"/>
      <c r="M841" s="165"/>
      <c r="N841" s="181"/>
      <c r="O841" s="181"/>
      <c r="P841" s="183"/>
      <c r="Q841" s="104"/>
      <c r="R841" s="388"/>
      <c r="S841" s="104"/>
    </row>
    <row r="842" ht="29.25" customHeight="1">
      <c r="A842" s="230"/>
      <c r="B842" s="389"/>
      <c r="C842" s="390"/>
      <c r="D842" s="391"/>
      <c r="E842" s="392"/>
      <c r="F842" s="162"/>
      <c r="G842" s="232"/>
      <c r="H842" s="232"/>
      <c r="I842" s="181"/>
      <c r="J842" s="182"/>
      <c r="K842" s="182"/>
      <c r="L842" s="182"/>
      <c r="M842" s="165"/>
      <c r="N842" s="181"/>
      <c r="O842" s="181"/>
      <c r="P842" s="183"/>
      <c r="Q842" s="104"/>
      <c r="R842" s="393"/>
      <c r="S842" s="104"/>
    </row>
    <row r="843" ht="29.25" customHeight="1">
      <c r="A843" s="230"/>
      <c r="B843" s="389"/>
      <c r="C843" s="390"/>
      <c r="D843" s="391"/>
      <c r="E843" s="383"/>
      <c r="F843" s="162"/>
      <c r="G843" s="232"/>
      <c r="H843" s="232"/>
      <c r="I843" s="181"/>
      <c r="J843" s="182"/>
      <c r="K843" s="182"/>
      <c r="L843" s="182"/>
      <c r="M843" s="165"/>
      <c r="N843" s="181"/>
      <c r="O843" s="181"/>
      <c r="P843" s="183"/>
      <c r="Q843" s="104"/>
      <c r="R843" s="388"/>
      <c r="S843" s="104"/>
    </row>
    <row r="844" ht="29.25" customHeight="1">
      <c r="A844" s="230"/>
      <c r="B844" s="389"/>
      <c r="C844" s="390"/>
      <c r="D844" s="391"/>
      <c r="E844" s="392"/>
      <c r="F844" s="162"/>
      <c r="G844" s="232"/>
      <c r="H844" s="232"/>
      <c r="I844" s="181"/>
      <c r="J844" s="182"/>
      <c r="K844" s="182"/>
      <c r="L844" s="182"/>
      <c r="M844" s="165"/>
      <c r="N844" s="181"/>
      <c r="O844" s="181"/>
      <c r="P844" s="183"/>
      <c r="Q844" s="104"/>
      <c r="R844" s="393"/>
      <c r="S844" s="104"/>
    </row>
    <row r="845" ht="29.25" customHeight="1">
      <c r="A845" s="230"/>
      <c r="B845" s="389"/>
      <c r="C845" s="390"/>
      <c r="D845" s="391"/>
      <c r="E845" s="383"/>
      <c r="F845" s="162"/>
      <c r="G845" s="232"/>
      <c r="H845" s="232"/>
      <c r="I845" s="181"/>
      <c r="J845" s="182"/>
      <c r="K845" s="182"/>
      <c r="L845" s="182"/>
      <c r="M845" s="165"/>
      <c r="N845" s="181"/>
      <c r="O845" s="181"/>
      <c r="P845" s="183"/>
      <c r="Q845" s="104"/>
      <c r="R845" s="388"/>
      <c r="S845" s="104"/>
    </row>
    <row r="846" ht="29.25" customHeight="1">
      <c r="A846" s="230"/>
      <c r="B846" s="389"/>
      <c r="C846" s="390"/>
      <c r="D846" s="391"/>
      <c r="E846" s="392"/>
      <c r="F846" s="162"/>
      <c r="G846" s="232"/>
      <c r="H846" s="232"/>
      <c r="I846" s="181"/>
      <c r="J846" s="182"/>
      <c r="K846" s="182"/>
      <c r="L846" s="182"/>
      <c r="M846" s="165"/>
      <c r="N846" s="181"/>
      <c r="O846" s="181"/>
      <c r="P846" s="183"/>
      <c r="Q846" s="104"/>
      <c r="R846" s="393"/>
      <c r="S846" s="104"/>
    </row>
    <row r="847" ht="29.25" customHeight="1">
      <c r="A847" s="230"/>
      <c r="B847" s="389"/>
      <c r="C847" s="390"/>
      <c r="D847" s="391"/>
      <c r="E847" s="383"/>
      <c r="F847" s="162"/>
      <c r="G847" s="232"/>
      <c r="H847" s="232"/>
      <c r="I847" s="181"/>
      <c r="J847" s="182"/>
      <c r="K847" s="182"/>
      <c r="L847" s="182"/>
      <c r="M847" s="165"/>
      <c r="N847" s="181"/>
      <c r="O847" s="181"/>
      <c r="P847" s="183"/>
      <c r="Q847" s="104"/>
      <c r="R847" s="388"/>
      <c r="S847" s="104"/>
    </row>
    <row r="848" ht="29.25" customHeight="1">
      <c r="A848" s="230"/>
      <c r="B848" s="389"/>
      <c r="C848" s="390"/>
      <c r="D848" s="391"/>
      <c r="E848" s="392"/>
      <c r="F848" s="162"/>
      <c r="G848" s="232"/>
      <c r="H848" s="232"/>
      <c r="I848" s="181"/>
      <c r="J848" s="182"/>
      <c r="K848" s="182"/>
      <c r="L848" s="182"/>
      <c r="M848" s="165"/>
      <c r="N848" s="181"/>
      <c r="O848" s="181"/>
      <c r="P848" s="183"/>
      <c r="Q848" s="104"/>
      <c r="R848" s="393"/>
      <c r="S848" s="104"/>
    </row>
    <row r="849" ht="29.25" customHeight="1">
      <c r="A849" s="230"/>
      <c r="B849" s="389"/>
      <c r="C849" s="390"/>
      <c r="D849" s="391"/>
      <c r="E849" s="383"/>
      <c r="F849" s="162"/>
      <c r="G849" s="232"/>
      <c r="H849" s="232"/>
      <c r="I849" s="181"/>
      <c r="J849" s="182"/>
      <c r="K849" s="182"/>
      <c r="L849" s="182"/>
      <c r="M849" s="165"/>
      <c r="N849" s="181"/>
      <c r="O849" s="181"/>
      <c r="P849" s="183"/>
      <c r="Q849" s="104"/>
      <c r="R849" s="388"/>
      <c r="S849" s="104"/>
    </row>
    <row r="850" ht="29.25" customHeight="1">
      <c r="A850" s="230"/>
      <c r="B850" s="389"/>
      <c r="C850" s="390"/>
      <c r="D850" s="391"/>
      <c r="E850" s="392"/>
      <c r="F850" s="162"/>
      <c r="G850" s="232"/>
      <c r="H850" s="232"/>
      <c r="I850" s="181"/>
      <c r="J850" s="182"/>
      <c r="K850" s="182"/>
      <c r="L850" s="182"/>
      <c r="M850" s="165"/>
      <c r="N850" s="181"/>
      <c r="O850" s="181"/>
      <c r="P850" s="183"/>
      <c r="Q850" s="104"/>
      <c r="R850" s="393"/>
      <c r="S850" s="104"/>
    </row>
    <row r="851" ht="29.25" customHeight="1">
      <c r="A851" s="230"/>
      <c r="B851" s="389"/>
      <c r="C851" s="390"/>
      <c r="D851" s="391"/>
      <c r="E851" s="383"/>
      <c r="F851" s="162"/>
      <c r="G851" s="232"/>
      <c r="H851" s="232"/>
      <c r="I851" s="181"/>
      <c r="J851" s="182"/>
      <c r="K851" s="182"/>
      <c r="L851" s="182"/>
      <c r="M851" s="165"/>
      <c r="N851" s="181"/>
      <c r="O851" s="181"/>
      <c r="P851" s="183"/>
      <c r="Q851" s="104"/>
      <c r="R851" s="388"/>
      <c r="S851" s="104"/>
    </row>
    <row r="852" ht="29.25" customHeight="1">
      <c r="A852" s="230"/>
      <c r="B852" s="389"/>
      <c r="C852" s="390"/>
      <c r="D852" s="391"/>
      <c r="E852" s="392"/>
      <c r="F852" s="162"/>
      <c r="G852" s="232"/>
      <c r="H852" s="232"/>
      <c r="I852" s="181"/>
      <c r="J852" s="182"/>
      <c r="K852" s="182"/>
      <c r="L852" s="182"/>
      <c r="M852" s="165"/>
      <c r="N852" s="181"/>
      <c r="O852" s="181"/>
      <c r="P852" s="183"/>
      <c r="Q852" s="104"/>
      <c r="R852" s="393"/>
      <c r="S852" s="104"/>
    </row>
    <row r="853" ht="29.25" customHeight="1">
      <c r="A853" s="230"/>
      <c r="B853" s="389"/>
      <c r="C853" s="390"/>
      <c r="D853" s="391"/>
      <c r="E853" s="383"/>
      <c r="F853" s="162"/>
      <c r="G853" s="232"/>
      <c r="H853" s="232"/>
      <c r="I853" s="181"/>
      <c r="J853" s="182"/>
      <c r="K853" s="182"/>
      <c r="L853" s="182"/>
      <c r="M853" s="165"/>
      <c r="N853" s="181"/>
      <c r="O853" s="181"/>
      <c r="P853" s="183"/>
      <c r="Q853" s="104"/>
      <c r="R853" s="388"/>
      <c r="S853" s="104"/>
    </row>
    <row r="854" ht="29.25" customHeight="1">
      <c r="A854" s="230"/>
      <c r="B854" s="389"/>
      <c r="C854" s="390"/>
      <c r="D854" s="391"/>
      <c r="E854" s="392"/>
      <c r="F854" s="162"/>
      <c r="G854" s="232"/>
      <c r="H854" s="232"/>
      <c r="I854" s="181"/>
      <c r="J854" s="182"/>
      <c r="K854" s="182"/>
      <c r="L854" s="182"/>
      <c r="M854" s="165"/>
      <c r="N854" s="181"/>
      <c r="O854" s="181"/>
      <c r="P854" s="183"/>
      <c r="Q854" s="104"/>
      <c r="R854" s="393"/>
      <c r="S854" s="104"/>
    </row>
    <row r="855" ht="29.25" customHeight="1">
      <c r="A855" s="230"/>
      <c r="B855" s="389"/>
      <c r="C855" s="390"/>
      <c r="D855" s="391"/>
      <c r="E855" s="383"/>
      <c r="F855" s="162"/>
      <c r="G855" s="232"/>
      <c r="H855" s="232"/>
      <c r="I855" s="181"/>
      <c r="J855" s="182"/>
      <c r="K855" s="182"/>
      <c r="L855" s="182"/>
      <c r="M855" s="165"/>
      <c r="N855" s="181"/>
      <c r="O855" s="181"/>
      <c r="P855" s="183"/>
      <c r="Q855" s="104"/>
      <c r="R855" s="388"/>
      <c r="S855" s="104"/>
    </row>
    <row r="856" ht="29.25" customHeight="1">
      <c r="A856" s="230"/>
      <c r="B856" s="389"/>
      <c r="C856" s="390"/>
      <c r="D856" s="391"/>
      <c r="E856" s="392"/>
      <c r="F856" s="162"/>
      <c r="G856" s="232"/>
      <c r="H856" s="232"/>
      <c r="I856" s="181"/>
      <c r="J856" s="182"/>
      <c r="K856" s="182"/>
      <c r="L856" s="182"/>
      <c r="M856" s="165"/>
      <c r="N856" s="181"/>
      <c r="O856" s="181"/>
      <c r="P856" s="183"/>
      <c r="Q856" s="104"/>
      <c r="R856" s="393"/>
      <c r="S856" s="104"/>
    </row>
    <row r="857" ht="29.25" customHeight="1">
      <c r="A857" s="230"/>
      <c r="B857" s="389"/>
      <c r="C857" s="390"/>
      <c r="D857" s="391"/>
      <c r="E857" s="383"/>
      <c r="F857" s="162"/>
      <c r="G857" s="232"/>
      <c r="H857" s="232"/>
      <c r="I857" s="181"/>
      <c r="J857" s="182"/>
      <c r="K857" s="182"/>
      <c r="L857" s="182"/>
      <c r="M857" s="165"/>
      <c r="N857" s="181"/>
      <c r="O857" s="181"/>
      <c r="P857" s="183"/>
      <c r="Q857" s="104"/>
      <c r="R857" s="388"/>
      <c r="S857" s="104"/>
    </row>
    <row r="858" ht="29.25" customHeight="1">
      <c r="A858" s="230"/>
      <c r="B858" s="389"/>
      <c r="C858" s="390"/>
      <c r="D858" s="391"/>
      <c r="E858" s="392"/>
      <c r="F858" s="162"/>
      <c r="G858" s="232"/>
      <c r="H858" s="232"/>
      <c r="I858" s="181"/>
      <c r="J858" s="182"/>
      <c r="K858" s="182"/>
      <c r="L858" s="182"/>
      <c r="M858" s="165"/>
      <c r="N858" s="181"/>
      <c r="O858" s="181"/>
      <c r="P858" s="183"/>
      <c r="Q858" s="104"/>
      <c r="R858" s="393"/>
      <c r="S858" s="104"/>
    </row>
    <row r="859" ht="29.25" customHeight="1">
      <c r="A859" s="230"/>
      <c r="B859" s="389"/>
      <c r="C859" s="390"/>
      <c r="D859" s="391"/>
      <c r="E859" s="383"/>
      <c r="F859" s="162"/>
      <c r="G859" s="232"/>
      <c r="H859" s="232"/>
      <c r="I859" s="181"/>
      <c r="J859" s="182"/>
      <c r="K859" s="182"/>
      <c r="L859" s="182"/>
      <c r="M859" s="165"/>
      <c r="N859" s="181"/>
      <c r="O859" s="181"/>
      <c r="P859" s="183"/>
      <c r="Q859" s="104"/>
      <c r="R859" s="388"/>
      <c r="S859" s="104"/>
    </row>
    <row r="860" ht="29.25" customHeight="1">
      <c r="A860" s="230"/>
      <c r="B860" s="389"/>
      <c r="C860" s="390"/>
      <c r="D860" s="391"/>
      <c r="E860" s="392"/>
      <c r="F860" s="162"/>
      <c r="G860" s="232"/>
      <c r="H860" s="232"/>
      <c r="I860" s="181"/>
      <c r="J860" s="182"/>
      <c r="K860" s="182"/>
      <c r="L860" s="182"/>
      <c r="M860" s="165"/>
      <c r="N860" s="181"/>
      <c r="O860" s="181"/>
      <c r="P860" s="183"/>
      <c r="Q860" s="104"/>
      <c r="R860" s="393"/>
      <c r="S860" s="104"/>
    </row>
    <row r="861" ht="29.25" customHeight="1">
      <c r="A861" s="230"/>
      <c r="B861" s="389"/>
      <c r="C861" s="390"/>
      <c r="D861" s="391"/>
      <c r="E861" s="383"/>
      <c r="F861" s="162"/>
      <c r="G861" s="232"/>
      <c r="H861" s="232"/>
      <c r="I861" s="181"/>
      <c r="J861" s="182"/>
      <c r="K861" s="182"/>
      <c r="L861" s="182"/>
      <c r="M861" s="165"/>
      <c r="N861" s="181"/>
      <c r="O861" s="181"/>
      <c r="P861" s="183"/>
      <c r="Q861" s="104"/>
      <c r="R861" s="388"/>
      <c r="S861" s="104"/>
    </row>
    <row r="862" ht="29.25" customHeight="1">
      <c r="A862" s="230"/>
      <c r="B862" s="389"/>
      <c r="C862" s="390"/>
      <c r="D862" s="391"/>
      <c r="E862" s="392"/>
      <c r="F862" s="162"/>
      <c r="G862" s="232"/>
      <c r="H862" s="232"/>
      <c r="I862" s="181"/>
      <c r="J862" s="182"/>
      <c r="K862" s="182"/>
      <c r="L862" s="182"/>
      <c r="M862" s="165"/>
      <c r="N862" s="181"/>
      <c r="O862" s="181"/>
      <c r="P862" s="183"/>
      <c r="Q862" s="104"/>
      <c r="R862" s="393"/>
      <c r="S862" s="104"/>
    </row>
    <row r="863" ht="29.25" customHeight="1">
      <c r="A863" s="230"/>
      <c r="B863" s="389"/>
      <c r="C863" s="390"/>
      <c r="D863" s="391"/>
      <c r="E863" s="383"/>
      <c r="F863" s="162"/>
      <c r="G863" s="232"/>
      <c r="H863" s="232"/>
      <c r="I863" s="181"/>
      <c r="J863" s="182"/>
      <c r="K863" s="182"/>
      <c r="L863" s="182"/>
      <c r="M863" s="165"/>
      <c r="N863" s="181"/>
      <c r="O863" s="181"/>
      <c r="P863" s="183"/>
      <c r="Q863" s="104"/>
      <c r="R863" s="388"/>
      <c r="S863" s="104"/>
    </row>
    <row r="864" ht="29.25" customHeight="1">
      <c r="A864" s="230"/>
      <c r="B864" s="389"/>
      <c r="C864" s="390"/>
      <c r="D864" s="391"/>
      <c r="E864" s="392"/>
      <c r="F864" s="162"/>
      <c r="G864" s="232"/>
      <c r="H864" s="232"/>
      <c r="I864" s="181"/>
      <c r="J864" s="182"/>
      <c r="K864" s="182"/>
      <c r="L864" s="182"/>
      <c r="M864" s="165"/>
      <c r="N864" s="181"/>
      <c r="O864" s="181"/>
      <c r="P864" s="183"/>
      <c r="Q864" s="104"/>
      <c r="R864" s="393"/>
      <c r="S864" s="104"/>
    </row>
    <row r="865" ht="29.25" customHeight="1">
      <c r="A865" s="230"/>
      <c r="B865" s="389"/>
      <c r="C865" s="390"/>
      <c r="D865" s="391"/>
      <c r="E865" s="383"/>
      <c r="F865" s="162"/>
      <c r="G865" s="232"/>
      <c r="H865" s="232"/>
      <c r="I865" s="181"/>
      <c r="J865" s="182"/>
      <c r="K865" s="182"/>
      <c r="L865" s="182"/>
      <c r="M865" s="165"/>
      <c r="N865" s="181"/>
      <c r="O865" s="181"/>
      <c r="P865" s="183"/>
      <c r="Q865" s="104"/>
      <c r="R865" s="388"/>
      <c r="S865" s="104"/>
    </row>
    <row r="866" ht="29.25" customHeight="1">
      <c r="A866" s="230"/>
      <c r="B866" s="389"/>
      <c r="C866" s="390"/>
      <c r="D866" s="391"/>
      <c r="E866" s="392"/>
      <c r="F866" s="162"/>
      <c r="G866" s="232"/>
      <c r="H866" s="232"/>
      <c r="I866" s="181"/>
      <c r="J866" s="182"/>
      <c r="K866" s="182"/>
      <c r="L866" s="182"/>
      <c r="M866" s="165"/>
      <c r="N866" s="181"/>
      <c r="O866" s="181"/>
      <c r="P866" s="183"/>
      <c r="Q866" s="104"/>
      <c r="R866" s="393"/>
      <c r="S866" s="104"/>
    </row>
    <row r="867" ht="29.25" customHeight="1">
      <c r="A867" s="230"/>
      <c r="B867" s="389"/>
      <c r="C867" s="390"/>
      <c r="D867" s="391"/>
      <c r="E867" s="383"/>
      <c r="F867" s="162"/>
      <c r="G867" s="232"/>
      <c r="H867" s="232"/>
      <c r="I867" s="181"/>
      <c r="J867" s="182"/>
      <c r="K867" s="182"/>
      <c r="L867" s="182"/>
      <c r="M867" s="165"/>
      <c r="N867" s="181"/>
      <c r="O867" s="181"/>
      <c r="P867" s="183"/>
      <c r="Q867" s="104"/>
      <c r="R867" s="388"/>
      <c r="S867" s="104"/>
    </row>
    <row r="868" ht="29.25" customHeight="1">
      <c r="A868" s="230"/>
      <c r="B868" s="389"/>
      <c r="C868" s="390"/>
      <c r="D868" s="391"/>
      <c r="E868" s="392"/>
      <c r="F868" s="162"/>
      <c r="G868" s="232"/>
      <c r="H868" s="232"/>
      <c r="I868" s="181"/>
      <c r="J868" s="182"/>
      <c r="K868" s="182"/>
      <c r="L868" s="182"/>
      <c r="M868" s="165"/>
      <c r="N868" s="181"/>
      <c r="O868" s="181"/>
      <c r="P868" s="183"/>
      <c r="Q868" s="104"/>
      <c r="R868" s="393"/>
      <c r="S868" s="104"/>
    </row>
    <row r="869" ht="29.25" customHeight="1">
      <c r="A869" s="230"/>
      <c r="B869" s="389"/>
      <c r="C869" s="390"/>
      <c r="D869" s="391"/>
      <c r="E869" s="383"/>
      <c r="F869" s="162"/>
      <c r="G869" s="232"/>
      <c r="H869" s="232"/>
      <c r="I869" s="181"/>
      <c r="J869" s="182"/>
      <c r="K869" s="182"/>
      <c r="L869" s="182"/>
      <c r="M869" s="165"/>
      <c r="N869" s="181"/>
      <c r="O869" s="181"/>
      <c r="P869" s="183"/>
      <c r="Q869" s="104"/>
      <c r="R869" s="388"/>
      <c r="S869" s="104"/>
    </row>
    <row r="870" ht="29.25" customHeight="1">
      <c r="A870" s="230"/>
      <c r="B870" s="389"/>
      <c r="C870" s="390"/>
      <c r="D870" s="391"/>
      <c r="E870" s="392"/>
      <c r="F870" s="162"/>
      <c r="G870" s="232"/>
      <c r="H870" s="232"/>
      <c r="I870" s="181"/>
      <c r="J870" s="182"/>
      <c r="K870" s="182"/>
      <c r="L870" s="182"/>
      <c r="M870" s="165"/>
      <c r="N870" s="181"/>
      <c r="O870" s="181"/>
      <c r="P870" s="183"/>
      <c r="Q870" s="104"/>
      <c r="R870" s="393"/>
      <c r="S870" s="104"/>
    </row>
    <row r="871" ht="29.25" customHeight="1">
      <c r="A871" s="230"/>
      <c r="B871" s="389"/>
      <c r="C871" s="390"/>
      <c r="D871" s="391"/>
      <c r="E871" s="383"/>
      <c r="F871" s="162"/>
      <c r="G871" s="232"/>
      <c r="H871" s="232"/>
      <c r="I871" s="181"/>
      <c r="J871" s="182"/>
      <c r="K871" s="182"/>
      <c r="L871" s="182"/>
      <c r="M871" s="165"/>
      <c r="N871" s="181"/>
      <c r="O871" s="181"/>
      <c r="P871" s="183"/>
      <c r="Q871" s="104"/>
      <c r="R871" s="388"/>
      <c r="S871" s="104"/>
    </row>
    <row r="872" ht="29.25" customHeight="1">
      <c r="A872" s="230"/>
      <c r="B872" s="389"/>
      <c r="C872" s="390"/>
      <c r="D872" s="391"/>
      <c r="E872" s="392"/>
      <c r="F872" s="162"/>
      <c r="G872" s="232"/>
      <c r="H872" s="232"/>
      <c r="I872" s="181"/>
      <c r="J872" s="182"/>
      <c r="K872" s="182"/>
      <c r="L872" s="182"/>
      <c r="M872" s="165"/>
      <c r="N872" s="181"/>
      <c r="O872" s="181"/>
      <c r="P872" s="183"/>
      <c r="Q872" s="104"/>
      <c r="R872" s="393"/>
      <c r="S872" s="104"/>
    </row>
    <row r="873" ht="29.25" customHeight="1">
      <c r="A873" s="230"/>
      <c r="B873" s="389"/>
      <c r="C873" s="390"/>
      <c r="D873" s="391"/>
      <c r="E873" s="383"/>
      <c r="F873" s="162"/>
      <c r="G873" s="232"/>
      <c r="H873" s="232"/>
      <c r="I873" s="181"/>
      <c r="J873" s="182"/>
      <c r="K873" s="182"/>
      <c r="L873" s="182"/>
      <c r="M873" s="165"/>
      <c r="N873" s="181"/>
      <c r="O873" s="181"/>
      <c r="P873" s="183"/>
      <c r="Q873" s="104"/>
      <c r="R873" s="388"/>
      <c r="S873" s="104"/>
    </row>
    <row r="874" ht="29.25" customHeight="1">
      <c r="A874" s="230"/>
      <c r="B874" s="389"/>
      <c r="C874" s="390"/>
      <c r="D874" s="391"/>
      <c r="E874" s="392"/>
      <c r="F874" s="162"/>
      <c r="G874" s="232"/>
      <c r="H874" s="232"/>
      <c r="I874" s="181"/>
      <c r="J874" s="182"/>
      <c r="K874" s="182"/>
      <c r="L874" s="182"/>
      <c r="M874" s="165"/>
      <c r="N874" s="181"/>
      <c r="O874" s="181"/>
      <c r="P874" s="183"/>
      <c r="Q874" s="104"/>
      <c r="R874" s="393"/>
      <c r="S874" s="104"/>
    </row>
    <row r="875" ht="29.25" customHeight="1">
      <c r="A875" s="230"/>
      <c r="B875" s="389"/>
      <c r="C875" s="390"/>
      <c r="D875" s="391"/>
      <c r="E875" s="383"/>
      <c r="F875" s="162"/>
      <c r="G875" s="232"/>
      <c r="H875" s="232"/>
      <c r="I875" s="181"/>
      <c r="J875" s="182"/>
      <c r="K875" s="182"/>
      <c r="L875" s="182"/>
      <c r="M875" s="165"/>
      <c r="N875" s="181"/>
      <c r="O875" s="181"/>
      <c r="P875" s="183"/>
      <c r="Q875" s="104"/>
      <c r="R875" s="388"/>
      <c r="S875" s="104"/>
    </row>
    <row r="876" ht="29.25" customHeight="1">
      <c r="A876" s="230"/>
      <c r="B876" s="389"/>
      <c r="C876" s="390"/>
      <c r="D876" s="391"/>
      <c r="E876" s="392"/>
      <c r="F876" s="162"/>
      <c r="G876" s="232"/>
      <c r="H876" s="232"/>
      <c r="I876" s="181"/>
      <c r="J876" s="182"/>
      <c r="K876" s="182"/>
      <c r="L876" s="182"/>
      <c r="M876" s="165"/>
      <c r="N876" s="181"/>
      <c r="O876" s="181"/>
      <c r="P876" s="183"/>
      <c r="Q876" s="104"/>
      <c r="R876" s="393"/>
      <c r="S876" s="104"/>
    </row>
    <row r="877" ht="29.25" customHeight="1">
      <c r="A877" s="230"/>
      <c r="B877" s="389"/>
      <c r="C877" s="390"/>
      <c r="D877" s="391"/>
      <c r="E877" s="383"/>
      <c r="F877" s="162"/>
      <c r="G877" s="232"/>
      <c r="H877" s="232"/>
      <c r="I877" s="181"/>
      <c r="J877" s="182"/>
      <c r="K877" s="182"/>
      <c r="L877" s="182"/>
      <c r="M877" s="165"/>
      <c r="N877" s="181"/>
      <c r="O877" s="181"/>
      <c r="P877" s="183"/>
      <c r="Q877" s="104"/>
      <c r="R877" s="388"/>
      <c r="S877" s="104"/>
    </row>
    <row r="878" ht="29.25" customHeight="1">
      <c r="A878" s="230"/>
      <c r="B878" s="389"/>
      <c r="C878" s="390"/>
      <c r="D878" s="391"/>
      <c r="E878" s="392"/>
      <c r="F878" s="162"/>
      <c r="G878" s="232"/>
      <c r="H878" s="232"/>
      <c r="I878" s="181"/>
      <c r="J878" s="182"/>
      <c r="K878" s="182"/>
      <c r="L878" s="182"/>
      <c r="M878" s="165"/>
      <c r="N878" s="181"/>
      <c r="O878" s="181"/>
      <c r="P878" s="183"/>
      <c r="Q878" s="104"/>
      <c r="R878" s="393"/>
      <c r="S878" s="104"/>
    </row>
    <row r="879" ht="29.25" customHeight="1">
      <c r="A879" s="230"/>
      <c r="B879" s="389"/>
      <c r="C879" s="390"/>
      <c r="D879" s="391"/>
      <c r="E879" s="383"/>
      <c r="F879" s="162"/>
      <c r="G879" s="232"/>
      <c r="H879" s="232"/>
      <c r="I879" s="181"/>
      <c r="J879" s="182"/>
      <c r="K879" s="182"/>
      <c r="L879" s="182"/>
      <c r="M879" s="165"/>
      <c r="N879" s="181"/>
      <c r="O879" s="181"/>
      <c r="P879" s="183"/>
      <c r="Q879" s="104"/>
      <c r="R879" s="388"/>
      <c r="S879" s="104"/>
    </row>
    <row r="880" ht="29.25" customHeight="1">
      <c r="A880" s="230"/>
      <c r="B880" s="389"/>
      <c r="C880" s="390"/>
      <c r="D880" s="391"/>
      <c r="E880" s="392"/>
      <c r="F880" s="162"/>
      <c r="G880" s="232"/>
      <c r="H880" s="232"/>
      <c r="I880" s="181"/>
      <c r="J880" s="182"/>
      <c r="K880" s="182"/>
      <c r="L880" s="182"/>
      <c r="M880" s="165"/>
      <c r="N880" s="181"/>
      <c r="O880" s="181"/>
      <c r="P880" s="183"/>
      <c r="Q880" s="104"/>
      <c r="R880" s="393"/>
      <c r="S880" s="104"/>
    </row>
    <row r="881" ht="29.25" customHeight="1">
      <c r="A881" s="230"/>
      <c r="B881" s="389"/>
      <c r="C881" s="390"/>
      <c r="D881" s="391"/>
      <c r="E881" s="383"/>
      <c r="F881" s="162"/>
      <c r="G881" s="232"/>
      <c r="H881" s="232"/>
      <c r="I881" s="181"/>
      <c r="J881" s="182"/>
      <c r="K881" s="182"/>
      <c r="L881" s="182"/>
      <c r="M881" s="165"/>
      <c r="N881" s="181"/>
      <c r="O881" s="181"/>
      <c r="P881" s="183"/>
      <c r="Q881" s="104"/>
      <c r="R881" s="388"/>
      <c r="S881" s="104"/>
    </row>
    <row r="882" ht="29.25" customHeight="1">
      <c r="A882" s="230"/>
      <c r="B882" s="389"/>
      <c r="C882" s="390"/>
      <c r="D882" s="391"/>
      <c r="E882" s="392"/>
      <c r="F882" s="162"/>
      <c r="G882" s="232"/>
      <c r="H882" s="232"/>
      <c r="I882" s="181"/>
      <c r="J882" s="182"/>
      <c r="K882" s="182"/>
      <c r="L882" s="182"/>
      <c r="M882" s="165"/>
      <c r="N882" s="181"/>
      <c r="O882" s="181"/>
      <c r="P882" s="183"/>
      <c r="Q882" s="104"/>
      <c r="R882" s="393"/>
      <c r="S882" s="104"/>
    </row>
    <row r="883" ht="29.25" customHeight="1">
      <c r="A883" s="230"/>
      <c r="B883" s="389"/>
      <c r="C883" s="390"/>
      <c r="D883" s="391"/>
      <c r="E883" s="383"/>
      <c r="F883" s="162"/>
      <c r="G883" s="232"/>
      <c r="H883" s="232"/>
      <c r="I883" s="181"/>
      <c r="J883" s="182"/>
      <c r="K883" s="182"/>
      <c r="L883" s="182"/>
      <c r="M883" s="165"/>
      <c r="N883" s="181"/>
      <c r="O883" s="181"/>
      <c r="P883" s="183"/>
      <c r="Q883" s="104"/>
      <c r="R883" s="388"/>
      <c r="S883" s="104"/>
    </row>
    <row r="884" ht="29.25" customHeight="1">
      <c r="A884" s="230"/>
      <c r="B884" s="389"/>
      <c r="C884" s="390"/>
      <c r="D884" s="391"/>
      <c r="E884" s="392"/>
      <c r="F884" s="162"/>
      <c r="G884" s="232"/>
      <c r="H884" s="232"/>
      <c r="I884" s="181"/>
      <c r="J884" s="182"/>
      <c r="K884" s="182"/>
      <c r="L884" s="182"/>
      <c r="M884" s="165"/>
      <c r="N884" s="181"/>
      <c r="O884" s="181"/>
      <c r="P884" s="183"/>
      <c r="Q884" s="104"/>
      <c r="R884" s="393"/>
      <c r="S884" s="104"/>
    </row>
    <row r="885" ht="29.25" customHeight="1">
      <c r="A885" s="230"/>
      <c r="B885" s="389"/>
      <c r="C885" s="390"/>
      <c r="D885" s="391"/>
      <c r="E885" s="383"/>
      <c r="F885" s="162"/>
      <c r="G885" s="232"/>
      <c r="H885" s="232"/>
      <c r="I885" s="181"/>
      <c r="J885" s="182"/>
      <c r="K885" s="182"/>
      <c r="L885" s="182"/>
      <c r="M885" s="165"/>
      <c r="N885" s="181"/>
      <c r="O885" s="181"/>
      <c r="P885" s="183"/>
      <c r="Q885" s="104"/>
      <c r="R885" s="388"/>
      <c r="S885" s="104"/>
    </row>
    <row r="886" ht="29.25" customHeight="1">
      <c r="A886" s="230"/>
      <c r="B886" s="389"/>
      <c r="C886" s="390"/>
      <c r="D886" s="391"/>
      <c r="E886" s="392"/>
      <c r="F886" s="162"/>
      <c r="G886" s="232"/>
      <c r="H886" s="232"/>
      <c r="I886" s="181"/>
      <c r="J886" s="182"/>
      <c r="K886" s="182"/>
      <c r="L886" s="182"/>
      <c r="M886" s="165"/>
      <c r="N886" s="181"/>
      <c r="O886" s="181"/>
      <c r="P886" s="183"/>
      <c r="Q886" s="104"/>
      <c r="R886" s="393"/>
      <c r="S886" s="104"/>
    </row>
    <row r="887" ht="29.25" customHeight="1">
      <c r="A887" s="230"/>
      <c r="B887" s="389"/>
      <c r="C887" s="390"/>
      <c r="D887" s="391"/>
      <c r="E887" s="383"/>
      <c r="F887" s="162"/>
      <c r="G887" s="232"/>
      <c r="H887" s="232"/>
      <c r="I887" s="181"/>
      <c r="J887" s="182"/>
      <c r="K887" s="182"/>
      <c r="L887" s="182"/>
      <c r="M887" s="165"/>
      <c r="N887" s="181"/>
      <c r="O887" s="181"/>
      <c r="P887" s="183"/>
      <c r="Q887" s="104"/>
      <c r="R887" s="388"/>
      <c r="S887" s="104"/>
    </row>
    <row r="888" ht="29.25" customHeight="1">
      <c r="A888" s="230"/>
      <c r="B888" s="389"/>
      <c r="C888" s="390"/>
      <c r="D888" s="391"/>
      <c r="E888" s="392"/>
      <c r="F888" s="162"/>
      <c r="G888" s="232"/>
      <c r="H888" s="232"/>
      <c r="I888" s="181"/>
      <c r="J888" s="182"/>
      <c r="K888" s="182"/>
      <c r="L888" s="182"/>
      <c r="M888" s="165"/>
      <c r="N888" s="181"/>
      <c r="O888" s="181"/>
      <c r="P888" s="183"/>
      <c r="Q888" s="104"/>
      <c r="R888" s="393"/>
      <c r="S888" s="104"/>
    </row>
    <row r="889" ht="29.25" customHeight="1">
      <c r="A889" s="230"/>
      <c r="B889" s="389"/>
      <c r="C889" s="390"/>
      <c r="D889" s="391"/>
      <c r="E889" s="383"/>
      <c r="F889" s="162"/>
      <c r="G889" s="232"/>
      <c r="H889" s="232"/>
      <c r="I889" s="181"/>
      <c r="J889" s="182"/>
      <c r="K889" s="182"/>
      <c r="L889" s="182"/>
      <c r="M889" s="165"/>
      <c r="N889" s="181"/>
      <c r="O889" s="181"/>
      <c r="P889" s="183"/>
      <c r="Q889" s="104"/>
      <c r="R889" s="388"/>
      <c r="S889" s="104"/>
    </row>
    <row r="890" ht="29.25" customHeight="1">
      <c r="A890" s="230"/>
      <c r="B890" s="389"/>
      <c r="C890" s="390"/>
      <c r="D890" s="391"/>
      <c r="E890" s="392"/>
      <c r="F890" s="162"/>
      <c r="G890" s="232"/>
      <c r="H890" s="232"/>
      <c r="I890" s="181"/>
      <c r="J890" s="182"/>
      <c r="K890" s="182"/>
      <c r="L890" s="182"/>
      <c r="M890" s="165"/>
      <c r="N890" s="181"/>
      <c r="O890" s="181"/>
      <c r="P890" s="183"/>
      <c r="Q890" s="104"/>
      <c r="R890" s="393"/>
      <c r="S890" s="104"/>
    </row>
    <row r="891" ht="29.25" customHeight="1">
      <c r="A891" s="230"/>
      <c r="B891" s="389"/>
      <c r="C891" s="390"/>
      <c r="D891" s="391"/>
      <c r="E891" s="383"/>
      <c r="F891" s="162"/>
      <c r="G891" s="232"/>
      <c r="H891" s="232"/>
      <c r="I891" s="181"/>
      <c r="J891" s="182"/>
      <c r="K891" s="182"/>
      <c r="L891" s="182"/>
      <c r="M891" s="165"/>
      <c r="N891" s="181"/>
      <c r="O891" s="181"/>
      <c r="P891" s="183"/>
      <c r="Q891" s="104"/>
      <c r="R891" s="388"/>
      <c r="S891" s="104"/>
    </row>
    <row r="892" ht="29.25" customHeight="1">
      <c r="A892" s="230"/>
      <c r="B892" s="389"/>
      <c r="C892" s="390"/>
      <c r="D892" s="391"/>
      <c r="E892" s="392"/>
      <c r="F892" s="162"/>
      <c r="G892" s="232"/>
      <c r="H892" s="232"/>
      <c r="I892" s="181"/>
      <c r="J892" s="182"/>
      <c r="K892" s="182"/>
      <c r="L892" s="182"/>
      <c r="M892" s="165"/>
      <c r="N892" s="181"/>
      <c r="O892" s="181"/>
      <c r="P892" s="183"/>
      <c r="Q892" s="104"/>
      <c r="R892" s="393"/>
      <c r="S892" s="104"/>
    </row>
    <row r="893" ht="29.25" customHeight="1">
      <c r="A893" s="230"/>
      <c r="B893" s="389"/>
      <c r="C893" s="390"/>
      <c r="D893" s="391"/>
      <c r="E893" s="383"/>
      <c r="F893" s="162"/>
      <c r="G893" s="232"/>
      <c r="H893" s="232"/>
      <c r="I893" s="181"/>
      <c r="J893" s="182"/>
      <c r="K893" s="182"/>
      <c r="L893" s="182"/>
      <c r="M893" s="165"/>
      <c r="N893" s="181"/>
      <c r="O893" s="181"/>
      <c r="P893" s="183"/>
      <c r="Q893" s="104"/>
      <c r="R893" s="388"/>
      <c r="S893" s="104"/>
    </row>
    <row r="894" ht="29.25" customHeight="1">
      <c r="A894" s="230"/>
      <c r="B894" s="389"/>
      <c r="C894" s="390"/>
      <c r="D894" s="391"/>
      <c r="E894" s="392"/>
      <c r="F894" s="162"/>
      <c r="G894" s="232"/>
      <c r="H894" s="232"/>
      <c r="I894" s="181"/>
      <c r="J894" s="182"/>
      <c r="K894" s="182"/>
      <c r="L894" s="182"/>
      <c r="M894" s="165"/>
      <c r="N894" s="181"/>
      <c r="O894" s="181"/>
      <c r="P894" s="183"/>
      <c r="Q894" s="104"/>
      <c r="R894" s="393"/>
      <c r="S894" s="104"/>
    </row>
    <row r="895" ht="29.25" customHeight="1">
      <c r="A895" s="230"/>
      <c r="B895" s="389"/>
      <c r="C895" s="390"/>
      <c r="D895" s="391"/>
      <c r="E895" s="383"/>
      <c r="F895" s="162"/>
      <c r="G895" s="232"/>
      <c r="H895" s="232"/>
      <c r="I895" s="181"/>
      <c r="J895" s="182"/>
      <c r="K895" s="182"/>
      <c r="L895" s="182"/>
      <c r="M895" s="165"/>
      <c r="N895" s="181"/>
      <c r="O895" s="181"/>
      <c r="P895" s="183"/>
      <c r="Q895" s="104"/>
      <c r="R895" s="388"/>
      <c r="S895" s="104"/>
    </row>
    <row r="896" ht="29.25" customHeight="1">
      <c r="A896" s="230"/>
      <c r="B896" s="389"/>
      <c r="C896" s="390"/>
      <c r="D896" s="391"/>
      <c r="E896" s="392"/>
      <c r="F896" s="162"/>
      <c r="G896" s="232"/>
      <c r="H896" s="232"/>
      <c r="I896" s="181"/>
      <c r="J896" s="182"/>
      <c r="K896" s="182"/>
      <c r="L896" s="182"/>
      <c r="M896" s="165"/>
      <c r="N896" s="181"/>
      <c r="O896" s="181"/>
      <c r="P896" s="183"/>
      <c r="Q896" s="104"/>
      <c r="R896" s="393"/>
      <c r="S896" s="104"/>
    </row>
    <row r="897" ht="29.25" customHeight="1">
      <c r="A897" s="230"/>
      <c r="B897" s="389"/>
      <c r="C897" s="390"/>
      <c r="D897" s="391"/>
      <c r="E897" s="383"/>
      <c r="F897" s="162"/>
      <c r="G897" s="232"/>
      <c r="H897" s="232"/>
      <c r="I897" s="181"/>
      <c r="J897" s="182"/>
      <c r="K897" s="182"/>
      <c r="L897" s="182"/>
      <c r="M897" s="165"/>
      <c r="N897" s="181"/>
      <c r="O897" s="181"/>
      <c r="P897" s="183"/>
      <c r="Q897" s="104"/>
      <c r="R897" s="388"/>
      <c r="S897" s="104"/>
    </row>
    <row r="898" ht="29.25" customHeight="1">
      <c r="A898" s="230"/>
      <c r="B898" s="389"/>
      <c r="C898" s="390"/>
      <c r="D898" s="391"/>
      <c r="E898" s="392"/>
      <c r="F898" s="162"/>
      <c r="G898" s="232"/>
      <c r="H898" s="232"/>
      <c r="I898" s="181"/>
      <c r="J898" s="182"/>
      <c r="K898" s="182"/>
      <c r="L898" s="182"/>
      <c r="M898" s="165"/>
      <c r="N898" s="181"/>
      <c r="O898" s="181"/>
      <c r="P898" s="183"/>
      <c r="Q898" s="104"/>
      <c r="R898" s="393"/>
      <c r="S898" s="104"/>
    </row>
    <row r="899" ht="29.25" customHeight="1">
      <c r="A899" s="230"/>
      <c r="B899" s="389"/>
      <c r="C899" s="390"/>
      <c r="D899" s="391"/>
      <c r="E899" s="383"/>
      <c r="F899" s="162"/>
      <c r="G899" s="232"/>
      <c r="H899" s="232"/>
      <c r="I899" s="181"/>
      <c r="J899" s="182"/>
      <c r="K899" s="182"/>
      <c r="L899" s="182"/>
      <c r="M899" s="165"/>
      <c r="N899" s="181"/>
      <c r="O899" s="181"/>
      <c r="P899" s="183"/>
      <c r="Q899" s="104"/>
      <c r="R899" s="388"/>
      <c r="S899" s="104"/>
    </row>
    <row r="900" ht="29.25" customHeight="1">
      <c r="A900" s="230"/>
      <c r="B900" s="389"/>
      <c r="C900" s="390"/>
      <c r="D900" s="391"/>
      <c r="E900" s="392"/>
      <c r="F900" s="162"/>
      <c r="G900" s="232"/>
      <c r="H900" s="232"/>
      <c r="I900" s="181"/>
      <c r="J900" s="182"/>
      <c r="K900" s="182"/>
      <c r="L900" s="182"/>
      <c r="M900" s="165"/>
      <c r="N900" s="181"/>
      <c r="O900" s="181"/>
      <c r="P900" s="183"/>
      <c r="Q900" s="104"/>
      <c r="R900" s="393"/>
      <c r="S900" s="104"/>
    </row>
    <row r="901" ht="29.25" customHeight="1">
      <c r="A901" s="230"/>
      <c r="B901" s="389"/>
      <c r="C901" s="390"/>
      <c r="D901" s="391"/>
      <c r="E901" s="383"/>
      <c r="F901" s="162"/>
      <c r="G901" s="232"/>
      <c r="H901" s="232"/>
      <c r="I901" s="181"/>
      <c r="J901" s="182"/>
      <c r="K901" s="182"/>
      <c r="L901" s="182"/>
      <c r="M901" s="165"/>
      <c r="N901" s="181"/>
      <c r="O901" s="181"/>
      <c r="P901" s="183"/>
      <c r="Q901" s="104"/>
      <c r="R901" s="388"/>
      <c r="S901" s="104"/>
    </row>
    <row r="902" ht="29.25" customHeight="1">
      <c r="A902" s="230"/>
      <c r="B902" s="389"/>
      <c r="C902" s="390"/>
      <c r="D902" s="391"/>
      <c r="E902" s="392"/>
      <c r="F902" s="162"/>
      <c r="G902" s="232"/>
      <c r="H902" s="232"/>
      <c r="I902" s="181"/>
      <c r="J902" s="182"/>
      <c r="K902" s="182"/>
      <c r="L902" s="182"/>
      <c r="M902" s="165"/>
      <c r="N902" s="181"/>
      <c r="O902" s="181"/>
      <c r="P902" s="183"/>
      <c r="Q902" s="104"/>
      <c r="R902" s="393"/>
      <c r="S902" s="104"/>
    </row>
    <row r="903" ht="29.25" customHeight="1">
      <c r="A903" s="230"/>
      <c r="B903" s="389"/>
      <c r="C903" s="390"/>
      <c r="D903" s="391"/>
      <c r="E903" s="383"/>
      <c r="F903" s="162"/>
      <c r="G903" s="232"/>
      <c r="H903" s="232"/>
      <c r="I903" s="181"/>
      <c r="J903" s="182"/>
      <c r="K903" s="182"/>
      <c r="L903" s="182"/>
      <c r="M903" s="165"/>
      <c r="N903" s="181"/>
      <c r="O903" s="181"/>
      <c r="P903" s="183"/>
      <c r="Q903" s="104"/>
      <c r="R903" s="388"/>
      <c r="S903" s="104"/>
    </row>
    <row r="904" ht="29.25" customHeight="1">
      <c r="A904" s="230"/>
      <c r="B904" s="389"/>
      <c r="C904" s="390"/>
      <c r="D904" s="391"/>
      <c r="E904" s="392"/>
      <c r="F904" s="162"/>
      <c r="G904" s="232"/>
      <c r="H904" s="232"/>
      <c r="I904" s="181"/>
      <c r="J904" s="182"/>
      <c r="K904" s="182"/>
      <c r="L904" s="182"/>
      <c r="M904" s="165"/>
      <c r="N904" s="181"/>
      <c r="O904" s="181"/>
      <c r="P904" s="183"/>
      <c r="Q904" s="104"/>
      <c r="R904" s="393"/>
      <c r="S904" s="104"/>
    </row>
    <row r="905" ht="29.25" customHeight="1">
      <c r="A905" s="230"/>
      <c r="B905" s="389"/>
      <c r="C905" s="390"/>
      <c r="D905" s="391"/>
      <c r="E905" s="383"/>
      <c r="F905" s="162"/>
      <c r="G905" s="232"/>
      <c r="H905" s="232"/>
      <c r="I905" s="181"/>
      <c r="J905" s="182"/>
      <c r="K905" s="182"/>
      <c r="L905" s="182"/>
      <c r="M905" s="165"/>
      <c r="N905" s="181"/>
      <c r="O905" s="181"/>
      <c r="P905" s="183"/>
      <c r="Q905" s="104"/>
      <c r="R905" s="388"/>
      <c r="S905" s="104"/>
    </row>
    <row r="906" ht="29.25" customHeight="1">
      <c r="A906" s="230"/>
      <c r="B906" s="389"/>
      <c r="C906" s="390"/>
      <c r="D906" s="391"/>
      <c r="E906" s="392"/>
      <c r="F906" s="162"/>
      <c r="G906" s="232"/>
      <c r="H906" s="232"/>
      <c r="I906" s="181"/>
      <c r="J906" s="182"/>
      <c r="K906" s="182"/>
      <c r="L906" s="182"/>
      <c r="M906" s="165"/>
      <c r="N906" s="181"/>
      <c r="O906" s="181"/>
      <c r="P906" s="183"/>
      <c r="Q906" s="104"/>
      <c r="R906" s="393"/>
      <c r="S906" s="104"/>
    </row>
    <row r="907" ht="29.25" customHeight="1">
      <c r="A907" s="230"/>
      <c r="B907" s="389"/>
      <c r="C907" s="390"/>
      <c r="D907" s="391"/>
      <c r="E907" s="383"/>
      <c r="F907" s="162"/>
      <c r="G907" s="232"/>
      <c r="H907" s="232"/>
      <c r="I907" s="181"/>
      <c r="J907" s="182"/>
      <c r="K907" s="182"/>
      <c r="L907" s="182"/>
      <c r="M907" s="165"/>
      <c r="N907" s="181"/>
      <c r="O907" s="181"/>
      <c r="P907" s="183"/>
      <c r="Q907" s="104"/>
      <c r="R907" s="388"/>
      <c r="S907" s="104"/>
    </row>
    <row r="908" ht="29.25" customHeight="1">
      <c r="A908" s="230"/>
      <c r="B908" s="389"/>
      <c r="C908" s="390"/>
      <c r="D908" s="391"/>
      <c r="E908" s="392"/>
      <c r="F908" s="162"/>
      <c r="G908" s="232"/>
      <c r="H908" s="232"/>
      <c r="I908" s="181"/>
      <c r="J908" s="182"/>
      <c r="K908" s="182"/>
      <c r="L908" s="182"/>
      <c r="M908" s="165"/>
      <c r="N908" s="181"/>
      <c r="O908" s="181"/>
      <c r="P908" s="183"/>
      <c r="Q908" s="104"/>
      <c r="R908" s="393"/>
      <c r="S908" s="104"/>
    </row>
    <row r="909" ht="29.25" customHeight="1">
      <c r="A909" s="230"/>
      <c r="B909" s="389"/>
      <c r="C909" s="390"/>
      <c r="D909" s="391"/>
      <c r="E909" s="383"/>
      <c r="F909" s="162"/>
      <c r="G909" s="232"/>
      <c r="H909" s="232"/>
      <c r="I909" s="181"/>
      <c r="J909" s="182"/>
      <c r="K909" s="182"/>
      <c r="L909" s="182"/>
      <c r="M909" s="165"/>
      <c r="N909" s="181"/>
      <c r="O909" s="181"/>
      <c r="P909" s="183"/>
      <c r="Q909" s="104"/>
      <c r="R909" s="388"/>
      <c r="S909" s="104"/>
    </row>
    <row r="910" ht="29.25" customHeight="1">
      <c r="A910" s="230"/>
      <c r="B910" s="389"/>
      <c r="C910" s="390"/>
      <c r="D910" s="391"/>
      <c r="E910" s="392"/>
      <c r="F910" s="162"/>
      <c r="G910" s="232"/>
      <c r="H910" s="232"/>
      <c r="I910" s="181"/>
      <c r="J910" s="182"/>
      <c r="K910" s="182"/>
      <c r="L910" s="182"/>
      <c r="M910" s="165"/>
      <c r="N910" s="181"/>
      <c r="O910" s="181"/>
      <c r="P910" s="183"/>
      <c r="Q910" s="104"/>
      <c r="R910" s="393"/>
      <c r="S910" s="104"/>
    </row>
    <row r="911" ht="29.25" customHeight="1">
      <c r="A911" s="230"/>
      <c r="B911" s="389"/>
      <c r="C911" s="390"/>
      <c r="D911" s="391"/>
      <c r="E911" s="383"/>
      <c r="F911" s="162"/>
      <c r="G911" s="232"/>
      <c r="H911" s="232"/>
      <c r="I911" s="181"/>
      <c r="J911" s="182"/>
      <c r="K911" s="182"/>
      <c r="L911" s="182"/>
      <c r="M911" s="165"/>
      <c r="N911" s="181"/>
      <c r="O911" s="181"/>
      <c r="P911" s="183"/>
      <c r="Q911" s="104"/>
      <c r="R911" s="388"/>
      <c r="S911" s="104"/>
    </row>
    <row r="912" ht="29.25" customHeight="1">
      <c r="A912" s="230"/>
      <c r="B912" s="389"/>
      <c r="C912" s="390"/>
      <c r="D912" s="391"/>
      <c r="E912" s="392"/>
      <c r="F912" s="162"/>
      <c r="G912" s="232"/>
      <c r="H912" s="232"/>
      <c r="I912" s="181"/>
      <c r="J912" s="182"/>
      <c r="K912" s="182"/>
      <c r="L912" s="182"/>
      <c r="M912" s="165"/>
      <c r="N912" s="181"/>
      <c r="O912" s="181"/>
      <c r="P912" s="183"/>
      <c r="Q912" s="104"/>
      <c r="R912" s="393"/>
      <c r="S912" s="104"/>
    </row>
    <row r="913" ht="29.25" customHeight="1">
      <c r="A913" s="230"/>
      <c r="B913" s="389"/>
      <c r="C913" s="390"/>
      <c r="D913" s="391"/>
      <c r="E913" s="383"/>
      <c r="F913" s="162"/>
      <c r="G913" s="232"/>
      <c r="H913" s="232"/>
      <c r="I913" s="181"/>
      <c r="J913" s="182"/>
      <c r="K913" s="182"/>
      <c r="L913" s="182"/>
      <c r="M913" s="165"/>
      <c r="N913" s="181"/>
      <c r="O913" s="181"/>
      <c r="P913" s="183"/>
      <c r="Q913" s="104"/>
      <c r="R913" s="388"/>
      <c r="S913" s="104"/>
    </row>
    <row r="914" ht="29.25" customHeight="1">
      <c r="A914" s="230"/>
      <c r="B914" s="389"/>
      <c r="C914" s="390"/>
      <c r="D914" s="391"/>
      <c r="E914" s="392"/>
      <c r="F914" s="162"/>
      <c r="G914" s="232"/>
      <c r="H914" s="232"/>
      <c r="I914" s="181"/>
      <c r="J914" s="182"/>
      <c r="K914" s="182"/>
      <c r="L914" s="182"/>
      <c r="M914" s="165"/>
      <c r="N914" s="181"/>
      <c r="O914" s="181"/>
      <c r="P914" s="183"/>
      <c r="Q914" s="104"/>
      <c r="R914" s="393"/>
      <c r="S914" s="104"/>
    </row>
    <row r="915" ht="29.25" customHeight="1">
      <c r="A915" s="230"/>
      <c r="B915" s="389"/>
      <c r="C915" s="390"/>
      <c r="D915" s="391"/>
      <c r="E915" s="383"/>
      <c r="F915" s="162"/>
      <c r="G915" s="232"/>
      <c r="H915" s="232"/>
      <c r="I915" s="181"/>
      <c r="J915" s="182"/>
      <c r="K915" s="182"/>
      <c r="L915" s="182"/>
      <c r="M915" s="165"/>
      <c r="N915" s="181"/>
      <c r="O915" s="181"/>
      <c r="P915" s="183"/>
      <c r="Q915" s="104"/>
      <c r="R915" s="388"/>
      <c r="S915" s="104"/>
    </row>
    <row r="916" ht="29.25" customHeight="1">
      <c r="A916" s="230"/>
      <c r="B916" s="389"/>
      <c r="C916" s="390"/>
      <c r="D916" s="391"/>
      <c r="E916" s="392"/>
      <c r="F916" s="162"/>
      <c r="G916" s="232"/>
      <c r="H916" s="232"/>
      <c r="I916" s="181"/>
      <c r="J916" s="182"/>
      <c r="K916" s="182"/>
      <c r="L916" s="182"/>
      <c r="M916" s="165"/>
      <c r="N916" s="181"/>
      <c r="O916" s="181"/>
      <c r="P916" s="183"/>
      <c r="Q916" s="104"/>
      <c r="R916" s="393"/>
      <c r="S916" s="104"/>
    </row>
    <row r="917" ht="29.25" customHeight="1">
      <c r="A917" s="230"/>
      <c r="B917" s="389"/>
      <c r="C917" s="390"/>
      <c r="D917" s="391"/>
      <c r="E917" s="383"/>
      <c r="F917" s="162"/>
      <c r="G917" s="232"/>
      <c r="H917" s="232"/>
      <c r="I917" s="181"/>
      <c r="J917" s="182"/>
      <c r="K917" s="182"/>
      <c r="L917" s="182"/>
      <c r="M917" s="165"/>
      <c r="N917" s="181"/>
      <c r="O917" s="181"/>
      <c r="P917" s="183"/>
      <c r="Q917" s="104"/>
      <c r="R917" s="388"/>
      <c r="S917" s="104"/>
    </row>
    <row r="918" ht="29.25" customHeight="1">
      <c r="A918" s="230"/>
      <c r="B918" s="389"/>
      <c r="C918" s="390"/>
      <c r="D918" s="391"/>
      <c r="E918" s="392"/>
      <c r="F918" s="162"/>
      <c r="G918" s="232"/>
      <c r="H918" s="232"/>
      <c r="I918" s="181"/>
      <c r="J918" s="182"/>
      <c r="K918" s="182"/>
      <c r="L918" s="182"/>
      <c r="M918" s="165"/>
      <c r="N918" s="181"/>
      <c r="O918" s="181"/>
      <c r="P918" s="183"/>
      <c r="Q918" s="104"/>
      <c r="R918" s="393"/>
      <c r="S918" s="104"/>
    </row>
    <row r="919" ht="29.25" customHeight="1">
      <c r="A919" s="230"/>
      <c r="B919" s="389"/>
      <c r="C919" s="390"/>
      <c r="D919" s="391"/>
      <c r="E919" s="383"/>
      <c r="F919" s="162"/>
      <c r="G919" s="232"/>
      <c r="H919" s="232"/>
      <c r="I919" s="181"/>
      <c r="J919" s="182"/>
      <c r="K919" s="182"/>
      <c r="L919" s="182"/>
      <c r="M919" s="165"/>
      <c r="N919" s="181"/>
      <c r="O919" s="181"/>
      <c r="P919" s="183"/>
      <c r="Q919" s="104"/>
      <c r="R919" s="388"/>
      <c r="S919" s="104"/>
    </row>
    <row r="920" ht="29.25" customHeight="1">
      <c r="A920" s="230"/>
      <c r="B920" s="389"/>
      <c r="C920" s="390"/>
      <c r="D920" s="391"/>
      <c r="E920" s="392"/>
      <c r="F920" s="162"/>
      <c r="G920" s="232"/>
      <c r="H920" s="232"/>
      <c r="I920" s="181"/>
      <c r="J920" s="182"/>
      <c r="K920" s="182"/>
      <c r="L920" s="182"/>
      <c r="M920" s="165"/>
      <c r="N920" s="181"/>
      <c r="O920" s="181"/>
      <c r="P920" s="183"/>
      <c r="Q920" s="104"/>
      <c r="R920" s="393"/>
      <c r="S920" s="104"/>
    </row>
    <row r="921" ht="29.25" customHeight="1">
      <c r="A921" s="230"/>
      <c r="B921" s="389"/>
      <c r="C921" s="390"/>
      <c r="D921" s="391"/>
      <c r="E921" s="383"/>
      <c r="F921" s="162"/>
      <c r="G921" s="232"/>
      <c r="H921" s="232"/>
      <c r="I921" s="181"/>
      <c r="J921" s="182"/>
      <c r="K921" s="182"/>
      <c r="L921" s="182"/>
      <c r="M921" s="165"/>
      <c r="N921" s="181"/>
      <c r="O921" s="181"/>
      <c r="P921" s="183"/>
      <c r="Q921" s="104"/>
      <c r="R921" s="388"/>
      <c r="S921" s="104"/>
    </row>
    <row r="922" ht="29.25" customHeight="1">
      <c r="A922" s="230"/>
      <c r="B922" s="389"/>
      <c r="C922" s="390"/>
      <c r="D922" s="391"/>
      <c r="E922" s="392"/>
      <c r="F922" s="162"/>
      <c r="G922" s="232"/>
      <c r="H922" s="232"/>
      <c r="I922" s="181"/>
      <c r="J922" s="182"/>
      <c r="K922" s="182"/>
      <c r="L922" s="182"/>
      <c r="M922" s="165"/>
      <c r="N922" s="181"/>
      <c r="O922" s="181"/>
      <c r="P922" s="183"/>
      <c r="Q922" s="104"/>
      <c r="R922" s="393"/>
      <c r="S922" s="104"/>
    </row>
    <row r="923" ht="29.25" customHeight="1">
      <c r="A923" s="230"/>
      <c r="B923" s="389"/>
      <c r="C923" s="390"/>
      <c r="D923" s="391"/>
      <c r="E923" s="383"/>
      <c r="F923" s="162"/>
      <c r="G923" s="232"/>
      <c r="H923" s="232"/>
      <c r="I923" s="181"/>
      <c r="J923" s="182"/>
      <c r="K923" s="182"/>
      <c r="L923" s="182"/>
      <c r="M923" s="165"/>
      <c r="N923" s="181"/>
      <c r="O923" s="181"/>
      <c r="P923" s="183"/>
      <c r="Q923" s="104"/>
      <c r="R923" s="388"/>
      <c r="S923" s="104"/>
    </row>
    <row r="924" ht="29.25" customHeight="1">
      <c r="A924" s="230"/>
      <c r="B924" s="389"/>
      <c r="C924" s="390"/>
      <c r="D924" s="391"/>
      <c r="E924" s="392"/>
      <c r="F924" s="162"/>
      <c r="G924" s="232"/>
      <c r="H924" s="232"/>
      <c r="I924" s="181"/>
      <c r="J924" s="182"/>
      <c r="K924" s="182"/>
      <c r="L924" s="182"/>
      <c r="M924" s="165"/>
      <c r="N924" s="181"/>
      <c r="O924" s="181"/>
      <c r="P924" s="183"/>
      <c r="Q924" s="104"/>
      <c r="R924" s="393"/>
      <c r="S924" s="104"/>
    </row>
    <row r="925" ht="29.25" customHeight="1">
      <c r="A925" s="230"/>
      <c r="B925" s="389"/>
      <c r="C925" s="390"/>
      <c r="D925" s="391"/>
      <c r="E925" s="383"/>
      <c r="F925" s="162"/>
      <c r="G925" s="232"/>
      <c r="H925" s="232"/>
      <c r="I925" s="181"/>
      <c r="J925" s="182"/>
      <c r="K925" s="182"/>
      <c r="L925" s="182"/>
      <c r="M925" s="165"/>
      <c r="N925" s="181"/>
      <c r="O925" s="181"/>
      <c r="P925" s="183"/>
      <c r="Q925" s="104"/>
      <c r="R925" s="388"/>
      <c r="S925" s="104"/>
    </row>
    <row r="926" ht="29.25" customHeight="1">
      <c r="A926" s="230"/>
      <c r="B926" s="389"/>
      <c r="C926" s="390"/>
      <c r="D926" s="391"/>
      <c r="E926" s="392"/>
      <c r="F926" s="162"/>
      <c r="G926" s="232"/>
      <c r="H926" s="232"/>
      <c r="I926" s="181"/>
      <c r="J926" s="182"/>
      <c r="K926" s="182"/>
      <c r="L926" s="182"/>
      <c r="M926" s="165"/>
      <c r="N926" s="181"/>
      <c r="O926" s="181"/>
      <c r="P926" s="183"/>
      <c r="Q926" s="104"/>
      <c r="R926" s="393"/>
      <c r="S926" s="104"/>
    </row>
    <row r="927" ht="29.25" customHeight="1">
      <c r="A927" s="230"/>
      <c r="B927" s="389"/>
      <c r="C927" s="390"/>
      <c r="D927" s="391"/>
      <c r="E927" s="383"/>
      <c r="F927" s="162"/>
      <c r="G927" s="232"/>
      <c r="H927" s="232"/>
      <c r="I927" s="181"/>
      <c r="J927" s="182"/>
      <c r="K927" s="182"/>
      <c r="L927" s="182"/>
      <c r="M927" s="165"/>
      <c r="N927" s="181"/>
      <c r="O927" s="181"/>
      <c r="P927" s="183"/>
      <c r="Q927" s="104"/>
      <c r="R927" s="388"/>
      <c r="S927" s="104"/>
    </row>
    <row r="928" ht="29.25" customHeight="1">
      <c r="A928" s="230"/>
      <c r="B928" s="389"/>
      <c r="C928" s="390"/>
      <c r="D928" s="391"/>
      <c r="E928" s="392"/>
      <c r="F928" s="162"/>
      <c r="G928" s="232"/>
      <c r="H928" s="232"/>
      <c r="I928" s="181"/>
      <c r="J928" s="182"/>
      <c r="K928" s="182"/>
      <c r="L928" s="182"/>
      <c r="M928" s="165"/>
      <c r="N928" s="181"/>
      <c r="O928" s="181"/>
      <c r="P928" s="183"/>
      <c r="Q928" s="104"/>
      <c r="R928" s="393"/>
      <c r="S928" s="104"/>
    </row>
    <row r="929" ht="29.25" customHeight="1">
      <c r="A929" s="230"/>
      <c r="B929" s="389"/>
      <c r="C929" s="390"/>
      <c r="D929" s="391"/>
      <c r="E929" s="383"/>
      <c r="F929" s="162"/>
      <c r="G929" s="232"/>
      <c r="H929" s="232"/>
      <c r="I929" s="181"/>
      <c r="J929" s="182"/>
      <c r="K929" s="182"/>
      <c r="L929" s="182"/>
      <c r="M929" s="165"/>
      <c r="N929" s="181"/>
      <c r="O929" s="181"/>
      <c r="P929" s="183"/>
      <c r="Q929" s="104"/>
      <c r="R929" s="388"/>
      <c r="S929" s="104"/>
    </row>
    <row r="930" ht="29.25" customHeight="1">
      <c r="A930" s="230"/>
      <c r="B930" s="389"/>
      <c r="C930" s="390"/>
      <c r="D930" s="391"/>
      <c r="E930" s="392"/>
      <c r="F930" s="162"/>
      <c r="G930" s="232"/>
      <c r="H930" s="232"/>
      <c r="I930" s="181"/>
      <c r="J930" s="182"/>
      <c r="K930" s="182"/>
      <c r="L930" s="182"/>
      <c r="M930" s="165"/>
      <c r="N930" s="181"/>
      <c r="O930" s="181"/>
      <c r="P930" s="183"/>
      <c r="Q930" s="104"/>
      <c r="R930" s="393"/>
      <c r="S930" s="104"/>
    </row>
    <row r="931" ht="29.25" customHeight="1">
      <c r="A931" s="230"/>
      <c r="B931" s="389"/>
      <c r="C931" s="390"/>
      <c r="D931" s="391"/>
      <c r="E931" s="383"/>
      <c r="F931" s="162"/>
      <c r="G931" s="232"/>
      <c r="H931" s="232"/>
      <c r="I931" s="181"/>
      <c r="J931" s="182"/>
      <c r="K931" s="182"/>
      <c r="L931" s="182"/>
      <c r="M931" s="165"/>
      <c r="N931" s="181"/>
      <c r="O931" s="181"/>
      <c r="P931" s="183"/>
      <c r="Q931" s="104"/>
      <c r="R931" s="388"/>
      <c r="S931" s="104"/>
    </row>
    <row r="932" ht="29.25" customHeight="1">
      <c r="A932" s="230"/>
      <c r="B932" s="389"/>
      <c r="C932" s="390"/>
      <c r="D932" s="391"/>
      <c r="E932" s="392"/>
      <c r="F932" s="162"/>
      <c r="G932" s="232"/>
      <c r="H932" s="232"/>
      <c r="I932" s="181"/>
      <c r="J932" s="182"/>
      <c r="K932" s="182"/>
      <c r="L932" s="182"/>
      <c r="M932" s="165"/>
      <c r="N932" s="181"/>
      <c r="O932" s="181"/>
      <c r="P932" s="183"/>
      <c r="Q932" s="104"/>
      <c r="R932" s="393"/>
      <c r="S932" s="104"/>
    </row>
    <row r="933" ht="29.25" customHeight="1">
      <c r="A933" s="230"/>
      <c r="B933" s="389"/>
      <c r="C933" s="390"/>
      <c r="D933" s="391"/>
      <c r="E933" s="383"/>
      <c r="F933" s="162"/>
      <c r="G933" s="232"/>
      <c r="H933" s="232"/>
      <c r="I933" s="181"/>
      <c r="J933" s="182"/>
      <c r="K933" s="182"/>
      <c r="L933" s="182"/>
      <c r="M933" s="165"/>
      <c r="N933" s="181"/>
      <c r="O933" s="181"/>
      <c r="P933" s="183"/>
      <c r="Q933" s="104"/>
      <c r="R933" s="388"/>
      <c r="S933" s="104"/>
    </row>
    <row r="934" ht="29.25" customHeight="1">
      <c r="A934" s="230"/>
      <c r="B934" s="389"/>
      <c r="C934" s="390"/>
      <c r="D934" s="391"/>
      <c r="E934" s="392"/>
      <c r="F934" s="162"/>
      <c r="G934" s="232"/>
      <c r="H934" s="232"/>
      <c r="I934" s="181"/>
      <c r="J934" s="182"/>
      <c r="K934" s="182"/>
      <c r="L934" s="182"/>
      <c r="M934" s="165"/>
      <c r="N934" s="181"/>
      <c r="O934" s="181"/>
      <c r="P934" s="183"/>
      <c r="Q934" s="104"/>
      <c r="R934" s="393"/>
      <c r="S934" s="104"/>
    </row>
    <row r="935" ht="29.25" customHeight="1">
      <c r="A935" s="230"/>
      <c r="B935" s="389"/>
      <c r="C935" s="390"/>
      <c r="D935" s="391"/>
      <c r="E935" s="383"/>
      <c r="F935" s="162"/>
      <c r="G935" s="232"/>
      <c r="H935" s="232"/>
      <c r="I935" s="181"/>
      <c r="J935" s="182"/>
      <c r="K935" s="182"/>
      <c r="L935" s="182"/>
      <c r="M935" s="165"/>
      <c r="N935" s="181"/>
      <c r="O935" s="181"/>
      <c r="P935" s="183"/>
      <c r="Q935" s="104"/>
      <c r="R935" s="388"/>
      <c r="S935" s="104"/>
    </row>
    <row r="936" ht="29.25" customHeight="1">
      <c r="A936" s="230"/>
      <c r="B936" s="389"/>
      <c r="C936" s="390"/>
      <c r="D936" s="391"/>
      <c r="E936" s="392"/>
      <c r="F936" s="162"/>
      <c r="G936" s="232"/>
      <c r="H936" s="232"/>
      <c r="I936" s="181"/>
      <c r="J936" s="182"/>
      <c r="K936" s="182"/>
      <c r="L936" s="182"/>
      <c r="M936" s="165"/>
      <c r="N936" s="181"/>
      <c r="O936" s="181"/>
      <c r="P936" s="183"/>
      <c r="Q936" s="104"/>
      <c r="R936" s="393"/>
      <c r="S936" s="104"/>
    </row>
    <row r="937" ht="29.25" customHeight="1">
      <c r="A937" s="230"/>
      <c r="B937" s="389"/>
      <c r="C937" s="390"/>
      <c r="D937" s="391"/>
      <c r="E937" s="383"/>
      <c r="F937" s="162"/>
      <c r="G937" s="232"/>
      <c r="H937" s="232"/>
      <c r="I937" s="181"/>
      <c r="J937" s="182"/>
      <c r="K937" s="182"/>
      <c r="L937" s="182"/>
      <c r="M937" s="165"/>
      <c r="N937" s="181"/>
      <c r="O937" s="181"/>
      <c r="P937" s="183"/>
      <c r="Q937" s="104"/>
      <c r="R937" s="388"/>
      <c r="S937" s="104"/>
    </row>
    <row r="938" ht="29.25" customHeight="1">
      <c r="A938" s="230"/>
      <c r="B938" s="389"/>
      <c r="C938" s="390"/>
      <c r="D938" s="391"/>
      <c r="E938" s="392"/>
      <c r="F938" s="162"/>
      <c r="G938" s="232"/>
      <c r="H938" s="232"/>
      <c r="I938" s="181"/>
      <c r="J938" s="182"/>
      <c r="K938" s="182"/>
      <c r="L938" s="182"/>
      <c r="M938" s="165"/>
      <c r="N938" s="181"/>
      <c r="O938" s="181"/>
      <c r="P938" s="183"/>
      <c r="Q938" s="104"/>
      <c r="R938" s="393"/>
      <c r="S938" s="104"/>
    </row>
    <row r="939" ht="29.25" customHeight="1">
      <c r="A939" s="230"/>
      <c r="B939" s="389"/>
      <c r="C939" s="390"/>
      <c r="D939" s="391"/>
      <c r="E939" s="383"/>
      <c r="F939" s="162"/>
      <c r="G939" s="232"/>
      <c r="H939" s="232"/>
      <c r="I939" s="181"/>
      <c r="J939" s="182"/>
      <c r="K939" s="182"/>
      <c r="L939" s="182"/>
      <c r="M939" s="165"/>
      <c r="N939" s="181"/>
      <c r="O939" s="181"/>
      <c r="P939" s="183"/>
      <c r="Q939" s="104"/>
      <c r="R939" s="388"/>
      <c r="S939" s="104"/>
    </row>
    <row r="940" ht="29.25" customHeight="1">
      <c r="A940" s="230"/>
      <c r="B940" s="389"/>
      <c r="C940" s="390"/>
      <c r="D940" s="391"/>
      <c r="E940" s="392"/>
      <c r="F940" s="162"/>
      <c r="G940" s="232"/>
      <c r="H940" s="232"/>
      <c r="I940" s="181"/>
      <c r="J940" s="182"/>
      <c r="K940" s="182"/>
      <c r="L940" s="182"/>
      <c r="M940" s="165"/>
      <c r="N940" s="181"/>
      <c r="O940" s="181"/>
      <c r="P940" s="183"/>
      <c r="Q940" s="104"/>
      <c r="R940" s="393"/>
      <c r="S940" s="104"/>
    </row>
    <row r="941" ht="29.25" customHeight="1">
      <c r="A941" s="230"/>
      <c r="B941" s="389"/>
      <c r="C941" s="390"/>
      <c r="D941" s="391"/>
      <c r="E941" s="383"/>
      <c r="F941" s="162"/>
      <c r="G941" s="232"/>
      <c r="H941" s="232"/>
      <c r="I941" s="181"/>
      <c r="J941" s="182"/>
      <c r="K941" s="182"/>
      <c r="L941" s="182"/>
      <c r="M941" s="165"/>
      <c r="N941" s="181"/>
      <c r="O941" s="181"/>
      <c r="P941" s="183"/>
      <c r="Q941" s="104"/>
      <c r="R941" s="388"/>
      <c r="S941" s="104"/>
    </row>
    <row r="942" ht="29.25" customHeight="1">
      <c r="A942" s="230"/>
      <c r="B942" s="389"/>
      <c r="C942" s="390"/>
      <c r="D942" s="391"/>
      <c r="E942" s="392"/>
      <c r="F942" s="162"/>
      <c r="G942" s="232"/>
      <c r="H942" s="232"/>
      <c r="I942" s="181"/>
      <c r="J942" s="182"/>
      <c r="K942" s="182"/>
      <c r="L942" s="182"/>
      <c r="M942" s="165"/>
      <c r="N942" s="181"/>
      <c r="O942" s="181"/>
      <c r="P942" s="183"/>
      <c r="Q942" s="104"/>
      <c r="R942" s="393"/>
      <c r="S942" s="104"/>
    </row>
    <row r="943" ht="29.25" customHeight="1">
      <c r="A943" s="230"/>
      <c r="B943" s="389"/>
      <c r="C943" s="390"/>
      <c r="D943" s="391"/>
      <c r="E943" s="383"/>
      <c r="F943" s="162"/>
      <c r="G943" s="232"/>
      <c r="H943" s="232"/>
      <c r="I943" s="181"/>
      <c r="J943" s="182"/>
      <c r="K943" s="182"/>
      <c r="L943" s="182"/>
      <c r="M943" s="165"/>
      <c r="N943" s="181"/>
      <c r="O943" s="181"/>
      <c r="P943" s="183"/>
      <c r="Q943" s="104"/>
      <c r="R943" s="388"/>
      <c r="S943" s="104"/>
    </row>
    <row r="944" ht="29.25" customHeight="1">
      <c r="A944" s="230"/>
      <c r="B944" s="389"/>
      <c r="C944" s="390"/>
      <c r="D944" s="391"/>
      <c r="E944" s="392"/>
      <c r="F944" s="162"/>
      <c r="G944" s="232"/>
      <c r="H944" s="232"/>
      <c r="I944" s="181"/>
      <c r="J944" s="182"/>
      <c r="K944" s="182"/>
      <c r="L944" s="182"/>
      <c r="M944" s="165"/>
      <c r="N944" s="181"/>
      <c r="O944" s="181"/>
      <c r="P944" s="183"/>
      <c r="Q944" s="104"/>
      <c r="R944" s="393"/>
      <c r="S944" s="104"/>
    </row>
    <row r="945" ht="29.25" customHeight="1">
      <c r="A945" s="230"/>
      <c r="B945" s="389"/>
      <c r="C945" s="390"/>
      <c r="D945" s="391"/>
      <c r="E945" s="383"/>
      <c r="F945" s="162"/>
      <c r="G945" s="232"/>
      <c r="H945" s="232"/>
      <c r="I945" s="181"/>
      <c r="J945" s="182"/>
      <c r="K945" s="182"/>
      <c r="L945" s="182"/>
      <c r="M945" s="165"/>
      <c r="N945" s="181"/>
      <c r="O945" s="181"/>
      <c r="P945" s="183"/>
      <c r="Q945" s="104"/>
      <c r="R945" s="388"/>
      <c r="S945" s="104"/>
    </row>
    <row r="946" ht="29.25" customHeight="1">
      <c r="A946" s="230"/>
      <c r="B946" s="389"/>
      <c r="C946" s="390"/>
      <c r="D946" s="391"/>
      <c r="E946" s="392"/>
      <c r="F946" s="162"/>
      <c r="G946" s="232"/>
      <c r="H946" s="232"/>
      <c r="I946" s="181"/>
      <c r="J946" s="182"/>
      <c r="K946" s="182"/>
      <c r="L946" s="182"/>
      <c r="M946" s="165"/>
      <c r="N946" s="181"/>
      <c r="O946" s="181"/>
      <c r="P946" s="183"/>
      <c r="Q946" s="104"/>
      <c r="R946" s="393"/>
      <c r="S946" s="104"/>
    </row>
    <row r="947" ht="29.25" customHeight="1">
      <c r="A947" s="230"/>
      <c r="B947" s="389"/>
      <c r="C947" s="390"/>
      <c r="D947" s="391"/>
      <c r="E947" s="383"/>
      <c r="F947" s="162"/>
      <c r="G947" s="232"/>
      <c r="H947" s="232"/>
      <c r="I947" s="181"/>
      <c r="J947" s="182"/>
      <c r="K947" s="182"/>
      <c r="L947" s="182"/>
      <c r="M947" s="165"/>
      <c r="N947" s="181"/>
      <c r="O947" s="181"/>
      <c r="P947" s="183"/>
      <c r="Q947" s="104"/>
      <c r="R947" s="388"/>
      <c r="S947" s="104"/>
    </row>
    <row r="948" ht="29.25" customHeight="1">
      <c r="A948" s="230"/>
      <c r="B948" s="389"/>
      <c r="C948" s="390"/>
      <c r="D948" s="391"/>
      <c r="E948" s="392"/>
      <c r="F948" s="162"/>
      <c r="G948" s="232"/>
      <c r="H948" s="232"/>
      <c r="I948" s="181"/>
      <c r="J948" s="182"/>
      <c r="K948" s="182"/>
      <c r="L948" s="182"/>
      <c r="M948" s="165"/>
      <c r="N948" s="181"/>
      <c r="O948" s="181"/>
      <c r="P948" s="183"/>
      <c r="Q948" s="104"/>
      <c r="R948" s="393"/>
      <c r="S948" s="104"/>
    </row>
    <row r="949" ht="29.25" customHeight="1">
      <c r="A949" s="230"/>
      <c r="B949" s="389"/>
      <c r="C949" s="390"/>
      <c r="D949" s="391"/>
      <c r="E949" s="383"/>
      <c r="F949" s="162"/>
      <c r="G949" s="232"/>
      <c r="H949" s="232"/>
      <c r="I949" s="181"/>
      <c r="J949" s="182"/>
      <c r="K949" s="182"/>
      <c r="L949" s="182"/>
      <c r="M949" s="165"/>
      <c r="N949" s="181"/>
      <c r="O949" s="181"/>
      <c r="P949" s="183"/>
      <c r="Q949" s="104"/>
      <c r="R949" s="388"/>
      <c r="S949" s="104"/>
    </row>
    <row r="950" ht="29.25" customHeight="1">
      <c r="A950" s="230"/>
      <c r="B950" s="389"/>
      <c r="C950" s="390"/>
      <c r="D950" s="391"/>
      <c r="E950" s="392"/>
      <c r="F950" s="162"/>
      <c r="G950" s="232"/>
      <c r="H950" s="232"/>
      <c r="I950" s="181"/>
      <c r="J950" s="182"/>
      <c r="K950" s="182"/>
      <c r="L950" s="182"/>
      <c r="M950" s="165"/>
      <c r="N950" s="181"/>
      <c r="O950" s="181"/>
      <c r="P950" s="183"/>
      <c r="Q950" s="104"/>
      <c r="R950" s="393"/>
      <c r="S950" s="104"/>
    </row>
    <row r="951" ht="29.25" customHeight="1">
      <c r="A951" s="230"/>
      <c r="B951" s="389"/>
      <c r="C951" s="390"/>
      <c r="D951" s="391"/>
      <c r="E951" s="383"/>
      <c r="F951" s="162"/>
      <c r="G951" s="232"/>
      <c r="H951" s="232"/>
      <c r="I951" s="181"/>
      <c r="J951" s="182"/>
      <c r="K951" s="182"/>
      <c r="L951" s="182"/>
      <c r="M951" s="165"/>
      <c r="N951" s="181"/>
      <c r="O951" s="181"/>
      <c r="P951" s="183"/>
      <c r="Q951" s="104"/>
      <c r="R951" s="388"/>
      <c r="S951" s="104"/>
    </row>
    <row r="952" ht="29.25" customHeight="1">
      <c r="A952" s="230"/>
      <c r="B952" s="389"/>
      <c r="C952" s="390"/>
      <c r="D952" s="391"/>
      <c r="E952" s="392"/>
      <c r="F952" s="162"/>
      <c r="G952" s="232"/>
      <c r="H952" s="232"/>
      <c r="I952" s="181"/>
      <c r="J952" s="182"/>
      <c r="K952" s="182"/>
      <c r="L952" s="182"/>
      <c r="M952" s="165"/>
      <c r="N952" s="181"/>
      <c r="O952" s="181"/>
      <c r="P952" s="183"/>
      <c r="Q952" s="104"/>
      <c r="R952" s="393"/>
      <c r="S952" s="104"/>
    </row>
    <row r="953" ht="29.25" customHeight="1">
      <c r="A953" s="230"/>
      <c r="B953" s="389"/>
      <c r="C953" s="390"/>
      <c r="D953" s="391"/>
      <c r="E953" s="383"/>
      <c r="F953" s="162"/>
      <c r="G953" s="232"/>
      <c r="H953" s="232"/>
      <c r="I953" s="181"/>
      <c r="J953" s="182"/>
      <c r="K953" s="182"/>
      <c r="L953" s="182"/>
      <c r="M953" s="165"/>
      <c r="N953" s="181"/>
      <c r="O953" s="181"/>
      <c r="P953" s="183"/>
      <c r="Q953" s="104"/>
      <c r="R953" s="388"/>
      <c r="S953" s="104"/>
    </row>
    <row r="954" ht="29.25" customHeight="1">
      <c r="A954" s="230"/>
      <c r="B954" s="389"/>
      <c r="C954" s="390"/>
      <c r="D954" s="391"/>
      <c r="E954" s="392"/>
      <c r="F954" s="162"/>
      <c r="G954" s="232"/>
      <c r="H954" s="232"/>
      <c r="I954" s="181"/>
      <c r="J954" s="182"/>
      <c r="K954" s="182"/>
      <c r="L954" s="182"/>
      <c r="M954" s="165"/>
      <c r="N954" s="181"/>
      <c r="O954" s="181"/>
      <c r="P954" s="183"/>
      <c r="Q954" s="104"/>
      <c r="R954" s="393"/>
      <c r="S954" s="104"/>
    </row>
    <row r="955" ht="29.25" customHeight="1">
      <c r="A955" s="230"/>
      <c r="B955" s="389"/>
      <c r="C955" s="390"/>
      <c r="D955" s="391"/>
      <c r="E955" s="383"/>
      <c r="F955" s="162"/>
      <c r="G955" s="232"/>
      <c r="H955" s="232"/>
      <c r="I955" s="181"/>
      <c r="J955" s="182"/>
      <c r="K955" s="182"/>
      <c r="L955" s="182"/>
      <c r="M955" s="165"/>
      <c r="N955" s="181"/>
      <c r="O955" s="181"/>
      <c r="P955" s="183"/>
      <c r="Q955" s="104"/>
      <c r="R955" s="388"/>
      <c r="S955" s="104"/>
    </row>
    <row r="956" ht="29.25" customHeight="1">
      <c r="A956" s="230"/>
      <c r="B956" s="389"/>
      <c r="C956" s="390"/>
      <c r="D956" s="391"/>
      <c r="E956" s="392"/>
      <c r="F956" s="162"/>
      <c r="G956" s="232"/>
      <c r="H956" s="232"/>
      <c r="I956" s="181"/>
      <c r="J956" s="182"/>
      <c r="K956" s="182"/>
      <c r="L956" s="182"/>
      <c r="M956" s="165"/>
      <c r="N956" s="181"/>
      <c r="O956" s="181"/>
      <c r="P956" s="183"/>
      <c r="Q956" s="104"/>
      <c r="R956" s="393"/>
      <c r="S956" s="104"/>
    </row>
    <row r="957" ht="29.25" customHeight="1">
      <c r="A957" s="230"/>
      <c r="B957" s="389"/>
      <c r="C957" s="390"/>
      <c r="D957" s="391"/>
      <c r="E957" s="383"/>
      <c r="F957" s="162"/>
      <c r="G957" s="232"/>
      <c r="H957" s="232"/>
      <c r="I957" s="181"/>
      <c r="J957" s="182"/>
      <c r="K957" s="182"/>
      <c r="L957" s="182"/>
      <c r="M957" s="165"/>
      <c r="N957" s="181"/>
      <c r="O957" s="181"/>
      <c r="P957" s="183"/>
      <c r="Q957" s="104"/>
      <c r="R957" s="388"/>
      <c r="S957" s="104"/>
    </row>
    <row r="958" ht="29.25" customHeight="1">
      <c r="A958" s="230"/>
      <c r="B958" s="389"/>
      <c r="C958" s="390"/>
      <c r="D958" s="391"/>
      <c r="E958" s="392"/>
      <c r="F958" s="162"/>
      <c r="G958" s="232"/>
      <c r="H958" s="232"/>
      <c r="I958" s="181"/>
      <c r="J958" s="182"/>
      <c r="K958" s="182"/>
      <c r="L958" s="182"/>
      <c r="M958" s="165"/>
      <c r="N958" s="181"/>
      <c r="O958" s="181"/>
      <c r="P958" s="183"/>
      <c r="Q958" s="104"/>
      <c r="R958" s="393"/>
      <c r="S958" s="104"/>
    </row>
    <row r="959" ht="29.25" customHeight="1">
      <c r="A959" s="230"/>
      <c r="B959" s="389"/>
      <c r="C959" s="390"/>
      <c r="D959" s="391"/>
      <c r="E959" s="383"/>
      <c r="F959" s="162"/>
      <c r="G959" s="232"/>
      <c r="H959" s="232"/>
      <c r="I959" s="181"/>
      <c r="J959" s="182"/>
      <c r="K959" s="182"/>
      <c r="L959" s="182"/>
      <c r="M959" s="165"/>
      <c r="N959" s="181"/>
      <c r="O959" s="181"/>
      <c r="P959" s="183"/>
      <c r="Q959" s="104"/>
      <c r="R959" s="388"/>
      <c r="S959" s="104"/>
    </row>
    <row r="960" ht="29.25" customHeight="1">
      <c r="A960" s="230"/>
      <c r="B960" s="389"/>
      <c r="C960" s="390"/>
      <c r="D960" s="391"/>
      <c r="E960" s="392"/>
      <c r="F960" s="162"/>
      <c r="G960" s="232"/>
      <c r="H960" s="232"/>
      <c r="I960" s="181"/>
      <c r="J960" s="182"/>
      <c r="K960" s="182"/>
      <c r="L960" s="182"/>
      <c r="M960" s="165"/>
      <c r="N960" s="181"/>
      <c r="O960" s="181"/>
      <c r="P960" s="183"/>
      <c r="Q960" s="104"/>
      <c r="R960" s="393"/>
      <c r="S960" s="104"/>
    </row>
    <row r="961" ht="29.25" customHeight="1">
      <c r="A961" s="230"/>
      <c r="B961" s="389"/>
      <c r="C961" s="390"/>
      <c r="D961" s="391"/>
      <c r="E961" s="383"/>
      <c r="F961" s="162"/>
      <c r="G961" s="232"/>
      <c r="H961" s="232"/>
      <c r="I961" s="181"/>
      <c r="J961" s="182"/>
      <c r="K961" s="182"/>
      <c r="L961" s="182"/>
      <c r="M961" s="165"/>
      <c r="N961" s="181"/>
      <c r="O961" s="181"/>
      <c r="P961" s="183"/>
      <c r="Q961" s="104"/>
      <c r="R961" s="388"/>
      <c r="S961" s="104"/>
    </row>
    <row r="962" ht="29.25" customHeight="1">
      <c r="A962" s="230"/>
      <c r="B962" s="389"/>
      <c r="C962" s="390"/>
      <c r="D962" s="391"/>
      <c r="E962" s="392"/>
      <c r="F962" s="162"/>
      <c r="G962" s="232"/>
      <c r="H962" s="232"/>
      <c r="I962" s="181"/>
      <c r="J962" s="182"/>
      <c r="K962" s="182"/>
      <c r="L962" s="182"/>
      <c r="M962" s="165"/>
      <c r="N962" s="181"/>
      <c r="O962" s="181"/>
      <c r="P962" s="183"/>
      <c r="Q962" s="104"/>
      <c r="R962" s="393"/>
      <c r="S962" s="104"/>
    </row>
    <row r="963" ht="29.25" customHeight="1">
      <c r="A963" s="230"/>
      <c r="B963" s="389"/>
      <c r="C963" s="390"/>
      <c r="D963" s="391"/>
      <c r="E963" s="383"/>
      <c r="F963" s="162"/>
      <c r="G963" s="232"/>
      <c r="H963" s="232"/>
      <c r="I963" s="181"/>
      <c r="J963" s="182"/>
      <c r="K963" s="182"/>
      <c r="L963" s="182"/>
      <c r="M963" s="165"/>
      <c r="N963" s="181"/>
      <c r="O963" s="181"/>
      <c r="P963" s="183"/>
      <c r="Q963" s="104"/>
      <c r="R963" s="388"/>
      <c r="S963" s="104"/>
    </row>
    <row r="964" ht="29.25" customHeight="1">
      <c r="A964" s="230"/>
      <c r="B964" s="389"/>
      <c r="C964" s="390"/>
      <c r="D964" s="391"/>
      <c r="E964" s="392"/>
      <c r="F964" s="162"/>
      <c r="G964" s="232"/>
      <c r="H964" s="232"/>
      <c r="I964" s="181"/>
      <c r="J964" s="182"/>
      <c r="K964" s="182"/>
      <c r="L964" s="182"/>
      <c r="M964" s="165"/>
      <c r="N964" s="181"/>
      <c r="O964" s="181"/>
      <c r="P964" s="183"/>
      <c r="Q964" s="104"/>
      <c r="R964" s="393"/>
      <c r="S964" s="104"/>
    </row>
    <row r="965" ht="29.25" customHeight="1">
      <c r="A965" s="230"/>
      <c r="B965" s="389"/>
      <c r="C965" s="390"/>
      <c r="D965" s="391"/>
      <c r="E965" s="383"/>
      <c r="F965" s="162"/>
      <c r="G965" s="232"/>
      <c r="H965" s="232"/>
      <c r="I965" s="181"/>
      <c r="J965" s="182"/>
      <c r="K965" s="182"/>
      <c r="L965" s="182"/>
      <c r="M965" s="165"/>
      <c r="N965" s="181"/>
      <c r="O965" s="181"/>
      <c r="P965" s="183"/>
      <c r="Q965" s="104"/>
      <c r="R965" s="388"/>
      <c r="S965" s="104"/>
    </row>
    <row r="966" ht="29.25" customHeight="1">
      <c r="A966" s="230"/>
      <c r="B966" s="389"/>
      <c r="C966" s="390"/>
      <c r="D966" s="391"/>
      <c r="E966" s="392"/>
      <c r="F966" s="162"/>
      <c r="G966" s="232"/>
      <c r="H966" s="232"/>
      <c r="I966" s="181"/>
      <c r="J966" s="182"/>
      <c r="K966" s="182"/>
      <c r="L966" s="182"/>
      <c r="M966" s="165"/>
      <c r="N966" s="181"/>
      <c r="O966" s="181"/>
      <c r="P966" s="183"/>
      <c r="Q966" s="104"/>
      <c r="R966" s="393"/>
      <c r="S966" s="104"/>
    </row>
    <row r="967" ht="29.25" customHeight="1">
      <c r="A967" s="230"/>
      <c r="B967" s="389"/>
      <c r="C967" s="390"/>
      <c r="D967" s="391"/>
      <c r="E967" s="383"/>
      <c r="F967" s="162"/>
      <c r="G967" s="232"/>
      <c r="H967" s="232"/>
      <c r="I967" s="181"/>
      <c r="J967" s="182"/>
      <c r="K967" s="182"/>
      <c r="L967" s="182"/>
      <c r="M967" s="165"/>
      <c r="N967" s="181"/>
      <c r="O967" s="181"/>
      <c r="P967" s="183"/>
      <c r="Q967" s="104"/>
      <c r="R967" s="388"/>
      <c r="S967" s="104"/>
    </row>
    <row r="968" ht="29.25" customHeight="1">
      <c r="A968" s="230"/>
      <c r="B968" s="389"/>
      <c r="C968" s="390"/>
      <c r="D968" s="391"/>
      <c r="E968" s="392"/>
      <c r="F968" s="162"/>
      <c r="G968" s="232"/>
      <c r="H968" s="232"/>
      <c r="I968" s="181"/>
      <c r="J968" s="182"/>
      <c r="K968" s="182"/>
      <c r="L968" s="182"/>
      <c r="M968" s="165"/>
      <c r="N968" s="181"/>
      <c r="O968" s="181"/>
      <c r="P968" s="183"/>
      <c r="Q968" s="104"/>
      <c r="R968" s="393"/>
      <c r="S968" s="104"/>
    </row>
    <row r="969" ht="29.25" customHeight="1">
      <c r="A969" s="230"/>
      <c r="B969" s="389"/>
      <c r="C969" s="390"/>
      <c r="D969" s="391"/>
      <c r="E969" s="383"/>
      <c r="F969" s="162"/>
      <c r="G969" s="232"/>
      <c r="H969" s="232"/>
      <c r="I969" s="181"/>
      <c r="J969" s="182"/>
      <c r="K969" s="182"/>
      <c r="L969" s="182"/>
      <c r="M969" s="165"/>
      <c r="N969" s="181"/>
      <c r="O969" s="181"/>
      <c r="P969" s="183"/>
      <c r="Q969" s="104"/>
      <c r="R969" s="388"/>
      <c r="S969" s="104"/>
    </row>
    <row r="970" ht="29.25" customHeight="1">
      <c r="A970" s="230"/>
      <c r="B970" s="389"/>
      <c r="C970" s="390"/>
      <c r="D970" s="391"/>
      <c r="E970" s="392"/>
      <c r="F970" s="162"/>
      <c r="G970" s="232"/>
      <c r="H970" s="232"/>
      <c r="I970" s="181"/>
      <c r="J970" s="182"/>
      <c r="K970" s="182"/>
      <c r="L970" s="182"/>
      <c r="M970" s="165"/>
      <c r="N970" s="181"/>
      <c r="O970" s="181"/>
      <c r="P970" s="183"/>
      <c r="Q970" s="104"/>
      <c r="R970" s="393"/>
      <c r="S970" s="104"/>
    </row>
    <row r="971" ht="29.25" customHeight="1">
      <c r="A971" s="230"/>
      <c r="B971" s="389"/>
      <c r="C971" s="390"/>
      <c r="D971" s="391"/>
      <c r="E971" s="383"/>
      <c r="F971" s="162"/>
      <c r="G971" s="232"/>
      <c r="H971" s="232"/>
      <c r="I971" s="181"/>
      <c r="J971" s="182"/>
      <c r="K971" s="182"/>
      <c r="L971" s="182"/>
      <c r="M971" s="165"/>
      <c r="N971" s="181"/>
      <c r="O971" s="181"/>
      <c r="P971" s="183"/>
      <c r="Q971" s="104"/>
      <c r="R971" s="388"/>
      <c r="S971" s="104"/>
    </row>
    <row r="972" ht="29.25" customHeight="1">
      <c r="A972" s="230"/>
      <c r="B972" s="389"/>
      <c r="C972" s="390"/>
      <c r="D972" s="391"/>
      <c r="E972" s="392"/>
      <c r="F972" s="162"/>
      <c r="G972" s="232"/>
      <c r="H972" s="232"/>
      <c r="I972" s="181"/>
      <c r="J972" s="182"/>
      <c r="K972" s="182"/>
      <c r="L972" s="182"/>
      <c r="M972" s="165"/>
      <c r="N972" s="181"/>
      <c r="O972" s="181"/>
      <c r="P972" s="183"/>
      <c r="Q972" s="104"/>
      <c r="R972" s="393"/>
      <c r="S972" s="104"/>
    </row>
    <row r="973" ht="29.25" customHeight="1">
      <c r="A973" s="230"/>
      <c r="B973" s="389"/>
      <c r="C973" s="390"/>
      <c r="D973" s="391"/>
      <c r="E973" s="383"/>
      <c r="F973" s="162"/>
      <c r="G973" s="232"/>
      <c r="H973" s="232"/>
      <c r="I973" s="181"/>
      <c r="J973" s="182"/>
      <c r="K973" s="182"/>
      <c r="L973" s="182"/>
      <c r="M973" s="165"/>
      <c r="N973" s="181"/>
      <c r="O973" s="181"/>
      <c r="P973" s="183"/>
      <c r="Q973" s="104"/>
      <c r="R973" s="388"/>
      <c r="S973" s="104"/>
    </row>
    <row r="974" ht="29.25" customHeight="1">
      <c r="A974" s="230"/>
      <c r="B974" s="389"/>
      <c r="C974" s="390"/>
      <c r="D974" s="391"/>
      <c r="E974" s="392"/>
      <c r="F974" s="162"/>
      <c r="G974" s="232"/>
      <c r="H974" s="232"/>
      <c r="I974" s="181"/>
      <c r="J974" s="182"/>
      <c r="K974" s="182"/>
      <c r="L974" s="182"/>
      <c r="M974" s="165"/>
      <c r="N974" s="181"/>
      <c r="O974" s="181"/>
      <c r="P974" s="183"/>
      <c r="Q974" s="104"/>
      <c r="R974" s="393"/>
      <c r="S974" s="104"/>
    </row>
    <row r="975" ht="29.25" customHeight="1">
      <c r="A975" s="230"/>
      <c r="B975" s="389"/>
      <c r="C975" s="390"/>
      <c r="D975" s="391"/>
      <c r="E975" s="383"/>
      <c r="F975" s="162"/>
      <c r="G975" s="232"/>
      <c r="H975" s="232"/>
      <c r="I975" s="181"/>
      <c r="J975" s="182"/>
      <c r="K975" s="182"/>
      <c r="L975" s="182"/>
      <c r="M975" s="165"/>
      <c r="N975" s="181"/>
      <c r="O975" s="181"/>
      <c r="P975" s="183"/>
      <c r="Q975" s="104"/>
      <c r="R975" s="388"/>
      <c r="S975" s="104"/>
    </row>
    <row r="976" ht="29.25" customHeight="1">
      <c r="A976" s="230"/>
      <c r="B976" s="389"/>
      <c r="C976" s="390"/>
      <c r="D976" s="391"/>
      <c r="E976" s="392"/>
      <c r="F976" s="162"/>
      <c r="G976" s="232"/>
      <c r="H976" s="232"/>
      <c r="I976" s="181"/>
      <c r="J976" s="182"/>
      <c r="K976" s="182"/>
      <c r="L976" s="182"/>
      <c r="M976" s="165"/>
      <c r="N976" s="181"/>
      <c r="O976" s="181"/>
      <c r="P976" s="183"/>
      <c r="Q976" s="104"/>
      <c r="R976" s="393"/>
      <c r="S976" s="104"/>
    </row>
    <row r="977" ht="29.25" customHeight="1">
      <c r="A977" s="230"/>
      <c r="B977" s="389"/>
      <c r="C977" s="390"/>
      <c r="D977" s="391"/>
      <c r="E977" s="383"/>
      <c r="F977" s="162"/>
      <c r="G977" s="232"/>
      <c r="H977" s="232"/>
      <c r="I977" s="181"/>
      <c r="J977" s="182"/>
      <c r="K977" s="182"/>
      <c r="L977" s="182"/>
      <c r="M977" s="165"/>
      <c r="N977" s="181"/>
      <c r="O977" s="181"/>
      <c r="P977" s="183"/>
      <c r="Q977" s="104"/>
      <c r="R977" s="388"/>
      <c r="S977" s="104"/>
    </row>
    <row r="978" ht="29.25" customHeight="1">
      <c r="A978" s="230"/>
      <c r="B978" s="389"/>
      <c r="C978" s="390"/>
      <c r="D978" s="391"/>
      <c r="E978" s="392"/>
      <c r="F978" s="162"/>
      <c r="G978" s="232"/>
      <c r="H978" s="232"/>
      <c r="I978" s="181"/>
      <c r="J978" s="182"/>
      <c r="K978" s="182"/>
      <c r="L978" s="182"/>
      <c r="M978" s="165"/>
      <c r="N978" s="181"/>
      <c r="O978" s="181"/>
      <c r="P978" s="183"/>
      <c r="Q978" s="104"/>
      <c r="R978" s="393"/>
      <c r="S978" s="104"/>
    </row>
    <row r="979" ht="29.25" customHeight="1">
      <c r="A979" s="230"/>
      <c r="B979" s="389"/>
      <c r="C979" s="390"/>
      <c r="D979" s="391"/>
      <c r="E979" s="383"/>
      <c r="F979" s="162"/>
      <c r="G979" s="232"/>
      <c r="H979" s="232"/>
      <c r="I979" s="181"/>
      <c r="J979" s="182"/>
      <c r="K979" s="182"/>
      <c r="L979" s="182"/>
      <c r="M979" s="165"/>
      <c r="N979" s="181"/>
      <c r="O979" s="181"/>
      <c r="P979" s="183"/>
      <c r="Q979" s="104"/>
      <c r="R979" s="388"/>
      <c r="S979" s="104"/>
    </row>
    <row r="980" ht="29.25" customHeight="1">
      <c r="A980" s="230"/>
      <c r="B980" s="389"/>
      <c r="C980" s="390"/>
      <c r="D980" s="391"/>
      <c r="E980" s="392"/>
      <c r="F980" s="162"/>
      <c r="G980" s="232"/>
      <c r="H980" s="232"/>
      <c r="I980" s="181"/>
      <c r="J980" s="182"/>
      <c r="K980" s="182"/>
      <c r="L980" s="182"/>
      <c r="M980" s="165"/>
      <c r="N980" s="181"/>
      <c r="O980" s="181"/>
      <c r="P980" s="183"/>
      <c r="Q980" s="104"/>
      <c r="R980" s="393"/>
      <c r="S980" s="104"/>
    </row>
    <row r="981" ht="29.25" customHeight="1">
      <c r="A981" s="230"/>
      <c r="B981" s="389"/>
      <c r="C981" s="390"/>
      <c r="D981" s="391"/>
      <c r="E981" s="383"/>
      <c r="F981" s="162"/>
      <c r="G981" s="232"/>
      <c r="H981" s="232"/>
      <c r="I981" s="181"/>
      <c r="J981" s="182"/>
      <c r="K981" s="182"/>
      <c r="L981" s="182"/>
      <c r="M981" s="165"/>
      <c r="N981" s="181"/>
      <c r="O981" s="181"/>
      <c r="P981" s="183"/>
      <c r="Q981" s="104"/>
      <c r="R981" s="388"/>
      <c r="S981" s="104"/>
    </row>
    <row r="982" ht="29.25" customHeight="1">
      <c r="A982" s="230"/>
      <c r="B982" s="389"/>
      <c r="C982" s="390"/>
      <c r="D982" s="391"/>
      <c r="E982" s="392"/>
      <c r="F982" s="162"/>
      <c r="G982" s="232"/>
      <c r="H982" s="232"/>
      <c r="I982" s="181"/>
      <c r="J982" s="182"/>
      <c r="K982" s="182"/>
      <c r="L982" s="182"/>
      <c r="M982" s="165"/>
      <c r="N982" s="181"/>
      <c r="O982" s="181"/>
      <c r="P982" s="183"/>
      <c r="Q982" s="104"/>
      <c r="R982" s="393"/>
      <c r="S982" s="104"/>
    </row>
    <row r="983" ht="29.25" customHeight="1">
      <c r="A983" s="230"/>
      <c r="B983" s="389"/>
      <c r="C983" s="390"/>
      <c r="D983" s="391"/>
      <c r="E983" s="383"/>
      <c r="F983" s="162"/>
      <c r="G983" s="232"/>
      <c r="H983" s="232"/>
      <c r="I983" s="181"/>
      <c r="J983" s="182"/>
      <c r="K983" s="182"/>
      <c r="L983" s="182"/>
      <c r="M983" s="165"/>
      <c r="N983" s="181"/>
      <c r="O983" s="181"/>
      <c r="P983" s="183"/>
      <c r="Q983" s="104"/>
      <c r="R983" s="388"/>
      <c r="S983" s="104"/>
    </row>
    <row r="984" ht="29.25" customHeight="1">
      <c r="A984" s="230"/>
      <c r="B984" s="389"/>
      <c r="C984" s="390"/>
      <c r="D984" s="391"/>
      <c r="E984" s="392"/>
      <c r="F984" s="162"/>
      <c r="G984" s="232"/>
      <c r="H984" s="232"/>
      <c r="I984" s="181"/>
      <c r="J984" s="182"/>
      <c r="K984" s="182"/>
      <c r="L984" s="182"/>
      <c r="M984" s="165"/>
      <c r="N984" s="181"/>
      <c r="O984" s="181"/>
      <c r="P984" s="183"/>
      <c r="Q984" s="104"/>
      <c r="R984" s="393"/>
      <c r="S984" s="104"/>
    </row>
    <row r="985" ht="29.25" customHeight="1">
      <c r="A985" s="230"/>
      <c r="B985" s="389"/>
      <c r="C985" s="390"/>
      <c r="D985" s="391"/>
      <c r="E985" s="383"/>
      <c r="F985" s="162"/>
      <c r="G985" s="232"/>
      <c r="H985" s="232"/>
      <c r="I985" s="181"/>
      <c r="J985" s="182"/>
      <c r="K985" s="182"/>
      <c r="L985" s="182"/>
      <c r="M985" s="165"/>
      <c r="N985" s="181"/>
      <c r="O985" s="181"/>
      <c r="P985" s="183"/>
      <c r="Q985" s="104"/>
      <c r="R985" s="388"/>
      <c r="S985" s="104"/>
    </row>
    <row r="986" ht="29.25" customHeight="1">
      <c r="A986" s="230"/>
      <c r="B986" s="389"/>
      <c r="C986" s="390"/>
      <c r="D986" s="391"/>
      <c r="E986" s="392"/>
      <c r="F986" s="162"/>
      <c r="G986" s="232"/>
      <c r="H986" s="232"/>
      <c r="I986" s="181"/>
      <c r="J986" s="182"/>
      <c r="K986" s="182"/>
      <c r="L986" s="182"/>
      <c r="M986" s="165"/>
      <c r="N986" s="181"/>
      <c r="O986" s="181"/>
      <c r="P986" s="183"/>
      <c r="Q986" s="104"/>
      <c r="R986" s="393"/>
      <c r="S986" s="104"/>
    </row>
    <row r="987" ht="29.25" customHeight="1">
      <c r="A987" s="230"/>
      <c r="B987" s="389"/>
      <c r="C987" s="390"/>
      <c r="D987" s="391"/>
      <c r="E987" s="383"/>
      <c r="F987" s="162"/>
      <c r="G987" s="232"/>
      <c r="H987" s="232"/>
      <c r="I987" s="181"/>
      <c r="J987" s="182"/>
      <c r="K987" s="182"/>
      <c r="L987" s="182"/>
      <c r="M987" s="165"/>
      <c r="N987" s="181"/>
      <c r="O987" s="181"/>
      <c r="P987" s="183"/>
      <c r="Q987" s="104"/>
      <c r="R987" s="388"/>
      <c r="S987" s="104"/>
    </row>
    <row r="988" ht="29.25" customHeight="1">
      <c r="A988" s="230"/>
      <c r="B988" s="389"/>
      <c r="C988" s="390"/>
      <c r="D988" s="391"/>
      <c r="E988" s="392"/>
      <c r="F988" s="162"/>
      <c r="G988" s="232"/>
      <c r="H988" s="232"/>
      <c r="I988" s="181"/>
      <c r="J988" s="182"/>
      <c r="K988" s="182"/>
      <c r="L988" s="182"/>
      <c r="M988" s="165"/>
      <c r="N988" s="181"/>
      <c r="O988" s="181"/>
      <c r="P988" s="183"/>
      <c r="Q988" s="104"/>
      <c r="R988" s="393"/>
      <c r="S988" s="104"/>
    </row>
    <row r="989" ht="29.25" customHeight="1">
      <c r="A989" s="230"/>
      <c r="B989" s="389"/>
      <c r="C989" s="390"/>
      <c r="D989" s="391"/>
      <c r="E989" s="383"/>
      <c r="F989" s="162"/>
      <c r="G989" s="232"/>
      <c r="H989" s="232"/>
      <c r="I989" s="181"/>
      <c r="J989" s="182"/>
      <c r="K989" s="182"/>
      <c r="L989" s="182"/>
      <c r="M989" s="165"/>
      <c r="N989" s="181"/>
      <c r="O989" s="181"/>
      <c r="P989" s="183"/>
      <c r="Q989" s="104"/>
      <c r="R989" s="388"/>
      <c r="S989" s="104"/>
    </row>
    <row r="990" ht="29.25" customHeight="1">
      <c r="A990" s="230"/>
      <c r="B990" s="389"/>
      <c r="C990" s="390"/>
      <c r="D990" s="391"/>
      <c r="E990" s="392"/>
      <c r="F990" s="162"/>
      <c r="G990" s="232"/>
      <c r="H990" s="232"/>
      <c r="I990" s="181"/>
      <c r="J990" s="182"/>
      <c r="K990" s="182"/>
      <c r="L990" s="182"/>
      <c r="M990" s="165"/>
      <c r="N990" s="181"/>
      <c r="O990" s="181"/>
      <c r="P990" s="183"/>
      <c r="Q990" s="104"/>
      <c r="R990" s="393"/>
      <c r="S990" s="104"/>
    </row>
    <row r="991" ht="29.25" customHeight="1">
      <c r="A991" s="230"/>
      <c r="B991" s="389"/>
      <c r="C991" s="390"/>
      <c r="D991" s="391"/>
      <c r="E991" s="383"/>
      <c r="F991" s="162"/>
      <c r="G991" s="232"/>
      <c r="H991" s="232"/>
      <c r="I991" s="181"/>
      <c r="J991" s="182"/>
      <c r="K991" s="182"/>
      <c r="L991" s="182"/>
      <c r="M991" s="165"/>
      <c r="N991" s="181"/>
      <c r="O991" s="181"/>
      <c r="P991" s="183"/>
      <c r="Q991" s="104"/>
      <c r="R991" s="388"/>
      <c r="S991" s="104"/>
    </row>
    <row r="992" ht="29.25" customHeight="1">
      <c r="A992" s="230"/>
      <c r="B992" s="389"/>
      <c r="C992" s="390"/>
      <c r="D992" s="391"/>
      <c r="E992" s="392"/>
      <c r="F992" s="162"/>
      <c r="G992" s="232"/>
      <c r="H992" s="232"/>
      <c r="I992" s="181"/>
      <c r="J992" s="182"/>
      <c r="K992" s="182"/>
      <c r="L992" s="182"/>
      <c r="M992" s="165"/>
      <c r="N992" s="181"/>
      <c r="O992" s="181"/>
      <c r="P992" s="183"/>
      <c r="Q992" s="104"/>
      <c r="R992" s="393"/>
      <c r="S992" s="104"/>
    </row>
    <row r="993" ht="29.25" customHeight="1">
      <c r="A993" s="230"/>
      <c r="B993" s="389"/>
      <c r="C993" s="390"/>
      <c r="D993" s="391"/>
      <c r="E993" s="383"/>
      <c r="F993" s="162"/>
      <c r="G993" s="232"/>
      <c r="H993" s="232"/>
      <c r="I993" s="181"/>
      <c r="J993" s="182"/>
      <c r="K993" s="182"/>
      <c r="L993" s="182"/>
      <c r="M993" s="165"/>
      <c r="N993" s="181"/>
      <c r="O993" s="181"/>
      <c r="P993" s="183"/>
      <c r="Q993" s="104"/>
      <c r="R993" s="388"/>
      <c r="S993" s="104"/>
    </row>
    <row r="994" ht="29.25" customHeight="1">
      <c r="A994" s="230"/>
      <c r="B994" s="389"/>
      <c r="C994" s="390"/>
      <c r="D994" s="391"/>
      <c r="E994" s="392"/>
      <c r="F994" s="162"/>
      <c r="G994" s="232"/>
      <c r="H994" s="232"/>
      <c r="I994" s="181"/>
      <c r="J994" s="182"/>
      <c r="K994" s="182"/>
      <c r="L994" s="182"/>
      <c r="M994" s="165"/>
      <c r="N994" s="181"/>
      <c r="O994" s="181"/>
      <c r="P994" s="183"/>
      <c r="Q994" s="104"/>
      <c r="R994" s="393"/>
      <c r="S994" s="104"/>
    </row>
    <row r="995" ht="29.25" customHeight="1">
      <c r="A995" s="230"/>
      <c r="B995" s="389"/>
      <c r="C995" s="390"/>
      <c r="D995" s="391"/>
      <c r="E995" s="383"/>
      <c r="F995" s="162"/>
      <c r="G995" s="232"/>
      <c r="H995" s="232"/>
      <c r="I995" s="181"/>
      <c r="J995" s="182"/>
      <c r="K995" s="182"/>
      <c r="L995" s="182"/>
      <c r="M995" s="165"/>
      <c r="N995" s="181"/>
      <c r="O995" s="181"/>
      <c r="P995" s="183"/>
      <c r="Q995" s="104"/>
      <c r="R995" s="388"/>
      <c r="S995" s="104"/>
    </row>
    <row r="996" ht="29.25" customHeight="1">
      <c r="A996" s="230"/>
      <c r="B996" s="389"/>
      <c r="C996" s="390"/>
      <c r="D996" s="391"/>
      <c r="E996" s="392"/>
      <c r="F996" s="162"/>
      <c r="G996" s="232"/>
      <c r="H996" s="232"/>
      <c r="I996" s="181"/>
      <c r="J996" s="182"/>
      <c r="K996" s="182"/>
      <c r="L996" s="182"/>
      <c r="M996" s="165"/>
      <c r="N996" s="181"/>
      <c r="O996" s="181"/>
      <c r="P996" s="183"/>
      <c r="Q996" s="104"/>
      <c r="R996" s="393"/>
      <c r="S996" s="104"/>
    </row>
    <row r="997" ht="29.25" customHeight="1">
      <c r="A997" s="230"/>
      <c r="B997" s="389"/>
      <c r="C997" s="390"/>
      <c r="D997" s="391"/>
      <c r="E997" s="383"/>
      <c r="F997" s="162"/>
      <c r="G997" s="232"/>
      <c r="H997" s="232"/>
      <c r="I997" s="181"/>
      <c r="J997" s="182"/>
      <c r="K997" s="182"/>
      <c r="L997" s="182"/>
      <c r="M997" s="165"/>
      <c r="N997" s="181"/>
      <c r="O997" s="181"/>
      <c r="P997" s="183"/>
      <c r="Q997" s="104"/>
      <c r="R997" s="388"/>
      <c r="S997" s="104"/>
    </row>
    <row r="998" ht="29.25" customHeight="1">
      <c r="A998" s="230"/>
      <c r="B998" s="389"/>
      <c r="C998" s="390"/>
      <c r="D998" s="391"/>
      <c r="E998" s="392"/>
      <c r="F998" s="162"/>
      <c r="G998" s="232"/>
      <c r="H998" s="232"/>
      <c r="I998" s="181"/>
      <c r="J998" s="182"/>
      <c r="K998" s="182"/>
      <c r="L998" s="182"/>
      <c r="M998" s="165"/>
      <c r="N998" s="181"/>
      <c r="O998" s="181"/>
      <c r="P998" s="183"/>
      <c r="Q998" s="104"/>
      <c r="R998" s="393"/>
      <c r="S998" s="104"/>
    </row>
    <row r="999" ht="29.25" customHeight="1">
      <c r="A999" s="230"/>
      <c r="B999" s="389"/>
      <c r="C999" s="390"/>
      <c r="D999" s="391"/>
      <c r="E999" s="383"/>
      <c r="F999" s="162"/>
      <c r="G999" s="232"/>
      <c r="H999" s="232"/>
      <c r="I999" s="181"/>
      <c r="J999" s="182"/>
      <c r="K999" s="182"/>
      <c r="L999" s="182"/>
      <c r="M999" s="165"/>
      <c r="N999" s="181"/>
      <c r="O999" s="181"/>
      <c r="P999" s="183"/>
      <c r="Q999" s="104"/>
      <c r="R999" s="388"/>
      <c r="S999" s="104"/>
    </row>
    <row r="1000" ht="29.25" customHeight="1">
      <c r="A1000" s="230"/>
      <c r="B1000" s="389"/>
      <c r="C1000" s="390"/>
      <c r="D1000" s="391"/>
      <c r="E1000" s="392"/>
      <c r="F1000" s="162"/>
      <c r="G1000" s="232"/>
      <c r="H1000" s="232"/>
      <c r="I1000" s="181"/>
      <c r="J1000" s="182"/>
      <c r="K1000" s="182"/>
      <c r="L1000" s="182"/>
      <c r="M1000" s="165"/>
      <c r="N1000" s="181"/>
      <c r="O1000" s="181"/>
      <c r="P1000" s="183"/>
      <c r="Q1000" s="104"/>
      <c r="R1000" s="393"/>
      <c r="S1000" s="104"/>
    </row>
    <row r="1001" ht="29.25" customHeight="1">
      <c r="A1001" s="230"/>
      <c r="B1001" s="389"/>
      <c r="C1001" s="390"/>
      <c r="D1001" s="391"/>
      <c r="E1001" s="383"/>
      <c r="F1001" s="162"/>
      <c r="G1001" s="232"/>
      <c r="H1001" s="232"/>
      <c r="I1001" s="181"/>
      <c r="J1001" s="182"/>
      <c r="K1001" s="182"/>
      <c r="L1001" s="182"/>
      <c r="M1001" s="165"/>
      <c r="N1001" s="181"/>
      <c r="O1001" s="181"/>
      <c r="P1001" s="183"/>
      <c r="Q1001" s="104"/>
      <c r="R1001" s="388"/>
      <c r="S1001" s="104"/>
    </row>
    <row r="1002" ht="29.25" customHeight="1">
      <c r="A1002" s="230"/>
      <c r="B1002" s="389"/>
      <c r="C1002" s="390"/>
      <c r="D1002" s="391"/>
      <c r="E1002" s="392"/>
      <c r="F1002" s="162"/>
      <c r="G1002" s="232"/>
      <c r="H1002" s="232"/>
      <c r="I1002" s="181"/>
      <c r="J1002" s="182"/>
      <c r="K1002" s="182"/>
      <c r="L1002" s="182"/>
      <c r="M1002" s="165"/>
      <c r="N1002" s="181"/>
      <c r="O1002" s="181"/>
      <c r="P1002" s="183"/>
      <c r="Q1002" s="104"/>
      <c r="R1002" s="393"/>
      <c r="S1002" s="104"/>
    </row>
    <row r="1003" ht="29.25" customHeight="1">
      <c r="A1003" s="230"/>
      <c r="B1003" s="389"/>
      <c r="C1003" s="390"/>
      <c r="D1003" s="391"/>
      <c r="E1003" s="383"/>
      <c r="F1003" s="162"/>
      <c r="G1003" s="232"/>
      <c r="H1003" s="232"/>
      <c r="I1003" s="181"/>
      <c r="J1003" s="182"/>
      <c r="K1003" s="182"/>
      <c r="L1003" s="182"/>
      <c r="M1003" s="165"/>
      <c r="N1003" s="181"/>
      <c r="O1003" s="181"/>
      <c r="P1003" s="183"/>
      <c r="Q1003" s="104"/>
      <c r="R1003" s="388"/>
      <c r="S1003" s="104"/>
    </row>
    <row r="1004" ht="29.25" customHeight="1">
      <c r="A1004" s="230"/>
      <c r="B1004" s="389"/>
      <c r="C1004" s="390"/>
      <c r="D1004" s="391"/>
      <c r="E1004" s="392"/>
      <c r="F1004" s="162"/>
      <c r="G1004" s="232"/>
      <c r="H1004" s="232"/>
      <c r="I1004" s="181"/>
      <c r="J1004" s="182"/>
      <c r="K1004" s="182"/>
      <c r="L1004" s="182"/>
      <c r="M1004" s="165"/>
      <c r="N1004" s="181"/>
      <c r="O1004" s="181"/>
      <c r="P1004" s="183"/>
      <c r="Q1004" s="104"/>
      <c r="R1004" s="393"/>
      <c r="S1004" s="104"/>
    </row>
    <row r="1005" ht="29.25" customHeight="1">
      <c r="A1005" s="230"/>
      <c r="B1005" s="389"/>
      <c r="C1005" s="390"/>
      <c r="D1005" s="391"/>
      <c r="E1005" s="383"/>
      <c r="F1005" s="162"/>
      <c r="G1005" s="232"/>
      <c r="H1005" s="232"/>
      <c r="I1005" s="181"/>
      <c r="J1005" s="182"/>
      <c r="K1005" s="182"/>
      <c r="L1005" s="182"/>
      <c r="M1005" s="165"/>
      <c r="N1005" s="181"/>
      <c r="O1005" s="181"/>
      <c r="P1005" s="183"/>
      <c r="Q1005" s="104"/>
      <c r="R1005" s="388"/>
      <c r="S1005" s="104"/>
    </row>
    <row r="1006" ht="29.25" customHeight="1">
      <c r="A1006" s="230"/>
      <c r="B1006" s="389"/>
      <c r="C1006" s="390"/>
      <c r="D1006" s="391"/>
      <c r="E1006" s="392"/>
      <c r="F1006" s="162"/>
      <c r="G1006" s="232"/>
      <c r="H1006" s="232"/>
      <c r="I1006" s="181"/>
      <c r="J1006" s="182"/>
      <c r="K1006" s="182"/>
      <c r="L1006" s="182"/>
      <c r="M1006" s="165"/>
      <c r="N1006" s="181"/>
      <c r="O1006" s="181"/>
      <c r="P1006" s="183"/>
      <c r="Q1006" s="104"/>
      <c r="R1006" s="393"/>
      <c r="S1006" s="104"/>
    </row>
    <row r="1007" ht="29.25" customHeight="1">
      <c r="A1007" s="230"/>
      <c r="B1007" s="389"/>
      <c r="C1007" s="390"/>
      <c r="D1007" s="391"/>
      <c r="E1007" s="383"/>
      <c r="F1007" s="162"/>
      <c r="G1007" s="232"/>
      <c r="H1007" s="232"/>
      <c r="I1007" s="181"/>
      <c r="J1007" s="182"/>
      <c r="K1007" s="182"/>
      <c r="L1007" s="182"/>
      <c r="M1007" s="165"/>
      <c r="N1007" s="181"/>
      <c r="O1007" s="181"/>
      <c r="P1007" s="183"/>
      <c r="Q1007" s="104"/>
      <c r="R1007" s="388"/>
      <c r="S1007" s="104"/>
    </row>
    <row r="1008" ht="29.25" customHeight="1">
      <c r="A1008" s="230"/>
      <c r="B1008" s="389"/>
      <c r="C1008" s="390"/>
      <c r="D1008" s="391"/>
      <c r="E1008" s="392"/>
      <c r="F1008" s="162"/>
      <c r="G1008" s="232"/>
      <c r="H1008" s="232"/>
      <c r="I1008" s="181"/>
      <c r="J1008" s="182"/>
      <c r="K1008" s="182"/>
      <c r="L1008" s="182"/>
      <c r="M1008" s="165"/>
      <c r="N1008" s="181"/>
      <c r="O1008" s="181"/>
      <c r="P1008" s="183"/>
      <c r="Q1008" s="104"/>
      <c r="R1008" s="393"/>
      <c r="S1008" s="104"/>
    </row>
    <row r="1009" ht="29.25" customHeight="1">
      <c r="A1009" s="230"/>
      <c r="B1009" s="389"/>
      <c r="C1009" s="390"/>
      <c r="D1009" s="391"/>
      <c r="E1009" s="383"/>
      <c r="F1009" s="162"/>
      <c r="G1009" s="232"/>
      <c r="H1009" s="232"/>
      <c r="I1009" s="181"/>
      <c r="J1009" s="182"/>
      <c r="K1009" s="182"/>
      <c r="L1009" s="182"/>
      <c r="M1009" s="165"/>
      <c r="N1009" s="181"/>
      <c r="O1009" s="181"/>
      <c r="P1009" s="183"/>
      <c r="Q1009" s="104"/>
      <c r="R1009" s="388"/>
      <c r="S1009" s="104"/>
    </row>
    <row r="1010" ht="29.25" customHeight="1">
      <c r="A1010" s="230"/>
      <c r="B1010" s="389"/>
      <c r="C1010" s="390"/>
      <c r="D1010" s="391"/>
      <c r="E1010" s="392"/>
      <c r="F1010" s="162"/>
      <c r="G1010" s="232"/>
      <c r="H1010" s="232"/>
      <c r="I1010" s="181"/>
      <c r="J1010" s="182"/>
      <c r="K1010" s="182"/>
      <c r="L1010" s="182"/>
      <c r="M1010" s="165"/>
      <c r="N1010" s="181"/>
      <c r="O1010" s="181"/>
      <c r="P1010" s="183"/>
      <c r="Q1010" s="104"/>
      <c r="R1010" s="393"/>
      <c r="S1010" s="104"/>
    </row>
    <row r="1011" ht="29.25" customHeight="1">
      <c r="A1011" s="230"/>
      <c r="B1011" s="389"/>
      <c r="C1011" s="390"/>
      <c r="D1011" s="391"/>
      <c r="E1011" s="383"/>
      <c r="F1011" s="162"/>
      <c r="G1011" s="232"/>
      <c r="H1011" s="232"/>
      <c r="I1011" s="181"/>
      <c r="J1011" s="182"/>
      <c r="K1011" s="182"/>
      <c r="L1011" s="182"/>
      <c r="M1011" s="165"/>
      <c r="N1011" s="181"/>
      <c r="O1011" s="181"/>
      <c r="P1011" s="183"/>
      <c r="Q1011" s="104"/>
      <c r="R1011" s="388"/>
      <c r="S1011" s="104"/>
    </row>
    <row r="1012" ht="29.25" customHeight="1">
      <c r="A1012" s="230"/>
      <c r="B1012" s="389"/>
      <c r="C1012" s="390"/>
      <c r="D1012" s="391"/>
      <c r="E1012" s="392"/>
      <c r="F1012" s="162"/>
      <c r="G1012" s="232"/>
      <c r="H1012" s="232"/>
      <c r="I1012" s="181"/>
      <c r="J1012" s="182"/>
      <c r="K1012" s="182"/>
      <c r="L1012" s="182"/>
      <c r="M1012" s="165"/>
      <c r="N1012" s="181"/>
      <c r="O1012" s="181"/>
      <c r="P1012" s="183"/>
      <c r="Q1012" s="104"/>
      <c r="R1012" s="393"/>
      <c r="S1012" s="104"/>
    </row>
    <row r="1013" ht="29.25" customHeight="1">
      <c r="A1013" s="230"/>
      <c r="B1013" s="389"/>
      <c r="C1013" s="390"/>
      <c r="D1013" s="391"/>
      <c r="E1013" s="383"/>
      <c r="F1013" s="162"/>
      <c r="G1013" s="232"/>
      <c r="H1013" s="232"/>
      <c r="I1013" s="181"/>
      <c r="J1013" s="182"/>
      <c r="K1013" s="182"/>
      <c r="L1013" s="182"/>
      <c r="M1013" s="165"/>
      <c r="N1013" s="181"/>
      <c r="O1013" s="181"/>
      <c r="P1013" s="183"/>
      <c r="Q1013" s="104"/>
      <c r="R1013" s="388"/>
      <c r="S1013" s="104"/>
    </row>
    <row r="1014" ht="29.25" customHeight="1">
      <c r="A1014" s="230"/>
      <c r="B1014" s="389"/>
      <c r="C1014" s="390"/>
      <c r="D1014" s="391"/>
      <c r="E1014" s="392"/>
      <c r="F1014" s="162"/>
      <c r="G1014" s="232"/>
      <c r="H1014" s="232"/>
      <c r="I1014" s="181"/>
      <c r="J1014" s="182"/>
      <c r="K1014" s="182"/>
      <c r="L1014" s="182"/>
      <c r="M1014" s="165"/>
      <c r="N1014" s="181"/>
      <c r="O1014" s="181"/>
      <c r="P1014" s="183"/>
      <c r="Q1014" s="104"/>
      <c r="R1014" s="393"/>
      <c r="S1014" s="104"/>
    </row>
    <row r="1015" ht="29.25" customHeight="1">
      <c r="A1015" s="230"/>
      <c r="B1015" s="389"/>
      <c r="C1015" s="390"/>
      <c r="D1015" s="391"/>
      <c r="E1015" s="383"/>
      <c r="F1015" s="162"/>
      <c r="G1015" s="232"/>
      <c r="H1015" s="232"/>
      <c r="I1015" s="181"/>
      <c r="J1015" s="182"/>
      <c r="K1015" s="182"/>
      <c r="L1015" s="182"/>
      <c r="M1015" s="165"/>
      <c r="N1015" s="181"/>
      <c r="O1015" s="181"/>
      <c r="P1015" s="183"/>
      <c r="Q1015" s="104"/>
      <c r="R1015" s="388"/>
      <c r="S1015" s="104"/>
    </row>
    <row r="1016" ht="29.25" customHeight="1">
      <c r="A1016" s="230"/>
      <c r="B1016" s="389"/>
      <c r="C1016" s="390"/>
      <c r="D1016" s="391"/>
      <c r="E1016" s="392"/>
      <c r="F1016" s="162"/>
      <c r="G1016" s="232"/>
      <c r="H1016" s="232"/>
      <c r="I1016" s="181"/>
      <c r="J1016" s="182"/>
      <c r="K1016" s="182"/>
      <c r="L1016" s="182"/>
      <c r="M1016" s="165"/>
      <c r="N1016" s="181"/>
      <c r="O1016" s="181"/>
      <c r="P1016" s="183"/>
      <c r="Q1016" s="104"/>
      <c r="R1016" s="393"/>
      <c r="S1016" s="104"/>
    </row>
    <row r="1017" ht="29.25" customHeight="1">
      <c r="A1017" s="230"/>
      <c r="B1017" s="389"/>
      <c r="C1017" s="390"/>
      <c r="D1017" s="391"/>
      <c r="E1017" s="383"/>
      <c r="F1017" s="162"/>
      <c r="G1017" s="232"/>
      <c r="H1017" s="232"/>
      <c r="I1017" s="181"/>
      <c r="J1017" s="182"/>
      <c r="K1017" s="182"/>
      <c r="L1017" s="182"/>
      <c r="M1017" s="165"/>
      <c r="N1017" s="181"/>
      <c r="O1017" s="181"/>
      <c r="P1017" s="183"/>
      <c r="Q1017" s="104"/>
      <c r="R1017" s="388"/>
      <c r="S1017" s="104"/>
    </row>
    <row r="1018" ht="29.25" customHeight="1">
      <c r="A1018" s="230"/>
      <c r="B1018" s="389"/>
      <c r="C1018" s="390"/>
      <c r="D1018" s="391"/>
      <c r="E1018" s="392"/>
      <c r="F1018" s="162"/>
      <c r="G1018" s="232"/>
      <c r="H1018" s="232"/>
      <c r="I1018" s="181"/>
      <c r="J1018" s="182"/>
      <c r="K1018" s="182"/>
      <c r="L1018" s="182"/>
      <c r="M1018" s="165"/>
      <c r="N1018" s="181"/>
      <c r="O1018" s="181"/>
      <c r="P1018" s="183"/>
      <c r="Q1018" s="104"/>
      <c r="R1018" s="393"/>
      <c r="S1018" s="104"/>
    </row>
    <row r="1019" ht="29.25" customHeight="1">
      <c r="A1019" s="230"/>
      <c r="B1019" s="389"/>
      <c r="C1019" s="390"/>
      <c r="D1019" s="391"/>
      <c r="E1019" s="383"/>
      <c r="F1019" s="162"/>
      <c r="G1019" s="232"/>
      <c r="H1019" s="232"/>
      <c r="I1019" s="181"/>
      <c r="J1019" s="182"/>
      <c r="K1019" s="182"/>
      <c r="L1019" s="182"/>
      <c r="M1019" s="165"/>
      <c r="N1019" s="181"/>
      <c r="O1019" s="181"/>
      <c r="P1019" s="183"/>
      <c r="Q1019" s="104"/>
      <c r="R1019" s="388"/>
      <c r="S1019" s="104"/>
    </row>
    <row r="1020" ht="29.25" customHeight="1">
      <c r="A1020" s="230"/>
      <c r="B1020" s="389"/>
      <c r="C1020" s="390"/>
      <c r="D1020" s="391"/>
      <c r="E1020" s="392"/>
      <c r="F1020" s="162"/>
      <c r="G1020" s="232"/>
      <c r="H1020" s="232"/>
      <c r="I1020" s="181"/>
      <c r="J1020" s="182"/>
      <c r="K1020" s="182"/>
      <c r="L1020" s="182"/>
      <c r="M1020" s="165"/>
      <c r="N1020" s="181"/>
      <c r="O1020" s="181"/>
      <c r="P1020" s="183"/>
      <c r="Q1020" s="104"/>
      <c r="R1020" s="393"/>
      <c r="S1020" s="104"/>
    </row>
    <row r="1021" ht="29.25" customHeight="1">
      <c r="A1021" s="230"/>
      <c r="B1021" s="389"/>
      <c r="C1021" s="390"/>
      <c r="D1021" s="391"/>
      <c r="E1021" s="383"/>
      <c r="F1021" s="162"/>
      <c r="G1021" s="232"/>
      <c r="H1021" s="232"/>
      <c r="I1021" s="181"/>
      <c r="J1021" s="182"/>
      <c r="K1021" s="182"/>
      <c r="L1021" s="182"/>
      <c r="M1021" s="165"/>
      <c r="N1021" s="181"/>
      <c r="O1021" s="181"/>
      <c r="P1021" s="183"/>
      <c r="Q1021" s="104"/>
      <c r="R1021" s="388"/>
      <c r="S1021" s="104"/>
    </row>
    <row r="1022" ht="29.25" customHeight="1">
      <c r="A1022" s="230"/>
      <c r="B1022" s="389"/>
      <c r="C1022" s="390"/>
      <c r="D1022" s="391"/>
      <c r="E1022" s="392"/>
      <c r="F1022" s="162"/>
      <c r="G1022" s="232"/>
      <c r="H1022" s="232"/>
      <c r="I1022" s="181"/>
      <c r="J1022" s="182"/>
      <c r="K1022" s="182"/>
      <c r="L1022" s="182"/>
      <c r="M1022" s="165"/>
      <c r="N1022" s="181"/>
      <c r="O1022" s="181"/>
      <c r="P1022" s="183"/>
      <c r="Q1022" s="104"/>
      <c r="R1022" s="393"/>
      <c r="S1022" s="104"/>
    </row>
    <row r="1023" ht="29.25" customHeight="1">
      <c r="A1023" s="230"/>
      <c r="B1023" s="389"/>
      <c r="C1023" s="390"/>
      <c r="D1023" s="391"/>
      <c r="E1023" s="383"/>
      <c r="F1023" s="162"/>
      <c r="G1023" s="232"/>
      <c r="H1023" s="232"/>
      <c r="I1023" s="181"/>
      <c r="J1023" s="182"/>
      <c r="K1023" s="182"/>
      <c r="L1023" s="182"/>
      <c r="M1023" s="165"/>
      <c r="N1023" s="181"/>
      <c r="O1023" s="181"/>
      <c r="P1023" s="183"/>
      <c r="Q1023" s="104"/>
      <c r="R1023" s="388"/>
      <c r="S1023" s="104"/>
    </row>
    <row r="1024" ht="29.25" customHeight="1">
      <c r="A1024" s="230"/>
      <c r="B1024" s="389"/>
      <c r="C1024" s="390"/>
      <c r="D1024" s="391"/>
      <c r="E1024" s="392"/>
      <c r="F1024" s="162"/>
      <c r="G1024" s="232"/>
      <c r="H1024" s="232"/>
      <c r="I1024" s="181"/>
      <c r="J1024" s="182"/>
      <c r="K1024" s="182"/>
      <c r="L1024" s="182"/>
      <c r="M1024" s="165"/>
      <c r="N1024" s="181"/>
      <c r="O1024" s="181"/>
      <c r="P1024" s="183"/>
      <c r="Q1024" s="104"/>
      <c r="R1024" s="393"/>
      <c r="S1024" s="104"/>
    </row>
    <row r="1025" ht="29.25" customHeight="1">
      <c r="A1025" s="230"/>
      <c r="B1025" s="389"/>
      <c r="C1025" s="390"/>
      <c r="D1025" s="391"/>
      <c r="E1025" s="383"/>
      <c r="F1025" s="162"/>
      <c r="G1025" s="232"/>
      <c r="H1025" s="232"/>
      <c r="I1025" s="181"/>
      <c r="J1025" s="182"/>
      <c r="K1025" s="182"/>
      <c r="L1025" s="182"/>
      <c r="M1025" s="165"/>
      <c r="N1025" s="181"/>
      <c r="O1025" s="181"/>
      <c r="P1025" s="183"/>
      <c r="Q1025" s="104"/>
      <c r="R1025" s="388"/>
      <c r="S1025" s="104"/>
    </row>
    <row r="1026" ht="29.25" customHeight="1">
      <c r="A1026" s="230"/>
      <c r="B1026" s="389"/>
      <c r="C1026" s="390"/>
      <c r="D1026" s="391"/>
      <c r="E1026" s="392"/>
      <c r="F1026" s="162"/>
      <c r="G1026" s="232"/>
      <c r="H1026" s="232"/>
      <c r="I1026" s="181"/>
      <c r="J1026" s="182"/>
      <c r="K1026" s="182"/>
      <c r="L1026" s="182"/>
      <c r="M1026" s="165"/>
      <c r="N1026" s="181"/>
      <c r="O1026" s="181"/>
      <c r="P1026" s="183"/>
      <c r="Q1026" s="104"/>
      <c r="R1026" s="393"/>
      <c r="S1026" s="104"/>
    </row>
    <row r="1027" ht="29.25" customHeight="1">
      <c r="A1027" s="230"/>
      <c r="B1027" s="389"/>
      <c r="C1027" s="390"/>
      <c r="D1027" s="391"/>
      <c r="E1027" s="383"/>
      <c r="F1027" s="162"/>
      <c r="G1027" s="232"/>
      <c r="H1027" s="232"/>
      <c r="I1027" s="181"/>
      <c r="J1027" s="182"/>
      <c r="K1027" s="182"/>
      <c r="L1027" s="182"/>
      <c r="M1027" s="165"/>
      <c r="N1027" s="181"/>
      <c r="O1027" s="181"/>
      <c r="P1027" s="183"/>
      <c r="Q1027" s="104"/>
      <c r="R1027" s="388"/>
      <c r="S1027" s="104"/>
    </row>
    <row r="1028" ht="29.25" customHeight="1">
      <c r="A1028" s="230"/>
      <c r="B1028" s="389"/>
      <c r="C1028" s="390"/>
      <c r="D1028" s="391"/>
      <c r="E1028" s="392"/>
      <c r="F1028" s="162"/>
      <c r="G1028" s="232"/>
      <c r="H1028" s="232"/>
      <c r="I1028" s="181"/>
      <c r="J1028" s="182"/>
      <c r="K1028" s="182"/>
      <c r="L1028" s="182"/>
      <c r="M1028" s="165"/>
      <c r="N1028" s="181"/>
      <c r="O1028" s="181"/>
      <c r="P1028" s="183"/>
      <c r="Q1028" s="104"/>
      <c r="R1028" s="393"/>
      <c r="S1028" s="104"/>
    </row>
    <row r="1029" ht="29.25" customHeight="1">
      <c r="A1029" s="230"/>
      <c r="B1029" s="389"/>
      <c r="C1029" s="390"/>
      <c r="D1029" s="391"/>
      <c r="E1029" s="383"/>
      <c r="F1029" s="162"/>
      <c r="G1029" s="232"/>
      <c r="H1029" s="232"/>
      <c r="I1029" s="181"/>
      <c r="J1029" s="182"/>
      <c r="K1029" s="182"/>
      <c r="L1029" s="182"/>
      <c r="M1029" s="165"/>
      <c r="N1029" s="181"/>
      <c r="O1029" s="181"/>
      <c r="P1029" s="183"/>
      <c r="Q1029" s="104"/>
      <c r="R1029" s="388"/>
      <c r="S1029" s="104"/>
    </row>
    <row r="1030" ht="29.25" customHeight="1">
      <c r="A1030" s="230"/>
      <c r="B1030" s="389"/>
      <c r="C1030" s="390"/>
      <c r="D1030" s="391"/>
      <c r="E1030" s="392"/>
      <c r="F1030" s="162"/>
      <c r="G1030" s="232"/>
      <c r="H1030" s="232"/>
      <c r="I1030" s="181"/>
      <c r="J1030" s="182"/>
      <c r="K1030" s="182"/>
      <c r="L1030" s="182"/>
      <c r="M1030" s="165"/>
      <c r="N1030" s="181"/>
      <c r="O1030" s="181"/>
      <c r="P1030" s="183"/>
      <c r="Q1030" s="104"/>
      <c r="R1030" s="393"/>
      <c r="S1030" s="104"/>
    </row>
    <row r="1031" ht="29.25" customHeight="1">
      <c r="A1031" s="230"/>
      <c r="B1031" s="389"/>
      <c r="C1031" s="390"/>
      <c r="D1031" s="391"/>
      <c r="E1031" s="383"/>
      <c r="F1031" s="162"/>
      <c r="G1031" s="232"/>
      <c r="H1031" s="232"/>
      <c r="I1031" s="181"/>
      <c r="J1031" s="182"/>
      <c r="K1031" s="182"/>
      <c r="L1031" s="182"/>
      <c r="M1031" s="165"/>
      <c r="N1031" s="181"/>
      <c r="O1031" s="181"/>
      <c r="P1031" s="183"/>
      <c r="Q1031" s="104"/>
      <c r="R1031" s="388"/>
      <c r="S1031" s="104"/>
    </row>
    <row r="1032" ht="29.25" customHeight="1">
      <c r="A1032" s="230"/>
      <c r="B1032" s="389"/>
      <c r="C1032" s="390"/>
      <c r="D1032" s="391"/>
      <c r="E1032" s="392"/>
      <c r="F1032" s="162"/>
      <c r="G1032" s="232"/>
      <c r="H1032" s="232"/>
      <c r="I1032" s="181"/>
      <c r="J1032" s="182"/>
      <c r="K1032" s="182"/>
      <c r="L1032" s="182"/>
      <c r="M1032" s="165"/>
      <c r="N1032" s="181"/>
      <c r="O1032" s="181"/>
      <c r="P1032" s="183"/>
      <c r="Q1032" s="104"/>
      <c r="R1032" s="393"/>
      <c r="S1032" s="104"/>
    </row>
    <row r="1033" ht="29.25" customHeight="1">
      <c r="A1033" s="230"/>
      <c r="B1033" s="389"/>
      <c r="C1033" s="390"/>
      <c r="D1033" s="391"/>
      <c r="E1033" s="383"/>
      <c r="F1033" s="162"/>
      <c r="G1033" s="232"/>
      <c r="H1033" s="232"/>
      <c r="I1033" s="181"/>
      <c r="J1033" s="182"/>
      <c r="K1033" s="182"/>
      <c r="L1033" s="182"/>
      <c r="M1033" s="165"/>
      <c r="N1033" s="181"/>
      <c r="O1033" s="181"/>
      <c r="P1033" s="183"/>
      <c r="Q1033" s="104"/>
      <c r="R1033" s="388"/>
      <c r="S1033" s="104"/>
    </row>
    <row r="1034" ht="29.25" customHeight="1">
      <c r="A1034" s="230"/>
      <c r="B1034" s="389"/>
      <c r="C1034" s="390"/>
      <c r="D1034" s="391"/>
      <c r="E1034" s="392"/>
      <c r="F1034" s="162"/>
      <c r="G1034" s="232"/>
      <c r="H1034" s="232"/>
      <c r="I1034" s="181"/>
      <c r="J1034" s="182"/>
      <c r="K1034" s="182"/>
      <c r="L1034" s="182"/>
      <c r="M1034" s="165"/>
      <c r="N1034" s="181"/>
      <c r="O1034" s="181"/>
      <c r="P1034" s="183"/>
      <c r="Q1034" s="104"/>
      <c r="R1034" s="393"/>
      <c r="S1034" s="104"/>
    </row>
    <row r="1035" ht="29.25" customHeight="1">
      <c r="A1035" s="230"/>
      <c r="B1035" s="389"/>
      <c r="C1035" s="390"/>
      <c r="D1035" s="391"/>
      <c r="E1035" s="383"/>
      <c r="F1035" s="162"/>
      <c r="G1035" s="232"/>
      <c r="H1035" s="232"/>
      <c r="I1035" s="181"/>
      <c r="J1035" s="182"/>
      <c r="K1035" s="182"/>
      <c r="L1035" s="182"/>
      <c r="M1035" s="165"/>
      <c r="N1035" s="181"/>
      <c r="O1035" s="181"/>
      <c r="P1035" s="183"/>
      <c r="Q1035" s="104"/>
      <c r="R1035" s="388"/>
      <c r="S1035" s="104"/>
    </row>
    <row r="1036" ht="29.25" customHeight="1">
      <c r="A1036" s="230"/>
      <c r="B1036" s="389"/>
      <c r="C1036" s="390"/>
      <c r="D1036" s="391"/>
      <c r="E1036" s="392"/>
      <c r="F1036" s="162"/>
      <c r="G1036" s="232"/>
      <c r="H1036" s="232"/>
      <c r="I1036" s="181"/>
      <c r="J1036" s="182"/>
      <c r="K1036" s="182"/>
      <c r="L1036" s="182"/>
      <c r="M1036" s="165"/>
      <c r="N1036" s="181"/>
      <c r="O1036" s="181"/>
      <c r="P1036" s="183"/>
      <c r="Q1036" s="104"/>
      <c r="R1036" s="393"/>
      <c r="S1036" s="104"/>
    </row>
    <row r="1037" ht="29.25" customHeight="1">
      <c r="A1037" s="230"/>
      <c r="B1037" s="389"/>
      <c r="C1037" s="390"/>
      <c r="D1037" s="391"/>
      <c r="E1037" s="383"/>
      <c r="F1037" s="162"/>
      <c r="G1037" s="232"/>
      <c r="H1037" s="232"/>
      <c r="I1037" s="181"/>
      <c r="J1037" s="182"/>
      <c r="K1037" s="182"/>
      <c r="L1037" s="182"/>
      <c r="M1037" s="165"/>
      <c r="N1037" s="181"/>
      <c r="O1037" s="181"/>
      <c r="P1037" s="183"/>
      <c r="Q1037" s="104"/>
      <c r="R1037" s="388"/>
      <c r="S1037" s="104"/>
    </row>
    <row r="1038" ht="29.25" customHeight="1">
      <c r="A1038" s="230"/>
      <c r="B1038" s="389"/>
      <c r="C1038" s="390"/>
      <c r="D1038" s="391"/>
      <c r="E1038" s="392"/>
      <c r="F1038" s="162"/>
      <c r="G1038" s="232"/>
      <c r="H1038" s="232"/>
      <c r="I1038" s="181"/>
      <c r="J1038" s="182"/>
      <c r="K1038" s="182"/>
      <c r="L1038" s="182"/>
      <c r="M1038" s="165"/>
      <c r="N1038" s="181"/>
      <c r="O1038" s="181"/>
      <c r="P1038" s="183"/>
      <c r="Q1038" s="104"/>
      <c r="R1038" s="393"/>
      <c r="S1038" s="104"/>
    </row>
    <row r="1039" ht="29.25" customHeight="1">
      <c r="A1039" s="230"/>
      <c r="B1039" s="389"/>
      <c r="C1039" s="390"/>
      <c r="D1039" s="391"/>
      <c r="E1039" s="383"/>
      <c r="F1039" s="162"/>
      <c r="G1039" s="232"/>
      <c r="H1039" s="232"/>
      <c r="I1039" s="181"/>
      <c r="J1039" s="182"/>
      <c r="K1039" s="182"/>
      <c r="L1039" s="182"/>
      <c r="M1039" s="165"/>
      <c r="N1039" s="181"/>
      <c r="O1039" s="181"/>
      <c r="P1039" s="183"/>
      <c r="Q1039" s="104"/>
      <c r="R1039" s="388"/>
      <c r="S1039" s="104"/>
    </row>
    <row r="1040" ht="29.25" customHeight="1">
      <c r="A1040" s="230"/>
      <c r="B1040" s="389"/>
      <c r="C1040" s="390"/>
      <c r="D1040" s="391"/>
      <c r="E1040" s="392"/>
      <c r="F1040" s="162"/>
      <c r="G1040" s="232"/>
      <c r="H1040" s="232"/>
      <c r="I1040" s="181"/>
      <c r="J1040" s="182"/>
      <c r="K1040" s="182"/>
      <c r="L1040" s="182"/>
      <c r="M1040" s="165"/>
      <c r="N1040" s="181"/>
      <c r="O1040" s="181"/>
      <c r="P1040" s="183"/>
      <c r="Q1040" s="104"/>
      <c r="R1040" s="393"/>
      <c r="S1040" s="104"/>
    </row>
    <row r="1041" ht="29.25" customHeight="1">
      <c r="A1041" s="230"/>
      <c r="B1041" s="389"/>
      <c r="C1041" s="390"/>
      <c r="D1041" s="391"/>
      <c r="E1041" s="383"/>
      <c r="F1041" s="162"/>
      <c r="G1041" s="232"/>
      <c r="H1041" s="232"/>
      <c r="I1041" s="181"/>
      <c r="J1041" s="182"/>
      <c r="K1041" s="182"/>
      <c r="L1041" s="182"/>
      <c r="M1041" s="165"/>
      <c r="N1041" s="181"/>
      <c r="O1041" s="181"/>
      <c r="P1041" s="183"/>
      <c r="Q1041" s="104"/>
      <c r="R1041" s="388"/>
      <c r="S1041" s="104"/>
    </row>
    <row r="1042" ht="29.25" customHeight="1">
      <c r="A1042" s="230"/>
      <c r="B1042" s="389"/>
      <c r="C1042" s="390"/>
      <c r="D1042" s="391"/>
      <c r="E1042" s="392"/>
      <c r="F1042" s="162"/>
      <c r="G1042" s="232"/>
      <c r="H1042" s="232"/>
      <c r="I1042" s="181"/>
      <c r="J1042" s="182"/>
      <c r="K1042" s="182"/>
      <c r="L1042" s="182"/>
      <c r="M1042" s="165"/>
      <c r="N1042" s="181"/>
      <c r="O1042" s="181"/>
      <c r="P1042" s="183"/>
      <c r="Q1042" s="104"/>
      <c r="R1042" s="393"/>
      <c r="S1042" s="104"/>
    </row>
    <row r="1043" ht="29.25" customHeight="1">
      <c r="A1043" s="230"/>
      <c r="B1043" s="389"/>
      <c r="C1043" s="390"/>
      <c r="D1043" s="391"/>
      <c r="E1043" s="383"/>
      <c r="F1043" s="162"/>
      <c r="G1043" s="232"/>
      <c r="H1043" s="232"/>
      <c r="I1043" s="181"/>
      <c r="J1043" s="182"/>
      <c r="K1043" s="182"/>
      <c r="L1043" s="182"/>
      <c r="M1043" s="165"/>
      <c r="N1043" s="181"/>
      <c r="O1043" s="181"/>
      <c r="P1043" s="183"/>
      <c r="Q1043" s="104"/>
      <c r="R1043" s="388"/>
      <c r="S1043" s="104"/>
    </row>
    <row r="1044" ht="29.25" customHeight="1">
      <c r="A1044" s="230"/>
      <c r="B1044" s="389"/>
      <c r="C1044" s="390"/>
      <c r="D1044" s="391"/>
      <c r="E1044" s="392"/>
      <c r="F1044" s="162"/>
      <c r="G1044" s="232"/>
      <c r="H1044" s="232"/>
      <c r="I1044" s="181"/>
      <c r="J1044" s="182"/>
      <c r="K1044" s="182"/>
      <c r="L1044" s="182"/>
      <c r="M1044" s="165"/>
      <c r="N1044" s="181"/>
      <c r="O1044" s="181"/>
      <c r="P1044" s="183"/>
      <c r="Q1044" s="104"/>
      <c r="R1044" s="393"/>
      <c r="S1044" s="104"/>
    </row>
    <row r="1045" ht="29.25" customHeight="1">
      <c r="A1045" s="230"/>
      <c r="B1045" s="389"/>
      <c r="C1045" s="390"/>
      <c r="D1045" s="391"/>
      <c r="E1045" s="383"/>
      <c r="F1045" s="162"/>
      <c r="G1045" s="232"/>
      <c r="H1045" s="232"/>
      <c r="I1045" s="181"/>
      <c r="J1045" s="182"/>
      <c r="K1045" s="182"/>
      <c r="L1045" s="182"/>
      <c r="M1045" s="165"/>
      <c r="N1045" s="181"/>
      <c r="O1045" s="181"/>
      <c r="P1045" s="183"/>
      <c r="Q1045" s="104"/>
      <c r="R1045" s="388"/>
      <c r="S1045" s="104"/>
    </row>
    <row r="1046" ht="29.25" customHeight="1">
      <c r="A1046" s="230"/>
      <c r="B1046" s="389"/>
      <c r="C1046" s="390"/>
      <c r="D1046" s="391"/>
      <c r="E1046" s="392"/>
      <c r="F1046" s="162"/>
      <c r="G1046" s="232"/>
      <c r="H1046" s="232"/>
      <c r="I1046" s="181"/>
      <c r="J1046" s="182"/>
      <c r="K1046" s="182"/>
      <c r="L1046" s="182"/>
      <c r="M1046" s="165"/>
      <c r="N1046" s="181"/>
      <c r="O1046" s="181"/>
      <c r="P1046" s="183"/>
      <c r="Q1046" s="104"/>
      <c r="R1046" s="393"/>
      <c r="S1046" s="104"/>
    </row>
    <row r="1047" ht="29.25" customHeight="1">
      <c r="A1047" s="230"/>
      <c r="B1047" s="389"/>
      <c r="C1047" s="390"/>
      <c r="D1047" s="391"/>
      <c r="E1047" s="383"/>
      <c r="F1047" s="162"/>
      <c r="G1047" s="232"/>
      <c r="H1047" s="232"/>
      <c r="I1047" s="181"/>
      <c r="J1047" s="182"/>
      <c r="K1047" s="182"/>
      <c r="L1047" s="182"/>
      <c r="M1047" s="165"/>
      <c r="N1047" s="181"/>
      <c r="O1047" s="181"/>
      <c r="P1047" s="183"/>
      <c r="Q1047" s="104"/>
      <c r="R1047" s="388"/>
      <c r="S1047" s="104"/>
    </row>
    <row r="1048" ht="29.25" customHeight="1">
      <c r="A1048" s="230"/>
      <c r="B1048" s="389"/>
      <c r="C1048" s="390"/>
      <c r="D1048" s="391"/>
      <c r="E1048" s="392"/>
      <c r="F1048" s="162"/>
      <c r="G1048" s="232"/>
      <c r="H1048" s="232"/>
      <c r="I1048" s="181"/>
      <c r="J1048" s="182"/>
      <c r="K1048" s="182"/>
      <c r="L1048" s="182"/>
      <c r="M1048" s="165"/>
      <c r="N1048" s="181"/>
      <c r="O1048" s="181"/>
      <c r="P1048" s="183"/>
      <c r="Q1048" s="104"/>
      <c r="R1048" s="393"/>
      <c r="S1048" s="104"/>
    </row>
    <row r="1049" ht="29.25" customHeight="1">
      <c r="A1049" s="230"/>
      <c r="B1049" s="389"/>
      <c r="C1049" s="390"/>
      <c r="D1049" s="391"/>
      <c r="E1049" s="383"/>
      <c r="F1049" s="162"/>
      <c r="G1049" s="232"/>
      <c r="H1049" s="232"/>
      <c r="I1049" s="181"/>
      <c r="J1049" s="182"/>
      <c r="K1049" s="182"/>
      <c r="L1049" s="182"/>
      <c r="M1049" s="165"/>
      <c r="N1049" s="181"/>
      <c r="O1049" s="181"/>
      <c r="P1049" s="183"/>
      <c r="Q1049" s="104"/>
      <c r="R1049" s="388"/>
      <c r="S1049" s="104"/>
    </row>
    <row r="1050" ht="29.25" customHeight="1">
      <c r="A1050" s="230"/>
      <c r="B1050" s="389"/>
      <c r="C1050" s="390"/>
      <c r="D1050" s="391"/>
      <c r="E1050" s="392"/>
      <c r="F1050" s="162"/>
      <c r="G1050" s="232"/>
      <c r="H1050" s="232"/>
      <c r="I1050" s="181"/>
      <c r="J1050" s="182"/>
      <c r="K1050" s="182"/>
      <c r="L1050" s="182"/>
      <c r="M1050" s="165"/>
      <c r="N1050" s="181"/>
      <c r="O1050" s="181"/>
      <c r="P1050" s="183"/>
      <c r="Q1050" s="104"/>
      <c r="R1050" s="393"/>
      <c r="S1050" s="104"/>
    </row>
    <row r="1051" ht="29.25" customHeight="1">
      <c r="A1051" s="230"/>
      <c r="B1051" s="389"/>
      <c r="C1051" s="390"/>
      <c r="D1051" s="391"/>
      <c r="E1051" s="383"/>
      <c r="F1051" s="162"/>
      <c r="G1051" s="232"/>
      <c r="H1051" s="232"/>
      <c r="I1051" s="181"/>
      <c r="J1051" s="182"/>
      <c r="K1051" s="182"/>
      <c r="L1051" s="182"/>
      <c r="M1051" s="165"/>
      <c r="N1051" s="181"/>
      <c r="O1051" s="181"/>
      <c r="P1051" s="183"/>
      <c r="Q1051" s="104"/>
      <c r="R1051" s="388"/>
      <c r="S1051" s="104"/>
    </row>
    <row r="1052" ht="29.25" customHeight="1">
      <c r="A1052" s="230"/>
      <c r="B1052" s="389"/>
      <c r="C1052" s="390"/>
      <c r="D1052" s="391"/>
      <c r="E1052" s="392"/>
      <c r="F1052" s="162"/>
      <c r="G1052" s="232"/>
      <c r="H1052" s="232"/>
      <c r="I1052" s="181"/>
      <c r="J1052" s="182"/>
      <c r="K1052" s="182"/>
      <c r="L1052" s="182"/>
      <c r="M1052" s="165"/>
      <c r="N1052" s="181"/>
      <c r="O1052" s="181"/>
      <c r="P1052" s="183"/>
      <c r="Q1052" s="104"/>
      <c r="R1052" s="393"/>
      <c r="S1052" s="104"/>
    </row>
    <row r="1053" ht="29.25" customHeight="1">
      <c r="A1053" s="230"/>
      <c r="B1053" s="389"/>
      <c r="C1053" s="390"/>
      <c r="D1053" s="391"/>
      <c r="E1053" s="383"/>
      <c r="F1053" s="162"/>
      <c r="G1053" s="232"/>
      <c r="H1053" s="232"/>
      <c r="I1053" s="181"/>
      <c r="J1053" s="182"/>
      <c r="K1053" s="182"/>
      <c r="L1053" s="182"/>
      <c r="M1053" s="165"/>
      <c r="N1053" s="181"/>
      <c r="O1053" s="181"/>
      <c r="P1053" s="183"/>
      <c r="Q1053" s="104"/>
      <c r="R1053" s="388"/>
      <c r="S1053" s="104"/>
    </row>
    <row r="1054" ht="29.25" customHeight="1">
      <c r="A1054" s="230"/>
      <c r="B1054" s="389"/>
      <c r="C1054" s="390"/>
      <c r="D1054" s="391"/>
      <c r="E1054" s="392"/>
      <c r="F1054" s="162"/>
      <c r="G1054" s="232"/>
      <c r="H1054" s="232"/>
      <c r="I1054" s="181"/>
      <c r="J1054" s="182"/>
      <c r="K1054" s="182"/>
      <c r="L1054" s="182"/>
      <c r="M1054" s="165"/>
      <c r="N1054" s="181"/>
      <c r="O1054" s="181"/>
      <c r="P1054" s="183"/>
      <c r="Q1054" s="104"/>
      <c r="R1054" s="393"/>
      <c r="S1054" s="104"/>
    </row>
    <row r="1055" ht="29.25" customHeight="1">
      <c r="A1055" s="230"/>
      <c r="B1055" s="389"/>
      <c r="C1055" s="390"/>
      <c r="D1055" s="391"/>
      <c r="E1055" s="383"/>
      <c r="F1055" s="162"/>
      <c r="G1055" s="232"/>
      <c r="H1055" s="232"/>
      <c r="I1055" s="181"/>
      <c r="J1055" s="182"/>
      <c r="K1055" s="182"/>
      <c r="L1055" s="182"/>
      <c r="M1055" s="165"/>
      <c r="N1055" s="181"/>
      <c r="O1055" s="181"/>
      <c r="P1055" s="183"/>
      <c r="Q1055" s="104"/>
      <c r="R1055" s="388"/>
      <c r="S1055" s="104"/>
    </row>
    <row r="1056" ht="29.25" customHeight="1">
      <c r="A1056" s="230"/>
      <c r="B1056" s="389"/>
      <c r="C1056" s="390"/>
      <c r="D1056" s="391"/>
      <c r="E1056" s="392"/>
      <c r="F1056" s="162"/>
      <c r="G1056" s="232"/>
      <c r="H1056" s="232"/>
      <c r="I1056" s="181"/>
      <c r="J1056" s="182"/>
      <c r="K1056" s="182"/>
      <c r="L1056" s="182"/>
      <c r="M1056" s="165"/>
      <c r="N1056" s="181"/>
      <c r="O1056" s="181"/>
      <c r="P1056" s="183"/>
      <c r="Q1056" s="104"/>
      <c r="R1056" s="393"/>
      <c r="S1056" s="104"/>
    </row>
    <row r="1057" ht="29.25" customHeight="1">
      <c r="A1057" s="230"/>
      <c r="B1057" s="389"/>
      <c r="C1057" s="390"/>
      <c r="D1057" s="391"/>
      <c r="E1057" s="383"/>
      <c r="F1057" s="162"/>
      <c r="G1057" s="232"/>
      <c r="H1057" s="232"/>
      <c r="I1057" s="181"/>
      <c r="J1057" s="182"/>
      <c r="K1057" s="182"/>
      <c r="L1057" s="182"/>
      <c r="M1057" s="165"/>
      <c r="N1057" s="181"/>
      <c r="O1057" s="181"/>
      <c r="P1057" s="183"/>
      <c r="Q1057" s="104"/>
      <c r="R1057" s="388"/>
      <c r="S1057" s="104"/>
    </row>
    <row r="1058" ht="29.25" customHeight="1">
      <c r="A1058" s="230"/>
      <c r="B1058" s="389"/>
      <c r="C1058" s="390"/>
      <c r="D1058" s="391"/>
      <c r="E1058" s="392"/>
      <c r="F1058" s="162"/>
      <c r="G1058" s="232"/>
      <c r="H1058" s="232"/>
      <c r="I1058" s="181"/>
      <c r="J1058" s="182"/>
      <c r="K1058" s="182"/>
      <c r="L1058" s="182"/>
      <c r="M1058" s="165"/>
      <c r="N1058" s="181"/>
      <c r="O1058" s="181"/>
      <c r="P1058" s="183"/>
      <c r="Q1058" s="104"/>
      <c r="R1058" s="393"/>
      <c r="S1058" s="104"/>
    </row>
    <row r="1059" ht="29.25" customHeight="1">
      <c r="A1059" s="230"/>
      <c r="B1059" s="389"/>
      <c r="C1059" s="390"/>
      <c r="D1059" s="391"/>
      <c r="E1059" s="383"/>
      <c r="F1059" s="162"/>
      <c r="G1059" s="232"/>
      <c r="H1059" s="232"/>
      <c r="I1059" s="181"/>
      <c r="J1059" s="182"/>
      <c r="K1059" s="182"/>
      <c r="L1059" s="182"/>
      <c r="M1059" s="165"/>
      <c r="N1059" s="181"/>
      <c r="O1059" s="181"/>
      <c r="P1059" s="183"/>
      <c r="Q1059" s="104"/>
      <c r="R1059" s="388"/>
      <c r="S1059" s="104"/>
    </row>
    <row r="1060" ht="29.25" customHeight="1">
      <c r="A1060" s="230"/>
      <c r="B1060" s="389"/>
      <c r="C1060" s="390"/>
      <c r="D1060" s="391"/>
      <c r="E1060" s="392"/>
      <c r="F1060" s="162"/>
      <c r="G1060" s="232"/>
      <c r="H1060" s="232"/>
      <c r="I1060" s="181"/>
      <c r="J1060" s="182"/>
      <c r="K1060" s="182"/>
      <c r="L1060" s="182"/>
      <c r="M1060" s="165"/>
      <c r="N1060" s="181"/>
      <c r="O1060" s="181"/>
      <c r="P1060" s="183"/>
      <c r="Q1060" s="104"/>
      <c r="R1060" s="393"/>
      <c r="S1060" s="104"/>
    </row>
    <row r="1061" ht="29.25" customHeight="1">
      <c r="A1061" s="230"/>
      <c r="B1061" s="389"/>
      <c r="C1061" s="390"/>
      <c r="D1061" s="391"/>
      <c r="E1061" s="383"/>
      <c r="F1061" s="162"/>
      <c r="G1061" s="232"/>
      <c r="H1061" s="232"/>
      <c r="I1061" s="181"/>
      <c r="J1061" s="182"/>
      <c r="K1061" s="182"/>
      <c r="L1061" s="182"/>
      <c r="M1061" s="165"/>
      <c r="N1061" s="181"/>
      <c r="O1061" s="181"/>
      <c r="P1061" s="183"/>
      <c r="Q1061" s="104"/>
      <c r="R1061" s="388"/>
      <c r="S1061" s="104"/>
    </row>
    <row r="1062" ht="29.25" customHeight="1">
      <c r="A1062" s="230"/>
      <c r="B1062" s="389"/>
      <c r="C1062" s="390"/>
      <c r="D1062" s="391"/>
      <c r="E1062" s="392"/>
      <c r="F1062" s="162"/>
      <c r="G1062" s="232"/>
      <c r="H1062" s="232"/>
      <c r="I1062" s="181"/>
      <c r="J1062" s="182"/>
      <c r="K1062" s="182"/>
      <c r="L1062" s="182"/>
      <c r="M1062" s="165"/>
      <c r="N1062" s="181"/>
      <c r="O1062" s="181"/>
      <c r="P1062" s="183"/>
      <c r="Q1062" s="104"/>
      <c r="R1062" s="393"/>
      <c r="S1062" s="104"/>
    </row>
    <row r="1063" ht="29.25" customHeight="1">
      <c r="A1063" s="230"/>
      <c r="B1063" s="389"/>
      <c r="C1063" s="390"/>
      <c r="D1063" s="391"/>
      <c r="E1063" s="383"/>
      <c r="F1063" s="162"/>
      <c r="G1063" s="232"/>
      <c r="H1063" s="232"/>
      <c r="I1063" s="181"/>
      <c r="J1063" s="182"/>
      <c r="K1063" s="182"/>
      <c r="L1063" s="182"/>
      <c r="M1063" s="165"/>
      <c r="N1063" s="181"/>
      <c r="O1063" s="181"/>
      <c r="P1063" s="183"/>
      <c r="Q1063" s="104"/>
      <c r="R1063" s="388"/>
      <c r="S1063" s="104"/>
    </row>
    <row r="1064" ht="29.25" customHeight="1">
      <c r="A1064" s="230"/>
      <c r="B1064" s="389"/>
      <c r="C1064" s="390"/>
      <c r="D1064" s="391"/>
      <c r="E1064" s="392"/>
      <c r="F1064" s="162"/>
      <c r="G1064" s="232"/>
      <c r="H1064" s="232"/>
      <c r="I1064" s="181"/>
      <c r="J1064" s="182"/>
      <c r="K1064" s="182"/>
      <c r="L1064" s="182"/>
      <c r="M1064" s="165"/>
      <c r="N1064" s="181"/>
      <c r="O1064" s="181"/>
      <c r="P1064" s="183"/>
      <c r="Q1064" s="104"/>
      <c r="R1064" s="393"/>
      <c r="S1064" s="104"/>
    </row>
    <row r="1065" ht="29.25" customHeight="1">
      <c r="A1065" s="230"/>
      <c r="B1065" s="389"/>
      <c r="C1065" s="390"/>
      <c r="D1065" s="391"/>
      <c r="E1065" s="383"/>
      <c r="F1065" s="162"/>
      <c r="G1065" s="232"/>
      <c r="H1065" s="232"/>
      <c r="I1065" s="181"/>
      <c r="J1065" s="182"/>
      <c r="K1065" s="182"/>
      <c r="L1065" s="182"/>
      <c r="M1065" s="165"/>
      <c r="N1065" s="181"/>
      <c r="O1065" s="181"/>
      <c r="P1065" s="183"/>
      <c r="Q1065" s="104"/>
      <c r="R1065" s="388"/>
      <c r="S1065" s="104"/>
    </row>
    <row r="1066" ht="29.25" customHeight="1">
      <c r="A1066" s="230"/>
      <c r="B1066" s="389"/>
      <c r="C1066" s="390"/>
      <c r="D1066" s="391"/>
      <c r="E1066" s="392"/>
      <c r="F1066" s="162"/>
      <c r="G1066" s="232"/>
      <c r="H1066" s="232"/>
      <c r="I1066" s="181"/>
      <c r="J1066" s="182"/>
      <c r="K1066" s="182"/>
      <c r="L1066" s="182"/>
      <c r="M1066" s="165"/>
      <c r="N1066" s="181"/>
      <c r="O1066" s="181"/>
      <c r="P1066" s="183"/>
      <c r="Q1066" s="104"/>
      <c r="R1066" s="393"/>
      <c r="S1066" s="104"/>
    </row>
    <row r="1067" ht="29.25" customHeight="1">
      <c r="A1067" s="230"/>
      <c r="B1067" s="389"/>
      <c r="C1067" s="390"/>
      <c r="D1067" s="391"/>
      <c r="E1067" s="383"/>
      <c r="F1067" s="162"/>
      <c r="G1067" s="232"/>
      <c r="H1067" s="232"/>
      <c r="I1067" s="181"/>
      <c r="J1067" s="182"/>
      <c r="K1067" s="182"/>
      <c r="L1067" s="182"/>
      <c r="M1067" s="165"/>
      <c r="N1067" s="181"/>
      <c r="O1067" s="181"/>
      <c r="P1067" s="183"/>
      <c r="Q1067" s="104"/>
      <c r="R1067" s="388"/>
      <c r="S1067" s="104"/>
    </row>
    <row r="1068" ht="29.25" customHeight="1">
      <c r="A1068" s="230"/>
      <c r="B1068" s="389"/>
      <c r="C1068" s="390"/>
      <c r="D1068" s="391"/>
      <c r="E1068" s="392"/>
      <c r="F1068" s="162"/>
      <c r="G1068" s="232"/>
      <c r="H1068" s="232"/>
      <c r="I1068" s="181"/>
      <c r="J1068" s="182"/>
      <c r="K1068" s="182"/>
      <c r="L1068" s="182"/>
      <c r="M1068" s="165"/>
      <c r="N1068" s="181"/>
      <c r="O1068" s="181"/>
      <c r="P1068" s="183"/>
      <c r="Q1068" s="104"/>
      <c r="R1068" s="393"/>
      <c r="S1068" s="104"/>
    </row>
    <row r="1069" ht="29.25" customHeight="1">
      <c r="A1069" s="230"/>
      <c r="B1069" s="389"/>
      <c r="C1069" s="390"/>
      <c r="D1069" s="391"/>
      <c r="E1069" s="383"/>
      <c r="F1069" s="162"/>
      <c r="G1069" s="232"/>
      <c r="H1069" s="232"/>
      <c r="I1069" s="181"/>
      <c r="J1069" s="182"/>
      <c r="K1069" s="182"/>
      <c r="L1069" s="182"/>
      <c r="M1069" s="165"/>
      <c r="N1069" s="181"/>
      <c r="O1069" s="181"/>
      <c r="P1069" s="183"/>
      <c r="Q1069" s="104"/>
      <c r="R1069" s="388"/>
      <c r="S1069" s="104"/>
    </row>
    <row r="1070" ht="29.25" customHeight="1">
      <c r="A1070" s="230"/>
      <c r="B1070" s="389"/>
      <c r="C1070" s="390"/>
      <c r="D1070" s="391"/>
      <c r="E1070" s="392"/>
      <c r="F1070" s="162"/>
      <c r="G1070" s="232"/>
      <c r="H1070" s="232"/>
      <c r="I1070" s="181"/>
      <c r="J1070" s="182"/>
      <c r="K1070" s="182"/>
      <c r="L1070" s="182"/>
      <c r="M1070" s="165"/>
      <c r="N1070" s="181"/>
      <c r="O1070" s="181"/>
      <c r="P1070" s="183"/>
      <c r="Q1070" s="104"/>
      <c r="R1070" s="393"/>
      <c r="S1070" s="104"/>
    </row>
    <row r="1071" ht="29.25" customHeight="1">
      <c r="A1071" s="230"/>
      <c r="B1071" s="389"/>
      <c r="C1071" s="390"/>
      <c r="D1071" s="391"/>
      <c r="E1071" s="383"/>
      <c r="F1071" s="162"/>
      <c r="G1071" s="232"/>
      <c r="H1071" s="232"/>
      <c r="I1071" s="181"/>
      <c r="J1071" s="182"/>
      <c r="K1071" s="182"/>
      <c r="L1071" s="182"/>
      <c r="M1071" s="165"/>
      <c r="N1071" s="181"/>
      <c r="O1071" s="181"/>
      <c r="P1071" s="183"/>
      <c r="Q1071" s="104"/>
      <c r="R1071" s="388"/>
      <c r="S1071" s="104"/>
    </row>
    <row r="1072" ht="29.25" customHeight="1">
      <c r="A1072" s="230"/>
      <c r="B1072" s="389"/>
      <c r="C1072" s="390"/>
      <c r="D1072" s="391"/>
      <c r="E1072" s="392"/>
      <c r="F1072" s="162"/>
      <c r="G1072" s="232"/>
      <c r="H1072" s="232"/>
      <c r="I1072" s="181"/>
      <c r="J1072" s="182"/>
      <c r="K1072" s="182"/>
      <c r="L1072" s="182"/>
      <c r="M1072" s="165"/>
      <c r="N1072" s="181"/>
      <c r="O1072" s="181"/>
      <c r="P1072" s="183"/>
      <c r="Q1072" s="104"/>
      <c r="R1072" s="393"/>
      <c r="S1072" s="104"/>
    </row>
    <row r="1073" ht="29.25" customHeight="1">
      <c r="A1073" s="230"/>
      <c r="B1073" s="389"/>
      <c r="C1073" s="390"/>
      <c r="D1073" s="391"/>
      <c r="E1073" s="383"/>
      <c r="F1073" s="162"/>
      <c r="G1073" s="232"/>
      <c r="H1073" s="232"/>
      <c r="I1073" s="181"/>
      <c r="J1073" s="182"/>
      <c r="K1073" s="182"/>
      <c r="L1073" s="182"/>
      <c r="M1073" s="165"/>
      <c r="N1073" s="181"/>
      <c r="O1073" s="181"/>
      <c r="P1073" s="183"/>
      <c r="Q1073" s="104"/>
      <c r="R1073" s="388"/>
      <c r="S1073" s="104"/>
    </row>
    <row r="1074" ht="29.25" customHeight="1">
      <c r="A1074" s="230"/>
      <c r="B1074" s="389"/>
      <c r="C1074" s="390"/>
      <c r="D1074" s="391"/>
      <c r="E1074" s="392"/>
      <c r="F1074" s="162"/>
      <c r="G1074" s="232"/>
      <c r="H1074" s="232"/>
      <c r="I1074" s="181"/>
      <c r="J1074" s="182"/>
      <c r="K1074" s="182"/>
      <c r="L1074" s="182"/>
      <c r="M1074" s="165"/>
      <c r="N1074" s="181"/>
      <c r="O1074" s="181"/>
      <c r="P1074" s="183"/>
      <c r="Q1074" s="104"/>
      <c r="R1074" s="393"/>
      <c r="S1074" s="104"/>
    </row>
    <row r="1075" ht="29.25" customHeight="1">
      <c r="A1075" s="230"/>
      <c r="B1075" s="389"/>
      <c r="C1075" s="390"/>
      <c r="D1075" s="391"/>
      <c r="E1075" s="383"/>
      <c r="F1075" s="162"/>
      <c r="G1075" s="232"/>
      <c r="H1075" s="232"/>
      <c r="I1075" s="181"/>
      <c r="J1075" s="182"/>
      <c r="K1075" s="182"/>
      <c r="L1075" s="182"/>
      <c r="M1075" s="165"/>
      <c r="N1075" s="181"/>
      <c r="O1075" s="181"/>
      <c r="P1075" s="183"/>
      <c r="Q1075" s="104"/>
      <c r="R1075" s="388"/>
      <c r="S1075" s="104"/>
    </row>
    <row r="1076" ht="29.25" customHeight="1">
      <c r="A1076" s="230"/>
      <c r="B1076" s="389"/>
      <c r="C1076" s="390"/>
      <c r="D1076" s="391"/>
      <c r="E1076" s="392"/>
      <c r="F1076" s="162"/>
      <c r="G1076" s="232"/>
      <c r="H1076" s="232"/>
      <c r="I1076" s="181"/>
      <c r="J1076" s="182"/>
      <c r="K1076" s="182"/>
      <c r="L1076" s="182"/>
      <c r="M1076" s="165"/>
      <c r="N1076" s="181"/>
      <c r="O1076" s="181"/>
      <c r="P1076" s="183"/>
      <c r="Q1076" s="104"/>
      <c r="R1076" s="393"/>
      <c r="S1076" s="104"/>
    </row>
    <row r="1077" ht="29.25" customHeight="1">
      <c r="A1077" s="230"/>
      <c r="B1077" s="389"/>
      <c r="C1077" s="390"/>
      <c r="D1077" s="391"/>
      <c r="E1077" s="383"/>
      <c r="F1077" s="162"/>
      <c r="G1077" s="232"/>
      <c r="H1077" s="232"/>
      <c r="I1077" s="181"/>
      <c r="J1077" s="182"/>
      <c r="K1077" s="182"/>
      <c r="L1077" s="182"/>
      <c r="M1077" s="165"/>
      <c r="N1077" s="181"/>
      <c r="O1077" s="181"/>
      <c r="P1077" s="183"/>
      <c r="Q1077" s="104"/>
      <c r="R1077" s="388"/>
      <c r="S1077" s="104"/>
    </row>
    <row r="1078" ht="29.25" customHeight="1">
      <c r="A1078" s="230"/>
      <c r="B1078" s="389"/>
      <c r="C1078" s="390"/>
      <c r="D1078" s="391"/>
      <c r="E1078" s="392"/>
      <c r="F1078" s="162"/>
      <c r="G1078" s="232"/>
      <c r="H1078" s="232"/>
      <c r="I1078" s="181"/>
      <c r="J1078" s="182"/>
      <c r="K1078" s="182"/>
      <c r="L1078" s="182"/>
      <c r="M1078" s="165"/>
      <c r="N1078" s="181"/>
      <c r="O1078" s="181"/>
      <c r="P1078" s="183"/>
      <c r="Q1078" s="104"/>
      <c r="R1078" s="393"/>
      <c r="S1078" s="104"/>
    </row>
    <row r="1079" ht="29.25" customHeight="1">
      <c r="A1079" s="230"/>
      <c r="B1079" s="389"/>
      <c r="C1079" s="390"/>
      <c r="D1079" s="391"/>
      <c r="E1079" s="383"/>
      <c r="F1079" s="162"/>
      <c r="G1079" s="232"/>
      <c r="H1079" s="232"/>
      <c r="I1079" s="181"/>
      <c r="J1079" s="182"/>
      <c r="K1079" s="182"/>
      <c r="L1079" s="182"/>
      <c r="M1079" s="165"/>
      <c r="N1079" s="181"/>
      <c r="O1079" s="181"/>
      <c r="P1079" s="183"/>
      <c r="Q1079" s="104"/>
      <c r="R1079" s="388"/>
      <c r="S1079" s="104"/>
    </row>
    <row r="1080" ht="29.25" customHeight="1">
      <c r="A1080" s="230"/>
      <c r="B1080" s="389"/>
      <c r="C1080" s="390"/>
      <c r="D1080" s="391"/>
      <c r="E1080" s="392"/>
      <c r="F1080" s="162"/>
      <c r="G1080" s="232"/>
      <c r="H1080" s="232"/>
      <c r="I1080" s="181"/>
      <c r="J1080" s="182"/>
      <c r="K1080" s="182"/>
      <c r="L1080" s="182"/>
      <c r="M1080" s="165"/>
      <c r="N1080" s="181"/>
      <c r="O1080" s="181"/>
      <c r="P1080" s="183"/>
      <c r="Q1080" s="104"/>
      <c r="R1080" s="393"/>
      <c r="S1080" s="104"/>
    </row>
    <row r="1081" ht="29.25" customHeight="1">
      <c r="A1081" s="230"/>
      <c r="B1081" s="389"/>
      <c r="C1081" s="390"/>
      <c r="D1081" s="391"/>
      <c r="E1081" s="383"/>
      <c r="F1081" s="162"/>
      <c r="G1081" s="232"/>
      <c r="H1081" s="232"/>
      <c r="I1081" s="181"/>
      <c r="J1081" s="182"/>
      <c r="K1081" s="182"/>
      <c r="L1081" s="182"/>
      <c r="M1081" s="165"/>
      <c r="N1081" s="181"/>
      <c r="O1081" s="181"/>
      <c r="P1081" s="183"/>
      <c r="Q1081" s="104"/>
      <c r="R1081" s="388"/>
      <c r="S1081" s="104"/>
    </row>
    <row r="1082" ht="29.25" customHeight="1">
      <c r="A1082" s="230"/>
      <c r="B1082" s="389"/>
      <c r="C1082" s="390"/>
      <c r="D1082" s="391"/>
      <c r="E1082" s="392"/>
      <c r="F1082" s="162"/>
      <c r="G1082" s="232"/>
      <c r="H1082" s="232"/>
      <c r="I1082" s="181"/>
      <c r="J1082" s="182"/>
      <c r="K1082" s="182"/>
      <c r="L1082" s="182"/>
      <c r="M1082" s="165"/>
      <c r="N1082" s="181"/>
      <c r="O1082" s="181"/>
      <c r="P1082" s="183"/>
      <c r="Q1082" s="104"/>
      <c r="R1082" s="393"/>
      <c r="S1082" s="104"/>
    </row>
    <row r="1083" ht="29.25" customHeight="1">
      <c r="A1083" s="230"/>
      <c r="B1083" s="389"/>
      <c r="C1083" s="390"/>
      <c r="D1083" s="391"/>
      <c r="E1083" s="383"/>
      <c r="F1083" s="162"/>
      <c r="G1083" s="232"/>
      <c r="H1083" s="232"/>
      <c r="I1083" s="181"/>
      <c r="J1083" s="182"/>
      <c r="K1083" s="182"/>
      <c r="L1083" s="182"/>
      <c r="M1083" s="165"/>
      <c r="N1083" s="181"/>
      <c r="O1083" s="181"/>
      <c r="P1083" s="183"/>
      <c r="Q1083" s="104"/>
      <c r="R1083" s="388"/>
      <c r="S1083" s="104"/>
    </row>
    <row r="1084" ht="29.25" customHeight="1">
      <c r="A1084" s="230"/>
      <c r="B1084" s="389"/>
      <c r="C1084" s="390"/>
      <c r="D1084" s="391"/>
      <c r="E1084" s="392"/>
      <c r="F1084" s="162"/>
      <c r="G1084" s="232"/>
      <c r="H1084" s="232"/>
      <c r="I1084" s="181"/>
      <c r="J1084" s="182"/>
      <c r="K1084" s="182"/>
      <c r="L1084" s="182"/>
      <c r="M1084" s="165"/>
      <c r="N1084" s="181"/>
      <c r="O1084" s="181"/>
      <c r="P1084" s="183"/>
      <c r="Q1084" s="104"/>
      <c r="R1084" s="393"/>
      <c r="S1084" s="104"/>
    </row>
    <row r="1085" ht="29.25" customHeight="1">
      <c r="A1085" s="230"/>
      <c r="B1085" s="389"/>
      <c r="C1085" s="390"/>
      <c r="D1085" s="391"/>
      <c r="E1085" s="383"/>
      <c r="F1085" s="162"/>
      <c r="G1085" s="232"/>
      <c r="H1085" s="232"/>
      <c r="I1085" s="181"/>
      <c r="J1085" s="182"/>
      <c r="K1085" s="182"/>
      <c r="L1085" s="182"/>
      <c r="M1085" s="165"/>
      <c r="N1085" s="181"/>
      <c r="O1085" s="181"/>
      <c r="P1085" s="183"/>
      <c r="Q1085" s="104"/>
      <c r="R1085" s="388"/>
      <c r="S1085" s="104"/>
    </row>
    <row r="1086" ht="29.25" customHeight="1">
      <c r="A1086" s="230"/>
      <c r="B1086" s="389"/>
      <c r="C1086" s="390"/>
      <c r="D1086" s="391"/>
      <c r="E1086" s="392"/>
      <c r="F1086" s="162"/>
      <c r="G1086" s="232"/>
      <c r="H1086" s="232"/>
      <c r="I1086" s="181"/>
      <c r="J1086" s="182"/>
      <c r="K1086" s="182"/>
      <c r="L1086" s="182"/>
      <c r="M1086" s="165"/>
      <c r="N1086" s="181"/>
      <c r="O1086" s="181"/>
      <c r="P1086" s="183"/>
      <c r="Q1086" s="104"/>
      <c r="R1086" s="393"/>
      <c r="S1086" s="104"/>
    </row>
    <row r="1087" ht="29.25" customHeight="1">
      <c r="A1087" s="230"/>
      <c r="B1087" s="389"/>
      <c r="C1087" s="390"/>
      <c r="D1087" s="391"/>
      <c r="E1087" s="383"/>
      <c r="F1087" s="162"/>
      <c r="G1087" s="232"/>
      <c r="H1087" s="232"/>
      <c r="I1087" s="181"/>
      <c r="J1087" s="182"/>
      <c r="K1087" s="182"/>
      <c r="L1087" s="182"/>
      <c r="M1087" s="165"/>
      <c r="N1087" s="181"/>
      <c r="O1087" s="181"/>
      <c r="P1087" s="183"/>
      <c r="Q1087" s="104"/>
      <c r="R1087" s="388"/>
      <c r="S1087" s="104"/>
    </row>
    <row r="1088" ht="29.25" customHeight="1">
      <c r="A1088" s="230"/>
      <c r="B1088" s="389"/>
      <c r="C1088" s="390"/>
      <c r="D1088" s="391"/>
      <c r="E1088" s="392"/>
      <c r="F1088" s="162"/>
      <c r="G1088" s="232"/>
      <c r="H1088" s="232"/>
      <c r="I1088" s="181"/>
      <c r="J1088" s="182"/>
      <c r="K1088" s="182"/>
      <c r="L1088" s="182"/>
      <c r="M1088" s="165"/>
      <c r="N1088" s="181"/>
      <c r="O1088" s="181"/>
      <c r="P1088" s="183"/>
      <c r="Q1088" s="104"/>
      <c r="R1088" s="393"/>
      <c r="S1088" s="104"/>
    </row>
    <row r="1089" ht="29.25" customHeight="1">
      <c r="A1089" s="230"/>
      <c r="B1089" s="389"/>
      <c r="C1089" s="390"/>
      <c r="D1089" s="391"/>
      <c r="E1089" s="383"/>
      <c r="F1089" s="162"/>
      <c r="G1089" s="232"/>
      <c r="H1089" s="232"/>
      <c r="I1089" s="181"/>
      <c r="J1089" s="182"/>
      <c r="K1089" s="182"/>
      <c r="L1089" s="182"/>
      <c r="M1089" s="165"/>
      <c r="N1089" s="181"/>
      <c r="O1089" s="181"/>
      <c r="P1089" s="183"/>
      <c r="Q1089" s="104"/>
      <c r="R1089" s="388"/>
      <c r="S1089" s="104"/>
    </row>
    <row r="1090" ht="29.25" customHeight="1">
      <c r="A1090" s="230"/>
      <c r="B1090" s="389"/>
      <c r="C1090" s="390"/>
      <c r="D1090" s="391"/>
      <c r="E1090" s="392"/>
      <c r="F1090" s="162"/>
      <c r="G1090" s="232"/>
      <c r="H1090" s="232"/>
      <c r="I1090" s="181"/>
      <c r="J1090" s="182"/>
      <c r="K1090" s="182"/>
      <c r="L1090" s="182"/>
      <c r="M1090" s="165"/>
      <c r="N1090" s="181"/>
      <c r="O1090" s="181"/>
      <c r="P1090" s="183"/>
      <c r="Q1090" s="104"/>
      <c r="R1090" s="393"/>
      <c r="S1090" s="104"/>
    </row>
    <row r="1091" ht="29.25" customHeight="1">
      <c r="A1091" s="230"/>
      <c r="B1091" s="389"/>
      <c r="C1091" s="390"/>
      <c r="D1091" s="391"/>
      <c r="E1091" s="383"/>
      <c r="F1091" s="162"/>
      <c r="G1091" s="232"/>
      <c r="H1091" s="232"/>
      <c r="I1091" s="181"/>
      <c r="J1091" s="182"/>
      <c r="K1091" s="182"/>
      <c r="L1091" s="182"/>
      <c r="M1091" s="165"/>
      <c r="N1091" s="181"/>
      <c r="O1091" s="181"/>
      <c r="P1091" s="183"/>
      <c r="Q1091" s="104"/>
      <c r="R1091" s="388"/>
      <c r="S1091" s="104"/>
    </row>
    <row r="1092" ht="29.25" customHeight="1">
      <c r="A1092" s="230"/>
      <c r="B1092" s="389"/>
      <c r="C1092" s="390"/>
      <c r="D1092" s="391"/>
      <c r="E1092" s="392"/>
      <c r="F1092" s="162"/>
      <c r="G1092" s="232"/>
      <c r="H1092" s="232"/>
      <c r="I1092" s="181"/>
      <c r="J1092" s="182"/>
      <c r="K1092" s="182"/>
      <c r="L1092" s="182"/>
      <c r="M1092" s="165"/>
      <c r="N1092" s="181"/>
      <c r="O1092" s="181"/>
      <c r="P1092" s="183"/>
      <c r="Q1092" s="104"/>
      <c r="R1092" s="393"/>
      <c r="S1092" s="104"/>
    </row>
    <row r="1093" ht="29.25" customHeight="1">
      <c r="A1093" s="230"/>
      <c r="B1093" s="389"/>
      <c r="C1093" s="390"/>
      <c r="D1093" s="391"/>
      <c r="E1093" s="383"/>
      <c r="F1093" s="162"/>
      <c r="G1093" s="232"/>
      <c r="H1093" s="232"/>
      <c r="I1093" s="181"/>
      <c r="J1093" s="182"/>
      <c r="K1093" s="182"/>
      <c r="L1093" s="182"/>
      <c r="M1093" s="165"/>
      <c r="N1093" s="181"/>
      <c r="O1093" s="181"/>
      <c r="P1093" s="183"/>
      <c r="Q1093" s="104"/>
      <c r="R1093" s="388"/>
      <c r="S1093" s="104"/>
    </row>
    <row r="1094" ht="29.25" customHeight="1">
      <c r="A1094" s="230"/>
      <c r="B1094" s="389"/>
      <c r="C1094" s="390"/>
      <c r="D1094" s="391"/>
      <c r="E1094" s="392"/>
      <c r="F1094" s="162"/>
      <c r="G1094" s="232"/>
      <c r="H1094" s="232"/>
      <c r="I1094" s="181"/>
      <c r="J1094" s="182"/>
      <c r="K1094" s="182"/>
      <c r="L1094" s="182"/>
      <c r="M1094" s="165"/>
      <c r="N1094" s="181"/>
      <c r="O1094" s="181"/>
      <c r="P1094" s="183"/>
      <c r="Q1094" s="104"/>
      <c r="R1094" s="393"/>
      <c r="S1094" s="104"/>
    </row>
    <row r="1095" ht="29.25" customHeight="1">
      <c r="A1095" s="230"/>
      <c r="B1095" s="389"/>
      <c r="C1095" s="390"/>
      <c r="D1095" s="391"/>
      <c r="E1095" s="383"/>
      <c r="F1095" s="162"/>
      <c r="G1095" s="232"/>
      <c r="H1095" s="232"/>
      <c r="I1095" s="181"/>
      <c r="J1095" s="182"/>
      <c r="K1095" s="182"/>
      <c r="L1095" s="182"/>
      <c r="M1095" s="165"/>
      <c r="N1095" s="181"/>
      <c r="O1095" s="181"/>
      <c r="P1095" s="183"/>
      <c r="Q1095" s="104"/>
      <c r="R1095" s="388"/>
      <c r="S1095" s="104"/>
    </row>
    <row r="1096" ht="29.25" customHeight="1">
      <c r="A1096" s="230"/>
      <c r="B1096" s="389"/>
      <c r="C1096" s="390"/>
      <c r="D1096" s="391"/>
      <c r="E1096" s="392"/>
      <c r="F1096" s="162"/>
      <c r="G1096" s="232"/>
      <c r="H1096" s="232"/>
      <c r="I1096" s="181"/>
      <c r="J1096" s="182"/>
      <c r="K1096" s="182"/>
      <c r="L1096" s="182"/>
      <c r="M1096" s="165"/>
      <c r="N1096" s="181"/>
      <c r="O1096" s="181"/>
      <c r="P1096" s="183"/>
      <c r="Q1096" s="104"/>
      <c r="R1096" s="393"/>
      <c r="S1096" s="104"/>
    </row>
    <row r="1097" ht="29.25" customHeight="1">
      <c r="A1097" s="230"/>
      <c r="B1097" s="389"/>
      <c r="C1097" s="390"/>
      <c r="D1097" s="391"/>
      <c r="E1097" s="383"/>
      <c r="F1097" s="162"/>
      <c r="G1097" s="232"/>
      <c r="H1097" s="232"/>
      <c r="I1097" s="181"/>
      <c r="J1097" s="182"/>
      <c r="K1097" s="182"/>
      <c r="L1097" s="182"/>
      <c r="M1097" s="165"/>
      <c r="N1097" s="181"/>
      <c r="O1097" s="181"/>
      <c r="P1097" s="183"/>
      <c r="Q1097" s="104"/>
      <c r="R1097" s="388"/>
      <c r="S1097" s="104"/>
    </row>
    <row r="1098" ht="29.25" customHeight="1">
      <c r="A1098" s="230"/>
      <c r="B1098" s="389"/>
      <c r="C1098" s="390"/>
      <c r="D1098" s="391"/>
      <c r="E1098" s="392"/>
      <c r="F1098" s="162"/>
      <c r="G1098" s="232"/>
      <c r="H1098" s="232"/>
      <c r="I1098" s="181"/>
      <c r="J1098" s="182"/>
      <c r="K1098" s="182"/>
      <c r="L1098" s="182"/>
      <c r="M1098" s="165"/>
      <c r="N1098" s="181"/>
      <c r="O1098" s="181"/>
      <c r="P1098" s="183"/>
      <c r="Q1098" s="104"/>
      <c r="R1098" s="393"/>
      <c r="S1098" s="104"/>
    </row>
    <row r="1099" ht="29.25" customHeight="1">
      <c r="A1099" s="230"/>
      <c r="B1099" s="389"/>
      <c r="C1099" s="390"/>
      <c r="D1099" s="391"/>
      <c r="E1099" s="383"/>
      <c r="F1099" s="162"/>
      <c r="G1099" s="232"/>
      <c r="H1099" s="232"/>
      <c r="I1099" s="181"/>
      <c r="J1099" s="182"/>
      <c r="K1099" s="182"/>
      <c r="L1099" s="182"/>
      <c r="M1099" s="165"/>
      <c r="N1099" s="181"/>
      <c r="O1099" s="181"/>
      <c r="P1099" s="183"/>
      <c r="Q1099" s="104"/>
      <c r="R1099" s="388"/>
      <c r="S1099" s="104"/>
    </row>
    <row r="1100" ht="29.25" customHeight="1">
      <c r="A1100" s="230"/>
      <c r="B1100" s="389"/>
      <c r="C1100" s="390"/>
      <c r="D1100" s="391"/>
      <c r="E1100" s="392"/>
      <c r="F1100" s="162"/>
      <c r="G1100" s="232"/>
      <c r="H1100" s="232"/>
      <c r="I1100" s="181"/>
      <c r="J1100" s="182"/>
      <c r="K1100" s="182"/>
      <c r="L1100" s="182"/>
      <c r="M1100" s="165"/>
      <c r="N1100" s="181"/>
      <c r="O1100" s="181"/>
      <c r="P1100" s="183"/>
      <c r="Q1100" s="104"/>
      <c r="R1100" s="393"/>
      <c r="S1100" s="104"/>
    </row>
    <row r="1101" ht="29.25" customHeight="1">
      <c r="A1101" s="230"/>
      <c r="B1101" s="389"/>
      <c r="C1101" s="390"/>
      <c r="D1101" s="391"/>
      <c r="E1101" s="383"/>
      <c r="F1101" s="162"/>
      <c r="G1101" s="232"/>
      <c r="H1101" s="232"/>
      <c r="I1101" s="181"/>
      <c r="J1101" s="182"/>
      <c r="K1101" s="182"/>
      <c r="L1101" s="182"/>
      <c r="M1101" s="165"/>
      <c r="N1101" s="181"/>
      <c r="O1101" s="181"/>
      <c r="P1101" s="183"/>
      <c r="Q1101" s="104"/>
      <c r="R1101" s="388"/>
      <c r="S1101" s="104"/>
    </row>
    <row r="1102" ht="29.25" customHeight="1">
      <c r="A1102" s="230"/>
      <c r="B1102" s="389"/>
      <c r="C1102" s="390"/>
      <c r="D1102" s="391"/>
      <c r="E1102" s="392"/>
      <c r="F1102" s="162"/>
      <c r="G1102" s="232"/>
      <c r="H1102" s="232"/>
      <c r="I1102" s="181"/>
      <c r="J1102" s="182"/>
      <c r="K1102" s="182"/>
      <c r="L1102" s="182"/>
      <c r="M1102" s="165"/>
      <c r="N1102" s="181"/>
      <c r="O1102" s="181"/>
      <c r="P1102" s="183"/>
      <c r="Q1102" s="104"/>
      <c r="R1102" s="393"/>
      <c r="S1102" s="104"/>
    </row>
    <row r="1103" ht="29.25" customHeight="1">
      <c r="A1103" s="230"/>
      <c r="B1103" s="389"/>
      <c r="C1103" s="390"/>
      <c r="D1103" s="391"/>
      <c r="E1103" s="383"/>
      <c r="F1103" s="162"/>
      <c r="G1103" s="232"/>
      <c r="H1103" s="232"/>
      <c r="I1103" s="181"/>
      <c r="J1103" s="182"/>
      <c r="K1103" s="182"/>
      <c r="L1103" s="182"/>
      <c r="M1103" s="165"/>
      <c r="N1103" s="181"/>
      <c r="O1103" s="181"/>
      <c r="P1103" s="183"/>
      <c r="Q1103" s="104"/>
      <c r="R1103" s="388"/>
      <c r="S1103" s="104"/>
    </row>
    <row r="1104" ht="29.25" customHeight="1">
      <c r="A1104" s="230"/>
      <c r="B1104" s="389"/>
      <c r="C1104" s="390"/>
      <c r="D1104" s="391"/>
      <c r="E1104" s="392"/>
      <c r="F1104" s="162"/>
      <c r="G1104" s="232"/>
      <c r="H1104" s="232"/>
      <c r="I1104" s="181"/>
      <c r="J1104" s="182"/>
      <c r="K1104" s="182"/>
      <c r="L1104" s="182"/>
      <c r="M1104" s="165"/>
      <c r="N1104" s="181"/>
      <c r="O1104" s="181"/>
      <c r="P1104" s="183"/>
      <c r="Q1104" s="104"/>
      <c r="R1104" s="393"/>
      <c r="S1104" s="104"/>
    </row>
    <row r="1105" ht="29.25" customHeight="1">
      <c r="A1105" s="230"/>
      <c r="B1105" s="389"/>
      <c r="C1105" s="390"/>
      <c r="D1105" s="391"/>
      <c r="E1105" s="383"/>
      <c r="F1105" s="162"/>
      <c r="G1105" s="232"/>
      <c r="H1105" s="232"/>
      <c r="I1105" s="181"/>
      <c r="J1105" s="182"/>
      <c r="K1105" s="182"/>
      <c r="L1105" s="182"/>
      <c r="M1105" s="165"/>
      <c r="N1105" s="181"/>
      <c r="O1105" s="181"/>
      <c r="P1105" s="183"/>
      <c r="Q1105" s="104"/>
      <c r="R1105" s="388"/>
      <c r="S1105" s="104"/>
    </row>
    <row r="1106" ht="29.25" customHeight="1">
      <c r="A1106" s="230"/>
      <c r="B1106" s="389"/>
      <c r="C1106" s="390"/>
      <c r="D1106" s="391"/>
      <c r="E1106" s="392"/>
      <c r="F1106" s="162"/>
      <c r="G1106" s="232"/>
      <c r="H1106" s="232"/>
      <c r="I1106" s="181"/>
      <c r="J1106" s="182"/>
      <c r="K1106" s="182"/>
      <c r="L1106" s="182"/>
      <c r="M1106" s="165"/>
      <c r="N1106" s="181"/>
      <c r="O1106" s="181"/>
      <c r="P1106" s="183"/>
      <c r="Q1106" s="104"/>
      <c r="R1106" s="393"/>
      <c r="S1106" s="104"/>
    </row>
    <row r="1107" ht="29.25" customHeight="1">
      <c r="A1107" s="230"/>
      <c r="B1107" s="389"/>
      <c r="C1107" s="390"/>
      <c r="D1107" s="391"/>
      <c r="E1107" s="383"/>
      <c r="F1107" s="162"/>
      <c r="G1107" s="232"/>
      <c r="H1107" s="232"/>
      <c r="I1107" s="181"/>
      <c r="J1107" s="182"/>
      <c r="K1107" s="182"/>
      <c r="L1107" s="182"/>
      <c r="M1107" s="165"/>
      <c r="N1107" s="181"/>
      <c r="O1107" s="181"/>
      <c r="P1107" s="183"/>
      <c r="Q1107" s="104"/>
      <c r="R1107" s="388"/>
      <c r="S1107" s="104"/>
    </row>
    <row r="1108" ht="29.25" customHeight="1">
      <c r="A1108" s="230"/>
      <c r="B1108" s="389"/>
      <c r="C1108" s="390"/>
      <c r="D1108" s="391"/>
      <c r="E1108" s="392"/>
      <c r="F1108" s="162"/>
      <c r="G1108" s="232"/>
      <c r="H1108" s="232"/>
      <c r="I1108" s="181"/>
      <c r="J1108" s="182"/>
      <c r="K1108" s="182"/>
      <c r="L1108" s="182"/>
      <c r="M1108" s="165"/>
      <c r="N1108" s="181"/>
      <c r="O1108" s="181"/>
      <c r="P1108" s="183"/>
      <c r="Q1108" s="104"/>
      <c r="R1108" s="393"/>
      <c r="S1108" s="104"/>
    </row>
    <row r="1109" ht="29.25" customHeight="1">
      <c r="A1109" s="230"/>
      <c r="B1109" s="389"/>
      <c r="C1109" s="390"/>
      <c r="D1109" s="391"/>
      <c r="E1109" s="383"/>
      <c r="F1109" s="162"/>
      <c r="G1109" s="232"/>
      <c r="H1109" s="232"/>
      <c r="I1109" s="181"/>
      <c r="J1109" s="182"/>
      <c r="K1109" s="182"/>
      <c r="L1109" s="182"/>
      <c r="M1109" s="165"/>
      <c r="N1109" s="181"/>
      <c r="O1109" s="181"/>
      <c r="P1109" s="183"/>
      <c r="Q1109" s="104"/>
      <c r="R1109" s="388"/>
      <c r="S1109" s="104"/>
    </row>
    <row r="1110" ht="29.25" customHeight="1">
      <c r="A1110" s="230"/>
      <c r="B1110" s="389"/>
      <c r="C1110" s="390"/>
      <c r="D1110" s="391"/>
      <c r="E1110" s="392"/>
      <c r="F1110" s="162"/>
      <c r="G1110" s="232"/>
      <c r="H1110" s="232"/>
      <c r="I1110" s="181"/>
      <c r="J1110" s="182"/>
      <c r="K1110" s="182"/>
      <c r="L1110" s="182"/>
      <c r="M1110" s="165"/>
      <c r="N1110" s="181"/>
      <c r="O1110" s="181"/>
      <c r="P1110" s="183"/>
      <c r="Q1110" s="104"/>
      <c r="R1110" s="393"/>
      <c r="S1110" s="104"/>
    </row>
    <row r="1111" ht="29.25" customHeight="1">
      <c r="A1111" s="230"/>
      <c r="B1111" s="389"/>
      <c r="C1111" s="390"/>
      <c r="D1111" s="391"/>
      <c r="E1111" s="383"/>
      <c r="F1111" s="162"/>
      <c r="G1111" s="232"/>
      <c r="H1111" s="232"/>
      <c r="I1111" s="181"/>
      <c r="J1111" s="182"/>
      <c r="K1111" s="182"/>
      <c r="L1111" s="182"/>
      <c r="M1111" s="165"/>
      <c r="N1111" s="181"/>
      <c r="O1111" s="181"/>
      <c r="P1111" s="183"/>
      <c r="Q1111" s="104"/>
      <c r="R1111" s="388"/>
      <c r="S1111" s="104"/>
    </row>
    <row r="1112" ht="29.25" customHeight="1">
      <c r="A1112" s="230"/>
      <c r="B1112" s="389"/>
      <c r="C1112" s="390"/>
      <c r="D1112" s="391"/>
      <c r="E1112" s="392"/>
      <c r="F1112" s="162"/>
      <c r="G1112" s="232"/>
      <c r="H1112" s="232"/>
      <c r="I1112" s="181"/>
      <c r="J1112" s="182"/>
      <c r="K1112" s="182"/>
      <c r="L1112" s="182"/>
      <c r="M1112" s="165"/>
      <c r="N1112" s="181"/>
      <c r="O1112" s="181"/>
      <c r="P1112" s="183"/>
      <c r="Q1112" s="104"/>
      <c r="R1112" s="393"/>
      <c r="S1112" s="104"/>
    </row>
    <row r="1113" ht="29.25" customHeight="1">
      <c r="A1113" s="230"/>
      <c r="B1113" s="389"/>
      <c r="C1113" s="390"/>
      <c r="D1113" s="391"/>
      <c r="E1113" s="394"/>
      <c r="F1113" s="162"/>
      <c r="G1113" s="232"/>
      <c r="H1113" s="232"/>
      <c r="I1113" s="181"/>
      <c r="J1113" s="182"/>
      <c r="K1113" s="182"/>
      <c r="L1113" s="182"/>
      <c r="M1113" s="165"/>
      <c r="N1113" s="181"/>
      <c r="O1113" s="181"/>
      <c r="P1113" s="183"/>
      <c r="Q1113" s="104"/>
      <c r="R1113" s="395"/>
      <c r="S1113" s="104"/>
    </row>
    <row r="1114" ht="29.25" customHeight="1">
      <c r="A1114" s="230"/>
      <c r="B1114" s="389"/>
      <c r="C1114" s="390"/>
      <c r="D1114" s="391"/>
      <c r="E1114" s="396"/>
      <c r="F1114" s="162"/>
      <c r="G1114" s="232"/>
      <c r="H1114" s="232"/>
      <c r="I1114" s="181"/>
      <c r="J1114" s="182"/>
      <c r="K1114" s="182"/>
      <c r="L1114" s="182"/>
      <c r="M1114" s="165"/>
      <c r="N1114" s="181"/>
      <c r="O1114" s="181"/>
      <c r="P1114" s="183"/>
      <c r="Q1114" s="104"/>
      <c r="R1114" s="397"/>
      <c r="S1114" s="104"/>
    </row>
    <row r="1115" ht="29.25" customHeight="1">
      <c r="A1115" s="230"/>
      <c r="B1115" s="389"/>
      <c r="C1115" s="390"/>
      <c r="D1115" s="391"/>
      <c r="E1115" s="396"/>
      <c r="F1115" s="162"/>
      <c r="G1115" s="232"/>
      <c r="H1115" s="232"/>
      <c r="I1115" s="181"/>
      <c r="J1115" s="182"/>
      <c r="K1115" s="182"/>
      <c r="L1115" s="182"/>
      <c r="M1115" s="165"/>
      <c r="N1115" s="181"/>
      <c r="O1115" s="181"/>
      <c r="P1115" s="183"/>
      <c r="Q1115" s="104"/>
      <c r="R1115" s="397"/>
      <c r="S1115" s="104"/>
    </row>
    <row r="1116" ht="29.25" customHeight="1"/>
  </sheetData>
  <conditionalFormatting sqref="B2:B1116">
    <cfRule type="expression" dxfId="5" priority="1">
      <formula>COUNTIF($B$2:$B$1106,B2)&gt;1</formula>
    </cfRule>
  </conditionalFormatting>
  <dataValidations>
    <dataValidation type="list" allowBlank="1" sqref="F2:F1115">
      <formula1>"FINALIZADO,EN PROCESO,PAUSADO,EN TEST,PENDIENTE,PRUEBAS CLIENTE,PENDIENTE CLIENTE,PRUEBAS IMAGINE,PASO A PRODUCCION"</formula1>
    </dataValidation>
    <dataValidation type="custom" allowBlank="1" showDropDown="1" sqref="I2:L1115 O2:P1115">
      <formula1>OR(NOT(ISERROR(DATEVALUE(I2))), AND(ISNUMBER(I2), LEFT(CELL("format", I2))="D"))</formula1>
    </dataValidation>
    <dataValidation allowBlank="1" showDropDown="1" sqref="R2:R1115"/>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sheetPr>
  <sheetViews>
    <sheetView workbookViewId="0"/>
  </sheetViews>
  <sheetFormatPr customHeight="1" defaultColWidth="11.22" defaultRowHeight="15.0"/>
  <cols>
    <col customWidth="1" min="1" max="1" width="10.56"/>
    <col customWidth="1" min="2" max="2" width="32.0"/>
    <col customWidth="1" min="3" max="3" width="21.67"/>
    <col customWidth="1" min="4" max="4" width="10.89"/>
    <col customWidth="1" min="5" max="5" width="10.33"/>
    <col customWidth="1" min="6" max="6" width="11.11"/>
    <col customWidth="1" min="7" max="7" width="10.56"/>
    <col customWidth="1" min="8" max="8" width="10.33"/>
    <col customWidth="1" min="9" max="9" width="4.67"/>
    <col customWidth="1" min="10" max="10" width="10.33"/>
    <col customWidth="1" min="11" max="11" width="12.78"/>
    <col customWidth="1" min="12" max="12" width="47.44"/>
    <col customWidth="1" min="13" max="26" width="10.56"/>
  </cols>
  <sheetData>
    <row r="1">
      <c r="A1" s="398" t="s">
        <v>2812</v>
      </c>
      <c r="B1" s="398" t="s">
        <v>2</v>
      </c>
      <c r="C1" s="398" t="s">
        <v>4</v>
      </c>
      <c r="D1" s="398" t="s">
        <v>5</v>
      </c>
      <c r="E1" s="399" t="s">
        <v>8</v>
      </c>
      <c r="F1" s="399" t="s">
        <v>9</v>
      </c>
      <c r="G1" s="400" t="s">
        <v>2813</v>
      </c>
      <c r="H1" s="399" t="s">
        <v>11</v>
      </c>
      <c r="I1" s="399" t="s">
        <v>2814</v>
      </c>
      <c r="J1" s="401" t="s">
        <v>14</v>
      </c>
      <c r="K1" s="398" t="s">
        <v>15</v>
      </c>
      <c r="L1" s="402" t="s">
        <v>2815</v>
      </c>
      <c r="M1" s="403"/>
      <c r="N1" s="403"/>
      <c r="O1" s="403"/>
      <c r="P1" s="403"/>
      <c r="Q1" s="403"/>
      <c r="R1" s="403"/>
      <c r="S1" s="403"/>
      <c r="T1" s="403"/>
      <c r="U1" s="403"/>
      <c r="V1" s="403"/>
      <c r="W1" s="403"/>
      <c r="X1" s="403"/>
      <c r="Y1" s="403"/>
      <c r="Z1" s="403"/>
    </row>
    <row r="2">
      <c r="A2" s="404" t="s">
        <v>2816</v>
      </c>
      <c r="B2" s="405" t="s">
        <v>2817</v>
      </c>
      <c r="C2" s="406"/>
      <c r="D2" s="407" t="s">
        <v>2818</v>
      </c>
      <c r="E2" s="408">
        <v>45526.0</v>
      </c>
      <c r="F2" s="408">
        <v>45526.0</v>
      </c>
      <c r="G2" s="406"/>
      <c r="H2" s="406"/>
      <c r="I2" s="406"/>
      <c r="J2" s="406"/>
      <c r="K2" s="406"/>
      <c r="L2" s="406" t="s">
        <v>2819</v>
      </c>
      <c r="M2" s="409"/>
      <c r="N2" s="409"/>
      <c r="O2" s="409"/>
      <c r="P2" s="409"/>
      <c r="Q2" s="409"/>
      <c r="R2" s="409"/>
      <c r="S2" s="409"/>
      <c r="T2" s="409"/>
      <c r="U2" s="409"/>
      <c r="V2" s="409"/>
      <c r="W2" s="409"/>
      <c r="X2" s="409"/>
      <c r="Y2" s="409"/>
      <c r="Z2" s="409"/>
    </row>
    <row r="3">
      <c r="A3" s="410" t="s">
        <v>2816</v>
      </c>
      <c r="B3" s="411" t="s">
        <v>2820</v>
      </c>
      <c r="C3" s="412" t="s">
        <v>2821</v>
      </c>
      <c r="D3" s="412" t="s">
        <v>76</v>
      </c>
      <c r="E3" s="413">
        <v>45560.0</v>
      </c>
      <c r="F3" s="413">
        <v>45560.0</v>
      </c>
      <c r="G3" s="414"/>
      <c r="H3" s="413">
        <v>45567.0</v>
      </c>
      <c r="I3" s="415">
        <f>IF(ISBLANK(H3), NETWORKDAYS(F3, TODAY(),fESTIVOS!$A$1:$A$18), NETWORKDAYS(F3, H3, fESTIVOS!$A$1:$A$18))</f>
        <v>6</v>
      </c>
      <c r="J3" s="413">
        <v>45567.0</v>
      </c>
      <c r="K3" s="414"/>
      <c r="L3" s="416" t="s">
        <v>2822</v>
      </c>
      <c r="M3" s="403"/>
      <c r="N3" s="403"/>
      <c r="O3" s="403"/>
      <c r="P3" s="403"/>
      <c r="Q3" s="403"/>
      <c r="R3" s="403"/>
      <c r="S3" s="403"/>
      <c r="T3" s="403"/>
      <c r="U3" s="403"/>
      <c r="V3" s="403"/>
      <c r="W3" s="403"/>
      <c r="X3" s="403"/>
      <c r="Y3" s="403"/>
      <c r="Z3" s="403"/>
    </row>
    <row r="4">
      <c r="A4" s="417" t="s">
        <v>2823</v>
      </c>
      <c r="B4" s="418" t="s">
        <v>2824</v>
      </c>
      <c r="C4" s="419" t="s">
        <v>2825</v>
      </c>
      <c r="D4" s="420" t="s">
        <v>2826</v>
      </c>
      <c r="E4" s="421">
        <v>45581.0</v>
      </c>
      <c r="F4" s="421">
        <v>45581.0</v>
      </c>
      <c r="G4" s="421">
        <v>45582.0</v>
      </c>
      <c r="H4" s="422">
        <v>45590.0</v>
      </c>
      <c r="I4" s="423">
        <f>IF(ISBLANK(H4), NETWORKDAYS(F4, TODAY(),fESTIVOS!$A$1:$A$18), NETWORKDAYS(F4, H4, fESTIVOS!$A$1:$A$18))</f>
        <v>8</v>
      </c>
      <c r="J4" s="422">
        <v>45590.0</v>
      </c>
      <c r="K4" s="421"/>
      <c r="L4" s="417" t="s">
        <v>2827</v>
      </c>
      <c r="M4" s="424"/>
      <c r="N4" s="424"/>
      <c r="O4" s="424"/>
      <c r="P4" s="424"/>
      <c r="Q4" s="424"/>
      <c r="R4" s="424"/>
      <c r="S4" s="424"/>
      <c r="T4" s="424"/>
      <c r="U4" s="424"/>
      <c r="V4" s="424"/>
      <c r="W4" s="424"/>
      <c r="X4" s="424"/>
      <c r="Y4" s="424"/>
      <c r="Z4" s="424"/>
    </row>
    <row r="5">
      <c r="A5" s="402" t="s">
        <v>2816</v>
      </c>
      <c r="B5" s="418" t="s">
        <v>2828</v>
      </c>
      <c r="C5" s="412" t="s">
        <v>2829</v>
      </c>
      <c r="D5" s="425" t="s">
        <v>1053</v>
      </c>
      <c r="E5" s="413">
        <v>45572.0</v>
      </c>
      <c r="F5" s="413">
        <v>45590.0</v>
      </c>
      <c r="G5" s="413"/>
      <c r="H5" s="413">
        <v>45594.0</v>
      </c>
      <c r="I5" s="415">
        <f>IF(ISBLANK(H5), NETWORKDAYS(F5, TODAY(),fESTIVOS!$A$1:$A$18), NETWORKDAYS(F5, H5, fESTIVOS!$A$1:$A$18))</f>
        <v>3</v>
      </c>
      <c r="J5" s="413">
        <v>45594.0</v>
      </c>
      <c r="K5" s="413"/>
      <c r="L5" s="416" t="s">
        <v>2830</v>
      </c>
      <c r="M5" s="403"/>
      <c r="N5" s="403"/>
      <c r="O5" s="403"/>
      <c r="P5" s="403"/>
      <c r="Q5" s="403"/>
      <c r="R5" s="403"/>
      <c r="S5" s="403"/>
      <c r="T5" s="403"/>
      <c r="U5" s="403"/>
      <c r="V5" s="403"/>
      <c r="W5" s="403"/>
      <c r="X5" s="403"/>
      <c r="Y5" s="403"/>
      <c r="Z5" s="403"/>
    </row>
    <row r="6">
      <c r="A6" s="426" t="s">
        <v>2831</v>
      </c>
      <c r="B6" s="426" t="s">
        <v>2832</v>
      </c>
      <c r="C6" s="420" t="s">
        <v>2833</v>
      </c>
      <c r="D6" s="426" t="s">
        <v>2834</v>
      </c>
      <c r="E6" s="427">
        <v>45602.0</v>
      </c>
      <c r="F6" s="427">
        <v>45602.0</v>
      </c>
      <c r="G6" s="426"/>
      <c r="H6" s="427">
        <v>45602.0</v>
      </c>
      <c r="I6" s="423">
        <f>IF(ISBLANK(H6), NETWORKDAYS(F6, TODAY(),fESTIVOS!$A$1:$A$18), NETWORKDAYS(F6, H6, fESTIVOS!$A$1:$A$18))</f>
        <v>1</v>
      </c>
      <c r="J6" s="427"/>
      <c r="K6" s="427">
        <v>45602.0</v>
      </c>
      <c r="L6" s="428" t="s">
        <v>2835</v>
      </c>
      <c r="M6" s="429"/>
      <c r="N6" s="430"/>
      <c r="O6" s="430"/>
      <c r="P6" s="430"/>
      <c r="Q6" s="430"/>
      <c r="R6" s="430"/>
      <c r="S6" s="430"/>
      <c r="T6" s="430"/>
      <c r="U6" s="430"/>
      <c r="V6" s="430"/>
      <c r="W6" s="430"/>
      <c r="X6" s="430"/>
      <c r="Y6" s="430"/>
      <c r="Z6" s="430"/>
    </row>
    <row r="7">
      <c r="A7" s="402" t="s">
        <v>2816</v>
      </c>
      <c r="B7" s="411" t="s">
        <v>2820</v>
      </c>
      <c r="C7" s="431" t="s">
        <v>2836</v>
      </c>
      <c r="D7" s="425" t="s">
        <v>1053</v>
      </c>
      <c r="E7" s="413">
        <v>45589.0</v>
      </c>
      <c r="F7" s="413">
        <v>45589.0</v>
      </c>
      <c r="G7" s="425"/>
      <c r="H7" s="432">
        <v>45603.0</v>
      </c>
      <c r="I7" s="415">
        <f>IF(ISBLANK(H7), NETWORKDAYS(F7, TODAY(),fESTIVOS!$A$1:$A$18), NETWORKDAYS(F7, H7, fESTIVOS!$A$1:$A$18))</f>
        <v>10</v>
      </c>
      <c r="J7" s="432">
        <v>45603.0</v>
      </c>
      <c r="K7" s="425"/>
      <c r="L7" s="433" t="s">
        <v>2837</v>
      </c>
      <c r="M7" s="434"/>
      <c r="N7" s="434"/>
      <c r="O7" s="434"/>
      <c r="P7" s="434"/>
      <c r="Q7" s="434"/>
      <c r="R7" s="434"/>
      <c r="S7" s="434"/>
      <c r="T7" s="434"/>
      <c r="U7" s="434"/>
      <c r="V7" s="434"/>
      <c r="W7" s="434"/>
      <c r="X7" s="434"/>
      <c r="Y7" s="434"/>
      <c r="Z7" s="434"/>
    </row>
    <row r="8">
      <c r="A8" s="435" t="s">
        <v>2816</v>
      </c>
      <c r="B8" s="436" t="s">
        <v>2838</v>
      </c>
      <c r="C8" s="437"/>
      <c r="D8" s="437" t="s">
        <v>2839</v>
      </c>
      <c r="E8" s="438">
        <v>45603.0</v>
      </c>
      <c r="F8" s="438">
        <v>45603.0</v>
      </c>
      <c r="G8" s="438"/>
      <c r="H8" s="438">
        <v>45610.0</v>
      </c>
      <c r="I8" s="439">
        <f>IF(ISBLANK(H8), NETWORKDAYS(F8, TODAY(),fESTIVOS!$A$1:$A$18), NETWORKDAYS(F8, H8, fESTIVOS!$A$1:$A$18))</f>
        <v>5</v>
      </c>
      <c r="J8" s="438">
        <v>45610.0</v>
      </c>
      <c r="K8" s="438"/>
      <c r="L8" s="440" t="s">
        <v>2840</v>
      </c>
      <c r="M8" s="403"/>
      <c r="N8" s="403"/>
      <c r="O8" s="403"/>
      <c r="P8" s="403"/>
      <c r="Q8" s="403"/>
      <c r="R8" s="403"/>
      <c r="S8" s="403"/>
      <c r="T8" s="403"/>
      <c r="U8" s="403"/>
      <c r="V8" s="403"/>
      <c r="W8" s="403"/>
      <c r="X8" s="403"/>
      <c r="Y8" s="403"/>
      <c r="Z8" s="403"/>
    </row>
    <row r="9">
      <c r="A9" s="441" t="s">
        <v>2841</v>
      </c>
      <c r="B9" s="442" t="s">
        <v>2842</v>
      </c>
      <c r="C9" s="443" t="s">
        <v>2843</v>
      </c>
      <c r="D9" s="444" t="s">
        <v>2844</v>
      </c>
      <c r="E9" s="445">
        <v>45671.0</v>
      </c>
      <c r="F9" s="446">
        <v>45673.0</v>
      </c>
      <c r="G9" s="443" t="s">
        <v>2845</v>
      </c>
      <c r="H9" s="445">
        <v>45680.0</v>
      </c>
      <c r="I9" s="423">
        <f>IF(ISBLANK(H9), NETWORKDAYS(F9, TODAY(),fESTIVOS!$A$1:$A$18), NETWORKDAYS(F9, H9, fESTIVOS!$A$1:$A$18))</f>
        <v>6</v>
      </c>
      <c r="J9" s="445">
        <v>45680.0</v>
      </c>
      <c r="K9" s="443"/>
      <c r="L9" s="447" t="s">
        <v>2846</v>
      </c>
      <c r="M9" s="448"/>
      <c r="N9" s="448"/>
      <c r="O9" s="448"/>
      <c r="P9" s="448"/>
      <c r="Q9" s="448"/>
      <c r="R9" s="448"/>
      <c r="S9" s="448"/>
      <c r="T9" s="448"/>
      <c r="U9" s="448"/>
      <c r="V9" s="448"/>
      <c r="W9" s="448"/>
      <c r="X9" s="448"/>
      <c r="Y9" s="448"/>
      <c r="Z9" s="448"/>
    </row>
    <row r="10">
      <c r="A10" s="441" t="s">
        <v>2841</v>
      </c>
      <c r="B10" s="449"/>
      <c r="C10" s="447" t="s">
        <v>2847</v>
      </c>
      <c r="D10" s="444" t="s">
        <v>2844</v>
      </c>
      <c r="E10" s="445">
        <v>45671.0</v>
      </c>
      <c r="F10" s="446">
        <v>45673.0</v>
      </c>
      <c r="G10" s="443"/>
      <c r="H10" s="445">
        <v>45674.0</v>
      </c>
      <c r="I10" s="423">
        <f>IF(ISBLANK(H10), NETWORKDAYS(F10, TODAY(),fESTIVOS!$A$1:$A$18), NETWORKDAYS(F10, H10, fESTIVOS!$A$1:$A$18))</f>
        <v>2</v>
      </c>
      <c r="J10" s="443"/>
      <c r="K10" s="443"/>
      <c r="L10" s="447" t="s">
        <v>2848</v>
      </c>
      <c r="M10" s="448"/>
      <c r="N10" s="448"/>
      <c r="O10" s="448"/>
      <c r="P10" s="448"/>
      <c r="Q10" s="448"/>
      <c r="R10" s="448"/>
      <c r="S10" s="448"/>
      <c r="T10" s="448"/>
      <c r="U10" s="448"/>
      <c r="V10" s="448"/>
      <c r="W10" s="448"/>
      <c r="X10" s="448"/>
      <c r="Y10" s="448"/>
      <c r="Z10" s="448"/>
    </row>
    <row r="11">
      <c r="A11" s="441" t="s">
        <v>2841</v>
      </c>
      <c r="B11" s="449"/>
      <c r="C11" s="447" t="s">
        <v>2849</v>
      </c>
      <c r="D11" s="444" t="s">
        <v>2844</v>
      </c>
      <c r="E11" s="445">
        <v>45671.0</v>
      </c>
      <c r="F11" s="446">
        <v>45673.0</v>
      </c>
      <c r="G11" s="443"/>
      <c r="H11" s="445">
        <v>45674.0</v>
      </c>
      <c r="I11" s="423">
        <f>IF(ISBLANK(H11), NETWORKDAYS(F11, TODAY(),fESTIVOS!$A$1:$A$18), NETWORKDAYS(F11, H11, fESTIVOS!$A$1:$A$18))</f>
        <v>2</v>
      </c>
      <c r="J11" s="443"/>
      <c r="K11" s="443"/>
      <c r="L11" s="447" t="s">
        <v>2848</v>
      </c>
      <c r="M11" s="448"/>
      <c r="N11" s="448"/>
      <c r="O11" s="448"/>
      <c r="P11" s="448"/>
      <c r="Q11" s="448"/>
      <c r="R11" s="448"/>
      <c r="S11" s="448"/>
      <c r="T11" s="448"/>
      <c r="U11" s="448"/>
      <c r="V11" s="448"/>
      <c r="W11" s="448"/>
      <c r="X11" s="448"/>
      <c r="Y11" s="448"/>
      <c r="Z11" s="448"/>
    </row>
    <row r="12">
      <c r="A12" s="441" t="s">
        <v>2841</v>
      </c>
      <c r="B12" s="449"/>
      <c r="C12" s="447" t="s">
        <v>2850</v>
      </c>
      <c r="D12" s="444" t="s">
        <v>2844</v>
      </c>
      <c r="E12" s="445">
        <v>45671.0</v>
      </c>
      <c r="F12" s="446">
        <v>45673.0</v>
      </c>
      <c r="G12" s="443"/>
      <c r="H12" s="445">
        <v>45674.0</v>
      </c>
      <c r="I12" s="423">
        <f>IF(ISBLANK(H12), NETWORKDAYS(F12, TODAY(),fESTIVOS!$A$1:$A$18), NETWORKDAYS(F12, H12, fESTIVOS!$A$1:$A$18))</f>
        <v>2</v>
      </c>
      <c r="J12" s="443"/>
      <c r="K12" s="443"/>
      <c r="L12" s="447" t="s">
        <v>2848</v>
      </c>
      <c r="M12" s="448"/>
      <c r="N12" s="448"/>
      <c r="O12" s="448"/>
      <c r="P12" s="448"/>
      <c r="Q12" s="448"/>
      <c r="R12" s="448"/>
      <c r="S12" s="448"/>
      <c r="T12" s="448"/>
      <c r="U12" s="448"/>
      <c r="V12" s="448"/>
      <c r="W12" s="448"/>
      <c r="X12" s="448"/>
      <c r="Y12" s="448"/>
      <c r="Z12" s="448"/>
    </row>
    <row r="13">
      <c r="A13" s="441" t="s">
        <v>2841</v>
      </c>
      <c r="B13" s="449"/>
      <c r="C13" s="447" t="s">
        <v>2851</v>
      </c>
      <c r="D13" s="444" t="s">
        <v>2844</v>
      </c>
      <c r="E13" s="445">
        <v>45671.0</v>
      </c>
      <c r="F13" s="446">
        <v>45673.0</v>
      </c>
      <c r="G13" s="443"/>
      <c r="H13" s="445">
        <v>45677.0</v>
      </c>
      <c r="I13" s="423">
        <f>IF(ISBLANK(H13), NETWORKDAYS(F13, TODAY(),fESTIVOS!$A$1:$A$18), NETWORKDAYS(F13, H13, fESTIVOS!$A$1:$A$18))</f>
        <v>3</v>
      </c>
      <c r="J13" s="443"/>
      <c r="K13" s="443"/>
      <c r="L13" s="447" t="s">
        <v>2848</v>
      </c>
      <c r="M13" s="448"/>
      <c r="N13" s="448"/>
      <c r="O13" s="448"/>
      <c r="P13" s="448"/>
      <c r="Q13" s="448"/>
      <c r="R13" s="448"/>
      <c r="S13" s="448"/>
      <c r="T13" s="448"/>
      <c r="U13" s="448"/>
      <c r="V13" s="448"/>
      <c r="W13" s="448"/>
      <c r="X13" s="448"/>
      <c r="Y13" s="448"/>
      <c r="Z13" s="448"/>
    </row>
    <row r="14">
      <c r="A14" s="441" t="s">
        <v>2841</v>
      </c>
      <c r="B14" s="449"/>
      <c r="C14" s="447" t="s">
        <v>2852</v>
      </c>
      <c r="D14" s="444" t="s">
        <v>2844</v>
      </c>
      <c r="E14" s="445">
        <v>45671.0</v>
      </c>
      <c r="F14" s="446">
        <v>45678.0</v>
      </c>
      <c r="G14" s="443"/>
      <c r="H14" s="446">
        <v>45678.0</v>
      </c>
      <c r="I14" s="423">
        <f>IF(ISBLANK(H14), NETWORKDAYS(F14, TODAY(),fESTIVOS!$A$1:$A$18), NETWORKDAYS(F14, H14, fESTIVOS!$A$1:$A$18))</f>
        <v>1</v>
      </c>
      <c r="J14" s="443"/>
      <c r="K14" s="443"/>
      <c r="L14" s="443" t="s">
        <v>2853</v>
      </c>
      <c r="M14" s="448"/>
      <c r="N14" s="448"/>
      <c r="O14" s="448"/>
      <c r="P14" s="448"/>
      <c r="Q14" s="448"/>
      <c r="R14" s="448"/>
      <c r="S14" s="448"/>
      <c r="T14" s="448"/>
      <c r="U14" s="448"/>
      <c r="V14" s="448"/>
      <c r="W14" s="448"/>
      <c r="X14" s="448"/>
      <c r="Y14" s="448"/>
      <c r="Z14" s="448"/>
    </row>
    <row r="15">
      <c r="A15" s="441" t="s">
        <v>2841</v>
      </c>
      <c r="B15" s="449"/>
      <c r="C15" s="447" t="s">
        <v>2854</v>
      </c>
      <c r="D15" s="444" t="s">
        <v>2844</v>
      </c>
      <c r="E15" s="445">
        <v>45671.0</v>
      </c>
      <c r="F15" s="446">
        <v>45679.0</v>
      </c>
      <c r="G15" s="443"/>
      <c r="H15" s="446">
        <v>45679.0</v>
      </c>
      <c r="I15" s="423">
        <f>IF(ISBLANK(H15), NETWORKDAYS(F15, TODAY(),fESTIVOS!$A$1:$A$18), NETWORKDAYS(F15, H15, fESTIVOS!$A$1:$A$18))</f>
        <v>1</v>
      </c>
      <c r="J15" s="443"/>
      <c r="K15" s="443"/>
      <c r="L15" s="443" t="s">
        <v>2853</v>
      </c>
      <c r="M15" s="448"/>
      <c r="N15" s="448"/>
      <c r="O15" s="448"/>
      <c r="P15" s="448"/>
      <c r="Q15" s="448"/>
      <c r="R15" s="448"/>
      <c r="S15" s="448"/>
      <c r="T15" s="448"/>
      <c r="U15" s="448"/>
      <c r="V15" s="448"/>
      <c r="W15" s="448"/>
      <c r="X15" s="448"/>
      <c r="Y15" s="448"/>
      <c r="Z15" s="448"/>
    </row>
    <row r="16">
      <c r="A16" s="441" t="s">
        <v>2841</v>
      </c>
      <c r="B16" s="450"/>
      <c r="C16" s="451" t="s">
        <v>2855</v>
      </c>
      <c r="D16" s="444" t="s">
        <v>2844</v>
      </c>
      <c r="E16" s="445">
        <v>45681.0</v>
      </c>
      <c r="F16" s="446">
        <v>45684.0</v>
      </c>
      <c r="G16" s="443"/>
      <c r="H16" s="445">
        <v>45685.0</v>
      </c>
      <c r="I16" s="423">
        <f>IF(ISBLANK(H16), NETWORKDAYS(F16, TODAY(),fESTIVOS!$A$1:$A$18), NETWORKDAYS(F16, H16, fESTIVOS!$A$1:$A$18))</f>
        <v>2</v>
      </c>
      <c r="J16" s="443"/>
      <c r="K16" s="443"/>
      <c r="L16" s="447" t="s">
        <v>2856</v>
      </c>
      <c r="M16" s="448"/>
      <c r="N16" s="448"/>
      <c r="O16" s="448"/>
      <c r="P16" s="448"/>
      <c r="Q16" s="448"/>
      <c r="R16" s="448"/>
      <c r="S16" s="448"/>
      <c r="T16" s="448"/>
      <c r="U16" s="448"/>
      <c r="V16" s="448"/>
      <c r="W16" s="448"/>
      <c r="X16" s="448"/>
      <c r="Y16" s="448"/>
      <c r="Z16" s="448"/>
    </row>
    <row r="17" ht="15.75" customHeight="1">
      <c r="A17" s="409"/>
      <c r="B17" s="409"/>
      <c r="C17" s="409"/>
      <c r="D17" s="409"/>
      <c r="E17" s="409"/>
      <c r="F17" s="409"/>
      <c r="G17" s="409"/>
      <c r="H17" s="409"/>
      <c r="I17" s="409"/>
      <c r="J17" s="409"/>
      <c r="K17" s="409"/>
      <c r="L17" s="409"/>
      <c r="M17" s="409"/>
      <c r="N17" s="409"/>
      <c r="O17" s="409"/>
      <c r="P17" s="409"/>
      <c r="Q17" s="409"/>
      <c r="R17" s="409"/>
      <c r="S17" s="409"/>
      <c r="T17" s="409"/>
      <c r="U17" s="409"/>
      <c r="V17" s="409"/>
      <c r="W17" s="409"/>
      <c r="X17" s="409"/>
      <c r="Y17" s="409"/>
      <c r="Z17" s="409"/>
    </row>
    <row r="18" ht="15.75" customHeight="1">
      <c r="A18" s="409"/>
      <c r="B18" s="409"/>
      <c r="C18" s="409"/>
      <c r="D18" s="409"/>
      <c r="E18" s="409"/>
      <c r="F18" s="409"/>
      <c r="G18" s="409"/>
      <c r="H18" s="409"/>
      <c r="I18" s="409"/>
      <c r="J18" s="409"/>
      <c r="K18" s="409"/>
      <c r="L18" s="409"/>
      <c r="M18" s="409"/>
      <c r="N18" s="409"/>
      <c r="O18" s="409"/>
      <c r="P18" s="409"/>
      <c r="Q18" s="409"/>
      <c r="R18" s="409"/>
      <c r="S18" s="409"/>
      <c r="T18" s="409"/>
      <c r="U18" s="409"/>
      <c r="V18" s="409"/>
      <c r="W18" s="409"/>
      <c r="X18" s="409"/>
      <c r="Y18" s="409"/>
      <c r="Z18" s="409"/>
    </row>
    <row r="19" ht="15.75" customHeight="1">
      <c r="A19" s="409"/>
      <c r="B19" s="409"/>
      <c r="C19" s="409"/>
      <c r="D19" s="409"/>
      <c r="E19" s="409"/>
      <c r="F19" s="409"/>
      <c r="G19" s="409"/>
      <c r="H19" s="409"/>
      <c r="I19" s="409"/>
      <c r="J19" s="409"/>
      <c r="K19" s="409"/>
      <c r="L19" s="409"/>
      <c r="M19" s="409"/>
      <c r="N19" s="409"/>
      <c r="O19" s="409"/>
      <c r="P19" s="409"/>
      <c r="Q19" s="409"/>
      <c r="R19" s="409"/>
      <c r="S19" s="409"/>
      <c r="T19" s="409"/>
      <c r="U19" s="409"/>
      <c r="V19" s="409"/>
      <c r="W19" s="409"/>
      <c r="X19" s="409"/>
      <c r="Y19" s="409"/>
      <c r="Z19" s="409"/>
    </row>
    <row r="20" ht="15.75" customHeight="1">
      <c r="A20" s="409"/>
      <c r="B20" s="409"/>
      <c r="C20" s="409"/>
      <c r="D20" s="409"/>
      <c r="E20" s="409"/>
      <c r="F20" s="409"/>
      <c r="G20" s="409"/>
      <c r="H20" s="409"/>
      <c r="I20" s="409"/>
      <c r="J20" s="409"/>
      <c r="K20" s="409"/>
      <c r="L20" s="409"/>
      <c r="M20" s="409"/>
      <c r="N20" s="409"/>
      <c r="O20" s="409"/>
      <c r="P20" s="409"/>
      <c r="Q20" s="409"/>
      <c r="R20" s="409"/>
      <c r="S20" s="409"/>
      <c r="T20" s="409"/>
      <c r="U20" s="409"/>
      <c r="V20" s="409"/>
      <c r="W20" s="409"/>
      <c r="X20" s="409"/>
      <c r="Y20" s="409"/>
      <c r="Z20" s="409"/>
    </row>
    <row r="21" ht="15.75" customHeight="1">
      <c r="A21" s="409"/>
      <c r="B21" s="409"/>
      <c r="C21" s="409"/>
      <c r="D21" s="409"/>
      <c r="E21" s="409"/>
      <c r="F21" s="409"/>
      <c r="G21" s="409"/>
      <c r="H21" s="409"/>
      <c r="I21" s="409"/>
      <c r="J21" s="409"/>
      <c r="K21" s="409"/>
      <c r="L21" s="409"/>
      <c r="M21" s="409"/>
      <c r="N21" s="409"/>
      <c r="O21" s="409"/>
      <c r="P21" s="409"/>
      <c r="Q21" s="409"/>
      <c r="R21" s="409"/>
      <c r="S21" s="409"/>
      <c r="T21" s="409"/>
      <c r="U21" s="409"/>
      <c r="V21" s="409"/>
      <c r="W21" s="409"/>
      <c r="X21" s="409"/>
      <c r="Y21" s="409"/>
      <c r="Z21" s="409"/>
    </row>
    <row r="22" ht="15.75" customHeight="1">
      <c r="A22" s="409"/>
      <c r="B22" s="409"/>
      <c r="C22" s="409"/>
      <c r="D22" s="409"/>
      <c r="E22" s="409"/>
      <c r="F22" s="409"/>
      <c r="G22" s="409"/>
      <c r="H22" s="409"/>
      <c r="I22" s="409"/>
      <c r="J22" s="409"/>
      <c r="K22" s="409"/>
      <c r="L22" s="409"/>
      <c r="M22" s="409"/>
      <c r="N22" s="409"/>
      <c r="O22" s="409"/>
      <c r="P22" s="409"/>
      <c r="Q22" s="409"/>
      <c r="R22" s="409"/>
      <c r="S22" s="409"/>
      <c r="T22" s="409"/>
      <c r="U22" s="409"/>
      <c r="V22" s="409"/>
      <c r="W22" s="409"/>
      <c r="X22" s="409"/>
      <c r="Y22" s="409"/>
      <c r="Z22" s="409"/>
    </row>
    <row r="23" ht="15.75" customHeight="1">
      <c r="A23" s="409"/>
      <c r="B23" s="409"/>
      <c r="C23" s="409"/>
      <c r="D23" s="409"/>
      <c r="E23" s="409"/>
      <c r="F23" s="409"/>
      <c r="G23" s="409"/>
      <c r="H23" s="409"/>
      <c r="I23" s="409"/>
      <c r="J23" s="409"/>
      <c r="K23" s="409"/>
      <c r="L23" s="409"/>
      <c r="M23" s="409"/>
      <c r="N23" s="409"/>
      <c r="O23" s="409"/>
      <c r="P23" s="409"/>
      <c r="Q23" s="409"/>
      <c r="R23" s="409"/>
      <c r="S23" s="409"/>
      <c r="T23" s="409"/>
      <c r="U23" s="409"/>
      <c r="V23" s="409"/>
      <c r="W23" s="409"/>
      <c r="X23" s="409"/>
      <c r="Y23" s="409"/>
      <c r="Z23" s="409"/>
    </row>
    <row r="24" ht="15.75" customHeight="1">
      <c r="A24" s="409"/>
      <c r="B24" s="409"/>
      <c r="C24" s="409"/>
      <c r="D24" s="409"/>
      <c r="E24" s="409"/>
      <c r="F24" s="409"/>
      <c r="G24" s="409"/>
      <c r="H24" s="409"/>
      <c r="I24" s="409"/>
      <c r="J24" s="409"/>
      <c r="K24" s="409"/>
      <c r="L24" s="409"/>
      <c r="M24" s="409"/>
      <c r="N24" s="409"/>
      <c r="O24" s="409"/>
      <c r="P24" s="409"/>
      <c r="Q24" s="409"/>
      <c r="R24" s="409"/>
      <c r="S24" s="409"/>
      <c r="T24" s="409"/>
      <c r="U24" s="409"/>
      <c r="V24" s="409"/>
      <c r="W24" s="409"/>
      <c r="X24" s="409"/>
      <c r="Y24" s="409"/>
      <c r="Z24" s="409"/>
    </row>
    <row r="25" ht="15.75" customHeight="1">
      <c r="A25" s="409"/>
      <c r="B25" s="409"/>
      <c r="C25" s="409"/>
      <c r="D25" s="409"/>
      <c r="E25" s="409"/>
      <c r="F25" s="409"/>
      <c r="G25" s="409"/>
      <c r="H25" s="409"/>
      <c r="I25" s="409"/>
      <c r="J25" s="409"/>
      <c r="K25" s="409"/>
      <c r="L25" s="409"/>
      <c r="M25" s="409"/>
      <c r="N25" s="409"/>
      <c r="O25" s="409"/>
      <c r="P25" s="409"/>
      <c r="Q25" s="409"/>
      <c r="R25" s="409"/>
      <c r="S25" s="409"/>
      <c r="T25" s="409"/>
      <c r="U25" s="409"/>
      <c r="V25" s="409"/>
      <c r="W25" s="409"/>
      <c r="X25" s="409"/>
      <c r="Y25" s="409"/>
      <c r="Z25" s="409"/>
    </row>
    <row r="26" ht="15.75" customHeight="1">
      <c r="A26" s="409"/>
      <c r="B26" s="409"/>
      <c r="C26" s="409"/>
      <c r="D26" s="409"/>
      <c r="E26" s="409"/>
      <c r="F26" s="409"/>
      <c r="G26" s="409"/>
      <c r="H26" s="409"/>
      <c r="I26" s="409"/>
      <c r="J26" s="409"/>
      <c r="K26" s="409"/>
      <c r="L26" s="409"/>
      <c r="M26" s="409"/>
      <c r="N26" s="409"/>
      <c r="O26" s="409"/>
      <c r="P26" s="409"/>
      <c r="Q26" s="409"/>
      <c r="R26" s="409"/>
      <c r="S26" s="409"/>
      <c r="T26" s="409"/>
      <c r="U26" s="409"/>
      <c r="V26" s="409"/>
      <c r="W26" s="409"/>
      <c r="X26" s="409"/>
      <c r="Y26" s="409"/>
      <c r="Z26" s="409"/>
    </row>
    <row r="27" ht="15.75" customHeight="1">
      <c r="A27" s="409"/>
      <c r="B27" s="409"/>
      <c r="C27" s="409"/>
      <c r="D27" s="409"/>
      <c r="E27" s="409"/>
      <c r="F27" s="409"/>
      <c r="G27" s="409"/>
      <c r="H27" s="409"/>
      <c r="I27" s="409"/>
      <c r="J27" s="409"/>
      <c r="K27" s="409"/>
      <c r="L27" s="409"/>
      <c r="M27" s="409"/>
      <c r="N27" s="409"/>
      <c r="O27" s="409"/>
      <c r="P27" s="409"/>
      <c r="Q27" s="409"/>
      <c r="R27" s="409"/>
      <c r="S27" s="409"/>
      <c r="T27" s="409"/>
      <c r="U27" s="409"/>
      <c r="V27" s="409"/>
      <c r="W27" s="409"/>
      <c r="X27" s="409"/>
      <c r="Y27" s="409"/>
      <c r="Z27" s="409"/>
    </row>
    <row r="28" ht="15.75" customHeight="1">
      <c r="A28" s="409"/>
      <c r="B28" s="409"/>
      <c r="C28" s="409"/>
      <c r="D28" s="409"/>
      <c r="E28" s="409"/>
      <c r="F28" s="409"/>
      <c r="G28" s="409"/>
      <c r="H28" s="409"/>
      <c r="I28" s="409"/>
      <c r="J28" s="409"/>
      <c r="K28" s="409"/>
      <c r="L28" s="409"/>
      <c r="M28" s="409"/>
      <c r="N28" s="409"/>
      <c r="O28" s="409"/>
      <c r="P28" s="409"/>
      <c r="Q28" s="409"/>
      <c r="R28" s="409"/>
      <c r="S28" s="409"/>
      <c r="T28" s="409"/>
      <c r="U28" s="409"/>
      <c r="V28" s="409"/>
      <c r="W28" s="409"/>
      <c r="X28" s="409"/>
      <c r="Y28" s="409"/>
      <c r="Z28" s="409"/>
    </row>
    <row r="29" ht="15.75" customHeight="1">
      <c r="A29" s="409"/>
      <c r="B29" s="409"/>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row>
    <row r="30" ht="15.75" customHeight="1">
      <c r="A30" s="409"/>
      <c r="B30" s="409"/>
      <c r="C30" s="409"/>
      <c r="D30" s="409"/>
      <c r="E30" s="409"/>
      <c r="F30" s="409"/>
      <c r="G30" s="409"/>
      <c r="H30" s="409"/>
      <c r="I30" s="409"/>
      <c r="J30" s="409"/>
      <c r="K30" s="409"/>
      <c r="L30" s="409"/>
      <c r="M30" s="409"/>
      <c r="N30" s="409"/>
      <c r="O30" s="409"/>
      <c r="P30" s="409"/>
      <c r="Q30" s="409"/>
      <c r="R30" s="409"/>
      <c r="S30" s="409"/>
      <c r="T30" s="409"/>
      <c r="U30" s="409"/>
      <c r="V30" s="409"/>
      <c r="W30" s="409"/>
      <c r="X30" s="409"/>
      <c r="Y30" s="409"/>
      <c r="Z30" s="409"/>
    </row>
    <row r="31" ht="15.75" customHeight="1">
      <c r="A31" s="409"/>
      <c r="B31" s="409"/>
      <c r="C31" s="409"/>
      <c r="D31" s="409"/>
      <c r="E31" s="409"/>
      <c r="F31" s="409"/>
      <c r="G31" s="409"/>
      <c r="H31" s="409"/>
      <c r="I31" s="409"/>
      <c r="J31" s="409"/>
      <c r="K31" s="409"/>
      <c r="L31" s="409"/>
      <c r="M31" s="409"/>
      <c r="N31" s="409"/>
      <c r="O31" s="409"/>
      <c r="P31" s="409"/>
      <c r="Q31" s="409"/>
      <c r="R31" s="409"/>
      <c r="S31" s="409"/>
      <c r="T31" s="409"/>
      <c r="U31" s="409"/>
      <c r="V31" s="409"/>
      <c r="W31" s="409"/>
      <c r="X31" s="409"/>
      <c r="Y31" s="409"/>
      <c r="Z31" s="409"/>
    </row>
    <row r="32" ht="15.75" customHeight="1">
      <c r="A32" s="409"/>
      <c r="B32" s="409"/>
      <c r="C32" s="409"/>
      <c r="D32" s="409"/>
      <c r="E32" s="409"/>
      <c r="F32" s="409"/>
      <c r="G32" s="409"/>
      <c r="H32" s="409"/>
      <c r="I32" s="409"/>
      <c r="J32" s="409"/>
      <c r="K32" s="409"/>
      <c r="L32" s="409"/>
      <c r="M32" s="409"/>
      <c r="N32" s="409"/>
      <c r="O32" s="409"/>
      <c r="P32" s="409"/>
      <c r="Q32" s="409"/>
      <c r="R32" s="409"/>
      <c r="S32" s="409"/>
      <c r="T32" s="409"/>
      <c r="U32" s="409"/>
      <c r="V32" s="409"/>
      <c r="W32" s="409"/>
      <c r="X32" s="409"/>
      <c r="Y32" s="409"/>
      <c r="Z32" s="409"/>
    </row>
    <row r="33" ht="15.75" customHeight="1">
      <c r="A33" s="409"/>
      <c r="B33" s="409"/>
      <c r="C33" s="409"/>
      <c r="D33" s="409"/>
      <c r="E33" s="409"/>
      <c r="F33" s="409"/>
      <c r="G33" s="409"/>
      <c r="H33" s="409"/>
      <c r="I33" s="409"/>
      <c r="J33" s="409"/>
      <c r="K33" s="409"/>
      <c r="L33" s="409"/>
      <c r="M33" s="409"/>
      <c r="N33" s="409"/>
      <c r="O33" s="409"/>
      <c r="P33" s="409"/>
      <c r="Q33" s="409"/>
      <c r="R33" s="409"/>
      <c r="S33" s="409"/>
      <c r="T33" s="409"/>
      <c r="U33" s="409"/>
      <c r="V33" s="409"/>
      <c r="W33" s="409"/>
      <c r="X33" s="409"/>
      <c r="Y33" s="409"/>
      <c r="Z33" s="409"/>
    </row>
    <row r="34" ht="15.75" customHeight="1">
      <c r="A34" s="409"/>
      <c r="B34" s="409"/>
      <c r="C34" s="409"/>
      <c r="D34" s="409"/>
      <c r="E34" s="409"/>
      <c r="F34" s="409"/>
      <c r="G34" s="409"/>
      <c r="H34" s="409"/>
      <c r="I34" s="409"/>
      <c r="J34" s="409"/>
      <c r="K34" s="409"/>
      <c r="L34" s="409"/>
      <c r="M34" s="409"/>
      <c r="N34" s="409"/>
      <c r="O34" s="409"/>
      <c r="P34" s="409"/>
      <c r="Q34" s="409"/>
      <c r="R34" s="409"/>
      <c r="S34" s="409"/>
      <c r="T34" s="409"/>
      <c r="U34" s="409"/>
      <c r="V34" s="409"/>
      <c r="W34" s="409"/>
      <c r="X34" s="409"/>
      <c r="Y34" s="409"/>
      <c r="Z34" s="409"/>
    </row>
    <row r="35" ht="15.75" customHeight="1">
      <c r="A35" s="409"/>
      <c r="B35" s="409"/>
      <c r="C35" s="409"/>
      <c r="D35" s="409"/>
      <c r="E35" s="409"/>
      <c r="F35" s="409"/>
      <c r="G35" s="409"/>
      <c r="H35" s="409"/>
      <c r="I35" s="409"/>
      <c r="J35" s="409"/>
      <c r="K35" s="409"/>
      <c r="L35" s="409"/>
      <c r="M35" s="409"/>
      <c r="N35" s="409"/>
      <c r="O35" s="409"/>
      <c r="P35" s="409"/>
      <c r="Q35" s="409"/>
      <c r="R35" s="409"/>
      <c r="S35" s="409"/>
      <c r="T35" s="409"/>
      <c r="U35" s="409"/>
      <c r="V35" s="409"/>
      <c r="W35" s="409"/>
      <c r="X35" s="409"/>
      <c r="Y35" s="409"/>
      <c r="Z35" s="409"/>
    </row>
    <row r="36" ht="15.75" customHeight="1">
      <c r="A36" s="409"/>
      <c r="B36" s="409"/>
      <c r="C36" s="409"/>
      <c r="D36" s="409"/>
      <c r="E36" s="409"/>
      <c r="F36" s="409"/>
      <c r="G36" s="409"/>
      <c r="H36" s="409"/>
      <c r="I36" s="409"/>
      <c r="J36" s="409"/>
      <c r="K36" s="409"/>
      <c r="L36" s="409"/>
      <c r="M36" s="409"/>
      <c r="N36" s="409"/>
      <c r="O36" s="409"/>
      <c r="P36" s="409"/>
      <c r="Q36" s="409"/>
      <c r="R36" s="409"/>
      <c r="S36" s="409"/>
      <c r="T36" s="409"/>
      <c r="U36" s="409"/>
      <c r="V36" s="409"/>
      <c r="W36" s="409"/>
      <c r="X36" s="409"/>
      <c r="Y36" s="409"/>
      <c r="Z36" s="409"/>
    </row>
    <row r="37" ht="15.75" customHeight="1">
      <c r="A37" s="409"/>
      <c r="B37" s="409"/>
      <c r="C37" s="409"/>
      <c r="D37" s="409"/>
      <c r="E37" s="409"/>
      <c r="F37" s="409"/>
      <c r="G37" s="409"/>
      <c r="H37" s="409"/>
      <c r="I37" s="409"/>
      <c r="J37" s="409"/>
      <c r="K37" s="409"/>
      <c r="L37" s="409"/>
      <c r="M37" s="409"/>
      <c r="N37" s="409"/>
      <c r="O37" s="409"/>
      <c r="P37" s="409"/>
      <c r="Q37" s="409"/>
      <c r="R37" s="409"/>
      <c r="S37" s="409"/>
      <c r="T37" s="409"/>
      <c r="U37" s="409"/>
      <c r="V37" s="409"/>
      <c r="W37" s="409"/>
      <c r="X37" s="409"/>
      <c r="Y37" s="409"/>
      <c r="Z37" s="409"/>
    </row>
    <row r="38" ht="15.75" customHeight="1">
      <c r="A38" s="409"/>
      <c r="B38" s="409"/>
      <c r="C38" s="409"/>
      <c r="D38" s="409"/>
      <c r="E38" s="409"/>
      <c r="F38" s="409"/>
      <c r="G38" s="409"/>
      <c r="H38" s="409"/>
      <c r="I38" s="409"/>
      <c r="J38" s="409"/>
      <c r="K38" s="409"/>
      <c r="L38" s="409"/>
      <c r="M38" s="409"/>
      <c r="N38" s="409"/>
      <c r="O38" s="409"/>
      <c r="P38" s="409"/>
      <c r="Q38" s="409"/>
      <c r="R38" s="409"/>
      <c r="S38" s="409"/>
      <c r="T38" s="409"/>
      <c r="U38" s="409"/>
      <c r="V38" s="409"/>
      <c r="W38" s="409"/>
      <c r="X38" s="409"/>
      <c r="Y38" s="409"/>
      <c r="Z38" s="409"/>
    </row>
    <row r="39" ht="15.75" customHeight="1">
      <c r="A39" s="409"/>
      <c r="B39" s="409"/>
      <c r="C39" s="409"/>
      <c r="D39" s="409"/>
      <c r="E39" s="409"/>
      <c r="F39" s="409"/>
      <c r="G39" s="409"/>
      <c r="H39" s="409"/>
      <c r="I39" s="409"/>
      <c r="J39" s="409"/>
      <c r="K39" s="409"/>
      <c r="L39" s="409"/>
      <c r="M39" s="409"/>
      <c r="N39" s="409"/>
      <c r="O39" s="409"/>
      <c r="P39" s="409"/>
      <c r="Q39" s="409"/>
      <c r="R39" s="409"/>
      <c r="S39" s="409"/>
      <c r="T39" s="409"/>
      <c r="U39" s="409"/>
      <c r="V39" s="409"/>
      <c r="W39" s="409"/>
      <c r="X39" s="409"/>
      <c r="Y39" s="409"/>
      <c r="Z39" s="409"/>
    </row>
    <row r="40" ht="15.75" customHeight="1">
      <c r="A40" s="409"/>
      <c r="B40" s="409"/>
      <c r="C40" s="409"/>
      <c r="D40" s="409"/>
      <c r="E40" s="409"/>
      <c r="F40" s="409"/>
      <c r="G40" s="409"/>
      <c r="H40" s="409"/>
      <c r="I40" s="409"/>
      <c r="J40" s="409"/>
      <c r="K40" s="409"/>
      <c r="L40" s="409"/>
      <c r="M40" s="409"/>
      <c r="N40" s="409"/>
      <c r="O40" s="409"/>
      <c r="P40" s="409"/>
      <c r="Q40" s="409"/>
      <c r="R40" s="409"/>
      <c r="S40" s="409"/>
      <c r="T40" s="409"/>
      <c r="U40" s="409"/>
      <c r="V40" s="409"/>
      <c r="W40" s="409"/>
      <c r="X40" s="409"/>
      <c r="Y40" s="409"/>
      <c r="Z40" s="409"/>
    </row>
    <row r="41" ht="15.75" customHeight="1">
      <c r="A41" s="409"/>
      <c r="B41" s="409"/>
      <c r="C41" s="409"/>
      <c r="D41" s="409"/>
      <c r="E41" s="409"/>
      <c r="F41" s="409"/>
      <c r="G41" s="409"/>
      <c r="H41" s="409"/>
      <c r="I41" s="409"/>
      <c r="J41" s="409"/>
      <c r="K41" s="409"/>
      <c r="L41" s="409"/>
      <c r="M41" s="409"/>
      <c r="N41" s="409"/>
      <c r="O41" s="409"/>
      <c r="P41" s="409"/>
      <c r="Q41" s="409"/>
      <c r="R41" s="409"/>
      <c r="S41" s="409"/>
      <c r="T41" s="409"/>
      <c r="U41" s="409"/>
      <c r="V41" s="409"/>
      <c r="W41" s="409"/>
      <c r="X41" s="409"/>
      <c r="Y41" s="409"/>
      <c r="Z41" s="409"/>
    </row>
    <row r="42" ht="15.75" customHeight="1">
      <c r="A42" s="409"/>
      <c r="B42" s="409"/>
      <c r="C42" s="409"/>
      <c r="D42" s="409"/>
      <c r="E42" s="409"/>
      <c r="F42" s="409"/>
      <c r="G42" s="409"/>
      <c r="H42" s="409"/>
      <c r="I42" s="409"/>
      <c r="J42" s="409"/>
      <c r="K42" s="409"/>
      <c r="L42" s="409"/>
      <c r="M42" s="409"/>
      <c r="N42" s="409"/>
      <c r="O42" s="409"/>
      <c r="P42" s="409"/>
      <c r="Q42" s="409"/>
      <c r="R42" s="409"/>
      <c r="S42" s="409"/>
      <c r="T42" s="409"/>
      <c r="U42" s="409"/>
      <c r="V42" s="409"/>
      <c r="W42" s="409"/>
      <c r="X42" s="409"/>
      <c r="Y42" s="409"/>
      <c r="Z42" s="409"/>
    </row>
    <row r="43" ht="15.75" customHeight="1">
      <c r="A43" s="409"/>
      <c r="B43" s="409"/>
      <c r="C43" s="409"/>
      <c r="D43" s="409"/>
      <c r="E43" s="409"/>
      <c r="F43" s="409"/>
      <c r="G43" s="409"/>
      <c r="H43" s="409"/>
      <c r="I43" s="409"/>
      <c r="J43" s="409"/>
      <c r="K43" s="409"/>
      <c r="L43" s="409"/>
      <c r="M43" s="409"/>
      <c r="N43" s="409"/>
      <c r="O43" s="409"/>
      <c r="P43" s="409"/>
      <c r="Q43" s="409"/>
      <c r="R43" s="409"/>
      <c r="S43" s="409"/>
      <c r="T43" s="409"/>
      <c r="U43" s="409"/>
      <c r="V43" s="409"/>
      <c r="W43" s="409"/>
      <c r="X43" s="409"/>
      <c r="Y43" s="409"/>
      <c r="Z43" s="409"/>
    </row>
    <row r="44" ht="15.75" customHeight="1">
      <c r="A44" s="409"/>
      <c r="B44" s="409"/>
      <c r="C44" s="409"/>
      <c r="D44" s="409"/>
      <c r="E44" s="409"/>
      <c r="F44" s="409"/>
      <c r="G44" s="409"/>
      <c r="H44" s="409"/>
      <c r="I44" s="409"/>
      <c r="J44" s="409"/>
      <c r="K44" s="409"/>
      <c r="L44" s="409"/>
      <c r="M44" s="409"/>
      <c r="N44" s="409"/>
      <c r="O44" s="409"/>
      <c r="P44" s="409"/>
      <c r="Q44" s="409"/>
      <c r="R44" s="409"/>
      <c r="S44" s="409"/>
      <c r="T44" s="409"/>
      <c r="U44" s="409"/>
      <c r="V44" s="409"/>
      <c r="W44" s="409"/>
      <c r="X44" s="409"/>
      <c r="Y44" s="409"/>
      <c r="Z44" s="409"/>
    </row>
    <row r="45" ht="15.75" customHeight="1">
      <c r="A45" s="409"/>
      <c r="B45" s="409"/>
      <c r="C45" s="409"/>
      <c r="D45" s="409"/>
      <c r="E45" s="409"/>
      <c r="F45" s="409"/>
      <c r="G45" s="409"/>
      <c r="H45" s="409"/>
      <c r="I45" s="409"/>
      <c r="J45" s="409"/>
      <c r="K45" s="409"/>
      <c r="L45" s="409"/>
      <c r="M45" s="409"/>
      <c r="N45" s="409"/>
      <c r="O45" s="409"/>
      <c r="P45" s="409"/>
      <c r="Q45" s="409"/>
      <c r="R45" s="409"/>
      <c r="S45" s="409"/>
      <c r="T45" s="409"/>
      <c r="U45" s="409"/>
      <c r="V45" s="409"/>
      <c r="W45" s="409"/>
      <c r="X45" s="409"/>
      <c r="Y45" s="409"/>
      <c r="Z45" s="409"/>
    </row>
    <row r="46" ht="15.75" customHeight="1">
      <c r="A46" s="409"/>
      <c r="B46" s="409"/>
      <c r="C46" s="409"/>
      <c r="D46" s="409"/>
      <c r="E46" s="409"/>
      <c r="F46" s="409"/>
      <c r="G46" s="409"/>
      <c r="H46" s="409"/>
      <c r="I46" s="409"/>
      <c r="J46" s="409"/>
      <c r="K46" s="409"/>
      <c r="L46" s="409"/>
      <c r="M46" s="409"/>
      <c r="N46" s="409"/>
      <c r="O46" s="409"/>
      <c r="P46" s="409"/>
      <c r="Q46" s="409"/>
      <c r="R46" s="409"/>
      <c r="S46" s="409"/>
      <c r="T46" s="409"/>
      <c r="U46" s="409"/>
      <c r="V46" s="409"/>
      <c r="W46" s="409"/>
      <c r="X46" s="409"/>
      <c r="Y46" s="409"/>
      <c r="Z46" s="409"/>
    </row>
    <row r="47" ht="15.75" customHeight="1">
      <c r="A47" s="409"/>
      <c r="B47" s="409"/>
      <c r="C47" s="409"/>
      <c r="D47" s="409"/>
      <c r="E47" s="409"/>
      <c r="F47" s="409"/>
      <c r="G47" s="409"/>
      <c r="H47" s="409"/>
      <c r="I47" s="409"/>
      <c r="J47" s="409"/>
      <c r="K47" s="409"/>
      <c r="L47" s="409"/>
      <c r="M47" s="409"/>
      <c r="N47" s="409"/>
      <c r="O47" s="409"/>
      <c r="P47" s="409"/>
      <c r="Q47" s="409"/>
      <c r="R47" s="409"/>
      <c r="S47" s="409"/>
      <c r="T47" s="409"/>
      <c r="U47" s="409"/>
      <c r="V47" s="409"/>
      <c r="W47" s="409"/>
      <c r="X47" s="409"/>
      <c r="Y47" s="409"/>
      <c r="Z47" s="409"/>
    </row>
    <row r="48" ht="15.75" customHeight="1">
      <c r="A48" s="409"/>
      <c r="B48" s="409"/>
      <c r="C48" s="409"/>
      <c r="D48" s="409"/>
      <c r="E48" s="409"/>
      <c r="F48" s="409"/>
      <c r="G48" s="409"/>
      <c r="H48" s="409"/>
      <c r="I48" s="409"/>
      <c r="J48" s="409"/>
      <c r="K48" s="409"/>
      <c r="L48" s="409"/>
      <c r="M48" s="409"/>
      <c r="N48" s="409"/>
      <c r="O48" s="409"/>
      <c r="P48" s="409"/>
      <c r="Q48" s="409"/>
      <c r="R48" s="409"/>
      <c r="S48" s="409"/>
      <c r="T48" s="409"/>
      <c r="U48" s="409"/>
      <c r="V48" s="409"/>
      <c r="W48" s="409"/>
      <c r="X48" s="409"/>
      <c r="Y48" s="409"/>
      <c r="Z48" s="409"/>
    </row>
    <row r="49" ht="15.75" customHeight="1">
      <c r="A49" s="409"/>
      <c r="B49" s="409"/>
      <c r="C49" s="409"/>
      <c r="D49" s="409"/>
      <c r="E49" s="409"/>
      <c r="F49" s="409"/>
      <c r="G49" s="409"/>
      <c r="H49" s="409"/>
      <c r="I49" s="409"/>
      <c r="J49" s="409"/>
      <c r="K49" s="409"/>
      <c r="L49" s="409"/>
      <c r="M49" s="409"/>
      <c r="N49" s="409"/>
      <c r="O49" s="409"/>
      <c r="P49" s="409"/>
      <c r="Q49" s="409"/>
      <c r="R49" s="409"/>
      <c r="S49" s="409"/>
      <c r="T49" s="409"/>
      <c r="U49" s="409"/>
      <c r="V49" s="409"/>
      <c r="W49" s="409"/>
      <c r="X49" s="409"/>
      <c r="Y49" s="409"/>
      <c r="Z49" s="409"/>
    </row>
    <row r="50" ht="15.75" customHeight="1">
      <c r="A50" s="409"/>
      <c r="B50" s="409"/>
      <c r="C50" s="409"/>
      <c r="D50" s="409"/>
      <c r="E50" s="409"/>
      <c r="F50" s="409"/>
      <c r="G50" s="409"/>
      <c r="H50" s="409"/>
      <c r="I50" s="409"/>
      <c r="J50" s="409"/>
      <c r="K50" s="409"/>
      <c r="L50" s="409"/>
      <c r="M50" s="409"/>
      <c r="N50" s="409"/>
      <c r="O50" s="409"/>
      <c r="P50" s="409"/>
      <c r="Q50" s="409"/>
      <c r="R50" s="409"/>
      <c r="S50" s="409"/>
      <c r="T50" s="409"/>
      <c r="U50" s="409"/>
      <c r="V50" s="409"/>
      <c r="W50" s="409"/>
      <c r="X50" s="409"/>
      <c r="Y50" s="409"/>
      <c r="Z50" s="409"/>
    </row>
    <row r="51" ht="15.75" customHeight="1">
      <c r="A51" s="409"/>
      <c r="B51" s="409"/>
      <c r="C51" s="409"/>
      <c r="D51" s="409"/>
      <c r="E51" s="409"/>
      <c r="F51" s="409"/>
      <c r="G51" s="409"/>
      <c r="H51" s="409"/>
      <c r="I51" s="409"/>
      <c r="J51" s="409"/>
      <c r="K51" s="409"/>
      <c r="L51" s="409"/>
      <c r="M51" s="409"/>
      <c r="N51" s="409"/>
      <c r="O51" s="409"/>
      <c r="P51" s="409"/>
      <c r="Q51" s="409"/>
      <c r="R51" s="409"/>
      <c r="S51" s="409"/>
      <c r="T51" s="409"/>
      <c r="U51" s="409"/>
      <c r="V51" s="409"/>
      <c r="W51" s="409"/>
      <c r="X51" s="409"/>
      <c r="Y51" s="409"/>
      <c r="Z51" s="409"/>
    </row>
    <row r="52" ht="15.75" customHeight="1">
      <c r="A52" s="409"/>
      <c r="B52" s="409"/>
      <c r="C52" s="409"/>
      <c r="D52" s="409"/>
      <c r="E52" s="409"/>
      <c r="F52" s="409"/>
      <c r="G52" s="409"/>
      <c r="H52" s="409"/>
      <c r="I52" s="409"/>
      <c r="J52" s="409"/>
      <c r="K52" s="409"/>
      <c r="L52" s="409"/>
      <c r="M52" s="409"/>
      <c r="N52" s="409"/>
      <c r="O52" s="409"/>
      <c r="P52" s="409"/>
      <c r="Q52" s="409"/>
      <c r="R52" s="409"/>
      <c r="S52" s="409"/>
      <c r="T52" s="409"/>
      <c r="U52" s="409"/>
      <c r="V52" s="409"/>
      <c r="W52" s="409"/>
      <c r="X52" s="409"/>
      <c r="Y52" s="409"/>
      <c r="Z52" s="409"/>
    </row>
    <row r="53" ht="15.75" customHeight="1">
      <c r="A53" s="409"/>
      <c r="B53" s="409"/>
      <c r="C53" s="409"/>
      <c r="D53" s="409"/>
      <c r="E53" s="409"/>
      <c r="F53" s="409"/>
      <c r="G53" s="409"/>
      <c r="H53" s="409"/>
      <c r="I53" s="409"/>
      <c r="J53" s="409"/>
      <c r="K53" s="409"/>
      <c r="L53" s="409"/>
      <c r="M53" s="409"/>
      <c r="N53" s="409"/>
      <c r="O53" s="409"/>
      <c r="P53" s="409"/>
      <c r="Q53" s="409"/>
      <c r="R53" s="409"/>
      <c r="S53" s="409"/>
      <c r="T53" s="409"/>
      <c r="U53" s="409"/>
      <c r="V53" s="409"/>
      <c r="W53" s="409"/>
      <c r="X53" s="409"/>
      <c r="Y53" s="409"/>
      <c r="Z53" s="409"/>
    </row>
    <row r="54" ht="15.75" customHeight="1">
      <c r="A54" s="409"/>
      <c r="B54" s="409"/>
      <c r="C54" s="409"/>
      <c r="D54" s="409"/>
      <c r="E54" s="409"/>
      <c r="F54" s="409"/>
      <c r="G54" s="409"/>
      <c r="H54" s="409"/>
      <c r="I54" s="409"/>
      <c r="J54" s="409"/>
      <c r="K54" s="409"/>
      <c r="L54" s="409"/>
      <c r="M54" s="409"/>
      <c r="N54" s="409"/>
      <c r="O54" s="409"/>
      <c r="P54" s="409"/>
      <c r="Q54" s="409"/>
      <c r="R54" s="409"/>
      <c r="S54" s="409"/>
      <c r="T54" s="409"/>
      <c r="U54" s="409"/>
      <c r="V54" s="409"/>
      <c r="W54" s="409"/>
      <c r="X54" s="409"/>
      <c r="Y54" s="409"/>
      <c r="Z54" s="409"/>
    </row>
    <row r="55" ht="15.75" customHeight="1">
      <c r="A55" s="409"/>
      <c r="B55" s="409"/>
      <c r="C55" s="409"/>
      <c r="D55" s="409"/>
      <c r="E55" s="409"/>
      <c r="F55" s="409"/>
      <c r="G55" s="409"/>
      <c r="H55" s="409"/>
      <c r="I55" s="409"/>
      <c r="J55" s="409"/>
      <c r="K55" s="409"/>
      <c r="L55" s="409"/>
      <c r="M55" s="409"/>
      <c r="N55" s="409"/>
      <c r="O55" s="409"/>
      <c r="P55" s="409"/>
      <c r="Q55" s="409"/>
      <c r="R55" s="409"/>
      <c r="S55" s="409"/>
      <c r="T55" s="409"/>
      <c r="U55" s="409"/>
      <c r="V55" s="409"/>
      <c r="W55" s="409"/>
      <c r="X55" s="409"/>
      <c r="Y55" s="409"/>
      <c r="Z55" s="409"/>
    </row>
    <row r="56" ht="15.75" customHeight="1">
      <c r="A56" s="409"/>
      <c r="B56" s="409"/>
      <c r="C56" s="409"/>
      <c r="D56" s="409"/>
      <c r="E56" s="409"/>
      <c r="F56" s="409"/>
      <c r="G56" s="409"/>
      <c r="H56" s="409"/>
      <c r="I56" s="409"/>
      <c r="J56" s="409"/>
      <c r="K56" s="409"/>
      <c r="L56" s="409"/>
      <c r="M56" s="409"/>
      <c r="N56" s="409"/>
      <c r="O56" s="409"/>
      <c r="P56" s="409"/>
      <c r="Q56" s="409"/>
      <c r="R56" s="409"/>
      <c r="S56" s="409"/>
      <c r="T56" s="409"/>
      <c r="U56" s="409"/>
      <c r="V56" s="409"/>
      <c r="W56" s="409"/>
      <c r="X56" s="409"/>
      <c r="Y56" s="409"/>
      <c r="Z56" s="409"/>
    </row>
    <row r="57" ht="15.75" customHeight="1">
      <c r="A57" s="409"/>
      <c r="B57" s="409"/>
      <c r="C57" s="409"/>
      <c r="D57" s="409"/>
      <c r="E57" s="409"/>
      <c r="F57" s="409"/>
      <c r="G57" s="409"/>
      <c r="H57" s="409"/>
      <c r="I57" s="409"/>
      <c r="J57" s="409"/>
      <c r="K57" s="409"/>
      <c r="L57" s="409"/>
      <c r="M57" s="409"/>
      <c r="N57" s="409"/>
      <c r="O57" s="409"/>
      <c r="P57" s="409"/>
      <c r="Q57" s="409"/>
      <c r="R57" s="409"/>
      <c r="S57" s="409"/>
      <c r="T57" s="409"/>
      <c r="U57" s="409"/>
      <c r="V57" s="409"/>
      <c r="W57" s="409"/>
      <c r="X57" s="409"/>
      <c r="Y57" s="409"/>
      <c r="Z57" s="409"/>
    </row>
    <row r="58" ht="15.75" customHeight="1">
      <c r="A58" s="409"/>
      <c r="B58" s="409"/>
      <c r="C58" s="409"/>
      <c r="D58" s="409"/>
      <c r="E58" s="409"/>
      <c r="F58" s="409"/>
      <c r="G58" s="409"/>
      <c r="H58" s="409"/>
      <c r="I58" s="409"/>
      <c r="J58" s="409"/>
      <c r="K58" s="409"/>
      <c r="L58" s="409"/>
      <c r="M58" s="409"/>
      <c r="N58" s="409"/>
      <c r="O58" s="409"/>
      <c r="P58" s="409"/>
      <c r="Q58" s="409"/>
      <c r="R58" s="409"/>
      <c r="S58" s="409"/>
      <c r="T58" s="409"/>
      <c r="U58" s="409"/>
      <c r="V58" s="409"/>
      <c r="W58" s="409"/>
      <c r="X58" s="409"/>
      <c r="Y58" s="409"/>
      <c r="Z58" s="409"/>
    </row>
    <row r="59" ht="15.75" customHeight="1">
      <c r="A59" s="409"/>
      <c r="B59" s="409"/>
      <c r="C59" s="409"/>
      <c r="D59" s="409"/>
      <c r="E59" s="409"/>
      <c r="F59" s="409"/>
      <c r="G59" s="409"/>
      <c r="H59" s="409"/>
      <c r="I59" s="409"/>
      <c r="J59" s="409"/>
      <c r="K59" s="409"/>
      <c r="L59" s="409"/>
      <c r="M59" s="409"/>
      <c r="N59" s="409"/>
      <c r="O59" s="409"/>
      <c r="P59" s="409"/>
      <c r="Q59" s="409"/>
      <c r="R59" s="409"/>
      <c r="S59" s="409"/>
      <c r="T59" s="409"/>
      <c r="U59" s="409"/>
      <c r="V59" s="409"/>
      <c r="W59" s="409"/>
      <c r="X59" s="409"/>
      <c r="Y59" s="409"/>
      <c r="Z59" s="409"/>
    </row>
    <row r="60" ht="15.75" customHeight="1">
      <c r="A60" s="409"/>
      <c r="B60" s="409"/>
      <c r="C60" s="409"/>
      <c r="D60" s="409"/>
      <c r="E60" s="409"/>
      <c r="F60" s="409"/>
      <c r="G60" s="409"/>
      <c r="H60" s="409"/>
      <c r="I60" s="409"/>
      <c r="J60" s="409"/>
      <c r="K60" s="409"/>
      <c r="L60" s="409"/>
      <c r="M60" s="409"/>
      <c r="N60" s="409"/>
      <c r="O60" s="409"/>
      <c r="P60" s="409"/>
      <c r="Q60" s="409"/>
      <c r="R60" s="409"/>
      <c r="S60" s="409"/>
      <c r="T60" s="409"/>
      <c r="U60" s="409"/>
      <c r="V60" s="409"/>
      <c r="W60" s="409"/>
      <c r="X60" s="409"/>
      <c r="Y60" s="409"/>
      <c r="Z60" s="409"/>
    </row>
    <row r="61" ht="15.75" customHeight="1">
      <c r="A61" s="409"/>
      <c r="B61" s="409"/>
      <c r="C61" s="409"/>
      <c r="D61" s="409"/>
      <c r="E61" s="409"/>
      <c r="F61" s="409"/>
      <c r="G61" s="409"/>
      <c r="H61" s="409"/>
      <c r="I61" s="409"/>
      <c r="J61" s="409"/>
      <c r="K61" s="409"/>
      <c r="L61" s="409"/>
      <c r="M61" s="409"/>
      <c r="N61" s="409"/>
      <c r="O61" s="409"/>
      <c r="P61" s="409"/>
      <c r="Q61" s="409"/>
      <c r="R61" s="409"/>
      <c r="S61" s="409"/>
      <c r="T61" s="409"/>
      <c r="U61" s="409"/>
      <c r="V61" s="409"/>
      <c r="W61" s="409"/>
      <c r="X61" s="409"/>
      <c r="Y61" s="409"/>
      <c r="Z61" s="409"/>
    </row>
    <row r="62" ht="15.75" customHeight="1">
      <c r="A62" s="409"/>
      <c r="B62" s="409"/>
      <c r="C62" s="409"/>
      <c r="D62" s="409"/>
      <c r="E62" s="409"/>
      <c r="F62" s="409"/>
      <c r="G62" s="409"/>
      <c r="H62" s="409"/>
      <c r="I62" s="409"/>
      <c r="J62" s="409"/>
      <c r="K62" s="409"/>
      <c r="L62" s="409"/>
      <c r="M62" s="409"/>
      <c r="N62" s="409"/>
      <c r="O62" s="409"/>
      <c r="P62" s="409"/>
      <c r="Q62" s="409"/>
      <c r="R62" s="409"/>
      <c r="S62" s="409"/>
      <c r="T62" s="409"/>
      <c r="U62" s="409"/>
      <c r="V62" s="409"/>
      <c r="W62" s="409"/>
      <c r="X62" s="409"/>
      <c r="Y62" s="409"/>
      <c r="Z62" s="409"/>
    </row>
    <row r="63" ht="15.75" customHeight="1">
      <c r="A63" s="409"/>
      <c r="B63" s="409"/>
      <c r="C63" s="409"/>
      <c r="D63" s="409"/>
      <c r="E63" s="409"/>
      <c r="F63" s="409"/>
      <c r="G63" s="409"/>
      <c r="H63" s="409"/>
      <c r="I63" s="409"/>
      <c r="J63" s="409"/>
      <c r="K63" s="409"/>
      <c r="L63" s="409"/>
      <c r="M63" s="409"/>
      <c r="N63" s="409"/>
      <c r="O63" s="409"/>
      <c r="P63" s="409"/>
      <c r="Q63" s="409"/>
      <c r="R63" s="409"/>
      <c r="S63" s="409"/>
      <c r="T63" s="409"/>
      <c r="U63" s="409"/>
      <c r="V63" s="409"/>
      <c r="W63" s="409"/>
      <c r="X63" s="409"/>
      <c r="Y63" s="409"/>
      <c r="Z63" s="409"/>
    </row>
    <row r="64" ht="15.75" customHeight="1">
      <c r="A64" s="409"/>
      <c r="B64" s="409"/>
      <c r="C64" s="409"/>
      <c r="D64" s="409"/>
      <c r="E64" s="409"/>
      <c r="F64" s="409"/>
      <c r="G64" s="409"/>
      <c r="H64" s="409"/>
      <c r="I64" s="409"/>
      <c r="J64" s="409"/>
      <c r="K64" s="409"/>
      <c r="L64" s="409"/>
      <c r="M64" s="409"/>
      <c r="N64" s="409"/>
      <c r="O64" s="409"/>
      <c r="P64" s="409"/>
      <c r="Q64" s="409"/>
      <c r="R64" s="409"/>
      <c r="S64" s="409"/>
      <c r="T64" s="409"/>
      <c r="U64" s="409"/>
      <c r="V64" s="409"/>
      <c r="W64" s="409"/>
      <c r="X64" s="409"/>
      <c r="Y64" s="409"/>
      <c r="Z64" s="409"/>
    </row>
    <row r="65" ht="15.75" customHeight="1">
      <c r="A65" s="409"/>
      <c r="B65" s="409"/>
      <c r="C65" s="409"/>
      <c r="D65" s="409"/>
      <c r="E65" s="409"/>
      <c r="F65" s="409"/>
      <c r="G65" s="409"/>
      <c r="H65" s="409"/>
      <c r="I65" s="409"/>
      <c r="J65" s="409"/>
      <c r="K65" s="409"/>
      <c r="L65" s="409"/>
      <c r="M65" s="409"/>
      <c r="N65" s="409"/>
      <c r="O65" s="409"/>
      <c r="P65" s="409"/>
      <c r="Q65" s="409"/>
      <c r="R65" s="409"/>
      <c r="S65" s="409"/>
      <c r="T65" s="409"/>
      <c r="U65" s="409"/>
      <c r="V65" s="409"/>
      <c r="W65" s="409"/>
      <c r="X65" s="409"/>
      <c r="Y65" s="409"/>
      <c r="Z65" s="409"/>
    </row>
    <row r="66" ht="15.75" customHeight="1">
      <c r="A66" s="409"/>
      <c r="B66" s="409"/>
      <c r="C66" s="409"/>
      <c r="D66" s="409"/>
      <c r="E66" s="409"/>
      <c r="F66" s="409"/>
      <c r="G66" s="409"/>
      <c r="H66" s="409"/>
      <c r="I66" s="409"/>
      <c r="J66" s="409"/>
      <c r="K66" s="409"/>
      <c r="L66" s="409"/>
      <c r="M66" s="409"/>
      <c r="N66" s="409"/>
      <c r="O66" s="409"/>
      <c r="P66" s="409"/>
      <c r="Q66" s="409"/>
      <c r="R66" s="409"/>
      <c r="S66" s="409"/>
      <c r="T66" s="409"/>
      <c r="U66" s="409"/>
      <c r="V66" s="409"/>
      <c r="W66" s="409"/>
      <c r="X66" s="409"/>
      <c r="Y66" s="409"/>
      <c r="Z66" s="409"/>
    </row>
    <row r="67" ht="15.75" customHeight="1">
      <c r="A67" s="409"/>
      <c r="B67" s="409"/>
      <c r="C67" s="409"/>
      <c r="D67" s="409"/>
      <c r="E67" s="409"/>
      <c r="F67" s="409"/>
      <c r="G67" s="409"/>
      <c r="H67" s="409"/>
      <c r="I67" s="409"/>
      <c r="J67" s="409"/>
      <c r="K67" s="409"/>
      <c r="L67" s="409"/>
      <c r="M67" s="409"/>
      <c r="N67" s="409"/>
      <c r="O67" s="409"/>
      <c r="P67" s="409"/>
      <c r="Q67" s="409"/>
      <c r="R67" s="409"/>
      <c r="S67" s="409"/>
      <c r="T67" s="409"/>
      <c r="U67" s="409"/>
      <c r="V67" s="409"/>
      <c r="W67" s="409"/>
      <c r="X67" s="409"/>
      <c r="Y67" s="409"/>
      <c r="Z67" s="409"/>
    </row>
    <row r="68" ht="15.75" customHeight="1">
      <c r="A68" s="409"/>
      <c r="B68" s="409"/>
      <c r="C68" s="409"/>
      <c r="D68" s="409"/>
      <c r="E68" s="409"/>
      <c r="F68" s="409"/>
      <c r="G68" s="409"/>
      <c r="H68" s="409"/>
      <c r="I68" s="409"/>
      <c r="J68" s="409"/>
      <c r="K68" s="409"/>
      <c r="L68" s="409"/>
      <c r="M68" s="409"/>
      <c r="N68" s="409"/>
      <c r="O68" s="409"/>
      <c r="P68" s="409"/>
      <c r="Q68" s="409"/>
      <c r="R68" s="409"/>
      <c r="S68" s="409"/>
      <c r="T68" s="409"/>
      <c r="U68" s="409"/>
      <c r="V68" s="409"/>
      <c r="W68" s="409"/>
      <c r="X68" s="409"/>
      <c r="Y68" s="409"/>
      <c r="Z68" s="409"/>
    </row>
    <row r="69" ht="15.75" customHeight="1">
      <c r="A69" s="409"/>
      <c r="B69" s="409"/>
      <c r="C69" s="409"/>
      <c r="D69" s="409"/>
      <c r="E69" s="409"/>
      <c r="F69" s="409"/>
      <c r="G69" s="409"/>
      <c r="H69" s="409"/>
      <c r="I69" s="409"/>
      <c r="J69" s="409"/>
      <c r="K69" s="409"/>
      <c r="L69" s="409"/>
      <c r="M69" s="409"/>
      <c r="N69" s="409"/>
      <c r="O69" s="409"/>
      <c r="P69" s="409"/>
      <c r="Q69" s="409"/>
      <c r="R69" s="409"/>
      <c r="S69" s="409"/>
      <c r="T69" s="409"/>
      <c r="U69" s="409"/>
      <c r="V69" s="409"/>
      <c r="W69" s="409"/>
      <c r="X69" s="409"/>
      <c r="Y69" s="409"/>
      <c r="Z69" s="409"/>
    </row>
    <row r="70" ht="15.75" customHeight="1">
      <c r="A70" s="409"/>
      <c r="B70" s="409"/>
      <c r="C70" s="409"/>
      <c r="D70" s="409"/>
      <c r="E70" s="409"/>
      <c r="F70" s="409"/>
      <c r="G70" s="409"/>
      <c r="H70" s="409"/>
      <c r="I70" s="409"/>
      <c r="J70" s="409"/>
      <c r="K70" s="409"/>
      <c r="L70" s="409"/>
      <c r="M70" s="409"/>
      <c r="N70" s="409"/>
      <c r="O70" s="409"/>
      <c r="P70" s="409"/>
      <c r="Q70" s="409"/>
      <c r="R70" s="409"/>
      <c r="S70" s="409"/>
      <c r="T70" s="409"/>
      <c r="U70" s="409"/>
      <c r="V70" s="409"/>
      <c r="W70" s="409"/>
      <c r="X70" s="409"/>
      <c r="Y70" s="409"/>
      <c r="Z70" s="409"/>
    </row>
    <row r="71" ht="15.75" customHeight="1">
      <c r="A71" s="409"/>
      <c r="B71" s="409"/>
      <c r="C71" s="409"/>
      <c r="D71" s="409"/>
      <c r="E71" s="409"/>
      <c r="F71" s="409"/>
      <c r="G71" s="409"/>
      <c r="H71" s="409"/>
      <c r="I71" s="409"/>
      <c r="J71" s="409"/>
      <c r="K71" s="409"/>
      <c r="L71" s="409"/>
      <c r="M71" s="409"/>
      <c r="N71" s="409"/>
      <c r="O71" s="409"/>
      <c r="P71" s="409"/>
      <c r="Q71" s="409"/>
      <c r="R71" s="409"/>
      <c r="S71" s="409"/>
      <c r="T71" s="409"/>
      <c r="U71" s="409"/>
      <c r="V71" s="409"/>
      <c r="W71" s="409"/>
      <c r="X71" s="409"/>
      <c r="Y71" s="409"/>
      <c r="Z71" s="409"/>
    </row>
    <row r="72" ht="15.75" customHeight="1">
      <c r="A72" s="409"/>
      <c r="B72" s="409"/>
      <c r="C72" s="409"/>
      <c r="D72" s="409"/>
      <c r="E72" s="409"/>
      <c r="F72" s="409"/>
      <c r="G72" s="409"/>
      <c r="H72" s="409"/>
      <c r="I72" s="409"/>
      <c r="J72" s="409"/>
      <c r="K72" s="409"/>
      <c r="L72" s="409"/>
      <c r="M72" s="409"/>
      <c r="N72" s="409"/>
      <c r="O72" s="409"/>
      <c r="P72" s="409"/>
      <c r="Q72" s="409"/>
      <c r="R72" s="409"/>
      <c r="S72" s="409"/>
      <c r="T72" s="409"/>
      <c r="U72" s="409"/>
      <c r="V72" s="409"/>
      <c r="W72" s="409"/>
      <c r="X72" s="409"/>
      <c r="Y72" s="409"/>
      <c r="Z72" s="409"/>
    </row>
    <row r="73" ht="15.75" customHeight="1">
      <c r="A73" s="409"/>
      <c r="B73" s="409"/>
      <c r="C73" s="409"/>
      <c r="D73" s="409"/>
      <c r="E73" s="409"/>
      <c r="F73" s="409"/>
      <c r="G73" s="409"/>
      <c r="H73" s="409"/>
      <c r="I73" s="409"/>
      <c r="J73" s="409"/>
      <c r="K73" s="409"/>
      <c r="L73" s="409"/>
      <c r="M73" s="409"/>
      <c r="N73" s="409"/>
      <c r="O73" s="409"/>
      <c r="P73" s="409"/>
      <c r="Q73" s="409"/>
      <c r="R73" s="409"/>
      <c r="S73" s="409"/>
      <c r="T73" s="409"/>
      <c r="U73" s="409"/>
      <c r="V73" s="409"/>
      <c r="W73" s="409"/>
      <c r="X73" s="409"/>
      <c r="Y73" s="409"/>
      <c r="Z73" s="409"/>
    </row>
    <row r="74" ht="15.75" customHeight="1">
      <c r="A74" s="409"/>
      <c r="B74" s="409"/>
      <c r="C74" s="409"/>
      <c r="D74" s="409"/>
      <c r="E74" s="409"/>
      <c r="F74" s="409"/>
      <c r="G74" s="409"/>
      <c r="H74" s="409"/>
      <c r="I74" s="409"/>
      <c r="J74" s="409"/>
      <c r="K74" s="409"/>
      <c r="L74" s="409"/>
      <c r="M74" s="409"/>
      <c r="N74" s="409"/>
      <c r="O74" s="409"/>
      <c r="P74" s="409"/>
      <c r="Q74" s="409"/>
      <c r="R74" s="409"/>
      <c r="S74" s="409"/>
      <c r="T74" s="409"/>
      <c r="U74" s="409"/>
      <c r="V74" s="409"/>
      <c r="W74" s="409"/>
      <c r="X74" s="409"/>
      <c r="Y74" s="409"/>
      <c r="Z74" s="409"/>
    </row>
    <row r="75" ht="15.75" customHeight="1">
      <c r="A75" s="409"/>
      <c r="B75" s="409"/>
      <c r="C75" s="409"/>
      <c r="D75" s="409"/>
      <c r="E75" s="409"/>
      <c r="F75" s="409"/>
      <c r="G75" s="409"/>
      <c r="H75" s="409"/>
      <c r="I75" s="409"/>
      <c r="J75" s="409"/>
      <c r="K75" s="409"/>
      <c r="L75" s="409"/>
      <c r="M75" s="409"/>
      <c r="N75" s="409"/>
      <c r="O75" s="409"/>
      <c r="P75" s="409"/>
      <c r="Q75" s="409"/>
      <c r="R75" s="409"/>
      <c r="S75" s="409"/>
      <c r="T75" s="409"/>
      <c r="U75" s="409"/>
      <c r="V75" s="409"/>
      <c r="W75" s="409"/>
      <c r="X75" s="409"/>
      <c r="Y75" s="409"/>
      <c r="Z75" s="409"/>
    </row>
    <row r="76" ht="15.75" customHeight="1">
      <c r="A76" s="409"/>
      <c r="B76" s="409"/>
      <c r="C76" s="409"/>
      <c r="D76" s="409"/>
      <c r="E76" s="409"/>
      <c r="F76" s="409"/>
      <c r="G76" s="409"/>
      <c r="H76" s="409"/>
      <c r="I76" s="409"/>
      <c r="J76" s="409"/>
      <c r="K76" s="409"/>
      <c r="L76" s="409"/>
      <c r="M76" s="409"/>
      <c r="N76" s="409"/>
      <c r="O76" s="409"/>
      <c r="P76" s="409"/>
      <c r="Q76" s="409"/>
      <c r="R76" s="409"/>
      <c r="S76" s="409"/>
      <c r="T76" s="409"/>
      <c r="U76" s="409"/>
      <c r="V76" s="409"/>
      <c r="W76" s="409"/>
      <c r="X76" s="409"/>
      <c r="Y76" s="409"/>
      <c r="Z76" s="409"/>
    </row>
    <row r="77" ht="15.75" customHeight="1">
      <c r="A77" s="409"/>
      <c r="B77" s="409"/>
      <c r="C77" s="409"/>
      <c r="D77" s="409"/>
      <c r="E77" s="409"/>
      <c r="F77" s="409"/>
      <c r="G77" s="409"/>
      <c r="H77" s="409"/>
      <c r="I77" s="409"/>
      <c r="J77" s="409"/>
      <c r="K77" s="409"/>
      <c r="L77" s="409"/>
      <c r="M77" s="409"/>
      <c r="N77" s="409"/>
      <c r="O77" s="409"/>
      <c r="P77" s="409"/>
      <c r="Q77" s="409"/>
      <c r="R77" s="409"/>
      <c r="S77" s="409"/>
      <c r="T77" s="409"/>
      <c r="U77" s="409"/>
      <c r="V77" s="409"/>
      <c r="W77" s="409"/>
      <c r="X77" s="409"/>
      <c r="Y77" s="409"/>
      <c r="Z77" s="409"/>
    </row>
    <row r="78" ht="15.75" customHeight="1">
      <c r="A78" s="409"/>
      <c r="B78" s="409"/>
      <c r="C78" s="409"/>
      <c r="D78" s="409"/>
      <c r="E78" s="409"/>
      <c r="F78" s="409"/>
      <c r="G78" s="409"/>
      <c r="H78" s="409"/>
      <c r="I78" s="409"/>
      <c r="J78" s="409"/>
      <c r="K78" s="409"/>
      <c r="L78" s="409"/>
      <c r="M78" s="409"/>
      <c r="N78" s="409"/>
      <c r="O78" s="409"/>
      <c r="P78" s="409"/>
      <c r="Q78" s="409"/>
      <c r="R78" s="409"/>
      <c r="S78" s="409"/>
      <c r="T78" s="409"/>
      <c r="U78" s="409"/>
      <c r="V78" s="409"/>
      <c r="W78" s="409"/>
      <c r="X78" s="409"/>
      <c r="Y78" s="409"/>
      <c r="Z78" s="409"/>
    </row>
    <row r="79" ht="15.75" customHeight="1">
      <c r="A79" s="409"/>
      <c r="B79" s="409"/>
      <c r="C79" s="409"/>
      <c r="D79" s="409"/>
      <c r="E79" s="409"/>
      <c r="F79" s="409"/>
      <c r="G79" s="409"/>
      <c r="H79" s="409"/>
      <c r="I79" s="409"/>
      <c r="J79" s="409"/>
      <c r="K79" s="409"/>
      <c r="L79" s="409"/>
      <c r="M79" s="409"/>
      <c r="N79" s="409"/>
      <c r="O79" s="409"/>
      <c r="P79" s="409"/>
      <c r="Q79" s="409"/>
      <c r="R79" s="409"/>
      <c r="S79" s="409"/>
      <c r="T79" s="409"/>
      <c r="U79" s="409"/>
      <c r="V79" s="409"/>
      <c r="W79" s="409"/>
      <c r="X79" s="409"/>
      <c r="Y79" s="409"/>
      <c r="Z79" s="409"/>
    </row>
    <row r="80" ht="15.75" customHeight="1">
      <c r="A80" s="409"/>
      <c r="B80" s="409"/>
      <c r="C80" s="409"/>
      <c r="D80" s="409"/>
      <c r="E80" s="409"/>
      <c r="F80" s="409"/>
      <c r="G80" s="409"/>
      <c r="H80" s="409"/>
      <c r="I80" s="409"/>
      <c r="J80" s="409"/>
      <c r="K80" s="409"/>
      <c r="L80" s="409"/>
      <c r="M80" s="409"/>
      <c r="N80" s="409"/>
      <c r="O80" s="409"/>
      <c r="P80" s="409"/>
      <c r="Q80" s="409"/>
      <c r="R80" s="409"/>
      <c r="S80" s="409"/>
      <c r="T80" s="409"/>
      <c r="U80" s="409"/>
      <c r="V80" s="409"/>
      <c r="W80" s="409"/>
      <c r="X80" s="409"/>
      <c r="Y80" s="409"/>
      <c r="Z80" s="409"/>
    </row>
    <row r="81" ht="15.75" customHeight="1">
      <c r="A81" s="409"/>
      <c r="B81" s="409"/>
      <c r="C81" s="409"/>
      <c r="D81" s="409"/>
      <c r="E81" s="409"/>
      <c r="F81" s="409"/>
      <c r="G81" s="409"/>
      <c r="H81" s="409"/>
      <c r="I81" s="409"/>
      <c r="J81" s="409"/>
      <c r="K81" s="409"/>
      <c r="L81" s="409"/>
      <c r="M81" s="409"/>
      <c r="N81" s="409"/>
      <c r="O81" s="409"/>
      <c r="P81" s="409"/>
      <c r="Q81" s="409"/>
      <c r="R81" s="409"/>
      <c r="S81" s="409"/>
      <c r="T81" s="409"/>
      <c r="U81" s="409"/>
      <c r="V81" s="409"/>
      <c r="W81" s="409"/>
      <c r="X81" s="409"/>
      <c r="Y81" s="409"/>
      <c r="Z81" s="409"/>
    </row>
    <row r="82" ht="15.75" customHeight="1">
      <c r="A82" s="409"/>
      <c r="B82" s="409"/>
      <c r="C82" s="409"/>
      <c r="D82" s="409"/>
      <c r="E82" s="409"/>
      <c r="F82" s="409"/>
      <c r="G82" s="409"/>
      <c r="H82" s="409"/>
      <c r="I82" s="409"/>
      <c r="J82" s="409"/>
      <c r="K82" s="409"/>
      <c r="L82" s="409"/>
      <c r="M82" s="409"/>
      <c r="N82" s="409"/>
      <c r="O82" s="409"/>
      <c r="P82" s="409"/>
      <c r="Q82" s="409"/>
      <c r="R82" s="409"/>
      <c r="S82" s="409"/>
      <c r="T82" s="409"/>
      <c r="U82" s="409"/>
      <c r="V82" s="409"/>
      <c r="W82" s="409"/>
      <c r="X82" s="409"/>
      <c r="Y82" s="409"/>
      <c r="Z82" s="409"/>
    </row>
    <row r="83" ht="15.75" customHeight="1">
      <c r="A83" s="409"/>
      <c r="B83" s="409"/>
      <c r="C83" s="409"/>
      <c r="D83" s="409"/>
      <c r="E83" s="409"/>
      <c r="F83" s="409"/>
      <c r="G83" s="409"/>
      <c r="H83" s="409"/>
      <c r="I83" s="409"/>
      <c r="J83" s="409"/>
      <c r="K83" s="409"/>
      <c r="L83" s="409"/>
      <c r="M83" s="409"/>
      <c r="N83" s="409"/>
      <c r="O83" s="409"/>
      <c r="P83" s="409"/>
      <c r="Q83" s="409"/>
      <c r="R83" s="409"/>
      <c r="S83" s="409"/>
      <c r="T83" s="409"/>
      <c r="U83" s="409"/>
      <c r="V83" s="409"/>
      <c r="W83" s="409"/>
      <c r="X83" s="409"/>
      <c r="Y83" s="409"/>
      <c r="Z83" s="409"/>
    </row>
    <row r="84" ht="15.75" customHeight="1">
      <c r="A84" s="409"/>
      <c r="B84" s="409"/>
      <c r="C84" s="409"/>
      <c r="D84" s="409"/>
      <c r="E84" s="409"/>
      <c r="F84" s="409"/>
      <c r="G84" s="409"/>
      <c r="H84" s="409"/>
      <c r="I84" s="409"/>
      <c r="J84" s="409"/>
      <c r="K84" s="409"/>
      <c r="L84" s="409"/>
      <c r="M84" s="409"/>
      <c r="N84" s="409"/>
      <c r="O84" s="409"/>
      <c r="P84" s="409"/>
      <c r="Q84" s="409"/>
      <c r="R84" s="409"/>
      <c r="S84" s="409"/>
      <c r="T84" s="409"/>
      <c r="U84" s="409"/>
      <c r="V84" s="409"/>
      <c r="W84" s="409"/>
      <c r="X84" s="409"/>
      <c r="Y84" s="409"/>
      <c r="Z84" s="409"/>
    </row>
    <row r="85" ht="15.75" customHeight="1">
      <c r="A85" s="409"/>
      <c r="B85" s="409"/>
      <c r="C85" s="409"/>
      <c r="D85" s="409"/>
      <c r="E85" s="409"/>
      <c r="F85" s="409"/>
      <c r="G85" s="409"/>
      <c r="H85" s="409"/>
      <c r="I85" s="409"/>
      <c r="J85" s="409"/>
      <c r="K85" s="409"/>
      <c r="L85" s="409"/>
      <c r="M85" s="409"/>
      <c r="N85" s="409"/>
      <c r="O85" s="409"/>
      <c r="P85" s="409"/>
      <c r="Q85" s="409"/>
      <c r="R85" s="409"/>
      <c r="S85" s="409"/>
      <c r="T85" s="409"/>
      <c r="U85" s="409"/>
      <c r="V85" s="409"/>
      <c r="W85" s="409"/>
      <c r="X85" s="409"/>
      <c r="Y85" s="409"/>
      <c r="Z85" s="409"/>
    </row>
    <row r="86" ht="15.75" customHeight="1">
      <c r="A86" s="409"/>
      <c r="B86" s="409"/>
      <c r="C86" s="409"/>
      <c r="D86" s="409"/>
      <c r="E86" s="409"/>
      <c r="F86" s="409"/>
      <c r="G86" s="409"/>
      <c r="H86" s="409"/>
      <c r="I86" s="409"/>
      <c r="J86" s="409"/>
      <c r="K86" s="409"/>
      <c r="L86" s="409"/>
      <c r="M86" s="409"/>
      <c r="N86" s="409"/>
      <c r="O86" s="409"/>
      <c r="P86" s="409"/>
      <c r="Q86" s="409"/>
      <c r="R86" s="409"/>
      <c r="S86" s="409"/>
      <c r="T86" s="409"/>
      <c r="U86" s="409"/>
      <c r="V86" s="409"/>
      <c r="W86" s="409"/>
      <c r="X86" s="409"/>
      <c r="Y86" s="409"/>
      <c r="Z86" s="409"/>
    </row>
    <row r="87" ht="15.75" customHeight="1">
      <c r="A87" s="409"/>
      <c r="B87" s="409"/>
      <c r="C87" s="409"/>
      <c r="D87" s="409"/>
      <c r="E87" s="409"/>
      <c r="F87" s="409"/>
      <c r="G87" s="409"/>
      <c r="H87" s="409"/>
      <c r="I87" s="409"/>
      <c r="J87" s="409"/>
      <c r="K87" s="409"/>
      <c r="L87" s="409"/>
      <c r="M87" s="409"/>
      <c r="N87" s="409"/>
      <c r="O87" s="409"/>
      <c r="P87" s="409"/>
      <c r="Q87" s="409"/>
      <c r="R87" s="409"/>
      <c r="S87" s="409"/>
      <c r="T87" s="409"/>
      <c r="U87" s="409"/>
      <c r="V87" s="409"/>
      <c r="W87" s="409"/>
      <c r="X87" s="409"/>
      <c r="Y87" s="409"/>
      <c r="Z87" s="409"/>
    </row>
    <row r="88" ht="15.75" customHeight="1">
      <c r="A88" s="409"/>
      <c r="B88" s="409"/>
      <c r="C88" s="409"/>
      <c r="D88" s="409"/>
      <c r="E88" s="409"/>
      <c r="F88" s="409"/>
      <c r="G88" s="409"/>
      <c r="H88" s="409"/>
      <c r="I88" s="409"/>
      <c r="J88" s="409"/>
      <c r="K88" s="409"/>
      <c r="L88" s="409"/>
      <c r="M88" s="409"/>
      <c r="N88" s="409"/>
      <c r="O88" s="409"/>
      <c r="P88" s="409"/>
      <c r="Q88" s="409"/>
      <c r="R88" s="409"/>
      <c r="S88" s="409"/>
      <c r="T88" s="409"/>
      <c r="U88" s="409"/>
      <c r="V88" s="409"/>
      <c r="W88" s="409"/>
      <c r="X88" s="409"/>
      <c r="Y88" s="409"/>
      <c r="Z88" s="409"/>
    </row>
    <row r="89" ht="15.75" customHeight="1">
      <c r="A89" s="409"/>
      <c r="B89" s="409"/>
      <c r="C89" s="409"/>
      <c r="D89" s="409"/>
      <c r="E89" s="409"/>
      <c r="F89" s="409"/>
      <c r="G89" s="409"/>
      <c r="H89" s="409"/>
      <c r="I89" s="409"/>
      <c r="J89" s="409"/>
      <c r="K89" s="409"/>
      <c r="L89" s="409"/>
      <c r="M89" s="409"/>
      <c r="N89" s="409"/>
      <c r="O89" s="409"/>
      <c r="P89" s="409"/>
      <c r="Q89" s="409"/>
      <c r="R89" s="409"/>
      <c r="S89" s="409"/>
      <c r="T89" s="409"/>
      <c r="U89" s="409"/>
      <c r="V89" s="409"/>
      <c r="W89" s="409"/>
      <c r="X89" s="409"/>
      <c r="Y89" s="409"/>
      <c r="Z89" s="409"/>
    </row>
    <row r="90" ht="15.75" customHeight="1">
      <c r="A90" s="409"/>
      <c r="B90" s="409"/>
      <c r="C90" s="409"/>
      <c r="D90" s="409"/>
      <c r="E90" s="409"/>
      <c r="F90" s="409"/>
      <c r="G90" s="409"/>
      <c r="H90" s="409"/>
      <c r="I90" s="409"/>
      <c r="J90" s="409"/>
      <c r="K90" s="409"/>
      <c r="L90" s="409"/>
      <c r="M90" s="409"/>
      <c r="N90" s="409"/>
      <c r="O90" s="409"/>
      <c r="P90" s="409"/>
      <c r="Q90" s="409"/>
      <c r="R90" s="409"/>
      <c r="S90" s="409"/>
      <c r="T90" s="409"/>
      <c r="U90" s="409"/>
      <c r="V90" s="409"/>
      <c r="W90" s="409"/>
      <c r="X90" s="409"/>
      <c r="Y90" s="409"/>
      <c r="Z90" s="409"/>
    </row>
    <row r="91" ht="15.75" customHeight="1">
      <c r="A91" s="409"/>
      <c r="B91" s="409"/>
      <c r="C91" s="409"/>
      <c r="D91" s="409"/>
      <c r="E91" s="409"/>
      <c r="F91" s="409"/>
      <c r="G91" s="409"/>
      <c r="H91" s="409"/>
      <c r="I91" s="409"/>
      <c r="J91" s="409"/>
      <c r="K91" s="409"/>
      <c r="L91" s="409"/>
      <c r="M91" s="409"/>
      <c r="N91" s="409"/>
      <c r="O91" s="409"/>
      <c r="P91" s="409"/>
      <c r="Q91" s="409"/>
      <c r="R91" s="409"/>
      <c r="S91" s="409"/>
      <c r="T91" s="409"/>
      <c r="U91" s="409"/>
      <c r="V91" s="409"/>
      <c r="W91" s="409"/>
      <c r="X91" s="409"/>
      <c r="Y91" s="409"/>
      <c r="Z91" s="409"/>
    </row>
    <row r="92" ht="15.75" customHeight="1">
      <c r="A92" s="409"/>
      <c r="B92" s="409"/>
      <c r="C92" s="409"/>
      <c r="D92" s="409"/>
      <c r="E92" s="409"/>
      <c r="F92" s="409"/>
      <c r="G92" s="409"/>
      <c r="H92" s="409"/>
      <c r="I92" s="409"/>
      <c r="J92" s="409"/>
      <c r="K92" s="409"/>
      <c r="L92" s="409"/>
      <c r="M92" s="409"/>
      <c r="N92" s="409"/>
      <c r="O92" s="409"/>
      <c r="P92" s="409"/>
      <c r="Q92" s="409"/>
      <c r="R92" s="409"/>
      <c r="S92" s="409"/>
      <c r="T92" s="409"/>
      <c r="U92" s="409"/>
      <c r="V92" s="409"/>
      <c r="W92" s="409"/>
      <c r="X92" s="409"/>
      <c r="Y92" s="409"/>
      <c r="Z92" s="409"/>
    </row>
    <row r="93" ht="15.75" customHeight="1">
      <c r="A93" s="409"/>
      <c r="B93" s="409"/>
      <c r="C93" s="409"/>
      <c r="D93" s="409"/>
      <c r="E93" s="409"/>
      <c r="F93" s="409"/>
      <c r="G93" s="409"/>
      <c r="H93" s="409"/>
      <c r="I93" s="409"/>
      <c r="J93" s="409"/>
      <c r="K93" s="409"/>
      <c r="L93" s="409"/>
      <c r="M93" s="409"/>
      <c r="N93" s="409"/>
      <c r="O93" s="409"/>
      <c r="P93" s="409"/>
      <c r="Q93" s="409"/>
      <c r="R93" s="409"/>
      <c r="S93" s="409"/>
      <c r="T93" s="409"/>
      <c r="U93" s="409"/>
      <c r="V93" s="409"/>
      <c r="W93" s="409"/>
      <c r="X93" s="409"/>
      <c r="Y93" s="409"/>
      <c r="Z93" s="409"/>
    </row>
    <row r="94" ht="15.75" customHeight="1">
      <c r="A94" s="409"/>
      <c r="B94" s="409"/>
      <c r="C94" s="409"/>
      <c r="D94" s="409"/>
      <c r="E94" s="409"/>
      <c r="F94" s="409"/>
      <c r="G94" s="409"/>
      <c r="H94" s="409"/>
      <c r="I94" s="409"/>
      <c r="J94" s="409"/>
      <c r="K94" s="409"/>
      <c r="L94" s="409"/>
      <c r="M94" s="409"/>
      <c r="N94" s="409"/>
      <c r="O94" s="409"/>
      <c r="P94" s="409"/>
      <c r="Q94" s="409"/>
      <c r="R94" s="409"/>
      <c r="S94" s="409"/>
      <c r="T94" s="409"/>
      <c r="U94" s="409"/>
      <c r="V94" s="409"/>
      <c r="W94" s="409"/>
      <c r="X94" s="409"/>
      <c r="Y94" s="409"/>
      <c r="Z94" s="409"/>
    </row>
    <row r="95" ht="15.75" customHeight="1">
      <c r="A95" s="409"/>
      <c r="B95" s="409"/>
      <c r="C95" s="409"/>
      <c r="D95" s="409"/>
      <c r="E95" s="409"/>
      <c r="F95" s="409"/>
      <c r="G95" s="409"/>
      <c r="H95" s="409"/>
      <c r="I95" s="409"/>
      <c r="J95" s="409"/>
      <c r="K95" s="409"/>
      <c r="L95" s="409"/>
      <c r="M95" s="409"/>
      <c r="N95" s="409"/>
      <c r="O95" s="409"/>
      <c r="P95" s="409"/>
      <c r="Q95" s="409"/>
      <c r="R95" s="409"/>
      <c r="S95" s="409"/>
      <c r="T95" s="409"/>
      <c r="U95" s="409"/>
      <c r="V95" s="409"/>
      <c r="W95" s="409"/>
      <c r="X95" s="409"/>
      <c r="Y95" s="409"/>
      <c r="Z95" s="409"/>
    </row>
    <row r="96" ht="15.75" customHeight="1">
      <c r="A96" s="409"/>
      <c r="B96" s="409"/>
      <c r="C96" s="409"/>
      <c r="D96" s="409"/>
      <c r="E96" s="409"/>
      <c r="F96" s="409"/>
      <c r="G96" s="409"/>
      <c r="H96" s="409"/>
      <c r="I96" s="409"/>
      <c r="J96" s="409"/>
      <c r="K96" s="409"/>
      <c r="L96" s="409"/>
      <c r="M96" s="409"/>
      <c r="N96" s="409"/>
      <c r="O96" s="409"/>
      <c r="P96" s="409"/>
      <c r="Q96" s="409"/>
      <c r="R96" s="409"/>
      <c r="S96" s="409"/>
      <c r="T96" s="409"/>
      <c r="U96" s="409"/>
      <c r="V96" s="409"/>
      <c r="W96" s="409"/>
      <c r="X96" s="409"/>
      <c r="Y96" s="409"/>
      <c r="Z96" s="409"/>
    </row>
    <row r="97" ht="15.75" customHeight="1">
      <c r="A97" s="409"/>
      <c r="B97" s="409"/>
      <c r="C97" s="409"/>
      <c r="D97" s="409"/>
      <c r="E97" s="409"/>
      <c r="F97" s="409"/>
      <c r="G97" s="409"/>
      <c r="H97" s="409"/>
      <c r="I97" s="409"/>
      <c r="J97" s="409"/>
      <c r="K97" s="409"/>
      <c r="L97" s="409"/>
      <c r="M97" s="409"/>
      <c r="N97" s="409"/>
      <c r="O97" s="409"/>
      <c r="P97" s="409"/>
      <c r="Q97" s="409"/>
      <c r="R97" s="409"/>
      <c r="S97" s="409"/>
      <c r="T97" s="409"/>
      <c r="U97" s="409"/>
      <c r="V97" s="409"/>
      <c r="W97" s="409"/>
      <c r="X97" s="409"/>
      <c r="Y97" s="409"/>
      <c r="Z97" s="409"/>
    </row>
    <row r="98" ht="15.75" customHeight="1">
      <c r="A98" s="409"/>
      <c r="B98" s="409"/>
      <c r="C98" s="409"/>
      <c r="D98" s="409"/>
      <c r="E98" s="409"/>
      <c r="F98" s="409"/>
      <c r="G98" s="409"/>
      <c r="H98" s="409"/>
      <c r="I98" s="409"/>
      <c r="J98" s="409"/>
      <c r="K98" s="409"/>
      <c r="L98" s="409"/>
      <c r="M98" s="409"/>
      <c r="N98" s="409"/>
      <c r="O98" s="409"/>
      <c r="P98" s="409"/>
      <c r="Q98" s="409"/>
      <c r="R98" s="409"/>
      <c r="S98" s="409"/>
      <c r="T98" s="409"/>
      <c r="U98" s="409"/>
      <c r="V98" s="409"/>
      <c r="W98" s="409"/>
      <c r="X98" s="409"/>
      <c r="Y98" s="409"/>
      <c r="Z98" s="409"/>
    </row>
    <row r="99" ht="15.75" customHeight="1">
      <c r="A99" s="409"/>
      <c r="B99" s="409"/>
      <c r="C99" s="409"/>
      <c r="D99" s="409"/>
      <c r="E99" s="409"/>
      <c r="F99" s="409"/>
      <c r="G99" s="409"/>
      <c r="H99" s="409"/>
      <c r="I99" s="409"/>
      <c r="J99" s="409"/>
      <c r="K99" s="409"/>
      <c r="L99" s="409"/>
      <c r="M99" s="409"/>
      <c r="N99" s="409"/>
      <c r="O99" s="409"/>
      <c r="P99" s="409"/>
      <c r="Q99" s="409"/>
      <c r="R99" s="409"/>
      <c r="S99" s="409"/>
      <c r="T99" s="409"/>
      <c r="U99" s="409"/>
      <c r="V99" s="409"/>
      <c r="W99" s="409"/>
      <c r="X99" s="409"/>
      <c r="Y99" s="409"/>
      <c r="Z99" s="409"/>
    </row>
    <row r="100" ht="15.75" customHeight="1">
      <c r="A100" s="409"/>
      <c r="B100" s="409"/>
      <c r="C100" s="409"/>
      <c r="D100" s="409"/>
      <c r="E100" s="409"/>
      <c r="F100" s="409"/>
      <c r="G100" s="409"/>
      <c r="H100" s="409"/>
      <c r="I100" s="409"/>
      <c r="J100" s="409"/>
      <c r="K100" s="409"/>
      <c r="L100" s="409"/>
      <c r="M100" s="409"/>
      <c r="N100" s="409"/>
      <c r="O100" s="409"/>
      <c r="P100" s="409"/>
      <c r="Q100" s="409"/>
      <c r="R100" s="409"/>
      <c r="S100" s="409"/>
      <c r="T100" s="409"/>
      <c r="U100" s="409"/>
      <c r="V100" s="409"/>
      <c r="W100" s="409"/>
      <c r="X100" s="409"/>
      <c r="Y100" s="409"/>
      <c r="Z100" s="409"/>
    </row>
    <row r="101" ht="15.75" customHeight="1">
      <c r="A101" s="409"/>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c r="X101" s="409"/>
      <c r="Y101" s="409"/>
      <c r="Z101" s="409"/>
    </row>
    <row r="102" ht="15.75" customHeight="1">
      <c r="A102" s="409"/>
      <c r="B102" s="409"/>
      <c r="C102" s="409"/>
      <c r="D102" s="409"/>
      <c r="E102" s="409"/>
      <c r="F102" s="409"/>
      <c r="G102" s="409"/>
      <c r="H102" s="409"/>
      <c r="I102" s="409"/>
      <c r="J102" s="409"/>
      <c r="K102" s="409"/>
      <c r="L102" s="409"/>
      <c r="M102" s="409"/>
      <c r="N102" s="409"/>
      <c r="O102" s="409"/>
      <c r="P102" s="409"/>
      <c r="Q102" s="409"/>
      <c r="R102" s="409"/>
      <c r="S102" s="409"/>
      <c r="T102" s="409"/>
      <c r="U102" s="409"/>
      <c r="V102" s="409"/>
      <c r="W102" s="409"/>
      <c r="X102" s="409"/>
      <c r="Y102" s="409"/>
      <c r="Z102" s="409"/>
    </row>
    <row r="103" ht="15.75" customHeight="1">
      <c r="A103" s="409"/>
      <c r="B103" s="409"/>
      <c r="C103" s="409"/>
      <c r="D103" s="409"/>
      <c r="E103" s="409"/>
      <c r="F103" s="409"/>
      <c r="G103" s="409"/>
      <c r="H103" s="409"/>
      <c r="I103" s="409"/>
      <c r="J103" s="409"/>
      <c r="K103" s="409"/>
      <c r="L103" s="409"/>
      <c r="M103" s="409"/>
      <c r="N103" s="409"/>
      <c r="O103" s="409"/>
      <c r="P103" s="409"/>
      <c r="Q103" s="409"/>
      <c r="R103" s="409"/>
      <c r="S103" s="409"/>
      <c r="T103" s="409"/>
      <c r="U103" s="409"/>
      <c r="V103" s="409"/>
      <c r="W103" s="409"/>
      <c r="X103" s="409"/>
      <c r="Y103" s="409"/>
      <c r="Z103" s="409"/>
    </row>
    <row r="104" ht="15.75" customHeight="1">
      <c r="A104" s="409"/>
      <c r="B104" s="409"/>
      <c r="C104" s="409"/>
      <c r="D104" s="409"/>
      <c r="E104" s="409"/>
      <c r="F104" s="409"/>
      <c r="G104" s="409"/>
      <c r="H104" s="409"/>
      <c r="I104" s="409"/>
      <c r="J104" s="409"/>
      <c r="K104" s="409"/>
      <c r="L104" s="409"/>
      <c r="M104" s="409"/>
      <c r="N104" s="409"/>
      <c r="O104" s="409"/>
      <c r="P104" s="409"/>
      <c r="Q104" s="409"/>
      <c r="R104" s="409"/>
      <c r="S104" s="409"/>
      <c r="T104" s="409"/>
      <c r="U104" s="409"/>
      <c r="V104" s="409"/>
      <c r="W104" s="409"/>
      <c r="X104" s="409"/>
      <c r="Y104" s="409"/>
      <c r="Z104" s="409"/>
    </row>
    <row r="105" ht="15.75" customHeight="1">
      <c r="A105" s="409"/>
      <c r="B105" s="409"/>
      <c r="C105" s="409"/>
      <c r="D105" s="409"/>
      <c r="E105" s="409"/>
      <c r="F105" s="409"/>
      <c r="G105" s="409"/>
      <c r="H105" s="409"/>
      <c r="I105" s="409"/>
      <c r="J105" s="409"/>
      <c r="K105" s="409"/>
      <c r="L105" s="409"/>
      <c r="M105" s="409"/>
      <c r="N105" s="409"/>
      <c r="O105" s="409"/>
      <c r="P105" s="409"/>
      <c r="Q105" s="409"/>
      <c r="R105" s="409"/>
      <c r="S105" s="409"/>
      <c r="T105" s="409"/>
      <c r="U105" s="409"/>
      <c r="V105" s="409"/>
      <c r="W105" s="409"/>
      <c r="X105" s="409"/>
      <c r="Y105" s="409"/>
      <c r="Z105" s="409"/>
    </row>
    <row r="106" ht="15.75" customHeight="1">
      <c r="A106" s="409"/>
      <c r="B106" s="409"/>
      <c r="C106" s="409"/>
      <c r="D106" s="409"/>
      <c r="E106" s="409"/>
      <c r="F106" s="409"/>
      <c r="G106" s="409"/>
      <c r="H106" s="409"/>
      <c r="I106" s="409"/>
      <c r="J106" s="409"/>
      <c r="K106" s="409"/>
      <c r="L106" s="409"/>
      <c r="M106" s="409"/>
      <c r="N106" s="409"/>
      <c r="O106" s="409"/>
      <c r="P106" s="409"/>
      <c r="Q106" s="409"/>
      <c r="R106" s="409"/>
      <c r="S106" s="409"/>
      <c r="T106" s="409"/>
      <c r="U106" s="409"/>
      <c r="V106" s="409"/>
      <c r="W106" s="409"/>
      <c r="X106" s="409"/>
      <c r="Y106" s="409"/>
      <c r="Z106" s="409"/>
    </row>
    <row r="107" ht="15.75" customHeight="1">
      <c r="A107" s="409"/>
      <c r="B107" s="409"/>
      <c r="C107" s="409"/>
      <c r="D107" s="409"/>
      <c r="E107" s="409"/>
      <c r="F107" s="409"/>
      <c r="G107" s="409"/>
      <c r="H107" s="409"/>
      <c r="I107" s="409"/>
      <c r="J107" s="409"/>
      <c r="K107" s="409"/>
      <c r="L107" s="409"/>
      <c r="M107" s="409"/>
      <c r="N107" s="409"/>
      <c r="O107" s="409"/>
      <c r="P107" s="409"/>
      <c r="Q107" s="409"/>
      <c r="R107" s="409"/>
      <c r="S107" s="409"/>
      <c r="T107" s="409"/>
      <c r="U107" s="409"/>
      <c r="V107" s="409"/>
      <c r="W107" s="409"/>
      <c r="X107" s="409"/>
      <c r="Y107" s="409"/>
      <c r="Z107" s="409"/>
    </row>
    <row r="108" ht="15.75" customHeight="1">
      <c r="A108" s="409"/>
      <c r="B108" s="409"/>
      <c r="C108" s="409"/>
      <c r="D108" s="409"/>
      <c r="E108" s="409"/>
      <c r="F108" s="409"/>
      <c r="G108" s="409"/>
      <c r="H108" s="409"/>
      <c r="I108" s="409"/>
      <c r="J108" s="409"/>
      <c r="K108" s="409"/>
      <c r="L108" s="409"/>
      <c r="M108" s="409"/>
      <c r="N108" s="409"/>
      <c r="O108" s="409"/>
      <c r="P108" s="409"/>
      <c r="Q108" s="409"/>
      <c r="R108" s="409"/>
      <c r="S108" s="409"/>
      <c r="T108" s="409"/>
      <c r="U108" s="409"/>
      <c r="V108" s="409"/>
      <c r="W108" s="409"/>
      <c r="X108" s="409"/>
      <c r="Y108" s="409"/>
      <c r="Z108" s="409"/>
    </row>
    <row r="109" ht="15.75" customHeight="1">
      <c r="A109" s="409"/>
      <c r="B109" s="409"/>
      <c r="C109" s="409"/>
      <c r="D109" s="409"/>
      <c r="E109" s="409"/>
      <c r="F109" s="409"/>
      <c r="G109" s="409"/>
      <c r="H109" s="409"/>
      <c r="I109" s="409"/>
      <c r="J109" s="409"/>
      <c r="K109" s="409"/>
      <c r="L109" s="409"/>
      <c r="M109" s="409"/>
      <c r="N109" s="409"/>
      <c r="O109" s="409"/>
      <c r="P109" s="409"/>
      <c r="Q109" s="409"/>
      <c r="R109" s="409"/>
      <c r="S109" s="409"/>
      <c r="T109" s="409"/>
      <c r="U109" s="409"/>
      <c r="V109" s="409"/>
      <c r="W109" s="409"/>
      <c r="X109" s="409"/>
      <c r="Y109" s="409"/>
      <c r="Z109" s="409"/>
    </row>
    <row r="110" ht="15.75" customHeight="1">
      <c r="A110" s="409"/>
      <c r="B110" s="409"/>
      <c r="C110" s="409"/>
      <c r="D110" s="409"/>
      <c r="E110" s="409"/>
      <c r="F110" s="409"/>
      <c r="G110" s="409"/>
      <c r="H110" s="409"/>
      <c r="I110" s="409"/>
      <c r="J110" s="409"/>
      <c r="K110" s="409"/>
      <c r="L110" s="409"/>
      <c r="M110" s="409"/>
      <c r="N110" s="409"/>
      <c r="O110" s="409"/>
      <c r="P110" s="409"/>
      <c r="Q110" s="409"/>
      <c r="R110" s="409"/>
      <c r="S110" s="409"/>
      <c r="T110" s="409"/>
      <c r="U110" s="409"/>
      <c r="V110" s="409"/>
      <c r="W110" s="409"/>
      <c r="X110" s="409"/>
      <c r="Y110" s="409"/>
      <c r="Z110" s="409"/>
    </row>
    <row r="111" ht="15.75" customHeight="1">
      <c r="A111" s="409"/>
      <c r="B111" s="409"/>
      <c r="C111" s="409"/>
      <c r="D111" s="409"/>
      <c r="E111" s="409"/>
      <c r="F111" s="409"/>
      <c r="G111" s="409"/>
      <c r="H111" s="409"/>
      <c r="I111" s="409"/>
      <c r="J111" s="409"/>
      <c r="K111" s="409"/>
      <c r="L111" s="409"/>
      <c r="M111" s="409"/>
      <c r="N111" s="409"/>
      <c r="O111" s="409"/>
      <c r="P111" s="409"/>
      <c r="Q111" s="409"/>
      <c r="R111" s="409"/>
      <c r="S111" s="409"/>
      <c r="T111" s="409"/>
      <c r="U111" s="409"/>
      <c r="V111" s="409"/>
      <c r="W111" s="409"/>
      <c r="X111" s="409"/>
      <c r="Y111" s="409"/>
      <c r="Z111" s="409"/>
    </row>
    <row r="112" ht="15.75" customHeight="1">
      <c r="A112" s="409"/>
      <c r="B112" s="409"/>
      <c r="C112" s="409"/>
      <c r="D112" s="409"/>
      <c r="E112" s="409"/>
      <c r="F112" s="409"/>
      <c r="G112" s="409"/>
      <c r="H112" s="409"/>
      <c r="I112" s="409"/>
      <c r="J112" s="409"/>
      <c r="K112" s="409"/>
      <c r="L112" s="409"/>
      <c r="M112" s="409"/>
      <c r="N112" s="409"/>
      <c r="O112" s="409"/>
      <c r="P112" s="409"/>
      <c r="Q112" s="409"/>
      <c r="R112" s="409"/>
      <c r="S112" s="409"/>
      <c r="T112" s="409"/>
      <c r="U112" s="409"/>
      <c r="V112" s="409"/>
      <c r="W112" s="409"/>
      <c r="X112" s="409"/>
      <c r="Y112" s="409"/>
      <c r="Z112" s="409"/>
    </row>
    <row r="113" ht="15.75" customHeight="1">
      <c r="A113" s="409"/>
      <c r="B113" s="409"/>
      <c r="C113" s="409"/>
      <c r="D113" s="409"/>
      <c r="E113" s="409"/>
      <c r="F113" s="409"/>
      <c r="G113" s="409"/>
      <c r="H113" s="409"/>
      <c r="I113" s="409"/>
      <c r="J113" s="409"/>
      <c r="K113" s="409"/>
      <c r="L113" s="409"/>
      <c r="M113" s="409"/>
      <c r="N113" s="409"/>
      <c r="O113" s="409"/>
      <c r="P113" s="409"/>
      <c r="Q113" s="409"/>
      <c r="R113" s="409"/>
      <c r="S113" s="409"/>
      <c r="T113" s="409"/>
      <c r="U113" s="409"/>
      <c r="V113" s="409"/>
      <c r="W113" s="409"/>
      <c r="X113" s="409"/>
      <c r="Y113" s="409"/>
      <c r="Z113" s="409"/>
    </row>
    <row r="114" ht="15.75" customHeight="1">
      <c r="A114" s="409"/>
      <c r="B114" s="409"/>
      <c r="C114" s="409"/>
      <c r="D114" s="409"/>
      <c r="E114" s="409"/>
      <c r="F114" s="409"/>
      <c r="G114" s="409"/>
      <c r="H114" s="409"/>
      <c r="I114" s="409"/>
      <c r="J114" s="409"/>
      <c r="K114" s="409"/>
      <c r="L114" s="409"/>
      <c r="M114" s="409"/>
      <c r="N114" s="409"/>
      <c r="O114" s="409"/>
      <c r="P114" s="409"/>
      <c r="Q114" s="409"/>
      <c r="R114" s="409"/>
      <c r="S114" s="409"/>
      <c r="T114" s="409"/>
      <c r="U114" s="409"/>
      <c r="V114" s="409"/>
      <c r="W114" s="409"/>
      <c r="X114" s="409"/>
      <c r="Y114" s="409"/>
      <c r="Z114" s="409"/>
    </row>
    <row r="115" ht="15.75" customHeight="1">
      <c r="A115" s="409"/>
      <c r="B115" s="409"/>
      <c r="C115" s="409"/>
      <c r="D115" s="409"/>
      <c r="E115" s="409"/>
      <c r="F115" s="409"/>
      <c r="G115" s="409"/>
      <c r="H115" s="409"/>
      <c r="I115" s="409"/>
      <c r="J115" s="409"/>
      <c r="K115" s="409"/>
      <c r="L115" s="409"/>
      <c r="M115" s="409"/>
      <c r="N115" s="409"/>
      <c r="O115" s="409"/>
      <c r="P115" s="409"/>
      <c r="Q115" s="409"/>
      <c r="R115" s="409"/>
      <c r="S115" s="409"/>
      <c r="T115" s="409"/>
      <c r="U115" s="409"/>
      <c r="V115" s="409"/>
      <c r="W115" s="409"/>
      <c r="X115" s="409"/>
      <c r="Y115" s="409"/>
      <c r="Z115" s="409"/>
    </row>
    <row r="116" ht="15.75" customHeight="1">
      <c r="A116" s="409"/>
      <c r="B116" s="409"/>
      <c r="C116" s="409"/>
      <c r="D116" s="409"/>
      <c r="E116" s="409"/>
      <c r="F116" s="409"/>
      <c r="G116" s="409"/>
      <c r="H116" s="409"/>
      <c r="I116" s="409"/>
      <c r="J116" s="409"/>
      <c r="K116" s="409"/>
      <c r="L116" s="409"/>
      <c r="M116" s="409"/>
      <c r="N116" s="409"/>
      <c r="O116" s="409"/>
      <c r="P116" s="409"/>
      <c r="Q116" s="409"/>
      <c r="R116" s="409"/>
      <c r="S116" s="409"/>
      <c r="T116" s="409"/>
      <c r="U116" s="409"/>
      <c r="V116" s="409"/>
      <c r="W116" s="409"/>
      <c r="X116" s="409"/>
      <c r="Y116" s="409"/>
      <c r="Z116" s="409"/>
    </row>
    <row r="117" ht="15.75" customHeight="1">
      <c r="A117" s="409"/>
      <c r="B117" s="409"/>
      <c r="C117" s="409"/>
      <c r="D117" s="409"/>
      <c r="E117" s="409"/>
      <c r="F117" s="409"/>
      <c r="G117" s="409"/>
      <c r="H117" s="409"/>
      <c r="I117" s="409"/>
      <c r="J117" s="409"/>
      <c r="K117" s="409"/>
      <c r="L117" s="409"/>
      <c r="M117" s="409"/>
      <c r="N117" s="409"/>
      <c r="O117" s="409"/>
      <c r="P117" s="409"/>
      <c r="Q117" s="409"/>
      <c r="R117" s="409"/>
      <c r="S117" s="409"/>
      <c r="T117" s="409"/>
      <c r="U117" s="409"/>
      <c r="V117" s="409"/>
      <c r="W117" s="409"/>
      <c r="X117" s="409"/>
      <c r="Y117" s="409"/>
      <c r="Z117" s="409"/>
    </row>
    <row r="118" ht="15.75" customHeight="1">
      <c r="A118" s="409"/>
      <c r="B118" s="409"/>
      <c r="C118" s="409"/>
      <c r="D118" s="409"/>
      <c r="E118" s="409"/>
      <c r="F118" s="409"/>
      <c r="G118" s="409"/>
      <c r="H118" s="409"/>
      <c r="I118" s="409"/>
      <c r="J118" s="409"/>
      <c r="K118" s="409"/>
      <c r="L118" s="409"/>
      <c r="M118" s="409"/>
      <c r="N118" s="409"/>
      <c r="O118" s="409"/>
      <c r="P118" s="409"/>
      <c r="Q118" s="409"/>
      <c r="R118" s="409"/>
      <c r="S118" s="409"/>
      <c r="T118" s="409"/>
      <c r="U118" s="409"/>
      <c r="V118" s="409"/>
      <c r="W118" s="409"/>
      <c r="X118" s="409"/>
      <c r="Y118" s="409"/>
      <c r="Z118" s="409"/>
    </row>
    <row r="119" ht="15.75" customHeight="1">
      <c r="A119" s="409"/>
      <c r="B119" s="409"/>
      <c r="C119" s="409"/>
      <c r="D119" s="409"/>
      <c r="E119" s="409"/>
      <c r="F119" s="409"/>
      <c r="G119" s="409"/>
      <c r="H119" s="409"/>
      <c r="I119" s="409"/>
      <c r="J119" s="409"/>
      <c r="K119" s="409"/>
      <c r="L119" s="409"/>
      <c r="M119" s="409"/>
      <c r="N119" s="409"/>
      <c r="O119" s="409"/>
      <c r="P119" s="409"/>
      <c r="Q119" s="409"/>
      <c r="R119" s="409"/>
      <c r="S119" s="409"/>
      <c r="T119" s="409"/>
      <c r="U119" s="409"/>
      <c r="V119" s="409"/>
      <c r="W119" s="409"/>
      <c r="X119" s="409"/>
      <c r="Y119" s="409"/>
      <c r="Z119" s="409"/>
    </row>
    <row r="120" ht="15.75" customHeight="1">
      <c r="A120" s="409"/>
      <c r="B120" s="409"/>
      <c r="C120" s="409"/>
      <c r="D120" s="409"/>
      <c r="E120" s="409"/>
      <c r="F120" s="409"/>
      <c r="G120" s="409"/>
      <c r="H120" s="409"/>
      <c r="I120" s="409"/>
      <c r="J120" s="409"/>
      <c r="K120" s="409"/>
      <c r="L120" s="409"/>
      <c r="M120" s="409"/>
      <c r="N120" s="409"/>
      <c r="O120" s="409"/>
      <c r="P120" s="409"/>
      <c r="Q120" s="409"/>
      <c r="R120" s="409"/>
      <c r="S120" s="409"/>
      <c r="T120" s="409"/>
      <c r="U120" s="409"/>
      <c r="V120" s="409"/>
      <c r="W120" s="409"/>
      <c r="X120" s="409"/>
      <c r="Y120" s="409"/>
      <c r="Z120" s="409"/>
    </row>
    <row r="121" ht="15.75" customHeight="1">
      <c r="A121" s="409"/>
      <c r="B121" s="409"/>
      <c r="C121" s="409"/>
      <c r="D121" s="409"/>
      <c r="E121" s="409"/>
      <c r="F121" s="409"/>
      <c r="G121" s="409"/>
      <c r="H121" s="409"/>
      <c r="I121" s="409"/>
      <c r="J121" s="409"/>
      <c r="K121" s="409"/>
      <c r="L121" s="409"/>
      <c r="M121" s="409"/>
      <c r="N121" s="409"/>
      <c r="O121" s="409"/>
      <c r="P121" s="409"/>
      <c r="Q121" s="409"/>
      <c r="R121" s="409"/>
      <c r="S121" s="409"/>
      <c r="T121" s="409"/>
      <c r="U121" s="409"/>
      <c r="V121" s="409"/>
      <c r="W121" s="409"/>
      <c r="X121" s="409"/>
      <c r="Y121" s="409"/>
      <c r="Z121" s="409"/>
    </row>
    <row r="122" ht="15.75" customHeight="1">
      <c r="A122" s="409"/>
      <c r="B122" s="409"/>
      <c r="C122" s="409"/>
      <c r="D122" s="409"/>
      <c r="E122" s="409"/>
      <c r="F122" s="409"/>
      <c r="G122" s="409"/>
      <c r="H122" s="409"/>
      <c r="I122" s="409"/>
      <c r="J122" s="409"/>
      <c r="K122" s="409"/>
      <c r="L122" s="409"/>
      <c r="M122" s="409"/>
      <c r="N122" s="409"/>
      <c r="O122" s="409"/>
      <c r="P122" s="409"/>
      <c r="Q122" s="409"/>
      <c r="R122" s="409"/>
      <c r="S122" s="409"/>
      <c r="T122" s="409"/>
      <c r="U122" s="409"/>
      <c r="V122" s="409"/>
      <c r="W122" s="409"/>
      <c r="X122" s="409"/>
      <c r="Y122" s="409"/>
      <c r="Z122" s="409"/>
    </row>
    <row r="123" ht="15.75" customHeight="1">
      <c r="A123" s="409"/>
      <c r="B123" s="409"/>
      <c r="C123" s="409"/>
      <c r="D123" s="409"/>
      <c r="E123" s="409"/>
      <c r="F123" s="409"/>
      <c r="G123" s="409"/>
      <c r="H123" s="409"/>
      <c r="I123" s="409"/>
      <c r="J123" s="409"/>
      <c r="K123" s="409"/>
      <c r="L123" s="409"/>
      <c r="M123" s="409"/>
      <c r="N123" s="409"/>
      <c r="O123" s="409"/>
      <c r="P123" s="409"/>
      <c r="Q123" s="409"/>
      <c r="R123" s="409"/>
      <c r="S123" s="409"/>
      <c r="T123" s="409"/>
      <c r="U123" s="409"/>
      <c r="V123" s="409"/>
      <c r="W123" s="409"/>
      <c r="X123" s="409"/>
      <c r="Y123" s="409"/>
      <c r="Z123" s="409"/>
    </row>
    <row r="124" ht="15.75" customHeight="1">
      <c r="A124" s="409"/>
      <c r="B124" s="409"/>
      <c r="C124" s="409"/>
      <c r="D124" s="409"/>
      <c r="E124" s="409"/>
      <c r="F124" s="409"/>
      <c r="G124" s="409"/>
      <c r="H124" s="409"/>
      <c r="I124" s="409"/>
      <c r="J124" s="409"/>
      <c r="K124" s="409"/>
      <c r="L124" s="409"/>
      <c r="M124" s="409"/>
      <c r="N124" s="409"/>
      <c r="O124" s="409"/>
      <c r="P124" s="409"/>
      <c r="Q124" s="409"/>
      <c r="R124" s="409"/>
      <c r="S124" s="409"/>
      <c r="T124" s="409"/>
      <c r="U124" s="409"/>
      <c r="V124" s="409"/>
      <c r="W124" s="409"/>
      <c r="X124" s="409"/>
      <c r="Y124" s="409"/>
      <c r="Z124" s="409"/>
    </row>
    <row r="125" ht="15.75" customHeight="1">
      <c r="A125" s="409"/>
      <c r="B125" s="409"/>
      <c r="C125" s="409"/>
      <c r="D125" s="409"/>
      <c r="E125" s="409"/>
      <c r="F125" s="409"/>
      <c r="G125" s="409"/>
      <c r="H125" s="409"/>
      <c r="I125" s="409"/>
      <c r="J125" s="409"/>
      <c r="K125" s="409"/>
      <c r="L125" s="409"/>
      <c r="M125" s="409"/>
      <c r="N125" s="409"/>
      <c r="O125" s="409"/>
      <c r="P125" s="409"/>
      <c r="Q125" s="409"/>
      <c r="R125" s="409"/>
      <c r="S125" s="409"/>
      <c r="T125" s="409"/>
      <c r="U125" s="409"/>
      <c r="V125" s="409"/>
      <c r="W125" s="409"/>
      <c r="X125" s="409"/>
      <c r="Y125" s="409"/>
      <c r="Z125" s="409"/>
    </row>
    <row r="126" ht="15.75" customHeight="1">
      <c r="A126" s="409"/>
      <c r="B126" s="409"/>
      <c r="C126" s="409"/>
      <c r="D126" s="409"/>
      <c r="E126" s="409"/>
      <c r="F126" s="409"/>
      <c r="G126" s="409"/>
      <c r="H126" s="409"/>
      <c r="I126" s="409"/>
      <c r="J126" s="409"/>
      <c r="K126" s="409"/>
      <c r="L126" s="409"/>
      <c r="M126" s="409"/>
      <c r="N126" s="409"/>
      <c r="O126" s="409"/>
      <c r="P126" s="409"/>
      <c r="Q126" s="409"/>
      <c r="R126" s="409"/>
      <c r="S126" s="409"/>
      <c r="T126" s="409"/>
      <c r="U126" s="409"/>
      <c r="V126" s="409"/>
      <c r="W126" s="409"/>
      <c r="X126" s="409"/>
      <c r="Y126" s="409"/>
      <c r="Z126" s="409"/>
    </row>
    <row r="127" ht="15.75" customHeight="1">
      <c r="A127" s="409"/>
      <c r="B127" s="409"/>
      <c r="C127" s="409"/>
      <c r="D127" s="409"/>
      <c r="E127" s="409"/>
      <c r="F127" s="409"/>
      <c r="G127" s="409"/>
      <c r="H127" s="409"/>
      <c r="I127" s="409"/>
      <c r="J127" s="409"/>
      <c r="K127" s="409"/>
      <c r="L127" s="409"/>
      <c r="M127" s="409"/>
      <c r="N127" s="409"/>
      <c r="O127" s="409"/>
      <c r="P127" s="409"/>
      <c r="Q127" s="409"/>
      <c r="R127" s="409"/>
      <c r="S127" s="409"/>
      <c r="T127" s="409"/>
      <c r="U127" s="409"/>
      <c r="V127" s="409"/>
      <c r="W127" s="409"/>
      <c r="X127" s="409"/>
      <c r="Y127" s="409"/>
      <c r="Z127" s="409"/>
    </row>
    <row r="128" ht="15.75" customHeight="1">
      <c r="A128" s="409"/>
      <c r="B128" s="409"/>
      <c r="C128" s="409"/>
      <c r="D128" s="409"/>
      <c r="E128" s="409"/>
      <c r="F128" s="409"/>
      <c r="G128" s="409"/>
      <c r="H128" s="409"/>
      <c r="I128" s="409"/>
      <c r="J128" s="409"/>
      <c r="K128" s="409"/>
      <c r="L128" s="409"/>
      <c r="M128" s="409"/>
      <c r="N128" s="409"/>
      <c r="O128" s="409"/>
      <c r="P128" s="409"/>
      <c r="Q128" s="409"/>
      <c r="R128" s="409"/>
      <c r="S128" s="409"/>
      <c r="T128" s="409"/>
      <c r="U128" s="409"/>
      <c r="V128" s="409"/>
      <c r="W128" s="409"/>
      <c r="X128" s="409"/>
      <c r="Y128" s="409"/>
      <c r="Z128" s="409"/>
    </row>
    <row r="129" ht="15.75" customHeight="1">
      <c r="A129" s="409"/>
      <c r="B129" s="409"/>
      <c r="C129" s="409"/>
      <c r="D129" s="409"/>
      <c r="E129" s="409"/>
      <c r="F129" s="409"/>
      <c r="G129" s="409"/>
      <c r="H129" s="409"/>
      <c r="I129" s="409"/>
      <c r="J129" s="409"/>
      <c r="K129" s="409"/>
      <c r="L129" s="409"/>
      <c r="M129" s="409"/>
      <c r="N129" s="409"/>
      <c r="O129" s="409"/>
      <c r="P129" s="409"/>
      <c r="Q129" s="409"/>
      <c r="R129" s="409"/>
      <c r="S129" s="409"/>
      <c r="T129" s="409"/>
      <c r="U129" s="409"/>
      <c r="V129" s="409"/>
      <c r="W129" s="409"/>
      <c r="X129" s="409"/>
      <c r="Y129" s="409"/>
      <c r="Z129" s="409"/>
    </row>
    <row r="130" ht="15.75" customHeight="1">
      <c r="A130" s="409"/>
      <c r="B130" s="409"/>
      <c r="C130" s="409"/>
      <c r="D130" s="409"/>
      <c r="E130" s="409"/>
      <c r="F130" s="409"/>
      <c r="G130" s="409"/>
      <c r="H130" s="409"/>
      <c r="I130" s="409"/>
      <c r="J130" s="409"/>
      <c r="K130" s="409"/>
      <c r="L130" s="409"/>
      <c r="M130" s="409"/>
      <c r="N130" s="409"/>
      <c r="O130" s="409"/>
      <c r="P130" s="409"/>
      <c r="Q130" s="409"/>
      <c r="R130" s="409"/>
      <c r="S130" s="409"/>
      <c r="T130" s="409"/>
      <c r="U130" s="409"/>
      <c r="V130" s="409"/>
      <c r="W130" s="409"/>
      <c r="X130" s="409"/>
      <c r="Y130" s="409"/>
      <c r="Z130" s="409"/>
    </row>
    <row r="131" ht="15.75" customHeight="1">
      <c r="A131" s="409"/>
      <c r="B131" s="409"/>
      <c r="C131" s="409"/>
      <c r="D131" s="409"/>
      <c r="E131" s="409"/>
      <c r="F131" s="409"/>
      <c r="G131" s="409"/>
      <c r="H131" s="409"/>
      <c r="I131" s="409"/>
      <c r="J131" s="409"/>
      <c r="K131" s="409"/>
      <c r="L131" s="409"/>
      <c r="M131" s="409"/>
      <c r="N131" s="409"/>
      <c r="O131" s="409"/>
      <c r="P131" s="409"/>
      <c r="Q131" s="409"/>
      <c r="R131" s="409"/>
      <c r="S131" s="409"/>
      <c r="T131" s="409"/>
      <c r="U131" s="409"/>
      <c r="V131" s="409"/>
      <c r="W131" s="409"/>
      <c r="X131" s="409"/>
      <c r="Y131" s="409"/>
      <c r="Z131" s="409"/>
    </row>
    <row r="132" ht="15.75" customHeight="1">
      <c r="A132" s="409"/>
      <c r="B132" s="409"/>
      <c r="C132" s="409"/>
      <c r="D132" s="409"/>
      <c r="E132" s="409"/>
      <c r="F132" s="409"/>
      <c r="G132" s="409"/>
      <c r="H132" s="409"/>
      <c r="I132" s="409"/>
      <c r="J132" s="409"/>
      <c r="K132" s="409"/>
      <c r="L132" s="409"/>
      <c r="M132" s="409"/>
      <c r="N132" s="409"/>
      <c r="O132" s="409"/>
      <c r="P132" s="409"/>
      <c r="Q132" s="409"/>
      <c r="R132" s="409"/>
      <c r="S132" s="409"/>
      <c r="T132" s="409"/>
      <c r="U132" s="409"/>
      <c r="V132" s="409"/>
      <c r="W132" s="409"/>
      <c r="X132" s="409"/>
      <c r="Y132" s="409"/>
      <c r="Z132" s="409"/>
    </row>
    <row r="133" ht="15.75" customHeight="1">
      <c r="A133" s="409"/>
      <c r="B133" s="409"/>
      <c r="C133" s="409"/>
      <c r="D133" s="409"/>
      <c r="E133" s="409"/>
      <c r="F133" s="409"/>
      <c r="G133" s="409"/>
      <c r="H133" s="409"/>
      <c r="I133" s="409"/>
      <c r="J133" s="409"/>
      <c r="K133" s="409"/>
      <c r="L133" s="409"/>
      <c r="M133" s="409"/>
      <c r="N133" s="409"/>
      <c r="O133" s="409"/>
      <c r="P133" s="409"/>
      <c r="Q133" s="409"/>
      <c r="R133" s="409"/>
      <c r="S133" s="409"/>
      <c r="T133" s="409"/>
      <c r="U133" s="409"/>
      <c r="V133" s="409"/>
      <c r="W133" s="409"/>
      <c r="X133" s="409"/>
      <c r="Y133" s="409"/>
      <c r="Z133" s="409"/>
    </row>
    <row r="134" ht="15.75" customHeight="1">
      <c r="A134" s="409"/>
      <c r="B134" s="409"/>
      <c r="C134" s="409"/>
      <c r="D134" s="409"/>
      <c r="E134" s="409"/>
      <c r="F134" s="409"/>
      <c r="G134" s="409"/>
      <c r="H134" s="409"/>
      <c r="I134" s="409"/>
      <c r="J134" s="409"/>
      <c r="K134" s="409"/>
      <c r="L134" s="409"/>
      <c r="M134" s="409"/>
      <c r="N134" s="409"/>
      <c r="O134" s="409"/>
      <c r="P134" s="409"/>
      <c r="Q134" s="409"/>
      <c r="R134" s="409"/>
      <c r="S134" s="409"/>
      <c r="T134" s="409"/>
      <c r="U134" s="409"/>
      <c r="V134" s="409"/>
      <c r="W134" s="409"/>
      <c r="X134" s="409"/>
      <c r="Y134" s="409"/>
      <c r="Z134" s="409"/>
    </row>
    <row r="135" ht="15.75" customHeight="1">
      <c r="A135" s="409"/>
      <c r="B135" s="409"/>
      <c r="C135" s="409"/>
      <c r="D135" s="409"/>
      <c r="E135" s="409"/>
      <c r="F135" s="409"/>
      <c r="G135" s="409"/>
      <c r="H135" s="409"/>
      <c r="I135" s="409"/>
      <c r="J135" s="409"/>
      <c r="K135" s="409"/>
      <c r="L135" s="409"/>
      <c r="M135" s="409"/>
      <c r="N135" s="409"/>
      <c r="O135" s="409"/>
      <c r="P135" s="409"/>
      <c r="Q135" s="409"/>
      <c r="R135" s="409"/>
      <c r="S135" s="409"/>
      <c r="T135" s="409"/>
      <c r="U135" s="409"/>
      <c r="V135" s="409"/>
      <c r="W135" s="409"/>
      <c r="X135" s="409"/>
      <c r="Y135" s="409"/>
      <c r="Z135" s="409"/>
    </row>
    <row r="136" ht="15.75" customHeight="1">
      <c r="A136" s="409"/>
      <c r="B136" s="409"/>
      <c r="C136" s="409"/>
      <c r="D136" s="409"/>
      <c r="E136" s="409"/>
      <c r="F136" s="409"/>
      <c r="G136" s="409"/>
      <c r="H136" s="409"/>
      <c r="I136" s="409"/>
      <c r="J136" s="409"/>
      <c r="K136" s="409"/>
      <c r="L136" s="409"/>
      <c r="M136" s="409"/>
      <c r="N136" s="409"/>
      <c r="O136" s="409"/>
      <c r="P136" s="409"/>
      <c r="Q136" s="409"/>
      <c r="R136" s="409"/>
      <c r="S136" s="409"/>
      <c r="T136" s="409"/>
      <c r="U136" s="409"/>
      <c r="V136" s="409"/>
      <c r="W136" s="409"/>
      <c r="X136" s="409"/>
      <c r="Y136" s="409"/>
      <c r="Z136" s="409"/>
    </row>
    <row r="137" ht="15.75" customHeight="1">
      <c r="A137" s="409"/>
      <c r="B137" s="409"/>
      <c r="C137" s="409"/>
      <c r="D137" s="409"/>
      <c r="E137" s="409"/>
      <c r="F137" s="409"/>
      <c r="G137" s="409"/>
      <c r="H137" s="409"/>
      <c r="I137" s="409"/>
      <c r="J137" s="409"/>
      <c r="K137" s="409"/>
      <c r="L137" s="409"/>
      <c r="M137" s="409"/>
      <c r="N137" s="409"/>
      <c r="O137" s="409"/>
      <c r="P137" s="409"/>
      <c r="Q137" s="409"/>
      <c r="R137" s="409"/>
      <c r="S137" s="409"/>
      <c r="T137" s="409"/>
      <c r="U137" s="409"/>
      <c r="V137" s="409"/>
      <c r="W137" s="409"/>
      <c r="X137" s="409"/>
      <c r="Y137" s="409"/>
      <c r="Z137" s="409"/>
    </row>
    <row r="138" ht="15.75" customHeight="1">
      <c r="A138" s="409"/>
      <c r="B138" s="409"/>
      <c r="C138" s="409"/>
      <c r="D138" s="409"/>
      <c r="E138" s="409"/>
      <c r="F138" s="409"/>
      <c r="G138" s="409"/>
      <c r="H138" s="409"/>
      <c r="I138" s="409"/>
      <c r="J138" s="409"/>
      <c r="K138" s="409"/>
      <c r="L138" s="409"/>
      <c r="M138" s="409"/>
      <c r="N138" s="409"/>
      <c r="O138" s="409"/>
      <c r="P138" s="409"/>
      <c r="Q138" s="409"/>
      <c r="R138" s="409"/>
      <c r="S138" s="409"/>
      <c r="T138" s="409"/>
      <c r="U138" s="409"/>
      <c r="V138" s="409"/>
      <c r="W138" s="409"/>
      <c r="X138" s="409"/>
      <c r="Y138" s="409"/>
      <c r="Z138" s="409"/>
    </row>
    <row r="139" ht="15.75" customHeight="1">
      <c r="A139" s="409"/>
      <c r="B139" s="409"/>
      <c r="C139" s="409"/>
      <c r="D139" s="409"/>
      <c r="E139" s="409"/>
      <c r="F139" s="409"/>
      <c r="G139" s="409"/>
      <c r="H139" s="409"/>
      <c r="I139" s="409"/>
      <c r="J139" s="409"/>
      <c r="K139" s="409"/>
      <c r="L139" s="409"/>
      <c r="M139" s="409"/>
      <c r="N139" s="409"/>
      <c r="O139" s="409"/>
      <c r="P139" s="409"/>
      <c r="Q139" s="409"/>
      <c r="R139" s="409"/>
      <c r="S139" s="409"/>
      <c r="T139" s="409"/>
      <c r="U139" s="409"/>
      <c r="V139" s="409"/>
      <c r="W139" s="409"/>
      <c r="X139" s="409"/>
      <c r="Y139" s="409"/>
      <c r="Z139" s="409"/>
    </row>
    <row r="140" ht="15.75" customHeight="1">
      <c r="A140" s="409"/>
      <c r="B140" s="409"/>
      <c r="C140" s="409"/>
      <c r="D140" s="409"/>
      <c r="E140" s="409"/>
      <c r="F140" s="409"/>
      <c r="G140" s="409"/>
      <c r="H140" s="409"/>
      <c r="I140" s="409"/>
      <c r="J140" s="409"/>
      <c r="K140" s="409"/>
      <c r="L140" s="409"/>
      <c r="M140" s="409"/>
      <c r="N140" s="409"/>
      <c r="O140" s="409"/>
      <c r="P140" s="409"/>
      <c r="Q140" s="409"/>
      <c r="R140" s="409"/>
      <c r="S140" s="409"/>
      <c r="T140" s="409"/>
      <c r="U140" s="409"/>
      <c r="V140" s="409"/>
      <c r="W140" s="409"/>
      <c r="X140" s="409"/>
      <c r="Y140" s="409"/>
      <c r="Z140" s="409"/>
    </row>
    <row r="141" ht="15.75" customHeight="1">
      <c r="A141" s="409"/>
      <c r="B141" s="409"/>
      <c r="C141" s="409"/>
      <c r="D141" s="409"/>
      <c r="E141" s="409"/>
      <c r="F141" s="409"/>
      <c r="G141" s="409"/>
      <c r="H141" s="409"/>
      <c r="I141" s="409"/>
      <c r="J141" s="409"/>
      <c r="K141" s="409"/>
      <c r="L141" s="409"/>
      <c r="M141" s="409"/>
      <c r="N141" s="409"/>
      <c r="O141" s="409"/>
      <c r="P141" s="409"/>
      <c r="Q141" s="409"/>
      <c r="R141" s="409"/>
      <c r="S141" s="409"/>
      <c r="T141" s="409"/>
      <c r="U141" s="409"/>
      <c r="V141" s="409"/>
      <c r="W141" s="409"/>
      <c r="X141" s="409"/>
      <c r="Y141" s="409"/>
      <c r="Z141" s="409"/>
    </row>
    <row r="142" ht="15.75" customHeight="1">
      <c r="A142" s="409"/>
      <c r="B142" s="409"/>
      <c r="C142" s="409"/>
      <c r="D142" s="409"/>
      <c r="E142" s="409"/>
      <c r="F142" s="409"/>
      <c r="G142" s="409"/>
      <c r="H142" s="409"/>
      <c r="I142" s="409"/>
      <c r="J142" s="409"/>
      <c r="K142" s="409"/>
      <c r="L142" s="409"/>
      <c r="M142" s="409"/>
      <c r="N142" s="409"/>
      <c r="O142" s="409"/>
      <c r="P142" s="409"/>
      <c r="Q142" s="409"/>
      <c r="R142" s="409"/>
      <c r="S142" s="409"/>
      <c r="T142" s="409"/>
      <c r="U142" s="409"/>
      <c r="V142" s="409"/>
      <c r="W142" s="409"/>
      <c r="X142" s="409"/>
      <c r="Y142" s="409"/>
      <c r="Z142" s="409"/>
    </row>
    <row r="143" ht="15.75" customHeight="1">
      <c r="A143" s="409"/>
      <c r="B143" s="409"/>
      <c r="C143" s="409"/>
      <c r="D143" s="409"/>
      <c r="E143" s="409"/>
      <c r="F143" s="409"/>
      <c r="G143" s="409"/>
      <c r="H143" s="409"/>
      <c r="I143" s="409"/>
      <c r="J143" s="409"/>
      <c r="K143" s="409"/>
      <c r="L143" s="409"/>
      <c r="M143" s="409"/>
      <c r="N143" s="409"/>
      <c r="O143" s="409"/>
      <c r="P143" s="409"/>
      <c r="Q143" s="409"/>
      <c r="R143" s="409"/>
      <c r="S143" s="409"/>
      <c r="T143" s="409"/>
      <c r="U143" s="409"/>
      <c r="V143" s="409"/>
      <c r="W143" s="409"/>
      <c r="X143" s="409"/>
      <c r="Y143" s="409"/>
      <c r="Z143" s="409"/>
    </row>
    <row r="144" ht="15.75" customHeight="1">
      <c r="A144" s="409"/>
      <c r="B144" s="409"/>
      <c r="C144" s="409"/>
      <c r="D144" s="409"/>
      <c r="E144" s="409"/>
      <c r="F144" s="409"/>
      <c r="G144" s="409"/>
      <c r="H144" s="409"/>
      <c r="I144" s="409"/>
      <c r="J144" s="409"/>
      <c r="K144" s="409"/>
      <c r="L144" s="409"/>
      <c r="M144" s="409"/>
      <c r="N144" s="409"/>
      <c r="O144" s="409"/>
      <c r="P144" s="409"/>
      <c r="Q144" s="409"/>
      <c r="R144" s="409"/>
      <c r="S144" s="409"/>
      <c r="T144" s="409"/>
      <c r="U144" s="409"/>
      <c r="V144" s="409"/>
      <c r="W144" s="409"/>
      <c r="X144" s="409"/>
      <c r="Y144" s="409"/>
      <c r="Z144" s="409"/>
    </row>
    <row r="145" ht="15.75" customHeight="1">
      <c r="A145" s="409"/>
      <c r="B145" s="409"/>
      <c r="C145" s="409"/>
      <c r="D145" s="409"/>
      <c r="E145" s="409"/>
      <c r="F145" s="409"/>
      <c r="G145" s="409"/>
      <c r="H145" s="409"/>
      <c r="I145" s="409"/>
      <c r="J145" s="409"/>
      <c r="K145" s="409"/>
      <c r="L145" s="409"/>
      <c r="M145" s="409"/>
      <c r="N145" s="409"/>
      <c r="O145" s="409"/>
      <c r="P145" s="409"/>
      <c r="Q145" s="409"/>
      <c r="R145" s="409"/>
      <c r="S145" s="409"/>
      <c r="T145" s="409"/>
      <c r="U145" s="409"/>
      <c r="V145" s="409"/>
      <c r="W145" s="409"/>
      <c r="X145" s="409"/>
      <c r="Y145" s="409"/>
      <c r="Z145" s="409"/>
    </row>
    <row r="146" ht="15.75" customHeight="1">
      <c r="A146" s="409"/>
      <c r="B146" s="409"/>
      <c r="C146" s="409"/>
      <c r="D146" s="409"/>
      <c r="E146" s="409"/>
      <c r="F146" s="409"/>
      <c r="G146" s="409"/>
      <c r="H146" s="409"/>
      <c r="I146" s="409"/>
      <c r="J146" s="409"/>
      <c r="K146" s="409"/>
      <c r="L146" s="409"/>
      <c r="M146" s="409"/>
      <c r="N146" s="409"/>
      <c r="O146" s="409"/>
      <c r="P146" s="409"/>
      <c r="Q146" s="409"/>
      <c r="R146" s="409"/>
      <c r="S146" s="409"/>
      <c r="T146" s="409"/>
      <c r="U146" s="409"/>
      <c r="V146" s="409"/>
      <c r="W146" s="409"/>
      <c r="X146" s="409"/>
      <c r="Y146" s="409"/>
      <c r="Z146" s="409"/>
    </row>
    <row r="147" ht="15.75" customHeight="1">
      <c r="A147" s="409"/>
      <c r="B147" s="409"/>
      <c r="C147" s="409"/>
      <c r="D147" s="409"/>
      <c r="E147" s="409"/>
      <c r="F147" s="409"/>
      <c r="G147" s="409"/>
      <c r="H147" s="409"/>
      <c r="I147" s="409"/>
      <c r="J147" s="409"/>
      <c r="K147" s="409"/>
      <c r="L147" s="409"/>
      <c r="M147" s="409"/>
      <c r="N147" s="409"/>
      <c r="O147" s="409"/>
      <c r="P147" s="409"/>
      <c r="Q147" s="409"/>
      <c r="R147" s="409"/>
      <c r="S147" s="409"/>
      <c r="T147" s="409"/>
      <c r="U147" s="409"/>
      <c r="V147" s="409"/>
      <c r="W147" s="409"/>
      <c r="X147" s="409"/>
      <c r="Y147" s="409"/>
      <c r="Z147" s="409"/>
    </row>
    <row r="148" ht="15.75" customHeight="1">
      <c r="A148" s="409"/>
      <c r="B148" s="409"/>
      <c r="C148" s="409"/>
      <c r="D148" s="409"/>
      <c r="E148" s="409"/>
      <c r="F148" s="409"/>
      <c r="G148" s="409"/>
      <c r="H148" s="409"/>
      <c r="I148" s="409"/>
      <c r="J148" s="409"/>
      <c r="K148" s="409"/>
      <c r="L148" s="409"/>
      <c r="M148" s="409"/>
      <c r="N148" s="409"/>
      <c r="O148" s="409"/>
      <c r="P148" s="409"/>
      <c r="Q148" s="409"/>
      <c r="R148" s="409"/>
      <c r="S148" s="409"/>
      <c r="T148" s="409"/>
      <c r="U148" s="409"/>
      <c r="V148" s="409"/>
      <c r="W148" s="409"/>
      <c r="X148" s="409"/>
      <c r="Y148" s="409"/>
      <c r="Z148" s="409"/>
    </row>
    <row r="149" ht="15.75" customHeight="1">
      <c r="A149" s="409"/>
      <c r="B149" s="409"/>
      <c r="C149" s="409"/>
      <c r="D149" s="409"/>
      <c r="E149" s="409"/>
      <c r="F149" s="409"/>
      <c r="G149" s="409"/>
      <c r="H149" s="409"/>
      <c r="I149" s="409"/>
      <c r="J149" s="409"/>
      <c r="K149" s="409"/>
      <c r="L149" s="409"/>
      <c r="M149" s="409"/>
      <c r="N149" s="409"/>
      <c r="O149" s="409"/>
      <c r="P149" s="409"/>
      <c r="Q149" s="409"/>
      <c r="R149" s="409"/>
      <c r="S149" s="409"/>
      <c r="T149" s="409"/>
      <c r="U149" s="409"/>
      <c r="V149" s="409"/>
      <c r="W149" s="409"/>
      <c r="X149" s="409"/>
      <c r="Y149" s="409"/>
      <c r="Z149" s="409"/>
    </row>
    <row r="150" ht="15.75" customHeight="1">
      <c r="A150" s="409"/>
      <c r="B150" s="409"/>
      <c r="C150" s="409"/>
      <c r="D150" s="409"/>
      <c r="E150" s="409"/>
      <c r="F150" s="409"/>
      <c r="G150" s="409"/>
      <c r="H150" s="409"/>
      <c r="I150" s="409"/>
      <c r="J150" s="409"/>
      <c r="K150" s="409"/>
      <c r="L150" s="409"/>
      <c r="M150" s="409"/>
      <c r="N150" s="409"/>
      <c r="O150" s="409"/>
      <c r="P150" s="409"/>
      <c r="Q150" s="409"/>
      <c r="R150" s="409"/>
      <c r="S150" s="409"/>
      <c r="T150" s="409"/>
      <c r="U150" s="409"/>
      <c r="V150" s="409"/>
      <c r="W150" s="409"/>
      <c r="X150" s="409"/>
      <c r="Y150" s="409"/>
      <c r="Z150" s="409"/>
    </row>
    <row r="151" ht="15.75" customHeight="1">
      <c r="A151" s="409"/>
      <c r="B151" s="409"/>
      <c r="C151" s="409"/>
      <c r="D151" s="409"/>
      <c r="E151" s="409"/>
      <c r="F151" s="409"/>
      <c r="G151" s="409"/>
      <c r="H151" s="409"/>
      <c r="I151" s="409"/>
      <c r="J151" s="409"/>
      <c r="K151" s="409"/>
      <c r="L151" s="409"/>
      <c r="M151" s="409"/>
      <c r="N151" s="409"/>
      <c r="O151" s="409"/>
      <c r="P151" s="409"/>
      <c r="Q151" s="409"/>
      <c r="R151" s="409"/>
      <c r="S151" s="409"/>
      <c r="T151" s="409"/>
      <c r="U151" s="409"/>
      <c r="V151" s="409"/>
      <c r="W151" s="409"/>
      <c r="X151" s="409"/>
      <c r="Y151" s="409"/>
      <c r="Z151" s="409"/>
    </row>
    <row r="152" ht="15.75" customHeight="1">
      <c r="A152" s="409"/>
      <c r="B152" s="409"/>
      <c r="C152" s="409"/>
      <c r="D152" s="409"/>
      <c r="E152" s="409"/>
      <c r="F152" s="409"/>
      <c r="G152" s="409"/>
      <c r="H152" s="409"/>
      <c r="I152" s="409"/>
      <c r="J152" s="409"/>
      <c r="K152" s="409"/>
      <c r="L152" s="409"/>
      <c r="M152" s="409"/>
      <c r="N152" s="409"/>
      <c r="O152" s="409"/>
      <c r="P152" s="409"/>
      <c r="Q152" s="409"/>
      <c r="R152" s="409"/>
      <c r="S152" s="409"/>
      <c r="T152" s="409"/>
      <c r="U152" s="409"/>
      <c r="V152" s="409"/>
      <c r="W152" s="409"/>
      <c r="X152" s="409"/>
      <c r="Y152" s="409"/>
      <c r="Z152" s="409"/>
    </row>
    <row r="153" ht="15.75" customHeight="1">
      <c r="A153" s="409"/>
      <c r="B153" s="409"/>
      <c r="C153" s="409"/>
      <c r="D153" s="409"/>
      <c r="E153" s="409"/>
      <c r="F153" s="409"/>
      <c r="G153" s="409"/>
      <c r="H153" s="409"/>
      <c r="I153" s="409"/>
      <c r="J153" s="409"/>
      <c r="K153" s="409"/>
      <c r="L153" s="409"/>
      <c r="M153" s="409"/>
      <c r="N153" s="409"/>
      <c r="O153" s="409"/>
      <c r="P153" s="409"/>
      <c r="Q153" s="409"/>
      <c r="R153" s="409"/>
      <c r="S153" s="409"/>
      <c r="T153" s="409"/>
      <c r="U153" s="409"/>
      <c r="V153" s="409"/>
      <c r="W153" s="409"/>
      <c r="X153" s="409"/>
      <c r="Y153" s="409"/>
      <c r="Z153" s="409"/>
    </row>
    <row r="154" ht="15.75" customHeight="1">
      <c r="A154" s="409"/>
      <c r="B154" s="409"/>
      <c r="C154" s="409"/>
      <c r="D154" s="409"/>
      <c r="E154" s="409"/>
      <c r="F154" s="409"/>
      <c r="G154" s="409"/>
      <c r="H154" s="409"/>
      <c r="I154" s="409"/>
      <c r="J154" s="409"/>
      <c r="K154" s="409"/>
      <c r="L154" s="409"/>
      <c r="M154" s="409"/>
      <c r="N154" s="409"/>
      <c r="O154" s="409"/>
      <c r="P154" s="409"/>
      <c r="Q154" s="409"/>
      <c r="R154" s="409"/>
      <c r="S154" s="409"/>
      <c r="T154" s="409"/>
      <c r="U154" s="409"/>
      <c r="V154" s="409"/>
      <c r="W154" s="409"/>
      <c r="X154" s="409"/>
      <c r="Y154" s="409"/>
      <c r="Z154" s="409"/>
    </row>
    <row r="155" ht="15.75" customHeight="1">
      <c r="A155" s="409"/>
      <c r="B155" s="409"/>
      <c r="C155" s="409"/>
      <c r="D155" s="409"/>
      <c r="E155" s="409"/>
      <c r="F155" s="409"/>
      <c r="G155" s="409"/>
      <c r="H155" s="409"/>
      <c r="I155" s="409"/>
      <c r="J155" s="409"/>
      <c r="K155" s="409"/>
      <c r="L155" s="409"/>
      <c r="M155" s="409"/>
      <c r="N155" s="409"/>
      <c r="O155" s="409"/>
      <c r="P155" s="409"/>
      <c r="Q155" s="409"/>
      <c r="R155" s="409"/>
      <c r="S155" s="409"/>
      <c r="T155" s="409"/>
      <c r="U155" s="409"/>
      <c r="V155" s="409"/>
      <c r="W155" s="409"/>
      <c r="X155" s="409"/>
      <c r="Y155" s="409"/>
      <c r="Z155" s="409"/>
    </row>
    <row r="156" ht="15.75" customHeight="1">
      <c r="A156" s="409"/>
      <c r="B156" s="409"/>
      <c r="C156" s="409"/>
      <c r="D156" s="409"/>
      <c r="E156" s="409"/>
      <c r="F156" s="409"/>
      <c r="G156" s="409"/>
      <c r="H156" s="409"/>
      <c r="I156" s="409"/>
      <c r="J156" s="409"/>
      <c r="K156" s="409"/>
      <c r="L156" s="409"/>
      <c r="M156" s="409"/>
      <c r="N156" s="409"/>
      <c r="O156" s="409"/>
      <c r="P156" s="409"/>
      <c r="Q156" s="409"/>
      <c r="R156" s="409"/>
      <c r="S156" s="409"/>
      <c r="T156" s="409"/>
      <c r="U156" s="409"/>
      <c r="V156" s="409"/>
      <c r="W156" s="409"/>
      <c r="X156" s="409"/>
      <c r="Y156" s="409"/>
      <c r="Z156" s="409"/>
    </row>
    <row r="157" ht="15.75" customHeight="1">
      <c r="A157" s="409"/>
      <c r="B157" s="409"/>
      <c r="C157" s="409"/>
      <c r="D157" s="409"/>
      <c r="E157" s="409"/>
      <c r="F157" s="409"/>
      <c r="G157" s="409"/>
      <c r="H157" s="409"/>
      <c r="I157" s="409"/>
      <c r="J157" s="409"/>
      <c r="K157" s="409"/>
      <c r="L157" s="409"/>
      <c r="M157" s="409"/>
      <c r="N157" s="409"/>
      <c r="O157" s="409"/>
      <c r="P157" s="409"/>
      <c r="Q157" s="409"/>
      <c r="R157" s="409"/>
      <c r="S157" s="409"/>
      <c r="T157" s="409"/>
      <c r="U157" s="409"/>
      <c r="V157" s="409"/>
      <c r="W157" s="409"/>
      <c r="X157" s="409"/>
      <c r="Y157" s="409"/>
      <c r="Z157" s="409"/>
    </row>
    <row r="158" ht="15.75" customHeight="1">
      <c r="A158" s="409"/>
      <c r="B158" s="409"/>
      <c r="C158" s="409"/>
      <c r="D158" s="409"/>
      <c r="E158" s="409"/>
      <c r="F158" s="409"/>
      <c r="G158" s="409"/>
      <c r="H158" s="409"/>
      <c r="I158" s="409"/>
      <c r="J158" s="409"/>
      <c r="K158" s="409"/>
      <c r="L158" s="409"/>
      <c r="M158" s="409"/>
      <c r="N158" s="409"/>
      <c r="O158" s="409"/>
      <c r="P158" s="409"/>
      <c r="Q158" s="409"/>
      <c r="R158" s="409"/>
      <c r="S158" s="409"/>
      <c r="T158" s="409"/>
      <c r="U158" s="409"/>
      <c r="V158" s="409"/>
      <c r="W158" s="409"/>
      <c r="X158" s="409"/>
      <c r="Y158" s="409"/>
      <c r="Z158" s="409"/>
    </row>
    <row r="159" ht="15.75" customHeight="1">
      <c r="A159" s="409"/>
      <c r="B159" s="409"/>
      <c r="C159" s="409"/>
      <c r="D159" s="409"/>
      <c r="E159" s="409"/>
      <c r="F159" s="409"/>
      <c r="G159" s="409"/>
      <c r="H159" s="409"/>
      <c r="I159" s="409"/>
      <c r="J159" s="409"/>
      <c r="K159" s="409"/>
      <c r="L159" s="409"/>
      <c r="M159" s="409"/>
      <c r="N159" s="409"/>
      <c r="O159" s="409"/>
      <c r="P159" s="409"/>
      <c r="Q159" s="409"/>
      <c r="R159" s="409"/>
      <c r="S159" s="409"/>
      <c r="T159" s="409"/>
      <c r="U159" s="409"/>
      <c r="V159" s="409"/>
      <c r="W159" s="409"/>
      <c r="X159" s="409"/>
      <c r="Y159" s="409"/>
      <c r="Z159" s="409"/>
    </row>
    <row r="160" ht="15.75" customHeight="1">
      <c r="A160" s="409"/>
      <c r="B160" s="409"/>
      <c r="C160" s="409"/>
      <c r="D160" s="409"/>
      <c r="E160" s="409"/>
      <c r="F160" s="409"/>
      <c r="G160" s="409"/>
      <c r="H160" s="409"/>
      <c r="I160" s="409"/>
      <c r="J160" s="409"/>
      <c r="K160" s="409"/>
      <c r="L160" s="409"/>
      <c r="M160" s="409"/>
      <c r="N160" s="409"/>
      <c r="O160" s="409"/>
      <c r="P160" s="409"/>
      <c r="Q160" s="409"/>
      <c r="R160" s="409"/>
      <c r="S160" s="409"/>
      <c r="T160" s="409"/>
      <c r="U160" s="409"/>
      <c r="V160" s="409"/>
      <c r="W160" s="409"/>
      <c r="X160" s="409"/>
      <c r="Y160" s="409"/>
      <c r="Z160" s="409"/>
    </row>
    <row r="161" ht="15.75" customHeight="1">
      <c r="A161" s="409"/>
      <c r="B161" s="409"/>
      <c r="C161" s="409"/>
      <c r="D161" s="409"/>
      <c r="E161" s="409"/>
      <c r="F161" s="409"/>
      <c r="G161" s="409"/>
      <c r="H161" s="409"/>
      <c r="I161" s="409"/>
      <c r="J161" s="409"/>
      <c r="K161" s="409"/>
      <c r="L161" s="409"/>
      <c r="M161" s="409"/>
      <c r="N161" s="409"/>
      <c r="O161" s="409"/>
      <c r="P161" s="409"/>
      <c r="Q161" s="409"/>
      <c r="R161" s="409"/>
      <c r="S161" s="409"/>
      <c r="T161" s="409"/>
      <c r="U161" s="409"/>
      <c r="V161" s="409"/>
      <c r="W161" s="409"/>
      <c r="X161" s="409"/>
      <c r="Y161" s="409"/>
      <c r="Z161" s="409"/>
    </row>
    <row r="162" ht="15.75" customHeight="1">
      <c r="A162" s="409"/>
      <c r="B162" s="409"/>
      <c r="C162" s="409"/>
      <c r="D162" s="409"/>
      <c r="E162" s="409"/>
      <c r="F162" s="409"/>
      <c r="G162" s="409"/>
      <c r="H162" s="409"/>
      <c r="I162" s="409"/>
      <c r="J162" s="409"/>
      <c r="K162" s="409"/>
      <c r="L162" s="409"/>
      <c r="M162" s="409"/>
      <c r="N162" s="409"/>
      <c r="O162" s="409"/>
      <c r="P162" s="409"/>
      <c r="Q162" s="409"/>
      <c r="R162" s="409"/>
      <c r="S162" s="409"/>
      <c r="T162" s="409"/>
      <c r="U162" s="409"/>
      <c r="V162" s="409"/>
      <c r="W162" s="409"/>
      <c r="X162" s="409"/>
      <c r="Y162" s="409"/>
      <c r="Z162" s="409"/>
    </row>
    <row r="163" ht="15.75" customHeight="1">
      <c r="A163" s="409"/>
      <c r="B163" s="409"/>
      <c r="C163" s="409"/>
      <c r="D163" s="409"/>
      <c r="E163" s="409"/>
      <c r="F163" s="409"/>
      <c r="G163" s="409"/>
      <c r="H163" s="409"/>
      <c r="I163" s="409"/>
      <c r="J163" s="409"/>
      <c r="K163" s="409"/>
      <c r="L163" s="409"/>
      <c r="M163" s="409"/>
      <c r="N163" s="409"/>
      <c r="O163" s="409"/>
      <c r="P163" s="409"/>
      <c r="Q163" s="409"/>
      <c r="R163" s="409"/>
      <c r="S163" s="409"/>
      <c r="T163" s="409"/>
      <c r="U163" s="409"/>
      <c r="V163" s="409"/>
      <c r="W163" s="409"/>
      <c r="X163" s="409"/>
      <c r="Y163" s="409"/>
      <c r="Z163" s="409"/>
    </row>
    <row r="164" ht="15.75" customHeight="1">
      <c r="A164" s="409"/>
      <c r="B164" s="409"/>
      <c r="C164" s="409"/>
      <c r="D164" s="409"/>
      <c r="E164" s="409"/>
      <c r="F164" s="409"/>
      <c r="G164" s="409"/>
      <c r="H164" s="409"/>
      <c r="I164" s="409"/>
      <c r="J164" s="409"/>
      <c r="K164" s="409"/>
      <c r="L164" s="409"/>
      <c r="M164" s="409"/>
      <c r="N164" s="409"/>
      <c r="O164" s="409"/>
      <c r="P164" s="409"/>
      <c r="Q164" s="409"/>
      <c r="R164" s="409"/>
      <c r="S164" s="409"/>
      <c r="T164" s="409"/>
      <c r="U164" s="409"/>
      <c r="V164" s="409"/>
      <c r="W164" s="409"/>
      <c r="X164" s="409"/>
      <c r="Y164" s="409"/>
      <c r="Z164" s="409"/>
    </row>
    <row r="165" ht="15.75" customHeight="1">
      <c r="A165" s="409"/>
      <c r="B165" s="409"/>
      <c r="C165" s="409"/>
      <c r="D165" s="409"/>
      <c r="E165" s="409"/>
      <c r="F165" s="409"/>
      <c r="G165" s="409"/>
      <c r="H165" s="409"/>
      <c r="I165" s="409"/>
      <c r="J165" s="409"/>
      <c r="K165" s="409"/>
      <c r="L165" s="409"/>
      <c r="M165" s="409"/>
      <c r="N165" s="409"/>
      <c r="O165" s="409"/>
      <c r="P165" s="409"/>
      <c r="Q165" s="409"/>
      <c r="R165" s="409"/>
      <c r="S165" s="409"/>
      <c r="T165" s="409"/>
      <c r="U165" s="409"/>
      <c r="V165" s="409"/>
      <c r="W165" s="409"/>
      <c r="X165" s="409"/>
      <c r="Y165" s="409"/>
      <c r="Z165" s="409"/>
    </row>
    <row r="166" ht="15.75" customHeight="1">
      <c r="A166" s="409"/>
      <c r="B166" s="409"/>
      <c r="C166" s="409"/>
      <c r="D166" s="409"/>
      <c r="E166" s="409"/>
      <c r="F166" s="409"/>
      <c r="G166" s="409"/>
      <c r="H166" s="409"/>
      <c r="I166" s="409"/>
      <c r="J166" s="409"/>
      <c r="K166" s="409"/>
      <c r="L166" s="409"/>
      <c r="M166" s="409"/>
      <c r="N166" s="409"/>
      <c r="O166" s="409"/>
      <c r="P166" s="409"/>
      <c r="Q166" s="409"/>
      <c r="R166" s="409"/>
      <c r="S166" s="409"/>
      <c r="T166" s="409"/>
      <c r="U166" s="409"/>
      <c r="V166" s="409"/>
      <c r="W166" s="409"/>
      <c r="X166" s="409"/>
      <c r="Y166" s="409"/>
      <c r="Z166" s="409"/>
    </row>
    <row r="167" ht="15.75" customHeight="1">
      <c r="A167" s="409"/>
      <c r="B167" s="409"/>
      <c r="C167" s="409"/>
      <c r="D167" s="409"/>
      <c r="E167" s="409"/>
      <c r="F167" s="409"/>
      <c r="G167" s="409"/>
      <c r="H167" s="409"/>
      <c r="I167" s="409"/>
      <c r="J167" s="409"/>
      <c r="K167" s="409"/>
      <c r="L167" s="409"/>
      <c r="M167" s="409"/>
      <c r="N167" s="409"/>
      <c r="O167" s="409"/>
      <c r="P167" s="409"/>
      <c r="Q167" s="409"/>
      <c r="R167" s="409"/>
      <c r="S167" s="409"/>
      <c r="T167" s="409"/>
      <c r="U167" s="409"/>
      <c r="V167" s="409"/>
      <c r="W167" s="409"/>
      <c r="X167" s="409"/>
      <c r="Y167" s="409"/>
      <c r="Z167" s="409"/>
    </row>
    <row r="168" ht="15.75" customHeight="1">
      <c r="A168" s="409"/>
      <c r="B168" s="409"/>
      <c r="C168" s="409"/>
      <c r="D168" s="409"/>
      <c r="E168" s="409"/>
      <c r="F168" s="409"/>
      <c r="G168" s="409"/>
      <c r="H168" s="409"/>
      <c r="I168" s="409"/>
      <c r="J168" s="409"/>
      <c r="K168" s="409"/>
      <c r="L168" s="409"/>
      <c r="M168" s="409"/>
      <c r="N168" s="409"/>
      <c r="O168" s="409"/>
      <c r="P168" s="409"/>
      <c r="Q168" s="409"/>
      <c r="R168" s="409"/>
      <c r="S168" s="409"/>
      <c r="T168" s="409"/>
      <c r="U168" s="409"/>
      <c r="V168" s="409"/>
      <c r="W168" s="409"/>
      <c r="X168" s="409"/>
      <c r="Y168" s="409"/>
      <c r="Z168" s="409"/>
    </row>
    <row r="169" ht="15.75" customHeight="1">
      <c r="A169" s="409"/>
      <c r="B169" s="409"/>
      <c r="C169" s="409"/>
      <c r="D169" s="409"/>
      <c r="E169" s="409"/>
      <c r="F169" s="409"/>
      <c r="G169" s="409"/>
      <c r="H169" s="409"/>
      <c r="I169" s="409"/>
      <c r="J169" s="409"/>
      <c r="K169" s="409"/>
      <c r="L169" s="409"/>
      <c r="M169" s="409"/>
      <c r="N169" s="409"/>
      <c r="O169" s="409"/>
      <c r="P169" s="409"/>
      <c r="Q169" s="409"/>
      <c r="R169" s="409"/>
      <c r="S169" s="409"/>
      <c r="T169" s="409"/>
      <c r="U169" s="409"/>
      <c r="V169" s="409"/>
      <c r="W169" s="409"/>
      <c r="X169" s="409"/>
      <c r="Y169" s="409"/>
      <c r="Z169" s="409"/>
    </row>
    <row r="170" ht="15.75" customHeight="1">
      <c r="A170" s="409"/>
      <c r="B170" s="409"/>
      <c r="C170" s="409"/>
      <c r="D170" s="409"/>
      <c r="E170" s="409"/>
      <c r="F170" s="409"/>
      <c r="G170" s="409"/>
      <c r="H170" s="409"/>
      <c r="I170" s="409"/>
      <c r="J170" s="409"/>
      <c r="K170" s="409"/>
      <c r="L170" s="409"/>
      <c r="M170" s="409"/>
      <c r="N170" s="409"/>
      <c r="O170" s="409"/>
      <c r="P170" s="409"/>
      <c r="Q170" s="409"/>
      <c r="R170" s="409"/>
      <c r="S170" s="409"/>
      <c r="T170" s="409"/>
      <c r="U170" s="409"/>
      <c r="V170" s="409"/>
      <c r="W170" s="409"/>
      <c r="X170" s="409"/>
      <c r="Y170" s="409"/>
      <c r="Z170" s="409"/>
    </row>
    <row r="171" ht="15.75" customHeight="1">
      <c r="A171" s="409"/>
      <c r="B171" s="409"/>
      <c r="C171" s="409"/>
      <c r="D171" s="409"/>
      <c r="E171" s="409"/>
      <c r="F171" s="409"/>
      <c r="G171" s="409"/>
      <c r="H171" s="409"/>
      <c r="I171" s="409"/>
      <c r="J171" s="409"/>
      <c r="K171" s="409"/>
      <c r="L171" s="409"/>
      <c r="M171" s="409"/>
      <c r="N171" s="409"/>
      <c r="O171" s="409"/>
      <c r="P171" s="409"/>
      <c r="Q171" s="409"/>
      <c r="R171" s="409"/>
      <c r="S171" s="409"/>
      <c r="T171" s="409"/>
      <c r="U171" s="409"/>
      <c r="V171" s="409"/>
      <c r="W171" s="409"/>
      <c r="X171" s="409"/>
      <c r="Y171" s="409"/>
      <c r="Z171" s="409"/>
    </row>
    <row r="172" ht="15.75" customHeight="1">
      <c r="A172" s="409"/>
      <c r="B172" s="409"/>
      <c r="C172" s="409"/>
      <c r="D172" s="409"/>
      <c r="E172" s="409"/>
      <c r="F172" s="409"/>
      <c r="G172" s="409"/>
      <c r="H172" s="409"/>
      <c r="I172" s="409"/>
      <c r="J172" s="409"/>
      <c r="K172" s="409"/>
      <c r="L172" s="409"/>
      <c r="M172" s="409"/>
      <c r="N172" s="409"/>
      <c r="O172" s="409"/>
      <c r="P172" s="409"/>
      <c r="Q172" s="409"/>
      <c r="R172" s="409"/>
      <c r="S172" s="409"/>
      <c r="T172" s="409"/>
      <c r="U172" s="409"/>
      <c r="V172" s="409"/>
      <c r="W172" s="409"/>
      <c r="X172" s="409"/>
      <c r="Y172" s="409"/>
      <c r="Z172" s="409"/>
    </row>
    <row r="173" ht="15.75" customHeight="1">
      <c r="A173" s="409"/>
      <c r="B173" s="409"/>
      <c r="C173" s="409"/>
      <c r="D173" s="409"/>
      <c r="E173" s="409"/>
      <c r="F173" s="409"/>
      <c r="G173" s="409"/>
      <c r="H173" s="409"/>
      <c r="I173" s="409"/>
      <c r="J173" s="409"/>
      <c r="K173" s="409"/>
      <c r="L173" s="409"/>
      <c r="M173" s="409"/>
      <c r="N173" s="409"/>
      <c r="O173" s="409"/>
      <c r="P173" s="409"/>
      <c r="Q173" s="409"/>
      <c r="R173" s="409"/>
      <c r="S173" s="409"/>
      <c r="T173" s="409"/>
      <c r="U173" s="409"/>
      <c r="V173" s="409"/>
      <c r="W173" s="409"/>
      <c r="X173" s="409"/>
      <c r="Y173" s="409"/>
      <c r="Z173" s="409"/>
    </row>
    <row r="174" ht="15.75" customHeight="1">
      <c r="A174" s="409"/>
      <c r="B174" s="409"/>
      <c r="C174" s="409"/>
      <c r="D174" s="409"/>
      <c r="E174" s="409"/>
      <c r="F174" s="409"/>
      <c r="G174" s="409"/>
      <c r="H174" s="409"/>
      <c r="I174" s="409"/>
      <c r="J174" s="409"/>
      <c r="K174" s="409"/>
      <c r="L174" s="409"/>
      <c r="M174" s="409"/>
      <c r="N174" s="409"/>
      <c r="O174" s="409"/>
      <c r="P174" s="409"/>
      <c r="Q174" s="409"/>
      <c r="R174" s="409"/>
      <c r="S174" s="409"/>
      <c r="T174" s="409"/>
      <c r="U174" s="409"/>
      <c r="V174" s="409"/>
      <c r="W174" s="409"/>
      <c r="X174" s="409"/>
      <c r="Y174" s="409"/>
      <c r="Z174" s="409"/>
    </row>
    <row r="175" ht="15.75" customHeight="1">
      <c r="A175" s="409"/>
      <c r="B175" s="409"/>
      <c r="C175" s="409"/>
      <c r="D175" s="409"/>
      <c r="E175" s="409"/>
      <c r="F175" s="409"/>
      <c r="G175" s="409"/>
      <c r="H175" s="409"/>
      <c r="I175" s="409"/>
      <c r="J175" s="409"/>
      <c r="K175" s="409"/>
      <c r="L175" s="409"/>
      <c r="M175" s="409"/>
      <c r="N175" s="409"/>
      <c r="O175" s="409"/>
      <c r="P175" s="409"/>
      <c r="Q175" s="409"/>
      <c r="R175" s="409"/>
      <c r="S175" s="409"/>
      <c r="T175" s="409"/>
      <c r="U175" s="409"/>
      <c r="V175" s="409"/>
      <c r="W175" s="409"/>
      <c r="X175" s="409"/>
      <c r="Y175" s="409"/>
      <c r="Z175" s="409"/>
    </row>
    <row r="176" ht="15.75" customHeight="1">
      <c r="A176" s="409"/>
      <c r="B176" s="409"/>
      <c r="C176" s="409"/>
      <c r="D176" s="409"/>
      <c r="E176" s="409"/>
      <c r="F176" s="409"/>
      <c r="G176" s="409"/>
      <c r="H176" s="409"/>
      <c r="I176" s="409"/>
      <c r="J176" s="409"/>
      <c r="K176" s="409"/>
      <c r="L176" s="409"/>
      <c r="M176" s="409"/>
      <c r="N176" s="409"/>
      <c r="O176" s="409"/>
      <c r="P176" s="409"/>
      <c r="Q176" s="409"/>
      <c r="R176" s="409"/>
      <c r="S176" s="409"/>
      <c r="T176" s="409"/>
      <c r="U176" s="409"/>
      <c r="V176" s="409"/>
      <c r="W176" s="409"/>
      <c r="X176" s="409"/>
      <c r="Y176" s="409"/>
      <c r="Z176" s="409"/>
    </row>
    <row r="177" ht="15.75" customHeight="1">
      <c r="A177" s="409"/>
      <c r="B177" s="409"/>
      <c r="C177" s="409"/>
      <c r="D177" s="409"/>
      <c r="E177" s="409"/>
      <c r="F177" s="409"/>
      <c r="G177" s="409"/>
      <c r="H177" s="409"/>
      <c r="I177" s="409"/>
      <c r="J177" s="409"/>
      <c r="K177" s="409"/>
      <c r="L177" s="409"/>
      <c r="M177" s="409"/>
      <c r="N177" s="409"/>
      <c r="O177" s="409"/>
      <c r="P177" s="409"/>
      <c r="Q177" s="409"/>
      <c r="R177" s="409"/>
      <c r="S177" s="409"/>
      <c r="T177" s="409"/>
      <c r="U177" s="409"/>
      <c r="V177" s="409"/>
      <c r="W177" s="409"/>
      <c r="X177" s="409"/>
      <c r="Y177" s="409"/>
      <c r="Z177" s="409"/>
    </row>
    <row r="178" ht="15.75" customHeight="1">
      <c r="A178" s="409"/>
      <c r="B178" s="409"/>
      <c r="C178" s="409"/>
      <c r="D178" s="409"/>
      <c r="E178" s="409"/>
      <c r="F178" s="409"/>
      <c r="G178" s="409"/>
      <c r="H178" s="409"/>
      <c r="I178" s="409"/>
      <c r="J178" s="409"/>
      <c r="K178" s="409"/>
      <c r="L178" s="409"/>
      <c r="M178" s="409"/>
      <c r="N178" s="409"/>
      <c r="O178" s="409"/>
      <c r="P178" s="409"/>
      <c r="Q178" s="409"/>
      <c r="R178" s="409"/>
      <c r="S178" s="409"/>
      <c r="T178" s="409"/>
      <c r="U178" s="409"/>
      <c r="V178" s="409"/>
      <c r="W178" s="409"/>
      <c r="X178" s="409"/>
      <c r="Y178" s="409"/>
      <c r="Z178" s="409"/>
    </row>
    <row r="179" ht="15.75" customHeight="1">
      <c r="A179" s="409"/>
      <c r="B179" s="409"/>
      <c r="C179" s="409"/>
      <c r="D179" s="409"/>
      <c r="E179" s="409"/>
      <c r="F179" s="409"/>
      <c r="G179" s="409"/>
      <c r="H179" s="409"/>
      <c r="I179" s="409"/>
      <c r="J179" s="409"/>
      <c r="K179" s="409"/>
      <c r="L179" s="409"/>
      <c r="M179" s="409"/>
      <c r="N179" s="409"/>
      <c r="O179" s="409"/>
      <c r="P179" s="409"/>
      <c r="Q179" s="409"/>
      <c r="R179" s="409"/>
      <c r="S179" s="409"/>
      <c r="T179" s="409"/>
      <c r="U179" s="409"/>
      <c r="V179" s="409"/>
      <c r="W179" s="409"/>
      <c r="X179" s="409"/>
      <c r="Y179" s="409"/>
      <c r="Z179" s="409"/>
    </row>
    <row r="180" ht="15.75" customHeight="1">
      <c r="A180" s="409"/>
      <c r="B180" s="409"/>
      <c r="C180" s="409"/>
      <c r="D180" s="409"/>
      <c r="E180" s="409"/>
      <c r="F180" s="409"/>
      <c r="G180" s="409"/>
      <c r="H180" s="409"/>
      <c r="I180" s="409"/>
      <c r="J180" s="409"/>
      <c r="K180" s="409"/>
      <c r="L180" s="409"/>
      <c r="M180" s="409"/>
      <c r="N180" s="409"/>
      <c r="O180" s="409"/>
      <c r="P180" s="409"/>
      <c r="Q180" s="409"/>
      <c r="R180" s="409"/>
      <c r="S180" s="409"/>
      <c r="T180" s="409"/>
      <c r="U180" s="409"/>
      <c r="V180" s="409"/>
      <c r="W180" s="409"/>
      <c r="X180" s="409"/>
      <c r="Y180" s="409"/>
      <c r="Z180" s="409"/>
    </row>
    <row r="181" ht="15.75" customHeight="1">
      <c r="A181" s="409"/>
      <c r="B181" s="409"/>
      <c r="C181" s="409"/>
      <c r="D181" s="409"/>
      <c r="E181" s="409"/>
      <c r="F181" s="409"/>
      <c r="G181" s="409"/>
      <c r="H181" s="409"/>
      <c r="I181" s="409"/>
      <c r="J181" s="409"/>
      <c r="K181" s="409"/>
      <c r="L181" s="409"/>
      <c r="M181" s="409"/>
      <c r="N181" s="409"/>
      <c r="O181" s="409"/>
      <c r="P181" s="409"/>
      <c r="Q181" s="409"/>
      <c r="R181" s="409"/>
      <c r="S181" s="409"/>
      <c r="T181" s="409"/>
      <c r="U181" s="409"/>
      <c r="V181" s="409"/>
      <c r="W181" s="409"/>
      <c r="X181" s="409"/>
      <c r="Y181" s="409"/>
      <c r="Z181" s="409"/>
    </row>
    <row r="182" ht="15.75" customHeight="1">
      <c r="A182" s="409"/>
      <c r="B182" s="409"/>
      <c r="C182" s="409"/>
      <c r="D182" s="409"/>
      <c r="E182" s="409"/>
      <c r="F182" s="409"/>
      <c r="G182" s="409"/>
      <c r="H182" s="409"/>
      <c r="I182" s="409"/>
      <c r="J182" s="409"/>
      <c r="K182" s="409"/>
      <c r="L182" s="409"/>
      <c r="M182" s="409"/>
      <c r="N182" s="409"/>
      <c r="O182" s="409"/>
      <c r="P182" s="409"/>
      <c r="Q182" s="409"/>
      <c r="R182" s="409"/>
      <c r="S182" s="409"/>
      <c r="T182" s="409"/>
      <c r="U182" s="409"/>
      <c r="V182" s="409"/>
      <c r="W182" s="409"/>
      <c r="X182" s="409"/>
      <c r="Y182" s="409"/>
      <c r="Z182" s="409"/>
    </row>
    <row r="183" ht="15.75" customHeight="1">
      <c r="A183" s="409"/>
      <c r="B183" s="409"/>
      <c r="C183" s="409"/>
      <c r="D183" s="409"/>
      <c r="E183" s="409"/>
      <c r="F183" s="409"/>
      <c r="G183" s="409"/>
      <c r="H183" s="409"/>
      <c r="I183" s="409"/>
      <c r="J183" s="409"/>
      <c r="K183" s="409"/>
      <c r="L183" s="409"/>
      <c r="M183" s="409"/>
      <c r="N183" s="409"/>
      <c r="O183" s="409"/>
      <c r="P183" s="409"/>
      <c r="Q183" s="409"/>
      <c r="R183" s="409"/>
      <c r="S183" s="409"/>
      <c r="T183" s="409"/>
      <c r="U183" s="409"/>
      <c r="V183" s="409"/>
      <c r="W183" s="409"/>
      <c r="X183" s="409"/>
      <c r="Y183" s="409"/>
      <c r="Z183" s="409"/>
    </row>
    <row r="184" ht="15.75" customHeight="1">
      <c r="A184" s="409"/>
      <c r="B184" s="409"/>
      <c r="C184" s="409"/>
      <c r="D184" s="409"/>
      <c r="E184" s="409"/>
      <c r="F184" s="409"/>
      <c r="G184" s="409"/>
      <c r="H184" s="409"/>
      <c r="I184" s="409"/>
      <c r="J184" s="409"/>
      <c r="K184" s="409"/>
      <c r="L184" s="409"/>
      <c r="M184" s="409"/>
      <c r="N184" s="409"/>
      <c r="O184" s="409"/>
      <c r="P184" s="409"/>
      <c r="Q184" s="409"/>
      <c r="R184" s="409"/>
      <c r="S184" s="409"/>
      <c r="T184" s="409"/>
      <c r="U184" s="409"/>
      <c r="V184" s="409"/>
      <c r="W184" s="409"/>
      <c r="X184" s="409"/>
      <c r="Y184" s="409"/>
      <c r="Z184" s="409"/>
    </row>
    <row r="185" ht="15.75" customHeight="1">
      <c r="A185" s="409"/>
      <c r="B185" s="409"/>
      <c r="C185" s="409"/>
      <c r="D185" s="409"/>
      <c r="E185" s="409"/>
      <c r="F185" s="409"/>
      <c r="G185" s="409"/>
      <c r="H185" s="409"/>
      <c r="I185" s="409"/>
      <c r="J185" s="409"/>
      <c r="K185" s="409"/>
      <c r="L185" s="409"/>
      <c r="M185" s="409"/>
      <c r="N185" s="409"/>
      <c r="O185" s="409"/>
      <c r="P185" s="409"/>
      <c r="Q185" s="409"/>
      <c r="R185" s="409"/>
      <c r="S185" s="409"/>
      <c r="T185" s="409"/>
      <c r="U185" s="409"/>
      <c r="V185" s="409"/>
      <c r="W185" s="409"/>
      <c r="X185" s="409"/>
      <c r="Y185" s="409"/>
      <c r="Z185" s="409"/>
    </row>
    <row r="186" ht="15.75" customHeight="1">
      <c r="A186" s="409"/>
      <c r="B186" s="409"/>
      <c r="C186" s="409"/>
      <c r="D186" s="409"/>
      <c r="E186" s="409"/>
      <c r="F186" s="409"/>
      <c r="G186" s="409"/>
      <c r="H186" s="409"/>
      <c r="I186" s="409"/>
      <c r="J186" s="409"/>
      <c r="K186" s="409"/>
      <c r="L186" s="409"/>
      <c r="M186" s="409"/>
      <c r="N186" s="409"/>
      <c r="O186" s="409"/>
      <c r="P186" s="409"/>
      <c r="Q186" s="409"/>
      <c r="R186" s="409"/>
      <c r="S186" s="409"/>
      <c r="T186" s="409"/>
      <c r="U186" s="409"/>
      <c r="V186" s="409"/>
      <c r="W186" s="409"/>
      <c r="X186" s="409"/>
      <c r="Y186" s="409"/>
      <c r="Z186" s="409"/>
    </row>
    <row r="187" ht="15.75" customHeight="1">
      <c r="A187" s="409"/>
      <c r="B187" s="409"/>
      <c r="C187" s="409"/>
      <c r="D187" s="409"/>
      <c r="E187" s="409"/>
      <c r="F187" s="409"/>
      <c r="G187" s="409"/>
      <c r="H187" s="409"/>
      <c r="I187" s="409"/>
      <c r="J187" s="409"/>
      <c r="K187" s="409"/>
      <c r="L187" s="409"/>
      <c r="M187" s="409"/>
      <c r="N187" s="409"/>
      <c r="O187" s="409"/>
      <c r="P187" s="409"/>
      <c r="Q187" s="409"/>
      <c r="R187" s="409"/>
      <c r="S187" s="409"/>
      <c r="T187" s="409"/>
      <c r="U187" s="409"/>
      <c r="V187" s="409"/>
      <c r="W187" s="409"/>
      <c r="X187" s="409"/>
      <c r="Y187" s="409"/>
      <c r="Z187" s="409"/>
    </row>
    <row r="188" ht="15.75" customHeight="1">
      <c r="A188" s="409"/>
      <c r="B188" s="409"/>
      <c r="C188" s="409"/>
      <c r="D188" s="409"/>
      <c r="E188" s="409"/>
      <c r="F188" s="409"/>
      <c r="G188" s="409"/>
      <c r="H188" s="409"/>
      <c r="I188" s="409"/>
      <c r="J188" s="409"/>
      <c r="K188" s="409"/>
      <c r="L188" s="409"/>
      <c r="M188" s="409"/>
      <c r="N188" s="409"/>
      <c r="O188" s="409"/>
      <c r="P188" s="409"/>
      <c r="Q188" s="409"/>
      <c r="R188" s="409"/>
      <c r="S188" s="409"/>
      <c r="T188" s="409"/>
      <c r="U188" s="409"/>
      <c r="V188" s="409"/>
      <c r="W188" s="409"/>
      <c r="X188" s="409"/>
      <c r="Y188" s="409"/>
      <c r="Z188" s="409"/>
    </row>
    <row r="189" ht="15.75" customHeight="1">
      <c r="A189" s="409"/>
      <c r="B189" s="409"/>
      <c r="C189" s="409"/>
      <c r="D189" s="409"/>
      <c r="E189" s="409"/>
      <c r="F189" s="409"/>
      <c r="G189" s="409"/>
      <c r="H189" s="409"/>
      <c r="I189" s="409"/>
      <c r="J189" s="409"/>
      <c r="K189" s="409"/>
      <c r="L189" s="409"/>
      <c r="M189" s="409"/>
      <c r="N189" s="409"/>
      <c r="O189" s="409"/>
      <c r="P189" s="409"/>
      <c r="Q189" s="409"/>
      <c r="R189" s="409"/>
      <c r="S189" s="409"/>
      <c r="T189" s="409"/>
      <c r="U189" s="409"/>
      <c r="V189" s="409"/>
      <c r="W189" s="409"/>
      <c r="X189" s="409"/>
      <c r="Y189" s="409"/>
      <c r="Z189" s="409"/>
    </row>
    <row r="190" ht="15.75" customHeight="1">
      <c r="A190" s="409"/>
      <c r="B190" s="409"/>
      <c r="C190" s="409"/>
      <c r="D190" s="409"/>
      <c r="E190" s="409"/>
      <c r="F190" s="409"/>
      <c r="G190" s="409"/>
      <c r="H190" s="409"/>
      <c r="I190" s="409"/>
      <c r="J190" s="409"/>
      <c r="K190" s="409"/>
      <c r="L190" s="409"/>
      <c r="M190" s="409"/>
      <c r="N190" s="409"/>
      <c r="O190" s="409"/>
      <c r="P190" s="409"/>
      <c r="Q190" s="409"/>
      <c r="R190" s="409"/>
      <c r="S190" s="409"/>
      <c r="T190" s="409"/>
      <c r="U190" s="409"/>
      <c r="V190" s="409"/>
      <c r="W190" s="409"/>
      <c r="X190" s="409"/>
      <c r="Y190" s="409"/>
      <c r="Z190" s="409"/>
    </row>
    <row r="191" ht="15.75" customHeight="1">
      <c r="A191" s="409"/>
      <c r="B191" s="409"/>
      <c r="C191" s="409"/>
      <c r="D191" s="409"/>
      <c r="E191" s="409"/>
      <c r="F191" s="409"/>
      <c r="G191" s="409"/>
      <c r="H191" s="409"/>
      <c r="I191" s="409"/>
      <c r="J191" s="409"/>
      <c r="K191" s="409"/>
      <c r="L191" s="409"/>
      <c r="M191" s="409"/>
      <c r="N191" s="409"/>
      <c r="O191" s="409"/>
      <c r="P191" s="409"/>
      <c r="Q191" s="409"/>
      <c r="R191" s="409"/>
      <c r="S191" s="409"/>
      <c r="T191" s="409"/>
      <c r="U191" s="409"/>
      <c r="V191" s="409"/>
      <c r="W191" s="409"/>
      <c r="X191" s="409"/>
      <c r="Y191" s="409"/>
      <c r="Z191" s="409"/>
    </row>
    <row r="192" ht="15.75" customHeight="1">
      <c r="A192" s="409"/>
      <c r="B192" s="409"/>
      <c r="C192" s="409"/>
      <c r="D192" s="409"/>
      <c r="E192" s="409"/>
      <c r="F192" s="409"/>
      <c r="G192" s="409"/>
      <c r="H192" s="409"/>
      <c r="I192" s="409"/>
      <c r="J192" s="409"/>
      <c r="K192" s="409"/>
      <c r="L192" s="409"/>
      <c r="M192" s="409"/>
      <c r="N192" s="409"/>
      <c r="O192" s="409"/>
      <c r="P192" s="409"/>
      <c r="Q192" s="409"/>
      <c r="R192" s="409"/>
      <c r="S192" s="409"/>
      <c r="T192" s="409"/>
      <c r="U192" s="409"/>
      <c r="V192" s="409"/>
      <c r="W192" s="409"/>
      <c r="X192" s="409"/>
      <c r="Y192" s="409"/>
      <c r="Z192" s="409"/>
    </row>
    <row r="193" ht="15.75" customHeight="1">
      <c r="A193" s="409"/>
      <c r="B193" s="409"/>
      <c r="C193" s="409"/>
      <c r="D193" s="409"/>
      <c r="E193" s="409"/>
      <c r="F193" s="409"/>
      <c r="G193" s="409"/>
      <c r="H193" s="409"/>
      <c r="I193" s="409"/>
      <c r="J193" s="409"/>
      <c r="K193" s="409"/>
      <c r="L193" s="409"/>
      <c r="M193" s="409"/>
      <c r="N193" s="409"/>
      <c r="O193" s="409"/>
      <c r="P193" s="409"/>
      <c r="Q193" s="409"/>
      <c r="R193" s="409"/>
      <c r="S193" s="409"/>
      <c r="T193" s="409"/>
      <c r="U193" s="409"/>
      <c r="V193" s="409"/>
      <c r="W193" s="409"/>
      <c r="X193" s="409"/>
      <c r="Y193" s="409"/>
      <c r="Z193" s="409"/>
    </row>
    <row r="194" ht="15.75" customHeight="1">
      <c r="A194" s="409"/>
      <c r="B194" s="409"/>
      <c r="C194" s="409"/>
      <c r="D194" s="409"/>
      <c r="E194" s="409"/>
      <c r="F194" s="409"/>
      <c r="G194" s="409"/>
      <c r="H194" s="409"/>
      <c r="I194" s="409"/>
      <c r="J194" s="409"/>
      <c r="K194" s="409"/>
      <c r="L194" s="409"/>
      <c r="M194" s="409"/>
      <c r="N194" s="409"/>
      <c r="O194" s="409"/>
      <c r="P194" s="409"/>
      <c r="Q194" s="409"/>
      <c r="R194" s="409"/>
      <c r="S194" s="409"/>
      <c r="T194" s="409"/>
      <c r="U194" s="409"/>
      <c r="V194" s="409"/>
      <c r="W194" s="409"/>
      <c r="X194" s="409"/>
      <c r="Y194" s="409"/>
      <c r="Z194" s="409"/>
    </row>
    <row r="195" ht="15.75" customHeight="1">
      <c r="A195" s="409"/>
      <c r="B195" s="409"/>
      <c r="C195" s="409"/>
      <c r="D195" s="409"/>
      <c r="E195" s="409"/>
      <c r="F195" s="409"/>
      <c r="G195" s="409"/>
      <c r="H195" s="409"/>
      <c r="I195" s="409"/>
      <c r="J195" s="409"/>
      <c r="K195" s="409"/>
      <c r="L195" s="409"/>
      <c r="M195" s="409"/>
      <c r="N195" s="409"/>
      <c r="O195" s="409"/>
      <c r="P195" s="409"/>
      <c r="Q195" s="409"/>
      <c r="R195" s="409"/>
      <c r="S195" s="409"/>
      <c r="T195" s="409"/>
      <c r="U195" s="409"/>
      <c r="V195" s="409"/>
      <c r="W195" s="409"/>
      <c r="X195" s="409"/>
      <c r="Y195" s="409"/>
      <c r="Z195" s="409"/>
    </row>
    <row r="196" ht="15.75" customHeight="1">
      <c r="A196" s="409"/>
      <c r="B196" s="409"/>
      <c r="C196" s="409"/>
      <c r="D196" s="409"/>
      <c r="E196" s="409"/>
      <c r="F196" s="409"/>
      <c r="G196" s="409"/>
      <c r="H196" s="409"/>
      <c r="I196" s="409"/>
      <c r="J196" s="409"/>
      <c r="K196" s="409"/>
      <c r="L196" s="409"/>
      <c r="M196" s="409"/>
      <c r="N196" s="409"/>
      <c r="O196" s="409"/>
      <c r="P196" s="409"/>
      <c r="Q196" s="409"/>
      <c r="R196" s="409"/>
      <c r="S196" s="409"/>
      <c r="T196" s="409"/>
      <c r="U196" s="409"/>
      <c r="V196" s="409"/>
      <c r="W196" s="409"/>
      <c r="X196" s="409"/>
      <c r="Y196" s="409"/>
      <c r="Z196" s="409"/>
    </row>
    <row r="197" ht="15.75" customHeight="1">
      <c r="A197" s="409"/>
      <c r="B197" s="409"/>
      <c r="C197" s="409"/>
      <c r="D197" s="409"/>
      <c r="E197" s="409"/>
      <c r="F197" s="409"/>
      <c r="G197" s="409"/>
      <c r="H197" s="409"/>
      <c r="I197" s="409"/>
      <c r="J197" s="409"/>
      <c r="K197" s="409"/>
      <c r="L197" s="409"/>
      <c r="M197" s="409"/>
      <c r="N197" s="409"/>
      <c r="O197" s="409"/>
      <c r="P197" s="409"/>
      <c r="Q197" s="409"/>
      <c r="R197" s="409"/>
      <c r="S197" s="409"/>
      <c r="T197" s="409"/>
      <c r="U197" s="409"/>
      <c r="V197" s="409"/>
      <c r="W197" s="409"/>
      <c r="X197" s="409"/>
      <c r="Y197" s="409"/>
      <c r="Z197" s="409"/>
    </row>
    <row r="198" ht="15.75" customHeight="1">
      <c r="A198" s="409"/>
      <c r="B198" s="409"/>
      <c r="C198" s="409"/>
      <c r="D198" s="409"/>
      <c r="E198" s="409"/>
      <c r="F198" s="409"/>
      <c r="G198" s="409"/>
      <c r="H198" s="409"/>
      <c r="I198" s="409"/>
      <c r="J198" s="409"/>
      <c r="K198" s="409"/>
      <c r="L198" s="409"/>
      <c r="M198" s="409"/>
      <c r="N198" s="409"/>
      <c r="O198" s="409"/>
      <c r="P198" s="409"/>
      <c r="Q198" s="409"/>
      <c r="R198" s="409"/>
      <c r="S198" s="409"/>
      <c r="T198" s="409"/>
      <c r="U198" s="409"/>
      <c r="V198" s="409"/>
      <c r="W198" s="409"/>
      <c r="X198" s="409"/>
      <c r="Y198" s="409"/>
      <c r="Z198" s="409"/>
    </row>
    <row r="199" ht="15.75" customHeight="1">
      <c r="A199" s="409"/>
      <c r="B199" s="409"/>
      <c r="C199" s="409"/>
      <c r="D199" s="409"/>
      <c r="E199" s="409"/>
      <c r="F199" s="409"/>
      <c r="G199" s="409"/>
      <c r="H199" s="409"/>
      <c r="I199" s="409"/>
      <c r="J199" s="409"/>
      <c r="K199" s="409"/>
      <c r="L199" s="409"/>
      <c r="M199" s="409"/>
      <c r="N199" s="409"/>
      <c r="O199" s="409"/>
      <c r="P199" s="409"/>
      <c r="Q199" s="409"/>
      <c r="R199" s="409"/>
      <c r="S199" s="409"/>
      <c r="T199" s="409"/>
      <c r="U199" s="409"/>
      <c r="V199" s="409"/>
      <c r="W199" s="409"/>
      <c r="X199" s="409"/>
      <c r="Y199" s="409"/>
      <c r="Z199" s="409"/>
    </row>
    <row r="200" ht="15.75" customHeight="1">
      <c r="A200" s="409"/>
      <c r="B200" s="409"/>
      <c r="C200" s="409"/>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row>
    <row r="201" ht="15.75" customHeight="1">
      <c r="A201" s="409"/>
      <c r="B201" s="409"/>
      <c r="C201" s="409"/>
      <c r="D201" s="409"/>
      <c r="E201" s="409"/>
      <c r="F201" s="409"/>
      <c r="G201" s="409"/>
      <c r="H201" s="409"/>
      <c r="I201" s="409"/>
      <c r="J201" s="409"/>
      <c r="K201" s="409"/>
      <c r="L201" s="409"/>
      <c r="M201" s="409"/>
      <c r="N201" s="409"/>
      <c r="O201" s="409"/>
      <c r="P201" s="409"/>
      <c r="Q201" s="409"/>
      <c r="R201" s="409"/>
      <c r="S201" s="409"/>
      <c r="T201" s="409"/>
      <c r="U201" s="409"/>
      <c r="V201" s="409"/>
      <c r="W201" s="409"/>
      <c r="X201" s="409"/>
      <c r="Y201" s="409"/>
      <c r="Z201" s="409"/>
    </row>
    <row r="202" ht="15.75" customHeight="1">
      <c r="A202" s="409"/>
      <c r="B202" s="409"/>
      <c r="C202" s="409"/>
      <c r="D202" s="409"/>
      <c r="E202" s="409"/>
      <c r="F202" s="409"/>
      <c r="G202" s="409"/>
      <c r="H202" s="409"/>
      <c r="I202" s="409"/>
      <c r="J202" s="409"/>
      <c r="K202" s="409"/>
      <c r="L202" s="409"/>
      <c r="M202" s="409"/>
      <c r="N202" s="409"/>
      <c r="O202" s="409"/>
      <c r="P202" s="409"/>
      <c r="Q202" s="409"/>
      <c r="R202" s="409"/>
      <c r="S202" s="409"/>
      <c r="T202" s="409"/>
      <c r="U202" s="409"/>
      <c r="V202" s="409"/>
      <c r="W202" s="409"/>
      <c r="X202" s="409"/>
      <c r="Y202" s="409"/>
      <c r="Z202" s="409"/>
    </row>
    <row r="203" ht="15.75" customHeight="1">
      <c r="A203" s="409"/>
      <c r="B203" s="409"/>
      <c r="C203" s="409"/>
      <c r="D203" s="409"/>
      <c r="E203" s="409"/>
      <c r="F203" s="409"/>
      <c r="G203" s="409"/>
      <c r="H203" s="409"/>
      <c r="I203" s="409"/>
      <c r="J203" s="409"/>
      <c r="K203" s="409"/>
      <c r="L203" s="409"/>
      <c r="M203" s="409"/>
      <c r="N203" s="409"/>
      <c r="O203" s="409"/>
      <c r="P203" s="409"/>
      <c r="Q203" s="409"/>
      <c r="R203" s="409"/>
      <c r="S203" s="409"/>
      <c r="T203" s="409"/>
      <c r="U203" s="409"/>
      <c r="V203" s="409"/>
      <c r="W203" s="409"/>
      <c r="X203" s="409"/>
      <c r="Y203" s="409"/>
      <c r="Z203" s="409"/>
    </row>
    <row r="204" ht="15.75" customHeight="1">
      <c r="A204" s="409"/>
      <c r="B204" s="409"/>
      <c r="C204" s="409"/>
      <c r="D204" s="409"/>
      <c r="E204" s="409"/>
      <c r="F204" s="409"/>
      <c r="G204" s="409"/>
      <c r="H204" s="409"/>
      <c r="I204" s="409"/>
      <c r="J204" s="409"/>
      <c r="K204" s="409"/>
      <c r="L204" s="409"/>
      <c r="M204" s="409"/>
      <c r="N204" s="409"/>
      <c r="O204" s="409"/>
      <c r="P204" s="409"/>
      <c r="Q204" s="409"/>
      <c r="R204" s="409"/>
      <c r="S204" s="409"/>
      <c r="T204" s="409"/>
      <c r="U204" s="409"/>
      <c r="V204" s="409"/>
      <c r="W204" s="409"/>
      <c r="X204" s="409"/>
      <c r="Y204" s="409"/>
      <c r="Z204" s="409"/>
    </row>
    <row r="205" ht="15.75" customHeight="1">
      <c r="A205" s="409"/>
      <c r="B205" s="409"/>
      <c r="C205" s="409"/>
      <c r="D205" s="409"/>
      <c r="E205" s="409"/>
      <c r="F205" s="409"/>
      <c r="G205" s="409"/>
      <c r="H205" s="409"/>
      <c r="I205" s="409"/>
      <c r="J205" s="409"/>
      <c r="K205" s="409"/>
      <c r="L205" s="409"/>
      <c r="M205" s="409"/>
      <c r="N205" s="409"/>
      <c r="O205" s="409"/>
      <c r="P205" s="409"/>
      <c r="Q205" s="409"/>
      <c r="R205" s="409"/>
      <c r="S205" s="409"/>
      <c r="T205" s="409"/>
      <c r="U205" s="409"/>
      <c r="V205" s="409"/>
      <c r="W205" s="409"/>
      <c r="X205" s="409"/>
      <c r="Y205" s="409"/>
      <c r="Z205" s="409"/>
    </row>
    <row r="206" ht="15.75" customHeight="1">
      <c r="A206" s="409"/>
      <c r="B206" s="409"/>
      <c r="C206" s="409"/>
      <c r="D206" s="409"/>
      <c r="E206" s="409"/>
      <c r="F206" s="409"/>
      <c r="G206" s="409"/>
      <c r="H206" s="409"/>
      <c r="I206" s="409"/>
      <c r="J206" s="409"/>
      <c r="K206" s="409"/>
      <c r="L206" s="409"/>
      <c r="M206" s="409"/>
      <c r="N206" s="409"/>
      <c r="O206" s="409"/>
      <c r="P206" s="409"/>
      <c r="Q206" s="409"/>
      <c r="R206" s="409"/>
      <c r="S206" s="409"/>
      <c r="T206" s="409"/>
      <c r="U206" s="409"/>
      <c r="V206" s="409"/>
      <c r="W206" s="409"/>
      <c r="X206" s="409"/>
      <c r="Y206" s="409"/>
      <c r="Z206" s="409"/>
    </row>
    <row r="207" ht="15.75" customHeight="1">
      <c r="A207" s="409"/>
      <c r="B207" s="409"/>
      <c r="C207" s="409"/>
      <c r="D207" s="409"/>
      <c r="E207" s="409"/>
      <c r="F207" s="409"/>
      <c r="G207" s="409"/>
      <c r="H207" s="409"/>
      <c r="I207" s="409"/>
      <c r="J207" s="409"/>
      <c r="K207" s="409"/>
      <c r="L207" s="409"/>
      <c r="M207" s="409"/>
      <c r="N207" s="409"/>
      <c r="O207" s="409"/>
      <c r="P207" s="409"/>
      <c r="Q207" s="409"/>
      <c r="R207" s="409"/>
      <c r="S207" s="409"/>
      <c r="T207" s="409"/>
      <c r="U207" s="409"/>
      <c r="V207" s="409"/>
      <c r="W207" s="409"/>
      <c r="X207" s="409"/>
      <c r="Y207" s="409"/>
      <c r="Z207" s="409"/>
    </row>
    <row r="208" ht="15.75" customHeight="1">
      <c r="A208" s="409"/>
      <c r="B208" s="409"/>
      <c r="C208" s="409"/>
      <c r="D208" s="409"/>
      <c r="E208" s="409"/>
      <c r="F208" s="409"/>
      <c r="G208" s="409"/>
      <c r="H208" s="409"/>
      <c r="I208" s="409"/>
      <c r="J208" s="409"/>
      <c r="K208" s="409"/>
      <c r="L208" s="409"/>
      <c r="M208" s="409"/>
      <c r="N208" s="409"/>
      <c r="O208" s="409"/>
      <c r="P208" s="409"/>
      <c r="Q208" s="409"/>
      <c r="R208" s="409"/>
      <c r="S208" s="409"/>
      <c r="T208" s="409"/>
      <c r="U208" s="409"/>
      <c r="V208" s="409"/>
      <c r="W208" s="409"/>
      <c r="X208" s="409"/>
      <c r="Y208" s="409"/>
      <c r="Z208" s="409"/>
    </row>
    <row r="209" ht="15.75" customHeight="1">
      <c r="A209" s="409"/>
      <c r="B209" s="409"/>
      <c r="C209" s="409"/>
      <c r="D209" s="409"/>
      <c r="E209" s="409"/>
      <c r="F209" s="409"/>
      <c r="G209" s="409"/>
      <c r="H209" s="409"/>
      <c r="I209" s="409"/>
      <c r="J209" s="409"/>
      <c r="K209" s="409"/>
      <c r="L209" s="409"/>
      <c r="M209" s="409"/>
      <c r="N209" s="409"/>
      <c r="O209" s="409"/>
      <c r="P209" s="409"/>
      <c r="Q209" s="409"/>
      <c r="R209" s="409"/>
      <c r="S209" s="409"/>
      <c r="T209" s="409"/>
      <c r="U209" s="409"/>
      <c r="V209" s="409"/>
      <c r="W209" s="409"/>
      <c r="X209" s="409"/>
      <c r="Y209" s="409"/>
      <c r="Z209" s="409"/>
    </row>
    <row r="210" ht="15.75" customHeight="1">
      <c r="A210" s="409"/>
      <c r="B210" s="409"/>
      <c r="C210" s="409"/>
      <c r="D210" s="409"/>
      <c r="E210" s="409"/>
      <c r="F210" s="409"/>
      <c r="G210" s="409"/>
      <c r="H210" s="409"/>
      <c r="I210" s="409"/>
      <c r="J210" s="409"/>
      <c r="K210" s="409"/>
      <c r="L210" s="409"/>
      <c r="M210" s="409"/>
      <c r="N210" s="409"/>
      <c r="O210" s="409"/>
      <c r="P210" s="409"/>
      <c r="Q210" s="409"/>
      <c r="R210" s="409"/>
      <c r="S210" s="409"/>
      <c r="T210" s="409"/>
      <c r="U210" s="409"/>
      <c r="V210" s="409"/>
      <c r="W210" s="409"/>
      <c r="X210" s="409"/>
      <c r="Y210" s="409"/>
      <c r="Z210" s="409"/>
    </row>
    <row r="211" ht="15.75" customHeight="1">
      <c r="A211" s="409"/>
      <c r="B211" s="409"/>
      <c r="C211" s="409"/>
      <c r="D211" s="409"/>
      <c r="E211" s="409"/>
      <c r="F211" s="409"/>
      <c r="G211" s="409"/>
      <c r="H211" s="409"/>
      <c r="I211" s="409"/>
      <c r="J211" s="409"/>
      <c r="K211" s="409"/>
      <c r="L211" s="409"/>
      <c r="M211" s="409"/>
      <c r="N211" s="409"/>
      <c r="O211" s="409"/>
      <c r="P211" s="409"/>
      <c r="Q211" s="409"/>
      <c r="R211" s="409"/>
      <c r="S211" s="409"/>
      <c r="T211" s="409"/>
      <c r="U211" s="409"/>
      <c r="V211" s="409"/>
      <c r="W211" s="409"/>
      <c r="X211" s="409"/>
      <c r="Y211" s="409"/>
      <c r="Z211" s="409"/>
    </row>
    <row r="212" ht="15.75" customHeight="1">
      <c r="A212" s="409"/>
      <c r="B212" s="409"/>
      <c r="C212" s="409"/>
      <c r="D212" s="409"/>
      <c r="E212" s="409"/>
      <c r="F212" s="409"/>
      <c r="G212" s="409"/>
      <c r="H212" s="409"/>
      <c r="I212" s="409"/>
      <c r="J212" s="409"/>
      <c r="K212" s="409"/>
      <c r="L212" s="409"/>
      <c r="M212" s="409"/>
      <c r="N212" s="409"/>
      <c r="O212" s="409"/>
      <c r="P212" s="409"/>
      <c r="Q212" s="409"/>
      <c r="R212" s="409"/>
      <c r="S212" s="409"/>
      <c r="T212" s="409"/>
      <c r="U212" s="409"/>
      <c r="V212" s="409"/>
      <c r="W212" s="409"/>
      <c r="X212" s="409"/>
      <c r="Y212" s="409"/>
      <c r="Z212" s="409"/>
    </row>
    <row r="213" ht="15.75" customHeight="1">
      <c r="A213" s="409"/>
      <c r="B213" s="409"/>
      <c r="C213" s="409"/>
      <c r="D213" s="409"/>
      <c r="E213" s="409"/>
      <c r="F213" s="409"/>
      <c r="G213" s="409"/>
      <c r="H213" s="409"/>
      <c r="I213" s="409"/>
      <c r="J213" s="409"/>
      <c r="K213" s="409"/>
      <c r="L213" s="409"/>
      <c r="M213" s="409"/>
      <c r="N213" s="409"/>
      <c r="O213" s="409"/>
      <c r="P213" s="409"/>
      <c r="Q213" s="409"/>
      <c r="R213" s="409"/>
      <c r="S213" s="409"/>
      <c r="T213" s="409"/>
      <c r="U213" s="409"/>
      <c r="V213" s="409"/>
      <c r="W213" s="409"/>
      <c r="X213" s="409"/>
      <c r="Y213" s="409"/>
      <c r="Z213" s="409"/>
    </row>
    <row r="214" ht="15.75" customHeight="1">
      <c r="A214" s="409"/>
      <c r="B214" s="409"/>
      <c r="C214" s="409"/>
      <c r="D214" s="409"/>
      <c r="E214" s="409"/>
      <c r="F214" s="409"/>
      <c r="G214" s="409"/>
      <c r="H214" s="409"/>
      <c r="I214" s="409"/>
      <c r="J214" s="409"/>
      <c r="K214" s="409"/>
      <c r="L214" s="409"/>
      <c r="M214" s="409"/>
      <c r="N214" s="409"/>
      <c r="O214" s="409"/>
      <c r="P214" s="409"/>
      <c r="Q214" s="409"/>
      <c r="R214" s="409"/>
      <c r="S214" s="409"/>
      <c r="T214" s="409"/>
      <c r="U214" s="409"/>
      <c r="V214" s="409"/>
      <c r="W214" s="409"/>
      <c r="X214" s="409"/>
      <c r="Y214" s="409"/>
      <c r="Z214" s="409"/>
    </row>
    <row r="215" ht="15.75" customHeight="1">
      <c r="A215" s="409"/>
      <c r="B215" s="409"/>
      <c r="C215" s="409"/>
      <c r="D215" s="409"/>
      <c r="E215" s="409"/>
      <c r="F215" s="409"/>
      <c r="G215" s="409"/>
      <c r="H215" s="409"/>
      <c r="I215" s="409"/>
      <c r="J215" s="409"/>
      <c r="K215" s="409"/>
      <c r="L215" s="409"/>
      <c r="M215" s="409"/>
      <c r="N215" s="409"/>
      <c r="O215" s="409"/>
      <c r="P215" s="409"/>
      <c r="Q215" s="409"/>
      <c r="R215" s="409"/>
      <c r="S215" s="409"/>
      <c r="T215" s="409"/>
      <c r="U215" s="409"/>
      <c r="V215" s="409"/>
      <c r="W215" s="409"/>
      <c r="X215" s="409"/>
      <c r="Y215" s="409"/>
      <c r="Z215" s="409"/>
    </row>
    <row r="216" ht="15.75" customHeight="1">
      <c r="A216" s="409"/>
      <c r="B216" s="409"/>
      <c r="C216" s="409"/>
      <c r="D216" s="409"/>
      <c r="E216" s="409"/>
      <c r="F216" s="409"/>
      <c r="G216" s="409"/>
      <c r="H216" s="409"/>
      <c r="I216" s="409"/>
      <c r="J216" s="409"/>
      <c r="K216" s="409"/>
      <c r="L216" s="409"/>
      <c r="M216" s="409"/>
      <c r="N216" s="409"/>
      <c r="O216" s="409"/>
      <c r="P216" s="409"/>
      <c r="Q216" s="409"/>
      <c r="R216" s="409"/>
      <c r="S216" s="409"/>
      <c r="T216" s="409"/>
      <c r="U216" s="409"/>
      <c r="V216" s="409"/>
      <c r="W216" s="409"/>
      <c r="X216" s="409"/>
      <c r="Y216" s="409"/>
      <c r="Z216" s="409"/>
    </row>
    <row r="217" ht="15.75" customHeight="1">
      <c r="A217" s="409"/>
      <c r="B217" s="409"/>
      <c r="C217" s="409"/>
      <c r="D217" s="409"/>
      <c r="E217" s="409"/>
      <c r="F217" s="409"/>
      <c r="G217" s="409"/>
      <c r="H217" s="409"/>
      <c r="I217" s="409"/>
      <c r="J217" s="409"/>
      <c r="K217" s="409"/>
      <c r="L217" s="409"/>
      <c r="M217" s="409"/>
      <c r="N217" s="409"/>
      <c r="O217" s="409"/>
      <c r="P217" s="409"/>
      <c r="Q217" s="409"/>
      <c r="R217" s="409"/>
      <c r="S217" s="409"/>
      <c r="T217" s="409"/>
      <c r="U217" s="409"/>
      <c r="V217" s="409"/>
      <c r="W217" s="409"/>
      <c r="X217" s="409"/>
      <c r="Y217" s="409"/>
      <c r="Z217" s="409"/>
    </row>
    <row r="218" ht="15.75" customHeight="1">
      <c r="A218" s="409"/>
      <c r="B218" s="409"/>
      <c r="C218" s="409"/>
      <c r="D218" s="409"/>
      <c r="E218" s="409"/>
      <c r="F218" s="409"/>
      <c r="G218" s="409"/>
      <c r="H218" s="409"/>
      <c r="I218" s="409"/>
      <c r="J218" s="409"/>
      <c r="K218" s="409"/>
      <c r="L218" s="409"/>
      <c r="M218" s="409"/>
      <c r="N218" s="409"/>
      <c r="O218" s="409"/>
      <c r="P218" s="409"/>
      <c r="Q218" s="409"/>
      <c r="R218" s="409"/>
      <c r="S218" s="409"/>
      <c r="T218" s="409"/>
      <c r="U218" s="409"/>
      <c r="V218" s="409"/>
      <c r="W218" s="409"/>
      <c r="X218" s="409"/>
      <c r="Y218" s="409"/>
      <c r="Z218" s="409"/>
    </row>
    <row r="219" ht="15.75" customHeight="1">
      <c r="A219" s="409"/>
      <c r="B219" s="409"/>
      <c r="C219" s="409"/>
      <c r="D219" s="409"/>
      <c r="E219" s="409"/>
      <c r="F219" s="409"/>
      <c r="G219" s="409"/>
      <c r="H219" s="409"/>
      <c r="I219" s="409"/>
      <c r="J219" s="409"/>
      <c r="K219" s="409"/>
      <c r="L219" s="409"/>
      <c r="M219" s="409"/>
      <c r="N219" s="409"/>
      <c r="O219" s="409"/>
      <c r="P219" s="409"/>
      <c r="Q219" s="409"/>
      <c r="R219" s="409"/>
      <c r="S219" s="409"/>
      <c r="T219" s="409"/>
      <c r="U219" s="409"/>
      <c r="V219" s="409"/>
      <c r="W219" s="409"/>
      <c r="X219" s="409"/>
      <c r="Y219" s="409"/>
      <c r="Z219" s="409"/>
    </row>
    <row r="220" ht="15.75" customHeight="1">
      <c r="A220" s="409"/>
      <c r="B220" s="409"/>
      <c r="C220" s="409"/>
      <c r="D220" s="409"/>
      <c r="E220" s="409"/>
      <c r="F220" s="409"/>
      <c r="G220" s="409"/>
      <c r="H220" s="409"/>
      <c r="I220" s="409"/>
      <c r="J220" s="409"/>
      <c r="K220" s="409"/>
      <c r="L220" s="409"/>
      <c r="M220" s="409"/>
      <c r="N220" s="409"/>
      <c r="O220" s="409"/>
      <c r="P220" s="409"/>
      <c r="Q220" s="409"/>
      <c r="R220" s="409"/>
      <c r="S220" s="409"/>
      <c r="T220" s="409"/>
      <c r="U220" s="409"/>
      <c r="V220" s="409"/>
      <c r="W220" s="409"/>
      <c r="X220" s="409"/>
      <c r="Y220" s="409"/>
      <c r="Z220" s="40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6"/>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 customWidth="1" min="2" max="2" width="11.78"/>
    <col customWidth="1" min="3" max="3" width="65.89"/>
    <col customWidth="1" min="4" max="4" width="13.56"/>
    <col customWidth="1" min="5" max="5" width="6.11"/>
    <col customWidth="1" min="6" max="6" width="10.11"/>
    <col customWidth="1" min="7" max="7" width="14.67"/>
    <col customWidth="1" min="8" max="8" width="15.33"/>
    <col customWidth="1" min="9" max="9" width="13.56"/>
    <col customWidth="1" min="10" max="10" width="14.22"/>
    <col customWidth="1" min="11" max="11" width="7.67"/>
    <col customWidth="1" min="12" max="12" width="10.56"/>
    <col customWidth="1" min="13" max="13" width="11.0"/>
    <col customWidth="1" min="14" max="14" width="11.11"/>
    <col customWidth="1" min="15" max="15" width="17.11"/>
    <col customWidth="1" min="16" max="16" width="156.44"/>
    <col customWidth="1" min="17" max="17" width="38.0"/>
    <col customWidth="1" min="18" max="18" width="30.44"/>
    <col customWidth="1" min="19" max="19" width="19.22"/>
    <col customWidth="1" min="20" max="20" width="13.56"/>
    <col customWidth="1" min="21" max="23" width="10.56"/>
  </cols>
  <sheetData>
    <row r="1" ht="29.25" customHeight="1">
      <c r="A1" s="452" t="s">
        <v>0</v>
      </c>
      <c r="B1" s="453" t="s">
        <v>1</v>
      </c>
      <c r="C1" s="454" t="s">
        <v>2</v>
      </c>
      <c r="D1" s="455" t="s">
        <v>5</v>
      </c>
      <c r="E1" s="7" t="s">
        <v>2123</v>
      </c>
      <c r="F1" s="8" t="s">
        <v>2857</v>
      </c>
      <c r="G1" s="9" t="s">
        <v>8</v>
      </c>
      <c r="H1" s="9" t="s">
        <v>9</v>
      </c>
      <c r="I1" s="10" t="s">
        <v>2813</v>
      </c>
      <c r="J1" s="10" t="s">
        <v>11</v>
      </c>
      <c r="K1" s="9" t="s">
        <v>2814</v>
      </c>
      <c r="L1" s="7" t="s">
        <v>19</v>
      </c>
      <c r="M1" s="9" t="s">
        <v>14</v>
      </c>
      <c r="N1" s="7" t="s">
        <v>20</v>
      </c>
      <c r="O1" s="9" t="s">
        <v>15</v>
      </c>
      <c r="P1" s="12" t="s">
        <v>16</v>
      </c>
      <c r="Q1" s="15" t="s">
        <v>2858</v>
      </c>
      <c r="R1" s="15" t="s">
        <v>2859</v>
      </c>
      <c r="S1" s="15" t="s">
        <v>22</v>
      </c>
      <c r="T1" s="15" t="s">
        <v>23</v>
      </c>
      <c r="U1" s="15" t="s">
        <v>24</v>
      </c>
      <c r="V1" s="15" t="s">
        <v>25</v>
      </c>
      <c r="W1" s="15" t="s">
        <v>26</v>
      </c>
      <c r="X1" s="456" t="s">
        <v>27</v>
      </c>
      <c r="Y1" s="456" t="s">
        <v>28</v>
      </c>
      <c r="Z1" s="456" t="s">
        <v>29</v>
      </c>
      <c r="AA1" s="456" t="s">
        <v>30</v>
      </c>
      <c r="AB1" s="456" t="s">
        <v>31</v>
      </c>
      <c r="AC1" s="456" t="s">
        <v>32</v>
      </c>
      <c r="AD1" s="456" t="s">
        <v>33</v>
      </c>
      <c r="AE1" s="456" t="s">
        <v>34</v>
      </c>
      <c r="AF1" s="456" t="s">
        <v>35</v>
      </c>
      <c r="AG1" s="456" t="s">
        <v>36</v>
      </c>
      <c r="AH1" s="456" t="s">
        <v>37</v>
      </c>
      <c r="AI1" s="456" t="s">
        <v>38</v>
      </c>
      <c r="AJ1" s="15" t="s">
        <v>39</v>
      </c>
      <c r="AK1" s="15" t="s">
        <v>40</v>
      </c>
      <c r="AL1" s="15" t="s">
        <v>41</v>
      </c>
      <c r="AM1" s="15" t="s">
        <v>2860</v>
      </c>
      <c r="AN1" s="15" t="s">
        <v>2861</v>
      </c>
    </row>
    <row r="2" ht="22.5" customHeight="1">
      <c r="A2" s="457" t="s">
        <v>2831</v>
      </c>
      <c r="B2" s="458" t="s">
        <v>1802</v>
      </c>
      <c r="C2" s="115" t="s">
        <v>1803</v>
      </c>
      <c r="D2" s="117" t="s">
        <v>76</v>
      </c>
      <c r="E2" s="32"/>
      <c r="F2" s="459"/>
      <c r="G2" s="23">
        <v>45751.0</v>
      </c>
      <c r="H2" s="24">
        <v>45756.0</v>
      </c>
      <c r="I2" s="52">
        <v>45760.0</v>
      </c>
      <c r="J2" s="26">
        <v>45759.0</v>
      </c>
      <c r="K2" s="39">
        <f>IF(ISBLANK(J2), NETWORKDAYS(H2, TODAY(),fESTIVOS!$A$1:$A$18), NETWORKDAYS(H2, J2, fESTIVOS!$A$1:$A$18))</f>
        <v>3</v>
      </c>
      <c r="L2" s="39"/>
      <c r="M2" s="23"/>
      <c r="N2" s="460"/>
      <c r="O2" s="29"/>
      <c r="P2" s="86" t="s">
        <v>1805</v>
      </c>
      <c r="Q2" s="461"/>
      <c r="R2" s="461"/>
      <c r="S2" s="461"/>
      <c r="T2" s="461"/>
      <c r="U2" s="461"/>
      <c r="V2" s="461"/>
      <c r="W2" s="461"/>
    </row>
    <row r="3" ht="22.5" customHeight="1">
      <c r="A3" s="457" t="s">
        <v>2831</v>
      </c>
      <c r="B3" s="462"/>
      <c r="C3" s="115" t="s">
        <v>2862</v>
      </c>
      <c r="D3" s="117" t="s">
        <v>76</v>
      </c>
      <c r="E3" s="21">
        <v>90.0</v>
      </c>
      <c r="F3" s="459"/>
      <c r="G3" s="23">
        <v>45749.0</v>
      </c>
      <c r="H3" s="24">
        <v>45754.0</v>
      </c>
      <c r="I3" s="26">
        <v>45772.0</v>
      </c>
      <c r="J3" s="26">
        <v>45783.0</v>
      </c>
      <c r="K3" s="39">
        <f>IF(ISBLANK(J3), NETWORKDAYS(H3, TODAY(),fESTIVOS!$A$1:$A$18), NETWORKDAYS(H3, J3, fESTIVOS!$A$1:$A$18))</f>
        <v>22</v>
      </c>
      <c r="L3" s="32"/>
      <c r="M3" s="23">
        <v>45755.0</v>
      </c>
      <c r="N3" s="460"/>
      <c r="O3" s="29"/>
      <c r="P3" s="53" t="s">
        <v>2863</v>
      </c>
      <c r="Q3" s="37" t="s">
        <v>2864</v>
      </c>
      <c r="R3" s="37" t="s">
        <v>2865</v>
      </c>
      <c r="S3" s="37" t="s">
        <v>2866</v>
      </c>
      <c r="T3" s="37" t="s">
        <v>2867</v>
      </c>
      <c r="U3" s="36"/>
      <c r="V3" s="36"/>
      <c r="W3" s="36"/>
    </row>
    <row r="4" ht="22.5" customHeight="1">
      <c r="A4" s="457" t="s">
        <v>2831</v>
      </c>
      <c r="B4" s="462"/>
      <c r="C4" s="115" t="s">
        <v>2868</v>
      </c>
      <c r="D4" s="117" t="s">
        <v>76</v>
      </c>
      <c r="E4" s="21">
        <v>60.0</v>
      </c>
      <c r="F4" s="459"/>
      <c r="G4" s="23">
        <v>45749.0</v>
      </c>
      <c r="H4" s="24">
        <v>45749.0</v>
      </c>
      <c r="I4" s="26">
        <v>45779.0</v>
      </c>
      <c r="J4" s="26">
        <v>45783.0</v>
      </c>
      <c r="K4" s="39">
        <f>IF(ISBLANK(J4), NETWORKDAYS(H4, TODAY(),fESTIVOS!$A$1:$A$18), NETWORKDAYS(H4, J4, fESTIVOS!$A$1:$A$18))</f>
        <v>25</v>
      </c>
      <c r="L4" s="32"/>
      <c r="M4" s="23">
        <v>45754.0</v>
      </c>
      <c r="N4" s="460"/>
      <c r="O4" s="29"/>
      <c r="P4" s="53" t="s">
        <v>2869</v>
      </c>
      <c r="Q4" s="37" t="s">
        <v>2864</v>
      </c>
      <c r="R4" s="37" t="s">
        <v>2870</v>
      </c>
      <c r="S4" s="37" t="s">
        <v>2866</v>
      </c>
      <c r="T4" s="37" t="s">
        <v>2871</v>
      </c>
      <c r="U4" s="36"/>
      <c r="V4" s="36"/>
      <c r="W4" s="36"/>
    </row>
    <row r="5" ht="22.5" customHeight="1">
      <c r="A5" s="457" t="s">
        <v>2831</v>
      </c>
      <c r="B5" s="462"/>
      <c r="C5" s="463" t="s">
        <v>2872</v>
      </c>
      <c r="D5" s="117" t="s">
        <v>76</v>
      </c>
      <c r="E5" s="58">
        <v>100.0</v>
      </c>
      <c r="F5" s="459"/>
      <c r="G5" s="81">
        <v>45770.0</v>
      </c>
      <c r="H5" s="60">
        <v>45770.0</v>
      </c>
      <c r="I5" s="60">
        <v>45770.0</v>
      </c>
      <c r="J5" s="60">
        <v>45770.0</v>
      </c>
      <c r="K5" s="39">
        <f>IF(ISBLANK(J5), NETWORKDAYS(H5, TODAY(),fESTIVOS!$A$1:$A$18), NETWORKDAYS(H5, J5, fESTIVOS!$A$1:$A$18))</f>
        <v>1</v>
      </c>
      <c r="L5" s="39"/>
      <c r="M5" s="23"/>
      <c r="N5" s="460"/>
      <c r="O5" s="29"/>
      <c r="P5" s="53" t="s">
        <v>2873</v>
      </c>
      <c r="Q5" s="104"/>
      <c r="R5" s="104"/>
      <c r="S5" s="104"/>
      <c r="T5" s="104"/>
      <c r="U5" s="104"/>
      <c r="V5" s="104"/>
      <c r="W5" s="104"/>
    </row>
    <row r="6" ht="22.5" customHeight="1">
      <c r="A6" s="457" t="s">
        <v>2831</v>
      </c>
      <c r="B6" s="246" t="s">
        <v>2874</v>
      </c>
      <c r="C6" s="464" t="s">
        <v>2875</v>
      </c>
      <c r="D6" s="465" t="s">
        <v>76</v>
      </c>
      <c r="E6" s="466">
        <v>50.0</v>
      </c>
      <c r="F6" s="467"/>
      <c r="G6" s="468"/>
      <c r="H6" s="469"/>
      <c r="I6" s="469"/>
      <c r="J6" s="469"/>
      <c r="K6" s="39">
        <f>IF(ISBLANK(J6), NETWORKDAYS(H6, TODAY(),fESTIVOS!$A$1:$A$18), NETWORKDAYS(H6, J6, fESTIVOS!$A$1:$A$18))</f>
        <v>32976</v>
      </c>
      <c r="L6" s="470"/>
      <c r="M6" s="468"/>
      <c r="N6" s="467"/>
      <c r="O6" s="471"/>
      <c r="P6" s="467"/>
      <c r="Q6" s="472" t="s">
        <v>2876</v>
      </c>
      <c r="R6" s="472" t="s">
        <v>2877</v>
      </c>
      <c r="S6" s="473"/>
      <c r="T6" s="473"/>
      <c r="U6" s="473"/>
      <c r="V6" s="473"/>
      <c r="W6" s="473"/>
    </row>
    <row r="7" ht="22.5" customHeight="1">
      <c r="A7" s="457" t="s">
        <v>2831</v>
      </c>
      <c r="B7" s="246" t="s">
        <v>2874</v>
      </c>
      <c r="C7" s="474" t="s">
        <v>2878</v>
      </c>
      <c r="D7" s="117" t="s">
        <v>76</v>
      </c>
      <c r="E7" s="139"/>
      <c r="F7" s="71"/>
      <c r="G7" s="59">
        <v>45666.0</v>
      </c>
      <c r="H7" s="52">
        <v>45684.0</v>
      </c>
      <c r="I7" s="68"/>
      <c r="J7" s="52">
        <v>45685.0</v>
      </c>
      <c r="K7" s="39">
        <f>IF(ISBLANK(J7), NETWORKDAYS(H7, TODAY(),fESTIVOS!$A$1:$A$18), NETWORKDAYS(H7, J7, fESTIVOS!$A$1:$A$18))</f>
        <v>2</v>
      </c>
      <c r="L7" s="459"/>
      <c r="M7" s="261">
        <v>45685.0</v>
      </c>
      <c r="N7" s="460"/>
      <c r="O7" s="29"/>
      <c r="P7" s="221" t="s">
        <v>2879</v>
      </c>
      <c r="Q7" s="91" t="s">
        <v>2880</v>
      </c>
      <c r="R7" s="472" t="s">
        <v>2877</v>
      </c>
      <c r="S7" s="473"/>
      <c r="T7" s="473"/>
      <c r="U7" s="473"/>
      <c r="V7" s="473"/>
      <c r="W7" s="473"/>
    </row>
    <row r="8" ht="29.25" customHeight="1">
      <c r="A8" s="475" t="s">
        <v>2816</v>
      </c>
      <c r="B8" s="476"/>
      <c r="C8" s="477" t="s">
        <v>2881</v>
      </c>
      <c r="D8" s="117" t="s">
        <v>76</v>
      </c>
      <c r="E8" s="478"/>
      <c r="F8" s="478"/>
      <c r="G8" s="479">
        <v>45756.0</v>
      </c>
      <c r="H8" s="480">
        <v>45756.0</v>
      </c>
      <c r="I8" s="480"/>
      <c r="J8" s="480">
        <v>45756.0</v>
      </c>
      <c r="K8" s="481">
        <f>IF(ISBLANK(J8), NETWORKDAYS(H8, TODAY(),fESTIVOS!$A$1:$A$18), NETWORKDAYS(H8, J8, fESTIVOS!$A$1:$A$18))</f>
        <v>1</v>
      </c>
      <c r="L8" s="478"/>
      <c r="M8" s="479"/>
      <c r="N8" s="478"/>
      <c r="O8" s="482"/>
      <c r="P8" s="483" t="s">
        <v>2882</v>
      </c>
      <c r="Q8" s="484"/>
      <c r="R8" s="484"/>
      <c r="S8" s="484"/>
      <c r="T8" s="484"/>
      <c r="U8" s="484"/>
      <c r="V8" s="484"/>
      <c r="W8" s="484"/>
      <c r="X8" s="485"/>
      <c r="Y8" s="485"/>
      <c r="Z8" s="485"/>
      <c r="AA8" s="485"/>
      <c r="AB8" s="485"/>
      <c r="AC8" s="485"/>
      <c r="AD8" s="485"/>
      <c r="AE8" s="485"/>
      <c r="AF8" s="485"/>
      <c r="AG8" s="485"/>
      <c r="AH8" s="485"/>
      <c r="AI8" s="485"/>
      <c r="AJ8" s="485"/>
      <c r="AK8" s="485"/>
      <c r="AL8" s="485"/>
      <c r="AM8" s="485"/>
      <c r="AN8" s="485"/>
    </row>
    <row r="9" ht="29.25" customHeight="1">
      <c r="A9" s="475" t="s">
        <v>2816</v>
      </c>
      <c r="B9" s="476"/>
      <c r="C9" s="477" t="s">
        <v>2883</v>
      </c>
      <c r="D9" s="486" t="s">
        <v>76</v>
      </c>
      <c r="E9" s="478"/>
      <c r="F9" s="478"/>
      <c r="G9" s="479">
        <v>45750.0</v>
      </c>
      <c r="H9" s="480">
        <v>45750.0</v>
      </c>
      <c r="I9" s="480"/>
      <c r="J9" s="480">
        <v>45755.0</v>
      </c>
      <c r="K9" s="481">
        <f>IF(ISBLANK(J9), NETWORKDAYS(H9, TODAY(),fESTIVOS!$A$1:$A$18), NETWORKDAYS(H9, J9, fESTIVOS!$A$1:$A$18))</f>
        <v>4</v>
      </c>
      <c r="L9" s="478"/>
      <c r="M9" s="479">
        <v>45755.0</v>
      </c>
      <c r="N9" s="478"/>
      <c r="O9" s="482">
        <v>45761.0</v>
      </c>
      <c r="P9" s="487" t="s">
        <v>2884</v>
      </c>
      <c r="Q9" s="488"/>
      <c r="R9" s="488"/>
      <c r="S9" s="488"/>
      <c r="T9" s="488"/>
      <c r="U9" s="488"/>
      <c r="V9" s="488"/>
      <c r="W9" s="488"/>
      <c r="X9" s="485"/>
      <c r="Y9" s="485"/>
      <c r="Z9" s="485"/>
      <c r="AA9" s="485"/>
      <c r="AB9" s="485"/>
      <c r="AC9" s="485"/>
      <c r="AD9" s="485"/>
      <c r="AE9" s="485"/>
      <c r="AF9" s="485"/>
      <c r="AG9" s="485"/>
      <c r="AH9" s="485"/>
      <c r="AI9" s="485"/>
      <c r="AJ9" s="485"/>
      <c r="AK9" s="485"/>
      <c r="AL9" s="485"/>
      <c r="AM9" s="485"/>
      <c r="AN9" s="485"/>
    </row>
    <row r="10" ht="29.25" customHeight="1">
      <c r="A10" s="475" t="s">
        <v>2816</v>
      </c>
      <c r="B10" s="476"/>
      <c r="C10" s="489" t="s">
        <v>2885</v>
      </c>
      <c r="D10" s="117" t="s">
        <v>76</v>
      </c>
      <c r="E10" s="478"/>
      <c r="F10" s="478"/>
      <c r="G10" s="479">
        <v>45750.0</v>
      </c>
      <c r="H10" s="480">
        <v>45751.0</v>
      </c>
      <c r="I10" s="480"/>
      <c r="J10" s="480"/>
      <c r="K10" s="481">
        <f>IF(ISBLANK(J10), NETWORKDAYS(H10, TODAY(),fESTIVOS!$A$1:$A$18), NETWORKDAYS(H10, J10, fESTIVOS!$A$1:$A$18))</f>
        <v>313</v>
      </c>
      <c r="L10" s="478"/>
      <c r="M10" s="479"/>
      <c r="N10" s="490" t="s">
        <v>2886</v>
      </c>
      <c r="O10" s="482"/>
      <c r="P10" s="487" t="s">
        <v>2887</v>
      </c>
      <c r="Q10" s="488"/>
      <c r="R10" s="491"/>
      <c r="S10" s="491"/>
      <c r="T10" s="491"/>
      <c r="U10" s="491"/>
      <c r="V10" s="491"/>
      <c r="W10" s="491"/>
      <c r="X10" s="492"/>
      <c r="Y10" s="492"/>
      <c r="Z10" s="492"/>
      <c r="AA10" s="492"/>
      <c r="AB10" s="492"/>
      <c r="AC10" s="492"/>
      <c r="AD10" s="492"/>
      <c r="AE10" s="492"/>
      <c r="AF10" s="492"/>
      <c r="AG10" s="492"/>
      <c r="AH10" s="492"/>
      <c r="AI10" s="492"/>
      <c r="AJ10" s="492"/>
      <c r="AK10" s="492"/>
      <c r="AL10" s="492"/>
      <c r="AM10" s="492"/>
      <c r="AN10" s="492"/>
    </row>
    <row r="11" ht="29.25" customHeight="1">
      <c r="Q11" s="493" t="s">
        <v>2888</v>
      </c>
      <c r="R11" s="493" t="s">
        <v>2889</v>
      </c>
      <c r="S11" s="493" t="s">
        <v>2890</v>
      </c>
      <c r="T11" s="494"/>
      <c r="U11" s="494"/>
      <c r="V11" s="494"/>
      <c r="W11" s="494"/>
      <c r="X11" s="495"/>
      <c r="Y11" s="495"/>
      <c r="Z11" s="495"/>
      <c r="AA11" s="495"/>
      <c r="AB11" s="495"/>
      <c r="AC11" s="495"/>
      <c r="AD11" s="495"/>
      <c r="AE11" s="495"/>
      <c r="AF11" s="495"/>
      <c r="AG11" s="495"/>
      <c r="AH11" s="495"/>
      <c r="AI11" s="495"/>
      <c r="AJ11" s="495"/>
      <c r="AK11" s="495"/>
      <c r="AL11" s="495"/>
      <c r="AM11" s="495"/>
      <c r="AN11" s="495"/>
    </row>
    <row r="12" ht="29.25" customHeight="1">
      <c r="A12" s="475" t="s">
        <v>2841</v>
      </c>
      <c r="B12" s="496" t="s">
        <v>2891</v>
      </c>
      <c r="C12" s="489" t="s">
        <v>2892</v>
      </c>
      <c r="D12" s="486" t="s">
        <v>76</v>
      </c>
      <c r="E12" s="478"/>
      <c r="F12" s="497"/>
      <c r="G12" s="479">
        <v>45751.0</v>
      </c>
      <c r="H12" s="480">
        <v>45755.0</v>
      </c>
      <c r="I12" s="498"/>
      <c r="J12" s="499">
        <v>45758.0</v>
      </c>
      <c r="K12" s="481">
        <f>IF(ISBLANK(J12), NETWORKDAYS(H12, TODAY(),fESTIVOS!$A$1:$A$18), NETWORKDAYS(H12, J12, fESTIVOS!$A$1:$A$18))</f>
        <v>4</v>
      </c>
      <c r="L12" s="500"/>
      <c r="M12" s="501"/>
      <c r="N12" s="502"/>
      <c r="O12" s="503"/>
      <c r="P12" s="504" t="s">
        <v>2893</v>
      </c>
      <c r="Q12" s="484"/>
      <c r="R12" s="505"/>
      <c r="S12" s="505"/>
      <c r="T12" s="505"/>
      <c r="U12" s="505"/>
      <c r="V12" s="505"/>
      <c r="W12" s="505"/>
      <c r="X12" s="492"/>
      <c r="Y12" s="492"/>
      <c r="Z12" s="492"/>
      <c r="AA12" s="492"/>
      <c r="AB12" s="492"/>
      <c r="AC12" s="492"/>
      <c r="AD12" s="492"/>
      <c r="AE12" s="492"/>
      <c r="AF12" s="492"/>
      <c r="AG12" s="492"/>
      <c r="AH12" s="492"/>
      <c r="AI12" s="492"/>
      <c r="AJ12" s="492"/>
      <c r="AK12" s="492"/>
      <c r="AL12" s="492"/>
      <c r="AM12" s="492"/>
      <c r="AN12" s="492"/>
    </row>
    <row r="13" ht="29.25" customHeight="1">
      <c r="A13" s="475" t="s">
        <v>2841</v>
      </c>
      <c r="B13" s="476"/>
      <c r="C13" s="477" t="s">
        <v>2894</v>
      </c>
      <c r="D13" s="117" t="s">
        <v>76</v>
      </c>
      <c r="E13" s="478"/>
      <c r="F13" s="506"/>
      <c r="G13" s="479">
        <v>45757.0</v>
      </c>
      <c r="H13" s="507"/>
      <c r="I13" s="508"/>
      <c r="J13" s="508"/>
      <c r="K13" s="481">
        <f>IF(ISBLANK(J13), NETWORKDAYS(H13, TODAY(),fESTIVOS!$A$1:$A$18), NETWORKDAYS(H13, J13, fESTIVOS!$A$1:$A$18))</f>
        <v>32976</v>
      </c>
      <c r="L13" s="509"/>
      <c r="M13" s="510"/>
      <c r="N13" s="511"/>
      <c r="O13" s="512"/>
      <c r="P13" s="502" t="s">
        <v>2895</v>
      </c>
      <c r="Q13" s="513"/>
      <c r="R13" s="513"/>
      <c r="S13" s="513"/>
      <c r="T13" s="513"/>
      <c r="U13" s="513"/>
      <c r="V13" s="513"/>
      <c r="W13" s="513"/>
      <c r="X13" s="492"/>
      <c r="Y13" s="492"/>
      <c r="Z13" s="492"/>
      <c r="AA13" s="492"/>
      <c r="AB13" s="492"/>
      <c r="AC13" s="492"/>
      <c r="AD13" s="492"/>
      <c r="AE13" s="492"/>
      <c r="AF13" s="492"/>
      <c r="AG13" s="492"/>
      <c r="AH13" s="492"/>
      <c r="AI13" s="492"/>
      <c r="AJ13" s="492"/>
      <c r="AK13" s="492"/>
      <c r="AL13" s="492"/>
      <c r="AM13" s="492"/>
      <c r="AN13" s="492"/>
    </row>
    <row r="14" ht="29.25" customHeight="1">
      <c r="A14" s="475" t="s">
        <v>2841</v>
      </c>
      <c r="B14" s="514" t="s">
        <v>2896</v>
      </c>
      <c r="C14" s="515" t="s">
        <v>2897</v>
      </c>
      <c r="D14" s="117" t="s">
        <v>76</v>
      </c>
      <c r="E14" s="478"/>
      <c r="F14" s="497"/>
      <c r="G14" s="479">
        <v>45748.0</v>
      </c>
      <c r="H14" s="480">
        <v>45749.0</v>
      </c>
      <c r="I14" s="498"/>
      <c r="J14" s="498">
        <v>45755.0</v>
      </c>
      <c r="K14" s="481">
        <f>IF(ISBLANK(J14), NETWORKDAYS(H14, TODAY(),fESTIVOS!$A$1:$A$18), NETWORKDAYS(H14, J14, fESTIVOS!$A$1:$A$18))</f>
        <v>5</v>
      </c>
      <c r="L14" s="516"/>
      <c r="M14" s="501">
        <v>45755.0</v>
      </c>
      <c r="N14" s="502"/>
      <c r="O14" s="503"/>
      <c r="P14" s="517" t="s">
        <v>2898</v>
      </c>
      <c r="Q14" s="518"/>
      <c r="R14" s="519"/>
      <c r="S14" s="519"/>
      <c r="T14" s="519"/>
      <c r="U14" s="519"/>
      <c r="V14" s="519"/>
      <c r="W14" s="519"/>
      <c r="X14" s="495"/>
      <c r="Y14" s="495"/>
      <c r="Z14" s="495"/>
      <c r="AA14" s="495"/>
      <c r="AB14" s="495"/>
      <c r="AC14" s="495"/>
      <c r="AD14" s="495"/>
      <c r="AE14" s="495"/>
      <c r="AF14" s="495"/>
      <c r="AG14" s="495"/>
      <c r="AH14" s="495"/>
      <c r="AI14" s="495"/>
      <c r="AJ14" s="495"/>
      <c r="AK14" s="495"/>
      <c r="AL14" s="495"/>
      <c r="AM14" s="495"/>
      <c r="AN14" s="495"/>
    </row>
    <row r="15" ht="29.25" customHeight="1">
      <c r="A15" s="475" t="s">
        <v>2816</v>
      </c>
      <c r="B15" s="490" t="s">
        <v>2899</v>
      </c>
      <c r="C15" s="515" t="s">
        <v>2900</v>
      </c>
      <c r="D15" s="486" t="s">
        <v>76</v>
      </c>
      <c r="E15" s="478"/>
      <c r="F15" s="478"/>
      <c r="G15" s="479">
        <v>45754.0</v>
      </c>
      <c r="H15" s="480">
        <v>45757.0</v>
      </c>
      <c r="I15" s="480"/>
      <c r="J15" s="480">
        <v>45761.0</v>
      </c>
      <c r="K15" s="481">
        <f>IF(ISBLANK(J15), NETWORKDAYS(H15, TODAY(),fESTIVOS!$A$1:$A$18), NETWORKDAYS(H15, J15, fESTIVOS!$A$1:$A$18))</f>
        <v>3</v>
      </c>
      <c r="L15" s="478"/>
      <c r="M15" s="479"/>
      <c r="N15" s="478"/>
      <c r="O15" s="482">
        <v>45761.0</v>
      </c>
      <c r="P15" s="483" t="s">
        <v>2901</v>
      </c>
      <c r="Q15" s="484"/>
      <c r="R15" s="484"/>
      <c r="S15" s="484"/>
      <c r="T15" s="484"/>
      <c r="U15" s="484"/>
      <c r="V15" s="484"/>
      <c r="W15" s="484"/>
      <c r="X15" s="485"/>
      <c r="Y15" s="485"/>
      <c r="Z15" s="485"/>
      <c r="AA15" s="485"/>
      <c r="AB15" s="485"/>
      <c r="AC15" s="485"/>
      <c r="AD15" s="485"/>
      <c r="AE15" s="485"/>
      <c r="AF15" s="485"/>
      <c r="AG15" s="485"/>
      <c r="AH15" s="485"/>
      <c r="AI15" s="485"/>
      <c r="AJ15" s="485"/>
      <c r="AK15" s="485"/>
      <c r="AL15" s="485"/>
      <c r="AM15" s="485"/>
      <c r="AN15" s="485"/>
    </row>
    <row r="16" ht="29.25" customHeight="1">
      <c r="A16" s="475" t="s">
        <v>2816</v>
      </c>
      <c r="B16" s="490" t="s">
        <v>2902</v>
      </c>
      <c r="C16" s="515" t="s">
        <v>2903</v>
      </c>
      <c r="D16" s="486" t="s">
        <v>76</v>
      </c>
      <c r="E16" s="478"/>
      <c r="F16" s="478"/>
      <c r="G16" s="479">
        <v>45754.0</v>
      </c>
      <c r="H16" s="480">
        <v>45757.0</v>
      </c>
      <c r="I16" s="480"/>
      <c r="J16" s="480">
        <v>45761.0</v>
      </c>
      <c r="K16" s="481">
        <f>IF(ISBLANK(J16), NETWORKDAYS(H16, TODAY(),fESTIVOS!$A$1:$A$18), NETWORKDAYS(H16, J16, fESTIVOS!$A$1:$A$18))</f>
        <v>3</v>
      </c>
      <c r="L16" s="478"/>
      <c r="M16" s="479"/>
      <c r="N16" s="478"/>
      <c r="O16" s="482">
        <v>45761.0</v>
      </c>
      <c r="P16" s="483" t="s">
        <v>2904</v>
      </c>
      <c r="Q16" s="484"/>
      <c r="R16" s="484"/>
      <c r="S16" s="484"/>
      <c r="T16" s="484"/>
      <c r="U16" s="484"/>
      <c r="V16" s="484"/>
      <c r="W16" s="484"/>
      <c r="X16" s="485"/>
      <c r="Y16" s="485"/>
      <c r="Z16" s="485"/>
      <c r="AA16" s="485"/>
      <c r="AB16" s="485"/>
      <c r="AC16" s="485"/>
      <c r="AD16" s="485"/>
      <c r="AE16" s="485"/>
      <c r="AF16" s="485"/>
      <c r="AG16" s="485"/>
      <c r="AH16" s="485"/>
      <c r="AI16" s="485"/>
      <c r="AJ16" s="485"/>
      <c r="AK16" s="485"/>
      <c r="AL16" s="485"/>
      <c r="AM16" s="485"/>
      <c r="AN16" s="485"/>
    </row>
    <row r="17" ht="29.25" customHeight="1">
      <c r="A17" s="475" t="s">
        <v>2816</v>
      </c>
      <c r="B17" s="490" t="s">
        <v>2905</v>
      </c>
      <c r="C17" s="515" t="s">
        <v>2906</v>
      </c>
      <c r="D17" s="486" t="s">
        <v>76</v>
      </c>
      <c r="E17" s="478"/>
      <c r="F17" s="478"/>
      <c r="G17" s="479">
        <v>45754.0</v>
      </c>
      <c r="H17" s="480">
        <v>45761.0</v>
      </c>
      <c r="I17" s="480"/>
      <c r="J17" s="480">
        <v>45761.0</v>
      </c>
      <c r="K17" s="481">
        <f>IF(ISBLANK(J17), NETWORKDAYS(H17, TODAY(),fESTIVOS!$A$1:$A$18), NETWORKDAYS(H17, J17, fESTIVOS!$A$1:$A$18))</f>
        <v>1</v>
      </c>
      <c r="L17" s="478"/>
      <c r="M17" s="479"/>
      <c r="N17" s="478"/>
      <c r="O17" s="482">
        <v>45761.0</v>
      </c>
      <c r="P17" s="483" t="s">
        <v>2907</v>
      </c>
      <c r="Q17" s="484"/>
      <c r="R17" s="484"/>
      <c r="S17" s="484"/>
      <c r="T17" s="484"/>
      <c r="U17" s="484"/>
      <c r="V17" s="484"/>
      <c r="W17" s="484"/>
      <c r="X17" s="485"/>
      <c r="Y17" s="485"/>
      <c r="Z17" s="485"/>
      <c r="AA17" s="485"/>
      <c r="AB17" s="485"/>
      <c r="AC17" s="485"/>
      <c r="AD17" s="485"/>
      <c r="AE17" s="485"/>
      <c r="AF17" s="485"/>
      <c r="AG17" s="485"/>
      <c r="AH17" s="485"/>
      <c r="AI17" s="485"/>
      <c r="AJ17" s="485"/>
      <c r="AK17" s="485"/>
      <c r="AL17" s="485"/>
      <c r="AM17" s="485"/>
      <c r="AN17" s="485"/>
    </row>
    <row r="18" ht="29.25" customHeight="1">
      <c r="A18" s="475" t="s">
        <v>2816</v>
      </c>
      <c r="B18" s="490" t="s">
        <v>2908</v>
      </c>
      <c r="C18" s="515" t="s">
        <v>2909</v>
      </c>
      <c r="D18" s="486" t="s">
        <v>76</v>
      </c>
      <c r="E18" s="478"/>
      <c r="F18" s="478"/>
      <c r="G18" s="479">
        <v>45754.0</v>
      </c>
      <c r="H18" s="480">
        <v>45757.0</v>
      </c>
      <c r="I18" s="480"/>
      <c r="J18" s="480">
        <v>45761.0</v>
      </c>
      <c r="K18" s="481">
        <f>IF(ISBLANK(J18), NETWORKDAYS(H18, TODAY(),fESTIVOS!$A$1:$A$18), NETWORKDAYS(H18, J18, fESTIVOS!$A$1:$A$18))</f>
        <v>3</v>
      </c>
      <c r="L18" s="478"/>
      <c r="M18" s="479"/>
      <c r="N18" s="478"/>
      <c r="O18" s="482">
        <v>45761.0</v>
      </c>
      <c r="P18" s="483" t="s">
        <v>2910</v>
      </c>
      <c r="Q18" s="484"/>
      <c r="R18" s="484"/>
      <c r="S18" s="484"/>
      <c r="T18" s="484"/>
      <c r="U18" s="484"/>
      <c r="V18" s="484"/>
      <c r="W18" s="484"/>
      <c r="X18" s="485"/>
      <c r="Y18" s="485"/>
      <c r="Z18" s="485"/>
      <c r="AA18" s="485"/>
      <c r="AB18" s="485"/>
      <c r="AC18" s="485"/>
      <c r="AD18" s="485"/>
      <c r="AE18" s="485"/>
      <c r="AF18" s="485"/>
      <c r="AG18" s="485"/>
      <c r="AH18" s="485"/>
      <c r="AI18" s="485"/>
      <c r="AJ18" s="485"/>
      <c r="AK18" s="485"/>
      <c r="AL18" s="485"/>
      <c r="AM18" s="485"/>
      <c r="AN18" s="485"/>
    </row>
    <row r="19" ht="29.25" customHeight="1">
      <c r="A19" s="520" t="s">
        <v>2816</v>
      </c>
      <c r="B19" s="490" t="s">
        <v>2911</v>
      </c>
      <c r="C19" s="515" t="s">
        <v>2912</v>
      </c>
      <c r="D19" s="486" t="s">
        <v>76</v>
      </c>
      <c r="E19" s="521"/>
      <c r="F19" s="521"/>
      <c r="G19" s="522">
        <v>45793.0</v>
      </c>
      <c r="H19" s="523">
        <v>45793.0</v>
      </c>
      <c r="I19" s="523">
        <v>45793.0</v>
      </c>
      <c r="J19" s="523">
        <v>45793.0</v>
      </c>
      <c r="K19" s="490">
        <v>1.0</v>
      </c>
      <c r="L19" s="478"/>
      <c r="M19" s="479"/>
      <c r="N19" s="478"/>
      <c r="O19" s="482"/>
      <c r="P19" s="487"/>
      <c r="Q19" s="488"/>
      <c r="R19" s="488"/>
      <c r="S19" s="488"/>
      <c r="T19" s="488"/>
      <c r="U19" s="488"/>
      <c r="V19" s="488"/>
      <c r="W19" s="488"/>
      <c r="X19" s="485"/>
      <c r="Y19" s="485"/>
      <c r="Z19" s="485"/>
      <c r="AA19" s="485"/>
      <c r="AB19" s="485"/>
      <c r="AC19" s="485"/>
      <c r="AD19" s="485"/>
      <c r="AE19" s="485"/>
      <c r="AF19" s="485"/>
      <c r="AG19" s="485"/>
      <c r="AH19" s="485"/>
      <c r="AI19" s="485"/>
      <c r="AJ19" s="485"/>
      <c r="AK19" s="485"/>
      <c r="AL19" s="485"/>
      <c r="AM19" s="485"/>
      <c r="AN19" s="485"/>
    </row>
    <row r="20" ht="29.25" customHeight="1">
      <c r="A20" s="520" t="s">
        <v>2913</v>
      </c>
      <c r="B20" s="524" t="s">
        <v>2914</v>
      </c>
      <c r="C20" s="515" t="s">
        <v>2915</v>
      </c>
      <c r="D20" s="525" t="s">
        <v>76</v>
      </c>
      <c r="E20" s="526"/>
      <c r="F20" s="526"/>
      <c r="G20" s="522">
        <v>45763.0</v>
      </c>
      <c r="H20" s="523">
        <v>45763.0</v>
      </c>
      <c r="I20" s="523">
        <v>45763.0</v>
      </c>
      <c r="J20" s="523">
        <v>45763.0</v>
      </c>
      <c r="K20" s="490">
        <v>1.0</v>
      </c>
      <c r="L20" s="478"/>
      <c r="M20" s="522">
        <v>45763.0</v>
      </c>
      <c r="N20" s="526"/>
      <c r="O20" s="527">
        <v>45763.0</v>
      </c>
      <c r="P20" s="488"/>
      <c r="Q20" s="488"/>
      <c r="R20" s="488"/>
      <c r="S20" s="488"/>
      <c r="T20" s="488"/>
      <c r="U20" s="488"/>
      <c r="V20" s="488"/>
      <c r="W20" s="488"/>
      <c r="X20" s="485"/>
      <c r="Y20" s="485"/>
      <c r="Z20" s="485"/>
      <c r="AA20" s="485"/>
      <c r="AB20" s="485"/>
      <c r="AC20" s="485"/>
      <c r="AD20" s="485"/>
      <c r="AE20" s="485"/>
      <c r="AF20" s="485"/>
      <c r="AG20" s="485"/>
      <c r="AH20" s="485"/>
      <c r="AI20" s="485"/>
      <c r="AJ20" s="485"/>
      <c r="AK20" s="485"/>
      <c r="AL20" s="485"/>
      <c r="AM20" s="485"/>
      <c r="AN20" s="485"/>
    </row>
    <row r="21" ht="29.25" customHeight="1">
      <c r="A21" s="520" t="s">
        <v>2913</v>
      </c>
      <c r="B21" s="524" t="s">
        <v>2916</v>
      </c>
      <c r="C21" s="515" t="s">
        <v>2915</v>
      </c>
      <c r="D21" s="525" t="s">
        <v>76</v>
      </c>
      <c r="E21" s="526"/>
      <c r="F21" s="526"/>
      <c r="G21" s="522">
        <v>45763.0</v>
      </c>
      <c r="H21" s="523">
        <v>45763.0</v>
      </c>
      <c r="I21" s="523">
        <v>45763.0</v>
      </c>
      <c r="J21" s="523">
        <v>45763.0</v>
      </c>
      <c r="K21" s="490">
        <v>1.0</v>
      </c>
      <c r="L21" s="478"/>
      <c r="M21" s="522">
        <v>45763.0</v>
      </c>
      <c r="N21" s="526"/>
      <c r="O21" s="527">
        <v>45763.0</v>
      </c>
      <c r="P21" s="488"/>
      <c r="Q21" s="488"/>
      <c r="R21" s="488"/>
      <c r="S21" s="488"/>
      <c r="T21" s="488"/>
      <c r="U21" s="488"/>
      <c r="V21" s="488"/>
      <c r="W21" s="488"/>
      <c r="X21" s="485"/>
      <c r="Y21" s="485"/>
      <c r="Z21" s="485"/>
      <c r="AA21" s="485"/>
      <c r="AB21" s="485"/>
      <c r="AC21" s="485"/>
      <c r="AD21" s="485"/>
      <c r="AE21" s="485"/>
      <c r="AF21" s="485"/>
      <c r="AG21" s="485"/>
      <c r="AH21" s="485"/>
      <c r="AI21" s="485"/>
      <c r="AJ21" s="485"/>
      <c r="AK21" s="485"/>
      <c r="AL21" s="485"/>
      <c r="AM21" s="485"/>
      <c r="AN21" s="485"/>
    </row>
    <row r="22" ht="29.25" customHeight="1">
      <c r="A22" s="520" t="s">
        <v>2913</v>
      </c>
      <c r="B22" s="524" t="s">
        <v>2917</v>
      </c>
      <c r="C22" s="515" t="s">
        <v>2915</v>
      </c>
      <c r="D22" s="525" t="s">
        <v>76</v>
      </c>
      <c r="E22" s="526"/>
      <c r="F22" s="526"/>
      <c r="G22" s="522">
        <v>45763.0</v>
      </c>
      <c r="H22" s="523">
        <v>45763.0</v>
      </c>
      <c r="I22" s="523">
        <v>45763.0</v>
      </c>
      <c r="J22" s="523">
        <v>45763.0</v>
      </c>
      <c r="K22" s="490">
        <v>1.0</v>
      </c>
      <c r="L22" s="478"/>
      <c r="M22" s="522">
        <v>45763.0</v>
      </c>
      <c r="N22" s="526"/>
      <c r="O22" s="527">
        <v>45763.0</v>
      </c>
      <c r="P22" s="488"/>
      <c r="Q22" s="488"/>
      <c r="R22" s="488"/>
      <c r="S22" s="488"/>
      <c r="T22" s="488"/>
      <c r="U22" s="488"/>
      <c r="V22" s="488"/>
      <c r="W22" s="488"/>
      <c r="X22" s="485"/>
      <c r="Y22" s="485"/>
      <c r="Z22" s="485"/>
      <c r="AA22" s="485"/>
      <c r="AB22" s="485"/>
      <c r="AC22" s="485"/>
      <c r="AD22" s="485"/>
      <c r="AE22" s="485"/>
      <c r="AF22" s="485"/>
      <c r="AG22" s="485"/>
      <c r="AH22" s="485"/>
      <c r="AI22" s="485"/>
      <c r="AJ22" s="485"/>
      <c r="AK22" s="485"/>
      <c r="AL22" s="485"/>
      <c r="AM22" s="485"/>
      <c r="AN22" s="485"/>
    </row>
    <row r="23" ht="29.25" customHeight="1">
      <c r="A23" s="520" t="s">
        <v>2913</v>
      </c>
      <c r="B23" s="524" t="s">
        <v>2918</v>
      </c>
      <c r="C23" s="515" t="s">
        <v>2915</v>
      </c>
      <c r="D23" s="525" t="s">
        <v>76</v>
      </c>
      <c r="E23" s="526"/>
      <c r="F23" s="526"/>
      <c r="G23" s="522">
        <v>45763.0</v>
      </c>
      <c r="H23" s="523">
        <v>45763.0</v>
      </c>
      <c r="I23" s="523">
        <v>45763.0</v>
      </c>
      <c r="J23" s="523">
        <v>45763.0</v>
      </c>
      <c r="K23" s="490">
        <v>1.0</v>
      </c>
      <c r="L23" s="478"/>
      <c r="M23" s="522">
        <v>45763.0</v>
      </c>
      <c r="N23" s="526"/>
      <c r="O23" s="527">
        <v>45763.0</v>
      </c>
      <c r="P23" s="488"/>
      <c r="Q23" s="488"/>
      <c r="R23" s="488"/>
      <c r="S23" s="488"/>
      <c r="T23" s="488"/>
      <c r="U23" s="488"/>
      <c r="V23" s="488"/>
      <c r="W23" s="488"/>
      <c r="X23" s="485"/>
      <c r="Y23" s="485"/>
      <c r="Z23" s="485"/>
      <c r="AA23" s="485"/>
      <c r="AB23" s="485"/>
      <c r="AC23" s="485"/>
      <c r="AD23" s="485"/>
      <c r="AE23" s="485"/>
      <c r="AF23" s="485"/>
      <c r="AG23" s="485"/>
      <c r="AH23" s="485"/>
      <c r="AI23" s="485"/>
      <c r="AJ23" s="485"/>
      <c r="AK23" s="485"/>
      <c r="AL23" s="485"/>
      <c r="AM23" s="485"/>
      <c r="AN23" s="485"/>
    </row>
    <row r="24" ht="29.25" customHeight="1">
      <c r="A24" s="520" t="s">
        <v>2913</v>
      </c>
      <c r="B24" s="524" t="s">
        <v>2919</v>
      </c>
      <c r="C24" s="515" t="s">
        <v>2915</v>
      </c>
      <c r="D24" s="525" t="s">
        <v>76</v>
      </c>
      <c r="E24" s="526"/>
      <c r="F24" s="526"/>
      <c r="G24" s="522">
        <v>45763.0</v>
      </c>
      <c r="H24" s="523">
        <v>45763.0</v>
      </c>
      <c r="I24" s="523">
        <v>45763.0</v>
      </c>
      <c r="J24" s="523">
        <v>45763.0</v>
      </c>
      <c r="K24" s="490">
        <v>1.0</v>
      </c>
      <c r="L24" s="478"/>
      <c r="M24" s="522">
        <v>45763.0</v>
      </c>
      <c r="N24" s="526"/>
      <c r="O24" s="527">
        <v>45763.0</v>
      </c>
      <c r="P24" s="488"/>
      <c r="Q24" s="488"/>
      <c r="R24" s="488"/>
      <c r="S24" s="488"/>
      <c r="T24" s="488"/>
      <c r="U24" s="488"/>
      <c r="V24" s="488"/>
      <c r="W24" s="488"/>
      <c r="X24" s="485"/>
      <c r="Y24" s="485"/>
      <c r="Z24" s="485"/>
      <c r="AA24" s="485"/>
      <c r="AB24" s="485"/>
      <c r="AC24" s="485"/>
      <c r="AD24" s="485"/>
      <c r="AE24" s="485"/>
      <c r="AF24" s="485"/>
      <c r="AG24" s="485"/>
      <c r="AH24" s="485"/>
      <c r="AI24" s="485"/>
      <c r="AJ24" s="485"/>
      <c r="AK24" s="485"/>
      <c r="AL24" s="485"/>
      <c r="AM24" s="485"/>
      <c r="AN24" s="485"/>
    </row>
    <row r="25" ht="29.25" customHeight="1">
      <c r="A25" s="520" t="s">
        <v>2913</v>
      </c>
      <c r="B25" s="524" t="s">
        <v>2920</v>
      </c>
      <c r="C25" s="515" t="s">
        <v>2915</v>
      </c>
      <c r="D25" s="525" t="s">
        <v>76</v>
      </c>
      <c r="E25" s="526"/>
      <c r="F25" s="526"/>
      <c r="G25" s="522">
        <v>45763.0</v>
      </c>
      <c r="H25" s="523">
        <v>45763.0</v>
      </c>
      <c r="I25" s="523">
        <v>45763.0</v>
      </c>
      <c r="J25" s="523">
        <v>45763.0</v>
      </c>
      <c r="K25" s="490">
        <v>1.0</v>
      </c>
      <c r="L25" s="478"/>
      <c r="M25" s="522">
        <v>45763.0</v>
      </c>
      <c r="N25" s="526"/>
      <c r="O25" s="527">
        <v>45763.0</v>
      </c>
      <c r="P25" s="488"/>
      <c r="Q25" s="488"/>
      <c r="R25" s="488"/>
      <c r="S25" s="488"/>
      <c r="T25" s="488"/>
      <c r="U25" s="488"/>
      <c r="V25" s="488"/>
      <c r="W25" s="488"/>
      <c r="X25" s="485"/>
      <c r="Y25" s="485"/>
      <c r="Z25" s="485"/>
      <c r="AA25" s="485"/>
      <c r="AB25" s="485"/>
      <c r="AC25" s="485"/>
      <c r="AD25" s="485"/>
      <c r="AE25" s="485"/>
      <c r="AF25" s="485"/>
      <c r="AG25" s="485"/>
      <c r="AH25" s="485"/>
      <c r="AI25" s="485"/>
      <c r="AJ25" s="485"/>
      <c r="AK25" s="485"/>
      <c r="AL25" s="485"/>
      <c r="AM25" s="485"/>
      <c r="AN25" s="485"/>
    </row>
    <row r="26" ht="29.25" customHeight="1">
      <c r="A26" s="520" t="s">
        <v>2913</v>
      </c>
      <c r="B26" s="524" t="s">
        <v>2921</v>
      </c>
      <c r="C26" s="515" t="s">
        <v>2915</v>
      </c>
      <c r="D26" s="525" t="s">
        <v>76</v>
      </c>
      <c r="E26" s="526"/>
      <c r="F26" s="526"/>
      <c r="G26" s="522">
        <v>45763.0</v>
      </c>
      <c r="H26" s="523">
        <v>45763.0</v>
      </c>
      <c r="I26" s="523">
        <v>45763.0</v>
      </c>
      <c r="J26" s="523">
        <v>45763.0</v>
      </c>
      <c r="K26" s="490">
        <v>1.0</v>
      </c>
      <c r="L26" s="478"/>
      <c r="M26" s="522">
        <v>45763.0</v>
      </c>
      <c r="N26" s="526"/>
      <c r="O26" s="527">
        <v>45763.0</v>
      </c>
      <c r="P26" s="488"/>
      <c r="Q26" s="488"/>
      <c r="R26" s="488"/>
      <c r="S26" s="488"/>
      <c r="T26" s="488"/>
      <c r="U26" s="488"/>
      <c r="V26" s="488"/>
      <c r="W26" s="488"/>
      <c r="X26" s="485"/>
      <c r="Y26" s="485"/>
      <c r="Z26" s="485"/>
      <c r="AA26" s="485"/>
      <c r="AB26" s="485"/>
      <c r="AC26" s="485"/>
      <c r="AD26" s="485"/>
      <c r="AE26" s="485"/>
      <c r="AF26" s="485"/>
      <c r="AG26" s="485"/>
      <c r="AH26" s="485"/>
      <c r="AI26" s="485"/>
      <c r="AJ26" s="485"/>
      <c r="AK26" s="485"/>
      <c r="AL26" s="485"/>
      <c r="AM26" s="485"/>
      <c r="AN26" s="485"/>
    </row>
    <row r="27" ht="29.25" customHeight="1">
      <c r="A27" s="520" t="s">
        <v>2913</v>
      </c>
      <c r="B27" s="524" t="s">
        <v>2922</v>
      </c>
      <c r="C27" s="515" t="s">
        <v>2915</v>
      </c>
      <c r="D27" s="525" t="s">
        <v>76</v>
      </c>
      <c r="E27" s="526"/>
      <c r="F27" s="526"/>
      <c r="G27" s="522">
        <v>45763.0</v>
      </c>
      <c r="H27" s="523">
        <v>45763.0</v>
      </c>
      <c r="I27" s="523">
        <v>45763.0</v>
      </c>
      <c r="J27" s="523">
        <v>45763.0</v>
      </c>
      <c r="K27" s="490">
        <v>1.0</v>
      </c>
      <c r="L27" s="478"/>
      <c r="M27" s="522">
        <v>45763.0</v>
      </c>
      <c r="N27" s="526"/>
      <c r="O27" s="527">
        <v>45763.0</v>
      </c>
      <c r="P27" s="488"/>
      <c r="Q27" s="488"/>
      <c r="R27" s="488"/>
      <c r="S27" s="488"/>
      <c r="T27" s="488"/>
      <c r="U27" s="488"/>
      <c r="V27" s="488"/>
      <c r="W27" s="488"/>
      <c r="X27" s="485"/>
      <c r="Y27" s="485"/>
      <c r="Z27" s="485"/>
      <c r="AA27" s="485"/>
      <c r="AB27" s="485"/>
      <c r="AC27" s="485"/>
      <c r="AD27" s="485"/>
      <c r="AE27" s="485"/>
      <c r="AF27" s="485"/>
      <c r="AG27" s="485"/>
      <c r="AH27" s="485"/>
      <c r="AI27" s="485"/>
      <c r="AJ27" s="485"/>
      <c r="AK27" s="485"/>
      <c r="AL27" s="485"/>
      <c r="AM27" s="485"/>
      <c r="AN27" s="485"/>
    </row>
    <row r="28" ht="29.25" customHeight="1">
      <c r="A28" s="520" t="s">
        <v>2913</v>
      </c>
      <c r="B28" s="524" t="s">
        <v>2911</v>
      </c>
      <c r="C28" s="515" t="s">
        <v>2915</v>
      </c>
      <c r="D28" s="525" t="s">
        <v>76</v>
      </c>
      <c r="E28" s="526"/>
      <c r="F28" s="526"/>
      <c r="G28" s="522">
        <v>45763.0</v>
      </c>
      <c r="H28" s="523">
        <v>45763.0</v>
      </c>
      <c r="I28" s="523">
        <v>45763.0</v>
      </c>
      <c r="J28" s="523">
        <v>45763.0</v>
      </c>
      <c r="K28" s="490">
        <v>1.0</v>
      </c>
      <c r="L28" s="478"/>
      <c r="M28" s="522">
        <v>45763.0</v>
      </c>
      <c r="N28" s="526"/>
      <c r="O28" s="527">
        <v>45763.0</v>
      </c>
      <c r="P28" s="488"/>
      <c r="Q28" s="488"/>
      <c r="R28" s="488"/>
      <c r="S28" s="488"/>
      <c r="T28" s="488"/>
      <c r="U28" s="488"/>
      <c r="V28" s="488"/>
      <c r="W28" s="488"/>
      <c r="X28" s="485"/>
      <c r="Y28" s="485"/>
      <c r="Z28" s="485"/>
      <c r="AA28" s="485"/>
      <c r="AB28" s="485"/>
      <c r="AC28" s="485"/>
      <c r="AD28" s="485"/>
      <c r="AE28" s="485"/>
      <c r="AF28" s="485"/>
      <c r="AG28" s="485"/>
      <c r="AH28" s="485"/>
      <c r="AI28" s="485"/>
      <c r="AJ28" s="485"/>
      <c r="AK28" s="485"/>
      <c r="AL28" s="485"/>
      <c r="AM28" s="485"/>
      <c r="AN28" s="485"/>
    </row>
    <row r="29" ht="29.25" customHeight="1">
      <c r="A29" s="520" t="s">
        <v>2913</v>
      </c>
      <c r="B29" s="524" t="s">
        <v>2923</v>
      </c>
      <c r="C29" s="515" t="s">
        <v>2924</v>
      </c>
      <c r="D29" s="525" t="s">
        <v>76</v>
      </c>
      <c r="E29" s="526"/>
      <c r="F29" s="526"/>
      <c r="G29" s="522">
        <v>45770.0</v>
      </c>
      <c r="H29" s="523">
        <v>45771.0</v>
      </c>
      <c r="I29" s="523">
        <v>45772.0</v>
      </c>
      <c r="J29" s="523"/>
      <c r="K29" s="490"/>
      <c r="L29" s="478"/>
      <c r="M29" s="522"/>
      <c r="N29" s="528"/>
      <c r="O29" s="529"/>
      <c r="P29" s="488"/>
      <c r="Q29" s="530" t="s">
        <v>2925</v>
      </c>
      <c r="R29" s="531"/>
      <c r="S29" s="531"/>
      <c r="T29" s="531"/>
      <c r="U29" s="531"/>
      <c r="V29" s="531"/>
      <c r="W29" s="531"/>
      <c r="X29" s="485"/>
      <c r="Y29" s="485"/>
      <c r="Z29" s="485"/>
      <c r="AA29" s="485"/>
      <c r="AB29" s="485"/>
      <c r="AC29" s="485"/>
      <c r="AD29" s="485"/>
      <c r="AE29" s="485"/>
      <c r="AF29" s="485"/>
      <c r="AG29" s="485"/>
      <c r="AH29" s="485"/>
      <c r="AI29" s="485"/>
      <c r="AJ29" s="485"/>
      <c r="AK29" s="485"/>
      <c r="AL29" s="485"/>
      <c r="AM29" s="485"/>
      <c r="AN29" s="485"/>
    </row>
    <row r="30" ht="29.25" customHeight="1">
      <c r="A30" s="520" t="s">
        <v>2913</v>
      </c>
      <c r="B30" s="532" t="s">
        <v>2926</v>
      </c>
      <c r="C30" s="515" t="s">
        <v>2927</v>
      </c>
      <c r="D30" s="525" t="s">
        <v>76</v>
      </c>
      <c r="E30" s="526"/>
      <c r="F30" s="490">
        <v>1.0</v>
      </c>
      <c r="G30" s="522">
        <v>45775.0</v>
      </c>
      <c r="H30" s="523">
        <v>45775.0</v>
      </c>
      <c r="I30" s="523">
        <v>45775.0</v>
      </c>
      <c r="J30" s="523">
        <v>45775.0</v>
      </c>
      <c r="K30" s="490"/>
      <c r="L30" s="478"/>
      <c r="M30" s="522"/>
      <c r="N30" s="528"/>
      <c r="O30" s="529"/>
      <c r="P30" s="488"/>
      <c r="Q30" s="530" t="s">
        <v>2928</v>
      </c>
      <c r="R30" s="531"/>
      <c r="S30" s="531"/>
      <c r="T30" s="531"/>
      <c r="U30" s="531"/>
      <c r="V30" s="531"/>
      <c r="W30" s="531"/>
      <c r="X30" s="485"/>
      <c r="Y30" s="485"/>
      <c r="Z30" s="485"/>
      <c r="AA30" s="485"/>
      <c r="AB30" s="485"/>
      <c r="AC30" s="485"/>
      <c r="AD30" s="485"/>
      <c r="AE30" s="485"/>
      <c r="AF30" s="485"/>
      <c r="AG30" s="485"/>
      <c r="AH30" s="485"/>
      <c r="AI30" s="485"/>
      <c r="AJ30" s="485"/>
      <c r="AK30" s="485"/>
      <c r="AL30" s="485"/>
      <c r="AM30" s="485"/>
      <c r="AN30" s="485"/>
    </row>
    <row r="31" ht="29.25" customHeight="1">
      <c r="A31" s="520" t="s">
        <v>2913</v>
      </c>
      <c r="B31" s="532" t="s">
        <v>2923</v>
      </c>
      <c r="C31" s="515" t="s">
        <v>2929</v>
      </c>
      <c r="D31" s="525" t="s">
        <v>76</v>
      </c>
      <c r="E31" s="490">
        <v>100.0</v>
      </c>
      <c r="F31" s="526"/>
      <c r="G31" s="522">
        <v>45770.0</v>
      </c>
      <c r="H31" s="523">
        <v>45770.0</v>
      </c>
      <c r="I31" s="523">
        <v>45770.0</v>
      </c>
      <c r="J31" s="523">
        <v>45770.0</v>
      </c>
      <c r="K31" s="490">
        <v>1.0</v>
      </c>
      <c r="L31" s="478"/>
      <c r="M31" s="522"/>
      <c r="N31" s="528"/>
      <c r="O31" s="529"/>
      <c r="P31" s="488"/>
      <c r="Q31" s="488"/>
      <c r="R31" s="488"/>
      <c r="S31" s="488"/>
      <c r="T31" s="488"/>
      <c r="U31" s="488"/>
      <c r="V31" s="488"/>
      <c r="W31" s="488"/>
      <c r="X31" s="485"/>
      <c r="Y31" s="485"/>
      <c r="Z31" s="485"/>
      <c r="AA31" s="485"/>
      <c r="AB31" s="485"/>
      <c r="AC31" s="485"/>
      <c r="AD31" s="485"/>
      <c r="AE31" s="485"/>
      <c r="AF31" s="485"/>
      <c r="AG31" s="485"/>
      <c r="AH31" s="485"/>
      <c r="AI31" s="485"/>
      <c r="AJ31" s="485"/>
      <c r="AK31" s="485"/>
      <c r="AL31" s="485"/>
      <c r="AM31" s="485"/>
      <c r="AN31" s="485"/>
    </row>
    <row r="32" ht="29.25" customHeight="1">
      <c r="A32" s="520" t="s">
        <v>2913</v>
      </c>
      <c r="B32" s="532" t="s">
        <v>2923</v>
      </c>
      <c r="C32" s="515" t="s">
        <v>2930</v>
      </c>
      <c r="D32" s="525" t="s">
        <v>76</v>
      </c>
      <c r="E32" s="490">
        <v>100.0</v>
      </c>
      <c r="F32" s="526"/>
      <c r="G32" s="522">
        <v>45770.0</v>
      </c>
      <c r="H32" s="523">
        <v>45770.0</v>
      </c>
      <c r="I32" s="523">
        <v>45770.0</v>
      </c>
      <c r="J32" s="523">
        <v>45770.0</v>
      </c>
      <c r="K32" s="490">
        <v>1.0</v>
      </c>
      <c r="L32" s="478"/>
      <c r="M32" s="522"/>
      <c r="N32" s="528"/>
      <c r="O32" s="529"/>
      <c r="P32" s="488"/>
      <c r="Q32" s="488"/>
      <c r="R32" s="488"/>
      <c r="S32" s="488"/>
      <c r="T32" s="488"/>
      <c r="U32" s="488"/>
      <c r="V32" s="488"/>
      <c r="W32" s="488"/>
      <c r="X32" s="485"/>
      <c r="Y32" s="485"/>
      <c r="Z32" s="485"/>
      <c r="AA32" s="485"/>
      <c r="AB32" s="485"/>
      <c r="AC32" s="485"/>
      <c r="AD32" s="485"/>
      <c r="AE32" s="485"/>
      <c r="AF32" s="485"/>
      <c r="AG32" s="485"/>
      <c r="AH32" s="485"/>
      <c r="AI32" s="485"/>
      <c r="AJ32" s="485"/>
      <c r="AK32" s="485"/>
      <c r="AL32" s="485"/>
      <c r="AM32" s="485"/>
      <c r="AN32" s="485"/>
    </row>
    <row r="33" ht="29.25" customHeight="1">
      <c r="A33" s="533" t="s">
        <v>2931</v>
      </c>
      <c r="B33" s="532" t="s">
        <v>2932</v>
      </c>
      <c r="C33" s="515" t="s">
        <v>2933</v>
      </c>
      <c r="D33" s="525" t="s">
        <v>76</v>
      </c>
      <c r="E33" s="490">
        <v>90.0</v>
      </c>
      <c r="F33" s="490">
        <v>2.0</v>
      </c>
      <c r="G33" s="522">
        <v>45773.0</v>
      </c>
      <c r="H33" s="523">
        <v>45776.0</v>
      </c>
      <c r="I33" s="523">
        <v>45783.0</v>
      </c>
      <c r="J33" s="523">
        <v>45785.0</v>
      </c>
      <c r="K33" s="490"/>
      <c r="L33" s="478"/>
      <c r="M33" s="522"/>
      <c r="N33" s="528"/>
      <c r="O33" s="529"/>
      <c r="P33" s="488"/>
      <c r="Q33" s="488"/>
      <c r="R33" s="488"/>
      <c r="S33" s="488"/>
      <c r="T33" s="488"/>
      <c r="U33" s="488"/>
      <c r="V33" s="530" t="s">
        <v>2934</v>
      </c>
      <c r="W33" s="531"/>
      <c r="X33" s="485"/>
      <c r="Y33" s="485"/>
      <c r="Z33" s="485"/>
      <c r="AA33" s="485"/>
      <c r="AB33" s="485"/>
      <c r="AC33" s="485"/>
      <c r="AD33" s="485"/>
      <c r="AE33" s="485"/>
      <c r="AF33" s="485"/>
      <c r="AG33" s="485"/>
      <c r="AH33" s="485"/>
      <c r="AI33" s="485"/>
      <c r="AJ33" s="485"/>
      <c r="AK33" s="485"/>
      <c r="AL33" s="485"/>
      <c r="AM33" s="485"/>
      <c r="AN33" s="485"/>
    </row>
    <row r="34" ht="29.25" customHeight="1">
      <c r="A34" s="475" t="s">
        <v>2816</v>
      </c>
      <c r="B34" s="532" t="s">
        <v>2932</v>
      </c>
      <c r="C34" s="515" t="s">
        <v>2935</v>
      </c>
      <c r="D34" s="525" t="s">
        <v>76</v>
      </c>
      <c r="E34" s="526"/>
      <c r="F34" s="526"/>
      <c r="G34" s="522">
        <v>45779.0</v>
      </c>
      <c r="H34" s="523">
        <v>45779.0</v>
      </c>
      <c r="I34" s="523">
        <v>45782.0</v>
      </c>
      <c r="J34" s="523">
        <v>45782.0</v>
      </c>
      <c r="K34" s="490"/>
      <c r="L34" s="478"/>
      <c r="M34" s="522"/>
      <c r="N34" s="528"/>
      <c r="O34" s="529"/>
      <c r="P34" s="488"/>
      <c r="Q34" s="488"/>
      <c r="R34" s="488"/>
      <c r="S34" s="530" t="s">
        <v>2936</v>
      </c>
      <c r="T34" s="530" t="s">
        <v>2937</v>
      </c>
      <c r="U34" s="531"/>
      <c r="V34" s="531"/>
      <c r="W34" s="531"/>
      <c r="X34" s="485"/>
      <c r="Y34" s="485"/>
      <c r="Z34" s="485"/>
      <c r="AA34" s="485"/>
      <c r="AB34" s="485"/>
      <c r="AC34" s="485"/>
      <c r="AD34" s="485"/>
      <c r="AE34" s="485"/>
      <c r="AF34" s="485"/>
      <c r="AG34" s="485"/>
      <c r="AH34" s="485"/>
      <c r="AI34" s="485"/>
      <c r="AJ34" s="485"/>
      <c r="AK34" s="485"/>
      <c r="AL34" s="485"/>
      <c r="AM34" s="485"/>
      <c r="AN34" s="485"/>
    </row>
    <row r="35" ht="29.25" customHeight="1">
      <c r="A35" s="534" t="s">
        <v>2938</v>
      </c>
      <c r="B35" s="535"/>
      <c r="C35" s="477" t="s">
        <v>2939</v>
      </c>
      <c r="D35" s="117" t="s">
        <v>76</v>
      </c>
      <c r="E35" s="478"/>
      <c r="F35" s="478"/>
      <c r="G35" s="479">
        <v>45714.0</v>
      </c>
      <c r="H35" s="523">
        <v>45784.0</v>
      </c>
      <c r="I35" s="480"/>
      <c r="J35" s="523">
        <v>45785.0</v>
      </c>
      <c r="K35" s="536"/>
      <c r="L35" s="478"/>
      <c r="M35" s="479"/>
      <c r="N35" s="478"/>
      <c r="O35" s="482"/>
      <c r="P35" s="483" t="s">
        <v>2940</v>
      </c>
      <c r="Q35" s="484"/>
      <c r="R35" s="484"/>
      <c r="S35" s="484"/>
      <c r="T35" s="484"/>
      <c r="U35" s="484"/>
      <c r="V35" s="484"/>
      <c r="W35" s="484"/>
      <c r="X35" s="485"/>
      <c r="Y35" s="485"/>
      <c r="Z35" s="485"/>
      <c r="AA35" s="485"/>
      <c r="AB35" s="485"/>
      <c r="AC35" s="485"/>
      <c r="AD35" s="485"/>
      <c r="AE35" s="485"/>
      <c r="AF35" s="485"/>
      <c r="AG35" s="485"/>
      <c r="AH35" s="485"/>
      <c r="AI35" s="485"/>
      <c r="AJ35" s="485"/>
      <c r="AK35" s="485"/>
      <c r="AL35" s="485"/>
      <c r="AM35" s="485"/>
      <c r="AN35" s="485"/>
    </row>
    <row r="36" ht="29.25" customHeight="1">
      <c r="A36" s="533" t="s">
        <v>2831</v>
      </c>
      <c r="B36" s="532" t="s">
        <v>2932</v>
      </c>
      <c r="C36" s="515" t="s">
        <v>2941</v>
      </c>
      <c r="D36" s="525" t="s">
        <v>76</v>
      </c>
      <c r="E36" s="490">
        <v>80.0</v>
      </c>
      <c r="F36" s="490">
        <v>15.0</v>
      </c>
      <c r="G36" s="522">
        <v>45778.0</v>
      </c>
      <c r="H36" s="523">
        <v>45778.0</v>
      </c>
      <c r="I36" s="523"/>
      <c r="J36" s="523">
        <v>45793.0</v>
      </c>
      <c r="K36" s="481">
        <f>IF(ISBLANK(J36), NETWORKDAYS(H36, TODAY(),fESTIVOS!$A$1:$A$18), NETWORKDAYS(H36, J36, fESTIVOS!$A$1:$A$18))</f>
        <v>12</v>
      </c>
      <c r="L36" s="478"/>
      <c r="M36" s="522"/>
      <c r="N36" s="537"/>
      <c r="O36" s="529"/>
      <c r="P36" s="488"/>
      <c r="Q36" s="488"/>
      <c r="R36" s="488"/>
      <c r="S36" s="488"/>
      <c r="T36" s="488"/>
      <c r="U36" s="488"/>
      <c r="V36" s="530" t="s">
        <v>2942</v>
      </c>
      <c r="W36" s="530" t="s">
        <v>2943</v>
      </c>
      <c r="X36" s="493" t="s">
        <v>2944</v>
      </c>
      <c r="Y36" s="494"/>
      <c r="Z36" s="493" t="s">
        <v>2945</v>
      </c>
      <c r="AA36" s="494"/>
      <c r="AB36" s="494"/>
      <c r="AC36" s="493" t="s">
        <v>2946</v>
      </c>
      <c r="AD36" s="494"/>
      <c r="AE36" s="494"/>
      <c r="AF36" s="494"/>
      <c r="AG36" s="494"/>
      <c r="AH36" s="494"/>
      <c r="AI36" s="494"/>
      <c r="AJ36" s="494"/>
      <c r="AK36" s="494"/>
      <c r="AL36" s="494"/>
      <c r="AM36" s="494"/>
      <c r="AN36" s="494"/>
    </row>
    <row r="37" ht="29.25" customHeight="1">
      <c r="A37" s="533" t="s">
        <v>2831</v>
      </c>
      <c r="B37" s="532" t="s">
        <v>2932</v>
      </c>
      <c r="C37" s="515" t="s">
        <v>2947</v>
      </c>
      <c r="D37" s="525" t="s">
        <v>76</v>
      </c>
      <c r="E37" s="526"/>
      <c r="F37" s="490">
        <v>1.0</v>
      </c>
      <c r="G37" s="522">
        <v>45785.0</v>
      </c>
      <c r="H37" s="523">
        <v>45785.0</v>
      </c>
      <c r="I37" s="523">
        <v>45786.0</v>
      </c>
      <c r="J37" s="523">
        <v>45786.0</v>
      </c>
      <c r="K37" s="481">
        <f>IF(ISBLANK(J37), NETWORKDAYS(H37, TODAY(),fESTIVOS!$A$1:$A$18), NETWORKDAYS(H37, J37, fESTIVOS!$A$1:$A$18))</f>
        <v>2</v>
      </c>
      <c r="L37" s="478"/>
      <c r="M37" s="522"/>
      <c r="N37" s="537"/>
      <c r="O37" s="527">
        <v>45786.0</v>
      </c>
      <c r="P37" s="488"/>
      <c r="Q37" s="488"/>
      <c r="R37" s="488"/>
      <c r="S37" s="488"/>
      <c r="T37" s="488"/>
      <c r="U37" s="488"/>
      <c r="V37" s="530" t="s">
        <v>2948</v>
      </c>
      <c r="W37" s="530" t="s">
        <v>2949</v>
      </c>
      <c r="X37" s="531"/>
      <c r="Y37" s="531"/>
      <c r="Z37" s="531"/>
      <c r="AA37" s="531"/>
      <c r="AB37" s="531"/>
      <c r="AC37" s="531"/>
      <c r="AD37" s="531"/>
      <c r="AE37" s="531"/>
      <c r="AF37" s="531"/>
      <c r="AG37" s="531"/>
      <c r="AH37" s="531"/>
      <c r="AI37" s="531"/>
      <c r="AJ37" s="531"/>
      <c r="AK37" s="531"/>
      <c r="AL37" s="531"/>
      <c r="AM37" s="531"/>
      <c r="AN37" s="531"/>
    </row>
    <row r="38" ht="29.25" customHeight="1">
      <c r="A38" s="533" t="s">
        <v>2831</v>
      </c>
      <c r="B38" s="532" t="s">
        <v>2932</v>
      </c>
      <c r="C38" s="538" t="s">
        <v>2950</v>
      </c>
      <c r="D38" s="539" t="s">
        <v>76</v>
      </c>
      <c r="E38" s="528"/>
      <c r="F38" s="528"/>
      <c r="G38" s="522">
        <v>45791.0</v>
      </c>
      <c r="H38" s="523">
        <v>45791.0</v>
      </c>
      <c r="I38" s="523"/>
      <c r="J38" s="523">
        <v>45791.0</v>
      </c>
      <c r="K38" s="481">
        <f>IF(ISBLANK(J38), NETWORKDAYS(H38, TODAY(),fESTIVOS!$A$1:$A$18), NETWORKDAYS(H38, J38, fESTIVOS!$A$1:$A$18))</f>
        <v>1</v>
      </c>
      <c r="L38" s="540"/>
      <c r="M38" s="541"/>
      <c r="N38" s="542"/>
      <c r="O38" s="543"/>
      <c r="P38" s="488"/>
      <c r="Q38" s="488"/>
      <c r="R38" s="491"/>
      <c r="S38" s="491"/>
      <c r="T38" s="491"/>
      <c r="U38" s="491"/>
      <c r="V38" s="491"/>
      <c r="W38" s="491"/>
      <c r="X38" s="530" t="s">
        <v>2951</v>
      </c>
      <c r="Y38" s="491"/>
      <c r="Z38" s="530" t="s">
        <v>2952</v>
      </c>
      <c r="AA38" s="544"/>
      <c r="AB38" s="544"/>
      <c r="AC38" s="544"/>
      <c r="AD38" s="544"/>
      <c r="AE38" s="544"/>
      <c r="AF38" s="544"/>
      <c r="AG38" s="544"/>
      <c r="AH38" s="544"/>
      <c r="AI38" s="544"/>
      <c r="AJ38" s="544"/>
      <c r="AK38" s="544"/>
      <c r="AL38" s="544"/>
      <c r="AM38" s="544"/>
      <c r="AN38" s="544"/>
    </row>
    <row r="39" ht="29.25" customHeight="1">
      <c r="A39" s="475" t="s">
        <v>2841</v>
      </c>
      <c r="B39" s="545" t="s">
        <v>2953</v>
      </c>
      <c r="C39" s="489" t="s">
        <v>1808</v>
      </c>
      <c r="D39" s="525" t="s">
        <v>76</v>
      </c>
      <c r="E39" s="478"/>
      <c r="F39" s="490">
        <v>1.0</v>
      </c>
      <c r="G39" s="522">
        <v>45779.0</v>
      </c>
      <c r="H39" s="523">
        <v>45779.0</v>
      </c>
      <c r="I39" s="523">
        <v>45779.0</v>
      </c>
      <c r="J39" s="523">
        <v>45779.0</v>
      </c>
      <c r="K39" s="546">
        <f>IF(ISBLANK(J39), NETWORKDAYS(H39, TODAY(),fESTIVOS!$A$1:$A$18), NETWORKDAYS(H39, J39, fESTIVOS!$A$1:$A$18))</f>
        <v>1</v>
      </c>
      <c r="L39" s="478"/>
      <c r="M39" s="522">
        <v>45782.0</v>
      </c>
      <c r="N39" s="547"/>
      <c r="O39" s="527">
        <v>45789.0</v>
      </c>
      <c r="P39" s="483"/>
      <c r="Q39" s="484"/>
      <c r="R39" s="484"/>
      <c r="S39" s="493" t="s">
        <v>318</v>
      </c>
      <c r="T39" s="494"/>
      <c r="U39" s="494"/>
      <c r="V39" s="494"/>
      <c r="W39" s="493" t="s">
        <v>2954</v>
      </c>
      <c r="X39" s="493" t="s">
        <v>2955</v>
      </c>
      <c r="Y39" s="494"/>
      <c r="Z39" s="494"/>
      <c r="AA39" s="494"/>
      <c r="AB39" s="494"/>
      <c r="AC39" s="494"/>
      <c r="AD39" s="494"/>
      <c r="AE39" s="494"/>
      <c r="AF39" s="494"/>
      <c r="AG39" s="494"/>
      <c r="AH39" s="494"/>
      <c r="AI39" s="494"/>
      <c r="AJ39" s="494"/>
      <c r="AK39" s="494"/>
      <c r="AL39" s="494"/>
      <c r="AM39" s="494"/>
      <c r="AN39" s="494"/>
    </row>
    <row r="40" ht="29.25" customHeight="1">
      <c r="A40" s="548" t="s">
        <v>2913</v>
      </c>
      <c r="B40" s="532" t="s">
        <v>2956</v>
      </c>
      <c r="C40" s="515" t="s">
        <v>2957</v>
      </c>
      <c r="D40" s="525" t="s">
        <v>76</v>
      </c>
      <c r="E40" s="526"/>
      <c r="F40" s="526"/>
      <c r="G40" s="522">
        <v>45789.0</v>
      </c>
      <c r="H40" s="523">
        <v>45789.0</v>
      </c>
      <c r="I40" s="523"/>
      <c r="J40" s="523">
        <v>45790.0</v>
      </c>
      <c r="K40" s="481">
        <f>IF(ISBLANK(J40), NETWORKDAYS(H40, TODAY(),fESTIVOS!$A$1:$A$18), NETWORKDAYS(H40, J40, fESTIVOS!$A$1:$A$18))</f>
        <v>2</v>
      </c>
      <c r="L40" s="478"/>
      <c r="M40" s="522"/>
      <c r="N40" s="537"/>
      <c r="O40" s="527"/>
      <c r="P40" s="488"/>
      <c r="Q40" s="488"/>
      <c r="R40" s="488"/>
      <c r="S40" s="488"/>
      <c r="T40" s="488"/>
      <c r="U40" s="488"/>
      <c r="V40" s="488"/>
      <c r="W40" s="530" t="s">
        <v>2958</v>
      </c>
      <c r="X40" s="530" t="s">
        <v>2959</v>
      </c>
      <c r="Y40" s="531"/>
      <c r="Z40" s="531"/>
      <c r="AA40" s="531"/>
      <c r="AB40" s="531"/>
      <c r="AC40" s="531"/>
      <c r="AD40" s="531"/>
      <c r="AE40" s="531"/>
      <c r="AF40" s="531"/>
      <c r="AG40" s="531"/>
      <c r="AH40" s="531"/>
      <c r="AI40" s="531"/>
      <c r="AJ40" s="531"/>
      <c r="AK40" s="531"/>
      <c r="AL40" s="531"/>
      <c r="AM40" s="531"/>
      <c r="AN40" s="531"/>
    </row>
    <row r="41" ht="29.25" customHeight="1">
      <c r="A41" s="520" t="s">
        <v>2960</v>
      </c>
      <c r="B41" s="532" t="s">
        <v>2961</v>
      </c>
      <c r="C41" s="489" t="s">
        <v>2962</v>
      </c>
      <c r="D41" s="525" t="s">
        <v>76</v>
      </c>
      <c r="E41" s="526"/>
      <c r="F41" s="526"/>
      <c r="G41" s="522">
        <v>45789.0</v>
      </c>
      <c r="H41" s="523">
        <v>45789.0</v>
      </c>
      <c r="I41" s="523"/>
      <c r="J41" s="523">
        <v>45790.0</v>
      </c>
      <c r="K41" s="481">
        <f>IF(ISBLANK(J41), NETWORKDAYS(H41, TODAY(),fESTIVOS!$A$1:$A$18), NETWORKDAYS(H41, J41, fESTIVOS!$A$1:$A$18))</f>
        <v>2</v>
      </c>
      <c r="L41" s="478"/>
      <c r="M41" s="522"/>
      <c r="N41" s="537"/>
      <c r="O41" s="527"/>
      <c r="P41" s="488"/>
      <c r="Q41" s="488"/>
      <c r="R41" s="488"/>
      <c r="S41" s="488"/>
      <c r="T41" s="488"/>
      <c r="U41" s="488"/>
      <c r="V41" s="488"/>
      <c r="W41" s="530" t="s">
        <v>2958</v>
      </c>
      <c r="X41" s="530" t="s">
        <v>2963</v>
      </c>
      <c r="Y41" s="531"/>
      <c r="Z41" s="531"/>
      <c r="AA41" s="531"/>
      <c r="AB41" s="531"/>
      <c r="AC41" s="531"/>
      <c r="AD41" s="531"/>
      <c r="AE41" s="531"/>
      <c r="AF41" s="531"/>
      <c r="AG41" s="531"/>
      <c r="AH41" s="531"/>
      <c r="AI41" s="531"/>
      <c r="AJ41" s="531"/>
      <c r="AK41" s="531"/>
      <c r="AL41" s="531"/>
      <c r="AM41" s="531"/>
      <c r="AN41" s="531"/>
    </row>
    <row r="42" ht="29.25" customHeight="1">
      <c r="A42" s="520" t="s">
        <v>2913</v>
      </c>
      <c r="B42" s="549" t="s">
        <v>2964</v>
      </c>
      <c r="C42" s="515" t="s">
        <v>2965</v>
      </c>
      <c r="D42" s="525" t="s">
        <v>76</v>
      </c>
      <c r="E42" s="490">
        <v>90.0</v>
      </c>
      <c r="F42" s="526"/>
      <c r="G42" s="522">
        <v>45791.0</v>
      </c>
      <c r="H42" s="523">
        <v>45792.0</v>
      </c>
      <c r="I42" s="523">
        <v>45793.0</v>
      </c>
      <c r="J42" s="523">
        <v>45793.0</v>
      </c>
      <c r="K42" s="481">
        <f>IF(ISBLANK(J42), NETWORKDAYS(H42, TODAY(),fESTIVOS!$A$1:$A$18), NETWORKDAYS(H42, J42, fESTIVOS!$A$1:$A$18))</f>
        <v>2</v>
      </c>
      <c r="L42" s="478"/>
      <c r="M42" s="522">
        <v>45793.0</v>
      </c>
      <c r="N42" s="537"/>
      <c r="O42" s="529"/>
      <c r="P42" s="488"/>
      <c r="Q42" s="488"/>
      <c r="R42" s="488"/>
      <c r="S42" s="488"/>
      <c r="T42" s="488"/>
      <c r="U42" s="488"/>
      <c r="V42" s="488"/>
      <c r="W42" s="488"/>
      <c r="X42" s="488"/>
      <c r="Y42" s="488"/>
      <c r="Z42" s="530" t="s">
        <v>2966</v>
      </c>
      <c r="AA42" s="530" t="s">
        <v>2967</v>
      </c>
      <c r="AB42" s="531"/>
      <c r="AC42" s="531"/>
      <c r="AD42" s="531"/>
      <c r="AE42" s="531"/>
      <c r="AF42" s="531"/>
      <c r="AG42" s="531"/>
      <c r="AH42" s="531"/>
      <c r="AI42" s="531"/>
      <c r="AJ42" s="531"/>
      <c r="AK42" s="531"/>
      <c r="AL42" s="531"/>
      <c r="AM42" s="531"/>
      <c r="AN42" s="531"/>
    </row>
    <row r="43" ht="29.25" customHeight="1">
      <c r="A43" s="520" t="s">
        <v>2913</v>
      </c>
      <c r="B43" s="550" t="s">
        <v>2968</v>
      </c>
      <c r="C43" s="515" t="s">
        <v>2969</v>
      </c>
      <c r="D43" s="525" t="s">
        <v>76</v>
      </c>
      <c r="E43" s="490">
        <v>0.0</v>
      </c>
      <c r="F43" s="526"/>
      <c r="G43" s="522">
        <v>45796.0</v>
      </c>
      <c r="H43" s="523">
        <v>45796.0</v>
      </c>
      <c r="I43" s="523"/>
      <c r="J43" s="523">
        <v>45796.0</v>
      </c>
      <c r="K43" s="481">
        <f>IF(ISBLANK(J43), NETWORKDAYS(H43, TODAY(),fESTIVOS!$A$1:$A$18), NETWORKDAYS(H43, J43, fESTIVOS!$A$1:$A$18))</f>
        <v>1</v>
      </c>
      <c r="L43" s="478"/>
      <c r="M43" s="522"/>
      <c r="N43" s="537"/>
      <c r="O43" s="529"/>
      <c r="P43" s="488"/>
      <c r="Q43" s="488"/>
      <c r="R43" s="488"/>
      <c r="S43" s="488"/>
      <c r="T43" s="488"/>
      <c r="U43" s="488"/>
      <c r="V43" s="488"/>
      <c r="W43" s="488"/>
      <c r="X43" s="488"/>
      <c r="Y43" s="488"/>
      <c r="Z43" s="530"/>
      <c r="AA43" s="530" t="s">
        <v>2970</v>
      </c>
      <c r="AB43" s="531"/>
      <c r="AC43" s="531"/>
      <c r="AD43" s="531"/>
      <c r="AE43" s="531"/>
      <c r="AF43" s="531"/>
      <c r="AG43" s="531"/>
      <c r="AH43" s="531"/>
      <c r="AI43" s="531"/>
      <c r="AJ43" s="531"/>
      <c r="AK43" s="531"/>
      <c r="AL43" s="531"/>
      <c r="AM43" s="531"/>
      <c r="AN43" s="531"/>
    </row>
    <row r="44" ht="29.25" customHeight="1">
      <c r="A44" s="520" t="s">
        <v>2913</v>
      </c>
      <c r="B44" s="550" t="s">
        <v>2971</v>
      </c>
      <c r="C44" s="515" t="s">
        <v>2972</v>
      </c>
      <c r="D44" s="525" t="s">
        <v>76</v>
      </c>
      <c r="E44" s="490">
        <v>80.0</v>
      </c>
      <c r="F44" s="526"/>
      <c r="G44" s="522">
        <v>45796.0</v>
      </c>
      <c r="H44" s="523">
        <v>45796.0</v>
      </c>
      <c r="I44" s="523"/>
      <c r="J44" s="523">
        <v>45796.0</v>
      </c>
      <c r="K44" s="481">
        <f>IF(ISBLANK(J44), NETWORKDAYS(H44, TODAY(),fESTIVOS!$A$1:$A$18), NETWORKDAYS(H44, J44, fESTIVOS!$A$1:$A$18))</f>
        <v>1</v>
      </c>
      <c r="L44" s="478"/>
      <c r="M44" s="522"/>
      <c r="N44" s="537"/>
      <c r="O44" s="529"/>
      <c r="P44" s="488"/>
      <c r="Q44" s="488"/>
      <c r="R44" s="488"/>
      <c r="S44" s="488"/>
      <c r="T44" s="488"/>
      <c r="U44" s="488"/>
      <c r="V44" s="488"/>
      <c r="W44" s="488"/>
      <c r="X44" s="488"/>
      <c r="Y44" s="488"/>
      <c r="Z44" s="530"/>
      <c r="AA44" s="530" t="s">
        <v>2973</v>
      </c>
      <c r="AB44" s="530" t="s">
        <v>2974</v>
      </c>
      <c r="AC44" s="531"/>
      <c r="AD44" s="531"/>
      <c r="AE44" s="531"/>
      <c r="AF44" s="531"/>
      <c r="AG44" s="531"/>
      <c r="AH44" s="531"/>
      <c r="AI44" s="531"/>
      <c r="AJ44" s="531"/>
      <c r="AK44" s="531"/>
      <c r="AL44" s="531"/>
      <c r="AM44" s="531"/>
      <c r="AN44" s="531"/>
    </row>
    <row r="45" ht="29.25" customHeight="1">
      <c r="A45" s="520" t="s">
        <v>2913</v>
      </c>
      <c r="B45" s="550" t="s">
        <v>2975</v>
      </c>
      <c r="C45" s="489" t="s">
        <v>2976</v>
      </c>
      <c r="D45" s="525" t="s">
        <v>76</v>
      </c>
      <c r="E45" s="490"/>
      <c r="F45" s="526"/>
      <c r="G45" s="522">
        <v>45797.0</v>
      </c>
      <c r="H45" s="523">
        <v>45798.0</v>
      </c>
      <c r="I45" s="523"/>
      <c r="J45" s="523">
        <v>45799.0</v>
      </c>
      <c r="K45" s="481">
        <f>IF(ISBLANK(J45), NETWORKDAYS(H45, TODAY(),fESTIVOS!$A$1:$A$18), NETWORKDAYS(H45, J45, fESTIVOS!$A$1:$A$18))</f>
        <v>2</v>
      </c>
      <c r="L45" s="478"/>
      <c r="M45" s="522">
        <v>45799.0</v>
      </c>
      <c r="N45" s="537"/>
      <c r="O45" s="529"/>
      <c r="P45" s="488"/>
      <c r="Q45" s="488"/>
      <c r="R45" s="488"/>
      <c r="S45" s="488"/>
      <c r="T45" s="488"/>
      <c r="U45" s="488"/>
      <c r="V45" s="488"/>
      <c r="W45" s="488"/>
      <c r="X45" s="488"/>
      <c r="Y45" s="488"/>
      <c r="Z45" s="530"/>
      <c r="AA45" s="530"/>
      <c r="AB45" s="530" t="s">
        <v>2977</v>
      </c>
      <c r="AC45" s="530" t="s">
        <v>2978</v>
      </c>
    </row>
    <row r="46" ht="29.25" customHeight="1">
      <c r="A46" s="520" t="s">
        <v>2913</v>
      </c>
      <c r="B46" s="550" t="s">
        <v>2975</v>
      </c>
      <c r="C46" s="489" t="s">
        <v>2979</v>
      </c>
      <c r="D46" s="525" t="s">
        <v>76</v>
      </c>
      <c r="E46" s="490"/>
      <c r="F46" s="526"/>
      <c r="G46" s="522">
        <v>45797.0</v>
      </c>
      <c r="H46" s="523">
        <v>45797.0</v>
      </c>
      <c r="I46" s="523"/>
      <c r="J46" s="523">
        <v>45799.0</v>
      </c>
      <c r="K46" s="481">
        <f>IF(ISBLANK(J46), NETWORKDAYS(H46, TODAY(),fESTIVOS!$A$1:$A$18), NETWORKDAYS(H46, J46, fESTIVOS!$A$1:$A$18))</f>
        <v>3</v>
      </c>
      <c r="L46" s="478"/>
      <c r="M46" s="522"/>
      <c r="N46" s="537"/>
      <c r="O46" s="529"/>
      <c r="P46" s="488"/>
      <c r="Q46" s="488"/>
      <c r="R46" s="488"/>
      <c r="S46" s="488"/>
      <c r="T46" s="488"/>
      <c r="U46" s="488"/>
      <c r="V46" s="488"/>
      <c r="W46" s="488"/>
      <c r="X46" s="488"/>
      <c r="Y46" s="488"/>
      <c r="Z46" s="530"/>
      <c r="AA46" s="530"/>
      <c r="AB46" s="530" t="s">
        <v>2980</v>
      </c>
      <c r="AC46" s="530" t="s">
        <v>2981</v>
      </c>
      <c r="AD46" s="531"/>
      <c r="AE46" s="531"/>
      <c r="AF46" s="531"/>
      <c r="AG46" s="531"/>
      <c r="AH46" s="531"/>
      <c r="AI46" s="531"/>
      <c r="AJ46" s="531"/>
      <c r="AK46" s="531"/>
      <c r="AL46" s="531"/>
      <c r="AM46" s="531"/>
      <c r="AN46" s="531"/>
    </row>
    <row r="47" ht="29.25" customHeight="1">
      <c r="A47" s="520" t="s">
        <v>2913</v>
      </c>
      <c r="B47" s="550" t="s">
        <v>2982</v>
      </c>
      <c r="C47" s="489" t="s">
        <v>2983</v>
      </c>
      <c r="D47" s="525" t="s">
        <v>76</v>
      </c>
      <c r="E47" s="490"/>
      <c r="F47" s="526"/>
      <c r="G47" s="522">
        <v>45799.0</v>
      </c>
      <c r="H47" s="523">
        <v>45799.0</v>
      </c>
      <c r="I47" s="523"/>
      <c r="J47" s="523">
        <v>45799.0</v>
      </c>
      <c r="K47" s="481">
        <f>IF(ISBLANK(J47), NETWORKDAYS(H47, TODAY(),fESTIVOS!$A$1:$A$18), NETWORKDAYS(H47, J47, fESTIVOS!$A$1:$A$18))</f>
        <v>1</v>
      </c>
      <c r="L47" s="478"/>
      <c r="M47" s="522"/>
      <c r="N47" s="537"/>
      <c r="O47" s="529"/>
      <c r="P47" s="488"/>
      <c r="Q47" s="488"/>
      <c r="R47" s="488"/>
      <c r="S47" s="488"/>
      <c r="T47" s="488"/>
      <c r="U47" s="488"/>
      <c r="V47" s="488"/>
      <c r="W47" s="488"/>
      <c r="X47" s="488"/>
      <c r="Y47" s="488"/>
      <c r="Z47" s="530"/>
      <c r="AA47" s="530"/>
      <c r="AB47" s="530"/>
      <c r="AC47" s="530" t="s">
        <v>2984</v>
      </c>
      <c r="AD47" s="531"/>
      <c r="AE47" s="531"/>
      <c r="AF47" s="531"/>
      <c r="AG47" s="531"/>
      <c r="AH47" s="531"/>
      <c r="AI47" s="531"/>
      <c r="AJ47" s="531"/>
      <c r="AK47" s="531"/>
      <c r="AL47" s="531"/>
      <c r="AM47" s="531"/>
      <c r="AN47" s="531"/>
    </row>
    <row r="48" ht="29.25" customHeight="1">
      <c r="A48" s="520" t="s">
        <v>2913</v>
      </c>
      <c r="B48" s="550" t="s">
        <v>2985</v>
      </c>
      <c r="C48" s="489" t="s">
        <v>2986</v>
      </c>
      <c r="D48" s="525" t="s">
        <v>76</v>
      </c>
      <c r="E48" s="490"/>
      <c r="F48" s="526"/>
      <c r="G48" s="522">
        <v>45798.0</v>
      </c>
      <c r="H48" s="523">
        <v>45799.0</v>
      </c>
      <c r="I48" s="523"/>
      <c r="J48" s="523">
        <v>45799.0</v>
      </c>
      <c r="K48" s="481">
        <f>IF(ISBLANK(J48), NETWORKDAYS(H48, TODAY(),fESTIVOS!$A$1:$A$18), NETWORKDAYS(H48, J48, fESTIVOS!$A$1:$A$18))</f>
        <v>1</v>
      </c>
      <c r="L48" s="478"/>
      <c r="M48" s="522"/>
      <c r="N48" s="537"/>
      <c r="O48" s="529"/>
      <c r="P48" s="488"/>
      <c r="Q48" s="488"/>
      <c r="R48" s="488"/>
      <c r="S48" s="488"/>
      <c r="T48" s="488"/>
      <c r="U48" s="488"/>
      <c r="V48" s="488"/>
      <c r="W48" s="488"/>
      <c r="X48" s="488"/>
      <c r="Y48" s="488"/>
      <c r="Z48" s="530"/>
      <c r="AA48" s="530"/>
      <c r="AB48" s="530"/>
      <c r="AC48" s="531"/>
      <c r="AD48" s="531"/>
      <c r="AE48" s="531"/>
      <c r="AF48" s="531"/>
      <c r="AG48" s="531"/>
      <c r="AH48" s="531"/>
      <c r="AI48" s="531"/>
      <c r="AJ48" s="531"/>
      <c r="AK48" s="531"/>
      <c r="AL48" s="531"/>
      <c r="AM48" s="531"/>
      <c r="AN48" s="531"/>
    </row>
    <row r="49" ht="29.25" customHeight="1">
      <c r="A49" s="520" t="s">
        <v>2913</v>
      </c>
      <c r="B49" s="550" t="s">
        <v>2987</v>
      </c>
      <c r="C49" s="489" t="s">
        <v>2988</v>
      </c>
      <c r="D49" s="525" t="s">
        <v>76</v>
      </c>
      <c r="E49" s="490"/>
      <c r="F49" s="526"/>
      <c r="G49" s="522">
        <v>45799.0</v>
      </c>
      <c r="H49" s="523">
        <v>45799.0</v>
      </c>
      <c r="I49" s="523"/>
      <c r="J49" s="523">
        <v>45799.0</v>
      </c>
      <c r="K49" s="481">
        <f>IF(ISBLANK(J49), NETWORKDAYS(H49, TODAY(),fESTIVOS!$A$1:$A$18), NETWORKDAYS(H49, J49, fESTIVOS!$A$1:$A$18))</f>
        <v>1</v>
      </c>
      <c r="L49" s="478"/>
      <c r="M49" s="522"/>
      <c r="N49" s="537"/>
      <c r="O49" s="529"/>
      <c r="P49" s="488"/>
      <c r="Q49" s="488"/>
      <c r="R49" s="488"/>
      <c r="S49" s="488"/>
      <c r="T49" s="488"/>
      <c r="U49" s="488"/>
      <c r="V49" s="488"/>
      <c r="W49" s="488"/>
      <c r="X49" s="488"/>
      <c r="Y49" s="488"/>
      <c r="Z49" s="530"/>
      <c r="AA49" s="530"/>
      <c r="AB49" s="530"/>
      <c r="AC49" s="531"/>
      <c r="AD49" s="531"/>
      <c r="AE49" s="531"/>
      <c r="AF49" s="531"/>
      <c r="AG49" s="531"/>
      <c r="AH49" s="531"/>
      <c r="AI49" s="531"/>
      <c r="AJ49" s="531"/>
      <c r="AK49" s="531"/>
      <c r="AL49" s="531"/>
      <c r="AM49" s="531"/>
      <c r="AN49" s="531"/>
    </row>
    <row r="50" ht="29.25" customHeight="1">
      <c r="A50" s="520" t="s">
        <v>2913</v>
      </c>
      <c r="B50" s="550" t="s">
        <v>2923</v>
      </c>
      <c r="C50" s="489" t="s">
        <v>2989</v>
      </c>
      <c r="D50" s="525" t="s">
        <v>76</v>
      </c>
      <c r="E50" s="490"/>
      <c r="F50" s="526"/>
      <c r="G50" s="522">
        <v>45796.0</v>
      </c>
      <c r="H50" s="523">
        <v>45798.0</v>
      </c>
      <c r="I50" s="523"/>
      <c r="J50" s="523">
        <v>45798.0</v>
      </c>
      <c r="K50" s="481">
        <f>IF(ISBLANK(J50), NETWORKDAYS(H50, TODAY(),fESTIVOS!$A$1:$A$18), NETWORKDAYS(H50, J50, fESTIVOS!$A$1:$A$18))</f>
        <v>1</v>
      </c>
      <c r="L50" s="478"/>
      <c r="M50" s="522"/>
      <c r="N50" s="537"/>
      <c r="O50" s="529"/>
      <c r="P50" s="488"/>
      <c r="Q50" s="488"/>
      <c r="R50" s="488"/>
      <c r="S50" s="488"/>
      <c r="T50" s="488"/>
      <c r="U50" s="488"/>
      <c r="V50" s="488"/>
      <c r="W50" s="488"/>
      <c r="X50" s="488"/>
      <c r="Y50" s="488"/>
      <c r="Z50" s="530"/>
      <c r="AA50" s="530"/>
      <c r="AB50" s="530" t="s">
        <v>2990</v>
      </c>
      <c r="AC50" s="531"/>
      <c r="AD50" s="531"/>
      <c r="AE50" s="531"/>
      <c r="AF50" s="531"/>
      <c r="AG50" s="531"/>
      <c r="AH50" s="531"/>
      <c r="AI50" s="531"/>
      <c r="AJ50" s="531"/>
      <c r="AK50" s="531"/>
      <c r="AL50" s="531"/>
      <c r="AM50" s="531"/>
      <c r="AN50" s="531"/>
    </row>
    <row r="51" ht="29.25" customHeight="1">
      <c r="A51" s="520" t="s">
        <v>2913</v>
      </c>
      <c r="B51" s="532" t="s">
        <v>2991</v>
      </c>
      <c r="C51" s="515" t="s">
        <v>2992</v>
      </c>
      <c r="D51" s="525" t="s">
        <v>76</v>
      </c>
      <c r="E51" s="526"/>
      <c r="F51" s="526"/>
      <c r="G51" s="522">
        <v>45791.0</v>
      </c>
      <c r="H51" s="523">
        <v>45792.0</v>
      </c>
      <c r="I51" s="523"/>
      <c r="J51" s="523">
        <v>45792.0</v>
      </c>
      <c r="K51" s="481">
        <f>IF(ISBLANK(J51), NETWORKDAYS(H51, TODAY(),fESTIVOS!$A$1:$A$18), NETWORKDAYS(H51, J51, fESTIVOS!$A$1:$A$18))</f>
        <v>1</v>
      </c>
      <c r="L51" s="478"/>
      <c r="M51" s="522"/>
      <c r="N51" s="537"/>
      <c r="O51" s="529"/>
      <c r="P51" s="488"/>
      <c r="Q51" s="488"/>
      <c r="R51" s="488"/>
      <c r="S51" s="488"/>
      <c r="T51" s="488"/>
      <c r="U51" s="488"/>
      <c r="V51" s="488"/>
      <c r="W51" s="488"/>
      <c r="X51" s="488"/>
      <c r="Y51" s="530" t="s">
        <v>2993</v>
      </c>
      <c r="Z51" s="531"/>
      <c r="AA51" s="531"/>
      <c r="AB51" s="531"/>
      <c r="AC51" s="531"/>
      <c r="AD51" s="531"/>
      <c r="AE51" s="531"/>
      <c r="AF51" s="531"/>
      <c r="AG51" s="531"/>
      <c r="AH51" s="531"/>
      <c r="AI51" s="531"/>
      <c r="AJ51" s="531"/>
      <c r="AK51" s="531"/>
      <c r="AL51" s="531"/>
      <c r="AM51" s="531"/>
      <c r="AN51" s="531"/>
    </row>
    <row r="52" ht="29.25" customHeight="1">
      <c r="A52" s="475" t="s">
        <v>2816</v>
      </c>
      <c r="B52" s="490" t="s">
        <v>2994</v>
      </c>
      <c r="C52" s="515" t="s">
        <v>2995</v>
      </c>
      <c r="D52" s="525" t="s">
        <v>76</v>
      </c>
      <c r="E52" s="490">
        <v>80.0</v>
      </c>
      <c r="F52" s="478"/>
      <c r="G52" s="522">
        <v>45763.0</v>
      </c>
      <c r="H52" s="523">
        <v>45779.0</v>
      </c>
      <c r="I52" s="523">
        <v>45776.0</v>
      </c>
      <c r="J52" s="523">
        <v>45799.0</v>
      </c>
      <c r="K52" s="481">
        <f>IF(ISBLANK(J52), NETWORKDAYS(H52, TODAY(),fESTIVOS!$A$1:$A$18), NETWORKDAYS(H52, J52, fESTIVOS!$A$1:$A$18))</f>
        <v>15</v>
      </c>
      <c r="L52" s="551" t="s">
        <v>2996</v>
      </c>
      <c r="M52" s="522">
        <v>45777.0</v>
      </c>
      <c r="N52" s="525" t="s">
        <v>2997</v>
      </c>
      <c r="O52" s="527">
        <v>45799.0</v>
      </c>
      <c r="P52" s="487"/>
      <c r="Q52" s="530" t="s">
        <v>2998</v>
      </c>
      <c r="R52" s="530" t="s">
        <v>2999</v>
      </c>
      <c r="S52" s="530" t="s">
        <v>3000</v>
      </c>
      <c r="T52" s="531"/>
      <c r="U52" s="531"/>
      <c r="V52" s="531"/>
      <c r="W52" s="530" t="s">
        <v>3001</v>
      </c>
      <c r="X52" s="530" t="s">
        <v>3002</v>
      </c>
      <c r="Y52" s="531"/>
      <c r="Z52" s="530" t="s">
        <v>3003</v>
      </c>
      <c r="AA52" s="530" t="s">
        <v>3004</v>
      </c>
      <c r="AB52" s="530" t="s">
        <v>3005</v>
      </c>
      <c r="AC52" s="530" t="s">
        <v>3006</v>
      </c>
      <c r="AD52" s="531"/>
      <c r="AE52" s="531"/>
      <c r="AF52" s="531"/>
      <c r="AG52" s="531"/>
      <c r="AH52" s="531"/>
      <c r="AI52" s="531"/>
      <c r="AJ52" s="531"/>
      <c r="AK52" s="531"/>
      <c r="AL52" s="531"/>
      <c r="AM52" s="531"/>
      <c r="AN52" s="531"/>
    </row>
    <row r="53" ht="29.25" customHeight="1">
      <c r="A53" s="534" t="s">
        <v>2938</v>
      </c>
      <c r="B53" s="535"/>
      <c r="C53" s="477" t="s">
        <v>2939</v>
      </c>
      <c r="D53" s="117" t="s">
        <v>76</v>
      </c>
      <c r="E53" s="478"/>
      <c r="F53" s="478"/>
      <c r="G53" s="479">
        <v>45714.0</v>
      </c>
      <c r="H53" s="523">
        <v>45784.0</v>
      </c>
      <c r="I53" s="480"/>
      <c r="J53" s="523">
        <v>45785.0</v>
      </c>
      <c r="K53" s="536"/>
      <c r="L53" s="478"/>
      <c r="M53" s="479"/>
      <c r="N53" s="547"/>
      <c r="O53" s="482"/>
      <c r="P53" s="483" t="s">
        <v>2940</v>
      </c>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row>
    <row r="54" ht="29.25" customHeight="1">
      <c r="A54" s="552" t="s">
        <v>2816</v>
      </c>
      <c r="B54" s="553" t="s">
        <v>3007</v>
      </c>
      <c r="C54" s="554" t="s">
        <v>3008</v>
      </c>
      <c r="D54" s="555" t="s">
        <v>76</v>
      </c>
      <c r="E54" s="490">
        <v>100.0</v>
      </c>
      <c r="F54" s="490"/>
      <c r="G54" s="556">
        <v>45800.0</v>
      </c>
      <c r="H54" s="523"/>
      <c r="I54" s="523"/>
      <c r="J54" s="523">
        <v>45804.0</v>
      </c>
      <c r="K54" s="490"/>
      <c r="L54" s="478"/>
      <c r="M54" s="522"/>
      <c r="N54" s="537"/>
      <c r="O54" s="529"/>
      <c r="P54" s="557"/>
      <c r="Q54" s="557"/>
      <c r="R54" s="557"/>
      <c r="S54" s="558"/>
      <c r="T54" s="559"/>
      <c r="U54" s="559"/>
      <c r="V54" s="558"/>
      <c r="W54" s="558"/>
      <c r="X54" s="558"/>
      <c r="Y54" s="559"/>
      <c r="Z54" s="559"/>
      <c r="AA54" s="558"/>
      <c r="AB54" s="558"/>
      <c r="AC54" s="558" t="s">
        <v>3009</v>
      </c>
      <c r="AD54" s="559"/>
      <c r="AE54" s="530" t="s">
        <v>3010</v>
      </c>
      <c r="AF54" s="530"/>
      <c r="AG54" s="530"/>
      <c r="AH54" s="530"/>
      <c r="AI54" s="530"/>
      <c r="AJ54" s="530"/>
      <c r="AK54" s="530"/>
      <c r="AL54" s="530"/>
      <c r="AM54" s="530"/>
      <c r="AN54" s="530"/>
    </row>
    <row r="55" ht="29.25" customHeight="1">
      <c r="A55" s="560" t="s">
        <v>2913</v>
      </c>
      <c r="B55" s="561" t="s">
        <v>2975</v>
      </c>
      <c r="C55" s="562" t="s">
        <v>3011</v>
      </c>
      <c r="D55" s="555" t="s">
        <v>76</v>
      </c>
      <c r="E55" s="490">
        <v>100.0</v>
      </c>
      <c r="F55" s="526"/>
      <c r="G55" s="522">
        <v>45798.0</v>
      </c>
      <c r="H55" s="523">
        <v>45803.0</v>
      </c>
      <c r="I55" s="523"/>
      <c r="J55" s="523">
        <v>45803.0</v>
      </c>
      <c r="K55" s="481">
        <f>IF(ISBLANK(J55), NETWORKDAYS(H55, TODAY(),fESTIVOS!$A$1:$A$18), NETWORKDAYS(H55, J55, fESTIVOS!$A$1:$A$18))</f>
        <v>1</v>
      </c>
      <c r="L55" s="478"/>
      <c r="M55" s="522"/>
      <c r="N55" s="537"/>
      <c r="O55" s="529">
        <v>45803.0</v>
      </c>
      <c r="P55" s="557"/>
      <c r="Q55" s="557"/>
      <c r="R55" s="557"/>
      <c r="S55" s="557"/>
      <c r="T55" s="557"/>
      <c r="U55" s="557"/>
      <c r="V55" s="557"/>
      <c r="W55" s="557"/>
      <c r="X55" s="557"/>
      <c r="Y55" s="557"/>
      <c r="Z55" s="558"/>
      <c r="AA55" s="558"/>
      <c r="AB55" s="558"/>
      <c r="AC55" s="558" t="s">
        <v>3012</v>
      </c>
      <c r="AD55" s="558" t="s">
        <v>3013</v>
      </c>
      <c r="AE55" s="530" t="s">
        <v>3014</v>
      </c>
      <c r="AF55" s="530"/>
      <c r="AG55" s="530"/>
      <c r="AH55" s="530"/>
      <c r="AI55" s="530"/>
      <c r="AJ55" s="530"/>
      <c r="AK55" s="530"/>
      <c r="AL55" s="530"/>
      <c r="AM55" s="530"/>
      <c r="AN55" s="530"/>
    </row>
    <row r="56" ht="29.25" customHeight="1">
      <c r="A56" s="560" t="s">
        <v>2913</v>
      </c>
      <c r="B56" s="563" t="s">
        <v>3015</v>
      </c>
      <c r="C56" s="562" t="s">
        <v>3016</v>
      </c>
      <c r="D56" s="555" t="s">
        <v>76</v>
      </c>
      <c r="E56" s="526"/>
      <c r="F56" s="526"/>
      <c r="G56" s="522">
        <v>45804.0</v>
      </c>
      <c r="H56" s="523">
        <v>45804.0</v>
      </c>
      <c r="I56" s="523"/>
      <c r="J56" s="523">
        <v>45804.0</v>
      </c>
      <c r="K56" s="481">
        <f>IF(ISBLANK(J56), NETWORKDAYS(H56, TODAY(),fESTIVOS!$A$1:$A$18), NETWORKDAYS(H56, J56, fESTIVOS!$A$1:$A$18))</f>
        <v>1</v>
      </c>
      <c r="L56" s="478"/>
      <c r="M56" s="522"/>
      <c r="N56" s="537"/>
      <c r="O56" s="529"/>
      <c r="P56" s="557"/>
      <c r="Q56" s="557"/>
      <c r="R56" s="557"/>
      <c r="S56" s="557"/>
      <c r="T56" s="557"/>
      <c r="U56" s="557"/>
      <c r="V56" s="557"/>
      <c r="W56" s="557"/>
      <c r="X56" s="557"/>
      <c r="Y56" s="557"/>
      <c r="Z56" s="557"/>
      <c r="AA56" s="557"/>
      <c r="AB56" s="557"/>
      <c r="AC56" s="557"/>
      <c r="AD56" s="557"/>
      <c r="AE56" s="530" t="s">
        <v>3017</v>
      </c>
      <c r="AF56" s="530"/>
      <c r="AG56" s="530"/>
      <c r="AH56" s="530"/>
      <c r="AI56" s="530"/>
      <c r="AJ56" s="530"/>
      <c r="AK56" s="530"/>
      <c r="AL56" s="530"/>
      <c r="AM56" s="530"/>
      <c r="AN56" s="530"/>
    </row>
    <row r="57" ht="29.25" customHeight="1">
      <c r="A57" s="560" t="s">
        <v>2913</v>
      </c>
      <c r="B57" s="532" t="s">
        <v>2923</v>
      </c>
      <c r="C57" s="515" t="s">
        <v>3018</v>
      </c>
      <c r="D57" s="525" t="s">
        <v>76</v>
      </c>
      <c r="E57" s="526"/>
      <c r="F57" s="526"/>
      <c r="G57" s="522">
        <v>45805.0</v>
      </c>
      <c r="H57" s="523">
        <v>45806.0</v>
      </c>
      <c r="I57" s="523"/>
      <c r="J57" s="523">
        <v>45806.0</v>
      </c>
      <c r="K57" s="481">
        <f>IF(ISBLANK(J57), NETWORKDAYS(H57, TODAY(),fESTIVOS!$A$1:$A$18), NETWORKDAYS(H57, J57, fESTIVOS!$A$1:$A$18))</f>
        <v>1</v>
      </c>
      <c r="L57" s="478"/>
      <c r="M57" s="522"/>
      <c r="N57" s="537"/>
      <c r="O57" s="529"/>
      <c r="P57" s="557"/>
      <c r="Q57" s="557"/>
      <c r="R57" s="557"/>
      <c r="S57" s="557"/>
      <c r="T57" s="557"/>
      <c r="U57" s="557"/>
      <c r="V57" s="557"/>
      <c r="W57" s="557"/>
      <c r="X57" s="557"/>
      <c r="Y57" s="557"/>
      <c r="Z57" s="557"/>
      <c r="AA57" s="557"/>
      <c r="AB57" s="557"/>
      <c r="AC57" s="557"/>
      <c r="AD57" s="557"/>
      <c r="AE57" s="488"/>
      <c r="AF57" s="530" t="s">
        <v>3019</v>
      </c>
      <c r="AG57" s="530"/>
      <c r="AH57" s="530"/>
      <c r="AI57" s="530"/>
      <c r="AJ57" s="530"/>
      <c r="AK57" s="530"/>
      <c r="AL57" s="530"/>
      <c r="AM57" s="530"/>
      <c r="AN57" s="530"/>
    </row>
    <row r="58" ht="29.25" customHeight="1">
      <c r="A58" s="560" t="s">
        <v>2913</v>
      </c>
      <c r="B58" s="532" t="s">
        <v>3020</v>
      </c>
      <c r="C58" s="515" t="s">
        <v>3021</v>
      </c>
      <c r="D58" s="525" t="s">
        <v>76</v>
      </c>
      <c r="E58" s="526"/>
      <c r="F58" s="526"/>
      <c r="G58" s="522">
        <v>45807.0</v>
      </c>
      <c r="H58" s="523">
        <v>45807.0</v>
      </c>
      <c r="I58" s="523"/>
      <c r="J58" s="523">
        <v>45811.0</v>
      </c>
      <c r="K58" s="481">
        <f>IF(ISBLANK(J58), NETWORKDAYS(H58, TODAY(),fESTIVOS!$A$1:$A$18), NETWORKDAYS(H58, J58, fESTIVOS!$A$1:$A$18))</f>
        <v>3</v>
      </c>
      <c r="L58" s="478"/>
      <c r="M58" s="522"/>
      <c r="N58" s="537"/>
      <c r="O58" s="529"/>
      <c r="P58" s="557"/>
      <c r="Q58" s="557"/>
      <c r="R58" s="557"/>
      <c r="S58" s="557"/>
      <c r="T58" s="557"/>
      <c r="U58" s="557"/>
      <c r="V58" s="557"/>
      <c r="W58" s="557"/>
      <c r="X58" s="557"/>
      <c r="Y58" s="557"/>
      <c r="Z58" s="557"/>
      <c r="AA58" s="557"/>
      <c r="AB58" s="557"/>
      <c r="AC58" s="557"/>
      <c r="AD58" s="557"/>
      <c r="AE58" s="557"/>
      <c r="AF58" s="558" t="s">
        <v>3022</v>
      </c>
      <c r="AG58" s="530"/>
      <c r="AH58" s="530"/>
      <c r="AI58" s="530"/>
      <c r="AJ58" s="530"/>
      <c r="AK58" s="530"/>
      <c r="AL58" s="530"/>
      <c r="AM58" s="530"/>
      <c r="AN58" s="530"/>
    </row>
    <row r="59" ht="29.25" customHeight="1">
      <c r="A59" s="560" t="s">
        <v>2913</v>
      </c>
      <c r="B59" s="532" t="s">
        <v>2923</v>
      </c>
      <c r="C59" s="515" t="s">
        <v>3023</v>
      </c>
      <c r="D59" s="525" t="s">
        <v>76</v>
      </c>
      <c r="E59" s="526"/>
      <c r="F59" s="526"/>
      <c r="G59" s="522">
        <v>45811.0</v>
      </c>
      <c r="H59" s="523">
        <v>45812.0</v>
      </c>
      <c r="I59" s="523"/>
      <c r="J59" s="523">
        <v>45812.0</v>
      </c>
      <c r="K59" s="481">
        <f>IF(ISBLANK(J59), NETWORKDAYS(H59, TODAY(),fESTIVOS!$A$1:$A$18), NETWORKDAYS(H59, J59, fESTIVOS!$A$1:$A$18))</f>
        <v>1</v>
      </c>
      <c r="L59" s="478"/>
      <c r="M59" s="522"/>
      <c r="N59" s="537"/>
      <c r="O59" s="529"/>
      <c r="P59" s="557"/>
      <c r="Q59" s="557"/>
      <c r="R59" s="557"/>
      <c r="S59" s="557"/>
      <c r="T59" s="557"/>
      <c r="U59" s="557"/>
      <c r="V59" s="557"/>
      <c r="W59" s="557"/>
      <c r="X59" s="557"/>
      <c r="Y59" s="557"/>
      <c r="Z59" s="557"/>
      <c r="AA59" s="557"/>
      <c r="AB59" s="557"/>
      <c r="AC59" s="557"/>
      <c r="AD59" s="557"/>
      <c r="AE59" s="557"/>
      <c r="AF59" s="557"/>
      <c r="AG59" s="530" t="s">
        <v>3024</v>
      </c>
      <c r="AH59" s="530"/>
      <c r="AI59" s="530"/>
      <c r="AJ59" s="530"/>
      <c r="AK59" s="530"/>
      <c r="AL59" s="530"/>
      <c r="AM59" s="530"/>
      <c r="AN59" s="530"/>
    </row>
    <row r="60" ht="29.25" customHeight="1">
      <c r="A60" s="560" t="s">
        <v>2913</v>
      </c>
      <c r="B60" s="563" t="s">
        <v>337</v>
      </c>
      <c r="C60" s="562" t="s">
        <v>3025</v>
      </c>
      <c r="D60" s="525" t="s">
        <v>76</v>
      </c>
      <c r="E60" s="526"/>
      <c r="F60" s="526"/>
      <c r="G60" s="522">
        <v>45811.0</v>
      </c>
      <c r="H60" s="523">
        <v>45811.0</v>
      </c>
      <c r="I60" s="523"/>
      <c r="J60" s="523">
        <v>45814.0</v>
      </c>
      <c r="K60" s="481">
        <f>IF(ISBLANK(J60), NETWORKDAYS(H60, TODAY(),fESTIVOS!$A$1:$A$18), NETWORKDAYS(H60, J60, fESTIVOS!$A$1:$A$18))</f>
        <v>4</v>
      </c>
      <c r="L60" s="478"/>
      <c r="M60" s="522">
        <v>45811.0</v>
      </c>
      <c r="N60" s="537"/>
      <c r="O60" s="529">
        <v>45814.0</v>
      </c>
      <c r="P60" s="557"/>
      <c r="Q60" s="557"/>
      <c r="R60" s="557"/>
      <c r="S60" s="557"/>
      <c r="T60" s="557"/>
      <c r="U60" s="557"/>
      <c r="V60" s="557"/>
      <c r="W60" s="557"/>
      <c r="X60" s="557"/>
      <c r="Y60" s="557"/>
      <c r="Z60" s="557"/>
      <c r="AA60" s="557"/>
      <c r="AB60" s="557"/>
      <c r="AC60" s="557"/>
      <c r="AD60" s="557"/>
      <c r="AE60" s="488"/>
      <c r="AF60" s="530" t="s">
        <v>3026</v>
      </c>
      <c r="AG60" s="530" t="s">
        <v>3027</v>
      </c>
      <c r="AH60" s="530" t="s">
        <v>3028</v>
      </c>
      <c r="AI60" s="530" t="s">
        <v>3029</v>
      </c>
      <c r="AJ60" s="530"/>
      <c r="AK60" s="530"/>
      <c r="AL60" s="530"/>
      <c r="AM60" s="530"/>
      <c r="AN60" s="530"/>
    </row>
    <row r="61" ht="29.25" customHeight="1">
      <c r="A61" s="560" t="s">
        <v>2841</v>
      </c>
      <c r="B61" s="564" t="s">
        <v>3030</v>
      </c>
      <c r="C61" s="554" t="s">
        <v>3031</v>
      </c>
      <c r="D61" s="555" t="s">
        <v>76</v>
      </c>
      <c r="E61" s="490">
        <v>95.0</v>
      </c>
      <c r="F61" s="490">
        <v>3.0</v>
      </c>
      <c r="G61" s="522">
        <v>45784.0</v>
      </c>
      <c r="H61" s="523">
        <v>45784.0</v>
      </c>
      <c r="I61" s="523">
        <v>45786.0</v>
      </c>
      <c r="J61" s="523">
        <v>45803.0</v>
      </c>
      <c r="K61" s="546">
        <f>IF(ISBLANK(J61), NETWORKDAYS(H61, TODAY(),fESTIVOS!$A$1:$A$18), NETWORKDAYS(H61, J61, fESTIVOS!$A$1:$A$18))</f>
        <v>14</v>
      </c>
      <c r="L61" s="478"/>
      <c r="M61" s="522">
        <v>45786.0</v>
      </c>
      <c r="N61" s="547"/>
      <c r="O61" s="527">
        <v>45814.0</v>
      </c>
      <c r="P61" s="483"/>
      <c r="Q61" s="565"/>
      <c r="R61" s="565"/>
      <c r="S61" s="565"/>
      <c r="T61" s="566" t="s">
        <v>3032</v>
      </c>
      <c r="U61" s="567"/>
      <c r="V61" s="566" t="s">
        <v>3033</v>
      </c>
      <c r="W61" s="566" t="s">
        <v>3034</v>
      </c>
      <c r="X61" s="566" t="s">
        <v>3035</v>
      </c>
      <c r="Y61" s="567"/>
      <c r="Z61" s="567"/>
      <c r="AA61" s="567"/>
      <c r="AB61" s="567"/>
      <c r="AC61" s="567"/>
      <c r="AD61" s="567"/>
      <c r="AE61" s="494"/>
      <c r="AF61" s="494"/>
      <c r="AG61" s="493" t="s">
        <v>3036</v>
      </c>
      <c r="AH61" s="493" t="s">
        <v>3037</v>
      </c>
      <c r="AI61" s="493" t="s">
        <v>3038</v>
      </c>
      <c r="AJ61" s="493"/>
      <c r="AK61" s="493"/>
      <c r="AL61" s="493"/>
      <c r="AM61" s="493"/>
      <c r="AN61" s="493"/>
    </row>
    <row r="62" ht="29.25" customHeight="1">
      <c r="A62" s="560" t="s">
        <v>2913</v>
      </c>
      <c r="B62" s="532" t="s">
        <v>3039</v>
      </c>
      <c r="C62" s="515" t="s">
        <v>3040</v>
      </c>
      <c r="D62" s="525" t="s">
        <v>76</v>
      </c>
      <c r="E62" s="526"/>
      <c r="F62" s="526"/>
      <c r="G62" s="522">
        <v>45818.0</v>
      </c>
      <c r="H62" s="523">
        <v>45818.0</v>
      </c>
      <c r="I62" s="523"/>
      <c r="J62" s="523">
        <v>45818.0</v>
      </c>
      <c r="K62" s="481">
        <f>IF(ISBLANK(J62), NETWORKDAYS(H62, TODAY(),fESTIVOS!$A$1:$A$18), NETWORKDAYS(H62, J62, fESTIVOS!$A$1:$A$18))</f>
        <v>1</v>
      </c>
      <c r="L62" s="478"/>
      <c r="M62" s="522"/>
      <c r="N62" s="537"/>
      <c r="O62" s="529"/>
      <c r="P62" s="557"/>
      <c r="Q62" s="557"/>
      <c r="R62" s="557"/>
      <c r="S62" s="557"/>
      <c r="T62" s="557"/>
      <c r="U62" s="557"/>
      <c r="V62" s="557"/>
      <c r="W62" s="557"/>
      <c r="X62" s="557"/>
      <c r="Y62" s="557"/>
      <c r="Z62" s="557"/>
      <c r="AA62" s="557"/>
      <c r="AB62" s="557"/>
      <c r="AC62" s="557"/>
      <c r="AD62" s="557"/>
      <c r="AE62" s="557"/>
      <c r="AF62" s="557"/>
      <c r="AG62" s="557"/>
      <c r="AH62" s="557"/>
      <c r="AI62" s="557"/>
      <c r="AJ62" s="530" t="s">
        <v>3041</v>
      </c>
      <c r="AK62" s="530"/>
      <c r="AL62" s="530"/>
      <c r="AM62" s="530"/>
      <c r="AN62" s="530"/>
    </row>
    <row r="63" ht="29.25" customHeight="1">
      <c r="A63" s="520" t="s">
        <v>2831</v>
      </c>
      <c r="B63" s="532" t="s">
        <v>463</v>
      </c>
      <c r="C63" s="489" t="s">
        <v>3042</v>
      </c>
      <c r="D63" s="525" t="s">
        <v>76</v>
      </c>
      <c r="E63" s="490">
        <v>100.0</v>
      </c>
      <c r="F63" s="490">
        <v>1.0</v>
      </c>
      <c r="G63" s="522">
        <v>45818.0</v>
      </c>
      <c r="H63" s="523">
        <v>45819.0</v>
      </c>
      <c r="I63" s="523">
        <v>45819.0</v>
      </c>
      <c r="J63" s="523">
        <v>45819.0</v>
      </c>
      <c r="K63" s="481">
        <f>IF(ISBLANK(J63), NETWORKDAYS(H63, TODAY(),fESTIVOS!$A$1:$A$18), NETWORKDAYS(H63, J63, fESTIVOS!$A$1:$A$18))</f>
        <v>1</v>
      </c>
      <c r="L63" s="478"/>
      <c r="M63" s="522"/>
      <c r="N63" s="537"/>
      <c r="O63" s="529"/>
      <c r="P63" s="557"/>
      <c r="Q63" s="557"/>
      <c r="R63" s="557"/>
      <c r="S63" s="557"/>
      <c r="T63" s="557"/>
      <c r="U63" s="557"/>
      <c r="V63" s="557"/>
      <c r="W63" s="557"/>
      <c r="X63" s="557"/>
      <c r="Y63" s="557"/>
      <c r="Z63" s="557"/>
      <c r="AA63" s="557"/>
      <c r="AB63" s="557"/>
      <c r="AC63" s="557"/>
      <c r="AD63" s="557"/>
      <c r="AE63" s="557"/>
      <c r="AF63" s="557"/>
      <c r="AG63" s="557"/>
      <c r="AH63" s="557"/>
      <c r="AI63" s="557"/>
      <c r="AJ63" s="558" t="s">
        <v>3043</v>
      </c>
      <c r="AK63" s="530" t="s">
        <v>3044</v>
      </c>
      <c r="AL63" s="530"/>
      <c r="AM63" s="530"/>
      <c r="AN63" s="530"/>
    </row>
    <row r="64" ht="29.25" customHeight="1">
      <c r="A64" s="520" t="s">
        <v>2831</v>
      </c>
      <c r="B64" s="532" t="s">
        <v>463</v>
      </c>
      <c r="C64" s="489" t="s">
        <v>3045</v>
      </c>
      <c r="D64" s="525" t="s">
        <v>76</v>
      </c>
      <c r="E64" s="490">
        <v>100.0</v>
      </c>
      <c r="F64" s="490">
        <v>1.0</v>
      </c>
      <c r="G64" s="522">
        <v>45818.0</v>
      </c>
      <c r="H64" s="523">
        <v>45820.0</v>
      </c>
      <c r="I64" s="523">
        <v>45820.0</v>
      </c>
      <c r="J64" s="523">
        <v>45821.0</v>
      </c>
      <c r="K64" s="481">
        <f>IF(ISBLANK(J64), NETWORKDAYS(H64, TODAY(),fESTIVOS!$A$1:$A$18), NETWORKDAYS(H64, J64, fESTIVOS!$A$1:$A$18))</f>
        <v>2</v>
      </c>
      <c r="L64" s="478"/>
      <c r="M64" s="522"/>
      <c r="N64" s="537"/>
      <c r="O64" s="529"/>
      <c r="P64" s="557"/>
      <c r="Q64" s="557"/>
      <c r="R64" s="557"/>
      <c r="S64" s="557"/>
      <c r="T64" s="557"/>
      <c r="U64" s="557"/>
      <c r="V64" s="557"/>
      <c r="W64" s="557"/>
      <c r="X64" s="557"/>
      <c r="Y64" s="557"/>
      <c r="Z64" s="557"/>
      <c r="AA64" s="557"/>
      <c r="AB64" s="557"/>
      <c r="AC64" s="557"/>
      <c r="AD64" s="557"/>
      <c r="AE64" s="557"/>
      <c r="AF64" s="557"/>
      <c r="AG64" s="557"/>
      <c r="AH64" s="557"/>
      <c r="AI64" s="557"/>
      <c r="AJ64" s="558" t="s">
        <v>3046</v>
      </c>
      <c r="AK64" s="530" t="s">
        <v>3047</v>
      </c>
      <c r="AL64" s="530"/>
      <c r="AM64" s="530"/>
      <c r="AN64" s="530"/>
    </row>
    <row r="65" ht="29.25" customHeight="1">
      <c r="A65" s="552" t="s">
        <v>2816</v>
      </c>
      <c r="B65" s="563" t="s">
        <v>2932</v>
      </c>
      <c r="C65" s="568" t="s">
        <v>3048</v>
      </c>
      <c r="D65" s="555" t="s">
        <v>76</v>
      </c>
      <c r="E65" s="490">
        <v>100.0</v>
      </c>
      <c r="F65" s="569">
        <v>1.0</v>
      </c>
      <c r="G65" s="522">
        <v>45786.0</v>
      </c>
      <c r="H65" s="523">
        <v>45786.0</v>
      </c>
      <c r="I65" s="523"/>
      <c r="J65" s="523">
        <v>45825.0</v>
      </c>
      <c r="K65" s="481">
        <f>IF(ISBLANK(J65), NETWORKDAYS(H65, TODAY(),fESTIVOS!$A$1:$A$18), NETWORKDAYS(H65, J65, fESTIVOS!$A$1:$A$18))</f>
        <v>28</v>
      </c>
      <c r="L65" s="478"/>
      <c r="M65" s="522"/>
      <c r="N65" s="537"/>
      <c r="O65" s="529"/>
      <c r="P65" s="557"/>
      <c r="Q65" s="557"/>
      <c r="R65" s="557"/>
      <c r="S65" s="558" t="s">
        <v>3049</v>
      </c>
      <c r="T65" s="559"/>
      <c r="U65" s="559"/>
      <c r="V65" s="558" t="s">
        <v>3050</v>
      </c>
      <c r="W65" s="558" t="s">
        <v>3051</v>
      </c>
      <c r="X65" s="558" t="s">
        <v>3052</v>
      </c>
      <c r="Y65" s="559"/>
      <c r="Z65" s="559"/>
      <c r="AA65" s="558" t="s">
        <v>3053</v>
      </c>
      <c r="AB65" s="558" t="s">
        <v>3054</v>
      </c>
      <c r="AC65" s="558" t="s">
        <v>3055</v>
      </c>
      <c r="AD65" s="558" t="s">
        <v>3056</v>
      </c>
      <c r="AE65" s="530" t="s">
        <v>293</v>
      </c>
      <c r="AF65" s="530" t="s">
        <v>3057</v>
      </c>
      <c r="AG65" s="530"/>
      <c r="AH65" s="530"/>
      <c r="AI65" s="530"/>
      <c r="AJ65" s="530" t="s">
        <v>3058</v>
      </c>
      <c r="AK65" s="530" t="s">
        <v>3059</v>
      </c>
      <c r="AL65" s="530" t="s">
        <v>3060</v>
      </c>
      <c r="AM65" s="530" t="s">
        <v>3061</v>
      </c>
      <c r="AN65" s="530"/>
    </row>
    <row r="66" ht="29.25" customHeight="1">
      <c r="A66" s="560" t="s">
        <v>2913</v>
      </c>
      <c r="B66" s="532" t="s">
        <v>3062</v>
      </c>
      <c r="C66" s="570" t="s">
        <v>3063</v>
      </c>
      <c r="D66" s="525" t="s">
        <v>76</v>
      </c>
      <c r="E66" s="490">
        <v>100.0</v>
      </c>
      <c r="F66" s="526"/>
      <c r="G66" s="522">
        <v>45805.0</v>
      </c>
      <c r="H66" s="523">
        <v>45825.0</v>
      </c>
      <c r="I66" s="523"/>
      <c r="J66" s="523">
        <v>45825.0</v>
      </c>
      <c r="K66" s="481">
        <f>IF(ISBLANK(J66), NETWORKDAYS(H66, TODAY(),fESTIVOS!$A$1:$A$18), NETWORKDAYS(H66, J66, fESTIVOS!$A$1:$A$18))</f>
        <v>1</v>
      </c>
      <c r="L66" s="478"/>
      <c r="M66" s="522"/>
      <c r="N66" s="537"/>
      <c r="O66" s="529"/>
      <c r="P66" s="557"/>
      <c r="Q66" s="557"/>
      <c r="R66" s="557"/>
      <c r="S66" s="557"/>
      <c r="T66" s="557"/>
      <c r="U66" s="557"/>
      <c r="V66" s="557"/>
      <c r="W66" s="557"/>
      <c r="X66" s="557"/>
      <c r="Y66" s="557"/>
      <c r="Z66" s="557"/>
      <c r="AA66" s="557"/>
      <c r="AB66" s="557"/>
      <c r="AC66" s="557"/>
      <c r="AD66" s="557"/>
      <c r="AE66" s="488"/>
      <c r="AF66" s="530" t="s">
        <v>3064</v>
      </c>
      <c r="AG66" s="530"/>
      <c r="AH66" s="530"/>
      <c r="AI66" s="530"/>
      <c r="AJ66" s="530"/>
      <c r="AK66" s="530"/>
      <c r="AL66" s="530" t="s">
        <v>3065</v>
      </c>
      <c r="AM66" s="530" t="s">
        <v>3066</v>
      </c>
      <c r="AN66" s="530"/>
    </row>
    <row r="67" ht="29.25" customHeight="1">
      <c r="A67" s="560" t="s">
        <v>2913</v>
      </c>
      <c r="B67" s="524"/>
      <c r="C67" s="489" t="s">
        <v>3067</v>
      </c>
      <c r="D67" s="525" t="s">
        <v>76</v>
      </c>
      <c r="E67" s="526"/>
      <c r="F67" s="490">
        <v>1.0</v>
      </c>
      <c r="G67" s="522">
        <v>45825.0</v>
      </c>
      <c r="H67" s="523">
        <v>45825.0</v>
      </c>
      <c r="I67" s="523">
        <v>45825.0</v>
      </c>
      <c r="J67" s="523"/>
      <c r="K67" s="481">
        <f>IF(ISBLANK(J67), NETWORKDAYS(H67, TODAY(),fESTIVOS!$A$1:$A$18), NETWORKDAYS(H67, J67, fESTIVOS!$A$1:$A$18))</f>
        <v>261</v>
      </c>
      <c r="L67" s="478"/>
      <c r="M67" s="522"/>
      <c r="N67" s="537"/>
      <c r="O67" s="529"/>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8" t="s">
        <v>3068</v>
      </c>
      <c r="AN67" s="530"/>
    </row>
    <row r="68" ht="29.25" customHeight="1">
      <c r="A68" s="571" t="s">
        <v>2816</v>
      </c>
      <c r="B68" s="532" t="s">
        <v>2923</v>
      </c>
      <c r="C68" s="515" t="s">
        <v>3069</v>
      </c>
      <c r="D68" s="525" t="s">
        <v>76</v>
      </c>
      <c r="E68" s="490">
        <v>100.0</v>
      </c>
      <c r="F68" s="572"/>
      <c r="G68" s="522">
        <v>45825.0</v>
      </c>
      <c r="H68" s="523">
        <v>45825.0</v>
      </c>
      <c r="I68" s="523"/>
      <c r="J68" s="523">
        <v>45825.0</v>
      </c>
      <c r="K68" s="481">
        <f>IF(ISBLANK(J68), NETWORKDAYS(H68, TODAY(),fESTIVOS!$A$1:$A$18), NETWORKDAYS(H68, J68, fESTIVOS!$A$1:$A$18))</f>
        <v>1</v>
      </c>
      <c r="L68" s="478"/>
      <c r="M68" s="522"/>
      <c r="N68" s="537"/>
      <c r="O68" s="529">
        <v>45825.0</v>
      </c>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8" t="s">
        <v>3070</v>
      </c>
      <c r="AN68" s="530"/>
    </row>
  </sheetData>
  <dataValidations>
    <dataValidation type="list" allowBlank="1" sqref="D2:D7">
      <formula1>"ENTRENAMIENTO,DETENIDO BOL,FINALIZADO,EN PROCESO ,PAUSADO ,EN TEST,CONTROL DE CAMBIOS PRODUCCION,PENDIENTE,PRUEBAS BOLIVAR,PENDIENTE BOLIVAR"</formula1>
    </dataValidation>
    <dataValidation type="list" allowBlank="1" sqref="D8:D10 D12:D34">
      <formula1>"ENTRENAMIENTO,DETENIDO BOL,FINALIZADO,EN PROCESO ,PAUSADO ,EN TEST,CONTROL DE CAMBIOS PRODUCCION,PENDIENTE,PRUEBAS BOLIVAR,PENDIENTE BOLIVAR"</formula1>
    </dataValidation>
    <dataValidation type="list" allowBlank="1" sqref="D35">
      <formula1>"ENTRENAMIENTO,DETENIDO BOL,FINALIZADO,EN PROCESO ,PAUSADO ,EN TEST,CONTROL DE CAMBIOS PRODUCCION,PENDIENTE,PRUEBAS BOLIVAR,PENDIENTE BOLIVAR,PRUEBAS IMAGINE,PASO A PRODUCCION"</formula1>
    </dataValidation>
    <dataValidation type="list" allowBlank="1" sqref="D54:D68">
      <formula1>"ENTRENAMIENTO,DETENIDO BOL,FINALIZADO,EN PROCESO ,PAUSADO ,EN TEST,CONTROL DE CAMBIOS PRODUCCION,PENDIENTE,PRUEBAS BOLIVAR,PENDIENTE BOLIVAR,PRUEBAS IMAGINE,PASO A PRODUCCION,CONTROL CAMBIOS TEST,ESTIMAR"</formula1>
    </dataValidation>
    <dataValidation type="list" allowBlank="1" sqref="N36:N68">
      <formula1>"Opción 1,Opción 2"</formula1>
    </dataValidation>
    <dataValidation type="custom" allowBlank="1" showDropDown="1" sqref="G2:J7 M2:M7 O2:O7">
      <formula1>OR(NOT(ISERROR(DATEVALUE(G2))), AND(ISNUMBER(G2), LEFT(CELL("format", G2))="D"))</formula1>
    </dataValidation>
    <dataValidation type="list" allowBlank="1" sqref="D36:D53">
      <formula1>"ENTRENAMIENTO,DETENIDO BOL,FINALIZADO,EN PROCESO ,PAUSADO ,EN TEST,CONTROL DE CAMBIOS PRODUCCION,PENDIENTE,PRUEBAS BOLIVAR,PENDIENTE BOLIVAR,PRUEBAS IMAGINE,PASO A PRODUCCION,CONTROL CAMBIOS TEST"</formula1>
    </dataValidation>
  </dataValidations>
  <hyperlinks>
    <hyperlink r:id="rId1" ref="B39"/>
    <hyperlink r:id="rId2" ref="B42"/>
    <hyperlink r:id="rId3" ref="L52"/>
    <hyperlink r:id="rId4" ref="B61"/>
  </hyperlinks>
  <drawing r:id="rId5"/>
  <tableParts count="20">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4.78"/>
    <col customWidth="1" min="2" max="2" width="36.22"/>
    <col customWidth="1" min="3" max="3" width="41.11"/>
    <col customWidth="1" min="4" max="4" width="14.44"/>
    <col customWidth="1" min="5" max="5" width="8.78"/>
    <col customWidth="1" min="6" max="6" width="9.44"/>
    <col customWidth="1" min="7" max="7" width="16.33"/>
    <col customWidth="1" min="8" max="8" width="8.78"/>
    <col customWidth="1" min="9" max="9" width="4.67"/>
    <col customWidth="1" min="10" max="10" width="8.78"/>
    <col customWidth="1" min="11" max="11" width="10.44"/>
    <col customWidth="1" min="12" max="12" width="83.33"/>
    <col customWidth="1" min="13" max="13" width="67.67"/>
    <col customWidth="1" min="14" max="26" width="10.56"/>
  </cols>
  <sheetData>
    <row r="1" ht="15.0" customHeight="1">
      <c r="A1" s="573" t="s">
        <v>2812</v>
      </c>
      <c r="B1" s="573" t="s">
        <v>2</v>
      </c>
      <c r="C1" s="573" t="s">
        <v>4</v>
      </c>
      <c r="D1" s="573" t="s">
        <v>5</v>
      </c>
      <c r="E1" s="574" t="s">
        <v>8</v>
      </c>
      <c r="F1" s="574" t="s">
        <v>9</v>
      </c>
      <c r="G1" s="575" t="s">
        <v>3071</v>
      </c>
      <c r="H1" s="574" t="s">
        <v>11</v>
      </c>
      <c r="I1" s="574" t="s">
        <v>2814</v>
      </c>
      <c r="J1" s="576" t="s">
        <v>14</v>
      </c>
      <c r="K1" s="577" t="s">
        <v>15</v>
      </c>
      <c r="L1" s="578" t="s">
        <v>2815</v>
      </c>
      <c r="M1" s="495"/>
      <c r="N1" s="495"/>
      <c r="O1" s="495"/>
      <c r="P1" s="495"/>
      <c r="Q1" s="495"/>
      <c r="R1" s="495"/>
      <c r="S1" s="495"/>
      <c r="T1" s="495"/>
      <c r="U1" s="495"/>
      <c r="V1" s="495"/>
      <c r="W1" s="495"/>
      <c r="X1" s="495"/>
      <c r="Y1" s="495"/>
      <c r="Z1" s="495"/>
    </row>
    <row r="2" ht="15.0" customHeight="1">
      <c r="A2" s="579" t="s">
        <v>2831</v>
      </c>
      <c r="B2" s="580" t="s">
        <v>3072</v>
      </c>
      <c r="C2" s="581" t="s">
        <v>3073</v>
      </c>
      <c r="D2" s="582"/>
      <c r="E2" s="583">
        <v>45561.0</v>
      </c>
      <c r="F2" s="583">
        <v>45561.0</v>
      </c>
      <c r="G2" s="582"/>
      <c r="H2" s="584">
        <v>45565.0</v>
      </c>
      <c r="I2" s="585">
        <f>IF(ISBLANK(H2), NETWORKDAYS(F2, TODAY(),fESTIVOS!$A$1:$A$18), NETWORKDAYS(F2, H2, fESTIVOS!$A$1:$A$18))</f>
        <v>3</v>
      </c>
      <c r="J2" s="583">
        <v>45565.0</v>
      </c>
      <c r="K2" s="583">
        <v>45566.0</v>
      </c>
      <c r="L2" s="586" t="s">
        <v>3074</v>
      </c>
      <c r="M2" s="495"/>
      <c r="N2" s="495"/>
      <c r="O2" s="495"/>
      <c r="P2" s="495"/>
      <c r="Q2" s="495"/>
      <c r="R2" s="495"/>
      <c r="S2" s="495"/>
      <c r="T2" s="495"/>
      <c r="U2" s="495"/>
      <c r="V2" s="495"/>
      <c r="W2" s="495"/>
      <c r="X2" s="495"/>
      <c r="Y2" s="495"/>
      <c r="Z2" s="495"/>
    </row>
    <row r="3" ht="15.0" customHeight="1">
      <c r="A3" s="579" t="s">
        <v>2831</v>
      </c>
      <c r="B3" s="587"/>
      <c r="C3" s="581" t="s">
        <v>3075</v>
      </c>
      <c r="D3" s="582"/>
      <c r="E3" s="583">
        <v>45561.0</v>
      </c>
      <c r="F3" s="583">
        <v>45562.0</v>
      </c>
      <c r="G3" s="582"/>
      <c r="H3" s="583">
        <v>45565.0</v>
      </c>
      <c r="I3" s="585">
        <f>IF(ISBLANK(H3), NETWORKDAYS(F3, TODAY(),fESTIVOS!$A$1:$A$18), NETWORKDAYS(F3, H3, fESTIVOS!$A$1:$A$18))</f>
        <v>2</v>
      </c>
      <c r="J3" s="583">
        <v>45565.0</v>
      </c>
      <c r="K3" s="583">
        <v>45566.0</v>
      </c>
      <c r="L3" s="586" t="s">
        <v>3076</v>
      </c>
      <c r="M3" s="495"/>
      <c r="N3" s="495"/>
      <c r="O3" s="495"/>
      <c r="P3" s="495"/>
      <c r="Q3" s="495"/>
      <c r="R3" s="495"/>
      <c r="S3" s="495"/>
      <c r="T3" s="495"/>
      <c r="U3" s="495"/>
      <c r="V3" s="495"/>
      <c r="W3" s="495"/>
      <c r="X3" s="495"/>
      <c r="Y3" s="495"/>
      <c r="Z3" s="495"/>
    </row>
    <row r="4" ht="15.0" customHeight="1">
      <c r="A4" s="579" t="s">
        <v>2831</v>
      </c>
      <c r="B4" s="588" t="s">
        <v>3077</v>
      </c>
      <c r="C4" s="581" t="s">
        <v>3078</v>
      </c>
      <c r="D4" s="582"/>
      <c r="E4" s="583">
        <v>45566.0</v>
      </c>
      <c r="F4" s="583">
        <v>45566.0</v>
      </c>
      <c r="G4" s="582"/>
      <c r="H4" s="583">
        <v>45566.0</v>
      </c>
      <c r="I4" s="585">
        <f>IF(ISBLANK(H4), NETWORKDAYS(F4, TODAY(),fESTIVOS!$A$1:$A$18), NETWORKDAYS(F4, H4, fESTIVOS!$A$1:$A$18))</f>
        <v>1</v>
      </c>
      <c r="J4" s="583">
        <v>45566.0</v>
      </c>
      <c r="K4" s="583">
        <v>45566.0</v>
      </c>
      <c r="L4" s="586" t="s">
        <v>3079</v>
      </c>
      <c r="M4" s="495"/>
      <c r="N4" s="495"/>
      <c r="O4" s="495"/>
      <c r="P4" s="495"/>
      <c r="Q4" s="495"/>
      <c r="R4" s="495"/>
      <c r="S4" s="495"/>
      <c r="T4" s="495"/>
      <c r="U4" s="495"/>
      <c r="V4" s="495"/>
      <c r="W4" s="495"/>
      <c r="X4" s="495"/>
      <c r="Y4" s="495"/>
      <c r="Z4" s="495"/>
    </row>
    <row r="5" ht="15.0" customHeight="1">
      <c r="A5" s="579" t="s">
        <v>2831</v>
      </c>
      <c r="B5" s="589"/>
      <c r="C5" s="581" t="s">
        <v>3080</v>
      </c>
      <c r="D5" s="582"/>
      <c r="E5" s="583">
        <v>45566.0</v>
      </c>
      <c r="F5" s="583">
        <v>45566.0</v>
      </c>
      <c r="G5" s="582"/>
      <c r="H5" s="583">
        <v>45566.0</v>
      </c>
      <c r="I5" s="585">
        <f>IF(ISBLANK(H5), NETWORKDAYS(F5, TODAY(),fESTIVOS!$A$1:$A$18), NETWORKDAYS(F5, H5, fESTIVOS!$A$1:$A$18))</f>
        <v>1</v>
      </c>
      <c r="J5" s="583">
        <v>45566.0</v>
      </c>
      <c r="K5" s="583">
        <v>45566.0</v>
      </c>
      <c r="L5" s="586" t="s">
        <v>3079</v>
      </c>
      <c r="M5" s="495"/>
      <c r="N5" s="495"/>
      <c r="O5" s="495"/>
      <c r="P5" s="495"/>
      <c r="Q5" s="495"/>
      <c r="R5" s="495"/>
      <c r="S5" s="495"/>
      <c r="T5" s="495"/>
      <c r="U5" s="495"/>
      <c r="V5" s="495"/>
      <c r="W5" s="495"/>
      <c r="X5" s="495"/>
      <c r="Y5" s="495"/>
      <c r="Z5" s="495"/>
    </row>
    <row r="6" ht="15.0" customHeight="1">
      <c r="A6" s="579" t="s">
        <v>2831</v>
      </c>
      <c r="B6" s="589"/>
      <c r="C6" s="581" t="s">
        <v>3081</v>
      </c>
      <c r="D6" s="582"/>
      <c r="E6" s="583">
        <v>45566.0</v>
      </c>
      <c r="F6" s="583">
        <v>45566.0</v>
      </c>
      <c r="G6" s="582"/>
      <c r="H6" s="583">
        <v>45566.0</v>
      </c>
      <c r="I6" s="585">
        <f>IF(ISBLANK(H6), NETWORKDAYS(F6, TODAY(),fESTIVOS!$A$1:$A$18), NETWORKDAYS(F6, H6, fESTIVOS!$A$1:$A$18))</f>
        <v>1</v>
      </c>
      <c r="J6" s="583">
        <v>45566.0</v>
      </c>
      <c r="K6" s="583">
        <v>45566.0</v>
      </c>
      <c r="L6" s="586" t="s">
        <v>3079</v>
      </c>
      <c r="M6" s="495"/>
      <c r="N6" s="495"/>
      <c r="O6" s="495"/>
      <c r="P6" s="495"/>
      <c r="Q6" s="495"/>
      <c r="R6" s="495"/>
      <c r="S6" s="495"/>
      <c r="T6" s="495"/>
      <c r="U6" s="495"/>
      <c r="V6" s="495"/>
      <c r="W6" s="495"/>
      <c r="X6" s="495"/>
      <c r="Y6" s="495"/>
      <c r="Z6" s="495"/>
    </row>
    <row r="7" ht="15.0" customHeight="1">
      <c r="A7" s="581" t="s">
        <v>2816</v>
      </c>
      <c r="B7" s="590" t="s">
        <v>3082</v>
      </c>
      <c r="C7" s="581"/>
      <c r="D7" s="582" t="s">
        <v>76</v>
      </c>
      <c r="E7" s="583">
        <v>45566.0</v>
      </c>
      <c r="F7" s="583">
        <v>45566.0</v>
      </c>
      <c r="G7" s="582"/>
      <c r="H7" s="583">
        <v>45567.0</v>
      </c>
      <c r="I7" s="585">
        <f>IF(ISBLANK(H7), NETWORKDAYS(F7, TODAY(),fESTIVOS!$A$1:$A$18), NETWORKDAYS(F7, H7, fESTIVOS!$A$1:$A$18))</f>
        <v>2</v>
      </c>
      <c r="J7" s="582"/>
      <c r="K7" s="582"/>
      <c r="L7" s="586" t="s">
        <v>3083</v>
      </c>
      <c r="M7" s="485"/>
      <c r="N7" s="485"/>
      <c r="O7" s="485"/>
      <c r="P7" s="485"/>
      <c r="Q7" s="485"/>
      <c r="R7" s="485"/>
      <c r="S7" s="485"/>
      <c r="T7" s="485"/>
      <c r="U7" s="485"/>
      <c r="V7" s="485"/>
      <c r="W7" s="485"/>
      <c r="X7" s="485"/>
      <c r="Y7" s="485"/>
      <c r="Z7" s="485"/>
    </row>
    <row r="8" ht="15.0" customHeight="1">
      <c r="A8" s="582" t="s">
        <v>2823</v>
      </c>
      <c r="B8" s="591" t="s">
        <v>3084</v>
      </c>
      <c r="C8" s="581"/>
      <c r="D8" s="582" t="s">
        <v>76</v>
      </c>
      <c r="E8" s="583">
        <v>45566.0</v>
      </c>
      <c r="F8" s="583">
        <v>45566.0</v>
      </c>
      <c r="G8" s="582"/>
      <c r="H8" s="583">
        <v>45566.0</v>
      </c>
      <c r="I8" s="585">
        <f>IF(ISBLANK(H8), NETWORKDAYS(F8, TODAY(),fESTIVOS!$A$1:$A$18), NETWORKDAYS(F8, H8, fESTIVOS!$A$1:$A$18))</f>
        <v>1</v>
      </c>
      <c r="J8" s="582"/>
      <c r="K8" s="583">
        <v>45566.0</v>
      </c>
      <c r="L8" s="586" t="s">
        <v>3085</v>
      </c>
      <c r="M8" s="485"/>
      <c r="N8" s="485"/>
      <c r="O8" s="485"/>
      <c r="P8" s="485"/>
      <c r="Q8" s="485"/>
      <c r="R8" s="485"/>
      <c r="S8" s="485"/>
      <c r="T8" s="485"/>
      <c r="U8" s="485"/>
      <c r="V8" s="485"/>
      <c r="W8" s="485"/>
      <c r="X8" s="485"/>
      <c r="Y8" s="485"/>
      <c r="Z8" s="485"/>
    </row>
    <row r="9" ht="15.0" customHeight="1">
      <c r="A9" s="582" t="s">
        <v>2823</v>
      </c>
      <c r="B9" s="591" t="s">
        <v>3086</v>
      </c>
      <c r="C9" s="581"/>
      <c r="D9" s="582" t="s">
        <v>3087</v>
      </c>
      <c r="E9" s="583">
        <v>45566.0</v>
      </c>
      <c r="F9" s="583">
        <v>45566.0</v>
      </c>
      <c r="G9" s="583">
        <v>45567.0</v>
      </c>
      <c r="H9" s="583">
        <v>45566.0</v>
      </c>
      <c r="I9" s="585">
        <f>IF(ISBLANK(H9), NETWORKDAYS(F9, TODAY(),fESTIVOS!$A$1:$A$18), NETWORKDAYS(F9, H9, fESTIVOS!$A$1:$A$18))</f>
        <v>1</v>
      </c>
      <c r="J9" s="583">
        <v>45568.0</v>
      </c>
      <c r="K9" s="582"/>
      <c r="L9" s="586" t="s">
        <v>3088</v>
      </c>
      <c r="M9" s="485"/>
      <c r="N9" s="485"/>
      <c r="O9" s="485"/>
      <c r="P9" s="485"/>
      <c r="Q9" s="485"/>
      <c r="R9" s="485"/>
      <c r="S9" s="485"/>
      <c r="T9" s="485"/>
      <c r="U9" s="485"/>
      <c r="V9" s="485"/>
      <c r="W9" s="485"/>
      <c r="X9" s="485"/>
      <c r="Y9" s="485"/>
      <c r="Z9" s="485"/>
    </row>
    <row r="10" ht="15.0" customHeight="1">
      <c r="A10" s="592" t="s">
        <v>3089</v>
      </c>
      <c r="B10" s="591" t="s">
        <v>3090</v>
      </c>
      <c r="C10" s="581"/>
      <c r="D10" s="582" t="s">
        <v>76</v>
      </c>
      <c r="E10" s="583">
        <v>45567.0</v>
      </c>
      <c r="F10" s="583">
        <v>45567.0</v>
      </c>
      <c r="G10" s="582"/>
      <c r="H10" s="583">
        <v>45567.0</v>
      </c>
      <c r="I10" s="585">
        <f>IF(ISBLANK(H10), NETWORKDAYS(F10, TODAY(),fESTIVOS!$A$1:$A$18), NETWORKDAYS(F10, H10, fESTIVOS!$A$1:$A$18))</f>
        <v>1</v>
      </c>
      <c r="J10" s="582"/>
      <c r="K10" s="583">
        <v>45568.0</v>
      </c>
      <c r="L10" s="586" t="s">
        <v>3091</v>
      </c>
      <c r="M10" s="485"/>
      <c r="N10" s="485"/>
      <c r="O10" s="485"/>
      <c r="P10" s="485"/>
      <c r="Q10" s="485"/>
      <c r="R10" s="485"/>
      <c r="S10" s="485"/>
      <c r="T10" s="485"/>
      <c r="U10" s="485"/>
      <c r="V10" s="485"/>
      <c r="W10" s="485"/>
      <c r="X10" s="485"/>
      <c r="Y10" s="485"/>
      <c r="Z10" s="485"/>
    </row>
    <row r="11" ht="15.0" customHeight="1">
      <c r="A11" s="582" t="s">
        <v>2841</v>
      </c>
      <c r="B11" s="593" t="s">
        <v>3077</v>
      </c>
      <c r="C11" s="581" t="s">
        <v>3092</v>
      </c>
      <c r="D11" s="582" t="s">
        <v>76</v>
      </c>
      <c r="E11" s="583">
        <v>45566.0</v>
      </c>
      <c r="F11" s="583">
        <v>45566.0</v>
      </c>
      <c r="G11" s="583">
        <v>45567.0</v>
      </c>
      <c r="H11" s="583">
        <v>45567.0</v>
      </c>
      <c r="I11" s="585">
        <f>IF(ISBLANK(H11), NETWORKDAYS(F11, TODAY(),fESTIVOS!$A$1:$A$18), NETWORKDAYS(F11, H11, fESTIVOS!$A$1:$A$18))</f>
        <v>2</v>
      </c>
      <c r="J11" s="583">
        <v>45567.0</v>
      </c>
      <c r="K11" s="583">
        <v>45568.0</v>
      </c>
      <c r="L11" s="586" t="s">
        <v>3093</v>
      </c>
      <c r="M11" s="485"/>
      <c r="N11" s="485"/>
      <c r="O11" s="485"/>
      <c r="P11" s="485"/>
      <c r="Q11" s="485"/>
      <c r="R11" s="485"/>
      <c r="S11" s="485"/>
      <c r="T11" s="485"/>
      <c r="U11" s="485"/>
      <c r="V11" s="485"/>
      <c r="W11" s="485"/>
      <c r="X11" s="485"/>
      <c r="Y11" s="485"/>
      <c r="Z11" s="485"/>
    </row>
    <row r="12" ht="15.0" customHeight="1">
      <c r="A12" s="582" t="s">
        <v>2841</v>
      </c>
      <c r="B12" s="594" t="s">
        <v>3072</v>
      </c>
      <c r="C12" s="581" t="s">
        <v>3094</v>
      </c>
      <c r="D12" s="582" t="s">
        <v>76</v>
      </c>
      <c r="E12" s="583">
        <v>45566.0</v>
      </c>
      <c r="F12" s="583">
        <v>45566.0</v>
      </c>
      <c r="G12" s="583">
        <v>45567.0</v>
      </c>
      <c r="H12" s="583">
        <v>45567.0</v>
      </c>
      <c r="I12" s="585">
        <f>IF(ISBLANK(H12), NETWORKDAYS(F12, TODAY(),fESTIVOS!$A$1:$A$18), NETWORKDAYS(F12, H12, fESTIVOS!$A$1:$A$18))</f>
        <v>2</v>
      </c>
      <c r="J12" s="583">
        <v>45567.0</v>
      </c>
      <c r="K12" s="583">
        <v>45568.0</v>
      </c>
      <c r="L12" s="586" t="s">
        <v>3093</v>
      </c>
      <c r="M12" s="485"/>
      <c r="N12" s="485"/>
      <c r="O12" s="485"/>
      <c r="P12" s="485"/>
      <c r="Q12" s="485"/>
      <c r="R12" s="485"/>
      <c r="S12" s="485"/>
      <c r="T12" s="485"/>
      <c r="U12" s="485"/>
      <c r="V12" s="485"/>
      <c r="W12" s="485"/>
      <c r="X12" s="485"/>
      <c r="Y12" s="485"/>
      <c r="Z12" s="485"/>
    </row>
    <row r="13" ht="15.0" customHeight="1">
      <c r="A13" s="595" t="s">
        <v>3089</v>
      </c>
      <c r="B13" s="596" t="s">
        <v>3095</v>
      </c>
      <c r="C13" s="581"/>
      <c r="D13" s="582" t="s">
        <v>229</v>
      </c>
      <c r="E13" s="583">
        <v>45567.0</v>
      </c>
      <c r="F13" s="583"/>
      <c r="G13" s="582"/>
      <c r="H13" s="583">
        <v>45569.0</v>
      </c>
      <c r="I13" s="585">
        <f>IF(ISBLANK(H13), NETWORKDAYS(F13, TODAY(),fESTIVOS!$A$1:$A$18), NETWORKDAYS(F13, H13, fESTIVOS!$A$1:$A$18))</f>
        <v>32538</v>
      </c>
      <c r="J13" s="582"/>
      <c r="K13" s="582"/>
      <c r="L13" s="597" t="s">
        <v>3096</v>
      </c>
      <c r="M13" s="485"/>
      <c r="N13" s="485"/>
      <c r="O13" s="485"/>
      <c r="P13" s="485"/>
      <c r="Q13" s="485"/>
      <c r="R13" s="485"/>
      <c r="S13" s="485"/>
      <c r="T13" s="485"/>
      <c r="U13" s="485"/>
      <c r="V13" s="485"/>
      <c r="W13" s="485"/>
      <c r="X13" s="485"/>
      <c r="Y13" s="485"/>
      <c r="Z13" s="485"/>
    </row>
    <row r="14" ht="15.0" customHeight="1">
      <c r="A14" s="579" t="s">
        <v>2841</v>
      </c>
      <c r="B14" s="598" t="s">
        <v>3097</v>
      </c>
      <c r="C14" s="599"/>
      <c r="D14" s="592" t="s">
        <v>2818</v>
      </c>
      <c r="E14" s="600">
        <v>45561.0</v>
      </c>
      <c r="F14" s="600">
        <v>45561.0</v>
      </c>
      <c r="G14" s="599"/>
      <c r="H14" s="600">
        <v>45562.0</v>
      </c>
      <c r="I14" s="585">
        <f>IF(ISBLANK(H14), NETWORKDAYS(F14, TODAY(),fESTIVOS!$A$1:$A$18), NETWORKDAYS(F14, H14, fESTIVOS!$A$1:$A$18))</f>
        <v>2</v>
      </c>
      <c r="J14" s="600">
        <v>45562.0</v>
      </c>
      <c r="K14" s="600">
        <v>45569.0</v>
      </c>
      <c r="L14" s="601" t="s">
        <v>3098</v>
      </c>
      <c r="M14" s="602" t="s">
        <v>3099</v>
      </c>
      <c r="N14" s="495"/>
      <c r="O14" s="495"/>
      <c r="P14" s="495"/>
      <c r="Q14" s="495"/>
      <c r="R14" s="495"/>
      <c r="S14" s="495"/>
      <c r="T14" s="495"/>
      <c r="U14" s="495"/>
      <c r="V14" s="495"/>
      <c r="W14" s="495"/>
      <c r="X14" s="495"/>
      <c r="Y14" s="495"/>
      <c r="Z14" s="495"/>
    </row>
    <row r="15" ht="15.0" customHeight="1">
      <c r="A15" s="592" t="s">
        <v>2938</v>
      </c>
      <c r="B15" s="591" t="s">
        <v>3090</v>
      </c>
      <c r="C15" s="594" t="s">
        <v>3100</v>
      </c>
      <c r="D15" s="582" t="s">
        <v>76</v>
      </c>
      <c r="E15" s="583">
        <v>45568.0</v>
      </c>
      <c r="F15" s="583">
        <v>45568.0</v>
      </c>
      <c r="G15" s="583">
        <v>45568.0</v>
      </c>
      <c r="H15" s="583">
        <v>45568.0</v>
      </c>
      <c r="I15" s="585">
        <f>IF(ISBLANK(H15), NETWORKDAYS(F15, TODAY(),fESTIVOS!$A$1:$A$18), NETWORKDAYS(F15, H15, fESTIVOS!$A$1:$A$18))</f>
        <v>1</v>
      </c>
      <c r="J15" s="582"/>
      <c r="K15" s="583"/>
      <c r="L15" s="586" t="s">
        <v>3101</v>
      </c>
      <c r="M15" s="485"/>
      <c r="N15" s="485"/>
      <c r="O15" s="485"/>
      <c r="P15" s="485"/>
      <c r="Q15" s="485"/>
      <c r="R15" s="485"/>
      <c r="S15" s="485"/>
      <c r="T15" s="485"/>
      <c r="U15" s="485"/>
      <c r="V15" s="485"/>
      <c r="W15" s="485"/>
      <c r="X15" s="485"/>
      <c r="Y15" s="485"/>
      <c r="Z15" s="485"/>
    </row>
    <row r="16" ht="15.0" customHeight="1">
      <c r="A16" s="603" t="s">
        <v>2831</v>
      </c>
      <c r="B16" s="604" t="s">
        <v>3102</v>
      </c>
      <c r="C16" s="591" t="s">
        <v>3103</v>
      </c>
      <c r="D16" s="592" t="s">
        <v>76</v>
      </c>
      <c r="E16" s="583">
        <v>45569.0</v>
      </c>
      <c r="F16" s="583">
        <v>45569.0</v>
      </c>
      <c r="G16" s="583"/>
      <c r="H16" s="583">
        <v>45569.0</v>
      </c>
      <c r="I16" s="585">
        <f>IF(ISBLANK(H16), NETWORKDAYS(F16, TODAY(),fESTIVOS!$A$1:$A$18), NETWORKDAYS(F16, H16, fESTIVOS!$A$1:$A$18))</f>
        <v>1</v>
      </c>
      <c r="J16" s="583"/>
      <c r="K16" s="583">
        <v>45569.0</v>
      </c>
      <c r="L16" s="586" t="s">
        <v>3104</v>
      </c>
      <c r="M16" s="485"/>
      <c r="N16" s="485"/>
      <c r="O16" s="485"/>
      <c r="P16" s="485"/>
      <c r="Q16" s="485"/>
      <c r="R16" s="485"/>
      <c r="S16" s="485"/>
      <c r="T16" s="485"/>
      <c r="U16" s="485"/>
      <c r="V16" s="485"/>
      <c r="W16" s="485"/>
      <c r="X16" s="485"/>
      <c r="Y16" s="485"/>
      <c r="Z16" s="485"/>
    </row>
    <row r="17" ht="15.0" customHeight="1">
      <c r="A17" s="603" t="s">
        <v>2831</v>
      </c>
      <c r="B17" s="587"/>
      <c r="C17" s="591" t="s">
        <v>3105</v>
      </c>
      <c r="D17" s="592" t="s">
        <v>76</v>
      </c>
      <c r="E17" s="583">
        <v>45569.0</v>
      </c>
      <c r="F17" s="583">
        <v>45569.0</v>
      </c>
      <c r="G17" s="583"/>
      <c r="H17" s="583">
        <v>45569.0</v>
      </c>
      <c r="I17" s="585">
        <f>IF(ISBLANK(H17), NETWORKDAYS(F17, TODAY(),fESTIVOS!$A$1:$A$18), NETWORKDAYS(F17, H17, fESTIVOS!$A$1:$A$18))</f>
        <v>1</v>
      </c>
      <c r="J17" s="583"/>
      <c r="K17" s="582"/>
      <c r="L17" s="586"/>
      <c r="M17" s="485"/>
      <c r="N17" s="485"/>
      <c r="O17" s="485"/>
      <c r="P17" s="485"/>
      <c r="Q17" s="485"/>
      <c r="R17" s="485"/>
      <c r="S17" s="485"/>
      <c r="T17" s="485"/>
      <c r="U17" s="485"/>
      <c r="V17" s="485"/>
      <c r="W17" s="485"/>
      <c r="X17" s="485"/>
      <c r="Y17" s="485"/>
      <c r="Z17" s="485"/>
    </row>
    <row r="18" ht="15.0" customHeight="1">
      <c r="A18" s="603" t="s">
        <v>2831</v>
      </c>
      <c r="B18" s="605" t="s">
        <v>3106</v>
      </c>
      <c r="C18" s="605" t="s">
        <v>3107</v>
      </c>
      <c r="D18" s="606" t="s">
        <v>216</v>
      </c>
      <c r="E18" s="607">
        <v>45567.0</v>
      </c>
      <c r="F18" s="607">
        <v>45567.0</v>
      </c>
      <c r="G18" s="607">
        <v>45568.0</v>
      </c>
      <c r="H18" s="607">
        <v>45568.0</v>
      </c>
      <c r="I18" s="608">
        <f>IF(ISBLANK(H18), NETWORKDAYS(F18, TODAY(),fESTIVOS!$A$1:$A$18), NETWORKDAYS(F18, H18, fESTIVOS!$A$1:$A$18))</f>
        <v>2</v>
      </c>
      <c r="J18" s="607">
        <v>45568.0</v>
      </c>
      <c r="K18" s="609"/>
      <c r="L18" s="610" t="s">
        <v>3108</v>
      </c>
      <c r="M18" s="485"/>
      <c r="N18" s="485"/>
      <c r="O18" s="485"/>
      <c r="P18" s="485"/>
      <c r="Q18" s="485"/>
      <c r="R18" s="485"/>
      <c r="S18" s="485"/>
      <c r="T18" s="485"/>
      <c r="U18" s="485"/>
      <c r="V18" s="485"/>
      <c r="W18" s="485"/>
      <c r="X18" s="485"/>
      <c r="Y18" s="485"/>
      <c r="Z18" s="485"/>
    </row>
    <row r="19" ht="15.0" customHeight="1">
      <c r="A19" s="595" t="s">
        <v>3089</v>
      </c>
      <c r="B19" s="611" t="s">
        <v>3109</v>
      </c>
      <c r="C19" s="597" t="s">
        <v>3110</v>
      </c>
      <c r="D19" s="592" t="s">
        <v>3111</v>
      </c>
      <c r="E19" s="583">
        <v>45566.0</v>
      </c>
      <c r="F19" s="583">
        <v>45566.0</v>
      </c>
      <c r="G19" s="583">
        <v>45567.0</v>
      </c>
      <c r="H19" s="583">
        <v>45567.0</v>
      </c>
      <c r="I19" s="585">
        <f>IF(ISBLANK(H19), NETWORKDAYS(F19, TODAY(),fESTIVOS!$A$1:$A$18), NETWORKDAYS(F19, H19, fESTIVOS!$A$1:$A$18))</f>
        <v>2</v>
      </c>
      <c r="J19" s="583">
        <v>45568.0</v>
      </c>
      <c r="K19" s="582"/>
      <c r="L19" s="586" t="s">
        <v>3112</v>
      </c>
      <c r="M19" s="485"/>
      <c r="N19" s="485"/>
      <c r="O19" s="485"/>
      <c r="P19" s="485"/>
      <c r="Q19" s="485"/>
      <c r="R19" s="485"/>
      <c r="S19" s="485"/>
      <c r="T19" s="485"/>
      <c r="U19" s="485"/>
      <c r="V19" s="485"/>
      <c r="W19" s="485"/>
      <c r="X19" s="485"/>
      <c r="Y19" s="485"/>
      <c r="Z19" s="485"/>
    </row>
    <row r="20" ht="15.0" customHeight="1">
      <c r="A20" s="595" t="s">
        <v>3089</v>
      </c>
      <c r="B20" s="448"/>
      <c r="C20" s="591" t="s">
        <v>3113</v>
      </c>
      <c r="D20" s="592" t="s">
        <v>3111</v>
      </c>
      <c r="E20" s="583">
        <v>45561.0</v>
      </c>
      <c r="F20" s="583">
        <v>45561.0</v>
      </c>
      <c r="G20" s="583">
        <v>45567.0</v>
      </c>
      <c r="H20" s="583">
        <v>45568.0</v>
      </c>
      <c r="I20" s="585">
        <f>IF(ISBLANK(H20), NETWORKDAYS(F20, TODAY(),fESTIVOS!$A$1:$A$18), NETWORKDAYS(F20, H20, fESTIVOS!$A$1:$A$18))</f>
        <v>6</v>
      </c>
      <c r="J20" s="583">
        <v>45568.0</v>
      </c>
      <c r="K20" s="582"/>
      <c r="L20" s="612" t="s">
        <v>3114</v>
      </c>
      <c r="M20" s="485"/>
      <c r="N20" s="485"/>
      <c r="O20" s="485"/>
      <c r="P20" s="485"/>
      <c r="Q20" s="485"/>
      <c r="R20" s="485"/>
      <c r="S20" s="485"/>
      <c r="T20" s="485"/>
      <c r="U20" s="485"/>
      <c r="V20" s="485"/>
      <c r="W20" s="485"/>
      <c r="X20" s="485"/>
      <c r="Y20" s="485"/>
      <c r="Z20" s="485"/>
    </row>
    <row r="21" ht="15.0" customHeight="1">
      <c r="A21" s="595" t="s">
        <v>3089</v>
      </c>
      <c r="B21" s="613"/>
      <c r="C21" s="594" t="s">
        <v>3115</v>
      </c>
      <c r="D21" s="582" t="s">
        <v>3111</v>
      </c>
      <c r="E21" s="583">
        <v>45561.0</v>
      </c>
      <c r="F21" s="583">
        <v>45568.0</v>
      </c>
      <c r="G21" s="582"/>
      <c r="H21" s="583">
        <v>45568.0</v>
      </c>
      <c r="I21" s="585">
        <f>IF(ISBLANK(H21), NETWORKDAYS(F21, TODAY(),fESTIVOS!$A$1:$A$18), NETWORKDAYS(F21, H21, fESTIVOS!$A$1:$A$18))</f>
        <v>1</v>
      </c>
      <c r="J21" s="583">
        <v>45568.0</v>
      </c>
      <c r="K21" s="582"/>
      <c r="L21" s="586" t="s">
        <v>3116</v>
      </c>
      <c r="M21" s="485"/>
      <c r="N21" s="485"/>
      <c r="O21" s="485"/>
      <c r="P21" s="485"/>
      <c r="Q21" s="485"/>
      <c r="R21" s="485"/>
      <c r="S21" s="485"/>
      <c r="T21" s="485"/>
      <c r="U21" s="485"/>
      <c r="V21" s="485"/>
      <c r="W21" s="485"/>
      <c r="X21" s="485"/>
      <c r="Y21" s="485"/>
      <c r="Z21" s="485"/>
    </row>
    <row r="22" ht="15.0" customHeight="1">
      <c r="A22" s="614" t="s">
        <v>3117</v>
      </c>
      <c r="B22" s="591" t="s">
        <v>3084</v>
      </c>
      <c r="C22" s="594" t="s">
        <v>3118</v>
      </c>
      <c r="D22" s="582" t="s">
        <v>76</v>
      </c>
      <c r="E22" s="583">
        <v>45567.0</v>
      </c>
      <c r="F22" s="583">
        <v>45567.0</v>
      </c>
      <c r="G22" s="583">
        <v>45567.0</v>
      </c>
      <c r="H22" s="583">
        <v>45569.0</v>
      </c>
      <c r="I22" s="585">
        <f>IF(ISBLANK(H22), NETWORKDAYS(F22, TODAY(),fESTIVOS!$A$1:$A$18), NETWORKDAYS(F22, H22, fESTIVOS!$A$1:$A$18))</f>
        <v>3</v>
      </c>
      <c r="J22" s="582"/>
      <c r="K22" s="582"/>
      <c r="L22" s="597" t="s">
        <v>3119</v>
      </c>
      <c r="M22" s="485"/>
      <c r="N22" s="485"/>
      <c r="O22" s="485"/>
      <c r="P22" s="485"/>
      <c r="Q22" s="485"/>
      <c r="R22" s="485"/>
      <c r="S22" s="485"/>
      <c r="T22" s="485"/>
      <c r="U22" s="485"/>
      <c r="V22" s="485"/>
      <c r="W22" s="485"/>
      <c r="X22" s="485"/>
      <c r="Y22" s="485"/>
      <c r="Z22" s="485"/>
    </row>
    <row r="23" ht="15.0" customHeight="1">
      <c r="A23" s="615" t="s">
        <v>3089</v>
      </c>
      <c r="B23" s="616" t="s">
        <v>3109</v>
      </c>
      <c r="C23" s="591" t="s">
        <v>3120</v>
      </c>
      <c r="D23" s="582" t="s">
        <v>76</v>
      </c>
      <c r="E23" s="583">
        <v>45569.0</v>
      </c>
      <c r="F23" s="583">
        <v>45572.0</v>
      </c>
      <c r="G23" s="583"/>
      <c r="H23" s="583">
        <v>45572.0</v>
      </c>
      <c r="I23" s="585">
        <f>IF(ISBLANK(H23), NETWORKDAYS(F23, TODAY(),fESTIVOS!$A$1:$A$18), NETWORKDAYS(F23, H23, fESTIVOS!$A$1:$A$18))</f>
        <v>1</v>
      </c>
      <c r="J23" s="583">
        <v>45572.0</v>
      </c>
      <c r="K23" s="583"/>
      <c r="L23" s="586"/>
      <c r="M23" s="495"/>
      <c r="N23" s="495"/>
      <c r="O23" s="495"/>
      <c r="P23" s="495"/>
      <c r="Q23" s="495"/>
      <c r="R23" s="495"/>
      <c r="S23" s="495"/>
      <c r="T23" s="495"/>
      <c r="U23" s="495"/>
      <c r="V23" s="495"/>
      <c r="W23" s="495"/>
      <c r="X23" s="495"/>
      <c r="Y23" s="495"/>
      <c r="Z23" s="495"/>
    </row>
    <row r="24" ht="15.0" customHeight="1">
      <c r="A24" s="582" t="s">
        <v>2938</v>
      </c>
      <c r="B24" s="591" t="s">
        <v>3086</v>
      </c>
      <c r="C24" s="594" t="s">
        <v>3121</v>
      </c>
      <c r="D24" s="582" t="s">
        <v>76</v>
      </c>
      <c r="E24" s="583">
        <v>45568.0</v>
      </c>
      <c r="F24" s="583">
        <v>45568.0</v>
      </c>
      <c r="G24" s="583">
        <v>45568.0</v>
      </c>
      <c r="H24" s="583">
        <v>45568.0</v>
      </c>
      <c r="I24" s="585">
        <f>IF(ISBLANK(H24), NETWORKDAYS(F24, TODAY(),fESTIVOS!$A$1:$A$18), NETWORKDAYS(F24, H24, fESTIVOS!$A$1:$A$18))</f>
        <v>1</v>
      </c>
      <c r="J24" s="583"/>
      <c r="K24" s="583"/>
      <c r="L24" s="586" t="s">
        <v>3122</v>
      </c>
      <c r="M24" s="485"/>
      <c r="N24" s="485"/>
      <c r="O24" s="485"/>
      <c r="P24" s="485"/>
      <c r="Q24" s="485"/>
      <c r="R24" s="485"/>
      <c r="S24" s="485"/>
      <c r="T24" s="485"/>
      <c r="U24" s="485"/>
      <c r="V24" s="485"/>
      <c r="W24" s="485"/>
      <c r="X24" s="485"/>
      <c r="Y24" s="485"/>
      <c r="Z24" s="485"/>
    </row>
    <row r="25" ht="15.0" customHeight="1">
      <c r="A25" s="617" t="s">
        <v>2841</v>
      </c>
      <c r="B25" s="604" t="s">
        <v>3123</v>
      </c>
      <c r="C25" s="618"/>
      <c r="D25" s="609" t="s">
        <v>229</v>
      </c>
      <c r="E25" s="607">
        <v>45572.0</v>
      </c>
      <c r="F25" s="607">
        <v>45573.0</v>
      </c>
      <c r="G25" s="609"/>
      <c r="H25" s="607">
        <v>45573.0</v>
      </c>
      <c r="I25" s="608">
        <f>IF(ISBLANK(H25), NETWORKDAYS(F25, TODAY(),fESTIVOS!$A$1:$A$18), NETWORKDAYS(F25, H25, fESTIVOS!$A$1:$A$18))</f>
        <v>1</v>
      </c>
      <c r="J25" s="607"/>
      <c r="K25" s="607">
        <v>45573.0</v>
      </c>
      <c r="L25" s="610" t="s">
        <v>3124</v>
      </c>
      <c r="M25" s="495"/>
      <c r="N25" s="495"/>
      <c r="O25" s="495"/>
      <c r="P25" s="495"/>
      <c r="Q25" s="495"/>
      <c r="R25" s="495"/>
      <c r="S25" s="495"/>
      <c r="T25" s="495"/>
      <c r="U25" s="495"/>
      <c r="V25" s="495"/>
      <c r="W25" s="495"/>
      <c r="X25" s="495"/>
      <c r="Y25" s="495"/>
      <c r="Z25" s="495"/>
    </row>
    <row r="26" ht="15.0" customHeight="1">
      <c r="A26" s="614" t="s">
        <v>2816</v>
      </c>
      <c r="B26" s="599"/>
      <c r="C26" s="581" t="s">
        <v>3125</v>
      </c>
      <c r="D26" s="582" t="s">
        <v>76</v>
      </c>
      <c r="E26" s="583">
        <v>45572.0</v>
      </c>
      <c r="F26" s="583">
        <v>45572.0</v>
      </c>
      <c r="G26" s="583"/>
      <c r="H26" s="583">
        <v>45572.0</v>
      </c>
      <c r="I26" s="585">
        <f>IF(ISBLANK(H26), NETWORKDAYS(F26, TODAY(),fESTIVOS!$A$1:$A$18), NETWORKDAYS(F26, H26, fESTIVOS!$A$1:$A$18))</f>
        <v>1</v>
      </c>
      <c r="J26" s="583">
        <v>45573.0</v>
      </c>
      <c r="K26" s="583"/>
      <c r="L26" s="597" t="s">
        <v>3126</v>
      </c>
      <c r="M26" s="485"/>
      <c r="N26" s="485"/>
      <c r="O26" s="485"/>
      <c r="P26" s="485"/>
      <c r="Q26" s="485"/>
      <c r="R26" s="485"/>
      <c r="S26" s="485"/>
      <c r="T26" s="485"/>
      <c r="U26" s="485"/>
      <c r="V26" s="485"/>
      <c r="W26" s="485"/>
      <c r="X26" s="485"/>
      <c r="Y26" s="485"/>
      <c r="Z26" s="485"/>
    </row>
    <row r="27" ht="15.0" customHeight="1">
      <c r="A27" s="619" t="s">
        <v>2823</v>
      </c>
      <c r="B27" s="620" t="s">
        <v>3127</v>
      </c>
      <c r="C27" s="621" t="s">
        <v>3128</v>
      </c>
      <c r="D27" s="414" t="s">
        <v>76</v>
      </c>
      <c r="E27" s="413">
        <v>45566.0</v>
      </c>
      <c r="F27" s="413">
        <v>45568.0</v>
      </c>
      <c r="G27" s="413">
        <v>45568.0</v>
      </c>
      <c r="H27" s="413">
        <v>45569.0</v>
      </c>
      <c r="I27" s="415">
        <f>IF(ISBLANK(H27), NETWORKDAYS(F27, TODAY(),fESTIVOS!$A$1:$A$18), NETWORKDAYS(F27, H27, fESTIVOS!$A$1:$A$18))</f>
        <v>2</v>
      </c>
      <c r="J27" s="413"/>
      <c r="K27" s="413"/>
      <c r="L27" s="416" t="s">
        <v>3129</v>
      </c>
      <c r="M27" s="403"/>
      <c r="N27" s="403"/>
      <c r="O27" s="403"/>
      <c r="P27" s="403"/>
      <c r="Q27" s="403"/>
      <c r="R27" s="403"/>
      <c r="S27" s="403"/>
      <c r="T27" s="403"/>
      <c r="U27" s="403"/>
      <c r="V27" s="403"/>
      <c r="W27" s="403"/>
      <c r="X27" s="403"/>
      <c r="Y27" s="403"/>
      <c r="Z27" s="403"/>
    </row>
    <row r="28" ht="15.0" customHeight="1">
      <c r="A28" s="622" t="s">
        <v>3089</v>
      </c>
      <c r="B28" s="623" t="s">
        <v>3130</v>
      </c>
      <c r="C28" s="624"/>
      <c r="D28" s="625" t="s">
        <v>76</v>
      </c>
      <c r="E28" s="626">
        <v>45572.0</v>
      </c>
      <c r="F28" s="627">
        <v>45573.0</v>
      </c>
      <c r="G28" s="626"/>
      <c r="H28" s="627">
        <v>45573.0</v>
      </c>
      <c r="I28" s="628">
        <f>IF(ISBLANK(H28), NETWORKDAYS(F28, TODAY(),fESTIVOS!$A$1:$A$18), NETWORKDAYS(F28, H28, fESTIVOS!$A$1:$A$18))</f>
        <v>1</v>
      </c>
      <c r="J28" s="626"/>
      <c r="K28" s="626"/>
      <c r="L28" s="629" t="s">
        <v>3131</v>
      </c>
      <c r="M28" s="403"/>
      <c r="N28" s="403"/>
      <c r="O28" s="403"/>
      <c r="P28" s="403"/>
      <c r="Q28" s="403"/>
      <c r="R28" s="403"/>
      <c r="S28" s="403"/>
      <c r="T28" s="403"/>
      <c r="U28" s="403"/>
      <c r="V28" s="403"/>
      <c r="W28" s="403"/>
      <c r="X28" s="403"/>
      <c r="Y28" s="403"/>
      <c r="Z28" s="403"/>
    </row>
    <row r="29" ht="15.0" customHeight="1">
      <c r="A29" s="622" t="s">
        <v>3089</v>
      </c>
      <c r="B29" s="630" t="s">
        <v>3109</v>
      </c>
      <c r="C29" s="631" t="s">
        <v>3132</v>
      </c>
      <c r="D29" s="414" t="s">
        <v>216</v>
      </c>
      <c r="E29" s="632">
        <v>45573.0</v>
      </c>
      <c r="F29" s="632">
        <v>45573.0</v>
      </c>
      <c r="G29" s="632">
        <v>45573.0</v>
      </c>
      <c r="H29" s="632">
        <v>45573.0</v>
      </c>
      <c r="I29" s="415">
        <f>IF(ISBLANK(H29), NETWORKDAYS(F29, TODAY(),fESTIVOS!$A$1:$A$18), NETWORKDAYS(F29, H29, fESTIVOS!$A$1:$A$18))</f>
        <v>1</v>
      </c>
      <c r="J29" s="632"/>
      <c r="K29" s="632"/>
      <c r="L29" s="633" t="s">
        <v>3133</v>
      </c>
      <c r="M29" s="409"/>
      <c r="N29" s="409"/>
      <c r="O29" s="409"/>
      <c r="P29" s="409"/>
      <c r="Q29" s="409"/>
      <c r="R29" s="409"/>
      <c r="S29" s="409"/>
      <c r="T29" s="409"/>
      <c r="U29" s="409"/>
      <c r="V29" s="409"/>
      <c r="W29" s="409"/>
      <c r="X29" s="409"/>
      <c r="Y29" s="409"/>
      <c r="Z29" s="409"/>
    </row>
    <row r="30" ht="15.75" customHeight="1">
      <c r="A30" s="634" t="s">
        <v>2831</v>
      </c>
      <c r="B30" s="631"/>
      <c r="C30" s="412" t="s">
        <v>3134</v>
      </c>
      <c r="D30" s="635" t="s">
        <v>3135</v>
      </c>
      <c r="E30" s="413">
        <v>45573.0</v>
      </c>
      <c r="F30" s="413">
        <v>45573.0</v>
      </c>
      <c r="G30" s="413"/>
      <c r="H30" s="413"/>
      <c r="I30" s="415"/>
      <c r="J30" s="413"/>
      <c r="K30" s="413"/>
      <c r="L30" s="636" t="s">
        <v>3136</v>
      </c>
      <c r="M30" s="403"/>
      <c r="N30" s="403"/>
      <c r="O30" s="403"/>
      <c r="P30" s="403"/>
      <c r="Q30" s="403"/>
      <c r="R30" s="403"/>
      <c r="S30" s="403"/>
      <c r="T30" s="403"/>
      <c r="U30" s="403"/>
      <c r="V30" s="403"/>
      <c r="W30" s="403"/>
      <c r="X30" s="403"/>
      <c r="Y30" s="403"/>
      <c r="Z30" s="403"/>
    </row>
    <row r="31" ht="15.75" customHeight="1">
      <c r="A31" s="619" t="s">
        <v>2841</v>
      </c>
      <c r="B31" s="637" t="s">
        <v>3137</v>
      </c>
      <c r="C31" s="621"/>
      <c r="D31" s="414" t="s">
        <v>76</v>
      </c>
      <c r="E31" s="413">
        <v>45574.0</v>
      </c>
      <c r="F31" s="413">
        <v>45574.0</v>
      </c>
      <c r="G31" s="413"/>
      <c r="H31" s="413">
        <v>45574.0</v>
      </c>
      <c r="I31" s="415">
        <f>IF(ISBLANK(H31), NETWORKDAYS(F31, TODAY(),fESTIVOS!$A$1:$A$18), NETWORKDAYS(F31, H31, fESTIVOS!$A$1:$A$18))</f>
        <v>1</v>
      </c>
      <c r="J31" s="413">
        <v>45574.0</v>
      </c>
      <c r="K31" s="413">
        <v>45574.0</v>
      </c>
      <c r="L31" s="416" t="s">
        <v>3138</v>
      </c>
      <c r="M31" s="638"/>
      <c r="N31" s="403"/>
      <c r="O31" s="403"/>
      <c r="P31" s="403"/>
      <c r="Q31" s="403"/>
      <c r="R31" s="403"/>
      <c r="S31" s="403"/>
      <c r="T31" s="403"/>
      <c r="U31" s="403"/>
      <c r="V31" s="403"/>
      <c r="W31" s="403"/>
      <c r="X31" s="403"/>
      <c r="Y31" s="403"/>
      <c r="Z31" s="403"/>
    </row>
    <row r="32" ht="15.75" customHeight="1">
      <c r="A32" s="619" t="s">
        <v>2841</v>
      </c>
      <c r="B32" s="631" t="s">
        <v>3139</v>
      </c>
      <c r="C32" s="621"/>
      <c r="D32" s="414" t="s">
        <v>76</v>
      </c>
      <c r="E32" s="413">
        <v>45574.0</v>
      </c>
      <c r="F32" s="413">
        <v>45574.0</v>
      </c>
      <c r="G32" s="413"/>
      <c r="H32" s="413">
        <v>45574.0</v>
      </c>
      <c r="I32" s="415">
        <f>IF(ISBLANK(H32), NETWORKDAYS(F32, TODAY(),fESTIVOS!$A$1:$A$18), NETWORKDAYS(F32, H32, fESTIVOS!$A$1:$A$18))</f>
        <v>1</v>
      </c>
      <c r="J32" s="413">
        <v>45574.0</v>
      </c>
      <c r="K32" s="413">
        <v>45574.0</v>
      </c>
      <c r="L32" s="416" t="s">
        <v>3140</v>
      </c>
      <c r="M32" s="639" t="s">
        <v>3141</v>
      </c>
      <c r="N32" s="403"/>
      <c r="O32" s="403"/>
      <c r="P32" s="403"/>
      <c r="Q32" s="403"/>
      <c r="R32" s="403"/>
      <c r="S32" s="403"/>
      <c r="T32" s="403"/>
      <c r="U32" s="403"/>
      <c r="V32" s="403"/>
      <c r="W32" s="403"/>
      <c r="X32" s="403"/>
      <c r="Y32" s="403"/>
      <c r="Z32" s="403"/>
    </row>
    <row r="33" ht="15.75" customHeight="1">
      <c r="A33" s="619" t="s">
        <v>2841</v>
      </c>
      <c r="B33" s="640" t="s">
        <v>3142</v>
      </c>
      <c r="C33" s="412" t="s">
        <v>3143</v>
      </c>
      <c r="D33" s="414" t="s">
        <v>76</v>
      </c>
      <c r="E33" s="413">
        <v>45572.0</v>
      </c>
      <c r="F33" s="413">
        <v>45572.0</v>
      </c>
      <c r="G33" s="413"/>
      <c r="H33" s="413">
        <v>45572.0</v>
      </c>
      <c r="I33" s="415">
        <f>IF(ISBLANK(H33), NETWORKDAYS(F33, TODAY(),fESTIVOS!$A$1:$A$18), NETWORKDAYS(F33, H33, fESTIVOS!$A$1:$A$18))</f>
        <v>1</v>
      </c>
      <c r="J33" s="413">
        <v>45574.0</v>
      </c>
      <c r="K33" s="413">
        <v>45574.0</v>
      </c>
      <c r="L33" s="416" t="s">
        <v>3144</v>
      </c>
      <c r="M33" s="639" t="s">
        <v>3145</v>
      </c>
      <c r="N33" s="403"/>
      <c r="O33" s="403"/>
      <c r="P33" s="403"/>
      <c r="Q33" s="403"/>
      <c r="R33" s="403"/>
      <c r="S33" s="403"/>
      <c r="T33" s="403"/>
      <c r="U33" s="403"/>
      <c r="V33" s="403"/>
      <c r="W33" s="403"/>
      <c r="X33" s="403"/>
      <c r="Y33" s="403"/>
      <c r="Z33" s="403"/>
    </row>
    <row r="34" ht="15.75" customHeight="1">
      <c r="A34" s="619" t="s">
        <v>2841</v>
      </c>
      <c r="B34" s="641" t="s">
        <v>3146</v>
      </c>
      <c r="C34" s="412" t="s">
        <v>3147</v>
      </c>
      <c r="D34" s="414" t="s">
        <v>76</v>
      </c>
      <c r="E34" s="413">
        <v>45567.0</v>
      </c>
      <c r="F34" s="413">
        <v>45567.0</v>
      </c>
      <c r="G34" s="413">
        <v>45569.0</v>
      </c>
      <c r="H34" s="413">
        <v>45568.0</v>
      </c>
      <c r="I34" s="415">
        <f>IF(ISBLANK(H34), NETWORKDAYS(F34, TODAY(),fESTIVOS!$A$1:$A$18), NETWORKDAYS(F34, H34, fESTIVOS!$A$1:$A$18))</f>
        <v>2</v>
      </c>
      <c r="J34" s="413">
        <v>45569.0</v>
      </c>
      <c r="K34" s="413"/>
      <c r="L34" s="416" t="s">
        <v>3148</v>
      </c>
      <c r="M34" s="638"/>
      <c r="N34" s="403"/>
      <c r="O34" s="403"/>
      <c r="P34" s="403"/>
      <c r="Q34" s="403"/>
      <c r="R34" s="403"/>
      <c r="S34" s="403"/>
      <c r="T34" s="403"/>
      <c r="U34" s="403"/>
      <c r="V34" s="403"/>
      <c r="W34" s="403"/>
      <c r="X34" s="403"/>
      <c r="Y34" s="403"/>
      <c r="Z34" s="403"/>
    </row>
    <row r="35" ht="15.75" customHeight="1">
      <c r="A35" s="642" t="s">
        <v>2841</v>
      </c>
      <c r="B35" s="643"/>
      <c r="C35" s="644" t="s">
        <v>3149</v>
      </c>
      <c r="D35" s="645" t="s">
        <v>76</v>
      </c>
      <c r="E35" s="646">
        <v>45567.0</v>
      </c>
      <c r="F35" s="646">
        <v>45567.0</v>
      </c>
      <c r="G35" s="646">
        <v>45569.0</v>
      </c>
      <c r="H35" s="646">
        <v>45568.0</v>
      </c>
      <c r="I35" s="647">
        <f>IF(ISBLANK(H35), NETWORKDAYS(F35, TODAY(),fESTIVOS!$A$1:$A$18), NETWORKDAYS(F35, H35, fESTIVOS!$A$1:$A$18))</f>
        <v>2</v>
      </c>
      <c r="J35" s="646">
        <v>45569.0</v>
      </c>
      <c r="K35" s="646"/>
      <c r="L35" s="648" t="s">
        <v>3150</v>
      </c>
      <c r="M35" s="638"/>
      <c r="N35" s="403"/>
      <c r="O35" s="403"/>
      <c r="P35" s="403"/>
      <c r="Q35" s="403"/>
      <c r="R35" s="403"/>
      <c r="S35" s="403"/>
      <c r="T35" s="403"/>
      <c r="U35" s="403"/>
      <c r="V35" s="403"/>
      <c r="W35" s="403"/>
      <c r="X35" s="403"/>
      <c r="Y35" s="403"/>
      <c r="Z35" s="403"/>
    </row>
    <row r="36" ht="15.75" customHeight="1">
      <c r="A36" s="619" t="s">
        <v>2841</v>
      </c>
      <c r="B36" s="402" t="s">
        <v>3077</v>
      </c>
      <c r="C36" s="621" t="s">
        <v>3151</v>
      </c>
      <c r="D36" s="414" t="s">
        <v>76</v>
      </c>
      <c r="E36" s="413">
        <v>45567.0</v>
      </c>
      <c r="F36" s="413">
        <v>45567.0</v>
      </c>
      <c r="G36" s="413">
        <v>45569.0</v>
      </c>
      <c r="H36" s="413">
        <v>45569.0</v>
      </c>
      <c r="I36" s="415">
        <f>IF(ISBLANK(H36), NETWORKDAYS(F36, TODAY(),fESTIVOS!$A$1:$A$18), NETWORKDAYS(F36, H36, fESTIVOS!$A$1:$A$18))</f>
        <v>3</v>
      </c>
      <c r="J36" s="413">
        <v>45569.0</v>
      </c>
      <c r="K36" s="413"/>
      <c r="L36" s="416" t="s">
        <v>3150</v>
      </c>
      <c r="M36" s="638"/>
      <c r="N36" s="403"/>
      <c r="O36" s="403"/>
      <c r="P36" s="403"/>
      <c r="Q36" s="403"/>
      <c r="R36" s="403"/>
      <c r="S36" s="403"/>
      <c r="T36" s="403"/>
      <c r="U36" s="403"/>
      <c r="V36" s="403"/>
      <c r="W36" s="403"/>
      <c r="X36" s="403"/>
      <c r="Y36" s="403"/>
      <c r="Z36" s="403"/>
    </row>
    <row r="37" ht="15.75" customHeight="1">
      <c r="A37" s="622" t="s">
        <v>3089</v>
      </c>
      <c r="B37" s="649" t="s">
        <v>3109</v>
      </c>
      <c r="C37" s="650" t="s">
        <v>3152</v>
      </c>
      <c r="D37" s="651" t="s">
        <v>76</v>
      </c>
      <c r="E37" s="652">
        <v>45572.0</v>
      </c>
      <c r="F37" s="652">
        <v>45572.0</v>
      </c>
      <c r="G37" s="627"/>
      <c r="H37" s="652">
        <v>45574.0</v>
      </c>
      <c r="I37" s="628">
        <f>IF(ISBLANK(H37), NETWORKDAYS(F37, TODAY(),fESTIVOS!$A$1:$A$18), NETWORKDAYS(F37, H37, fESTIVOS!$A$1:$A$18))</f>
        <v>3</v>
      </c>
      <c r="J37" s="652">
        <v>45574.0</v>
      </c>
      <c r="K37" s="627"/>
      <c r="L37" s="653" t="s">
        <v>3153</v>
      </c>
      <c r="M37" s="409"/>
      <c r="N37" s="409"/>
      <c r="O37" s="409"/>
      <c r="P37" s="409"/>
      <c r="Q37" s="409"/>
      <c r="R37" s="409"/>
      <c r="S37" s="409"/>
      <c r="T37" s="409"/>
      <c r="U37" s="409"/>
      <c r="V37" s="409"/>
      <c r="W37" s="409"/>
      <c r="X37" s="409"/>
      <c r="Y37" s="409"/>
      <c r="Z37" s="409"/>
    </row>
    <row r="38" ht="15.75" customHeight="1">
      <c r="A38" s="654" t="s">
        <v>3089</v>
      </c>
      <c r="B38" s="649" t="s">
        <v>3109</v>
      </c>
      <c r="C38" s="624" t="s">
        <v>3154</v>
      </c>
      <c r="D38" s="645" t="s">
        <v>76</v>
      </c>
      <c r="E38" s="408">
        <v>45572.0</v>
      </c>
      <c r="F38" s="408">
        <v>45572.0</v>
      </c>
      <c r="G38" s="408">
        <v>45573.0</v>
      </c>
      <c r="H38" s="408">
        <v>45575.0</v>
      </c>
      <c r="I38" s="647">
        <f>IF(ISBLANK(H38), NETWORKDAYS(F38, TODAY(),fESTIVOS!$A$1:$A$18), NETWORKDAYS(F38, H38, fESTIVOS!$A$1:$A$18))</f>
        <v>4</v>
      </c>
      <c r="J38" s="655"/>
      <c r="K38" s="655"/>
      <c r="L38" s="656" t="s">
        <v>3155</v>
      </c>
      <c r="M38" s="409"/>
      <c r="N38" s="409"/>
      <c r="O38" s="409"/>
      <c r="P38" s="409"/>
      <c r="Q38" s="409"/>
      <c r="R38" s="409"/>
      <c r="S38" s="409"/>
      <c r="T38" s="409"/>
      <c r="U38" s="409"/>
      <c r="V38" s="409"/>
      <c r="W38" s="409"/>
      <c r="X38" s="409"/>
      <c r="Y38" s="409"/>
      <c r="Z38" s="409"/>
    </row>
    <row r="39" ht="15.75" customHeight="1">
      <c r="A39" s="657" t="s">
        <v>2831</v>
      </c>
      <c r="B39" s="411" t="s">
        <v>3156</v>
      </c>
      <c r="C39" s="621" t="s">
        <v>3157</v>
      </c>
      <c r="D39" s="414" t="s">
        <v>76</v>
      </c>
      <c r="E39" s="413">
        <v>45574.0</v>
      </c>
      <c r="F39" s="413">
        <v>45576.0</v>
      </c>
      <c r="G39" s="413"/>
      <c r="H39" s="413">
        <v>45576.0</v>
      </c>
      <c r="I39" s="415">
        <f>IF(ISBLANK(H39), NETWORKDAYS(F39, TODAY(),fESTIVOS!$A$1:$A$18), NETWORKDAYS(F39, H39, fESTIVOS!$A$1:$A$18))</f>
        <v>1</v>
      </c>
      <c r="J39" s="413"/>
      <c r="K39" s="413"/>
      <c r="L39" s="416" t="s">
        <v>3158</v>
      </c>
      <c r="M39" s="403"/>
      <c r="N39" s="403"/>
      <c r="O39" s="403"/>
      <c r="P39" s="403"/>
      <c r="Q39" s="403"/>
      <c r="R39" s="403"/>
      <c r="S39" s="403"/>
      <c r="T39" s="403"/>
      <c r="U39" s="403"/>
      <c r="V39" s="403"/>
      <c r="W39" s="403"/>
      <c r="X39" s="403"/>
      <c r="Y39" s="403"/>
      <c r="Z39" s="403"/>
    </row>
    <row r="40" ht="15.75" customHeight="1">
      <c r="A40" s="619" t="s">
        <v>2816</v>
      </c>
      <c r="B40" s="411" t="s">
        <v>2820</v>
      </c>
      <c r="C40" s="621" t="s">
        <v>3159</v>
      </c>
      <c r="D40" s="635" t="s">
        <v>76</v>
      </c>
      <c r="E40" s="413">
        <v>45560.0</v>
      </c>
      <c r="F40" s="413">
        <v>45572.0</v>
      </c>
      <c r="G40" s="413"/>
      <c r="H40" s="413">
        <v>45573.0</v>
      </c>
      <c r="I40" s="415">
        <f>IF(ISBLANK(H40), NETWORKDAYS(F40, TODAY(),fESTIVOS!$A$1:$A$18), NETWORKDAYS(F40, H40, fESTIVOS!$A$1:$A$18))</f>
        <v>2</v>
      </c>
      <c r="J40" s="413">
        <v>45573.0</v>
      </c>
      <c r="K40" s="413"/>
      <c r="L40" s="636" t="s">
        <v>3160</v>
      </c>
      <c r="M40" s="403"/>
      <c r="N40" s="403"/>
      <c r="O40" s="403"/>
      <c r="P40" s="403"/>
      <c r="Q40" s="403"/>
      <c r="R40" s="403"/>
      <c r="S40" s="403"/>
      <c r="T40" s="403"/>
      <c r="U40" s="403"/>
      <c r="V40" s="403"/>
      <c r="W40" s="403"/>
      <c r="X40" s="403"/>
      <c r="Y40" s="403"/>
      <c r="Z40" s="403"/>
    </row>
    <row r="41" ht="15.75" customHeight="1">
      <c r="A41" s="619" t="s">
        <v>2816</v>
      </c>
      <c r="B41" s="658" t="s">
        <v>3161</v>
      </c>
      <c r="C41" s="412" t="s">
        <v>3162</v>
      </c>
      <c r="D41" s="659" t="s">
        <v>76</v>
      </c>
      <c r="E41" s="413">
        <v>45575.0</v>
      </c>
      <c r="F41" s="413">
        <v>45576.0</v>
      </c>
      <c r="G41" s="413">
        <v>45581.0</v>
      </c>
      <c r="H41" s="413">
        <v>45576.0</v>
      </c>
      <c r="I41" s="415">
        <f>IF(ISBLANK(H41), NETWORKDAYS(F41, TODAY(),fESTIVOS!$A$1:$A$18), NETWORKDAYS(F41, H41, fESTIVOS!$A$1:$A$18))</f>
        <v>1</v>
      </c>
      <c r="J41" s="413">
        <v>45576.0</v>
      </c>
      <c r="K41" s="413">
        <v>45576.0</v>
      </c>
      <c r="L41" s="416" t="s">
        <v>3163</v>
      </c>
      <c r="M41" s="403"/>
      <c r="N41" s="403"/>
      <c r="O41" s="403"/>
      <c r="P41" s="403"/>
      <c r="Q41" s="403"/>
      <c r="R41" s="403"/>
      <c r="S41" s="403"/>
      <c r="T41" s="403"/>
      <c r="U41" s="403"/>
      <c r="V41" s="403"/>
      <c r="W41" s="403"/>
      <c r="X41" s="403"/>
      <c r="Y41" s="403"/>
      <c r="Z41" s="403"/>
    </row>
    <row r="42" ht="15.75" customHeight="1">
      <c r="A42" s="622" t="s">
        <v>3089</v>
      </c>
      <c r="B42" s="660" t="s">
        <v>3164</v>
      </c>
      <c r="C42" s="661"/>
      <c r="D42" s="662" t="s">
        <v>3165</v>
      </c>
      <c r="E42" s="627">
        <v>45573.0</v>
      </c>
      <c r="F42" s="627">
        <v>45574.0</v>
      </c>
      <c r="G42" s="661"/>
      <c r="H42" s="627">
        <v>45574.0</v>
      </c>
      <c r="I42" s="628">
        <f>IF(ISBLANK(H42), NETWORKDAYS(F42, TODAY(),fESTIVOS!$A$1:$A$18), NETWORKDAYS(F42, H42, fESTIVOS!$A$1:$A$18))</f>
        <v>1</v>
      </c>
      <c r="J42" s="627">
        <v>45574.0</v>
      </c>
      <c r="K42" s="627">
        <v>45575.0</v>
      </c>
      <c r="L42" s="663" t="s">
        <v>3166</v>
      </c>
      <c r="M42" s="409"/>
      <c r="N42" s="409"/>
      <c r="O42" s="409"/>
      <c r="P42" s="409"/>
      <c r="Q42" s="409"/>
      <c r="R42" s="409"/>
      <c r="S42" s="409"/>
      <c r="T42" s="409"/>
      <c r="U42" s="409"/>
      <c r="V42" s="409"/>
      <c r="W42" s="409"/>
      <c r="X42" s="409"/>
      <c r="Y42" s="409"/>
      <c r="Z42" s="409"/>
    </row>
    <row r="43" ht="15.75" customHeight="1">
      <c r="A43" s="664" t="s">
        <v>2831</v>
      </c>
      <c r="B43" s="665" t="s">
        <v>3156</v>
      </c>
      <c r="C43" s="666" t="s">
        <v>3167</v>
      </c>
      <c r="D43" s="667" t="s">
        <v>76</v>
      </c>
      <c r="E43" s="445">
        <v>45576.0</v>
      </c>
      <c r="F43" s="445">
        <v>45576.0</v>
      </c>
      <c r="G43" s="445"/>
      <c r="H43" s="445">
        <v>45576.0</v>
      </c>
      <c r="I43" s="423">
        <f>IF(ISBLANK(H43), NETWORKDAYS(F43, TODAY(),fESTIVOS!$A$1:$A$18), NETWORKDAYS(F43, H43, fESTIVOS!$A$1:$A$18))</f>
        <v>1</v>
      </c>
      <c r="J43" s="445">
        <v>45580.0</v>
      </c>
      <c r="K43" s="445"/>
      <c r="L43" s="668" t="s">
        <v>3168</v>
      </c>
      <c r="M43" s="403"/>
      <c r="N43" s="403"/>
      <c r="O43" s="403"/>
      <c r="P43" s="403"/>
      <c r="Q43" s="403"/>
      <c r="R43" s="403"/>
      <c r="S43" s="403"/>
      <c r="T43" s="403"/>
      <c r="U43" s="403"/>
      <c r="V43" s="403"/>
      <c r="W43" s="403"/>
      <c r="X43" s="403"/>
      <c r="Y43" s="403"/>
      <c r="Z43" s="403"/>
    </row>
    <row r="44" ht="15.75" customHeight="1">
      <c r="A44" s="664" t="s">
        <v>2831</v>
      </c>
      <c r="B44" s="669" t="s">
        <v>3169</v>
      </c>
      <c r="C44" s="667" t="s">
        <v>3170</v>
      </c>
      <c r="D44" s="420" t="s">
        <v>76</v>
      </c>
      <c r="E44" s="445">
        <v>45561.0</v>
      </c>
      <c r="F44" s="445">
        <v>45569.0</v>
      </c>
      <c r="G44" s="445">
        <v>45572.0</v>
      </c>
      <c r="H44" s="445">
        <v>45572.0</v>
      </c>
      <c r="I44" s="423">
        <f>IF(ISBLANK(H44), NETWORKDAYS(F44, TODAY(),fESTIVOS!$A$1:$A$18), NETWORKDAYS(F44, H44, fESTIVOS!$A$1:$A$18))</f>
        <v>2</v>
      </c>
      <c r="J44" s="445">
        <v>45580.0</v>
      </c>
      <c r="K44" s="445"/>
      <c r="L44" s="668" t="s">
        <v>3171</v>
      </c>
      <c r="M44" s="403"/>
      <c r="N44" s="403"/>
      <c r="O44" s="403"/>
      <c r="P44" s="403"/>
      <c r="Q44" s="403"/>
      <c r="R44" s="403"/>
      <c r="S44" s="403"/>
      <c r="T44" s="403"/>
      <c r="U44" s="403"/>
      <c r="V44" s="403"/>
      <c r="W44" s="403"/>
      <c r="X44" s="403"/>
      <c r="Y44" s="403"/>
      <c r="Z44" s="403"/>
    </row>
    <row r="45" ht="15.75" customHeight="1">
      <c r="A45" s="657" t="s">
        <v>3089</v>
      </c>
      <c r="B45" s="670" t="s">
        <v>3109</v>
      </c>
      <c r="C45" s="412" t="s">
        <v>3172</v>
      </c>
      <c r="D45" s="414" t="s">
        <v>76</v>
      </c>
      <c r="E45" s="413">
        <v>45576.0</v>
      </c>
      <c r="F45" s="413">
        <v>45576.0</v>
      </c>
      <c r="G45" s="413">
        <v>45580.0</v>
      </c>
      <c r="H45" s="413">
        <v>45576.0</v>
      </c>
      <c r="I45" s="415">
        <f>IF(ISBLANK(H45), NETWORKDAYS(F45, TODAY(),fESTIVOS!$A$1:$A$18), NETWORKDAYS(F45, H45, fESTIVOS!$A$1:$A$18))</f>
        <v>1</v>
      </c>
      <c r="J45" s="413">
        <v>45580.0</v>
      </c>
      <c r="K45" s="413"/>
      <c r="L45" s="416"/>
      <c r="M45" s="638"/>
      <c r="N45" s="403"/>
      <c r="O45" s="403"/>
      <c r="P45" s="403"/>
      <c r="Q45" s="403"/>
      <c r="R45" s="403"/>
      <c r="S45" s="403"/>
      <c r="T45" s="403"/>
      <c r="U45" s="403"/>
      <c r="V45" s="403"/>
      <c r="W45" s="403"/>
      <c r="X45" s="403"/>
      <c r="Y45" s="403"/>
      <c r="Z45" s="403"/>
    </row>
    <row r="46" ht="15.75" customHeight="1">
      <c r="A46" s="657" t="s">
        <v>3089</v>
      </c>
      <c r="B46" s="670" t="s">
        <v>3109</v>
      </c>
      <c r="C46" s="671" t="s">
        <v>3173</v>
      </c>
      <c r="D46" s="414" t="s">
        <v>76</v>
      </c>
      <c r="E46" s="413">
        <v>45576.0</v>
      </c>
      <c r="F46" s="413">
        <v>45576.0</v>
      </c>
      <c r="G46" s="413">
        <v>45580.0</v>
      </c>
      <c r="H46" s="413">
        <v>45576.0</v>
      </c>
      <c r="I46" s="415">
        <f>IF(ISBLANK(H46), NETWORKDAYS(F46, TODAY(),fESTIVOS!$A$1:$A$18), NETWORKDAYS(F46, H46, fESTIVOS!$A$1:$A$18))</f>
        <v>1</v>
      </c>
      <c r="J46" s="632">
        <v>45580.0</v>
      </c>
      <c r="K46" s="672"/>
      <c r="L46" s="672" t="s">
        <v>3174</v>
      </c>
      <c r="M46" s="673"/>
      <c r="N46" s="409"/>
      <c r="O46" s="409"/>
      <c r="P46" s="409"/>
      <c r="Q46" s="409"/>
      <c r="R46" s="409"/>
      <c r="S46" s="409"/>
      <c r="T46" s="409"/>
      <c r="U46" s="409"/>
      <c r="V46" s="409"/>
      <c r="W46" s="409"/>
      <c r="X46" s="409"/>
      <c r="Y46" s="409"/>
      <c r="Z46" s="409"/>
    </row>
    <row r="47" ht="15.75" customHeight="1">
      <c r="A47" s="664" t="s">
        <v>2831</v>
      </c>
      <c r="B47" s="665" t="s">
        <v>3175</v>
      </c>
      <c r="C47" s="666" t="s">
        <v>3176</v>
      </c>
      <c r="D47" s="667" t="s">
        <v>76</v>
      </c>
      <c r="E47" s="445">
        <v>45580.0</v>
      </c>
      <c r="F47" s="445">
        <v>45580.0</v>
      </c>
      <c r="G47" s="445"/>
      <c r="H47" s="445">
        <v>45580.0</v>
      </c>
      <c r="I47" s="423">
        <f>IF(ISBLANK(H47), NETWORKDAYS(F47, TODAY(),fESTIVOS!$A$1:$A$18), NETWORKDAYS(F47, H47, fESTIVOS!$A$1:$A$18))</f>
        <v>1</v>
      </c>
      <c r="J47" s="445">
        <v>45580.0</v>
      </c>
      <c r="K47" s="445"/>
      <c r="L47" s="668" t="s">
        <v>3177</v>
      </c>
      <c r="M47" s="403"/>
      <c r="N47" s="403"/>
      <c r="O47" s="403"/>
      <c r="P47" s="403"/>
      <c r="Q47" s="403"/>
      <c r="R47" s="403"/>
      <c r="S47" s="403"/>
      <c r="T47" s="403"/>
      <c r="U47" s="403"/>
      <c r="V47" s="403"/>
      <c r="W47" s="403"/>
      <c r="X47" s="403"/>
      <c r="Y47" s="403"/>
      <c r="Z47" s="403"/>
    </row>
    <row r="48" ht="15.75" customHeight="1">
      <c r="A48" s="657" t="s">
        <v>3089</v>
      </c>
      <c r="B48" s="670" t="s">
        <v>3109</v>
      </c>
      <c r="C48" s="671" t="s">
        <v>3178</v>
      </c>
      <c r="D48" s="414" t="s">
        <v>76</v>
      </c>
      <c r="E48" s="646">
        <v>45576.0</v>
      </c>
      <c r="F48" s="646">
        <v>45576.0</v>
      </c>
      <c r="G48" s="646">
        <v>45580.0</v>
      </c>
      <c r="H48" s="646">
        <v>45576.0</v>
      </c>
      <c r="I48" s="647">
        <f>IF(ISBLANK(H48), NETWORKDAYS(F48, TODAY(),fESTIVOS!$A$1:$A$18), NETWORKDAYS(F48, H48, fESTIVOS!$A$1:$A$18))</f>
        <v>1</v>
      </c>
      <c r="J48" s="406"/>
      <c r="K48" s="406"/>
      <c r="L48" s="674" t="s">
        <v>3179</v>
      </c>
      <c r="M48" s="673"/>
      <c r="N48" s="409"/>
      <c r="O48" s="409"/>
      <c r="P48" s="409"/>
      <c r="Q48" s="409"/>
      <c r="R48" s="409"/>
      <c r="S48" s="409"/>
      <c r="T48" s="409"/>
      <c r="U48" s="409"/>
      <c r="V48" s="409"/>
      <c r="W48" s="409"/>
      <c r="X48" s="409"/>
      <c r="Y48" s="409"/>
      <c r="Z48" s="409"/>
    </row>
    <row r="49" ht="15.75" customHeight="1">
      <c r="A49" s="657" t="s">
        <v>3089</v>
      </c>
      <c r="B49" s="670" t="s">
        <v>3109</v>
      </c>
      <c r="C49" s="675" t="s">
        <v>3180</v>
      </c>
      <c r="D49" s="676" t="s">
        <v>76</v>
      </c>
      <c r="E49" s="413">
        <v>45580.0</v>
      </c>
      <c r="F49" s="413">
        <v>45580.0</v>
      </c>
      <c r="G49" s="413"/>
      <c r="H49" s="413">
        <v>45581.0</v>
      </c>
      <c r="I49" s="415">
        <f>IF(ISBLANK(H49), NETWORKDAYS(F49, TODAY(),fESTIVOS!$A$1:$A$18), NETWORKDAYS(F49, H49, fESTIVOS!$A$1:$A$18))</f>
        <v>2</v>
      </c>
      <c r="J49" s="672"/>
      <c r="K49" s="672"/>
      <c r="L49" s="672"/>
      <c r="M49" s="673"/>
      <c r="N49" s="409"/>
      <c r="O49" s="409"/>
      <c r="P49" s="409"/>
      <c r="Q49" s="409"/>
      <c r="R49" s="409"/>
      <c r="S49" s="409"/>
      <c r="T49" s="409"/>
      <c r="U49" s="409"/>
      <c r="V49" s="409"/>
      <c r="W49" s="409"/>
      <c r="X49" s="409"/>
      <c r="Y49" s="409"/>
      <c r="Z49" s="409"/>
    </row>
    <row r="50" ht="15.75" customHeight="1">
      <c r="A50" s="634" t="s">
        <v>3089</v>
      </c>
      <c r="B50" s="630" t="s">
        <v>3109</v>
      </c>
      <c r="C50" s="674" t="s">
        <v>3181</v>
      </c>
      <c r="D50" s="407" t="s">
        <v>76</v>
      </c>
      <c r="E50" s="646">
        <v>45576.0</v>
      </c>
      <c r="F50" s="646">
        <v>45581.0</v>
      </c>
      <c r="G50" s="646"/>
      <c r="H50" s="646">
        <v>45582.0</v>
      </c>
      <c r="I50" s="647">
        <f>IF(ISBLANK(H50), NETWORKDAYS(F50, TODAY(),fESTIVOS!$A$1:$A$18), NETWORKDAYS(F50, H50, fESTIVOS!$A$1:$A$18))</f>
        <v>2</v>
      </c>
      <c r="J50" s="646">
        <v>45582.0</v>
      </c>
      <c r="K50" s="406"/>
      <c r="L50" s="406" t="s">
        <v>3182</v>
      </c>
      <c r="M50" s="673"/>
      <c r="N50" s="409"/>
      <c r="O50" s="409"/>
      <c r="P50" s="409"/>
      <c r="Q50" s="409"/>
      <c r="R50" s="409"/>
      <c r="S50" s="409"/>
      <c r="T50" s="409"/>
      <c r="U50" s="409"/>
      <c r="V50" s="409"/>
      <c r="W50" s="409"/>
      <c r="X50" s="409"/>
      <c r="Y50" s="409"/>
      <c r="Z50" s="409"/>
      <c r="AA50" s="448"/>
      <c r="AB50" s="448"/>
      <c r="AC50" s="448"/>
      <c r="AD50" s="448"/>
      <c r="AE50" s="448"/>
      <c r="AF50" s="448"/>
      <c r="AG50" s="448"/>
    </row>
    <row r="51" ht="15.75" customHeight="1">
      <c r="A51" s="441" t="s">
        <v>2823</v>
      </c>
      <c r="B51" s="669" t="s">
        <v>3156</v>
      </c>
      <c r="C51" s="666" t="s">
        <v>3183</v>
      </c>
      <c r="D51" s="667" t="s">
        <v>76</v>
      </c>
      <c r="E51" s="445">
        <v>45581.0</v>
      </c>
      <c r="F51" s="445">
        <v>45582.0</v>
      </c>
      <c r="G51" s="445"/>
      <c r="H51" s="445">
        <v>45583.0</v>
      </c>
      <c r="I51" s="423">
        <f>IF(ISBLANK(H51), NETWORKDAYS(F51, TODAY(),fESTIVOS!$A$1:$A$18), NETWORKDAYS(F51, H51, fESTIVOS!$A$1:$A$18))</f>
        <v>2</v>
      </c>
      <c r="J51" s="445"/>
      <c r="K51" s="445"/>
      <c r="L51" s="668" t="s">
        <v>3184</v>
      </c>
      <c r="M51" s="638"/>
      <c r="N51" s="403"/>
      <c r="O51" s="403"/>
      <c r="P51" s="403"/>
      <c r="Q51" s="403"/>
      <c r="R51" s="403"/>
      <c r="S51" s="403"/>
      <c r="T51" s="403"/>
      <c r="U51" s="403"/>
      <c r="V51" s="403"/>
      <c r="W51" s="403"/>
      <c r="X51" s="403"/>
      <c r="Y51" s="403"/>
      <c r="Z51" s="403"/>
    </row>
    <row r="52" ht="15.75" customHeight="1">
      <c r="A52" s="402" t="s">
        <v>2816</v>
      </c>
      <c r="B52" s="620" t="s">
        <v>2820</v>
      </c>
      <c r="C52" s="677" t="s">
        <v>3185</v>
      </c>
      <c r="D52" s="678" t="s">
        <v>216</v>
      </c>
      <c r="E52" s="679">
        <v>45582.0</v>
      </c>
      <c r="F52" s="680">
        <v>45582.0</v>
      </c>
      <c r="G52" s="680"/>
      <c r="H52" s="680">
        <v>45582.0</v>
      </c>
      <c r="I52" s="628">
        <f>IF(ISBLANK(H52), NETWORKDAYS(F52, TODAY(),fESTIVOS!$A$1:$A$18), NETWORKDAYS(F52, H52, fESTIVOS!$A$1:$A$18))</f>
        <v>1</v>
      </c>
      <c r="J52" s="680">
        <v>45582.0</v>
      </c>
      <c r="K52" s="680"/>
      <c r="L52" s="681" t="s">
        <v>3186</v>
      </c>
      <c r="M52" s="403"/>
      <c r="N52" s="403"/>
      <c r="O52" s="403"/>
      <c r="P52" s="403"/>
      <c r="Q52" s="403"/>
      <c r="R52" s="403"/>
      <c r="S52" s="403"/>
      <c r="T52" s="403"/>
      <c r="U52" s="403"/>
      <c r="V52" s="403"/>
      <c r="W52" s="403"/>
      <c r="X52" s="403"/>
      <c r="Y52" s="403"/>
      <c r="Z52" s="403"/>
      <c r="AA52" s="448"/>
      <c r="AB52" s="448"/>
      <c r="AC52" s="448"/>
      <c r="AD52" s="448"/>
      <c r="AE52" s="448"/>
      <c r="AF52" s="448"/>
      <c r="AG52" s="448"/>
    </row>
    <row r="53" ht="15.75" customHeight="1">
      <c r="A53" s="402" t="s">
        <v>2816</v>
      </c>
      <c r="B53" s="620" t="s">
        <v>2820</v>
      </c>
      <c r="C53" s="677" t="s">
        <v>3187</v>
      </c>
      <c r="D53" s="651" t="s">
        <v>76</v>
      </c>
      <c r="E53" s="682">
        <v>45560.0</v>
      </c>
      <c r="F53" s="683">
        <v>45572.0</v>
      </c>
      <c r="G53" s="683"/>
      <c r="H53" s="683">
        <v>45574.0</v>
      </c>
      <c r="I53" s="628">
        <f>IF(ISBLANK(H53), NETWORKDAYS(F53, TODAY(),fESTIVOS!$A$1:$A$18), NETWORKDAYS(F53, H53, fESTIVOS!$A$1:$A$18))</f>
        <v>3</v>
      </c>
      <c r="J53" s="680">
        <v>45582.0</v>
      </c>
      <c r="K53" s="683"/>
      <c r="L53" s="684" t="s">
        <v>3188</v>
      </c>
      <c r="M53" s="403"/>
      <c r="N53" s="403"/>
      <c r="O53" s="403"/>
      <c r="P53" s="403"/>
      <c r="Q53" s="403"/>
      <c r="R53" s="403"/>
      <c r="S53" s="403"/>
      <c r="T53" s="403"/>
      <c r="U53" s="403"/>
      <c r="V53" s="403"/>
      <c r="W53" s="403"/>
      <c r="X53" s="403"/>
      <c r="Y53" s="403"/>
      <c r="Z53" s="403"/>
    </row>
    <row r="54" ht="15.75" customHeight="1">
      <c r="A54" s="637" t="s">
        <v>3089</v>
      </c>
      <c r="B54" s="411" t="s">
        <v>3109</v>
      </c>
      <c r="C54" s="663" t="s">
        <v>3189</v>
      </c>
      <c r="D54" s="635" t="s">
        <v>76</v>
      </c>
      <c r="E54" s="413">
        <v>45583.0</v>
      </c>
      <c r="F54" s="685">
        <v>45583.0</v>
      </c>
      <c r="G54" s="413"/>
      <c r="H54" s="413">
        <v>45586.0</v>
      </c>
      <c r="I54" s="415">
        <f>IF(ISBLANK(H54), NETWORKDAYS(F54, TODAY(),fESTIVOS!$A$1:$A$18), NETWORKDAYS(F54, H54, fESTIVOS!$A$1:$A$18))</f>
        <v>2</v>
      </c>
      <c r="J54" s="413">
        <v>45586.0</v>
      </c>
      <c r="K54" s="672"/>
      <c r="L54" s="672" t="s">
        <v>3190</v>
      </c>
      <c r="M54" s="673"/>
      <c r="N54" s="409"/>
      <c r="O54" s="409"/>
      <c r="P54" s="409"/>
      <c r="Q54" s="409"/>
      <c r="R54" s="409"/>
      <c r="S54" s="409"/>
      <c r="T54" s="409"/>
      <c r="U54" s="409"/>
      <c r="V54" s="409"/>
      <c r="W54" s="409"/>
      <c r="X54" s="409"/>
      <c r="Y54" s="409"/>
      <c r="Z54" s="409"/>
    </row>
    <row r="55" ht="15.75" customHeight="1">
      <c r="A55" s="640" t="s">
        <v>3089</v>
      </c>
      <c r="B55" s="670" t="s">
        <v>3109</v>
      </c>
      <c r="C55" s="686" t="s">
        <v>3191</v>
      </c>
      <c r="D55" s="407" t="s">
        <v>76</v>
      </c>
      <c r="E55" s="682">
        <v>45583.0</v>
      </c>
      <c r="F55" s="683">
        <v>45583.0</v>
      </c>
      <c r="G55" s="683"/>
      <c r="H55" s="683">
        <v>45583.0</v>
      </c>
      <c r="I55" s="628">
        <f>IF(ISBLANK(H55), NETWORKDAYS(F55, TODAY(),fESTIVOS!$A$1:$A$18), NETWORKDAYS(F55, H55, fESTIVOS!$A$1:$A$18))</f>
        <v>1</v>
      </c>
      <c r="J55" s="683">
        <v>45583.0</v>
      </c>
      <c r="K55" s="661"/>
      <c r="L55" s="661"/>
      <c r="M55" s="673"/>
      <c r="N55" s="409"/>
      <c r="O55" s="409"/>
      <c r="P55" s="409"/>
      <c r="Q55" s="409"/>
      <c r="R55" s="409"/>
      <c r="S55" s="409"/>
      <c r="T55" s="409"/>
      <c r="U55" s="409"/>
      <c r="V55" s="409"/>
      <c r="W55" s="409"/>
      <c r="X55" s="409"/>
      <c r="Y55" s="409"/>
      <c r="Z55" s="409"/>
      <c r="AA55" s="448"/>
      <c r="AB55" s="448"/>
      <c r="AC55" s="448"/>
      <c r="AD55" s="448"/>
      <c r="AE55" s="448"/>
      <c r="AF55" s="448"/>
      <c r="AG55" s="448"/>
    </row>
    <row r="56" ht="15.75" customHeight="1">
      <c r="A56" s="637" t="s">
        <v>3089</v>
      </c>
      <c r="B56" s="411" t="s">
        <v>3109</v>
      </c>
      <c r="C56" s="433" t="s">
        <v>3192</v>
      </c>
      <c r="D56" s="635" t="s">
        <v>76</v>
      </c>
      <c r="E56" s="682">
        <v>45586.0</v>
      </c>
      <c r="F56" s="682">
        <v>45586.0</v>
      </c>
      <c r="G56" s="683"/>
      <c r="H56" s="683">
        <v>45587.0</v>
      </c>
      <c r="I56" s="628">
        <f>IF(ISBLANK(H56), NETWORKDAYS(F56, TODAY(),fESTIVOS!$A$1:$A$18), NETWORKDAYS(F56, H56, fESTIVOS!$A$1:$A$18))</f>
        <v>2</v>
      </c>
      <c r="J56" s="683">
        <v>45587.0</v>
      </c>
      <c r="K56" s="661"/>
      <c r="L56" s="663" t="s">
        <v>3193</v>
      </c>
      <c r="M56" s="673"/>
      <c r="N56" s="409"/>
      <c r="O56" s="409"/>
      <c r="P56" s="409"/>
      <c r="Q56" s="409"/>
      <c r="R56" s="409"/>
      <c r="S56" s="409"/>
      <c r="T56" s="409"/>
      <c r="U56" s="409"/>
      <c r="V56" s="409"/>
      <c r="W56" s="409"/>
      <c r="X56" s="409"/>
      <c r="Y56" s="409"/>
      <c r="Z56" s="409"/>
      <c r="AA56" s="448"/>
      <c r="AB56" s="448"/>
      <c r="AC56" s="448"/>
      <c r="AD56" s="448"/>
      <c r="AE56" s="448"/>
      <c r="AF56" s="448"/>
      <c r="AG56" s="448"/>
    </row>
    <row r="57" ht="15.75" customHeight="1">
      <c r="A57" s="637" t="s">
        <v>3089</v>
      </c>
      <c r="B57" s="670" t="s">
        <v>3109</v>
      </c>
      <c r="C57" s="687" t="s">
        <v>3194</v>
      </c>
      <c r="D57" s="635" t="s">
        <v>76</v>
      </c>
      <c r="E57" s="682">
        <v>45586.0</v>
      </c>
      <c r="F57" s="682">
        <v>45587.0</v>
      </c>
      <c r="G57" s="683"/>
      <c r="H57" s="683">
        <v>45587.0</v>
      </c>
      <c r="I57" s="628">
        <f>IF(ISBLANK(H57), NETWORKDAYS(F57, TODAY(),fESTIVOS!$A$1:$A$18), NETWORKDAYS(F57, H57, fESTIVOS!$A$1:$A$18))</f>
        <v>1</v>
      </c>
      <c r="J57" s="683">
        <v>45587.0</v>
      </c>
      <c r="K57" s="661"/>
      <c r="L57" s="661" t="s">
        <v>3195</v>
      </c>
      <c r="M57" s="673"/>
      <c r="N57" s="409"/>
      <c r="O57" s="409"/>
      <c r="P57" s="409"/>
      <c r="Q57" s="409"/>
      <c r="R57" s="409"/>
      <c r="S57" s="409"/>
      <c r="T57" s="409"/>
      <c r="U57" s="409"/>
      <c r="V57" s="409"/>
      <c r="W57" s="409"/>
      <c r="X57" s="409"/>
      <c r="Y57" s="409"/>
      <c r="Z57" s="409"/>
      <c r="AA57" s="448"/>
      <c r="AB57" s="448"/>
      <c r="AC57" s="448"/>
      <c r="AD57" s="448"/>
      <c r="AE57" s="448"/>
      <c r="AF57" s="448"/>
      <c r="AG57" s="448"/>
    </row>
    <row r="58" ht="15.75" customHeight="1">
      <c r="A58" s="664" t="s">
        <v>2831</v>
      </c>
      <c r="B58" s="665" t="s">
        <v>3156</v>
      </c>
      <c r="C58" s="666" t="s">
        <v>3196</v>
      </c>
      <c r="D58" s="667" t="s">
        <v>76</v>
      </c>
      <c r="E58" s="445">
        <v>45561.0</v>
      </c>
      <c r="F58" s="445">
        <v>45572.0</v>
      </c>
      <c r="G58" s="445"/>
      <c r="H58" s="445">
        <v>45587.0</v>
      </c>
      <c r="I58" s="423">
        <f>IF(ISBLANK(H58), NETWORKDAYS(F58, TODAY(),fESTIVOS!$A$1:$A$18), NETWORKDAYS(F58, H58, fESTIVOS!$A$1:$A$18))</f>
        <v>11</v>
      </c>
      <c r="J58" s="445">
        <v>45587.0</v>
      </c>
      <c r="K58" s="445"/>
      <c r="L58" s="668" t="s">
        <v>3197</v>
      </c>
      <c r="M58" s="403"/>
      <c r="N58" s="403"/>
      <c r="O58" s="403"/>
      <c r="P58" s="403"/>
      <c r="Q58" s="403"/>
      <c r="R58" s="403"/>
      <c r="S58" s="403"/>
      <c r="T58" s="403"/>
      <c r="U58" s="403"/>
      <c r="V58" s="403"/>
      <c r="W58" s="403"/>
      <c r="X58" s="403"/>
      <c r="Y58" s="403"/>
      <c r="Z58" s="403"/>
    </row>
    <row r="59" ht="15.75" customHeight="1">
      <c r="A59" s="634" t="s">
        <v>2816</v>
      </c>
      <c r="B59" s="624" t="s">
        <v>3198</v>
      </c>
      <c r="C59" s="688" t="s">
        <v>3199</v>
      </c>
      <c r="D59" s="625" t="s">
        <v>76</v>
      </c>
      <c r="E59" s="626">
        <v>45576.0</v>
      </c>
      <c r="F59" s="626">
        <v>45576.0</v>
      </c>
      <c r="G59" s="626"/>
      <c r="H59" s="626">
        <v>45576.0</v>
      </c>
      <c r="I59" s="689">
        <f>IF(ISBLANK(H59), NETWORKDAYS(F59, TODAY(),fESTIVOS!$A$1:$A$18), NETWORKDAYS(F59, H59, fESTIVOS!$A$1:$A$18))</f>
        <v>1</v>
      </c>
      <c r="J59" s="626">
        <v>45576.0</v>
      </c>
      <c r="K59" s="626">
        <v>45587.0</v>
      </c>
      <c r="L59" s="690" t="s">
        <v>3200</v>
      </c>
      <c r="M59" s="403"/>
      <c r="N59" s="403"/>
      <c r="O59" s="403"/>
      <c r="P59" s="403"/>
      <c r="Q59" s="403"/>
      <c r="R59" s="403"/>
      <c r="S59" s="403"/>
      <c r="T59" s="403"/>
      <c r="U59" s="403"/>
      <c r="V59" s="403"/>
      <c r="W59" s="403"/>
      <c r="X59" s="403"/>
      <c r="Y59" s="403"/>
      <c r="Z59" s="403"/>
    </row>
    <row r="60" ht="15.75" customHeight="1">
      <c r="A60" s="664" t="s">
        <v>2831</v>
      </c>
      <c r="B60" s="664" t="s">
        <v>3201</v>
      </c>
      <c r="C60" s="664" t="s">
        <v>3202</v>
      </c>
      <c r="D60" s="664" t="s">
        <v>76</v>
      </c>
      <c r="E60" s="691">
        <v>45587.0</v>
      </c>
      <c r="F60" s="691">
        <v>45588.0</v>
      </c>
      <c r="G60" s="664"/>
      <c r="H60" s="691">
        <v>45588.0</v>
      </c>
      <c r="I60" s="423">
        <f>IF(ISBLANK(H60), NETWORKDAYS(F60, TODAY(),fESTIVOS!$A$1:$A$18), NETWORKDAYS(F60, H60, fESTIVOS!$A$1:$A$18))</f>
        <v>1</v>
      </c>
      <c r="J60" s="664"/>
      <c r="K60" s="664"/>
      <c r="L60" s="692" t="s">
        <v>3203</v>
      </c>
      <c r="M60" s="693"/>
      <c r="N60" s="693"/>
      <c r="O60" s="693"/>
      <c r="P60" s="693"/>
      <c r="Q60" s="693"/>
      <c r="R60" s="693"/>
      <c r="S60" s="693"/>
      <c r="T60" s="693"/>
      <c r="U60" s="693"/>
      <c r="V60" s="693"/>
      <c r="W60" s="693"/>
      <c r="X60" s="693"/>
      <c r="Y60" s="693"/>
      <c r="Z60" s="693"/>
      <c r="AA60" s="693"/>
      <c r="AB60" s="693"/>
      <c r="AC60" s="693"/>
      <c r="AD60" s="693"/>
      <c r="AE60" s="693"/>
      <c r="AF60" s="693"/>
      <c r="AG60" s="693"/>
    </row>
    <row r="61" ht="15.75" customHeight="1">
      <c r="A61" s="664" t="s">
        <v>2831</v>
      </c>
      <c r="B61" s="664" t="s">
        <v>3201</v>
      </c>
      <c r="C61" s="664" t="s">
        <v>3204</v>
      </c>
      <c r="D61" s="664" t="s">
        <v>76</v>
      </c>
      <c r="E61" s="691">
        <v>45587.0</v>
      </c>
      <c r="F61" s="691">
        <v>45588.0</v>
      </c>
      <c r="G61" s="664"/>
      <c r="H61" s="691">
        <v>45588.0</v>
      </c>
      <c r="I61" s="423">
        <f>IF(ISBLANK(H61), NETWORKDAYS(F61, TODAY(),fESTIVOS!$A$1:$A$18), NETWORKDAYS(F61, H61, fESTIVOS!$A$1:$A$18))</f>
        <v>1</v>
      </c>
      <c r="J61" s="664"/>
      <c r="K61" s="664"/>
      <c r="L61" s="692" t="s">
        <v>3205</v>
      </c>
      <c r="M61" s="693"/>
      <c r="N61" s="693"/>
      <c r="O61" s="693"/>
      <c r="P61" s="693"/>
      <c r="Q61" s="693"/>
      <c r="R61" s="693"/>
      <c r="S61" s="693"/>
      <c r="T61" s="693"/>
      <c r="U61" s="693"/>
      <c r="V61" s="693"/>
      <c r="W61" s="693"/>
      <c r="X61" s="693"/>
      <c r="Y61" s="693"/>
      <c r="Z61" s="693"/>
      <c r="AA61" s="693"/>
      <c r="AB61" s="693"/>
      <c r="AC61" s="693"/>
      <c r="AD61" s="693"/>
      <c r="AE61" s="693"/>
      <c r="AF61" s="693"/>
      <c r="AG61" s="693"/>
    </row>
    <row r="62" ht="15.75" customHeight="1">
      <c r="A62" s="664" t="s">
        <v>2831</v>
      </c>
      <c r="B62" s="664" t="s">
        <v>3201</v>
      </c>
      <c r="C62" s="664" t="s">
        <v>3206</v>
      </c>
      <c r="D62" s="664" t="s">
        <v>76</v>
      </c>
      <c r="E62" s="691">
        <v>45587.0</v>
      </c>
      <c r="F62" s="691">
        <v>45588.0</v>
      </c>
      <c r="G62" s="664"/>
      <c r="H62" s="691">
        <v>45588.0</v>
      </c>
      <c r="I62" s="423">
        <f>IF(ISBLANK(H62), NETWORKDAYS(F62, TODAY(),fESTIVOS!$A$1:$A$18), NETWORKDAYS(F62, H62, fESTIVOS!$A$1:$A$18))</f>
        <v>1</v>
      </c>
      <c r="J62" s="664"/>
      <c r="K62" s="664"/>
      <c r="L62" s="692" t="s">
        <v>3207</v>
      </c>
      <c r="M62" s="693"/>
      <c r="N62" s="693"/>
      <c r="O62" s="693"/>
      <c r="P62" s="693"/>
      <c r="Q62" s="693"/>
      <c r="R62" s="693"/>
      <c r="S62" s="693"/>
      <c r="T62" s="693"/>
      <c r="U62" s="693"/>
      <c r="V62" s="693"/>
      <c r="W62" s="693"/>
      <c r="X62" s="693"/>
      <c r="Y62" s="693"/>
      <c r="Z62" s="693"/>
      <c r="AA62" s="693"/>
      <c r="AB62" s="693"/>
      <c r="AC62" s="693"/>
      <c r="AD62" s="693"/>
      <c r="AE62" s="693"/>
      <c r="AF62" s="693"/>
      <c r="AG62" s="693"/>
    </row>
    <row r="63" ht="15.75" customHeight="1">
      <c r="A63" s="694" t="s">
        <v>2823</v>
      </c>
      <c r="B63" s="695" t="s">
        <v>3208</v>
      </c>
      <c r="C63" s="696" t="s">
        <v>3209</v>
      </c>
      <c r="D63" s="697" t="s">
        <v>3210</v>
      </c>
      <c r="E63" s="698">
        <v>45559.0</v>
      </c>
      <c r="F63" s="698">
        <v>45576.0</v>
      </c>
      <c r="G63" s="699"/>
      <c r="H63" s="700">
        <v>45581.0</v>
      </c>
      <c r="I63" s="701">
        <f>IF(ISBLANK(H63), NETWORKDAYS(F63, TODAY(),fESTIVOS!$A$1:$A$18), NETWORKDAYS(F63, H63, fESTIVOS!$A$1:$A$18))</f>
        <v>3</v>
      </c>
      <c r="J63" s="700">
        <v>45581.0</v>
      </c>
      <c r="K63" s="702">
        <v>45583.0</v>
      </c>
      <c r="L63" s="703" t="s">
        <v>3211</v>
      </c>
      <c r="M63" s="409"/>
      <c r="N63" s="409"/>
      <c r="O63" s="409"/>
      <c r="P63" s="409"/>
      <c r="Q63" s="409"/>
      <c r="R63" s="409"/>
      <c r="S63" s="409"/>
      <c r="T63" s="409"/>
      <c r="U63" s="409"/>
      <c r="V63" s="409"/>
      <c r="W63" s="409"/>
      <c r="X63" s="409"/>
      <c r="Y63" s="409"/>
      <c r="Z63" s="409"/>
    </row>
    <row r="64" ht="15.75" customHeight="1">
      <c r="A64" s="414" t="s">
        <v>2841</v>
      </c>
      <c r="B64" s="631" t="s">
        <v>3212</v>
      </c>
      <c r="C64" s="621"/>
      <c r="D64" s="592" t="s">
        <v>3213</v>
      </c>
      <c r="E64" s="413">
        <v>45562.0</v>
      </c>
      <c r="F64" s="413">
        <v>45562.0</v>
      </c>
      <c r="G64" s="414"/>
      <c r="H64" s="413">
        <v>45566.0</v>
      </c>
      <c r="I64" s="415">
        <f>IF(ISBLANK(H64), NETWORKDAYS(F64, TODAY(),fESTIVOS!$A$1:$A$18), NETWORKDAYS(F64, H64, fESTIVOS!$A$1:$A$18))</f>
        <v>3</v>
      </c>
      <c r="J64" s="413">
        <v>45566.0</v>
      </c>
      <c r="K64" s="413">
        <v>45590.0</v>
      </c>
      <c r="L64" s="416" t="s">
        <v>3214</v>
      </c>
      <c r="M64" s="403"/>
      <c r="N64" s="403"/>
      <c r="O64" s="403"/>
      <c r="P64" s="403"/>
      <c r="Q64" s="403"/>
      <c r="R64" s="403"/>
      <c r="S64" s="403"/>
      <c r="T64" s="403"/>
      <c r="U64" s="403"/>
      <c r="V64" s="403"/>
      <c r="W64" s="403"/>
      <c r="X64" s="403"/>
      <c r="Y64" s="403"/>
      <c r="Z64" s="403"/>
    </row>
    <row r="65" ht="15.75" customHeight="1">
      <c r="A65" s="641" t="s">
        <v>2816</v>
      </c>
      <c r="B65" s="620" t="s">
        <v>2820</v>
      </c>
      <c r="C65" s="704" t="s">
        <v>3215</v>
      </c>
      <c r="D65" s="625" t="s">
        <v>76</v>
      </c>
      <c r="E65" s="705">
        <v>45587.0</v>
      </c>
      <c r="F65" s="626">
        <v>45587.0</v>
      </c>
      <c r="G65" s="626"/>
      <c r="H65" s="626">
        <v>45589.0</v>
      </c>
      <c r="I65" s="689">
        <f>IF(ISBLANK(H65), NETWORKDAYS(F65, TODAY(),fESTIVOS!$A$1:$A$18), NETWORKDAYS(F65, H65, fESTIVOS!$A$1:$A$18))</f>
        <v>3</v>
      </c>
      <c r="J65" s="626">
        <v>45589.0</v>
      </c>
      <c r="K65" s="626"/>
      <c r="L65" s="629" t="s">
        <v>3216</v>
      </c>
      <c r="M65" s="403"/>
      <c r="N65" s="403"/>
      <c r="O65" s="403"/>
      <c r="P65" s="403"/>
      <c r="Q65" s="403"/>
      <c r="R65" s="403"/>
      <c r="S65" s="403"/>
      <c r="T65" s="403"/>
      <c r="U65" s="403"/>
      <c r="V65" s="403"/>
      <c r="W65" s="403"/>
      <c r="X65" s="403"/>
      <c r="Y65" s="403"/>
      <c r="Z65" s="403"/>
      <c r="AA65" s="448"/>
      <c r="AB65" s="448"/>
      <c r="AC65" s="448"/>
      <c r="AD65" s="448"/>
      <c r="AE65" s="448"/>
      <c r="AF65" s="448"/>
      <c r="AG65" s="448"/>
    </row>
    <row r="66" ht="15.75" customHeight="1">
      <c r="A66" s="402" t="s">
        <v>2816</v>
      </c>
      <c r="B66" s="411" t="s">
        <v>2828</v>
      </c>
      <c r="C66" s="412" t="s">
        <v>3217</v>
      </c>
      <c r="D66" s="635" t="s">
        <v>3218</v>
      </c>
      <c r="E66" s="413">
        <v>45572.0</v>
      </c>
      <c r="F66" s="413">
        <v>45574.0</v>
      </c>
      <c r="G66" s="413"/>
      <c r="H66" s="413">
        <v>45574.0</v>
      </c>
      <c r="I66" s="415">
        <f>IF(ISBLANK(H66), NETWORKDAYS(F66, TODAY(),fESTIVOS!$A$1:$A$18), NETWORKDAYS(F66, H66, fESTIVOS!$A$1:$A$18))</f>
        <v>1</v>
      </c>
      <c r="J66" s="413">
        <v>45574.0</v>
      </c>
      <c r="K66" s="413"/>
      <c r="L66" s="416" t="s">
        <v>3219</v>
      </c>
      <c r="M66" s="403"/>
      <c r="N66" s="403"/>
      <c r="O66" s="403"/>
      <c r="P66" s="403"/>
      <c r="Q66" s="403"/>
      <c r="R66" s="403"/>
      <c r="S66" s="403"/>
      <c r="T66" s="403"/>
      <c r="U66" s="403"/>
      <c r="V66" s="403"/>
      <c r="W66" s="403"/>
      <c r="X66" s="403"/>
      <c r="Y66" s="403"/>
      <c r="Z66" s="403"/>
    </row>
    <row r="67" ht="15.75" customHeight="1">
      <c r="A67" s="637" t="s">
        <v>3089</v>
      </c>
      <c r="B67" s="411" t="s">
        <v>3220</v>
      </c>
      <c r="C67" s="451" t="s">
        <v>3221</v>
      </c>
      <c r="D67" s="414" t="s">
        <v>76</v>
      </c>
      <c r="E67" s="413">
        <v>45588.0</v>
      </c>
      <c r="F67" s="685">
        <v>45589.0</v>
      </c>
      <c r="G67" s="413"/>
      <c r="H67" s="413">
        <v>45589.0</v>
      </c>
      <c r="I67" s="415">
        <f>IF(ISBLANK(H67), NETWORKDAYS(F67, TODAY(),fESTIVOS!$A$1:$A$18), NETWORKDAYS(F67, H67, fESTIVOS!$A$1:$A$18))</f>
        <v>1</v>
      </c>
      <c r="J67" s="672"/>
      <c r="K67" s="672"/>
      <c r="L67" s="706" t="s">
        <v>3222</v>
      </c>
      <c r="M67" s="673"/>
      <c r="N67" s="409"/>
      <c r="O67" s="409"/>
      <c r="P67" s="409"/>
      <c r="Q67" s="409"/>
      <c r="R67" s="409"/>
      <c r="S67" s="409"/>
      <c r="T67" s="409"/>
      <c r="U67" s="409"/>
      <c r="V67" s="409"/>
      <c r="W67" s="409"/>
      <c r="X67" s="409"/>
      <c r="Y67" s="409"/>
      <c r="Z67" s="409"/>
      <c r="AA67" s="448"/>
      <c r="AB67" s="448"/>
      <c r="AC67" s="448"/>
      <c r="AD67" s="448"/>
      <c r="AE67" s="448"/>
      <c r="AF67" s="448"/>
      <c r="AG67" s="448"/>
    </row>
    <row r="68" ht="15.75" customHeight="1">
      <c r="A68" s="642" t="s">
        <v>3223</v>
      </c>
      <c r="B68" s="707" t="s">
        <v>3224</v>
      </c>
      <c r="C68" s="707" t="s">
        <v>3225</v>
      </c>
      <c r="D68" s="645" t="s">
        <v>76</v>
      </c>
      <c r="E68" s="646">
        <v>45568.0</v>
      </c>
      <c r="F68" s="646">
        <v>45568.0</v>
      </c>
      <c r="H68" s="646">
        <v>45589.0</v>
      </c>
      <c r="I68" s="415">
        <f>IF(ISBLANK(H68), NETWORKDAYS(F68, TODAY(),fESTIVOS!$A$1:$A$18), NETWORKDAYS(F68, H68, fESTIVOS!$A$1:$A$18))</f>
        <v>15</v>
      </c>
      <c r="J68" s="646">
        <v>45589.0</v>
      </c>
      <c r="K68" s="646"/>
      <c r="L68" s="648" t="s">
        <v>3226</v>
      </c>
      <c r="M68" s="403"/>
      <c r="N68" s="403"/>
      <c r="O68" s="403"/>
      <c r="P68" s="403"/>
      <c r="Q68" s="403"/>
      <c r="R68" s="403"/>
      <c r="S68" s="403"/>
      <c r="T68" s="403"/>
      <c r="U68" s="403"/>
      <c r="V68" s="403"/>
      <c r="W68" s="403"/>
      <c r="X68" s="403"/>
      <c r="Y68" s="403"/>
      <c r="Z68" s="403"/>
    </row>
    <row r="69" ht="15.75" customHeight="1">
      <c r="A69" s="417" t="s">
        <v>2823</v>
      </c>
      <c r="B69" s="708" t="s">
        <v>3227</v>
      </c>
      <c r="C69" s="420" t="s">
        <v>3228</v>
      </c>
      <c r="D69" s="420" t="s">
        <v>76</v>
      </c>
      <c r="E69" s="445">
        <v>45588.0</v>
      </c>
      <c r="F69" s="445">
        <v>45588.0</v>
      </c>
      <c r="G69" s="445">
        <v>45590.0</v>
      </c>
      <c r="H69" s="445">
        <v>45590.0</v>
      </c>
      <c r="I69" s="423">
        <f>IF(ISBLANK(H69), NETWORKDAYS(F69, TODAY(),fESTIVOS!$A$1:$A$18), NETWORKDAYS(F69, H69, fESTIVOS!$A$1:$A$18))</f>
        <v>3</v>
      </c>
      <c r="J69" s="445">
        <v>45590.0</v>
      </c>
      <c r="K69" s="445"/>
      <c r="L69" s="668" t="s">
        <v>3229</v>
      </c>
      <c r="M69" s="638"/>
      <c r="N69" s="403"/>
      <c r="O69" s="403"/>
      <c r="P69" s="403"/>
      <c r="Q69" s="403"/>
      <c r="R69" s="403"/>
      <c r="S69" s="403"/>
      <c r="T69" s="403"/>
      <c r="U69" s="403"/>
      <c r="V69" s="403"/>
      <c r="W69" s="403"/>
      <c r="X69" s="403"/>
      <c r="Y69" s="403"/>
      <c r="Z69" s="403"/>
      <c r="AA69" s="448"/>
      <c r="AB69" s="448"/>
      <c r="AC69" s="448"/>
      <c r="AD69" s="448"/>
      <c r="AE69" s="448"/>
      <c r="AF69" s="448"/>
      <c r="AG69" s="448"/>
    </row>
    <row r="70" ht="15.75" customHeight="1">
      <c r="A70" s="417" t="s">
        <v>2823</v>
      </c>
      <c r="B70" s="708" t="s">
        <v>3227</v>
      </c>
      <c r="C70" s="420" t="s">
        <v>3230</v>
      </c>
      <c r="D70" s="420" t="s">
        <v>76</v>
      </c>
      <c r="E70" s="445">
        <v>45588.0</v>
      </c>
      <c r="F70" s="445">
        <v>45588.0</v>
      </c>
      <c r="G70" s="445">
        <v>45590.0</v>
      </c>
      <c r="H70" s="445">
        <v>45590.0</v>
      </c>
      <c r="I70" s="423">
        <f>IF(ISBLANK(H70), NETWORKDAYS(F70, TODAY(),fESTIVOS!$A$1:$A$18), NETWORKDAYS(F70, H70, fESTIVOS!$A$1:$A$18))</f>
        <v>3</v>
      </c>
      <c r="J70" s="445">
        <v>45593.0</v>
      </c>
      <c r="K70" s="445"/>
      <c r="L70" s="668" t="s">
        <v>3231</v>
      </c>
      <c r="M70" s="638"/>
      <c r="N70" s="403"/>
      <c r="O70" s="403"/>
      <c r="P70" s="403"/>
      <c r="Q70" s="403"/>
      <c r="R70" s="403"/>
      <c r="S70" s="403"/>
      <c r="T70" s="403"/>
      <c r="U70" s="403"/>
      <c r="V70" s="403"/>
      <c r="W70" s="403"/>
      <c r="X70" s="403"/>
      <c r="Y70" s="403"/>
      <c r="Z70" s="403"/>
      <c r="AA70" s="448"/>
      <c r="AB70" s="448"/>
      <c r="AC70" s="448"/>
      <c r="AD70" s="448"/>
      <c r="AE70" s="448"/>
      <c r="AF70" s="448"/>
      <c r="AG70" s="448"/>
    </row>
    <row r="71" ht="15.75" customHeight="1">
      <c r="A71" s="402" t="s">
        <v>2816</v>
      </c>
      <c r="B71" s="620" t="s">
        <v>2820</v>
      </c>
      <c r="C71" s="677" t="s">
        <v>3232</v>
      </c>
      <c r="D71" s="651" t="s">
        <v>76</v>
      </c>
      <c r="E71" s="682">
        <v>45588.0</v>
      </c>
      <c r="F71" s="682">
        <v>45588.0</v>
      </c>
      <c r="G71" s="683"/>
      <c r="H71" s="683">
        <v>45589.0</v>
      </c>
      <c r="I71" s="628">
        <f>IF(ISBLANK(H71), NETWORKDAYS(F71, TODAY(),fESTIVOS!$A$1:$A$18), NETWORKDAYS(F71, H71, fESTIVOS!$A$1:$A$18))</f>
        <v>2</v>
      </c>
      <c r="J71" s="683">
        <v>45589.0</v>
      </c>
      <c r="K71" s="683"/>
      <c r="L71" s="684" t="s">
        <v>3233</v>
      </c>
      <c r="M71" s="403"/>
      <c r="N71" s="403"/>
      <c r="O71" s="403"/>
      <c r="P71" s="403"/>
      <c r="Q71" s="403"/>
      <c r="R71" s="403"/>
      <c r="S71" s="403"/>
      <c r="T71" s="403"/>
      <c r="U71" s="403"/>
      <c r="V71" s="403"/>
      <c r="W71" s="403"/>
      <c r="X71" s="403"/>
      <c r="Y71" s="403"/>
      <c r="Z71" s="403"/>
      <c r="AA71" s="448"/>
      <c r="AB71" s="448"/>
      <c r="AC71" s="448"/>
      <c r="AD71" s="448"/>
      <c r="AE71" s="448"/>
      <c r="AF71" s="448"/>
      <c r="AG71" s="448"/>
    </row>
    <row r="72" ht="15.75" customHeight="1">
      <c r="A72" s="402" t="s">
        <v>2816</v>
      </c>
      <c r="B72" s="620" t="s">
        <v>2820</v>
      </c>
      <c r="C72" s="709" t="s">
        <v>3234</v>
      </c>
      <c r="D72" s="651" t="s">
        <v>76</v>
      </c>
      <c r="E72" s="682">
        <v>45589.0</v>
      </c>
      <c r="F72" s="683">
        <v>45589.0</v>
      </c>
      <c r="G72" s="683"/>
      <c r="H72" s="683">
        <v>45590.0</v>
      </c>
      <c r="I72" s="628">
        <f>IF(ISBLANK(H72), NETWORKDAYS(F72, TODAY(),fESTIVOS!$A$1:$A$18), NETWORKDAYS(F72, H72, fESTIVOS!$A$1:$A$18))</f>
        <v>2</v>
      </c>
      <c r="J72" s="683">
        <v>45590.0</v>
      </c>
      <c r="K72" s="683"/>
      <c r="L72" s="684" t="s">
        <v>3235</v>
      </c>
      <c r="M72" s="403"/>
      <c r="N72" s="403"/>
      <c r="O72" s="403"/>
      <c r="P72" s="403"/>
      <c r="Q72" s="403"/>
      <c r="R72" s="403"/>
      <c r="S72" s="403"/>
      <c r="T72" s="403"/>
      <c r="U72" s="403"/>
      <c r="V72" s="403"/>
      <c r="W72" s="403"/>
      <c r="X72" s="403"/>
      <c r="Y72" s="403"/>
      <c r="Z72" s="403"/>
      <c r="AA72" s="448"/>
      <c r="AB72" s="448"/>
      <c r="AC72" s="448"/>
      <c r="AD72" s="448"/>
      <c r="AE72" s="448"/>
      <c r="AF72" s="448"/>
      <c r="AG72" s="448"/>
    </row>
    <row r="73" ht="15.75" customHeight="1">
      <c r="A73" s="402" t="s">
        <v>2816</v>
      </c>
      <c r="B73" s="620" t="s">
        <v>2828</v>
      </c>
      <c r="C73" s="710" t="s">
        <v>3236</v>
      </c>
      <c r="D73" s="635" t="s">
        <v>76</v>
      </c>
      <c r="E73" s="413">
        <v>45572.0</v>
      </c>
      <c r="F73" s="413">
        <v>45574.0</v>
      </c>
      <c r="G73" s="711"/>
      <c r="H73" s="413">
        <v>45574.0</v>
      </c>
      <c r="I73" s="415">
        <f>IF(ISBLANK(H73), NETWORKDAYS(F73, TODAY(),fESTIVOS!$A$1:$A$18), NETWORKDAYS(F73, H73, fESTIVOS!$A$1:$A$18))</f>
        <v>1</v>
      </c>
      <c r="J73" s="413"/>
      <c r="K73" s="413"/>
      <c r="L73" s="416" t="s">
        <v>3237</v>
      </c>
      <c r="M73" s="403"/>
      <c r="N73" s="403"/>
      <c r="O73" s="403"/>
      <c r="P73" s="403"/>
      <c r="Q73" s="403"/>
      <c r="R73" s="403"/>
      <c r="S73" s="403"/>
      <c r="T73" s="403"/>
      <c r="U73" s="403"/>
      <c r="V73" s="403"/>
      <c r="W73" s="403"/>
      <c r="X73" s="403"/>
      <c r="Y73" s="403"/>
      <c r="Z73" s="403"/>
    </row>
    <row r="74" ht="15.75" customHeight="1">
      <c r="A74" s="664" t="s">
        <v>2831</v>
      </c>
      <c r="B74" s="665" t="s">
        <v>3156</v>
      </c>
      <c r="C74" s="444" t="s">
        <v>3238</v>
      </c>
      <c r="D74" s="420" t="s">
        <v>76</v>
      </c>
      <c r="E74" s="445">
        <v>45576.0</v>
      </c>
      <c r="F74" s="445">
        <v>45579.0</v>
      </c>
      <c r="G74" s="445"/>
      <c r="H74" s="445">
        <v>45590.0</v>
      </c>
      <c r="I74" s="423">
        <f>IF(ISBLANK(H74), NETWORKDAYS(F74, TODAY(),fESTIVOS!$A$1:$A$18), NETWORKDAYS(F74, H74, fESTIVOS!$A$1:$A$18))</f>
        <v>9</v>
      </c>
      <c r="J74" s="445">
        <v>45590.0</v>
      </c>
      <c r="K74" s="445"/>
      <c r="L74" s="668" t="s">
        <v>3239</v>
      </c>
      <c r="M74" s="403"/>
      <c r="N74" s="403"/>
      <c r="O74" s="403"/>
      <c r="P74" s="403"/>
      <c r="Q74" s="403"/>
      <c r="R74" s="403"/>
      <c r="S74" s="403"/>
      <c r="T74" s="403"/>
      <c r="U74" s="403"/>
      <c r="V74" s="403"/>
      <c r="W74" s="403"/>
      <c r="X74" s="403"/>
      <c r="Y74" s="403"/>
      <c r="Z74" s="403"/>
      <c r="AA74" s="448"/>
      <c r="AB74" s="448"/>
      <c r="AC74" s="448"/>
      <c r="AD74" s="448"/>
      <c r="AE74" s="448"/>
      <c r="AF74" s="448"/>
      <c r="AG74" s="448"/>
    </row>
    <row r="75" ht="15.75" customHeight="1">
      <c r="A75" s="664" t="s">
        <v>2831</v>
      </c>
      <c r="B75" s="665" t="s">
        <v>3227</v>
      </c>
      <c r="C75" s="444" t="s">
        <v>3240</v>
      </c>
      <c r="D75" s="667" t="s">
        <v>76</v>
      </c>
      <c r="E75" s="445">
        <v>45587.0</v>
      </c>
      <c r="F75" s="445">
        <v>45589.0</v>
      </c>
      <c r="G75" s="445"/>
      <c r="H75" s="445">
        <v>45593.0</v>
      </c>
      <c r="I75" s="423">
        <f>IF(ISBLANK(H75), NETWORKDAYS(F75, TODAY(),fESTIVOS!$A$1:$A$18), NETWORKDAYS(F75, H75, fESTIVOS!$A$1:$A$18))</f>
        <v>3</v>
      </c>
      <c r="J75" s="445">
        <v>45593.0</v>
      </c>
      <c r="K75" s="445"/>
      <c r="L75" s="668" t="s">
        <v>3241</v>
      </c>
      <c r="M75" s="403"/>
      <c r="N75" s="403"/>
      <c r="O75" s="403"/>
      <c r="P75" s="403"/>
      <c r="Q75" s="403"/>
      <c r="R75" s="403"/>
      <c r="S75" s="403"/>
      <c r="T75" s="403"/>
      <c r="U75" s="403"/>
      <c r="V75" s="403"/>
      <c r="W75" s="403"/>
      <c r="X75" s="403"/>
      <c r="Y75" s="403"/>
      <c r="Z75" s="403"/>
    </row>
    <row r="76" ht="15.75" customHeight="1">
      <c r="A76" s="441" t="s">
        <v>2841</v>
      </c>
      <c r="B76" s="666" t="s">
        <v>3227</v>
      </c>
      <c r="C76" s="420" t="s">
        <v>3242</v>
      </c>
      <c r="D76" s="420" t="s">
        <v>76</v>
      </c>
      <c r="E76" s="445">
        <v>45582.0</v>
      </c>
      <c r="F76" s="445">
        <v>45582.0</v>
      </c>
      <c r="G76" s="445"/>
      <c r="H76" s="445">
        <v>45582.0</v>
      </c>
      <c r="I76" s="423">
        <f>IF(ISBLANK(H76), NETWORKDAYS(F76, TODAY(),fESTIVOS!$A$1:$A$18), NETWORKDAYS(F76, H76, fESTIVOS!$A$1:$A$18))</f>
        <v>1</v>
      </c>
      <c r="J76" s="445">
        <v>45582.0</v>
      </c>
      <c r="K76" s="445"/>
      <c r="L76" s="668" t="s">
        <v>3243</v>
      </c>
      <c r="M76" s="638"/>
      <c r="N76" s="403"/>
      <c r="O76" s="403"/>
      <c r="P76" s="403"/>
      <c r="Q76" s="403"/>
      <c r="R76" s="403"/>
      <c r="S76" s="403"/>
      <c r="T76" s="403"/>
      <c r="U76" s="403"/>
      <c r="V76" s="403"/>
      <c r="W76" s="403"/>
      <c r="X76" s="403"/>
      <c r="Y76" s="403"/>
      <c r="Z76" s="403"/>
    </row>
    <row r="77" ht="15.75" customHeight="1">
      <c r="A77" s="664" t="s">
        <v>2831</v>
      </c>
      <c r="B77" s="665" t="s">
        <v>3244</v>
      </c>
      <c r="C77" s="444" t="s">
        <v>3245</v>
      </c>
      <c r="D77" s="420" t="s">
        <v>76</v>
      </c>
      <c r="E77" s="445">
        <v>45587.0</v>
      </c>
      <c r="F77" s="445">
        <v>45590.0</v>
      </c>
      <c r="G77" s="445"/>
      <c r="H77" s="445">
        <v>45593.0</v>
      </c>
      <c r="I77" s="423">
        <f>IF(ISBLANK(H77), NETWORKDAYS(F77, TODAY(),fESTIVOS!$A$1:$A$18), NETWORKDAYS(F77, H77, fESTIVOS!$A$1:$A$18))</f>
        <v>2</v>
      </c>
      <c r="J77" s="445"/>
      <c r="K77" s="445"/>
      <c r="L77" s="668"/>
      <c r="M77" s="403"/>
      <c r="N77" s="403"/>
      <c r="O77" s="403"/>
      <c r="P77" s="403"/>
      <c r="Q77" s="403"/>
      <c r="R77" s="403"/>
      <c r="S77" s="403"/>
      <c r="T77" s="403"/>
      <c r="U77" s="403"/>
      <c r="V77" s="403"/>
      <c r="W77" s="403"/>
      <c r="X77" s="403"/>
      <c r="Y77" s="403"/>
      <c r="Z77" s="403"/>
      <c r="AA77" s="448"/>
      <c r="AB77" s="448"/>
      <c r="AC77" s="448"/>
      <c r="AD77" s="448"/>
      <c r="AE77" s="448"/>
      <c r="AF77" s="448"/>
      <c r="AG77" s="448"/>
    </row>
    <row r="78" ht="15.75" customHeight="1">
      <c r="A78" s="402" t="s">
        <v>2816</v>
      </c>
      <c r="B78" s="631" t="s">
        <v>3246</v>
      </c>
      <c r="C78" s="621" t="s">
        <v>3247</v>
      </c>
      <c r="D78" s="414" t="s">
        <v>76</v>
      </c>
      <c r="E78" s="413">
        <v>45590.0</v>
      </c>
      <c r="F78" s="413">
        <v>45593.0</v>
      </c>
      <c r="G78" s="413"/>
      <c r="H78" s="413">
        <v>45593.0</v>
      </c>
      <c r="I78" s="415">
        <f>IF(ISBLANK(H78), NETWORKDAYS(F78, TODAY(),fESTIVOS!$A$1:$A$18), NETWORKDAYS(F78, H78, fESTIVOS!$A$1:$A$18))</f>
        <v>1</v>
      </c>
      <c r="J78" s="413"/>
      <c r="K78" s="413"/>
      <c r="L78" s="416"/>
      <c r="M78" s="403"/>
      <c r="N78" s="403"/>
      <c r="O78" s="403"/>
      <c r="P78" s="403"/>
      <c r="Q78" s="403"/>
      <c r="R78" s="403"/>
      <c r="S78" s="403"/>
      <c r="T78" s="403"/>
      <c r="U78" s="403"/>
      <c r="V78" s="403"/>
      <c r="W78" s="403"/>
      <c r="X78" s="403"/>
      <c r="Y78" s="403"/>
      <c r="Z78" s="403"/>
      <c r="AA78" s="448"/>
      <c r="AB78" s="448"/>
      <c r="AC78" s="448"/>
      <c r="AD78" s="448"/>
      <c r="AE78" s="448"/>
      <c r="AF78" s="448"/>
      <c r="AG78" s="448"/>
    </row>
    <row r="79" ht="15.75" customHeight="1">
      <c r="A79" s="637" t="s">
        <v>3089</v>
      </c>
      <c r="B79" s="411" t="s">
        <v>3109</v>
      </c>
      <c r="C79" s="635" t="s">
        <v>3248</v>
      </c>
      <c r="D79" s="635" t="s">
        <v>76</v>
      </c>
      <c r="E79" s="413">
        <v>45589.0</v>
      </c>
      <c r="F79" s="413">
        <v>45593.0</v>
      </c>
      <c r="G79" s="413"/>
      <c r="H79" s="413">
        <v>45593.0</v>
      </c>
      <c r="I79" s="415">
        <f>IF(ISBLANK(H79), NETWORKDAYS(F79, TODAY(),fESTIVOS!$A$1:$A$18), NETWORKDAYS(F79, H79, fESTIVOS!$A$1:$A$18))</f>
        <v>1</v>
      </c>
      <c r="J79" s="413">
        <v>45593.0</v>
      </c>
      <c r="K79" s="413"/>
      <c r="L79" s="416" t="s">
        <v>3249</v>
      </c>
      <c r="M79" s="638"/>
      <c r="N79" s="403"/>
      <c r="O79" s="403"/>
      <c r="P79" s="403"/>
      <c r="Q79" s="403"/>
      <c r="R79" s="403"/>
      <c r="S79" s="403"/>
      <c r="T79" s="403"/>
      <c r="U79" s="403"/>
      <c r="V79" s="403"/>
      <c r="W79" s="403"/>
      <c r="X79" s="403"/>
      <c r="Y79" s="403"/>
      <c r="Z79" s="403"/>
      <c r="AA79" s="448"/>
      <c r="AB79" s="448"/>
      <c r="AC79" s="448"/>
      <c r="AD79" s="448"/>
      <c r="AE79" s="448"/>
      <c r="AF79" s="448"/>
      <c r="AG79" s="448"/>
    </row>
    <row r="80" ht="15.75" customHeight="1">
      <c r="A80" s="402" t="s">
        <v>2816</v>
      </c>
      <c r="B80" s="411" t="s">
        <v>2820</v>
      </c>
      <c r="C80" s="621" t="s">
        <v>3250</v>
      </c>
      <c r="D80" s="414" t="s">
        <v>76</v>
      </c>
      <c r="E80" s="413">
        <v>45594.0</v>
      </c>
      <c r="F80" s="413">
        <v>45594.0</v>
      </c>
      <c r="G80" s="413">
        <v>45596.0</v>
      </c>
      <c r="H80" s="414"/>
      <c r="I80" s="415">
        <f>IF(ISBLANK(H80), NETWORKDAYS(F80, TODAY(),fESTIVOS!$A$1:$A$18), NETWORKDAYS(F80, H80, fESTIVOS!$A$1:$A$18))</f>
        <v>423</v>
      </c>
      <c r="J80" s="413">
        <v>45596.0</v>
      </c>
      <c r="K80" s="413"/>
      <c r="L80" s="416" t="s">
        <v>3251</v>
      </c>
      <c r="M80" s="403"/>
      <c r="N80" s="403"/>
      <c r="O80" s="403"/>
      <c r="P80" s="403"/>
      <c r="Q80" s="403"/>
      <c r="R80" s="403"/>
      <c r="S80" s="403"/>
      <c r="T80" s="403"/>
      <c r="U80" s="403"/>
      <c r="V80" s="403"/>
      <c r="W80" s="403"/>
      <c r="X80" s="403"/>
      <c r="Y80" s="403"/>
      <c r="Z80" s="403"/>
      <c r="AA80" s="448"/>
      <c r="AB80" s="448"/>
      <c r="AC80" s="448"/>
      <c r="AD80" s="448"/>
      <c r="AE80" s="448"/>
      <c r="AF80" s="448"/>
      <c r="AG80" s="448"/>
    </row>
    <row r="81" ht="15.75" customHeight="1">
      <c r="A81" s="640" t="s">
        <v>3089</v>
      </c>
      <c r="B81" s="620" t="s">
        <v>3220</v>
      </c>
      <c r="C81" s="712" t="s">
        <v>3252</v>
      </c>
      <c r="D81" s="713" t="s">
        <v>76</v>
      </c>
      <c r="E81" s="714">
        <v>45601.0</v>
      </c>
      <c r="F81" s="714">
        <v>45601.0</v>
      </c>
      <c r="G81" s="646"/>
      <c r="H81" s="646">
        <v>45602.0</v>
      </c>
      <c r="I81" s="647">
        <f>IF(ISBLANK(H81), NETWORKDAYS(F81, TODAY(),fESTIVOS!$A$1:$A$18), NETWORKDAYS(F81, H81, fESTIVOS!$A$1:$A$18))</f>
        <v>2</v>
      </c>
      <c r="J81" s="406"/>
      <c r="K81" s="406"/>
      <c r="L81" s="674"/>
      <c r="M81" s="673"/>
      <c r="N81" s="409"/>
      <c r="O81" s="409"/>
      <c r="P81" s="409"/>
      <c r="Q81" s="409"/>
      <c r="R81" s="409"/>
      <c r="S81" s="409"/>
      <c r="T81" s="409"/>
      <c r="U81" s="409"/>
      <c r="V81" s="409"/>
      <c r="W81" s="409"/>
      <c r="X81" s="409"/>
      <c r="Y81" s="409"/>
      <c r="Z81" s="409"/>
      <c r="AA81" s="448"/>
      <c r="AB81" s="448"/>
      <c r="AC81" s="448"/>
      <c r="AD81" s="448"/>
      <c r="AE81" s="448"/>
      <c r="AF81" s="448"/>
      <c r="AG81" s="448"/>
    </row>
    <row r="82" ht="15.75" customHeight="1">
      <c r="A82" s="441" t="s">
        <v>2841</v>
      </c>
      <c r="B82" s="631" t="s">
        <v>3253</v>
      </c>
      <c r="C82" s="715" t="s">
        <v>3254</v>
      </c>
      <c r="D82" s="635" t="s">
        <v>76</v>
      </c>
      <c r="E82" s="413">
        <v>45602.0</v>
      </c>
      <c r="F82" s="413">
        <v>45602.0</v>
      </c>
      <c r="G82" s="413"/>
      <c r="H82" s="413">
        <v>45603.0</v>
      </c>
      <c r="I82" s="423">
        <f>IF(ISBLANK(H82), NETWORKDAYS(F82, TODAY(),fESTIVOS!$A$1:$A$18), NETWORKDAYS(F82, H82, fESTIVOS!$A$1:$A$18))</f>
        <v>2</v>
      </c>
      <c r="J82" s="413">
        <v>45603.0</v>
      </c>
      <c r="K82" s="413">
        <v>45603.0</v>
      </c>
      <c r="L82" s="416" t="s">
        <v>3255</v>
      </c>
      <c r="M82" s="403"/>
      <c r="N82" s="403"/>
      <c r="O82" s="403"/>
      <c r="P82" s="403"/>
      <c r="Q82" s="403"/>
      <c r="R82" s="403"/>
      <c r="S82" s="403"/>
      <c r="T82" s="403"/>
      <c r="U82" s="403"/>
      <c r="V82" s="403"/>
      <c r="W82" s="403"/>
      <c r="X82" s="403"/>
      <c r="Y82" s="403"/>
      <c r="Z82" s="403"/>
      <c r="AA82" s="448"/>
      <c r="AB82" s="448"/>
      <c r="AC82" s="448"/>
      <c r="AD82" s="448"/>
      <c r="AE82" s="448"/>
      <c r="AF82" s="448"/>
      <c r="AG82" s="448"/>
    </row>
    <row r="83" ht="15.75" customHeight="1">
      <c r="A83" s="716" t="s">
        <v>3109</v>
      </c>
      <c r="B83" s="716" t="s">
        <v>3109</v>
      </c>
      <c r="C83" s="410" t="s">
        <v>3256</v>
      </c>
      <c r="D83" s="414" t="s">
        <v>76</v>
      </c>
      <c r="E83" s="413">
        <v>45576.0</v>
      </c>
      <c r="F83" s="413">
        <v>45576.0</v>
      </c>
      <c r="G83" s="410"/>
      <c r="H83" s="685">
        <v>45604.0</v>
      </c>
      <c r="I83" s="415">
        <f>IF(ISBLANK(H83), NETWORKDAYS(F83, TODAY(),fESTIVOS!$A$1:$A$18), NETWORKDAYS(F83, H83, fESTIVOS!$A$1:$A$18))</f>
        <v>19</v>
      </c>
      <c r="J83" s="410"/>
      <c r="K83" s="410"/>
      <c r="L83" s="410" t="s">
        <v>3257</v>
      </c>
      <c r="M83" s="424"/>
      <c r="N83" s="424"/>
      <c r="O83" s="424"/>
      <c r="P83" s="424"/>
      <c r="Q83" s="424"/>
      <c r="R83" s="424"/>
      <c r="S83" s="424"/>
      <c r="T83" s="424"/>
      <c r="U83" s="424"/>
      <c r="V83" s="424"/>
      <c r="W83" s="424"/>
      <c r="X83" s="424"/>
      <c r="Y83" s="424"/>
      <c r="Z83" s="424"/>
    </row>
    <row r="84" ht="15.75" customHeight="1">
      <c r="A84" s="664" t="s">
        <v>2831</v>
      </c>
      <c r="B84" s="641" t="s">
        <v>3258</v>
      </c>
      <c r="C84" s="640" t="s">
        <v>3259</v>
      </c>
      <c r="D84" s="641" t="s">
        <v>76</v>
      </c>
      <c r="E84" s="717">
        <v>45602.0</v>
      </c>
      <c r="F84" s="717">
        <v>45602.0</v>
      </c>
      <c r="G84" s="718">
        <v>45603.0</v>
      </c>
      <c r="H84" s="717">
        <v>45603.0</v>
      </c>
      <c r="I84" s="423">
        <f>IF(ISBLANK(H84), NETWORKDAYS(F84, TODAY(),fESTIVOS!$A$1:$A$18), NETWORKDAYS(F84, H84, fESTIVOS!$A$1:$A$18))</f>
        <v>2</v>
      </c>
      <c r="J84" s="641"/>
      <c r="K84" s="641"/>
      <c r="L84" s="719"/>
      <c r="M84" s="638"/>
      <c r="N84" s="403"/>
      <c r="O84" s="403"/>
      <c r="P84" s="403"/>
      <c r="Q84" s="403"/>
      <c r="R84" s="403"/>
      <c r="S84" s="403"/>
      <c r="T84" s="403"/>
      <c r="U84" s="403"/>
      <c r="V84" s="403"/>
      <c r="W84" s="403"/>
      <c r="X84" s="403"/>
      <c r="Y84" s="403"/>
      <c r="Z84" s="403"/>
      <c r="AA84" s="448"/>
      <c r="AB84" s="448"/>
      <c r="AC84" s="448"/>
      <c r="AD84" s="448"/>
      <c r="AE84" s="448"/>
      <c r="AF84" s="448"/>
      <c r="AG84" s="448"/>
    </row>
    <row r="85" ht="15.75" customHeight="1">
      <c r="A85" s="664" t="s">
        <v>2831</v>
      </c>
      <c r="B85" s="442" t="s">
        <v>3227</v>
      </c>
      <c r="C85" s="420" t="s">
        <v>3260</v>
      </c>
      <c r="D85" s="667" t="s">
        <v>216</v>
      </c>
      <c r="E85" s="445">
        <v>45587.0</v>
      </c>
      <c r="F85" s="445">
        <v>45587.0</v>
      </c>
      <c r="G85" s="445"/>
      <c r="H85" s="445">
        <v>45603.0</v>
      </c>
      <c r="I85" s="423">
        <f>IF(ISBLANK(H85), NETWORKDAYS(F85, TODAY(),fESTIVOS!$A$1:$A$18), NETWORKDAYS(F85, H85, fESTIVOS!$A$1:$A$18))</f>
        <v>12</v>
      </c>
      <c r="J85" s="445"/>
      <c r="K85" s="445"/>
      <c r="L85" s="668" t="s">
        <v>3261</v>
      </c>
      <c r="M85" s="403"/>
      <c r="N85" s="403"/>
      <c r="O85" s="403"/>
      <c r="P85" s="403"/>
      <c r="Q85" s="403"/>
      <c r="R85" s="403"/>
      <c r="S85" s="403"/>
      <c r="T85" s="403"/>
      <c r="U85" s="403"/>
      <c r="V85" s="403"/>
      <c r="W85" s="403"/>
      <c r="X85" s="403"/>
      <c r="Y85" s="403"/>
      <c r="Z85" s="403"/>
      <c r="AA85" s="448"/>
      <c r="AB85" s="448"/>
      <c r="AC85" s="448"/>
      <c r="AD85" s="448"/>
      <c r="AE85" s="448"/>
      <c r="AF85" s="448"/>
      <c r="AG85" s="448"/>
    </row>
    <row r="86" ht="15.75" customHeight="1">
      <c r="A86" s="720" t="s">
        <v>2823</v>
      </c>
      <c r="B86" s="721" t="s">
        <v>3262</v>
      </c>
      <c r="C86" s="722" t="s">
        <v>3263</v>
      </c>
      <c r="D86" s="697" t="s">
        <v>3210</v>
      </c>
      <c r="E86" s="723">
        <v>45569.0</v>
      </c>
      <c r="F86" s="723">
        <v>45572.0</v>
      </c>
      <c r="G86" s="723">
        <v>0.0</v>
      </c>
      <c r="H86" s="723">
        <v>45581.0</v>
      </c>
      <c r="I86" s="724">
        <f>IF(ISBLANK(H86), NETWORKDAYS(F86, TODAY(),fESTIVOS!$A$1:$A$18), NETWORKDAYS(F86, H86, fESTIVOS!$A$1:$A$18))</f>
        <v>7</v>
      </c>
      <c r="J86" s="723">
        <v>45587.0</v>
      </c>
      <c r="K86" s="723">
        <v>45609.0</v>
      </c>
      <c r="L86" s="725" t="s">
        <v>3264</v>
      </c>
      <c r="M86" s="403"/>
      <c r="N86" s="403"/>
      <c r="O86" s="403"/>
      <c r="P86" s="403"/>
      <c r="Q86" s="403"/>
      <c r="R86" s="403"/>
      <c r="S86" s="403"/>
      <c r="T86" s="403"/>
      <c r="U86" s="403"/>
      <c r="V86" s="403"/>
      <c r="W86" s="403"/>
      <c r="X86" s="403"/>
      <c r="Y86" s="403"/>
      <c r="Z86" s="403"/>
    </row>
    <row r="87" ht="15.75" customHeight="1">
      <c r="A87" s="426" t="s">
        <v>2831</v>
      </c>
      <c r="B87" s="426" t="s">
        <v>3265</v>
      </c>
      <c r="C87" s="441"/>
      <c r="D87" s="441" t="s">
        <v>76</v>
      </c>
      <c r="E87" s="427">
        <v>45596.0</v>
      </c>
      <c r="F87" s="427">
        <v>45596.0</v>
      </c>
      <c r="G87" s="426"/>
      <c r="H87" s="427">
        <v>45608.0</v>
      </c>
      <c r="I87" s="423">
        <f>IF(ISBLANK(H87), NETWORKDAYS(F87, TODAY(),fESTIVOS!$A$1:$A$18), NETWORKDAYS(F87, H87, fESTIVOS!$A$1:$A$18))</f>
        <v>7</v>
      </c>
      <c r="J87" s="441"/>
      <c r="K87" s="441"/>
      <c r="L87" s="726" t="s">
        <v>3266</v>
      </c>
      <c r="M87" s="638"/>
      <c r="N87" s="403"/>
      <c r="O87" s="403"/>
      <c r="P87" s="403"/>
      <c r="Q87" s="403"/>
      <c r="R87" s="403"/>
      <c r="S87" s="403"/>
      <c r="T87" s="403"/>
      <c r="U87" s="403"/>
      <c r="V87" s="403"/>
      <c r="W87" s="403"/>
      <c r="X87" s="403"/>
      <c r="Y87" s="403"/>
      <c r="Z87" s="403"/>
      <c r="AA87" s="448"/>
      <c r="AB87" s="448"/>
      <c r="AC87" s="448"/>
      <c r="AD87" s="448"/>
      <c r="AE87" s="448"/>
      <c r="AF87" s="448"/>
      <c r="AG87" s="448"/>
    </row>
    <row r="88" ht="15.75" customHeight="1">
      <c r="A88" s="664" t="s">
        <v>2831</v>
      </c>
      <c r="B88" s="720" t="s">
        <v>3267</v>
      </c>
      <c r="C88" s="727" t="s">
        <v>3268</v>
      </c>
      <c r="D88" s="720" t="s">
        <v>76</v>
      </c>
      <c r="E88" s="728">
        <v>45601.0</v>
      </c>
      <c r="F88" s="728">
        <v>45601.0</v>
      </c>
      <c r="G88" s="442"/>
      <c r="H88" s="728">
        <v>45608.0</v>
      </c>
      <c r="I88" s="423">
        <f>IF(ISBLANK(H88), NETWORKDAYS(F88, TODAY(),fESTIVOS!$A$1:$A$18), NETWORKDAYS(F88, H88, fESTIVOS!$A$1:$A$18))</f>
        <v>5</v>
      </c>
      <c r="J88" s="720"/>
      <c r="K88" s="720"/>
      <c r="L88" s="729" t="s">
        <v>3269</v>
      </c>
      <c r="M88" s="638"/>
      <c r="N88" s="403"/>
      <c r="O88" s="403"/>
      <c r="P88" s="403"/>
      <c r="Q88" s="403"/>
      <c r="R88" s="403"/>
      <c r="S88" s="403"/>
      <c r="T88" s="403"/>
      <c r="U88" s="403"/>
      <c r="V88" s="403"/>
      <c r="W88" s="403"/>
      <c r="X88" s="403"/>
      <c r="Y88" s="403"/>
      <c r="Z88" s="403"/>
      <c r="AA88" s="448"/>
      <c r="AB88" s="448"/>
      <c r="AC88" s="448"/>
      <c r="AD88" s="448"/>
      <c r="AE88" s="448"/>
      <c r="AF88" s="448"/>
      <c r="AG88" s="448"/>
    </row>
    <row r="89" ht="15.0" customHeight="1">
      <c r="A89" s="637" t="s">
        <v>3089</v>
      </c>
      <c r="B89" s="412" t="s">
        <v>3270</v>
      </c>
      <c r="C89" s="412" t="s">
        <v>3271</v>
      </c>
      <c r="D89" s="635" t="s">
        <v>76</v>
      </c>
      <c r="E89" s="413">
        <v>45608.0</v>
      </c>
      <c r="F89" s="413">
        <v>45608.0</v>
      </c>
      <c r="G89" s="413"/>
      <c r="H89" s="413">
        <v>45609.0</v>
      </c>
      <c r="I89" s="415">
        <f>IF(ISBLANK(H89), NETWORKDAYS(F89, TODAY(),fESTIVOS!$A$1:$A$18), NETWORKDAYS(F89, H89, fESTIVOS!$A$1:$A$18))</f>
        <v>2</v>
      </c>
      <c r="J89" s="413"/>
      <c r="K89" s="413">
        <v>45609.0</v>
      </c>
      <c r="L89" s="416"/>
    </row>
    <row r="90" ht="15.75" customHeight="1">
      <c r="A90" s="637" t="s">
        <v>3089</v>
      </c>
      <c r="B90" s="620" t="s">
        <v>3220</v>
      </c>
      <c r="C90" s="451" t="s">
        <v>3272</v>
      </c>
      <c r="D90" s="414" t="s">
        <v>76</v>
      </c>
      <c r="E90" s="413">
        <v>45602.0</v>
      </c>
      <c r="F90" s="730">
        <v>45602.0</v>
      </c>
      <c r="G90" s="731"/>
      <c r="H90" s="732">
        <v>45603.0</v>
      </c>
      <c r="I90" s="415">
        <f>IF(ISBLANK(H90), NETWORKDAYS(F90, TODAY(),fESTIVOS!$A$1:$A$18), NETWORKDAYS(F90, H90, fESTIVOS!$A$1:$A$18))</f>
        <v>2</v>
      </c>
      <c r="J90" s="731"/>
      <c r="K90" s="731"/>
      <c r="L90" s="633" t="s">
        <v>3273</v>
      </c>
    </row>
    <row r="91" ht="15.75" customHeight="1">
      <c r="A91" s="402" t="s">
        <v>2816</v>
      </c>
      <c r="B91" s="733" t="s">
        <v>3274</v>
      </c>
      <c r="C91" s="621"/>
      <c r="D91" s="635" t="s">
        <v>3210</v>
      </c>
      <c r="E91" s="413">
        <v>45336.0</v>
      </c>
      <c r="F91" s="413">
        <v>45336.0</v>
      </c>
      <c r="G91" s="413"/>
      <c r="H91" s="413">
        <v>45470.0</v>
      </c>
      <c r="I91" s="415">
        <f>IF(ISBLANK(H91), NETWORKDAYS(F91, TODAY(),fESTIVOS!$A$1:$A$18), NETWORKDAYS(F91, H91, fESTIVOS!$A$1:$A$18))</f>
        <v>90</v>
      </c>
      <c r="J91" s="413">
        <v>45470.0</v>
      </c>
      <c r="K91" s="413">
        <v>45610.0</v>
      </c>
      <c r="L91" s="636" t="s">
        <v>3275</v>
      </c>
      <c r="M91" s="403"/>
      <c r="N91" s="403"/>
      <c r="O91" s="403"/>
      <c r="P91" s="403"/>
      <c r="Q91" s="403"/>
      <c r="R91" s="403"/>
      <c r="S91" s="403"/>
      <c r="T91" s="403"/>
      <c r="U91" s="403"/>
      <c r="V91" s="403"/>
      <c r="W91" s="403"/>
      <c r="X91" s="403"/>
      <c r="Y91" s="403"/>
      <c r="Z91" s="403"/>
    </row>
    <row r="92" ht="15.75" customHeight="1">
      <c r="A92" s="426" t="s">
        <v>2831</v>
      </c>
      <c r="B92" s="669" t="s">
        <v>3276</v>
      </c>
      <c r="C92" s="666" t="s">
        <v>3277</v>
      </c>
      <c r="D92" s="420" t="s">
        <v>3213</v>
      </c>
      <c r="E92" s="445">
        <v>45545.0</v>
      </c>
      <c r="F92" s="445">
        <v>45546.0</v>
      </c>
      <c r="G92" s="445"/>
      <c r="H92" s="445">
        <v>45609.0</v>
      </c>
      <c r="I92" s="423">
        <f>IF(ISBLANK(H92), NETWORKDAYS(F92, TODAY(),fESTIVOS!$A$1:$A$18), NETWORKDAYS(F92, H92, fESTIVOS!$A$1:$A$18))</f>
        <v>43</v>
      </c>
      <c r="J92" s="445">
        <v>45609.0</v>
      </c>
      <c r="K92" s="445">
        <v>45610.0</v>
      </c>
      <c r="L92" s="668" t="s">
        <v>3278</v>
      </c>
      <c r="M92" s="403"/>
      <c r="N92" s="403"/>
      <c r="O92" s="403"/>
      <c r="P92" s="403"/>
      <c r="Q92" s="403"/>
      <c r="R92" s="403"/>
      <c r="S92" s="403"/>
      <c r="T92" s="403"/>
      <c r="U92" s="403"/>
      <c r="V92" s="403"/>
      <c r="W92" s="403"/>
      <c r="X92" s="403"/>
      <c r="Y92" s="403"/>
      <c r="Z92" s="403"/>
    </row>
    <row r="93" ht="15.75" customHeight="1">
      <c r="A93" s="637" t="s">
        <v>3089</v>
      </c>
      <c r="B93" s="412" t="s">
        <v>3270</v>
      </c>
      <c r="C93" s="412" t="s">
        <v>3279</v>
      </c>
      <c r="D93" s="635" t="s">
        <v>3213</v>
      </c>
      <c r="E93" s="413">
        <v>45610.0</v>
      </c>
      <c r="F93" s="413">
        <v>45610.0</v>
      </c>
      <c r="G93" s="413"/>
      <c r="H93" s="414"/>
      <c r="I93" s="647">
        <f>IF(ISBLANK(H93), NETWORKDAYS(F93, TODAY(),fESTIVOS!$A$1:$A$18), NETWORKDAYS(F93, H93, fESTIVOS!$A$1:$A$18))</f>
        <v>413</v>
      </c>
      <c r="J93" s="413"/>
      <c r="K93" s="413">
        <v>45611.0</v>
      </c>
      <c r="L93" s="416" t="s">
        <v>3280</v>
      </c>
      <c r="M93" s="638"/>
      <c r="N93" s="403"/>
      <c r="O93" s="403"/>
      <c r="P93" s="403"/>
      <c r="Q93" s="403"/>
      <c r="R93" s="403"/>
      <c r="S93" s="403"/>
      <c r="T93" s="403"/>
      <c r="U93" s="403"/>
      <c r="V93" s="403"/>
      <c r="W93" s="403"/>
      <c r="X93" s="403"/>
      <c r="Y93" s="403"/>
      <c r="Z93" s="403"/>
      <c r="AA93" s="448"/>
      <c r="AB93" s="448"/>
      <c r="AC93" s="448"/>
      <c r="AD93" s="448"/>
      <c r="AE93" s="448"/>
      <c r="AF93" s="448"/>
      <c r="AG93" s="448"/>
    </row>
    <row r="94" ht="15.75" customHeight="1">
      <c r="A94" s="426" t="s">
        <v>2831</v>
      </c>
      <c r="B94" s="734" t="s">
        <v>3281</v>
      </c>
      <c r="C94" s="435"/>
      <c r="D94" s="435" t="s">
        <v>76</v>
      </c>
      <c r="E94" s="735">
        <v>45615.0</v>
      </c>
      <c r="F94" s="735">
        <v>45615.0</v>
      </c>
      <c r="G94" s="734"/>
      <c r="H94" s="735">
        <v>45615.0</v>
      </c>
      <c r="I94" s="423">
        <f>IF(ISBLANK(H94), NETWORKDAYS(F94, TODAY(),fESTIVOS!$A$1:$A$18), NETWORKDAYS(F94, H94, fESTIVOS!$A$1:$A$18))</f>
        <v>1</v>
      </c>
      <c r="J94" s="435"/>
      <c r="K94" s="435"/>
      <c r="L94" s="736" t="s">
        <v>3282</v>
      </c>
      <c r="M94" s="737"/>
      <c r="N94" s="738"/>
      <c r="O94" s="738"/>
      <c r="P94" s="738"/>
      <c r="Q94" s="738"/>
      <c r="R94" s="738"/>
      <c r="S94" s="738"/>
      <c r="T94" s="738"/>
      <c r="U94" s="738"/>
      <c r="V94" s="738"/>
      <c r="W94" s="738"/>
      <c r="X94" s="738"/>
      <c r="Y94" s="738"/>
      <c r="Z94" s="738"/>
      <c r="AA94" s="739"/>
      <c r="AB94" s="739"/>
      <c r="AC94" s="739"/>
      <c r="AD94" s="739"/>
      <c r="AE94" s="739"/>
      <c r="AF94" s="739"/>
      <c r="AG94" s="739"/>
    </row>
    <row r="95" ht="15.75" customHeight="1">
      <c r="A95" s="637" t="s">
        <v>3089</v>
      </c>
      <c r="B95" s="412" t="s">
        <v>3270</v>
      </c>
      <c r="C95" s="451" t="s">
        <v>3283</v>
      </c>
      <c r="D95" s="635" t="s">
        <v>76</v>
      </c>
      <c r="E95" s="413">
        <v>45610.0</v>
      </c>
      <c r="F95" s="413">
        <v>45610.0</v>
      </c>
      <c r="G95" s="413"/>
      <c r="H95" s="413">
        <v>45610.0</v>
      </c>
      <c r="I95" s="647">
        <f>IF(ISBLANK(H95), NETWORKDAYS(F95, TODAY(),fESTIVOS!$A$1:$A$18), NETWORKDAYS(F95, H95, fESTIVOS!$A$1:$A$18))</f>
        <v>1</v>
      </c>
      <c r="J95" s="413"/>
      <c r="K95" s="413"/>
      <c r="L95" s="416"/>
      <c r="M95" s="638"/>
      <c r="N95" s="403"/>
      <c r="O95" s="403"/>
      <c r="P95" s="403"/>
      <c r="Q95" s="403"/>
      <c r="R95" s="403"/>
      <c r="S95" s="403"/>
      <c r="T95" s="403"/>
      <c r="U95" s="403"/>
      <c r="V95" s="403"/>
      <c r="W95" s="403"/>
      <c r="X95" s="403"/>
      <c r="Y95" s="403"/>
      <c r="Z95" s="403"/>
      <c r="AA95" s="448"/>
      <c r="AB95" s="448"/>
      <c r="AC95" s="448"/>
      <c r="AD95" s="448"/>
      <c r="AE95" s="448"/>
      <c r="AF95" s="448"/>
      <c r="AG95" s="448"/>
    </row>
    <row r="96" ht="15.75" customHeight="1">
      <c r="A96" s="637" t="s">
        <v>3089</v>
      </c>
      <c r="B96" s="412" t="s">
        <v>3270</v>
      </c>
      <c r="C96" s="412" t="s">
        <v>3284</v>
      </c>
      <c r="D96" s="635" t="s">
        <v>76</v>
      </c>
      <c r="E96" s="413">
        <v>45609.0</v>
      </c>
      <c r="F96" s="413">
        <v>45609.0</v>
      </c>
      <c r="G96" s="413"/>
      <c r="H96" s="413">
        <v>45610.0</v>
      </c>
      <c r="I96" s="415">
        <f>IF(ISBLANK(H96), NETWORKDAYS(F96, TODAY(),fESTIVOS!$A$1:$A$18), NETWORKDAYS(F96, H96, fESTIVOS!$A$1:$A$18))</f>
        <v>2</v>
      </c>
      <c r="J96" s="413"/>
      <c r="K96" s="413"/>
      <c r="L96" s="416" t="s">
        <v>3285</v>
      </c>
      <c r="M96" s="638"/>
      <c r="N96" s="403"/>
      <c r="O96" s="403"/>
      <c r="P96" s="403"/>
      <c r="Q96" s="403"/>
      <c r="R96" s="403"/>
      <c r="S96" s="403"/>
      <c r="T96" s="403"/>
      <c r="U96" s="403"/>
      <c r="V96" s="403"/>
      <c r="W96" s="403"/>
      <c r="X96" s="403"/>
      <c r="Y96" s="403"/>
      <c r="Z96" s="403"/>
      <c r="AA96" s="448"/>
      <c r="AB96" s="448"/>
      <c r="AC96" s="448"/>
      <c r="AD96" s="448"/>
      <c r="AE96" s="448"/>
      <c r="AF96" s="448"/>
      <c r="AG96" s="448"/>
    </row>
    <row r="97" ht="15.75" customHeight="1">
      <c r="A97" s="637" t="s">
        <v>3089</v>
      </c>
      <c r="B97" s="637" t="s">
        <v>3286</v>
      </c>
      <c r="C97" s="412"/>
      <c r="D97" s="635" t="s">
        <v>76</v>
      </c>
      <c r="E97" s="413">
        <v>45615.0</v>
      </c>
      <c r="F97" s="413">
        <v>45615.0</v>
      </c>
      <c r="G97" s="413"/>
      <c r="H97" s="413">
        <v>45615.0</v>
      </c>
      <c r="I97" s="415">
        <f>IF(ISBLANK(H97), NETWORKDAYS(F97, TODAY(),fESTIVOS!$A$1:$A$18), NETWORKDAYS(F97, H97, fESTIVOS!$A$1:$A$18))</f>
        <v>1</v>
      </c>
      <c r="J97" s="413"/>
      <c r="K97" s="413"/>
      <c r="L97" s="416" t="s">
        <v>3287</v>
      </c>
      <c r="M97" s="638"/>
      <c r="N97" s="403"/>
      <c r="O97" s="403"/>
      <c r="P97" s="403"/>
      <c r="Q97" s="403"/>
      <c r="R97" s="403"/>
      <c r="S97" s="403"/>
      <c r="T97" s="403"/>
      <c r="U97" s="403"/>
      <c r="V97" s="403"/>
      <c r="W97" s="403"/>
      <c r="X97" s="403"/>
      <c r="Y97" s="403"/>
      <c r="Z97" s="403"/>
      <c r="AA97" s="448"/>
      <c r="AB97" s="448"/>
      <c r="AC97" s="448"/>
      <c r="AD97" s="448"/>
      <c r="AE97" s="448"/>
      <c r="AF97" s="448"/>
      <c r="AG97" s="448"/>
    </row>
    <row r="98" ht="15.75" customHeight="1">
      <c r="A98" s="426" t="s">
        <v>2831</v>
      </c>
      <c r="B98" s="441" t="s">
        <v>3270</v>
      </c>
      <c r="C98" s="669" t="s">
        <v>3288</v>
      </c>
      <c r="D98" s="441" t="s">
        <v>76</v>
      </c>
      <c r="E98" s="427">
        <v>45610.0</v>
      </c>
      <c r="F98" s="427">
        <v>45610.0</v>
      </c>
      <c r="G98" s="426"/>
      <c r="H98" s="427">
        <v>45610.0</v>
      </c>
      <c r="I98" s="423">
        <f>IF(ISBLANK(H98), NETWORKDAYS(F98, TODAY(),fESTIVOS!$A$1:$A$18), NETWORKDAYS(F98, H98, fESTIVOS!$A$1:$A$18))</f>
        <v>1</v>
      </c>
      <c r="J98" s="441"/>
      <c r="K98" s="441"/>
      <c r="L98" s="726" t="s">
        <v>3289</v>
      </c>
      <c r="M98" s="638"/>
      <c r="N98" s="403"/>
      <c r="O98" s="403"/>
      <c r="P98" s="403"/>
      <c r="Q98" s="403"/>
      <c r="R98" s="403"/>
      <c r="S98" s="403"/>
      <c r="T98" s="403"/>
      <c r="U98" s="403"/>
      <c r="V98" s="403"/>
      <c r="W98" s="403"/>
      <c r="X98" s="403"/>
      <c r="Y98" s="403"/>
      <c r="Z98" s="403"/>
    </row>
    <row r="99" ht="15.75" customHeight="1">
      <c r="A99" s="426" t="s">
        <v>2831</v>
      </c>
      <c r="B99" s="720" t="s">
        <v>3290</v>
      </c>
      <c r="C99" s="697" t="s">
        <v>3291</v>
      </c>
      <c r="D99" s="441" t="s">
        <v>76</v>
      </c>
      <c r="E99" s="427">
        <v>45614.0</v>
      </c>
      <c r="F99" s="427">
        <v>45614.0</v>
      </c>
      <c r="G99" s="426"/>
      <c r="H99" s="427">
        <v>45618.0</v>
      </c>
      <c r="I99" s="423">
        <f>IF(ISBLANK(H99), NETWORKDAYS(F99, TODAY(),fESTIVOS!$A$1:$A$18), NETWORKDAYS(F99, H99, fESTIVOS!$A$1:$A$18))</f>
        <v>5</v>
      </c>
      <c r="J99" s="441"/>
      <c r="K99" s="441"/>
      <c r="L99" s="726" t="s">
        <v>3292</v>
      </c>
      <c r="M99" s="638"/>
      <c r="N99" s="403"/>
      <c r="O99" s="403"/>
      <c r="P99" s="403"/>
      <c r="Q99" s="403"/>
      <c r="R99" s="403"/>
      <c r="S99" s="403"/>
      <c r="T99" s="403"/>
      <c r="U99" s="403"/>
      <c r="V99" s="403"/>
      <c r="W99" s="403"/>
      <c r="X99" s="403"/>
      <c r="Y99" s="403"/>
      <c r="Z99" s="403"/>
    </row>
    <row r="100" ht="15.75" customHeight="1">
      <c r="A100" s="740" t="s">
        <v>2816</v>
      </c>
      <c r="B100" s="640" t="s">
        <v>3293</v>
      </c>
      <c r="C100" s="402"/>
      <c r="D100" s="635" t="s">
        <v>3210</v>
      </c>
      <c r="E100" s="413">
        <v>45621.0</v>
      </c>
      <c r="F100" s="413">
        <v>45621.0</v>
      </c>
      <c r="G100" s="741"/>
      <c r="H100" s="413">
        <v>45621.0</v>
      </c>
      <c r="I100" s="742">
        <f>IF(ISBLANK(H100), NETWORKDAYS(F100, TODAY(),fESTIVOS!$A$1:$A$18), NETWORKDAYS(F100, H100, fESTIVOS!$A$1:$A$18))</f>
        <v>1</v>
      </c>
      <c r="J100" s="413">
        <v>45621.0</v>
      </c>
      <c r="K100" s="743">
        <v>45621.0</v>
      </c>
      <c r="L100" s="636" t="s">
        <v>3294</v>
      </c>
      <c r="M100" s="403"/>
      <c r="N100" s="403"/>
      <c r="O100" s="403"/>
      <c r="P100" s="403"/>
      <c r="Q100" s="403"/>
      <c r="R100" s="403"/>
      <c r="S100" s="403"/>
      <c r="T100" s="403"/>
      <c r="U100" s="403"/>
      <c r="V100" s="403"/>
      <c r="W100" s="403"/>
      <c r="X100" s="403"/>
      <c r="Y100" s="403"/>
      <c r="Z100" s="403"/>
    </row>
    <row r="101" ht="15.75" customHeight="1">
      <c r="A101" s="740" t="s">
        <v>2816</v>
      </c>
      <c r="B101" s="744" t="s">
        <v>3295</v>
      </c>
      <c r="C101" s="745" t="s">
        <v>3296</v>
      </c>
      <c r="D101" s="746" t="s">
        <v>76</v>
      </c>
      <c r="E101" s="747">
        <v>45610.0</v>
      </c>
      <c r="F101" s="747">
        <v>45610.0</v>
      </c>
      <c r="G101" s="748"/>
      <c r="H101" s="749">
        <v>45622.0</v>
      </c>
      <c r="I101" s="742">
        <f>IF(ISBLANK(H101), NETWORKDAYS(F101, TODAY(),fESTIVOS!$A$1:$A$18), NETWORKDAYS(F101, H101, fESTIVOS!$A$1:$A$18))</f>
        <v>9</v>
      </c>
      <c r="J101" s="749"/>
      <c r="K101" s="749"/>
      <c r="L101" s="750" t="s">
        <v>3297</v>
      </c>
      <c r="M101" s="403"/>
      <c r="N101" s="403"/>
      <c r="O101" s="403"/>
      <c r="P101" s="403"/>
      <c r="Q101" s="403"/>
      <c r="R101" s="403"/>
      <c r="S101" s="403"/>
      <c r="T101" s="403"/>
      <c r="U101" s="403"/>
      <c r="V101" s="403"/>
      <c r="W101" s="403"/>
      <c r="X101" s="403"/>
      <c r="Y101" s="403"/>
      <c r="Z101" s="403"/>
    </row>
    <row r="102" ht="15.75" customHeight="1">
      <c r="A102" s="740" t="s">
        <v>2816</v>
      </c>
      <c r="B102" s="744" t="s">
        <v>3295</v>
      </c>
      <c r="C102" s="745" t="s">
        <v>3298</v>
      </c>
      <c r="D102" s="746" t="s">
        <v>3299</v>
      </c>
      <c r="E102" s="747">
        <v>45610.0</v>
      </c>
      <c r="F102" s="747"/>
      <c r="G102" s="748"/>
      <c r="H102" s="740">
        <v>0.0</v>
      </c>
      <c r="I102" s="742">
        <f>IF(ISBLANK(H102), NETWORKDAYS(F102, TODAY(),fESTIVOS!$A$1:$A$18), NETWORKDAYS(F102, H102, fESTIVOS!$A$1:$A$18))</f>
        <v>0</v>
      </c>
      <c r="J102" s="749"/>
      <c r="K102" s="749"/>
      <c r="L102" s="750" t="s">
        <v>3300</v>
      </c>
      <c r="M102" s="403"/>
      <c r="N102" s="403"/>
      <c r="O102" s="403"/>
      <c r="P102" s="403"/>
      <c r="Q102" s="403"/>
      <c r="R102" s="403"/>
      <c r="S102" s="403"/>
      <c r="T102" s="403"/>
      <c r="U102" s="403"/>
      <c r="V102" s="403"/>
      <c r="W102" s="403"/>
      <c r="X102" s="403"/>
      <c r="Y102" s="403"/>
      <c r="Z102" s="403"/>
    </row>
    <row r="103" ht="15.75" customHeight="1">
      <c r="A103" s="402" t="s">
        <v>3301</v>
      </c>
      <c r="B103" s="631" t="s">
        <v>3302</v>
      </c>
      <c r="C103" s="621"/>
      <c r="D103" s="414" t="s">
        <v>76</v>
      </c>
      <c r="E103" s="413">
        <v>45611.0</v>
      </c>
      <c r="F103" s="413">
        <v>45616.0</v>
      </c>
      <c r="G103" s="413"/>
      <c r="H103" s="413">
        <v>45616.0</v>
      </c>
      <c r="I103" s="415">
        <f>IF(ISBLANK(H103), NETWORKDAYS(F103, TODAY(),fESTIVOS!$A$1:$A$18), NETWORKDAYS(F103, H103, fESTIVOS!$A$1:$A$18))</f>
        <v>1</v>
      </c>
      <c r="J103" s="413"/>
      <c r="K103" s="413"/>
      <c r="L103" s="416" t="s">
        <v>3303</v>
      </c>
      <c r="M103" s="638"/>
      <c r="N103" s="403"/>
      <c r="O103" s="403"/>
      <c r="P103" s="403"/>
      <c r="Q103" s="403"/>
      <c r="R103" s="403"/>
      <c r="S103" s="403"/>
      <c r="T103" s="403"/>
      <c r="U103" s="403"/>
      <c r="V103" s="403"/>
      <c r="W103" s="403"/>
      <c r="X103" s="403"/>
      <c r="Y103" s="403"/>
      <c r="Z103" s="403"/>
    </row>
    <row r="104" ht="15.75" customHeight="1">
      <c r="A104" s="442" t="s">
        <v>2823</v>
      </c>
      <c r="B104" s="665" t="s">
        <v>3304</v>
      </c>
      <c r="C104" s="751" t="s">
        <v>3305</v>
      </c>
      <c r="D104" s="697" t="s">
        <v>3210</v>
      </c>
      <c r="E104" s="723">
        <v>45603.0</v>
      </c>
      <c r="F104" s="723">
        <v>45603.0</v>
      </c>
      <c r="G104" s="723">
        <v>45603.0</v>
      </c>
      <c r="H104" s="723">
        <v>45621.0</v>
      </c>
      <c r="I104" s="724">
        <f>IF(ISBLANK(H104), NETWORKDAYS(F104, TODAY(),fESTIVOS!$A$1:$A$18), NETWORKDAYS(F104, H104, fESTIVOS!$A$1:$A$18))</f>
        <v>12</v>
      </c>
      <c r="J104" s="723">
        <v>45621.0</v>
      </c>
      <c r="K104" s="723">
        <v>45622.0</v>
      </c>
      <c r="L104" s="725" t="s">
        <v>3306</v>
      </c>
      <c r="M104" s="403"/>
      <c r="N104" s="403"/>
      <c r="O104" s="403"/>
      <c r="P104" s="403"/>
      <c r="Q104" s="403"/>
      <c r="R104" s="403"/>
      <c r="S104" s="403"/>
      <c r="T104" s="403"/>
      <c r="U104" s="403"/>
      <c r="V104" s="403"/>
      <c r="W104" s="403"/>
      <c r="X104" s="403"/>
      <c r="Y104" s="403"/>
      <c r="Z104" s="403"/>
    </row>
    <row r="105" ht="15.75" customHeight="1">
      <c r="A105" s="740" t="s">
        <v>2816</v>
      </c>
      <c r="B105" s="752" t="s">
        <v>3295</v>
      </c>
      <c r="C105" s="745" t="s">
        <v>3307</v>
      </c>
      <c r="D105" s="753" t="s">
        <v>3210</v>
      </c>
      <c r="E105" s="747">
        <v>45610.0</v>
      </c>
      <c r="F105" s="747">
        <v>45610.0</v>
      </c>
      <c r="G105" s="748">
        <v>45611.0</v>
      </c>
      <c r="H105" s="754">
        <v>45621.0</v>
      </c>
      <c r="I105" s="742">
        <f>IF(ISBLANK(H105), NETWORKDAYS(F105, TODAY(),fESTIVOS!$A$1:$A$18), NETWORKDAYS(F105, H105, fESTIVOS!$A$1:$A$18))</f>
        <v>8</v>
      </c>
      <c r="J105" s="749">
        <v>45621.0</v>
      </c>
      <c r="K105" s="749">
        <v>45624.0</v>
      </c>
      <c r="L105" s="750" t="s">
        <v>3308</v>
      </c>
      <c r="M105" s="403"/>
      <c r="N105" s="403"/>
      <c r="O105" s="403"/>
      <c r="P105" s="403"/>
      <c r="Q105" s="403"/>
      <c r="R105" s="403"/>
      <c r="S105" s="403"/>
      <c r="T105" s="403"/>
      <c r="U105" s="403"/>
      <c r="V105" s="403"/>
      <c r="W105" s="403"/>
      <c r="X105" s="403"/>
      <c r="Y105" s="403"/>
      <c r="Z105" s="403"/>
    </row>
    <row r="106" ht="15.75" customHeight="1">
      <c r="A106" s="637" t="s">
        <v>3089</v>
      </c>
      <c r="B106" s="755" t="s">
        <v>3109</v>
      </c>
      <c r="C106" s="635" t="s">
        <v>3309</v>
      </c>
      <c r="D106" s="635" t="s">
        <v>3310</v>
      </c>
      <c r="E106" s="413">
        <v>45593.0</v>
      </c>
      <c r="F106" s="413">
        <v>45593.0</v>
      </c>
      <c r="G106" s="413"/>
      <c r="H106" s="413"/>
      <c r="I106" s="415">
        <f>IF(ISBLANK(H106), NETWORKDAYS(F106, TODAY(),fESTIVOS!$A$1:$A$18), NETWORKDAYS(F106, H106, fESTIVOS!$A$1:$A$18))</f>
        <v>424</v>
      </c>
      <c r="J106" s="413">
        <v>45611.0</v>
      </c>
      <c r="K106" s="413">
        <v>45611.0</v>
      </c>
      <c r="L106" s="416" t="s">
        <v>3311</v>
      </c>
      <c r="M106" s="638"/>
      <c r="N106" s="403"/>
      <c r="O106" s="403"/>
      <c r="P106" s="403"/>
      <c r="Q106" s="403"/>
      <c r="R106" s="403"/>
      <c r="S106" s="403"/>
      <c r="T106" s="403"/>
      <c r="U106" s="403"/>
      <c r="V106" s="403"/>
      <c r="W106" s="403"/>
      <c r="X106" s="403"/>
      <c r="Y106" s="403"/>
      <c r="Z106" s="403"/>
    </row>
    <row r="107" ht="15.75" customHeight="1">
      <c r="A107" s="426" t="s">
        <v>2831</v>
      </c>
      <c r="B107" s="664" t="s">
        <v>3312</v>
      </c>
      <c r="C107" s="441"/>
      <c r="D107" s="756" t="s">
        <v>76</v>
      </c>
      <c r="E107" s="445">
        <v>45623.0</v>
      </c>
      <c r="F107" s="427">
        <v>45623.0</v>
      </c>
      <c r="G107" s="426"/>
      <c r="H107" s="427">
        <v>45625.0</v>
      </c>
      <c r="I107" s="423">
        <f>IF(ISBLANK(H107), NETWORKDAYS(F107, TODAY(),fESTIVOS!$A$1:$A$18), NETWORKDAYS(F107, H107, fESTIVOS!$A$1:$A$18))</f>
        <v>3</v>
      </c>
      <c r="J107" s="427">
        <v>45625.0</v>
      </c>
      <c r="K107" s="441"/>
      <c r="L107" s="726" t="s">
        <v>3313</v>
      </c>
      <c r="M107" s="638"/>
      <c r="N107" s="403"/>
      <c r="O107" s="403"/>
      <c r="P107" s="403"/>
      <c r="Q107" s="403"/>
      <c r="R107" s="403"/>
      <c r="S107" s="403"/>
      <c r="T107" s="403"/>
      <c r="U107" s="403"/>
      <c r="V107" s="403"/>
      <c r="W107" s="403"/>
      <c r="X107" s="403"/>
      <c r="Y107" s="403"/>
      <c r="Z107" s="403"/>
    </row>
    <row r="108" ht="15.75" customHeight="1">
      <c r="A108" s="757" t="s">
        <v>2816</v>
      </c>
      <c r="B108" s="744" t="s">
        <v>3314</v>
      </c>
      <c r="C108" s="758"/>
      <c r="D108" s="759" t="s">
        <v>3210</v>
      </c>
      <c r="E108" s="760">
        <v>45624.0</v>
      </c>
      <c r="F108" s="760">
        <v>45625.0</v>
      </c>
      <c r="G108" s="748"/>
      <c r="H108" s="747">
        <v>45625.0</v>
      </c>
      <c r="I108" s="742">
        <f>IF(ISBLANK(H108), NETWORKDAYS(F108, TODAY(),fESTIVOS!$A$1:$A$18), NETWORKDAYS(F108, H108, fESTIVOS!$A$1:$A$18))</f>
        <v>1</v>
      </c>
      <c r="J108" s="747">
        <v>45625.0</v>
      </c>
      <c r="K108" s="747">
        <v>45625.0</v>
      </c>
      <c r="L108" s="750" t="s">
        <v>3315</v>
      </c>
      <c r="M108" s="403"/>
      <c r="N108" s="403"/>
      <c r="O108" s="403"/>
      <c r="P108" s="403"/>
      <c r="Q108" s="403"/>
      <c r="R108" s="403"/>
      <c r="S108" s="403"/>
      <c r="T108" s="403"/>
      <c r="U108" s="403"/>
      <c r="V108" s="403"/>
      <c r="W108" s="403"/>
      <c r="X108" s="403"/>
      <c r="Y108" s="403"/>
      <c r="Z108" s="403"/>
    </row>
    <row r="109" ht="15.75" customHeight="1">
      <c r="A109" s="441" t="s">
        <v>2823</v>
      </c>
      <c r="B109" s="761" t="s">
        <v>3316</v>
      </c>
      <c r="C109" s="666" t="s">
        <v>3317</v>
      </c>
      <c r="D109" s="420" t="s">
        <v>3165</v>
      </c>
      <c r="E109" s="445">
        <v>45618.0</v>
      </c>
      <c r="F109" s="445">
        <v>45618.0</v>
      </c>
      <c r="G109" s="762"/>
      <c r="H109" s="445">
        <v>45625.0</v>
      </c>
      <c r="I109" s="423">
        <f>IF(ISBLANK(H109), NETWORKDAYS(F109, TODAY(),fESTIVOS!$A$1:$A$18), NETWORKDAYS(F109, H109, fESTIVOS!$A$1:$A$18))</f>
        <v>6</v>
      </c>
      <c r="J109" s="445">
        <v>45625.0</v>
      </c>
      <c r="K109" s="445">
        <v>45625.0</v>
      </c>
      <c r="L109" s="763" t="s">
        <v>3318</v>
      </c>
      <c r="M109" s="403"/>
      <c r="N109" s="403"/>
      <c r="O109" s="403"/>
      <c r="P109" s="403"/>
      <c r="Q109" s="403"/>
      <c r="R109" s="403"/>
      <c r="S109" s="403"/>
      <c r="T109" s="403"/>
      <c r="U109" s="403"/>
      <c r="V109" s="403"/>
      <c r="W109" s="403"/>
      <c r="X109" s="403"/>
      <c r="Y109" s="403"/>
      <c r="Z109" s="403"/>
    </row>
    <row r="110" ht="15.75" customHeight="1">
      <c r="A110" s="764" t="s">
        <v>3089</v>
      </c>
      <c r="B110" s="622" t="s">
        <v>3319</v>
      </c>
      <c r="C110" s="709" t="s">
        <v>3320</v>
      </c>
      <c r="D110" s="659" t="s">
        <v>3321</v>
      </c>
      <c r="E110" s="683">
        <v>45616.0</v>
      </c>
      <c r="F110" s="683">
        <v>45616.0</v>
      </c>
      <c r="G110" s="683"/>
      <c r="H110" s="651"/>
      <c r="I110" s="628">
        <f>IF(ISBLANK(H110), NETWORKDAYS(F110, TODAY(),fESTIVOS!$A$1:$A$18), NETWORKDAYS(F110, H110, fESTIVOS!$A$1:$A$18))</f>
        <v>409</v>
      </c>
      <c r="J110" s="683"/>
      <c r="K110" s="683"/>
      <c r="L110" s="684" t="s">
        <v>3322</v>
      </c>
      <c r="M110" s="638"/>
      <c r="N110" s="403"/>
      <c r="O110" s="403"/>
      <c r="P110" s="403"/>
      <c r="Q110" s="403"/>
      <c r="R110" s="403"/>
      <c r="S110" s="403"/>
      <c r="T110" s="403"/>
      <c r="U110" s="403"/>
      <c r="V110" s="403"/>
      <c r="W110" s="403"/>
      <c r="X110" s="403"/>
      <c r="Y110" s="403"/>
      <c r="Z110" s="403"/>
    </row>
    <row r="111" ht="15.75" customHeight="1">
      <c r="A111" s="637" t="s">
        <v>3089</v>
      </c>
      <c r="B111" s="412" t="s">
        <v>3270</v>
      </c>
      <c r="C111" s="765" t="s">
        <v>3323</v>
      </c>
      <c r="D111" s="635" t="s">
        <v>3210</v>
      </c>
      <c r="E111" s="732">
        <v>45616.0</v>
      </c>
      <c r="F111" s="766">
        <v>45617.0</v>
      </c>
      <c r="G111" s="731"/>
      <c r="H111" s="413">
        <v>45618.0</v>
      </c>
      <c r="I111" s="415">
        <f>IF(ISBLANK(H111), NETWORKDAYS(F111, TODAY(),fESTIVOS!$A$1:$A$18), NETWORKDAYS(F111, H111, fESTIVOS!$A$1:$A$18))</f>
        <v>2</v>
      </c>
      <c r="J111" s="413">
        <v>45618.0</v>
      </c>
      <c r="K111" s="732">
        <v>45630.0</v>
      </c>
      <c r="L111" s="767" t="s">
        <v>3324</v>
      </c>
    </row>
    <row r="112" ht="15.75" customHeight="1">
      <c r="A112" s="637" t="s">
        <v>3089</v>
      </c>
      <c r="B112" s="412" t="s">
        <v>3270</v>
      </c>
      <c r="C112" s="765" t="s">
        <v>3325</v>
      </c>
      <c r="D112" s="635" t="s">
        <v>3210</v>
      </c>
      <c r="E112" s="732">
        <v>45618.0</v>
      </c>
      <c r="F112" s="766">
        <v>45618.0</v>
      </c>
      <c r="G112" s="731"/>
      <c r="H112" s="766">
        <v>45618.0</v>
      </c>
      <c r="I112" s="415">
        <f>IF(ISBLANK(H112), NETWORKDAYS(F112, TODAY(),fESTIVOS!$A$1:$A$18), NETWORKDAYS(F112, H112, fESTIVOS!$A$1:$A$18))</f>
        <v>1</v>
      </c>
      <c r="J112" s="766">
        <v>45618.0</v>
      </c>
      <c r="K112" s="732">
        <v>45630.0</v>
      </c>
      <c r="L112" s="767" t="s">
        <v>3326</v>
      </c>
    </row>
    <row r="113" ht="15.75" customHeight="1">
      <c r="A113" s="637" t="s">
        <v>3089</v>
      </c>
      <c r="B113" s="412" t="s">
        <v>3270</v>
      </c>
      <c r="C113" s="715" t="s">
        <v>3327</v>
      </c>
      <c r="D113" s="635" t="s">
        <v>3210</v>
      </c>
      <c r="E113" s="732">
        <v>45616.0</v>
      </c>
      <c r="F113" s="766">
        <v>45616.0</v>
      </c>
      <c r="G113" s="731"/>
      <c r="H113" s="413">
        <v>45618.0</v>
      </c>
      <c r="I113" s="415">
        <f>IF(ISBLANK(H113), NETWORKDAYS(F113, TODAY(),fESTIVOS!$A$1:$A$18), NETWORKDAYS(F113, H113, fESTIVOS!$A$1:$A$18))</f>
        <v>3</v>
      </c>
      <c r="J113" s="413">
        <v>45618.0</v>
      </c>
      <c r="K113" s="732">
        <v>45630.0</v>
      </c>
      <c r="L113" s="671" t="s">
        <v>3328</v>
      </c>
    </row>
    <row r="114" ht="15.75" customHeight="1">
      <c r="A114" s="426" t="s">
        <v>2831</v>
      </c>
      <c r="B114" s="768" t="s">
        <v>3329</v>
      </c>
      <c r="C114" s="720"/>
      <c r="D114" s="720" t="s">
        <v>76</v>
      </c>
      <c r="E114" s="728">
        <v>45629.0</v>
      </c>
      <c r="F114" s="728">
        <v>45629.0</v>
      </c>
      <c r="G114" s="442"/>
      <c r="H114" s="728">
        <v>45629.0</v>
      </c>
      <c r="I114" s="423">
        <f>IF(ISBLANK(H114), NETWORKDAYS(F114, TODAY(),fESTIVOS!$A$1:$A$18), NETWORKDAYS(F114, H114, fESTIVOS!$A$1:$A$18))</f>
        <v>1</v>
      </c>
      <c r="J114" s="720"/>
      <c r="K114" s="728">
        <v>45630.0</v>
      </c>
      <c r="L114" s="769" t="s">
        <v>3330</v>
      </c>
      <c r="M114" s="638"/>
      <c r="N114" s="403"/>
      <c r="O114" s="403"/>
      <c r="P114" s="403"/>
      <c r="Q114" s="403"/>
      <c r="R114" s="403"/>
      <c r="S114" s="403"/>
      <c r="T114" s="403"/>
      <c r="U114" s="403"/>
      <c r="V114" s="403"/>
      <c r="W114" s="403"/>
      <c r="X114" s="403"/>
      <c r="Y114" s="403"/>
      <c r="Z114" s="403"/>
      <c r="AA114" s="448"/>
      <c r="AB114" s="448"/>
      <c r="AC114" s="448"/>
      <c r="AD114" s="448"/>
      <c r="AE114" s="448"/>
      <c r="AF114" s="448"/>
      <c r="AG114" s="448"/>
    </row>
    <row r="115" ht="15.75" customHeight="1">
      <c r="A115" s="637" t="s">
        <v>3089</v>
      </c>
      <c r="B115" s="637" t="s">
        <v>3331</v>
      </c>
      <c r="C115" s="412"/>
      <c r="D115" s="635" t="s">
        <v>3210</v>
      </c>
      <c r="E115" s="413">
        <v>45628.0</v>
      </c>
      <c r="F115" s="413">
        <v>45630.0</v>
      </c>
      <c r="G115" s="413"/>
      <c r="H115" s="413">
        <v>45631.0</v>
      </c>
      <c r="I115" s="415">
        <f>IF(ISBLANK(H115), NETWORKDAYS(F115, TODAY(),fESTIVOS!$A$1:$A$18), NETWORKDAYS(F115, H115, fESTIVOS!$A$1:$A$18))</f>
        <v>2</v>
      </c>
      <c r="J115" s="413"/>
      <c r="K115" s="413">
        <v>45631.0</v>
      </c>
      <c r="L115" s="416" t="s">
        <v>3332</v>
      </c>
      <c r="M115" s="638"/>
      <c r="N115" s="403"/>
      <c r="O115" s="403"/>
      <c r="P115" s="403"/>
      <c r="Q115" s="403"/>
      <c r="R115" s="403"/>
      <c r="S115" s="403"/>
      <c r="T115" s="403"/>
      <c r="U115" s="403"/>
      <c r="V115" s="403"/>
      <c r="W115" s="403"/>
      <c r="X115" s="403"/>
      <c r="Y115" s="403"/>
      <c r="Z115" s="403"/>
    </row>
    <row r="116" ht="15.75" customHeight="1">
      <c r="A116" s="426" t="s">
        <v>2831</v>
      </c>
      <c r="B116" s="770" t="s">
        <v>3333</v>
      </c>
      <c r="C116" s="720"/>
      <c r="D116" s="720" t="s">
        <v>76</v>
      </c>
      <c r="E116" s="728">
        <v>45628.0</v>
      </c>
      <c r="F116" s="728">
        <v>45630.0</v>
      </c>
      <c r="G116" s="442"/>
      <c r="H116" s="728">
        <v>45632.0</v>
      </c>
      <c r="I116" s="423">
        <f>IF(ISBLANK(H116), NETWORKDAYS(F116, TODAY(),fESTIVOS!$A$1:$A$18), NETWORKDAYS(F116, H116, fESTIVOS!$A$1:$A$18))</f>
        <v>3</v>
      </c>
      <c r="J116" s="720"/>
      <c r="K116" s="720"/>
      <c r="L116" s="729" t="s">
        <v>3334</v>
      </c>
      <c r="M116" s="638"/>
      <c r="N116" s="403"/>
      <c r="O116" s="403"/>
      <c r="P116" s="403"/>
      <c r="Q116" s="403"/>
      <c r="R116" s="403"/>
      <c r="S116" s="403"/>
      <c r="T116" s="403"/>
      <c r="U116" s="403"/>
      <c r="V116" s="403"/>
      <c r="W116" s="403"/>
      <c r="X116" s="403"/>
      <c r="Y116" s="403"/>
      <c r="Z116" s="403"/>
      <c r="AA116" s="448"/>
      <c r="AB116" s="448"/>
      <c r="AC116" s="448"/>
      <c r="AD116" s="448"/>
      <c r="AE116" s="448"/>
      <c r="AF116" s="448"/>
      <c r="AG116" s="448"/>
    </row>
    <row r="117" ht="15.75" customHeight="1">
      <c r="A117" s="426" t="s">
        <v>2831</v>
      </c>
      <c r="B117" s="770" t="s">
        <v>3335</v>
      </c>
      <c r="C117" s="720"/>
      <c r="D117" s="720" t="s">
        <v>76</v>
      </c>
      <c r="E117" s="728">
        <v>45635.0</v>
      </c>
      <c r="F117" s="728">
        <v>45635.0</v>
      </c>
      <c r="G117" s="442"/>
      <c r="H117" s="728">
        <v>45635.0</v>
      </c>
      <c r="I117" s="423">
        <f>IF(ISBLANK(H117), NETWORKDAYS(F117, TODAY(),fESTIVOS!$A$1:$A$18), NETWORKDAYS(F117, H117, fESTIVOS!$A$1:$A$18))</f>
        <v>1</v>
      </c>
      <c r="J117" s="728">
        <v>45635.0</v>
      </c>
      <c r="K117" s="720"/>
      <c r="L117" s="729"/>
      <c r="M117" s="638"/>
      <c r="N117" s="403"/>
      <c r="O117" s="403"/>
      <c r="P117" s="403"/>
      <c r="Q117" s="403"/>
      <c r="R117" s="403"/>
      <c r="S117" s="403"/>
      <c r="T117" s="403"/>
      <c r="U117" s="403"/>
      <c r="V117" s="403"/>
      <c r="W117" s="403"/>
      <c r="X117" s="403"/>
      <c r="Y117" s="403"/>
      <c r="Z117" s="403"/>
      <c r="AA117" s="448"/>
      <c r="AB117" s="448"/>
      <c r="AC117" s="448"/>
      <c r="AD117" s="448"/>
      <c r="AE117" s="448"/>
      <c r="AF117" s="448"/>
      <c r="AG117" s="448"/>
    </row>
    <row r="118" ht="15.75" customHeight="1">
      <c r="A118" s="441" t="s">
        <v>2841</v>
      </c>
      <c r="B118" s="418" t="s">
        <v>3336</v>
      </c>
      <c r="C118" s="771"/>
      <c r="D118" s="667" t="s">
        <v>76</v>
      </c>
      <c r="E118" s="445">
        <v>45630.0</v>
      </c>
      <c r="F118" s="445">
        <v>45631.0</v>
      </c>
      <c r="G118" s="679"/>
      <c r="H118" s="680">
        <v>45635.0</v>
      </c>
      <c r="I118" s="772">
        <f>IF(ISBLANK(H118), NETWORKDAYS(F118, TODAY(),fESTIVOS!$A$1:$A$18), NETWORKDAYS(F118, H118, fESTIVOS!$A$1:$A$18))</f>
        <v>3</v>
      </c>
      <c r="J118" s="680"/>
      <c r="K118" s="680"/>
      <c r="L118" s="773" t="s">
        <v>3337</v>
      </c>
      <c r="M118" s="638"/>
      <c r="N118" s="403"/>
      <c r="O118" s="403"/>
      <c r="P118" s="403"/>
      <c r="Q118" s="403"/>
      <c r="R118" s="403"/>
      <c r="S118" s="403"/>
      <c r="T118" s="403"/>
      <c r="U118" s="403"/>
      <c r="V118" s="403"/>
      <c r="W118" s="403"/>
      <c r="X118" s="403"/>
      <c r="Y118" s="403"/>
      <c r="Z118" s="403"/>
    </row>
    <row r="119" ht="15.75" customHeight="1">
      <c r="A119" s="426" t="s">
        <v>2831</v>
      </c>
      <c r="B119" s="426" t="s">
        <v>3338</v>
      </c>
      <c r="C119" s="441"/>
      <c r="D119" s="441" t="s">
        <v>76</v>
      </c>
      <c r="E119" s="427">
        <v>45635.0</v>
      </c>
      <c r="F119" s="427">
        <v>45636.0</v>
      </c>
      <c r="G119" s="426"/>
      <c r="H119" s="427">
        <v>45636.0</v>
      </c>
      <c r="I119" s="423">
        <f>IF(ISBLANK(H119), NETWORKDAYS(F119, TODAY(),fESTIVOS!$A$1:$A$18), NETWORKDAYS(F119, H119, fESTIVOS!$A$1:$A$18))</f>
        <v>1</v>
      </c>
      <c r="J119" s="441"/>
      <c r="K119" s="427">
        <v>45636.0</v>
      </c>
      <c r="L119" s="726" t="s">
        <v>3339</v>
      </c>
      <c r="M119" s="638"/>
      <c r="N119" s="403"/>
      <c r="O119" s="403"/>
      <c r="P119" s="403"/>
      <c r="Q119" s="403"/>
      <c r="R119" s="403"/>
      <c r="S119" s="403"/>
      <c r="T119" s="403"/>
      <c r="U119" s="403"/>
      <c r="V119" s="403"/>
      <c r="W119" s="403"/>
      <c r="X119" s="403"/>
      <c r="Y119" s="403"/>
      <c r="Z119" s="403"/>
      <c r="AA119" s="448"/>
      <c r="AB119" s="448"/>
      <c r="AC119" s="448"/>
      <c r="AD119" s="448"/>
      <c r="AE119" s="448"/>
      <c r="AF119" s="448"/>
      <c r="AG119" s="448"/>
    </row>
    <row r="120" ht="15.75" customHeight="1">
      <c r="A120" s="441" t="s">
        <v>2841</v>
      </c>
      <c r="B120" s="774" t="s">
        <v>3340</v>
      </c>
      <c r="C120" s="771"/>
      <c r="D120" s="420" t="s">
        <v>3210</v>
      </c>
      <c r="E120" s="445">
        <v>45631.0</v>
      </c>
      <c r="F120" s="445">
        <v>45635.0</v>
      </c>
      <c r="G120" s="445"/>
      <c r="H120" s="445">
        <v>45636.0</v>
      </c>
      <c r="I120" s="423">
        <f>IF(ISBLANK(H120), NETWORKDAYS(F120, TODAY(),fESTIVOS!$A$1:$A$18), NETWORKDAYS(F120, H120, fESTIVOS!$A$1:$A$18))</f>
        <v>2</v>
      </c>
      <c r="J120" s="445"/>
      <c r="K120" s="445"/>
      <c r="L120" s="763" t="s">
        <v>3341</v>
      </c>
      <c r="M120" s="638"/>
      <c r="N120" s="403"/>
      <c r="O120" s="403"/>
      <c r="P120" s="403"/>
      <c r="Q120" s="403"/>
      <c r="R120" s="403"/>
      <c r="S120" s="403"/>
      <c r="T120" s="403"/>
      <c r="U120" s="403"/>
      <c r="V120" s="403"/>
      <c r="W120" s="403"/>
      <c r="X120" s="403"/>
      <c r="Y120" s="403"/>
      <c r="Z120" s="403"/>
    </row>
    <row r="121" ht="15.75" customHeight="1">
      <c r="A121" s="402" t="s">
        <v>2816</v>
      </c>
      <c r="B121" s="640" t="s">
        <v>3342</v>
      </c>
      <c r="C121" s="740"/>
      <c r="D121" s="746" t="s">
        <v>76</v>
      </c>
      <c r="E121" s="747">
        <v>45632.0</v>
      </c>
      <c r="F121" s="747">
        <v>45632.0</v>
      </c>
      <c r="G121" s="748"/>
      <c r="H121" s="749">
        <v>45637.0</v>
      </c>
      <c r="I121" s="415">
        <f>IF(ISBLANK(H121), NETWORKDAYS(F121, TODAY(),fESTIVOS!$A$1:$A$18), NETWORKDAYS(F121, H121, fESTIVOS!$A$1:$A$18))</f>
        <v>4</v>
      </c>
      <c r="J121" s="749"/>
      <c r="K121" s="749">
        <v>45636.0</v>
      </c>
      <c r="L121" s="750" t="s">
        <v>3343</v>
      </c>
      <c r="M121" s="775"/>
      <c r="N121" s="775"/>
      <c r="O121" s="775"/>
      <c r="P121" s="775"/>
      <c r="Q121" s="775"/>
      <c r="R121" s="775"/>
      <c r="S121" s="775"/>
      <c r="T121" s="775"/>
      <c r="U121" s="775"/>
      <c r="V121" s="775"/>
      <c r="W121" s="775"/>
      <c r="X121" s="775"/>
      <c r="Y121" s="775"/>
      <c r="Z121" s="775"/>
      <c r="AA121" s="776"/>
      <c r="AB121" s="776"/>
      <c r="AC121" s="776"/>
      <c r="AD121" s="776"/>
      <c r="AE121" s="776"/>
      <c r="AF121" s="776"/>
      <c r="AG121" s="776"/>
    </row>
    <row r="122" ht="15.75" customHeight="1">
      <c r="A122" s="402" t="s">
        <v>2816</v>
      </c>
      <c r="B122" s="587"/>
      <c r="C122" s="619" t="s">
        <v>3344</v>
      </c>
      <c r="D122" s="746" t="s">
        <v>76</v>
      </c>
      <c r="E122" s="747">
        <v>45637.0</v>
      </c>
      <c r="F122" s="747">
        <v>45638.0</v>
      </c>
      <c r="G122" s="748"/>
      <c r="H122" s="743">
        <v>45639.0</v>
      </c>
      <c r="I122" s="415">
        <f>IF(ISBLANK(H122), NETWORKDAYS(F122, TODAY(),fESTIVOS!$A$1:$A$18), NETWORKDAYS(F122, H122, fESTIVOS!$A$1:$A$18))</f>
        <v>2</v>
      </c>
      <c r="J122" s="749"/>
      <c r="K122" s="749"/>
      <c r="L122" s="750" t="s">
        <v>3345</v>
      </c>
      <c r="M122" s="775"/>
      <c r="N122" s="775"/>
      <c r="O122" s="775"/>
      <c r="P122" s="775"/>
      <c r="Q122" s="775"/>
      <c r="R122" s="775"/>
      <c r="S122" s="775"/>
      <c r="T122" s="775"/>
      <c r="U122" s="775"/>
      <c r="V122" s="775"/>
      <c r="W122" s="775"/>
      <c r="X122" s="775"/>
      <c r="Y122" s="775"/>
      <c r="Z122" s="775"/>
      <c r="AA122" s="776"/>
      <c r="AB122" s="776"/>
      <c r="AC122" s="776"/>
      <c r="AD122" s="776"/>
      <c r="AE122" s="776"/>
      <c r="AF122" s="776"/>
      <c r="AG122" s="776"/>
    </row>
    <row r="123" ht="15.75" customHeight="1">
      <c r="A123" s="442" t="s">
        <v>2823</v>
      </c>
      <c r="B123" s="777" t="s">
        <v>3346</v>
      </c>
      <c r="C123" s="778" t="s">
        <v>3347</v>
      </c>
      <c r="D123" s="667" t="s">
        <v>3210</v>
      </c>
      <c r="E123" s="723">
        <v>45636.0</v>
      </c>
      <c r="F123" s="723">
        <v>45636.0</v>
      </c>
      <c r="G123" s="723"/>
      <c r="H123" s="723"/>
      <c r="I123" s="724">
        <f>IF(ISBLANK(H123), NETWORKDAYS(F123, TODAY(),fESTIVOS!$A$1:$A$18), NETWORKDAYS(F123, H123, fESTIVOS!$A$1:$A$18))</f>
        <v>395</v>
      </c>
      <c r="J123" s="779">
        <v>45637.0</v>
      </c>
      <c r="K123" s="723">
        <v>45638.0</v>
      </c>
      <c r="L123" s="725" t="s">
        <v>3348</v>
      </c>
      <c r="M123" s="403"/>
      <c r="N123" s="403"/>
      <c r="O123" s="403"/>
      <c r="P123" s="403"/>
      <c r="Q123" s="403"/>
      <c r="R123" s="403"/>
      <c r="S123" s="403"/>
      <c r="T123" s="403"/>
      <c r="U123" s="403"/>
      <c r="V123" s="403"/>
      <c r="W123" s="403"/>
      <c r="X123" s="403"/>
      <c r="Y123" s="403"/>
      <c r="Z123" s="403"/>
    </row>
    <row r="124" ht="15.75" customHeight="1">
      <c r="A124" s="426" t="s">
        <v>2823</v>
      </c>
      <c r="B124" s="436" t="s">
        <v>3349</v>
      </c>
      <c r="C124" s="444" t="s">
        <v>3350</v>
      </c>
      <c r="D124" s="667" t="s">
        <v>76</v>
      </c>
      <c r="E124" s="445">
        <v>45636.0</v>
      </c>
      <c r="F124" s="445">
        <v>45636.0</v>
      </c>
      <c r="G124" s="445"/>
      <c r="H124" s="445">
        <v>45638.0</v>
      </c>
      <c r="I124" s="423">
        <f>IF(ISBLANK(H124), NETWORKDAYS(F124, TODAY(),fESTIVOS!$A$1:$A$18), NETWORKDAYS(F124, H124, fESTIVOS!$A$1:$A$18))</f>
        <v>3</v>
      </c>
      <c r="J124" s="445">
        <v>45638.0</v>
      </c>
      <c r="K124" s="445">
        <v>45638.0</v>
      </c>
      <c r="L124" s="668" t="s">
        <v>3351</v>
      </c>
      <c r="M124" s="403"/>
      <c r="N124" s="403"/>
      <c r="O124" s="403"/>
      <c r="P124" s="403"/>
      <c r="Q124" s="403"/>
      <c r="R124" s="403"/>
      <c r="S124" s="403"/>
      <c r="T124" s="403"/>
      <c r="U124" s="403"/>
      <c r="V124" s="403"/>
      <c r="W124" s="403"/>
      <c r="X124" s="403"/>
      <c r="Y124" s="403"/>
      <c r="Z124" s="403"/>
    </row>
    <row r="125" ht="15.75" customHeight="1">
      <c r="A125" s="640" t="s">
        <v>3089</v>
      </c>
      <c r="B125" s="620" t="s">
        <v>3220</v>
      </c>
      <c r="C125" s="780" t="s">
        <v>3352</v>
      </c>
      <c r="D125" s="645" t="s">
        <v>76</v>
      </c>
      <c r="E125" s="714">
        <v>45630.0</v>
      </c>
      <c r="F125" s="714">
        <v>45631.0</v>
      </c>
      <c r="G125" s="646"/>
      <c r="H125" s="646">
        <v>45632.0</v>
      </c>
      <c r="I125" s="647">
        <f>IF(ISBLANK(H125), NETWORKDAYS(F125, TODAY(),fESTIVOS!$A$1:$A$18), NETWORKDAYS(F125, H125, fESTIVOS!$A$1:$A$18))</f>
        <v>2</v>
      </c>
      <c r="J125" s="406"/>
      <c r="K125" s="646">
        <v>45632.0</v>
      </c>
      <c r="L125" s="674"/>
      <c r="M125" s="673"/>
      <c r="N125" s="409"/>
      <c r="O125" s="409"/>
      <c r="P125" s="409"/>
      <c r="Q125" s="409"/>
      <c r="R125" s="409"/>
      <c r="S125" s="409"/>
      <c r="T125" s="409"/>
      <c r="U125" s="409"/>
      <c r="V125" s="409"/>
      <c r="W125" s="409"/>
      <c r="X125" s="409"/>
      <c r="Y125" s="409"/>
      <c r="Z125" s="409"/>
    </row>
    <row r="126" ht="15.75" customHeight="1">
      <c r="A126" s="637" t="s">
        <v>3089</v>
      </c>
      <c r="B126" s="620" t="s">
        <v>3220</v>
      </c>
      <c r="C126" s="781" t="s">
        <v>3353</v>
      </c>
      <c r="D126" s="713" t="s">
        <v>216</v>
      </c>
      <c r="E126" s="714">
        <v>45631.0</v>
      </c>
      <c r="F126" s="646">
        <v>45631.0</v>
      </c>
      <c r="G126" s="646"/>
      <c r="H126" s="645"/>
      <c r="I126" s="415">
        <f>IF(ISBLANK(H126), NETWORKDAYS(F126, TODAY(),fESTIVOS!$A$1:$A$18), NETWORKDAYS(F126, H126, fESTIVOS!$A$1:$A$18))</f>
        <v>398</v>
      </c>
      <c r="J126" s="406"/>
      <c r="K126" s="406"/>
      <c r="L126" s="782"/>
      <c r="M126" s="673"/>
      <c r="N126" s="409"/>
      <c r="O126" s="409"/>
      <c r="P126" s="409"/>
      <c r="Q126" s="409"/>
      <c r="R126" s="409"/>
      <c r="S126" s="409"/>
      <c r="T126" s="409"/>
      <c r="U126" s="409"/>
      <c r="V126" s="409"/>
      <c r="W126" s="409"/>
      <c r="X126" s="409"/>
      <c r="Y126" s="409"/>
      <c r="Z126" s="409"/>
    </row>
    <row r="127" ht="15.75" customHeight="1">
      <c r="A127" s="740" t="s">
        <v>2816</v>
      </c>
      <c r="B127" s="758" t="s">
        <v>3354</v>
      </c>
      <c r="C127" s="745" t="s">
        <v>3355</v>
      </c>
      <c r="D127" s="746" t="s">
        <v>76</v>
      </c>
      <c r="E127" s="747">
        <v>45642.0</v>
      </c>
      <c r="F127" s="747">
        <v>45642.0</v>
      </c>
      <c r="G127" s="748"/>
      <c r="H127" s="749">
        <v>45643.0</v>
      </c>
      <c r="I127" s="742">
        <f>IF(ISBLANK(H127), NETWORKDAYS(F127, TODAY(),fESTIVOS!$A$1:$A$18), NETWORKDAYS(F127, H127, fESTIVOS!$A$1:$A$18))</f>
        <v>2</v>
      </c>
      <c r="J127" s="749"/>
      <c r="K127" s="749">
        <v>45643.0</v>
      </c>
      <c r="L127" s="750"/>
      <c r="M127" s="775"/>
      <c r="N127" s="775"/>
      <c r="O127" s="775"/>
      <c r="P127" s="775"/>
      <c r="Q127" s="775"/>
      <c r="R127" s="775"/>
      <c r="S127" s="775"/>
      <c r="T127" s="775"/>
      <c r="U127" s="775"/>
      <c r="V127" s="775"/>
      <c r="W127" s="775"/>
      <c r="X127" s="775"/>
      <c r="Y127" s="775"/>
      <c r="Z127" s="775"/>
      <c r="AA127" s="776"/>
      <c r="AB127" s="776"/>
      <c r="AC127" s="776"/>
      <c r="AD127" s="776"/>
      <c r="AE127" s="776"/>
      <c r="AF127" s="776"/>
      <c r="AG127" s="776"/>
    </row>
    <row r="128" ht="15.75" customHeight="1">
      <c r="A128" s="740" t="s">
        <v>2816</v>
      </c>
      <c r="B128" s="758" t="s">
        <v>3356</v>
      </c>
      <c r="C128" s="745"/>
      <c r="D128" s="746" t="s">
        <v>76</v>
      </c>
      <c r="E128" s="747">
        <v>45642.0</v>
      </c>
      <c r="F128" s="747">
        <v>45642.0</v>
      </c>
      <c r="G128" s="748"/>
      <c r="H128" s="749">
        <v>45643.0</v>
      </c>
      <c r="I128" s="742">
        <f>IF(ISBLANK(H128), NETWORKDAYS(F128, TODAY(),fESTIVOS!$A$1:$A$18), NETWORKDAYS(F128, H128, fESTIVOS!$A$1:$A$18))</f>
        <v>2</v>
      </c>
      <c r="J128" s="749"/>
      <c r="K128" s="749">
        <v>45643.0</v>
      </c>
      <c r="L128" s="750"/>
      <c r="M128" s="775"/>
      <c r="N128" s="775"/>
      <c r="O128" s="775"/>
      <c r="P128" s="775"/>
      <c r="Q128" s="775"/>
      <c r="R128" s="775"/>
      <c r="S128" s="775"/>
      <c r="T128" s="775"/>
      <c r="U128" s="775"/>
      <c r="V128" s="775"/>
      <c r="W128" s="775"/>
      <c r="X128" s="775"/>
      <c r="Y128" s="775"/>
      <c r="Z128" s="775"/>
      <c r="AA128" s="776"/>
      <c r="AB128" s="776"/>
      <c r="AC128" s="776"/>
      <c r="AD128" s="776"/>
      <c r="AE128" s="776"/>
      <c r="AF128" s="776"/>
      <c r="AG128" s="776"/>
    </row>
    <row r="129" ht="15.75" customHeight="1">
      <c r="A129" s="640" t="s">
        <v>3089</v>
      </c>
      <c r="B129" s="620"/>
      <c r="C129" s="782" t="s">
        <v>3357</v>
      </c>
      <c r="D129" s="645" t="s">
        <v>76</v>
      </c>
      <c r="E129" s="714">
        <v>45643.0</v>
      </c>
      <c r="F129" s="714">
        <v>45643.0</v>
      </c>
      <c r="G129" s="646"/>
      <c r="H129" s="714">
        <v>45643.0</v>
      </c>
      <c r="I129" s="647">
        <f>IF(ISBLANK(H129), NETWORKDAYS(F129, TODAY(),fESTIVOS!$A$1:$A$18), NETWORKDAYS(F129, H129, fESTIVOS!$A$1:$A$18))</f>
        <v>1</v>
      </c>
      <c r="J129" s="646"/>
      <c r="K129" s="646"/>
      <c r="L129" s="674"/>
      <c r="M129" s="673"/>
      <c r="N129" s="409"/>
      <c r="O129" s="409"/>
      <c r="P129" s="409"/>
      <c r="Q129" s="409"/>
      <c r="R129" s="409"/>
      <c r="S129" s="409"/>
      <c r="T129" s="409"/>
      <c r="U129" s="409"/>
      <c r="V129" s="409"/>
      <c r="W129" s="409"/>
      <c r="X129" s="409"/>
      <c r="Y129" s="409"/>
      <c r="Z129" s="409"/>
    </row>
    <row r="130" ht="15.75" customHeight="1">
      <c r="A130" s="426" t="s">
        <v>2831</v>
      </c>
      <c r="B130" s="426" t="s">
        <v>3358</v>
      </c>
      <c r="C130" s="441"/>
      <c r="D130" s="441" t="s">
        <v>76</v>
      </c>
      <c r="E130" s="427">
        <v>45643.0</v>
      </c>
      <c r="F130" s="427">
        <v>45644.0</v>
      </c>
      <c r="G130" s="426"/>
      <c r="H130" s="427">
        <v>45644.0</v>
      </c>
      <c r="I130" s="423">
        <f>IF(ISBLANK(H130), NETWORKDAYS(F130, TODAY(),fESTIVOS!$A$1:$A$18), NETWORKDAYS(F130, H130, fESTIVOS!$A$1:$A$18))</f>
        <v>1</v>
      </c>
      <c r="J130" s="427">
        <v>45644.0</v>
      </c>
      <c r="K130" s="441"/>
      <c r="L130" s="726"/>
      <c r="M130" s="638"/>
      <c r="N130" s="403"/>
      <c r="O130" s="403"/>
      <c r="P130" s="403"/>
      <c r="Q130" s="403"/>
      <c r="R130" s="403"/>
      <c r="S130" s="403"/>
      <c r="T130" s="403"/>
      <c r="U130" s="403"/>
      <c r="V130" s="403"/>
      <c r="W130" s="403"/>
      <c r="X130" s="403"/>
      <c r="Y130" s="403"/>
      <c r="Z130" s="403"/>
      <c r="AA130" s="448"/>
      <c r="AB130" s="448"/>
      <c r="AC130" s="448"/>
      <c r="AD130" s="448"/>
      <c r="AE130" s="448"/>
      <c r="AF130" s="448"/>
      <c r="AG130" s="448"/>
    </row>
    <row r="131" ht="15.75" customHeight="1">
      <c r="A131" s="783" t="s">
        <v>2831</v>
      </c>
      <c r="B131" s="449" t="s">
        <v>3359</v>
      </c>
      <c r="C131" s="784" t="s">
        <v>3360</v>
      </c>
      <c r="D131" s="785" t="s">
        <v>76</v>
      </c>
      <c r="E131" s="680">
        <v>45631.0</v>
      </c>
      <c r="F131" s="680">
        <v>45631.0</v>
      </c>
      <c r="G131" s="680"/>
      <c r="H131" s="680">
        <v>45632.0</v>
      </c>
      <c r="I131" s="772">
        <f>IF(ISBLANK(H131), NETWORKDAYS(F131, TODAY(),fESTIVOS!$A$1:$A$18), NETWORKDAYS(F131, H131, fESTIVOS!$A$1:$A$18))</f>
        <v>2</v>
      </c>
      <c r="J131" s="680"/>
      <c r="K131" s="680">
        <v>45632.0</v>
      </c>
      <c r="L131" s="681" t="s">
        <v>3361</v>
      </c>
      <c r="M131" s="403"/>
      <c r="N131" s="403"/>
      <c r="O131" s="403"/>
      <c r="P131" s="403"/>
      <c r="Q131" s="403"/>
      <c r="R131" s="403"/>
      <c r="S131" s="403"/>
      <c r="T131" s="403"/>
      <c r="U131" s="403"/>
      <c r="V131" s="403"/>
      <c r="W131" s="403"/>
      <c r="X131" s="403"/>
      <c r="Y131" s="403"/>
      <c r="Z131" s="403"/>
    </row>
    <row r="132" ht="15.75" customHeight="1">
      <c r="A132" s="664" t="s">
        <v>2831</v>
      </c>
      <c r="B132" s="442" t="s">
        <v>3362</v>
      </c>
      <c r="C132" s="444" t="s">
        <v>3363</v>
      </c>
      <c r="D132" s="441" t="s">
        <v>76</v>
      </c>
      <c r="E132" s="445">
        <v>45631.0</v>
      </c>
      <c r="F132" s="445">
        <v>45631.0</v>
      </c>
      <c r="G132" s="445"/>
      <c r="H132" s="445">
        <v>45632.0</v>
      </c>
      <c r="I132" s="772">
        <f>IF(ISBLANK(H132), NETWORKDAYS(F132, TODAY(),fESTIVOS!$A$1:$A$18), NETWORKDAYS(F132, H132, fESTIVOS!$A$1:$A$18))</f>
        <v>2</v>
      </c>
      <c r="J132" s="445"/>
      <c r="K132" s="445">
        <v>45632.0</v>
      </c>
      <c r="L132" s="668" t="s">
        <v>3361</v>
      </c>
      <c r="M132" s="403"/>
      <c r="N132" s="403"/>
      <c r="O132" s="403"/>
      <c r="P132" s="403"/>
      <c r="Q132" s="403"/>
      <c r="R132" s="403"/>
      <c r="S132" s="403"/>
      <c r="T132" s="403"/>
      <c r="U132" s="403"/>
      <c r="V132" s="403"/>
      <c r="W132" s="403"/>
      <c r="X132" s="403"/>
      <c r="Y132" s="403"/>
      <c r="Z132" s="403"/>
    </row>
    <row r="133" ht="15.75" customHeight="1">
      <c r="A133" s="786" t="s">
        <v>2831</v>
      </c>
      <c r="B133" s="442" t="s">
        <v>3362</v>
      </c>
      <c r="C133" s="751" t="s">
        <v>3364</v>
      </c>
      <c r="D133" s="441" t="s">
        <v>76</v>
      </c>
      <c r="E133" s="445">
        <v>45631.0</v>
      </c>
      <c r="F133" s="445">
        <v>45631.0</v>
      </c>
      <c r="G133" s="723"/>
      <c r="H133" s="445">
        <v>45632.0</v>
      </c>
      <c r="I133" s="772">
        <f>IF(ISBLANK(H133), NETWORKDAYS(F133, TODAY(),fESTIVOS!$A$1:$A$18), NETWORKDAYS(F133, H133, fESTIVOS!$A$1:$A$18))</f>
        <v>2</v>
      </c>
      <c r="J133" s="723"/>
      <c r="K133" s="445">
        <v>45632.0</v>
      </c>
      <c r="L133" s="668" t="s">
        <v>3361</v>
      </c>
      <c r="M133" s="403"/>
      <c r="N133" s="403"/>
      <c r="O133" s="403"/>
      <c r="P133" s="403"/>
      <c r="Q133" s="403"/>
      <c r="R133" s="403"/>
      <c r="S133" s="403"/>
      <c r="T133" s="403"/>
      <c r="U133" s="403"/>
      <c r="V133" s="403"/>
      <c r="W133" s="403"/>
      <c r="X133" s="403"/>
      <c r="Y133" s="403"/>
      <c r="Z133" s="403"/>
    </row>
    <row r="134" ht="15.75" customHeight="1">
      <c r="A134" s="426" t="s">
        <v>2831</v>
      </c>
      <c r="B134" s="426" t="s">
        <v>3365</v>
      </c>
      <c r="C134" s="420" t="s">
        <v>3366</v>
      </c>
      <c r="D134" s="420" t="s">
        <v>76</v>
      </c>
      <c r="E134" s="445">
        <v>45637.0</v>
      </c>
      <c r="F134" s="445">
        <v>45637.0</v>
      </c>
      <c r="G134" s="445">
        <v>45642.0</v>
      </c>
      <c r="H134" s="445">
        <v>45642.0</v>
      </c>
      <c r="I134" s="423">
        <f>IF(ISBLANK(H134), NETWORKDAYS(F134, TODAY(),fESTIVOS!$A$1:$A$18), NETWORKDAYS(F134, H134, fESTIVOS!$A$1:$A$18))</f>
        <v>4</v>
      </c>
      <c r="J134" s="445">
        <v>45642.0</v>
      </c>
      <c r="K134" s="445">
        <v>45644.0</v>
      </c>
      <c r="L134" s="444" t="s">
        <v>3367</v>
      </c>
      <c r="M134" s="403"/>
      <c r="N134" s="403"/>
      <c r="O134" s="403"/>
      <c r="P134" s="403"/>
      <c r="Q134" s="403"/>
      <c r="R134" s="403"/>
      <c r="S134" s="403"/>
      <c r="T134" s="403"/>
      <c r="U134" s="403"/>
      <c r="V134" s="403"/>
      <c r="W134" s="403"/>
      <c r="X134" s="403"/>
      <c r="Y134" s="403"/>
      <c r="Z134" s="403"/>
      <c r="AA134" s="403"/>
      <c r="AB134" s="403"/>
      <c r="AC134" s="403"/>
      <c r="AD134" s="403"/>
      <c r="AE134" s="403"/>
      <c r="AF134" s="403"/>
      <c r="AG134" s="403"/>
    </row>
    <row r="135" ht="15.75" customHeight="1">
      <c r="A135" s="426" t="s">
        <v>2831</v>
      </c>
      <c r="B135" s="426" t="s">
        <v>3365</v>
      </c>
      <c r="C135" s="420" t="s">
        <v>3368</v>
      </c>
      <c r="D135" s="420" t="s">
        <v>76</v>
      </c>
      <c r="E135" s="445">
        <v>45637.0</v>
      </c>
      <c r="F135" s="445">
        <v>45638.0</v>
      </c>
      <c r="G135" s="445">
        <v>45642.0</v>
      </c>
      <c r="H135" s="445">
        <v>45642.0</v>
      </c>
      <c r="I135" s="423">
        <f>IF(ISBLANK(H135), NETWORKDAYS(F135, TODAY(),fESTIVOS!$A$1:$A$18), NETWORKDAYS(F135, H135, fESTIVOS!$A$1:$A$18))</f>
        <v>3</v>
      </c>
      <c r="J135" s="445">
        <v>45642.0</v>
      </c>
      <c r="K135" s="445">
        <v>45644.0</v>
      </c>
      <c r="L135" s="444" t="s">
        <v>3369</v>
      </c>
      <c r="M135" s="403"/>
      <c r="N135" s="403"/>
      <c r="O135" s="403"/>
      <c r="P135" s="403"/>
      <c r="Q135" s="403"/>
      <c r="R135" s="403"/>
      <c r="S135" s="403"/>
      <c r="T135" s="403"/>
      <c r="U135" s="403"/>
      <c r="V135" s="403"/>
      <c r="W135" s="403"/>
      <c r="X135" s="403"/>
      <c r="Y135" s="403"/>
      <c r="Z135" s="403"/>
      <c r="AA135" s="403"/>
      <c r="AB135" s="403"/>
      <c r="AC135" s="403"/>
      <c r="AD135" s="403"/>
      <c r="AE135" s="403"/>
      <c r="AF135" s="403"/>
      <c r="AG135" s="403"/>
    </row>
    <row r="136" ht="15.75" customHeight="1">
      <c r="A136" s="637" t="s">
        <v>3089</v>
      </c>
      <c r="B136" s="418" t="s">
        <v>3370</v>
      </c>
      <c r="C136" s="412"/>
      <c r="D136" s="414" t="s">
        <v>76</v>
      </c>
      <c r="E136" s="413">
        <v>45644.0</v>
      </c>
      <c r="F136" s="413">
        <v>45644.0</v>
      </c>
      <c r="G136" s="413"/>
      <c r="H136" s="413">
        <v>45644.0</v>
      </c>
      <c r="I136" s="415">
        <f>IF(ISBLANK(H136), NETWORKDAYS(F136, TODAY(),fESTIVOS!$A$1:$A$18), NETWORKDAYS(F136, H136, fESTIVOS!$A$1:$A$18))</f>
        <v>1</v>
      </c>
      <c r="J136" s="413"/>
      <c r="K136" s="413"/>
      <c r="L136" s="416"/>
      <c r="M136" s="638"/>
      <c r="N136" s="403"/>
      <c r="O136" s="403"/>
      <c r="P136" s="403"/>
      <c r="Q136" s="403"/>
      <c r="R136" s="403"/>
      <c r="S136" s="403"/>
      <c r="T136" s="403"/>
      <c r="U136" s="403"/>
      <c r="V136" s="403"/>
      <c r="W136" s="403"/>
      <c r="X136" s="403"/>
      <c r="Y136" s="403"/>
      <c r="Z136" s="403"/>
      <c r="AA136" s="448"/>
      <c r="AB136" s="448"/>
      <c r="AC136" s="448"/>
      <c r="AD136" s="448"/>
      <c r="AE136" s="448"/>
      <c r="AF136" s="448"/>
      <c r="AG136" s="448"/>
    </row>
    <row r="137" ht="15.75" customHeight="1">
      <c r="A137" s="640" t="s">
        <v>3089</v>
      </c>
      <c r="B137" s="640" t="s">
        <v>3220</v>
      </c>
      <c r="C137" s="782" t="s">
        <v>3371</v>
      </c>
      <c r="D137" s="645" t="s">
        <v>3210</v>
      </c>
      <c r="E137" s="714">
        <v>45643.0</v>
      </c>
      <c r="F137" s="714">
        <v>45643.0</v>
      </c>
      <c r="G137" s="646"/>
      <c r="H137" s="646"/>
      <c r="I137" s="647">
        <f>IF(ISBLANK(H137), NETWORKDAYS(F137, TODAY(),fESTIVOS!$A$1:$A$18), NETWORKDAYS(F137, H137, fESTIVOS!$A$1:$A$18))</f>
        <v>390</v>
      </c>
      <c r="J137" s="714">
        <v>45643.0</v>
      </c>
      <c r="K137" s="646">
        <v>45644.0</v>
      </c>
      <c r="L137" s="787" t="s">
        <v>3372</v>
      </c>
      <c r="M137" s="673"/>
      <c r="N137" s="409"/>
      <c r="O137" s="409"/>
      <c r="P137" s="409"/>
      <c r="Q137" s="409"/>
      <c r="R137" s="409"/>
      <c r="S137" s="409"/>
      <c r="T137" s="409"/>
      <c r="U137" s="409"/>
      <c r="V137" s="409"/>
      <c r="W137" s="409"/>
      <c r="X137" s="409"/>
      <c r="Y137" s="409"/>
      <c r="Z137" s="409"/>
    </row>
    <row r="138" ht="15.75" customHeight="1">
      <c r="A138" s="640" t="s">
        <v>3089</v>
      </c>
      <c r="B138" s="643"/>
      <c r="C138" s="782" t="s">
        <v>3373</v>
      </c>
      <c r="D138" s="645" t="s">
        <v>3210</v>
      </c>
      <c r="E138" s="714">
        <v>45643.0</v>
      </c>
      <c r="F138" s="714">
        <v>45643.0</v>
      </c>
      <c r="G138" s="646"/>
      <c r="H138" s="646"/>
      <c r="I138" s="647">
        <f>IF(ISBLANK(H138), NETWORKDAYS(F138, TODAY(),fESTIVOS!$A$1:$A$18), NETWORKDAYS(F138, H138, fESTIVOS!$A$1:$A$18))</f>
        <v>390</v>
      </c>
      <c r="J138" s="714">
        <v>45643.0</v>
      </c>
      <c r="K138" s="646">
        <v>45644.0</v>
      </c>
      <c r="L138" s="674" t="s">
        <v>3372</v>
      </c>
      <c r="M138" s="673"/>
      <c r="N138" s="409"/>
      <c r="O138" s="409"/>
      <c r="P138" s="409"/>
      <c r="Q138" s="409"/>
      <c r="R138" s="409"/>
      <c r="S138" s="409"/>
      <c r="T138" s="409"/>
      <c r="U138" s="409"/>
      <c r="V138" s="409"/>
      <c r="W138" s="409"/>
      <c r="X138" s="409"/>
      <c r="Y138" s="409"/>
      <c r="Z138" s="409"/>
    </row>
    <row r="139" ht="15.75" customHeight="1">
      <c r="A139" s="740" t="s">
        <v>2816</v>
      </c>
      <c r="B139" s="745" t="s">
        <v>3374</v>
      </c>
      <c r="C139" s="740"/>
      <c r="D139" s="753" t="s">
        <v>3210</v>
      </c>
      <c r="E139" s="747">
        <v>45644.0</v>
      </c>
      <c r="F139" s="747">
        <v>45645.0</v>
      </c>
      <c r="G139" s="748"/>
      <c r="H139" s="749">
        <v>45645.0</v>
      </c>
      <c r="I139" s="415">
        <f>IF(ISBLANK(H139), NETWORKDAYS(F139, TODAY(),fESTIVOS!$A$1:$A$18), NETWORKDAYS(F139, H139, fESTIVOS!$A$1:$A$18))</f>
        <v>1</v>
      </c>
      <c r="J139" s="749">
        <v>45645.0</v>
      </c>
      <c r="K139" s="749">
        <v>45645.0</v>
      </c>
      <c r="L139" s="750"/>
      <c r="M139" s="775"/>
      <c r="N139" s="775"/>
      <c r="O139" s="775"/>
      <c r="P139" s="775"/>
      <c r="Q139" s="775"/>
      <c r="R139" s="775"/>
      <c r="S139" s="775"/>
      <c r="T139" s="775"/>
      <c r="U139" s="775"/>
      <c r="V139" s="775"/>
      <c r="W139" s="775"/>
      <c r="X139" s="775"/>
      <c r="Y139" s="775"/>
      <c r="Z139" s="775"/>
      <c r="AA139" s="776"/>
      <c r="AB139" s="776"/>
      <c r="AC139" s="776"/>
      <c r="AD139" s="776"/>
      <c r="AE139" s="776"/>
      <c r="AF139" s="776"/>
      <c r="AG139" s="776"/>
    </row>
    <row r="140" ht="15.75" customHeight="1">
      <c r="A140" s="402" t="s">
        <v>2816</v>
      </c>
      <c r="B140" s="640" t="s">
        <v>3375</v>
      </c>
      <c r="C140" s="402" t="s">
        <v>3376</v>
      </c>
      <c r="D140" s="635" t="s">
        <v>3210</v>
      </c>
      <c r="E140" s="413">
        <v>45635.0</v>
      </c>
      <c r="F140" s="413">
        <v>45636.0</v>
      </c>
      <c r="G140" s="413">
        <v>45637.0</v>
      </c>
      <c r="H140" s="743">
        <v>45639.0</v>
      </c>
      <c r="I140" s="415">
        <f>IF(ISBLANK(H140), NETWORKDAYS(F140, TODAY(),fESTIVOS!$A$1:$A$18), NETWORKDAYS(F140, H140, fESTIVOS!$A$1:$A$18))</f>
        <v>4</v>
      </c>
      <c r="J140" s="743"/>
      <c r="K140" s="743"/>
      <c r="L140" s="636" t="s">
        <v>3377</v>
      </c>
      <c r="M140" s="403"/>
      <c r="N140" s="403"/>
      <c r="O140" s="403"/>
      <c r="P140" s="403"/>
      <c r="Q140" s="403"/>
      <c r="R140" s="403"/>
      <c r="S140" s="403"/>
      <c r="T140" s="403"/>
      <c r="U140" s="403"/>
      <c r="V140" s="403"/>
      <c r="W140" s="403"/>
      <c r="X140" s="403"/>
      <c r="Y140" s="403"/>
      <c r="Z140" s="403"/>
    </row>
    <row r="141" ht="15.75" customHeight="1">
      <c r="A141" s="402" t="s">
        <v>2816</v>
      </c>
      <c r="B141" s="643"/>
      <c r="C141" s="637" t="s">
        <v>3378</v>
      </c>
      <c r="D141" s="637" t="s">
        <v>3210</v>
      </c>
      <c r="E141" s="413">
        <v>45636.0</v>
      </c>
      <c r="F141" s="413">
        <v>45636.0</v>
      </c>
      <c r="G141" s="413"/>
      <c r="H141" s="413">
        <v>45636.0</v>
      </c>
      <c r="I141" s="415">
        <f>IF(ISBLANK(H141), NETWORKDAYS(F141, TODAY(),fESTIVOS!$A$1:$A$18), NETWORKDAYS(F141, H141, fESTIVOS!$A$1:$A$18))</f>
        <v>1</v>
      </c>
      <c r="J141" s="743"/>
      <c r="K141" s="413">
        <v>45636.0</v>
      </c>
      <c r="L141" s="788" t="s">
        <v>3379</v>
      </c>
      <c r="M141" s="403"/>
      <c r="N141" s="403"/>
      <c r="O141" s="403"/>
      <c r="P141" s="403"/>
      <c r="Q141" s="403"/>
      <c r="R141" s="403"/>
      <c r="S141" s="403"/>
      <c r="T141" s="403"/>
      <c r="U141" s="403"/>
      <c r="V141" s="403"/>
      <c r="W141" s="403"/>
      <c r="X141" s="403"/>
      <c r="Y141" s="403"/>
      <c r="Z141" s="403"/>
    </row>
    <row r="142" ht="15.75" customHeight="1">
      <c r="A142" s="402" t="s">
        <v>2816</v>
      </c>
      <c r="B142" s="643"/>
      <c r="C142" s="402" t="s">
        <v>3380</v>
      </c>
      <c r="D142" s="637" t="s">
        <v>3210</v>
      </c>
      <c r="E142" s="413">
        <v>45637.0</v>
      </c>
      <c r="F142" s="413">
        <v>45636.0</v>
      </c>
      <c r="G142" s="413"/>
      <c r="H142" s="743"/>
      <c r="I142" s="415">
        <f>IF(ISBLANK(H142), NETWORKDAYS(F142, TODAY(),fESTIVOS!$A$1:$A$18), NETWORKDAYS(F142, H142, fESTIVOS!$A$1:$A$18))</f>
        <v>395</v>
      </c>
      <c r="J142" s="743"/>
      <c r="K142" s="743"/>
      <c r="L142" s="636" t="s">
        <v>3381</v>
      </c>
      <c r="M142" s="403"/>
      <c r="N142" s="403"/>
      <c r="O142" s="403"/>
      <c r="P142" s="403"/>
      <c r="Q142" s="403"/>
      <c r="R142" s="403"/>
      <c r="S142" s="403"/>
      <c r="T142" s="403"/>
      <c r="U142" s="403"/>
      <c r="V142" s="403"/>
      <c r="W142" s="403"/>
      <c r="X142" s="403"/>
      <c r="Y142" s="403"/>
      <c r="Z142" s="403"/>
    </row>
    <row r="143" ht="15.75" customHeight="1">
      <c r="A143" s="402" t="s">
        <v>2816</v>
      </c>
      <c r="B143" s="587"/>
      <c r="C143" s="619" t="s">
        <v>3382</v>
      </c>
      <c r="D143" s="637" t="s">
        <v>3210</v>
      </c>
      <c r="E143" s="413">
        <v>45637.0</v>
      </c>
      <c r="F143" s="413">
        <v>45636.0</v>
      </c>
      <c r="G143" s="413"/>
      <c r="H143" s="743">
        <v>45639.0</v>
      </c>
      <c r="I143" s="415">
        <f>IF(ISBLANK(H143), NETWORKDAYS(F143, TODAY(),fESTIVOS!$A$1:$A$18), NETWORKDAYS(F143, H143, fESTIVOS!$A$1:$A$18))</f>
        <v>4</v>
      </c>
      <c r="J143" s="743"/>
      <c r="K143" s="743">
        <v>45639.0</v>
      </c>
      <c r="L143" s="636" t="s">
        <v>3383</v>
      </c>
      <c r="M143" s="403"/>
      <c r="N143" s="403"/>
      <c r="O143" s="403"/>
      <c r="P143" s="403"/>
      <c r="Q143" s="403"/>
      <c r="R143" s="403"/>
      <c r="S143" s="403"/>
      <c r="T143" s="403"/>
      <c r="U143" s="403"/>
      <c r="V143" s="403"/>
      <c r="W143" s="403"/>
      <c r="X143" s="403"/>
      <c r="Y143" s="403"/>
      <c r="Z143" s="403"/>
    </row>
    <row r="144" ht="15.75" customHeight="1">
      <c r="A144" s="426" t="s">
        <v>2831</v>
      </c>
      <c r="B144" s="426" t="s">
        <v>3384</v>
      </c>
      <c r="C144" s="441"/>
      <c r="D144" s="441" t="s">
        <v>11</v>
      </c>
      <c r="E144" s="427">
        <v>45644.0</v>
      </c>
      <c r="F144" s="427">
        <v>45644.0</v>
      </c>
      <c r="G144" s="426"/>
      <c r="H144" s="441"/>
      <c r="I144" s="423">
        <f>IF(ISBLANK(H144), NETWORKDAYS(F144, TODAY(),fESTIVOS!$A$1:$A$18), NETWORKDAYS(F144, H144, fESTIVOS!$A$1:$A$18))</f>
        <v>389</v>
      </c>
      <c r="J144" s="441"/>
      <c r="K144" s="441"/>
      <c r="L144" s="726" t="s">
        <v>3385</v>
      </c>
      <c r="M144" s="638"/>
      <c r="N144" s="403"/>
      <c r="O144" s="403"/>
      <c r="P144" s="403"/>
      <c r="Q144" s="403"/>
      <c r="R144" s="403"/>
      <c r="S144" s="403"/>
      <c r="T144" s="403"/>
      <c r="U144" s="403"/>
      <c r="V144" s="403"/>
      <c r="W144" s="403"/>
      <c r="X144" s="403"/>
      <c r="Y144" s="403"/>
      <c r="Z144" s="403"/>
      <c r="AA144" s="448"/>
      <c r="AB144" s="448"/>
      <c r="AC144" s="448"/>
      <c r="AD144" s="448"/>
      <c r="AE144" s="448"/>
      <c r="AF144" s="448"/>
      <c r="AG144" s="448"/>
    </row>
    <row r="145" ht="15.75" customHeight="1">
      <c r="A145" s="435" t="s">
        <v>2816</v>
      </c>
      <c r="B145" s="426" t="s">
        <v>3386</v>
      </c>
      <c r="C145" s="666"/>
      <c r="D145" s="667" t="s">
        <v>76</v>
      </c>
      <c r="E145" s="445">
        <v>45653.0</v>
      </c>
      <c r="F145" s="445">
        <v>45653.0</v>
      </c>
      <c r="G145" s="445"/>
      <c r="H145" s="445">
        <v>45653.0</v>
      </c>
      <c r="I145" s="439">
        <f>IF(ISBLANK(H145), NETWORKDAYS(F145, TODAY(),fESTIVOS!$A$1:$A$18), NETWORKDAYS(F145, H145, fESTIVOS!$A$1:$A$18))</f>
        <v>1</v>
      </c>
      <c r="J145" s="445"/>
      <c r="K145" s="445"/>
      <c r="L145" s="668"/>
      <c r="M145" s="403"/>
      <c r="N145" s="403"/>
      <c r="O145" s="403"/>
      <c r="P145" s="403"/>
      <c r="Q145" s="403"/>
      <c r="R145" s="403"/>
      <c r="S145" s="403"/>
      <c r="T145" s="403"/>
      <c r="U145" s="403"/>
      <c r="V145" s="403"/>
      <c r="W145" s="403"/>
      <c r="X145" s="403"/>
      <c r="Y145" s="403"/>
      <c r="Z145" s="403"/>
    </row>
    <row r="146" ht="15.75" customHeight="1">
      <c r="A146" s="435" t="s">
        <v>2816</v>
      </c>
      <c r="B146" s="426" t="s">
        <v>3387</v>
      </c>
      <c r="C146" s="666"/>
      <c r="D146" s="420" t="s">
        <v>3210</v>
      </c>
      <c r="E146" s="445">
        <v>45653.0</v>
      </c>
      <c r="F146" s="445">
        <v>45653.0</v>
      </c>
      <c r="G146" s="445"/>
      <c r="H146" s="445">
        <v>45653.0</v>
      </c>
      <c r="I146" s="439">
        <f>IF(ISBLANK(H146), NETWORKDAYS(F146, TODAY(),fESTIVOS!$A$1:$A$18), NETWORKDAYS(F146, H146, fESTIVOS!$A$1:$A$18))</f>
        <v>1</v>
      </c>
      <c r="J146" s="445"/>
      <c r="K146" s="445">
        <v>45653.0</v>
      </c>
      <c r="L146" s="668" t="s">
        <v>3388</v>
      </c>
      <c r="M146" s="403"/>
      <c r="N146" s="403"/>
      <c r="O146" s="403"/>
      <c r="P146" s="403"/>
      <c r="Q146" s="403"/>
      <c r="R146" s="403"/>
      <c r="S146" s="403"/>
      <c r="T146" s="403"/>
      <c r="U146" s="403"/>
      <c r="V146" s="403"/>
      <c r="W146" s="403"/>
      <c r="X146" s="403"/>
      <c r="Y146" s="403"/>
      <c r="Z146" s="403"/>
    </row>
    <row r="147" ht="15.75" customHeight="1">
      <c r="A147" s="426" t="s">
        <v>2831</v>
      </c>
      <c r="B147" s="426" t="s">
        <v>3389</v>
      </c>
      <c r="C147" s="420"/>
      <c r="D147" s="420" t="s">
        <v>76</v>
      </c>
      <c r="E147" s="445">
        <v>45660.0</v>
      </c>
      <c r="F147" s="445">
        <v>45660.0</v>
      </c>
      <c r="G147" s="667"/>
      <c r="H147" s="445">
        <v>45660.0</v>
      </c>
      <c r="I147" s="423">
        <f>IF(ISBLANK(H147), NETWORKDAYS(F147, TODAY(),fESTIVOS!$A$1:$A$18), NETWORKDAYS(F147, H147, fESTIVOS!$A$1:$A$18))</f>
        <v>1</v>
      </c>
      <c r="J147" s="667"/>
      <c r="K147" s="667"/>
      <c r="L147" s="444"/>
      <c r="M147" s="403"/>
      <c r="N147" s="403"/>
      <c r="O147" s="403"/>
      <c r="P147" s="403"/>
      <c r="Q147" s="403"/>
      <c r="R147" s="403"/>
      <c r="S147" s="403"/>
      <c r="T147" s="403"/>
      <c r="U147" s="403"/>
      <c r="V147" s="403"/>
      <c r="W147" s="403"/>
      <c r="X147" s="403"/>
      <c r="Y147" s="403"/>
      <c r="Z147" s="403"/>
      <c r="AA147" s="403"/>
      <c r="AB147" s="403"/>
      <c r="AC147" s="403"/>
      <c r="AD147" s="403"/>
      <c r="AE147" s="403"/>
      <c r="AF147" s="403"/>
      <c r="AG147" s="403"/>
    </row>
    <row r="148" ht="15.75" customHeight="1">
      <c r="A148" s="426" t="s">
        <v>2831</v>
      </c>
      <c r="B148" s="426" t="s">
        <v>3390</v>
      </c>
      <c r="C148" s="420"/>
      <c r="D148" s="420" t="s">
        <v>76</v>
      </c>
      <c r="E148" s="445">
        <v>45650.0</v>
      </c>
      <c r="F148" s="445">
        <v>45650.0</v>
      </c>
      <c r="G148" s="667"/>
      <c r="H148" s="445">
        <v>45656.0</v>
      </c>
      <c r="I148" s="423">
        <f>IF(ISBLANK(H148), NETWORKDAYS(F148, TODAY(),fESTIVOS!$A$1:$A$18), NETWORKDAYS(F148, H148, fESTIVOS!$A$1:$A$18))</f>
        <v>4</v>
      </c>
      <c r="J148" s="667"/>
      <c r="K148" s="667"/>
      <c r="L148" s="444"/>
      <c r="M148" s="403"/>
      <c r="N148" s="403"/>
      <c r="O148" s="403"/>
      <c r="P148" s="403"/>
      <c r="Q148" s="403"/>
      <c r="R148" s="403"/>
      <c r="S148" s="403"/>
      <c r="T148" s="403"/>
      <c r="U148" s="403"/>
      <c r="V148" s="403"/>
      <c r="W148" s="403"/>
      <c r="X148" s="403"/>
      <c r="Y148" s="403"/>
      <c r="Z148" s="403"/>
      <c r="AA148" s="403"/>
      <c r="AB148" s="403"/>
      <c r="AC148" s="403"/>
      <c r="AD148" s="403"/>
      <c r="AE148" s="403"/>
      <c r="AF148" s="403"/>
      <c r="AG148" s="403"/>
    </row>
    <row r="149" ht="15.75" customHeight="1">
      <c r="A149" s="426" t="s">
        <v>2831</v>
      </c>
      <c r="B149" s="426" t="s">
        <v>3391</v>
      </c>
      <c r="C149" s="420"/>
      <c r="D149" s="420" t="s">
        <v>76</v>
      </c>
      <c r="E149" s="445">
        <v>45656.0</v>
      </c>
      <c r="F149" s="445">
        <v>45659.0</v>
      </c>
      <c r="G149" s="667"/>
      <c r="H149" s="445">
        <v>45659.0</v>
      </c>
      <c r="I149" s="423">
        <f>IF(ISBLANK(H149), NETWORKDAYS(F149, TODAY(),fESTIVOS!$A$1:$A$18), NETWORKDAYS(F149, H149, fESTIVOS!$A$1:$A$18))</f>
        <v>1</v>
      </c>
      <c r="J149" s="667"/>
      <c r="K149" s="667"/>
      <c r="L149" s="444" t="s">
        <v>3392</v>
      </c>
      <c r="M149" s="403"/>
      <c r="N149" s="403"/>
      <c r="O149" s="403"/>
      <c r="P149" s="403"/>
      <c r="Q149" s="403"/>
      <c r="R149" s="403"/>
      <c r="S149" s="403"/>
      <c r="T149" s="403"/>
      <c r="U149" s="403"/>
      <c r="V149" s="403"/>
      <c r="W149" s="403"/>
      <c r="X149" s="403"/>
      <c r="Y149" s="403"/>
      <c r="Z149" s="403"/>
      <c r="AA149" s="403"/>
      <c r="AB149" s="403"/>
      <c r="AC149" s="403"/>
      <c r="AD149" s="403"/>
      <c r="AE149" s="403"/>
      <c r="AF149" s="403"/>
      <c r="AG149" s="403"/>
    </row>
    <row r="150" ht="15.75" customHeight="1">
      <c r="A150" s="426" t="s">
        <v>2823</v>
      </c>
      <c r="B150" s="789" t="s">
        <v>3393</v>
      </c>
      <c r="C150" s="790"/>
      <c r="D150" s="791" t="s">
        <v>76</v>
      </c>
      <c r="E150" s="792">
        <v>45639.0</v>
      </c>
      <c r="F150" s="792">
        <v>45642.0</v>
      </c>
      <c r="G150" s="790"/>
      <c r="H150" s="792">
        <v>45653.0</v>
      </c>
      <c r="I150" s="724">
        <f>IF(ISBLANK(H150), NETWORKDAYS(F150, TODAY(),fESTIVOS!$A$1:$A$18), NETWORKDAYS(F150, H150, fESTIVOS!$A$1:$A$18))</f>
        <v>9</v>
      </c>
      <c r="J150" s="790"/>
      <c r="K150" s="790"/>
      <c r="L150" s="793" t="s">
        <v>3394</v>
      </c>
      <c r="M150" s="434"/>
      <c r="N150" s="434"/>
      <c r="O150" s="434"/>
      <c r="P150" s="434"/>
      <c r="Q150" s="434"/>
      <c r="R150" s="434"/>
      <c r="S150" s="434"/>
      <c r="T150" s="434"/>
      <c r="U150" s="434"/>
      <c r="V150" s="434"/>
      <c r="W150" s="434"/>
      <c r="X150" s="434"/>
      <c r="Y150" s="434"/>
      <c r="Z150" s="434"/>
      <c r="AA150" s="434"/>
      <c r="AB150" s="434"/>
      <c r="AC150" s="434"/>
      <c r="AD150" s="434"/>
      <c r="AE150" s="434"/>
      <c r="AF150" s="434"/>
      <c r="AG150" s="434"/>
    </row>
    <row r="151" ht="15.75" customHeight="1">
      <c r="A151" s="441" t="s">
        <v>2841</v>
      </c>
      <c r="B151" s="794" t="s">
        <v>3395</v>
      </c>
      <c r="C151" s="443"/>
      <c r="D151" s="667" t="s">
        <v>76</v>
      </c>
      <c r="E151" s="445">
        <v>45656.0</v>
      </c>
      <c r="F151" s="445">
        <v>45656.0</v>
      </c>
      <c r="G151" s="443"/>
      <c r="H151" s="445">
        <v>45656.0</v>
      </c>
      <c r="I151" s="423">
        <f>IF(ISBLANK(H151), NETWORKDAYS(F151, TODAY(),fESTIVOS!$A$1:$A$18), NETWORKDAYS(F151, H151, fESTIVOS!$A$1:$A$18))</f>
        <v>1</v>
      </c>
      <c r="J151" s="443"/>
      <c r="K151" s="445">
        <v>45656.0</v>
      </c>
      <c r="L151" s="443"/>
      <c r="M151" s="448"/>
      <c r="N151" s="448"/>
      <c r="O151" s="448"/>
      <c r="P151" s="448"/>
      <c r="Q151" s="448"/>
      <c r="R151" s="448"/>
      <c r="S151" s="448"/>
      <c r="T151" s="448"/>
      <c r="U151" s="448"/>
      <c r="V151" s="448"/>
      <c r="W151" s="448"/>
      <c r="X151" s="448"/>
      <c r="Y151" s="448"/>
      <c r="Z151" s="448"/>
    </row>
    <row r="152" ht="15.75" customHeight="1">
      <c r="A152" s="426" t="s">
        <v>2831</v>
      </c>
      <c r="B152" s="426" t="s">
        <v>3396</v>
      </c>
      <c r="C152" s="420" t="s">
        <v>3397</v>
      </c>
      <c r="D152" s="420" t="s">
        <v>76</v>
      </c>
      <c r="E152" s="445">
        <v>45664.0</v>
      </c>
      <c r="F152" s="445">
        <v>45664.0</v>
      </c>
      <c r="G152" s="667"/>
      <c r="H152" s="445">
        <v>45664.0</v>
      </c>
      <c r="I152" s="423">
        <f>IF(ISBLANK(H152), NETWORKDAYS(F152, TODAY(),fESTIVOS!$A$1:$A$18), NETWORKDAYS(F152, H152, fESTIVOS!$A$1:$A$18))</f>
        <v>1</v>
      </c>
      <c r="J152" s="667"/>
      <c r="K152" s="667"/>
      <c r="L152" s="444" t="s">
        <v>3398</v>
      </c>
    </row>
    <row r="153" ht="15.75" customHeight="1">
      <c r="A153" s="426" t="s">
        <v>2831</v>
      </c>
      <c r="B153" s="442" t="s">
        <v>3399</v>
      </c>
      <c r="C153" s="420" t="s">
        <v>3400</v>
      </c>
      <c r="D153" s="420" t="s">
        <v>76</v>
      </c>
      <c r="E153" s="445">
        <v>45656.0</v>
      </c>
      <c r="F153" s="445">
        <v>45665.0</v>
      </c>
      <c r="G153" s="667"/>
      <c r="H153" s="445">
        <v>45665.0</v>
      </c>
      <c r="I153" s="423">
        <f>IF(ISBLANK(H153), NETWORKDAYS(F153, TODAY(),fESTIVOS!$A$1:$A$18), NETWORKDAYS(F153, H153, fESTIVOS!$A$1:$A$18))</f>
        <v>1</v>
      </c>
      <c r="J153" s="445">
        <v>45665.0</v>
      </c>
      <c r="K153" s="667"/>
      <c r="L153" s="444"/>
      <c r="M153" s="403"/>
      <c r="N153" s="403"/>
      <c r="O153" s="403"/>
      <c r="P153" s="403"/>
      <c r="Q153" s="403"/>
      <c r="R153" s="403"/>
      <c r="S153" s="403"/>
      <c r="T153" s="403"/>
      <c r="U153" s="403"/>
      <c r="V153" s="403"/>
      <c r="W153" s="403"/>
      <c r="X153" s="403"/>
      <c r="Y153" s="403"/>
      <c r="Z153" s="403"/>
      <c r="AA153" s="403"/>
      <c r="AB153" s="403"/>
      <c r="AC153" s="403"/>
      <c r="AD153" s="403"/>
      <c r="AE153" s="403"/>
      <c r="AF153" s="403"/>
      <c r="AG153" s="403"/>
    </row>
    <row r="154" ht="15.75" customHeight="1">
      <c r="A154" s="426" t="s">
        <v>2831</v>
      </c>
      <c r="B154" s="587"/>
      <c r="C154" s="420" t="s">
        <v>3401</v>
      </c>
      <c r="D154" s="420" t="s">
        <v>76</v>
      </c>
      <c r="E154" s="445">
        <v>45656.0</v>
      </c>
      <c r="F154" s="445">
        <v>45665.0</v>
      </c>
      <c r="G154" s="667"/>
      <c r="H154" s="445">
        <v>45665.0</v>
      </c>
      <c r="I154" s="423">
        <f>IF(ISBLANK(H154), NETWORKDAYS(F154, TODAY(),fESTIVOS!$A$1:$A$18), NETWORKDAYS(F154, H154, fESTIVOS!$A$1:$A$18))</f>
        <v>1</v>
      </c>
      <c r="J154" s="445">
        <v>45665.0</v>
      </c>
      <c r="K154" s="667"/>
      <c r="L154" s="444"/>
      <c r="M154" s="403"/>
      <c r="N154" s="403"/>
      <c r="O154" s="403"/>
      <c r="P154" s="403"/>
      <c r="Q154" s="403"/>
      <c r="R154" s="403"/>
      <c r="S154" s="403"/>
      <c r="T154" s="403"/>
      <c r="U154" s="403"/>
      <c r="V154" s="403"/>
      <c r="W154" s="403"/>
      <c r="X154" s="403"/>
      <c r="Y154" s="403"/>
      <c r="Z154" s="403"/>
      <c r="AA154" s="403"/>
      <c r="AB154" s="403"/>
      <c r="AC154" s="403"/>
      <c r="AD154" s="403"/>
      <c r="AE154" s="403"/>
      <c r="AF154" s="403"/>
      <c r="AG154" s="403"/>
    </row>
    <row r="155" ht="15.75" customHeight="1">
      <c r="A155" s="426" t="s">
        <v>3089</v>
      </c>
      <c r="B155" s="419" t="s">
        <v>3402</v>
      </c>
      <c r="C155" s="444"/>
      <c r="D155" s="667" t="s">
        <v>76</v>
      </c>
      <c r="E155" s="445">
        <v>45666.0</v>
      </c>
      <c r="F155" s="445">
        <v>45666.0</v>
      </c>
      <c r="G155" s="445"/>
      <c r="H155" s="445">
        <v>45666.0</v>
      </c>
      <c r="I155" s="423">
        <f>IF(ISBLANK(H155), NETWORKDAYS(F155, TODAY(),fESTIVOS!$A$1:$A$18), NETWORKDAYS(F155, H155, fESTIVOS!$A$1:$A$18))</f>
        <v>1</v>
      </c>
      <c r="J155" s="445"/>
      <c r="K155" s="445"/>
      <c r="L155" s="668"/>
      <c r="M155" s="795"/>
      <c r="N155" s="600"/>
      <c r="O155" s="601"/>
      <c r="P155" s="600"/>
      <c r="Q155" s="601"/>
      <c r="R155" s="600"/>
      <c r="S155" s="601"/>
      <c r="T155" s="600"/>
      <c r="U155" s="601"/>
      <c r="V155" s="600"/>
      <c r="W155" s="601"/>
      <c r="X155" s="600"/>
      <c r="Y155" s="601"/>
      <c r="Z155" s="600"/>
      <c r="AA155" s="601"/>
      <c r="AB155" s="600"/>
      <c r="AC155" s="601"/>
      <c r="AD155" s="600"/>
      <c r="AE155" s="601"/>
      <c r="AF155" s="600"/>
      <c r="AG155" s="601"/>
    </row>
    <row r="156" ht="15.75" customHeight="1">
      <c r="A156" s="426" t="s">
        <v>3089</v>
      </c>
      <c r="B156" s="796" t="s">
        <v>3403</v>
      </c>
      <c r="C156" s="444" t="s">
        <v>3404</v>
      </c>
      <c r="D156" s="420" t="s">
        <v>76</v>
      </c>
      <c r="E156" s="445">
        <v>45664.0</v>
      </c>
      <c r="F156" s="445">
        <v>45664.0</v>
      </c>
      <c r="G156" s="445"/>
      <c r="H156" s="445">
        <v>45667.0</v>
      </c>
      <c r="I156" s="423">
        <f>IF(ISBLANK(H156), NETWORKDAYS(F156, TODAY(),fESTIVOS!$A$1:$A$18), NETWORKDAYS(F156, H156, fESTIVOS!$A$1:$A$18))</f>
        <v>4</v>
      </c>
      <c r="J156" s="445"/>
      <c r="K156" s="445"/>
      <c r="L156" s="668" t="s">
        <v>3405</v>
      </c>
      <c r="M156" s="638"/>
      <c r="N156" s="403"/>
      <c r="O156" s="403"/>
      <c r="P156" s="403"/>
      <c r="Q156" s="403"/>
      <c r="R156" s="403"/>
      <c r="S156" s="403"/>
      <c r="T156" s="403"/>
      <c r="U156" s="403"/>
      <c r="V156" s="403"/>
      <c r="W156" s="403"/>
      <c r="X156" s="403"/>
      <c r="Y156" s="403"/>
      <c r="Z156" s="403"/>
    </row>
    <row r="157" ht="15.75" customHeight="1">
      <c r="A157" s="426" t="s">
        <v>2831</v>
      </c>
      <c r="B157" s="768" t="s">
        <v>3406</v>
      </c>
      <c r="C157" s="797"/>
      <c r="D157" s="420" t="s">
        <v>2818</v>
      </c>
      <c r="E157" s="445">
        <v>45609.0</v>
      </c>
      <c r="F157" s="445">
        <v>45610.0</v>
      </c>
      <c r="G157" s="421">
        <v>45622.0</v>
      </c>
      <c r="H157" s="421">
        <v>45623.0</v>
      </c>
      <c r="I157" s="423">
        <f>IF(ISBLANK(H157), NETWORKDAYS(F157, TODAY(),fESTIVOS!$A$1:$A$18), NETWORKDAYS(F157, H157, fESTIVOS!$A$1:$A$18))</f>
        <v>10</v>
      </c>
      <c r="J157" s="421">
        <v>45623.0</v>
      </c>
      <c r="K157" s="421">
        <v>45667.0</v>
      </c>
      <c r="L157" s="798" t="s">
        <v>3407</v>
      </c>
      <c r="M157" s="424"/>
      <c r="N157" s="424"/>
      <c r="O157" s="424"/>
      <c r="P157" s="424"/>
      <c r="Q157" s="424"/>
      <c r="R157" s="424"/>
      <c r="S157" s="424"/>
      <c r="T157" s="424"/>
      <c r="U157" s="424"/>
      <c r="V157" s="424"/>
      <c r="W157" s="424"/>
      <c r="X157" s="424"/>
      <c r="Y157" s="424"/>
      <c r="Z157" s="424"/>
    </row>
    <row r="158" ht="15.75" customHeight="1">
      <c r="A158" s="426" t="s">
        <v>2831</v>
      </c>
      <c r="B158" s="448"/>
      <c r="C158" s="417" t="s">
        <v>3408</v>
      </c>
      <c r="D158" s="420" t="s">
        <v>2818</v>
      </c>
      <c r="E158" s="723">
        <v>45610.0</v>
      </c>
      <c r="F158" s="799">
        <v>45611.0</v>
      </c>
      <c r="G158" s="698"/>
      <c r="H158" s="698">
        <v>45617.0</v>
      </c>
      <c r="I158" s="724">
        <f>IF(ISBLANK(H158), NETWORKDAYS(F158, TODAY(),fESTIVOS!$A$1:$A$18), NETWORKDAYS(F158, H158, fESTIVOS!$A$1:$A$18))</f>
        <v>5</v>
      </c>
      <c r="J158" s="698">
        <v>45622.0</v>
      </c>
      <c r="K158" s="421">
        <v>45667.0</v>
      </c>
      <c r="L158" s="800" t="s">
        <v>3409</v>
      </c>
      <c r="M158" s="424"/>
      <c r="N158" s="424"/>
      <c r="O158" s="424"/>
      <c r="P158" s="424"/>
      <c r="Q158" s="424"/>
      <c r="R158" s="424"/>
      <c r="S158" s="424"/>
      <c r="T158" s="424"/>
      <c r="U158" s="424"/>
      <c r="V158" s="424"/>
      <c r="W158" s="424"/>
      <c r="X158" s="424"/>
      <c r="Y158" s="424"/>
      <c r="Z158" s="424"/>
    </row>
    <row r="159" ht="15.75" customHeight="1">
      <c r="A159" s="426" t="s">
        <v>2831</v>
      </c>
      <c r="B159" s="448"/>
      <c r="C159" s="417" t="s">
        <v>3410</v>
      </c>
      <c r="D159" s="420" t="s">
        <v>2818</v>
      </c>
      <c r="E159" s="445">
        <v>45610.0</v>
      </c>
      <c r="F159" s="723">
        <v>45621.0</v>
      </c>
      <c r="G159" s="698">
        <v>45621.0</v>
      </c>
      <c r="H159" s="698">
        <v>45621.0</v>
      </c>
      <c r="I159" s="724">
        <f>IF(ISBLANK(H159), NETWORKDAYS(F159, TODAY(),fESTIVOS!$A$1:$A$18), NETWORKDAYS(F159, H159, fESTIVOS!$A$1:$A$18))</f>
        <v>1</v>
      </c>
      <c r="J159" s="698">
        <v>45622.0</v>
      </c>
      <c r="K159" s="421">
        <v>45667.0</v>
      </c>
      <c r="L159" s="801" t="s">
        <v>3411</v>
      </c>
      <c r="M159" s="424"/>
      <c r="N159" s="424"/>
      <c r="O159" s="424"/>
      <c r="P159" s="424"/>
      <c r="Q159" s="424"/>
      <c r="R159" s="424"/>
      <c r="S159" s="424"/>
      <c r="T159" s="424"/>
      <c r="U159" s="424"/>
      <c r="V159" s="424"/>
      <c r="W159" s="424"/>
      <c r="X159" s="424"/>
      <c r="Y159" s="424"/>
      <c r="Z159" s="424"/>
    </row>
    <row r="160" ht="15.75" customHeight="1">
      <c r="A160" s="442" t="s">
        <v>2831</v>
      </c>
      <c r="B160" s="448"/>
      <c r="C160" s="694" t="s">
        <v>3412</v>
      </c>
      <c r="D160" s="420" t="s">
        <v>2818</v>
      </c>
      <c r="E160" s="723">
        <v>45610.0</v>
      </c>
      <c r="F160" s="723">
        <v>45621.0</v>
      </c>
      <c r="G160" s="698"/>
      <c r="H160" s="698">
        <v>45622.0</v>
      </c>
      <c r="I160" s="724">
        <f>IF(ISBLANK(H160), NETWORKDAYS(F160, TODAY(),fESTIVOS!$A$1:$A$18), NETWORKDAYS(F160, H160, fESTIVOS!$A$1:$A$18))</f>
        <v>2</v>
      </c>
      <c r="J160" s="698">
        <v>45622.0</v>
      </c>
      <c r="K160" s="421">
        <v>45667.0</v>
      </c>
      <c r="L160" s="798" t="s">
        <v>3413</v>
      </c>
      <c r="M160" s="424"/>
      <c r="N160" s="424"/>
      <c r="O160" s="424"/>
      <c r="P160" s="424"/>
      <c r="Q160" s="424"/>
      <c r="R160" s="424"/>
      <c r="S160" s="424"/>
      <c r="T160" s="424"/>
      <c r="U160" s="424"/>
      <c r="V160" s="424"/>
      <c r="W160" s="424"/>
      <c r="X160" s="424"/>
      <c r="Y160" s="424"/>
      <c r="Z160" s="424"/>
    </row>
    <row r="161" ht="15.75" customHeight="1">
      <c r="A161" s="426" t="s">
        <v>2831</v>
      </c>
      <c r="B161" s="613"/>
      <c r="C161" s="419" t="s">
        <v>3414</v>
      </c>
      <c r="D161" s="420" t="s">
        <v>2818</v>
      </c>
      <c r="E161" s="445">
        <v>45624.0</v>
      </c>
      <c r="F161" s="445">
        <v>45628.0</v>
      </c>
      <c r="G161" s="421"/>
      <c r="H161" s="421">
        <v>45629.0</v>
      </c>
      <c r="I161" s="423">
        <f>IF(ISBLANK(H161), NETWORKDAYS(F161, TODAY(),fESTIVOS!$A$1:$A$18), NETWORKDAYS(F161, H161, fESTIVOS!$A$1:$A$18))</f>
        <v>2</v>
      </c>
      <c r="J161" s="421">
        <v>45629.0</v>
      </c>
      <c r="K161" s="421">
        <v>45667.0</v>
      </c>
      <c r="L161" s="800" t="s">
        <v>3415</v>
      </c>
      <c r="M161" s="424"/>
      <c r="N161" s="424"/>
      <c r="O161" s="424"/>
      <c r="P161" s="424"/>
      <c r="Q161" s="424"/>
      <c r="R161" s="424"/>
      <c r="S161" s="424"/>
      <c r="T161" s="424"/>
      <c r="U161" s="424"/>
      <c r="V161" s="424"/>
      <c r="W161" s="424"/>
      <c r="X161" s="424"/>
      <c r="Y161" s="424"/>
      <c r="Z161" s="424"/>
    </row>
    <row r="162" ht="15.75" customHeight="1">
      <c r="A162" s="783" t="s">
        <v>2831</v>
      </c>
      <c r="B162" s="426" t="s">
        <v>3362</v>
      </c>
      <c r="C162" s="715" t="s">
        <v>3416</v>
      </c>
      <c r="D162" s="802" t="s">
        <v>3210</v>
      </c>
      <c r="E162" s="445">
        <v>45631.0</v>
      </c>
      <c r="F162" s="445">
        <v>45635.0</v>
      </c>
      <c r="G162" s="445">
        <v>45649.0</v>
      </c>
      <c r="H162" s="445">
        <v>45645.0</v>
      </c>
      <c r="I162" s="423">
        <f>IF(ISBLANK(H162), NETWORKDAYS(F162, TODAY(),fESTIVOS!$A$1:$A$18), NETWORKDAYS(F162, H162, fESTIVOS!$A$1:$A$18))</f>
        <v>9</v>
      </c>
      <c r="J162" s="445">
        <v>45645.0</v>
      </c>
      <c r="K162" s="445">
        <v>45667.0</v>
      </c>
      <c r="L162" s="668" t="s">
        <v>3417</v>
      </c>
      <c r="M162" s="403"/>
      <c r="N162" s="403"/>
      <c r="O162" s="403"/>
      <c r="P162" s="403"/>
      <c r="Q162" s="403"/>
      <c r="R162" s="403"/>
      <c r="S162" s="403"/>
      <c r="T162" s="403"/>
      <c r="U162" s="403"/>
      <c r="V162" s="403"/>
      <c r="W162" s="403"/>
      <c r="X162" s="403"/>
      <c r="Y162" s="403"/>
      <c r="Z162" s="403"/>
    </row>
    <row r="163" ht="15.75" customHeight="1">
      <c r="A163" s="786" t="s">
        <v>2831</v>
      </c>
      <c r="B163" s="449" t="s">
        <v>3362</v>
      </c>
      <c r="C163" s="803" t="s">
        <v>3418</v>
      </c>
      <c r="D163" s="802" t="s">
        <v>3210</v>
      </c>
      <c r="E163" s="680">
        <v>45631.0</v>
      </c>
      <c r="F163" s="680">
        <v>45644.0</v>
      </c>
      <c r="G163" s="680">
        <v>45649.0</v>
      </c>
      <c r="H163" s="680">
        <v>45645.0</v>
      </c>
      <c r="I163" s="772">
        <f>IF(ISBLANK(H163), NETWORKDAYS(F163, TODAY(),fESTIVOS!$A$1:$A$18), NETWORKDAYS(F163, H163, fESTIVOS!$A$1:$A$18))</f>
        <v>2</v>
      </c>
      <c r="J163" s="680">
        <v>45645.0</v>
      </c>
      <c r="K163" s="680">
        <v>45667.0</v>
      </c>
      <c r="L163" s="681" t="s">
        <v>3419</v>
      </c>
      <c r="M163" s="403"/>
      <c r="N163" s="403"/>
      <c r="O163" s="403"/>
      <c r="P163" s="403"/>
      <c r="Q163" s="403"/>
      <c r="R163" s="403"/>
      <c r="S163" s="403"/>
      <c r="T163" s="403"/>
      <c r="U163" s="403"/>
      <c r="V163" s="403"/>
      <c r="W163" s="403"/>
      <c r="X163" s="403"/>
      <c r="Y163" s="403"/>
      <c r="Z163" s="403"/>
    </row>
    <row r="164" ht="15.75" customHeight="1">
      <c r="A164" s="786" t="s">
        <v>2831</v>
      </c>
      <c r="B164" s="442" t="s">
        <v>3362</v>
      </c>
      <c r="C164" s="804" t="s">
        <v>3420</v>
      </c>
      <c r="D164" s="802" t="s">
        <v>3210</v>
      </c>
      <c r="E164" s="445">
        <v>45631.0</v>
      </c>
      <c r="F164" s="445">
        <v>45644.0</v>
      </c>
      <c r="G164" s="445">
        <v>45649.0</v>
      </c>
      <c r="H164" s="723">
        <v>45650.0</v>
      </c>
      <c r="I164" s="772">
        <f>IF(ISBLANK(H164), NETWORKDAYS(F164, TODAY(),fESTIVOS!$A$1:$A$18), NETWORKDAYS(F164, H164, fESTIVOS!$A$1:$A$18))</f>
        <v>5</v>
      </c>
      <c r="J164" s="723">
        <v>45650.0</v>
      </c>
      <c r="K164" s="723">
        <v>45667.0</v>
      </c>
      <c r="L164" s="668" t="s">
        <v>3421</v>
      </c>
      <c r="M164" s="403"/>
      <c r="N164" s="403"/>
      <c r="O164" s="403"/>
      <c r="P164" s="403"/>
      <c r="Q164" s="403"/>
      <c r="R164" s="403"/>
      <c r="S164" s="403"/>
      <c r="T164" s="403"/>
      <c r="U164" s="403"/>
      <c r="V164" s="403"/>
      <c r="W164" s="403"/>
      <c r="X164" s="403"/>
      <c r="Y164" s="403"/>
      <c r="Z164" s="403"/>
    </row>
    <row r="165" ht="15.75" customHeight="1">
      <c r="A165" s="786" t="s">
        <v>2831</v>
      </c>
      <c r="B165" s="442" t="s">
        <v>3362</v>
      </c>
      <c r="C165" s="804" t="s">
        <v>3422</v>
      </c>
      <c r="D165" s="802" t="s">
        <v>3210</v>
      </c>
      <c r="E165" s="723">
        <v>45631.0</v>
      </c>
      <c r="F165" s="723">
        <v>45644.0</v>
      </c>
      <c r="G165" s="723">
        <v>45649.0</v>
      </c>
      <c r="H165" s="723">
        <v>45650.0</v>
      </c>
      <c r="I165" s="701">
        <f>IF(ISBLANK(H165), NETWORKDAYS(F165, TODAY(),fESTIVOS!$A$1:$A$18), NETWORKDAYS(F165, H165, fESTIVOS!$A$1:$A$18))</f>
        <v>5</v>
      </c>
      <c r="J165" s="723">
        <v>45650.0</v>
      </c>
      <c r="K165" s="723">
        <v>45667.0</v>
      </c>
      <c r="L165" s="725" t="s">
        <v>3423</v>
      </c>
      <c r="M165" s="403"/>
      <c r="N165" s="403"/>
      <c r="O165" s="403"/>
      <c r="P165" s="403"/>
      <c r="Q165" s="403"/>
      <c r="R165" s="403"/>
      <c r="S165" s="403"/>
      <c r="T165" s="403"/>
      <c r="U165" s="403"/>
      <c r="V165" s="403"/>
      <c r="W165" s="403"/>
      <c r="X165" s="403"/>
      <c r="Y165" s="403"/>
      <c r="Z165" s="403"/>
    </row>
    <row r="166" ht="15.75" customHeight="1">
      <c r="A166" s="441" t="s">
        <v>2841</v>
      </c>
      <c r="B166" s="426" t="s">
        <v>3424</v>
      </c>
      <c r="C166" s="436"/>
      <c r="D166" s="420" t="s">
        <v>76</v>
      </c>
      <c r="E166" s="445">
        <v>45667.0</v>
      </c>
      <c r="F166" s="445">
        <v>45667.0</v>
      </c>
      <c r="G166" s="445">
        <v>45670.0</v>
      </c>
      <c r="H166" s="445">
        <v>45667.0</v>
      </c>
      <c r="I166" s="423">
        <f>IF(ISBLANK(H166), NETWORKDAYS(F166, TODAY(),fESTIVOS!$A$1:$A$18), NETWORKDAYS(F166, H166, fESTIVOS!$A$1:$A$18))</f>
        <v>1</v>
      </c>
      <c r="J166" s="445"/>
      <c r="K166" s="445"/>
      <c r="L166" s="763"/>
      <c r="M166" s="638"/>
      <c r="N166" s="403"/>
      <c r="O166" s="403"/>
      <c r="P166" s="403"/>
      <c r="Q166" s="403"/>
      <c r="R166" s="403"/>
      <c r="S166" s="403"/>
      <c r="T166" s="403"/>
      <c r="U166" s="403"/>
      <c r="V166" s="403"/>
      <c r="W166" s="403"/>
      <c r="X166" s="403"/>
      <c r="Y166" s="403"/>
      <c r="Z166" s="403"/>
    </row>
    <row r="167" ht="15.75" customHeight="1">
      <c r="A167" s="426" t="s">
        <v>3089</v>
      </c>
      <c r="B167" s="419" t="s">
        <v>3425</v>
      </c>
      <c r="C167" s="444"/>
      <c r="D167" s="667" t="s">
        <v>76</v>
      </c>
      <c r="E167" s="445">
        <v>45667.0</v>
      </c>
      <c r="F167" s="445">
        <v>45667.0</v>
      </c>
      <c r="G167" s="445"/>
      <c r="H167" s="445">
        <v>45667.0</v>
      </c>
      <c r="I167" s="423">
        <f>IF(ISBLANK(H167), NETWORKDAYS(F167, TODAY(),fESTIVOS!$A$1:$A$18), NETWORKDAYS(F167, H167, fESTIVOS!$A$1:$A$18))</f>
        <v>1</v>
      </c>
      <c r="J167" s="445"/>
      <c r="K167" s="445"/>
      <c r="L167" s="668"/>
      <c r="M167" s="638"/>
      <c r="N167" s="403"/>
      <c r="O167" s="403"/>
      <c r="P167" s="403"/>
      <c r="Q167" s="403"/>
      <c r="R167" s="403"/>
      <c r="S167" s="403"/>
      <c r="T167" s="403"/>
      <c r="U167" s="403"/>
      <c r="V167" s="403"/>
      <c r="W167" s="403"/>
      <c r="X167" s="403"/>
      <c r="Y167" s="403"/>
      <c r="Z167" s="403"/>
    </row>
    <row r="168" ht="15.75" customHeight="1">
      <c r="A168" s="441" t="s">
        <v>2841</v>
      </c>
      <c r="B168" s="794" t="s">
        <v>3426</v>
      </c>
      <c r="C168" s="443"/>
      <c r="D168" s="667" t="s">
        <v>76</v>
      </c>
      <c r="E168" s="445">
        <v>45667.0</v>
      </c>
      <c r="F168" s="446">
        <v>45667.0</v>
      </c>
      <c r="G168" s="443"/>
      <c r="H168" s="445">
        <v>45671.0</v>
      </c>
      <c r="I168" s="423">
        <f>IF(ISBLANK(H168), NETWORKDAYS(F168, TODAY(),fESTIVOS!$A$1:$A$18), NETWORKDAYS(F168, H168, fESTIVOS!$A$1:$A$18))</f>
        <v>3</v>
      </c>
      <c r="J168" s="445">
        <v>45671.0</v>
      </c>
      <c r="K168" s="445">
        <v>45671.0</v>
      </c>
      <c r="L168" s="447" t="s">
        <v>3427</v>
      </c>
      <c r="M168" s="448"/>
      <c r="N168" s="448"/>
      <c r="O168" s="448"/>
      <c r="P168" s="448"/>
      <c r="Q168" s="448"/>
      <c r="R168" s="448"/>
      <c r="S168" s="448"/>
      <c r="T168" s="448"/>
      <c r="U168" s="448"/>
      <c r="V168" s="448"/>
      <c r="W168" s="448"/>
      <c r="X168" s="448"/>
      <c r="Y168" s="448"/>
      <c r="Z168" s="448"/>
    </row>
    <row r="169" ht="15.75" customHeight="1">
      <c r="A169" s="426" t="s">
        <v>3089</v>
      </c>
      <c r="B169" s="419" t="s">
        <v>3428</v>
      </c>
      <c r="C169" s="444"/>
      <c r="D169" s="667" t="s">
        <v>76</v>
      </c>
      <c r="E169" s="445">
        <v>45667.0</v>
      </c>
      <c r="F169" s="445">
        <v>45670.0</v>
      </c>
      <c r="G169" s="445"/>
      <c r="H169" s="445">
        <v>45670.0</v>
      </c>
      <c r="I169" s="423">
        <f>IF(ISBLANK(H169), NETWORKDAYS(F169, TODAY(),fESTIVOS!$A$1:$A$18), NETWORKDAYS(F169, H169, fESTIVOS!$A$1:$A$18))</f>
        <v>1</v>
      </c>
      <c r="J169" s="445">
        <v>45670.0</v>
      </c>
      <c r="K169" s="445">
        <v>45672.0</v>
      </c>
      <c r="L169" s="668"/>
      <c r="M169" s="638"/>
      <c r="N169" s="403"/>
      <c r="O169" s="403"/>
      <c r="P169" s="403"/>
      <c r="Q169" s="403"/>
      <c r="R169" s="403"/>
      <c r="S169" s="403"/>
      <c r="T169" s="403"/>
      <c r="U169" s="403"/>
      <c r="V169" s="403"/>
      <c r="W169" s="403"/>
      <c r="X169" s="403"/>
      <c r="Y169" s="403"/>
      <c r="Z169" s="403"/>
    </row>
    <row r="170" ht="15.75" customHeight="1">
      <c r="A170" s="426" t="s">
        <v>3089</v>
      </c>
      <c r="B170" s="796" t="s">
        <v>3429</v>
      </c>
      <c r="C170" s="444" t="s">
        <v>3430</v>
      </c>
      <c r="D170" s="667" t="s">
        <v>3210</v>
      </c>
      <c r="E170" s="445">
        <v>45672.0</v>
      </c>
      <c r="F170" s="445"/>
      <c r="G170" s="445"/>
      <c r="H170" s="667"/>
      <c r="I170" s="423"/>
      <c r="J170" s="445"/>
      <c r="K170" s="763">
        <v>45692.0</v>
      </c>
      <c r="L170" s="668" t="s">
        <v>3431</v>
      </c>
      <c r="M170" s="638"/>
      <c r="N170" s="403"/>
      <c r="O170" s="403"/>
      <c r="P170" s="403"/>
      <c r="Q170" s="403"/>
      <c r="R170" s="403"/>
      <c r="S170" s="403"/>
      <c r="T170" s="403"/>
      <c r="U170" s="403"/>
      <c r="V170" s="403"/>
      <c r="W170" s="403"/>
      <c r="X170" s="403"/>
      <c r="Y170" s="403"/>
      <c r="Z170" s="403"/>
    </row>
    <row r="171" ht="15.75" customHeight="1">
      <c r="A171" s="426" t="s">
        <v>3089</v>
      </c>
      <c r="B171" s="796" t="s">
        <v>3429</v>
      </c>
      <c r="C171" s="444" t="s">
        <v>3432</v>
      </c>
      <c r="D171" s="667" t="s">
        <v>3210</v>
      </c>
      <c r="E171" s="445">
        <v>45672.0</v>
      </c>
      <c r="F171" s="445">
        <v>45673.0</v>
      </c>
      <c r="G171" s="445"/>
      <c r="H171" s="445">
        <v>45673.0</v>
      </c>
      <c r="I171" s="423">
        <f>IF(ISBLANK(H171), NETWORKDAYS(F171, TODAY(),fESTIVOS!$A$1:$A$18), NETWORKDAYS(F171, H171, fESTIVOS!$A$1:$A$18))</f>
        <v>1</v>
      </c>
      <c r="J171" s="421">
        <v>45678.0</v>
      </c>
      <c r="K171" s="763">
        <v>45692.0</v>
      </c>
      <c r="L171" s="668"/>
      <c r="M171" s="638"/>
      <c r="N171" s="403"/>
      <c r="O171" s="403"/>
      <c r="P171" s="403"/>
      <c r="Q171" s="403"/>
      <c r="R171" s="403"/>
      <c r="S171" s="403"/>
      <c r="T171" s="403"/>
      <c r="U171" s="403"/>
      <c r="V171" s="403"/>
      <c r="W171" s="403"/>
      <c r="X171" s="403"/>
      <c r="Y171" s="403"/>
      <c r="Z171" s="403"/>
    </row>
    <row r="172" ht="15.75" customHeight="1">
      <c r="A172" s="426" t="s">
        <v>3089</v>
      </c>
      <c r="B172" s="419" t="s">
        <v>3433</v>
      </c>
      <c r="C172" s="444"/>
      <c r="D172" s="667" t="s">
        <v>76</v>
      </c>
      <c r="E172" s="445">
        <v>45673.0</v>
      </c>
      <c r="F172" s="445">
        <v>45673.0</v>
      </c>
      <c r="G172" s="445"/>
      <c r="H172" s="445">
        <v>45673.0</v>
      </c>
      <c r="I172" s="423">
        <f>IF(ISBLANK(H172), NETWORKDAYS(F172, TODAY(),fESTIVOS!$A$1:$A$18), NETWORKDAYS(F172, H172, fESTIVOS!$A$1:$A$18))</f>
        <v>1</v>
      </c>
      <c r="J172" s="445"/>
      <c r="K172" s="445"/>
      <c r="L172" s="763" t="s">
        <v>3434</v>
      </c>
      <c r="M172" s="638"/>
      <c r="N172" s="403"/>
      <c r="O172" s="403"/>
      <c r="P172" s="403"/>
      <c r="Q172" s="403"/>
      <c r="R172" s="403"/>
      <c r="S172" s="403"/>
      <c r="T172" s="403"/>
      <c r="U172" s="403"/>
      <c r="V172" s="403"/>
      <c r="W172" s="403"/>
      <c r="X172" s="403"/>
      <c r="Y172" s="403"/>
      <c r="Z172" s="403"/>
    </row>
    <row r="173" ht="15.75" customHeight="1">
      <c r="A173" s="426" t="s">
        <v>3089</v>
      </c>
      <c r="B173" s="419" t="s">
        <v>3435</v>
      </c>
      <c r="C173" s="444"/>
      <c r="D173" s="667" t="s">
        <v>76</v>
      </c>
      <c r="E173" s="445">
        <v>45671.0</v>
      </c>
      <c r="F173" s="445">
        <v>45671.0</v>
      </c>
      <c r="G173" s="445"/>
      <c r="H173" s="445">
        <v>45672.0</v>
      </c>
      <c r="I173" s="423">
        <f>IF(ISBLANK(H173), NETWORKDAYS(F173, TODAY(),fESTIVOS!$A$1:$A$18), NETWORKDAYS(F173, H173, fESTIVOS!$A$1:$A$18))</f>
        <v>2</v>
      </c>
      <c r="J173" s="445">
        <v>45672.0</v>
      </c>
      <c r="K173" s="445">
        <v>45674.0</v>
      </c>
      <c r="L173" s="668" t="s">
        <v>3436</v>
      </c>
      <c r="M173" s="638"/>
      <c r="N173" s="403"/>
      <c r="O173" s="403"/>
      <c r="P173" s="403"/>
      <c r="Q173" s="403"/>
      <c r="R173" s="403"/>
      <c r="S173" s="403"/>
      <c r="T173" s="403"/>
      <c r="U173" s="403"/>
      <c r="V173" s="403"/>
      <c r="W173" s="403"/>
      <c r="X173" s="403"/>
      <c r="Y173" s="403"/>
      <c r="Z173" s="403"/>
    </row>
    <row r="174" ht="15.75" customHeight="1">
      <c r="A174" s="426" t="s">
        <v>3089</v>
      </c>
      <c r="B174" s="419" t="s">
        <v>3437</v>
      </c>
      <c r="C174" s="444"/>
      <c r="D174" s="667" t="s">
        <v>11</v>
      </c>
      <c r="E174" s="445">
        <v>45667.0</v>
      </c>
      <c r="F174" s="445">
        <v>45667.0</v>
      </c>
      <c r="G174" s="445"/>
      <c r="H174" s="445">
        <v>45673.0</v>
      </c>
      <c r="I174" s="423">
        <f>IF(ISBLANK(H174), NETWORKDAYS(F174, TODAY(),fESTIVOS!$A$1:$A$18), NETWORKDAYS(F174, H174, fESTIVOS!$A$1:$A$18))</f>
        <v>5</v>
      </c>
      <c r="J174" s="445"/>
      <c r="K174" s="445"/>
      <c r="L174" s="668" t="s">
        <v>3438</v>
      </c>
      <c r="M174" s="638"/>
      <c r="N174" s="403"/>
      <c r="O174" s="403"/>
      <c r="P174" s="403"/>
      <c r="Q174" s="403"/>
      <c r="R174" s="403"/>
      <c r="S174" s="403"/>
      <c r="T174" s="403"/>
      <c r="U174" s="403"/>
      <c r="V174" s="403"/>
      <c r="W174" s="403"/>
      <c r="X174" s="403"/>
      <c r="Y174" s="403"/>
      <c r="Z174" s="403"/>
    </row>
    <row r="175" ht="15.75" customHeight="1">
      <c r="A175" s="426" t="s">
        <v>3089</v>
      </c>
      <c r="B175" s="796" t="s">
        <v>3439</v>
      </c>
      <c r="C175" s="444"/>
      <c r="D175" s="667" t="s">
        <v>11</v>
      </c>
      <c r="E175" s="445">
        <v>45677.0</v>
      </c>
      <c r="F175" s="445">
        <v>45677.0</v>
      </c>
      <c r="G175" s="445"/>
      <c r="H175" s="445">
        <v>45677.0</v>
      </c>
      <c r="I175" s="423">
        <f>IF(ISBLANK(H175), NETWORKDAYS(F175, TODAY(),fESTIVOS!$A$1:$A$18), NETWORKDAYS(F175, H175, fESTIVOS!$A$1:$A$18))</f>
        <v>1</v>
      </c>
      <c r="J175" s="445"/>
      <c r="K175" s="445">
        <v>45677.0</v>
      </c>
      <c r="L175" s="668"/>
      <c r="M175" s="638"/>
      <c r="N175" s="403"/>
      <c r="O175" s="403"/>
      <c r="P175" s="403"/>
      <c r="Q175" s="403"/>
      <c r="R175" s="403"/>
      <c r="S175" s="403"/>
      <c r="T175" s="403"/>
      <c r="U175" s="403"/>
      <c r="V175" s="403"/>
      <c r="W175" s="403"/>
      <c r="X175" s="403"/>
      <c r="Y175" s="403"/>
      <c r="Z175" s="403"/>
    </row>
    <row r="176" ht="45.0" customHeight="1">
      <c r="A176" s="402" t="s">
        <v>2816</v>
      </c>
      <c r="B176" s="640" t="s">
        <v>3440</v>
      </c>
      <c r="C176" s="672"/>
      <c r="D176" s="414" t="s">
        <v>216</v>
      </c>
      <c r="E176" s="413">
        <v>45611.0</v>
      </c>
      <c r="F176" s="413">
        <v>45622.0</v>
      </c>
      <c r="G176" s="413">
        <v>45624.0</v>
      </c>
      <c r="H176" s="414"/>
      <c r="I176" s="415">
        <f>IF(ISBLANK(H176), NETWORKDAYS(F176, TODAY(),fESTIVOS!$A$1:$A$18), NETWORKDAYS(F176, H176, fESTIVOS!$A$1:$A$18))</f>
        <v>405</v>
      </c>
      <c r="J176" s="672"/>
      <c r="K176" s="672"/>
      <c r="L176" s="433" t="s">
        <v>3441</v>
      </c>
    </row>
    <row r="177" ht="15.75" customHeight="1">
      <c r="A177" s="402" t="s">
        <v>2816</v>
      </c>
      <c r="B177" s="643"/>
      <c r="C177" s="410" t="s">
        <v>3442</v>
      </c>
      <c r="D177" s="414" t="s">
        <v>3210</v>
      </c>
      <c r="E177" s="413">
        <v>45611.0</v>
      </c>
      <c r="F177" s="413">
        <v>45624.0</v>
      </c>
      <c r="G177" s="413">
        <v>45624.0</v>
      </c>
      <c r="H177" s="413">
        <v>45628.0</v>
      </c>
      <c r="I177" s="415">
        <f>IF(ISBLANK(H177), NETWORKDAYS(F177, TODAY(),fESTIVOS!$A$1:$A$18), NETWORKDAYS(F177, H177, fESTIVOS!$A$1:$A$18))</f>
        <v>3</v>
      </c>
      <c r="J177" s="672"/>
      <c r="K177" s="632">
        <v>45631.0</v>
      </c>
      <c r="L177" s="805" t="s">
        <v>3443</v>
      </c>
    </row>
    <row r="178" ht="15.75" customHeight="1">
      <c r="A178" s="402" t="s">
        <v>2816</v>
      </c>
      <c r="B178" s="587"/>
      <c r="C178" s="806" t="s">
        <v>3444</v>
      </c>
      <c r="D178" s="414" t="s">
        <v>3210</v>
      </c>
      <c r="E178" s="413">
        <v>45611.0</v>
      </c>
      <c r="F178" s="413">
        <v>45629.0</v>
      </c>
      <c r="G178" s="413">
        <v>45631.0</v>
      </c>
      <c r="H178" s="413"/>
      <c r="I178" s="415">
        <f>IF(ISBLANK(H178), NETWORKDAYS(F178, TODAY(),fESTIVOS!$A$1:$A$18), NETWORKDAYS(F178, H178, fESTIVOS!$A$1:$A$18))</f>
        <v>400</v>
      </c>
      <c r="J178" s="672"/>
      <c r="K178" s="632">
        <v>45658.0</v>
      </c>
      <c r="L178" s="805" t="s">
        <v>3445</v>
      </c>
    </row>
    <row r="179" ht="15.75" customHeight="1">
      <c r="A179" s="740" t="s">
        <v>2816</v>
      </c>
      <c r="B179" s="758" t="s">
        <v>3446</v>
      </c>
      <c r="C179" s="740"/>
      <c r="D179" s="746" t="s">
        <v>76</v>
      </c>
      <c r="E179" s="747">
        <v>45644.0</v>
      </c>
      <c r="F179" s="747">
        <v>45644.0</v>
      </c>
      <c r="G179" s="748"/>
      <c r="H179" s="749">
        <v>45658.0</v>
      </c>
      <c r="I179" s="415">
        <f>IF(ISBLANK(H179), NETWORKDAYS(F179, TODAY(),fESTIVOS!$A$1:$A$18), NETWORKDAYS(F179, H179, fESTIVOS!$A$1:$A$18))</f>
        <v>10</v>
      </c>
      <c r="J179" s="749"/>
      <c r="K179" s="749"/>
      <c r="L179" s="750" t="s">
        <v>3447</v>
      </c>
      <c r="M179" s="775"/>
      <c r="N179" s="775"/>
      <c r="O179" s="775"/>
      <c r="P179" s="775"/>
      <c r="Q179" s="775"/>
      <c r="R179" s="775"/>
      <c r="S179" s="775"/>
      <c r="T179" s="775"/>
      <c r="U179" s="775"/>
      <c r="V179" s="775"/>
      <c r="W179" s="775"/>
      <c r="X179" s="775"/>
      <c r="Y179" s="775"/>
      <c r="Z179" s="775"/>
      <c r="AA179" s="776"/>
      <c r="AB179" s="776"/>
      <c r="AC179" s="776"/>
      <c r="AD179" s="776"/>
      <c r="AE179" s="776"/>
      <c r="AF179" s="776"/>
      <c r="AG179" s="776"/>
    </row>
    <row r="180" ht="15.75" customHeight="1">
      <c r="A180" s="441" t="s">
        <v>2841</v>
      </c>
      <c r="B180" s="426" t="s">
        <v>3448</v>
      </c>
      <c r="C180" s="436" t="s">
        <v>3449</v>
      </c>
      <c r="D180" s="420" t="s">
        <v>3210</v>
      </c>
      <c r="E180" s="445">
        <v>45667.0</v>
      </c>
      <c r="F180" s="445">
        <v>45667.0</v>
      </c>
      <c r="G180" s="445">
        <v>45670.0</v>
      </c>
      <c r="H180" s="445">
        <v>45672.0</v>
      </c>
      <c r="I180" s="423">
        <f>IF(ISBLANK(H180), NETWORKDAYS(F180, TODAY(),fESTIVOS!$A$1:$A$18), NETWORKDAYS(F180, H180, fESTIVOS!$A$1:$A$18))</f>
        <v>4</v>
      </c>
      <c r="J180" s="445">
        <v>45672.0</v>
      </c>
      <c r="K180" s="445">
        <v>45678.0</v>
      </c>
      <c r="L180" s="763" t="s">
        <v>3450</v>
      </c>
      <c r="M180" s="638"/>
      <c r="N180" s="403"/>
      <c r="O180" s="403"/>
      <c r="P180" s="403"/>
      <c r="Q180" s="403"/>
      <c r="R180" s="403"/>
      <c r="S180" s="403"/>
      <c r="T180" s="403"/>
      <c r="U180" s="403"/>
      <c r="V180" s="403"/>
      <c r="W180" s="403"/>
      <c r="X180" s="403"/>
      <c r="Y180" s="403"/>
      <c r="Z180" s="403"/>
    </row>
    <row r="181" ht="15.75" customHeight="1">
      <c r="A181" s="426" t="s">
        <v>3089</v>
      </c>
      <c r="B181" s="419" t="s">
        <v>3451</v>
      </c>
      <c r="C181" s="444"/>
      <c r="D181" s="667" t="s">
        <v>76</v>
      </c>
      <c r="E181" s="445">
        <v>45678.0</v>
      </c>
      <c r="F181" s="445">
        <v>45678.0</v>
      </c>
      <c r="G181" s="445"/>
      <c r="H181" s="445">
        <v>45679.0</v>
      </c>
      <c r="I181" s="423">
        <f>IF(ISBLANK(H181), NETWORKDAYS(F181, TODAY(),fESTIVOS!$A$1:$A$18), NETWORKDAYS(F181, H181, fESTIVOS!$A$1:$A$18))</f>
        <v>2</v>
      </c>
      <c r="J181" s="445"/>
      <c r="K181" s="445"/>
      <c r="L181" s="668" t="s">
        <v>3452</v>
      </c>
      <c r="M181" s="638"/>
      <c r="N181" s="403"/>
      <c r="O181" s="403"/>
      <c r="P181" s="403"/>
      <c r="Q181" s="403"/>
      <c r="R181" s="403"/>
      <c r="S181" s="403"/>
      <c r="T181" s="403"/>
      <c r="U181" s="403"/>
      <c r="V181" s="403"/>
      <c r="W181" s="403"/>
      <c r="X181" s="403"/>
      <c r="Y181" s="403"/>
      <c r="Z181" s="403"/>
    </row>
    <row r="182" ht="15.75" customHeight="1">
      <c r="A182" s="426" t="s">
        <v>3089</v>
      </c>
      <c r="B182" s="419" t="s">
        <v>3453</v>
      </c>
      <c r="C182" s="444"/>
      <c r="D182" s="667" t="s">
        <v>3454</v>
      </c>
      <c r="E182" s="445">
        <v>45671.0</v>
      </c>
      <c r="F182" s="445">
        <v>45671.0</v>
      </c>
      <c r="G182" s="445"/>
      <c r="H182" s="445">
        <v>45680.0</v>
      </c>
      <c r="I182" s="423">
        <f>IF(ISBLANK(H182), NETWORKDAYS(F182, TODAY(),fESTIVOS!$A$1:$A$18), NETWORKDAYS(F182, H182, fESTIVOS!$A$1:$A$18))</f>
        <v>8</v>
      </c>
      <c r="J182" s="445"/>
      <c r="K182" s="445">
        <v>45680.0</v>
      </c>
      <c r="L182" s="668" t="s">
        <v>3455</v>
      </c>
      <c r="M182" s="638"/>
      <c r="N182" s="403"/>
      <c r="O182" s="403"/>
      <c r="P182" s="403"/>
      <c r="Q182" s="403"/>
      <c r="R182" s="403"/>
      <c r="S182" s="403"/>
      <c r="T182" s="403"/>
      <c r="U182" s="403"/>
      <c r="V182" s="403"/>
      <c r="W182" s="403"/>
      <c r="X182" s="403"/>
      <c r="Y182" s="403"/>
      <c r="Z182" s="403"/>
    </row>
    <row r="183" ht="15.75" customHeight="1">
      <c r="A183" s="417" t="s">
        <v>2823</v>
      </c>
      <c r="B183" s="761" t="s">
        <v>3456</v>
      </c>
      <c r="C183" s="666"/>
      <c r="D183" s="420" t="s">
        <v>3210</v>
      </c>
      <c r="E183" s="445">
        <v>45664.0</v>
      </c>
      <c r="F183" s="445">
        <v>45664.0</v>
      </c>
      <c r="G183" s="445">
        <v>45665.0</v>
      </c>
      <c r="H183" s="445">
        <v>45666.0</v>
      </c>
      <c r="I183" s="423">
        <f>IF(ISBLANK(H183), NETWORKDAYS(F183, TODAY(),fESTIVOS!$A$1:$A$18), NETWORKDAYS(F183, H183, fESTIVOS!$A$1:$A$18))</f>
        <v>3</v>
      </c>
      <c r="J183" s="445">
        <v>45666.0</v>
      </c>
      <c r="K183" s="445">
        <v>45674.0</v>
      </c>
      <c r="L183" s="668" t="s">
        <v>3457</v>
      </c>
      <c r="M183" s="638"/>
      <c r="N183" s="403"/>
      <c r="O183" s="403"/>
      <c r="P183" s="403"/>
      <c r="Q183" s="403"/>
      <c r="R183" s="403"/>
      <c r="S183" s="403"/>
      <c r="T183" s="403"/>
      <c r="U183" s="403"/>
      <c r="V183" s="403"/>
      <c r="W183" s="403"/>
      <c r="X183" s="403"/>
      <c r="Y183" s="403"/>
      <c r="Z183" s="403"/>
    </row>
    <row r="184" ht="15.75" customHeight="1">
      <c r="A184" s="619" t="s">
        <v>2816</v>
      </c>
      <c r="B184" s="807" t="s">
        <v>1782</v>
      </c>
      <c r="C184" s="621"/>
      <c r="D184" s="635" t="s">
        <v>3210</v>
      </c>
      <c r="E184" s="413">
        <v>45307.0</v>
      </c>
      <c r="F184" s="413">
        <v>45677.0</v>
      </c>
      <c r="G184" s="413"/>
      <c r="H184" s="413">
        <v>45678.0</v>
      </c>
      <c r="I184" s="415">
        <f>IF(ISBLANK(H184), NETWORKDAYS(F184, TODAY(),fESTIVOS!$A$1:$A$18), NETWORKDAYS(F184, H184, fESTIVOS!$A$1:$A$18))</f>
        <v>2</v>
      </c>
      <c r="J184" s="413"/>
      <c r="K184" s="413">
        <v>45680.0</v>
      </c>
      <c r="L184" s="416"/>
      <c r="M184" s="403"/>
      <c r="N184" s="403"/>
      <c r="O184" s="403"/>
      <c r="P184" s="403"/>
      <c r="Q184" s="403"/>
      <c r="R184" s="403"/>
      <c r="S184" s="403"/>
      <c r="T184" s="403"/>
      <c r="U184" s="403"/>
      <c r="V184" s="403"/>
      <c r="W184" s="403"/>
      <c r="X184" s="403"/>
      <c r="Y184" s="403"/>
      <c r="Z184" s="403"/>
    </row>
    <row r="185" ht="15.75" customHeight="1">
      <c r="A185" s="402" t="s">
        <v>2816</v>
      </c>
      <c r="B185" s="808" t="s">
        <v>3458</v>
      </c>
      <c r="C185" s="621"/>
      <c r="D185" s="635" t="s">
        <v>3210</v>
      </c>
      <c r="E185" s="413">
        <v>45678.0</v>
      </c>
      <c r="F185" s="413">
        <v>45677.0</v>
      </c>
      <c r="G185" s="413"/>
      <c r="H185" s="413">
        <v>45680.0</v>
      </c>
      <c r="I185" s="415">
        <f>IF(ISBLANK(H185), NETWORKDAYS(F185, TODAY(),fESTIVOS!$A$1:$A$18), NETWORKDAYS(F185, H185, fESTIVOS!$A$1:$A$18))</f>
        <v>4</v>
      </c>
      <c r="J185" s="413"/>
      <c r="K185" s="413">
        <v>45680.0</v>
      </c>
      <c r="L185" s="416"/>
      <c r="M185" s="403"/>
      <c r="N185" s="403"/>
      <c r="O185" s="403"/>
      <c r="P185" s="403"/>
      <c r="Q185" s="403"/>
      <c r="R185" s="403"/>
      <c r="S185" s="403"/>
      <c r="T185" s="403"/>
      <c r="U185" s="403"/>
      <c r="V185" s="403"/>
      <c r="W185" s="403"/>
      <c r="X185" s="403"/>
      <c r="Y185" s="403"/>
      <c r="Z185" s="403"/>
    </row>
    <row r="186" ht="15.75" customHeight="1">
      <c r="A186" s="402" t="s">
        <v>2816</v>
      </c>
      <c r="B186" s="809" t="s">
        <v>3459</v>
      </c>
      <c r="C186" s="621" t="s">
        <v>3460</v>
      </c>
      <c r="D186" s="635" t="s">
        <v>3210</v>
      </c>
      <c r="E186" s="413">
        <v>45678.0</v>
      </c>
      <c r="F186" s="413">
        <v>45680.0</v>
      </c>
      <c r="G186" s="413"/>
      <c r="H186" s="413">
        <v>45680.0</v>
      </c>
      <c r="I186" s="415">
        <f>IF(ISBLANK(H186), NETWORKDAYS(F186, TODAY(),fESTIVOS!$A$1:$A$18), NETWORKDAYS(F186, H186, fESTIVOS!$A$1:$A$18))</f>
        <v>1</v>
      </c>
      <c r="J186" s="413"/>
      <c r="K186" s="413">
        <v>45680.0</v>
      </c>
      <c r="L186" s="416"/>
      <c r="M186" s="403"/>
      <c r="N186" s="403"/>
      <c r="O186" s="403"/>
      <c r="P186" s="403"/>
      <c r="Q186" s="403"/>
      <c r="R186" s="403"/>
      <c r="S186" s="403"/>
      <c r="T186" s="403"/>
      <c r="U186" s="403"/>
      <c r="V186" s="403"/>
      <c r="W186" s="403"/>
      <c r="X186" s="403"/>
      <c r="Y186" s="403"/>
      <c r="Z186" s="403"/>
    </row>
    <row r="187" ht="15.75" customHeight="1">
      <c r="A187" s="402" t="s">
        <v>2816</v>
      </c>
      <c r="B187" s="808" t="s">
        <v>3461</v>
      </c>
      <c r="C187" s="621"/>
      <c r="D187" s="635" t="s">
        <v>3210</v>
      </c>
      <c r="E187" s="413">
        <v>45678.0</v>
      </c>
      <c r="F187" s="413">
        <v>45680.0</v>
      </c>
      <c r="G187" s="413"/>
      <c r="H187" s="413">
        <v>45680.0</v>
      </c>
      <c r="I187" s="415">
        <f>IF(ISBLANK(H187), NETWORKDAYS(F187, TODAY(),fESTIVOS!$A$1:$A$18), NETWORKDAYS(F187, H187, fESTIVOS!$A$1:$A$18))</f>
        <v>1</v>
      </c>
      <c r="J187" s="413"/>
      <c r="K187" s="413">
        <v>45680.0</v>
      </c>
      <c r="L187" s="416"/>
      <c r="M187" s="403"/>
      <c r="N187" s="403"/>
      <c r="O187" s="403"/>
      <c r="P187" s="403"/>
      <c r="Q187" s="403"/>
      <c r="R187" s="403"/>
      <c r="S187" s="403"/>
      <c r="T187" s="403"/>
      <c r="U187" s="403"/>
      <c r="V187" s="403"/>
      <c r="W187" s="403"/>
      <c r="X187" s="403"/>
      <c r="Y187" s="403"/>
      <c r="Z187" s="403"/>
    </row>
    <row r="188" ht="15.75" customHeight="1">
      <c r="A188" s="402" t="s">
        <v>2816</v>
      </c>
      <c r="B188" s="808" t="s">
        <v>3462</v>
      </c>
      <c r="C188" s="621"/>
      <c r="D188" s="635" t="s">
        <v>3210</v>
      </c>
      <c r="E188" s="413">
        <v>45678.0</v>
      </c>
      <c r="F188" s="413">
        <v>45680.0</v>
      </c>
      <c r="G188" s="413"/>
      <c r="H188" s="413">
        <v>45680.0</v>
      </c>
      <c r="I188" s="415">
        <f>IF(ISBLANK(H188), NETWORKDAYS(F188, TODAY(),fESTIVOS!$A$1:$A$18), NETWORKDAYS(F188, H188, fESTIVOS!$A$1:$A$18))</f>
        <v>1</v>
      </c>
      <c r="J188" s="413"/>
      <c r="K188" s="413">
        <v>45680.0</v>
      </c>
      <c r="L188" s="416"/>
      <c r="M188" s="403"/>
      <c r="N188" s="403"/>
      <c r="O188" s="403"/>
      <c r="P188" s="403"/>
      <c r="Q188" s="403"/>
      <c r="R188" s="403"/>
      <c r="S188" s="403"/>
      <c r="T188" s="403"/>
      <c r="U188" s="403"/>
      <c r="V188" s="403"/>
      <c r="W188" s="403"/>
      <c r="X188" s="403"/>
      <c r="Y188" s="403"/>
      <c r="Z188" s="403"/>
    </row>
    <row r="189" ht="15.75" customHeight="1">
      <c r="A189" s="441" t="s">
        <v>2841</v>
      </c>
      <c r="B189" s="796" t="s">
        <v>3463</v>
      </c>
      <c r="C189" s="810" t="s">
        <v>3464</v>
      </c>
      <c r="D189" s="420" t="s">
        <v>3465</v>
      </c>
      <c r="E189" s="445">
        <v>45667.0</v>
      </c>
      <c r="F189" s="811">
        <v>45670.0</v>
      </c>
      <c r="G189" s="444"/>
      <c r="H189" s="811">
        <v>45674.0</v>
      </c>
      <c r="I189" s="423">
        <f>IF(ISBLANK(H189), NETWORKDAYS(F189, TODAY(),fESTIVOS!$A$1:$A$18), NETWORKDAYS(F189, H189, fESTIVOS!$A$1:$A$18))</f>
        <v>5</v>
      </c>
      <c r="J189" s="444"/>
      <c r="K189" s="444"/>
      <c r="L189" s="444" t="s">
        <v>3466</v>
      </c>
    </row>
    <row r="190" ht="15.75" customHeight="1">
      <c r="A190" s="402" t="s">
        <v>2816</v>
      </c>
      <c r="B190" s="808" t="s">
        <v>3467</v>
      </c>
      <c r="C190" s="621"/>
      <c r="D190" s="635" t="s">
        <v>3210</v>
      </c>
      <c r="E190" s="413">
        <v>45678.0</v>
      </c>
      <c r="F190" s="413">
        <v>45681.0</v>
      </c>
      <c r="G190" s="413"/>
      <c r="H190" s="413">
        <v>45681.0</v>
      </c>
      <c r="I190" s="415">
        <f>IF(ISBLANK(H190), NETWORKDAYS(F190, TODAY(),fESTIVOS!$A$1:$A$18), NETWORKDAYS(F190, H190, fESTIVOS!$A$1:$A$18))</f>
        <v>1</v>
      </c>
      <c r="J190" s="413">
        <v>45686.0</v>
      </c>
      <c r="K190" s="413">
        <v>45686.0</v>
      </c>
      <c r="L190" s="416" t="s">
        <v>3468</v>
      </c>
      <c r="M190" s="403"/>
      <c r="N190" s="403"/>
      <c r="O190" s="403"/>
      <c r="P190" s="403"/>
      <c r="Q190" s="403"/>
      <c r="R190" s="403"/>
      <c r="S190" s="403"/>
      <c r="T190" s="403"/>
      <c r="U190" s="403"/>
      <c r="V190" s="403"/>
      <c r="W190" s="403"/>
      <c r="X190" s="403"/>
      <c r="Y190" s="403"/>
      <c r="Z190" s="403"/>
    </row>
    <row r="191" ht="15.75" customHeight="1">
      <c r="A191" s="426" t="s">
        <v>2831</v>
      </c>
      <c r="B191" s="441" t="s">
        <v>3469</v>
      </c>
      <c r="C191" s="441"/>
      <c r="D191" s="420" t="s">
        <v>3210</v>
      </c>
      <c r="E191" s="445">
        <v>45666.0</v>
      </c>
      <c r="F191" s="427">
        <v>45685.0</v>
      </c>
      <c r="G191" s="420" t="s">
        <v>3470</v>
      </c>
      <c r="H191" s="427">
        <v>45686.0</v>
      </c>
      <c r="I191" s="423">
        <f>IF(ISBLANK(H191), NETWORKDAYS(F191, TODAY(),fESTIVOS!$A$1:$A$18), NETWORKDAYS(F191, H191, fESTIVOS!$A$1:$A$18))</f>
        <v>2</v>
      </c>
      <c r="J191" s="427">
        <v>45686.0</v>
      </c>
      <c r="K191" s="427">
        <v>45688.0</v>
      </c>
      <c r="L191" s="726" t="s">
        <v>3471</v>
      </c>
      <c r="M191" s="638"/>
      <c r="N191" s="403"/>
      <c r="O191" s="403"/>
      <c r="P191" s="403"/>
      <c r="Q191" s="403"/>
      <c r="R191" s="403"/>
      <c r="S191" s="403"/>
      <c r="T191" s="403"/>
      <c r="U191" s="403"/>
      <c r="V191" s="403"/>
      <c r="W191" s="403"/>
      <c r="X191" s="403"/>
      <c r="Y191" s="403"/>
      <c r="Z191" s="403"/>
    </row>
    <row r="192" ht="15.75" customHeight="1">
      <c r="A192" s="426" t="s">
        <v>3089</v>
      </c>
      <c r="B192" s="419" t="s">
        <v>3472</v>
      </c>
      <c r="C192" s="444"/>
      <c r="D192" s="667" t="s">
        <v>76</v>
      </c>
      <c r="E192" s="445">
        <v>45687.0</v>
      </c>
      <c r="F192" s="445">
        <v>45687.0</v>
      </c>
      <c r="G192" s="445"/>
      <c r="H192" s="445">
        <v>45687.0</v>
      </c>
      <c r="I192" s="423">
        <f>IF(ISBLANK(H192), NETWORKDAYS(F192, TODAY(),fESTIVOS!$A$1:$A$18), NETWORKDAYS(F192, H192, fESTIVOS!$A$1:$A$18))</f>
        <v>1</v>
      </c>
      <c r="J192" s="445"/>
      <c r="K192" s="445"/>
      <c r="L192" s="668" t="s">
        <v>3473</v>
      </c>
      <c r="M192" s="638"/>
      <c r="N192" s="403"/>
      <c r="O192" s="403"/>
      <c r="P192" s="403"/>
      <c r="Q192" s="403"/>
      <c r="R192" s="403"/>
      <c r="S192" s="403"/>
      <c r="T192" s="403"/>
      <c r="U192" s="403"/>
      <c r="V192" s="403"/>
      <c r="W192" s="403"/>
      <c r="X192" s="403"/>
      <c r="Y192" s="403"/>
      <c r="Z192" s="403"/>
    </row>
    <row r="193" ht="15.75" customHeight="1">
      <c r="A193" s="441" t="s">
        <v>2841</v>
      </c>
      <c r="B193" s="441" t="s">
        <v>3474</v>
      </c>
      <c r="C193" s="443"/>
      <c r="D193" s="667" t="s">
        <v>3210</v>
      </c>
      <c r="E193" s="445">
        <v>45685.0</v>
      </c>
      <c r="F193" s="446">
        <v>45685.0</v>
      </c>
      <c r="G193" s="443"/>
      <c r="H193" s="812">
        <v>45687.0</v>
      </c>
      <c r="I193" s="423">
        <f>IF(ISBLANK(H193), NETWORKDAYS(F193, TODAY(),fESTIVOS!$A$1:$A$18), NETWORKDAYS(F193, H193, fESTIVOS!$A$1:$A$18))</f>
        <v>3</v>
      </c>
      <c r="J193" s="812">
        <v>45687.0</v>
      </c>
      <c r="K193" s="812">
        <v>45687.0</v>
      </c>
      <c r="L193" s="447" t="s">
        <v>3475</v>
      </c>
      <c r="M193" s="448"/>
      <c r="N193" s="448"/>
      <c r="O193" s="448"/>
      <c r="P193" s="448"/>
      <c r="Q193" s="448"/>
      <c r="R193" s="448"/>
      <c r="S193" s="448"/>
      <c r="T193" s="448"/>
      <c r="U193" s="448"/>
      <c r="V193" s="448"/>
      <c r="W193" s="448"/>
      <c r="X193" s="448"/>
      <c r="Y193" s="448"/>
      <c r="Z193" s="448"/>
    </row>
    <row r="194" ht="15.0" customHeight="1">
      <c r="A194" s="441" t="s">
        <v>2841</v>
      </c>
      <c r="B194" s="796" t="s">
        <v>3463</v>
      </c>
      <c r="C194" s="715" t="s">
        <v>3476</v>
      </c>
      <c r="D194" s="420" t="s">
        <v>3465</v>
      </c>
      <c r="E194" s="445">
        <v>45681.0</v>
      </c>
      <c r="F194" s="445">
        <v>45681.0</v>
      </c>
      <c r="G194" s="445"/>
      <c r="H194" s="445">
        <v>45681.0</v>
      </c>
      <c r="I194" s="423">
        <f>IF(ISBLANK(H194), NETWORKDAYS(F194, TODAY(),fESTIVOS!$A$1:$A$18), NETWORKDAYS(F194, H194, fESTIVOS!$A$1:$A$18))</f>
        <v>1</v>
      </c>
      <c r="J194" s="445">
        <v>45681.0</v>
      </c>
      <c r="K194" s="445"/>
      <c r="L194" s="668"/>
    </row>
    <row r="195" ht="15.75" customHeight="1">
      <c r="A195" s="426" t="s">
        <v>2831</v>
      </c>
      <c r="B195" s="426" t="s">
        <v>3477</v>
      </c>
      <c r="C195" s="441"/>
      <c r="D195" s="420" t="s">
        <v>76</v>
      </c>
      <c r="E195" s="445">
        <v>45685.0</v>
      </c>
      <c r="F195" s="427">
        <v>45685.0</v>
      </c>
      <c r="G195" s="420"/>
      <c r="H195" s="427">
        <v>45688.0</v>
      </c>
      <c r="I195" s="423">
        <f>IF(ISBLANK(H195), NETWORKDAYS(F195, TODAY(),fESTIVOS!$A$1:$A$18), NETWORKDAYS(F195, H195, fESTIVOS!$A$1:$A$18))</f>
        <v>4</v>
      </c>
      <c r="J195" s="427">
        <v>45688.0</v>
      </c>
      <c r="K195" s="427">
        <v>45688.0</v>
      </c>
      <c r="L195" s="726" t="s">
        <v>3478</v>
      </c>
      <c r="M195" s="638"/>
      <c r="N195" s="403"/>
      <c r="O195" s="403"/>
      <c r="P195" s="403"/>
      <c r="Q195" s="403"/>
      <c r="R195" s="403"/>
      <c r="S195" s="403"/>
      <c r="T195" s="403"/>
      <c r="U195" s="403"/>
      <c r="V195" s="403"/>
      <c r="W195" s="403"/>
      <c r="X195" s="403"/>
      <c r="Y195" s="403"/>
      <c r="Z195" s="403"/>
    </row>
    <row r="196" ht="15.75" customHeight="1">
      <c r="A196" s="813" t="s">
        <v>2816</v>
      </c>
      <c r="B196" s="814" t="s">
        <v>3479</v>
      </c>
      <c r="C196" s="815"/>
      <c r="D196" s="816" t="s">
        <v>3210</v>
      </c>
      <c r="E196" s="817">
        <v>45610.0</v>
      </c>
      <c r="F196" s="817">
        <v>45629.0</v>
      </c>
      <c r="G196" s="817"/>
      <c r="H196" s="817">
        <v>45636.0</v>
      </c>
      <c r="I196" s="818">
        <f>IF(ISBLANK(H196), NETWORKDAYS(F196, TODAY(),fESTIVOS!$A$1:$A$18), NETWORKDAYS(F196, H196, fESTIVOS!$A$1:$A$18))</f>
        <v>6</v>
      </c>
      <c r="J196" s="817">
        <v>45636.0</v>
      </c>
      <c r="K196" s="817">
        <v>45691.0</v>
      </c>
      <c r="L196" s="819" t="s">
        <v>3480</v>
      </c>
      <c r="M196" s="403"/>
      <c r="N196" s="403"/>
      <c r="O196" s="403"/>
      <c r="P196" s="403"/>
      <c r="Q196" s="403"/>
      <c r="R196" s="403"/>
      <c r="S196" s="403"/>
      <c r="T196" s="403"/>
      <c r="U196" s="403"/>
      <c r="V196" s="403"/>
      <c r="W196" s="403"/>
      <c r="X196" s="403"/>
      <c r="Y196" s="403"/>
      <c r="Z196" s="403"/>
    </row>
    <row r="197" ht="15.75" customHeight="1">
      <c r="A197" s="820" t="s">
        <v>2816</v>
      </c>
      <c r="B197" s="640" t="s">
        <v>3481</v>
      </c>
      <c r="C197" s="650" t="s">
        <v>3482</v>
      </c>
      <c r="D197" s="651" t="s">
        <v>3210</v>
      </c>
      <c r="E197" s="683">
        <v>45688.0</v>
      </c>
      <c r="F197" s="683">
        <v>45688.0</v>
      </c>
      <c r="G197" s="683"/>
      <c r="H197" s="683">
        <v>45688.0</v>
      </c>
      <c r="I197" s="628">
        <f>IF(ISBLANK(H197), NETWORKDAYS(F197, TODAY(),fESTIVOS!$A$1:$A$18), NETWORKDAYS(F197, H197, fESTIVOS!$A$1:$A$18))</f>
        <v>1</v>
      </c>
      <c r="J197" s="683"/>
      <c r="K197" s="683">
        <v>45688.0</v>
      </c>
      <c r="L197" s="821" t="s">
        <v>3483</v>
      </c>
      <c r="M197" s="403"/>
      <c r="N197" s="403"/>
      <c r="O197" s="403"/>
      <c r="P197" s="403"/>
      <c r="Q197" s="403"/>
      <c r="R197" s="403"/>
      <c r="S197" s="403"/>
      <c r="T197" s="403"/>
      <c r="U197" s="403"/>
      <c r="V197" s="403"/>
      <c r="W197" s="403"/>
      <c r="X197" s="403"/>
      <c r="Y197" s="403"/>
      <c r="Z197" s="403"/>
    </row>
    <row r="198" ht="15.75" customHeight="1">
      <c r="A198" s="820" t="s">
        <v>2816</v>
      </c>
      <c r="B198" s="649"/>
      <c r="C198" s="822" t="s">
        <v>3484</v>
      </c>
      <c r="D198" s="651" t="s">
        <v>3210</v>
      </c>
      <c r="E198" s="683">
        <v>45555.0</v>
      </c>
      <c r="F198" s="683">
        <v>45555.0</v>
      </c>
      <c r="G198" s="683"/>
      <c r="H198" s="683">
        <v>45688.0</v>
      </c>
      <c r="I198" s="628">
        <f>IF(ISBLANK(H198), NETWORKDAYS(F198, TODAY(),fESTIVOS!$A$1:$A$18), NETWORKDAYS(F198, H198, fESTIVOS!$A$1:$A$18))</f>
        <v>92</v>
      </c>
      <c r="J198" s="683"/>
      <c r="K198" s="683">
        <v>45688.0</v>
      </c>
      <c r="L198" s="684" t="s">
        <v>3485</v>
      </c>
      <c r="M198" s="403"/>
      <c r="N198" s="403"/>
      <c r="O198" s="403"/>
      <c r="P198" s="403"/>
      <c r="Q198" s="403"/>
      <c r="R198" s="403"/>
      <c r="S198" s="403"/>
      <c r="T198" s="403"/>
      <c r="U198" s="403"/>
      <c r="V198" s="403"/>
      <c r="W198" s="403"/>
      <c r="X198" s="403"/>
      <c r="Y198" s="403"/>
      <c r="Z198" s="403"/>
    </row>
    <row r="199" ht="15.75" customHeight="1">
      <c r="A199" s="402" t="s">
        <v>2816</v>
      </c>
      <c r="B199" s="649"/>
      <c r="C199" s="823" t="s">
        <v>3486</v>
      </c>
      <c r="D199" s="651" t="s">
        <v>3210</v>
      </c>
      <c r="E199" s="413">
        <v>45566.0</v>
      </c>
      <c r="F199" s="413">
        <v>45568.0</v>
      </c>
      <c r="G199" s="413"/>
      <c r="H199" s="683">
        <v>45688.0</v>
      </c>
      <c r="I199" s="415">
        <f>IF(ISBLANK(H199), NETWORKDAYS(F199, TODAY(),fESTIVOS!$A$1:$A$18), NETWORKDAYS(F199, H199, fESTIVOS!$A$1:$A$18))</f>
        <v>83</v>
      </c>
      <c r="J199" s="413"/>
      <c r="K199" s="683">
        <v>45688.0</v>
      </c>
      <c r="L199" s="416" t="s">
        <v>3487</v>
      </c>
      <c r="M199" s="403"/>
      <c r="N199" s="403"/>
      <c r="O199" s="403"/>
      <c r="P199" s="403"/>
      <c r="Q199" s="403"/>
      <c r="R199" s="403"/>
      <c r="S199" s="403"/>
      <c r="T199" s="403"/>
      <c r="U199" s="403"/>
      <c r="V199" s="403"/>
      <c r="W199" s="403"/>
      <c r="X199" s="403"/>
      <c r="Y199" s="403"/>
      <c r="Z199" s="403"/>
    </row>
    <row r="200" ht="15.75" customHeight="1">
      <c r="A200" s="402" t="s">
        <v>2816</v>
      </c>
      <c r="B200" s="764"/>
      <c r="C200" s="823" t="s">
        <v>3488</v>
      </c>
      <c r="D200" s="651" t="s">
        <v>3210</v>
      </c>
      <c r="E200" s="413">
        <v>45566.0</v>
      </c>
      <c r="F200" s="413">
        <v>45566.0</v>
      </c>
      <c r="G200" s="413"/>
      <c r="H200" s="683">
        <v>45688.0</v>
      </c>
      <c r="I200" s="415">
        <f>IF(ISBLANK(H200), NETWORKDAYS(F200, TODAY(),fESTIVOS!$A$1:$A$18), NETWORKDAYS(F200, H200, fESTIVOS!$A$1:$A$18))</f>
        <v>85</v>
      </c>
      <c r="J200" s="413"/>
      <c r="K200" s="683">
        <v>45688.0</v>
      </c>
      <c r="L200" s="636" t="s">
        <v>3489</v>
      </c>
      <c r="M200" s="403"/>
      <c r="N200" s="403"/>
      <c r="O200" s="403"/>
      <c r="P200" s="403"/>
      <c r="Q200" s="403"/>
      <c r="R200" s="403"/>
      <c r="S200" s="403"/>
      <c r="T200" s="403"/>
      <c r="U200" s="403"/>
      <c r="V200" s="403"/>
      <c r="W200" s="403"/>
      <c r="X200" s="403"/>
      <c r="Y200" s="403"/>
      <c r="Z200" s="403"/>
    </row>
    <row r="201" ht="15.75" customHeight="1">
      <c r="A201" s="402" t="s">
        <v>2816</v>
      </c>
      <c r="B201" s="436" t="s">
        <v>3490</v>
      </c>
      <c r="C201" s="621"/>
      <c r="D201" s="635" t="s">
        <v>3210</v>
      </c>
      <c r="E201" s="413">
        <v>45386.0</v>
      </c>
      <c r="F201" s="413">
        <v>45386.0</v>
      </c>
      <c r="G201" s="413"/>
      <c r="H201" s="413">
        <v>45688.0</v>
      </c>
      <c r="I201" s="415">
        <f>IF(ISBLANK(H201), NETWORKDAYS(F201, TODAY(),fESTIVOS!$A$1:$A$18), NETWORKDAYS(F201, H201, fESTIVOS!$A$1:$A$18))</f>
        <v>206</v>
      </c>
      <c r="J201" s="413"/>
      <c r="K201" s="413">
        <v>45688.0</v>
      </c>
      <c r="L201" s="416" t="s">
        <v>3491</v>
      </c>
      <c r="M201" s="403"/>
      <c r="N201" s="403"/>
      <c r="O201" s="403"/>
      <c r="P201" s="403"/>
      <c r="Q201" s="403"/>
      <c r="R201" s="403"/>
      <c r="S201" s="403"/>
      <c r="T201" s="403"/>
      <c r="U201" s="403"/>
      <c r="V201" s="403"/>
      <c r="W201" s="403"/>
      <c r="X201" s="403"/>
      <c r="Y201" s="403"/>
      <c r="Z201" s="403"/>
    </row>
    <row r="202" ht="15.75" customHeight="1">
      <c r="A202" s="637" t="s">
        <v>3089</v>
      </c>
      <c r="B202" s="640" t="s">
        <v>3429</v>
      </c>
      <c r="C202" s="731"/>
      <c r="D202" s="667" t="s">
        <v>3210</v>
      </c>
      <c r="E202" s="413">
        <v>45602.0</v>
      </c>
      <c r="F202" s="685">
        <v>45624.0</v>
      </c>
      <c r="G202" s="413">
        <v>45630.0</v>
      </c>
      <c r="H202" s="413">
        <v>45646.0</v>
      </c>
      <c r="I202" s="415">
        <f>IF(ISBLANK(H202), NETWORKDAYS(F202, TODAY(),fESTIVOS!$A$1:$A$18), NETWORKDAYS(F202, H202, fESTIVOS!$A$1:$A$18))</f>
        <v>17</v>
      </c>
      <c r="J202" s="413">
        <v>45646.0</v>
      </c>
      <c r="K202" s="685">
        <v>45692.0</v>
      </c>
      <c r="L202" s="633" t="s">
        <v>3492</v>
      </c>
      <c r="M202" s="673"/>
      <c r="N202" s="409"/>
      <c r="O202" s="409"/>
      <c r="P202" s="409"/>
      <c r="Q202" s="409"/>
      <c r="R202" s="409"/>
      <c r="S202" s="409"/>
      <c r="T202" s="409"/>
      <c r="U202" s="409"/>
      <c r="V202" s="409"/>
      <c r="W202" s="409"/>
      <c r="X202" s="409"/>
      <c r="Y202" s="409"/>
      <c r="Z202" s="409"/>
    </row>
    <row r="203" ht="15.0" customHeight="1">
      <c r="A203" s="637" t="s">
        <v>3089</v>
      </c>
      <c r="B203" s="649"/>
      <c r="C203" s="587" t="s">
        <v>3493</v>
      </c>
      <c r="D203" s="651" t="s">
        <v>216</v>
      </c>
      <c r="E203" s="683">
        <v>45602.0</v>
      </c>
      <c r="F203" s="652">
        <v>45625.0</v>
      </c>
      <c r="G203" s="683"/>
      <c r="H203" s="651"/>
      <c r="I203" s="689">
        <f>IF(ISBLANK(H203), NETWORKDAYS(F203, TODAY(),fESTIVOS!$A$1:$A$18), NETWORKDAYS(F203, H203, fESTIVOS!$A$1:$A$18))</f>
        <v>402</v>
      </c>
      <c r="J203" s="661"/>
      <c r="K203" s="661"/>
      <c r="L203" s="653" t="s">
        <v>3494</v>
      </c>
      <c r="M203" s="673"/>
      <c r="N203" s="409"/>
      <c r="O203" s="409"/>
      <c r="P203" s="409"/>
      <c r="Q203" s="409"/>
      <c r="R203" s="409"/>
      <c r="S203" s="409"/>
      <c r="T203" s="409"/>
      <c r="U203" s="409"/>
      <c r="V203" s="409"/>
      <c r="W203" s="409"/>
      <c r="X203" s="409"/>
      <c r="Y203" s="409"/>
      <c r="Z203" s="409"/>
    </row>
    <row r="204" ht="15.75" customHeight="1">
      <c r="A204" s="637" t="s">
        <v>3089</v>
      </c>
      <c r="B204" s="649"/>
      <c r="C204" s="824" t="s">
        <v>3495</v>
      </c>
      <c r="D204" s="414" t="s">
        <v>76</v>
      </c>
      <c r="E204" s="711">
        <v>45632.0</v>
      </c>
      <c r="F204" s="685">
        <v>45642.0</v>
      </c>
      <c r="G204" s="413"/>
      <c r="H204" s="413">
        <v>45642.0</v>
      </c>
      <c r="I204" s="415">
        <f>IF(ISBLANK(H204), NETWORKDAYS(F204, TODAY(),fESTIVOS!$A$1:$A$18), NETWORKDAYS(F204, H204, fESTIVOS!$A$1:$A$18))</f>
        <v>1</v>
      </c>
      <c r="J204" s="413">
        <v>45643.0</v>
      </c>
      <c r="K204" s="672"/>
      <c r="L204" s="633"/>
      <c r="M204" s="673"/>
      <c r="N204" s="409"/>
      <c r="O204" s="409"/>
      <c r="P204" s="409"/>
      <c r="Q204" s="409"/>
      <c r="R204" s="409"/>
      <c r="S204" s="409"/>
      <c r="T204" s="409"/>
      <c r="U204" s="409"/>
      <c r="V204" s="409"/>
      <c r="W204" s="409"/>
      <c r="X204" s="409"/>
      <c r="Y204" s="409"/>
      <c r="Z204" s="409"/>
    </row>
    <row r="205" ht="15.75" customHeight="1">
      <c r="A205" s="637" t="s">
        <v>3089</v>
      </c>
      <c r="B205" s="649"/>
      <c r="C205" s="824" t="s">
        <v>3496</v>
      </c>
      <c r="D205" s="414" t="s">
        <v>76</v>
      </c>
      <c r="E205" s="711">
        <v>45632.0</v>
      </c>
      <c r="F205" s="685">
        <v>45642.0</v>
      </c>
      <c r="G205" s="413"/>
      <c r="H205" s="413">
        <v>45642.0</v>
      </c>
      <c r="I205" s="415">
        <f>IF(ISBLANK(H205), NETWORKDAYS(F205, TODAY(),fESTIVOS!$A$1:$A$18), NETWORKDAYS(F205, H205, fESTIVOS!$A$1:$A$18))</f>
        <v>1</v>
      </c>
      <c r="J205" s="413">
        <v>45643.0</v>
      </c>
      <c r="K205" s="672"/>
      <c r="L205" s="633"/>
      <c r="M205" s="673"/>
      <c r="N205" s="409"/>
      <c r="O205" s="409"/>
      <c r="P205" s="409"/>
      <c r="Q205" s="409"/>
      <c r="R205" s="409"/>
      <c r="S205" s="409"/>
      <c r="T205" s="409"/>
      <c r="U205" s="409"/>
      <c r="V205" s="409"/>
      <c r="W205" s="409"/>
      <c r="X205" s="409"/>
      <c r="Y205" s="409"/>
      <c r="Z205" s="409"/>
    </row>
    <row r="206" ht="15.75" customHeight="1">
      <c r="A206" s="637" t="s">
        <v>3089</v>
      </c>
      <c r="B206" s="649"/>
      <c r="C206" s="825" t="s">
        <v>3497</v>
      </c>
      <c r="D206" s="635" t="s">
        <v>3210</v>
      </c>
      <c r="E206" s="711">
        <v>45632.0</v>
      </c>
      <c r="F206" s="685">
        <v>45632.0</v>
      </c>
      <c r="G206" s="413"/>
      <c r="H206" s="632">
        <v>45635.0</v>
      </c>
      <c r="I206" s="415">
        <f>IF(ISBLANK(H206), NETWORKDAYS(F206, TODAY(),fESTIVOS!$A$1:$A$18), NETWORKDAYS(F206, H206, fESTIVOS!$A$1:$A$18))</f>
        <v>2</v>
      </c>
      <c r="J206" s="632">
        <v>45635.0</v>
      </c>
      <c r="K206" s="632">
        <v>45636.0</v>
      </c>
      <c r="L206" s="633" t="s">
        <v>3498</v>
      </c>
      <c r="M206" s="673"/>
      <c r="N206" s="409"/>
      <c r="O206" s="409"/>
      <c r="P206" s="409"/>
      <c r="Q206" s="409"/>
      <c r="R206" s="409"/>
      <c r="S206" s="409"/>
      <c r="T206" s="409"/>
      <c r="U206" s="409"/>
      <c r="V206" s="409"/>
      <c r="W206" s="409"/>
      <c r="X206" s="409"/>
      <c r="Y206" s="409"/>
      <c r="Z206" s="409"/>
    </row>
    <row r="207" ht="15.75" customHeight="1">
      <c r="A207" s="637" t="s">
        <v>3089</v>
      </c>
      <c r="B207" s="649"/>
      <c r="C207" s="451" t="s">
        <v>3499</v>
      </c>
      <c r="D207" s="635" t="s">
        <v>76</v>
      </c>
      <c r="E207" s="413">
        <v>45644.0</v>
      </c>
      <c r="F207" s="685">
        <v>45644.0</v>
      </c>
      <c r="G207" s="413"/>
      <c r="H207" s="632">
        <v>45646.0</v>
      </c>
      <c r="I207" s="415">
        <f>IF(ISBLANK(H207), NETWORKDAYS(F207, TODAY(),fESTIVOS!$A$1:$A$18), NETWORKDAYS(F207, H207, fESTIVOS!$A$1:$A$18))</f>
        <v>3</v>
      </c>
      <c r="J207" s="632"/>
      <c r="K207" s="632"/>
      <c r="L207" s="633" t="s">
        <v>3500</v>
      </c>
      <c r="M207" s="673"/>
      <c r="N207" s="409"/>
      <c r="O207" s="409"/>
      <c r="P207" s="409"/>
      <c r="Q207" s="409"/>
      <c r="R207" s="409"/>
      <c r="S207" s="409"/>
      <c r="T207" s="409"/>
      <c r="U207" s="409"/>
      <c r="V207" s="409"/>
      <c r="W207" s="409"/>
      <c r="X207" s="409"/>
      <c r="Y207" s="409"/>
      <c r="Z207" s="409"/>
    </row>
    <row r="208" ht="15.75" customHeight="1">
      <c r="A208" s="426" t="s">
        <v>3089</v>
      </c>
      <c r="B208" s="764"/>
      <c r="C208" s="419" t="s">
        <v>3501</v>
      </c>
      <c r="D208" s="667" t="s">
        <v>1053</v>
      </c>
      <c r="E208" s="445">
        <v>45660.0</v>
      </c>
      <c r="F208" s="445">
        <v>45660.0</v>
      </c>
      <c r="G208" s="445"/>
      <c r="H208" s="445">
        <v>45664.0</v>
      </c>
      <c r="I208" s="423">
        <f>IF(ISBLANK(H208), NETWORKDAYS(F208, TODAY(),fESTIVOS!$A$1:$A$18), NETWORKDAYS(F208, H208, fESTIVOS!$A$1:$A$18))</f>
        <v>3</v>
      </c>
      <c r="J208" s="445">
        <v>45664.0</v>
      </c>
      <c r="K208" s="445"/>
      <c r="L208" s="668" t="s">
        <v>3502</v>
      </c>
      <c r="M208" s="638"/>
      <c r="N208" s="403"/>
      <c r="O208" s="403"/>
      <c r="P208" s="403"/>
      <c r="Q208" s="403"/>
      <c r="R208" s="403"/>
      <c r="S208" s="403"/>
      <c r="T208" s="403"/>
      <c r="U208" s="403"/>
      <c r="V208" s="403"/>
      <c r="W208" s="403"/>
      <c r="X208" s="403"/>
      <c r="Y208" s="403"/>
      <c r="Z208" s="403"/>
    </row>
    <row r="209" ht="15.75" customHeight="1">
      <c r="A209" s="785" t="s">
        <v>2841</v>
      </c>
      <c r="B209" s="826" t="s">
        <v>3463</v>
      </c>
      <c r="C209" s="827" t="s">
        <v>3503</v>
      </c>
      <c r="D209" s="420" t="s">
        <v>3465</v>
      </c>
      <c r="E209" s="680">
        <v>45572.0</v>
      </c>
      <c r="F209" s="680">
        <v>45573.0</v>
      </c>
      <c r="G209" s="680">
        <v>45572.0</v>
      </c>
      <c r="H209" s="680">
        <v>45574.0</v>
      </c>
      <c r="I209" s="772">
        <f>IF(ISBLANK(H209), NETWORKDAYS(F209, TODAY(),fESTIVOS!$A$1:$A$18), NETWORKDAYS(F209, H209, fESTIVOS!$A$1:$A$18))</f>
        <v>2</v>
      </c>
      <c r="J209" s="680">
        <v>45629.0</v>
      </c>
      <c r="K209" s="680"/>
      <c r="L209" s="681" t="s">
        <v>3504</v>
      </c>
      <c r="M209" s="638"/>
      <c r="N209" s="403"/>
      <c r="O209" s="403"/>
      <c r="P209" s="403"/>
      <c r="Q209" s="403"/>
      <c r="R209" s="403"/>
      <c r="S209" s="403"/>
      <c r="T209" s="403"/>
      <c r="U209" s="403"/>
      <c r="V209" s="403"/>
      <c r="W209" s="403"/>
      <c r="X209" s="403"/>
      <c r="Y209" s="403"/>
      <c r="Z209" s="403"/>
    </row>
    <row r="210" ht="15.75" customHeight="1">
      <c r="A210" s="441" t="s">
        <v>2841</v>
      </c>
      <c r="B210" s="826" t="s">
        <v>3463</v>
      </c>
      <c r="C210" s="444" t="s">
        <v>3505</v>
      </c>
      <c r="D210" s="420" t="s">
        <v>3465</v>
      </c>
      <c r="E210" s="445">
        <v>45574.0</v>
      </c>
      <c r="F210" s="445">
        <v>45574.0</v>
      </c>
      <c r="G210" s="445">
        <v>45582.0</v>
      </c>
      <c r="H210" s="723">
        <v>45596.0</v>
      </c>
      <c r="I210" s="423">
        <f>IF(ISBLANK(H210), NETWORKDAYS(F210, TODAY(),fESTIVOS!$A$1:$A$18), NETWORKDAYS(F210, H210, fESTIVOS!$A$1:$A$18))</f>
        <v>16</v>
      </c>
      <c r="J210" s="680">
        <v>45629.0</v>
      </c>
      <c r="K210" s="445"/>
      <c r="L210" s="668" t="s">
        <v>3506</v>
      </c>
      <c r="M210" s="638"/>
      <c r="N210" s="403"/>
      <c r="O210" s="403"/>
      <c r="P210" s="403"/>
      <c r="Q210" s="403"/>
      <c r="R210" s="403"/>
      <c r="S210" s="403"/>
      <c r="T210" s="403"/>
      <c r="U210" s="403"/>
      <c r="V210" s="403"/>
      <c r="W210" s="403"/>
      <c r="X210" s="403"/>
      <c r="Y210" s="403"/>
      <c r="Z210" s="403"/>
    </row>
    <row r="211" ht="15.75" customHeight="1">
      <c r="A211" s="720" t="s">
        <v>2841</v>
      </c>
      <c r="B211" s="826" t="s">
        <v>3463</v>
      </c>
      <c r="C211" s="751" t="s">
        <v>3507</v>
      </c>
      <c r="D211" s="420" t="s">
        <v>3465</v>
      </c>
      <c r="E211" s="723">
        <v>45574.0</v>
      </c>
      <c r="F211" s="723">
        <v>45574.0</v>
      </c>
      <c r="G211" s="723">
        <v>45582.0</v>
      </c>
      <c r="H211" s="723">
        <v>45596.0</v>
      </c>
      <c r="I211" s="724">
        <f>IF(ISBLANK(H211), NETWORKDAYS(F211, TODAY(),fESTIVOS!$A$1:$A$18), NETWORKDAYS(F211, H211, fESTIVOS!$A$1:$A$18))</f>
        <v>16</v>
      </c>
      <c r="J211" s="680">
        <v>45629.0</v>
      </c>
      <c r="K211" s="723"/>
      <c r="L211" s="725" t="s">
        <v>3508</v>
      </c>
      <c r="M211" s="638"/>
      <c r="N211" s="403"/>
      <c r="O211" s="403"/>
      <c r="P211" s="403"/>
      <c r="Q211" s="403"/>
      <c r="R211" s="403"/>
      <c r="S211" s="403"/>
      <c r="T211" s="403"/>
      <c r="U211" s="403"/>
      <c r="V211" s="403"/>
      <c r="W211" s="403"/>
      <c r="X211" s="403"/>
      <c r="Y211" s="403"/>
      <c r="Z211" s="403"/>
    </row>
    <row r="212" ht="15.75" customHeight="1">
      <c r="A212" s="720" t="s">
        <v>2841</v>
      </c>
      <c r="B212" s="826" t="s">
        <v>3463</v>
      </c>
      <c r="C212" s="778" t="s">
        <v>3509</v>
      </c>
      <c r="D212" s="420" t="s">
        <v>3465</v>
      </c>
      <c r="E212" s="723">
        <v>45574.0</v>
      </c>
      <c r="F212" s="723">
        <v>45594.0</v>
      </c>
      <c r="G212" s="723">
        <v>45595.0</v>
      </c>
      <c r="H212" s="723">
        <v>45596.0</v>
      </c>
      <c r="I212" s="724">
        <f>IF(ISBLANK(H212), NETWORKDAYS(F212, TODAY(),fESTIVOS!$A$1:$A$18), NETWORKDAYS(F212, H212, fESTIVOS!$A$1:$A$18))</f>
        <v>3</v>
      </c>
      <c r="J212" s="680">
        <v>45629.0</v>
      </c>
      <c r="K212" s="723"/>
      <c r="L212" s="725" t="s">
        <v>3510</v>
      </c>
      <c r="M212" s="638"/>
      <c r="N212" s="403"/>
      <c r="O212" s="403"/>
      <c r="P212" s="403"/>
      <c r="Q212" s="403"/>
      <c r="R212" s="403"/>
      <c r="S212" s="403"/>
      <c r="T212" s="403"/>
      <c r="U212" s="403"/>
      <c r="V212" s="403"/>
      <c r="W212" s="403"/>
      <c r="X212" s="403"/>
      <c r="Y212" s="403"/>
      <c r="Z212" s="403"/>
    </row>
    <row r="213" ht="15.75" customHeight="1">
      <c r="A213" s="441" t="s">
        <v>2841</v>
      </c>
      <c r="B213" s="826" t="s">
        <v>3463</v>
      </c>
      <c r="C213" s="444" t="s">
        <v>3511</v>
      </c>
      <c r="D213" s="420" t="s">
        <v>3465</v>
      </c>
      <c r="E213" s="445">
        <v>45574.0</v>
      </c>
      <c r="F213" s="445">
        <v>45597.0</v>
      </c>
      <c r="G213" s="445">
        <v>45601.0</v>
      </c>
      <c r="H213" s="445"/>
      <c r="I213" s="423">
        <f>IF(ISBLANK(H213), NETWORKDAYS(F213, TODAY(),fESTIVOS!$A$1:$A$18), NETWORKDAYS(F213, H213, fESTIVOS!$A$1:$A$18))</f>
        <v>420</v>
      </c>
      <c r="J213" s="680">
        <v>45629.0</v>
      </c>
      <c r="K213" s="445"/>
      <c r="L213" s="668" t="s">
        <v>3512</v>
      </c>
      <c r="M213" s="638"/>
      <c r="N213" s="403"/>
      <c r="O213" s="403"/>
      <c r="P213" s="403"/>
      <c r="Q213" s="403"/>
      <c r="R213" s="403"/>
      <c r="S213" s="403"/>
      <c r="T213" s="403"/>
      <c r="U213" s="403"/>
      <c r="V213" s="403"/>
      <c r="W213" s="403"/>
      <c r="X213" s="403"/>
      <c r="Y213" s="403"/>
      <c r="Z213" s="403"/>
    </row>
    <row r="214" ht="15.75" customHeight="1">
      <c r="A214" s="441" t="s">
        <v>2841</v>
      </c>
      <c r="B214" s="826" t="s">
        <v>3463</v>
      </c>
      <c r="C214" s="784" t="s">
        <v>3513</v>
      </c>
      <c r="D214" s="420" t="s">
        <v>3465</v>
      </c>
      <c r="E214" s="445">
        <v>45574.0</v>
      </c>
      <c r="F214" s="680">
        <v>45602.0</v>
      </c>
      <c r="G214" s="680">
        <v>45604.0</v>
      </c>
      <c r="H214" s="680">
        <v>45609.0</v>
      </c>
      <c r="I214" s="423">
        <f>IF(ISBLANK(H214), NETWORKDAYS(F214, TODAY(),fESTIVOS!$A$1:$A$18), NETWORKDAYS(F214, H214, fESTIVOS!$A$1:$A$18))</f>
        <v>5</v>
      </c>
      <c r="J214" s="680">
        <v>45629.0</v>
      </c>
      <c r="K214" s="680"/>
      <c r="L214" s="681" t="s">
        <v>3514</v>
      </c>
      <c r="M214" s="638"/>
      <c r="N214" s="403"/>
      <c r="O214" s="403"/>
      <c r="P214" s="403"/>
      <c r="Q214" s="403"/>
      <c r="R214" s="403"/>
      <c r="S214" s="403"/>
      <c r="T214" s="403"/>
      <c r="U214" s="403"/>
      <c r="V214" s="403"/>
      <c r="W214" s="403"/>
      <c r="X214" s="403"/>
      <c r="Y214" s="403"/>
      <c r="Z214" s="403"/>
    </row>
    <row r="215" ht="15.75" customHeight="1">
      <c r="A215" s="441" t="s">
        <v>2841</v>
      </c>
      <c r="B215" s="826" t="s">
        <v>3463</v>
      </c>
      <c r="C215" s="784" t="s">
        <v>3515</v>
      </c>
      <c r="D215" s="420" t="s">
        <v>3465</v>
      </c>
      <c r="E215" s="445">
        <v>45574.0</v>
      </c>
      <c r="F215" s="680">
        <v>45610.0</v>
      </c>
      <c r="G215" s="680">
        <v>45617.0</v>
      </c>
      <c r="H215" s="680">
        <v>45617.0</v>
      </c>
      <c r="I215" s="423">
        <f>IF(ISBLANK(H215), NETWORKDAYS(F215, TODAY(),fESTIVOS!$A$1:$A$18), NETWORKDAYS(F215, H215, fESTIVOS!$A$1:$A$18))</f>
        <v>6</v>
      </c>
      <c r="J215" s="680">
        <v>45629.0</v>
      </c>
      <c r="K215" s="680"/>
      <c r="L215" s="681" t="s">
        <v>3516</v>
      </c>
      <c r="M215" s="638"/>
      <c r="N215" s="403"/>
      <c r="O215" s="403"/>
      <c r="P215" s="403"/>
      <c r="Q215" s="403"/>
      <c r="R215" s="403"/>
      <c r="S215" s="403"/>
      <c r="T215" s="403"/>
      <c r="U215" s="403"/>
      <c r="V215" s="403"/>
      <c r="W215" s="403"/>
      <c r="X215" s="403"/>
      <c r="Y215" s="403"/>
      <c r="Z215" s="403"/>
    </row>
    <row r="216" ht="15.75" customHeight="1">
      <c r="A216" s="441" t="s">
        <v>2841</v>
      </c>
      <c r="B216" s="826" t="s">
        <v>3463</v>
      </c>
      <c r="C216" s="784" t="s">
        <v>3517</v>
      </c>
      <c r="D216" s="420" t="s">
        <v>3465</v>
      </c>
      <c r="E216" s="445">
        <v>45574.0</v>
      </c>
      <c r="F216" s="680">
        <v>45617.0</v>
      </c>
      <c r="G216" s="680">
        <v>45617.0</v>
      </c>
      <c r="H216" s="680">
        <v>45617.0</v>
      </c>
      <c r="I216" s="423">
        <f>IF(ISBLANK(H216), NETWORKDAYS(F216, TODAY(),fESTIVOS!$A$1:$A$18), NETWORKDAYS(F216, H216, fESTIVOS!$A$1:$A$18))</f>
        <v>1</v>
      </c>
      <c r="J216" s="680">
        <v>45629.0</v>
      </c>
      <c r="K216" s="680"/>
      <c r="L216" s="681" t="s">
        <v>3518</v>
      </c>
      <c r="M216" s="638"/>
      <c r="N216" s="403"/>
      <c r="O216" s="403"/>
      <c r="P216" s="403"/>
      <c r="Q216" s="403"/>
      <c r="R216" s="403"/>
      <c r="S216" s="403"/>
      <c r="T216" s="403"/>
      <c r="U216" s="403"/>
      <c r="V216" s="403"/>
      <c r="W216" s="403"/>
      <c r="X216" s="403"/>
      <c r="Y216" s="403"/>
      <c r="Z216" s="403"/>
    </row>
    <row r="217" ht="15.75" customHeight="1">
      <c r="A217" s="441" t="s">
        <v>2841</v>
      </c>
      <c r="B217" s="826" t="s">
        <v>3463</v>
      </c>
      <c r="C217" s="784" t="s">
        <v>3519</v>
      </c>
      <c r="D217" s="420" t="s">
        <v>3465</v>
      </c>
      <c r="E217" s="445">
        <v>45574.0</v>
      </c>
      <c r="F217" s="680">
        <v>45618.0</v>
      </c>
      <c r="G217" s="680">
        <v>45621.0</v>
      </c>
      <c r="H217" s="680">
        <v>45625.0</v>
      </c>
      <c r="I217" s="423">
        <f>IF(ISBLANK(H217), NETWORKDAYS(F217, TODAY(),fESTIVOS!$A$1:$A$18), NETWORKDAYS(F217, H217, fESTIVOS!$A$1:$A$18))</f>
        <v>6</v>
      </c>
      <c r="J217" s="680">
        <v>45629.0</v>
      </c>
      <c r="K217" s="680"/>
      <c r="L217" s="681" t="s">
        <v>3520</v>
      </c>
      <c r="M217" s="638"/>
      <c r="N217" s="403"/>
      <c r="O217" s="403"/>
      <c r="P217" s="403"/>
      <c r="Q217" s="403"/>
      <c r="R217" s="403"/>
      <c r="S217" s="403"/>
      <c r="T217" s="403"/>
      <c r="U217" s="403"/>
      <c r="V217" s="403"/>
      <c r="W217" s="403"/>
      <c r="X217" s="403"/>
      <c r="Y217" s="403"/>
      <c r="Z217" s="403"/>
    </row>
    <row r="218" ht="15.75" customHeight="1">
      <c r="A218" s="441" t="s">
        <v>2841</v>
      </c>
      <c r="B218" s="826" t="s">
        <v>3463</v>
      </c>
      <c r="C218" s="784" t="s">
        <v>3521</v>
      </c>
      <c r="D218" s="420" t="s">
        <v>3465</v>
      </c>
      <c r="E218" s="445">
        <v>45574.0</v>
      </c>
      <c r="F218" s="680">
        <v>45621.0</v>
      </c>
      <c r="G218" s="680">
        <v>45621.0</v>
      </c>
      <c r="H218" s="680">
        <v>45625.0</v>
      </c>
      <c r="I218" s="423">
        <f>IF(ISBLANK(H218), NETWORKDAYS(F218, TODAY(),fESTIVOS!$A$1:$A$18), NETWORKDAYS(F218, H218, fESTIVOS!$A$1:$A$18))</f>
        <v>5</v>
      </c>
      <c r="J218" s="680">
        <v>45629.0</v>
      </c>
      <c r="K218" s="680"/>
      <c r="L218" s="681" t="s">
        <v>3522</v>
      </c>
      <c r="M218" s="638"/>
      <c r="N218" s="403"/>
      <c r="O218" s="403"/>
      <c r="P218" s="403"/>
      <c r="Q218" s="403"/>
      <c r="R218" s="403"/>
      <c r="S218" s="403"/>
      <c r="T218" s="403"/>
      <c r="U218" s="403"/>
      <c r="V218" s="403"/>
      <c r="W218" s="403"/>
      <c r="X218" s="403"/>
      <c r="Y218" s="403"/>
      <c r="Z218" s="403"/>
    </row>
    <row r="219" ht="15.75" customHeight="1">
      <c r="A219" s="441" t="s">
        <v>2841</v>
      </c>
      <c r="B219" s="826" t="s">
        <v>3463</v>
      </c>
      <c r="C219" s="784" t="s">
        <v>3523</v>
      </c>
      <c r="D219" s="420" t="s">
        <v>3465</v>
      </c>
      <c r="E219" s="445">
        <v>45574.0</v>
      </c>
      <c r="F219" s="680">
        <v>45625.0</v>
      </c>
      <c r="G219" s="680"/>
      <c r="H219" s="680">
        <v>45629.0</v>
      </c>
      <c r="I219" s="423">
        <f>IF(ISBLANK(H219), NETWORKDAYS(F219, TODAY(),fESTIVOS!$A$1:$A$18), NETWORKDAYS(F219, H219, fESTIVOS!$A$1:$A$18))</f>
        <v>3</v>
      </c>
      <c r="J219" s="680">
        <v>45629.0</v>
      </c>
      <c r="K219" s="680"/>
      <c r="L219" s="681" t="s">
        <v>3524</v>
      </c>
      <c r="M219" s="638"/>
      <c r="N219" s="403"/>
      <c r="O219" s="403"/>
      <c r="P219" s="403"/>
      <c r="Q219" s="403"/>
      <c r="R219" s="403"/>
      <c r="S219" s="403"/>
      <c r="T219" s="403"/>
      <c r="U219" s="403"/>
      <c r="V219" s="403"/>
      <c r="W219" s="403"/>
      <c r="X219" s="403"/>
      <c r="Y219" s="403"/>
      <c r="Z219" s="403"/>
    </row>
    <row r="220" ht="15.0" hidden="1" customHeight="1">
      <c r="A220" s="441"/>
      <c r="B220" s="828"/>
      <c r="C220" s="829"/>
      <c r="D220" s="830"/>
      <c r="E220" s="799"/>
      <c r="F220" s="680"/>
      <c r="G220" s="680"/>
      <c r="H220" s="680"/>
      <c r="I220" s="423"/>
      <c r="J220" s="680"/>
      <c r="K220" s="680"/>
      <c r="L220" s="681"/>
      <c r="M220" s="638"/>
      <c r="N220" s="403"/>
      <c r="O220" s="403"/>
      <c r="P220" s="403"/>
      <c r="Q220" s="403"/>
      <c r="R220" s="403"/>
      <c r="S220" s="403"/>
      <c r="T220" s="403"/>
      <c r="U220" s="403"/>
      <c r="V220" s="403"/>
      <c r="W220" s="403"/>
      <c r="X220" s="403"/>
      <c r="Y220" s="403"/>
      <c r="Z220" s="403"/>
    </row>
    <row r="221" ht="15.75" hidden="1" customHeight="1">
      <c r="A221" s="441" t="s">
        <v>2841</v>
      </c>
      <c r="B221" s="828"/>
      <c r="C221" s="831" t="s">
        <v>3525</v>
      </c>
      <c r="D221" s="832" t="s">
        <v>2844</v>
      </c>
      <c r="E221" s="762">
        <v>45574.0</v>
      </c>
      <c r="F221" s="680">
        <v>45631.0</v>
      </c>
      <c r="G221" s="680"/>
      <c r="H221" s="680"/>
      <c r="I221" s="423">
        <f>IF(ISBLANK(H221), NETWORKDAYS(F221, TODAY(),fESTIVOS!$A$1:$A$18), NETWORKDAYS(F221, H221, fESTIVOS!$A$1:$A$18))</f>
        <v>398</v>
      </c>
      <c r="J221" s="680"/>
      <c r="K221" s="680"/>
      <c r="L221" s="773" t="s">
        <v>3526</v>
      </c>
      <c r="M221" s="638"/>
      <c r="N221" s="403"/>
      <c r="O221" s="403"/>
      <c r="P221" s="403"/>
      <c r="Q221" s="403"/>
      <c r="R221" s="403"/>
      <c r="S221" s="403"/>
      <c r="T221" s="403"/>
      <c r="U221" s="403"/>
      <c r="V221" s="403"/>
      <c r="W221" s="403"/>
      <c r="X221" s="403"/>
      <c r="Y221" s="403"/>
      <c r="Z221" s="403"/>
    </row>
    <row r="222" ht="15.75" hidden="1" customHeight="1">
      <c r="A222" s="441" t="s">
        <v>2841</v>
      </c>
      <c r="B222" s="828"/>
      <c r="C222" s="831" t="s">
        <v>3527</v>
      </c>
      <c r="D222" s="832" t="s">
        <v>2844</v>
      </c>
      <c r="E222" s="762">
        <v>45574.0</v>
      </c>
      <c r="F222" s="680">
        <v>45631.0</v>
      </c>
      <c r="G222" s="680"/>
      <c r="H222" s="680"/>
      <c r="I222" s="423">
        <f>IF(ISBLANK(H222), NETWORKDAYS(F222, TODAY(),fESTIVOS!$A$1:$A$18), NETWORKDAYS(F222, H222, fESTIVOS!$A$1:$A$18))</f>
        <v>398</v>
      </c>
      <c r="J222" s="680"/>
      <c r="K222" s="680"/>
      <c r="L222" s="773" t="s">
        <v>3526</v>
      </c>
      <c r="M222" s="638"/>
      <c r="N222" s="403"/>
      <c r="O222" s="403"/>
      <c r="P222" s="403"/>
      <c r="Q222" s="403"/>
      <c r="R222" s="403"/>
      <c r="S222" s="403"/>
      <c r="T222" s="403"/>
      <c r="U222" s="403"/>
      <c r="V222" s="403"/>
      <c r="W222" s="403"/>
      <c r="X222" s="403"/>
      <c r="Y222" s="403"/>
      <c r="Z222" s="403"/>
    </row>
    <row r="223" ht="15.75" hidden="1" customHeight="1">
      <c r="A223" s="441" t="s">
        <v>2841</v>
      </c>
      <c r="B223" s="828"/>
      <c r="C223" s="833" t="s">
        <v>3528</v>
      </c>
      <c r="D223" s="832" t="s">
        <v>2844</v>
      </c>
      <c r="E223" s="762">
        <v>45574.0</v>
      </c>
      <c r="F223" s="680">
        <v>45631.0</v>
      </c>
      <c r="G223" s="680"/>
      <c r="H223" s="680"/>
      <c r="I223" s="423">
        <f>IF(ISBLANK(H223), NETWORKDAYS(F223, TODAY(),fESTIVOS!$A$1:$A$18), NETWORKDAYS(F223, H223, fESTIVOS!$A$1:$A$18))</f>
        <v>398</v>
      </c>
      <c r="J223" s="680"/>
      <c r="K223" s="680"/>
      <c r="L223" s="773" t="s">
        <v>3529</v>
      </c>
      <c r="M223" s="638"/>
      <c r="N223" s="403"/>
      <c r="O223" s="403"/>
      <c r="P223" s="403"/>
      <c r="Q223" s="403"/>
      <c r="R223" s="403"/>
      <c r="S223" s="403"/>
      <c r="T223" s="403"/>
      <c r="U223" s="403"/>
      <c r="V223" s="403"/>
      <c r="W223" s="403"/>
      <c r="X223" s="403"/>
      <c r="Y223" s="403"/>
      <c r="Z223" s="403"/>
    </row>
    <row r="224" ht="15.75" hidden="1" customHeight="1">
      <c r="A224" s="720" t="s">
        <v>2841</v>
      </c>
      <c r="B224" s="828"/>
      <c r="C224" s="834" t="s">
        <v>3530</v>
      </c>
      <c r="D224" s="832" t="s">
        <v>2844</v>
      </c>
      <c r="E224" s="835">
        <v>45574.0</v>
      </c>
      <c r="F224" s="700">
        <v>45638.0</v>
      </c>
      <c r="G224" s="700"/>
      <c r="H224" s="700"/>
      <c r="I224" s="724">
        <f>IF(ISBLANK(H224), NETWORKDAYS(F224, TODAY(),fESTIVOS!$A$1:$A$18), NETWORKDAYS(F224, H224, fESTIVOS!$A$1:$A$18))</f>
        <v>393</v>
      </c>
      <c r="J224" s="700"/>
      <c r="K224" s="700"/>
      <c r="L224" s="836" t="s">
        <v>3531</v>
      </c>
      <c r="M224" s="638"/>
      <c r="N224" s="403"/>
      <c r="O224" s="403"/>
      <c r="P224" s="403"/>
      <c r="Q224" s="403"/>
      <c r="R224" s="403"/>
      <c r="S224" s="403"/>
      <c r="T224" s="403"/>
      <c r="U224" s="403"/>
      <c r="V224" s="403"/>
      <c r="W224" s="403"/>
      <c r="X224" s="403"/>
      <c r="Y224" s="403"/>
      <c r="Z224" s="403"/>
    </row>
    <row r="225" ht="15.75" hidden="1" customHeight="1">
      <c r="A225" s="441" t="s">
        <v>2841</v>
      </c>
      <c r="B225" s="828"/>
      <c r="C225" s="436" t="s">
        <v>3532</v>
      </c>
      <c r="D225" s="832" t="s">
        <v>2844</v>
      </c>
      <c r="E225" s="445">
        <v>45636.0</v>
      </c>
      <c r="F225" s="445">
        <v>45636.0</v>
      </c>
      <c r="G225" s="445"/>
      <c r="H225" s="445"/>
      <c r="I225" s="423">
        <f>IF(ISBLANK(H225), NETWORKDAYS(F225, TODAY(),fESTIVOS!$A$1:$A$18), NETWORKDAYS(F225, H225, fESTIVOS!$A$1:$A$18))</f>
        <v>395</v>
      </c>
      <c r="J225" s="445">
        <v>45645.0</v>
      </c>
      <c r="K225" s="445"/>
      <c r="L225" s="763" t="s">
        <v>3533</v>
      </c>
      <c r="M225" s="638"/>
      <c r="N225" s="403"/>
      <c r="O225" s="403"/>
      <c r="P225" s="403"/>
      <c r="Q225" s="403"/>
      <c r="R225" s="403"/>
      <c r="S225" s="403"/>
      <c r="T225" s="403"/>
      <c r="U225" s="403"/>
      <c r="V225" s="403"/>
      <c r="W225" s="403"/>
      <c r="X225" s="403"/>
      <c r="Y225" s="403"/>
      <c r="Z225" s="403"/>
    </row>
    <row r="226" ht="15.75" hidden="1" customHeight="1">
      <c r="A226" s="441" t="s">
        <v>2841</v>
      </c>
      <c r="B226" s="828"/>
      <c r="C226" s="436" t="s">
        <v>3534</v>
      </c>
      <c r="D226" s="667" t="s">
        <v>1053</v>
      </c>
      <c r="E226" s="445">
        <v>45645.0</v>
      </c>
      <c r="F226" s="445">
        <v>45646.0</v>
      </c>
      <c r="G226" s="445"/>
      <c r="H226" s="445"/>
      <c r="I226" s="423">
        <f>IF(ISBLANK(H226), NETWORKDAYS(F226, TODAY(),fESTIVOS!$A$1:$A$18), NETWORKDAYS(F226, H226, fESTIVOS!$A$1:$A$18))</f>
        <v>387</v>
      </c>
      <c r="J226" s="445">
        <v>45664.0</v>
      </c>
      <c r="K226" s="445"/>
      <c r="L226" s="763" t="s">
        <v>3535</v>
      </c>
      <c r="M226" s="638"/>
      <c r="N226" s="403"/>
      <c r="O226" s="403"/>
      <c r="P226" s="403"/>
      <c r="Q226" s="403"/>
      <c r="R226" s="403"/>
      <c r="S226" s="403"/>
      <c r="T226" s="403"/>
      <c r="U226" s="403"/>
      <c r="V226" s="403"/>
      <c r="W226" s="403"/>
      <c r="X226" s="403"/>
      <c r="Y226" s="403"/>
      <c r="Z226" s="403"/>
    </row>
    <row r="227" ht="15.75" hidden="1" customHeight="1">
      <c r="A227" s="441" t="s">
        <v>2841</v>
      </c>
      <c r="B227" s="837"/>
      <c r="C227" s="436" t="s">
        <v>3536</v>
      </c>
      <c r="D227" s="667" t="s">
        <v>1053</v>
      </c>
      <c r="E227" s="445">
        <v>45652.0</v>
      </c>
      <c r="F227" s="445">
        <v>45652.0</v>
      </c>
      <c r="G227" s="445"/>
      <c r="H227" s="445"/>
      <c r="I227" s="423">
        <f>IF(ISBLANK(H227), NETWORKDAYS(F227, TODAY(),fESTIVOS!$A$1:$A$18), NETWORKDAYS(F227, H227, fESTIVOS!$A$1:$A$18))</f>
        <v>384</v>
      </c>
      <c r="J227" s="445">
        <v>45664.0</v>
      </c>
      <c r="K227" s="445"/>
      <c r="L227" s="763" t="s">
        <v>3537</v>
      </c>
      <c r="M227" s="638"/>
      <c r="N227" s="403"/>
      <c r="O227" s="403"/>
      <c r="P227" s="403"/>
      <c r="Q227" s="403"/>
      <c r="R227" s="403"/>
      <c r="S227" s="403"/>
      <c r="T227" s="403"/>
      <c r="U227" s="403"/>
      <c r="V227" s="403"/>
      <c r="W227" s="403"/>
      <c r="X227" s="403"/>
      <c r="Y227" s="403"/>
      <c r="Z227" s="403"/>
    </row>
    <row r="228" ht="15.75" customHeight="1">
      <c r="A228" s="426" t="s">
        <v>3089</v>
      </c>
      <c r="B228" s="426" t="s">
        <v>3429</v>
      </c>
      <c r="C228" s="447" t="s">
        <v>3538</v>
      </c>
      <c r="D228" s="667" t="s">
        <v>3210</v>
      </c>
      <c r="E228" s="445">
        <v>45678.0</v>
      </c>
      <c r="F228" s="445">
        <v>45678.0</v>
      </c>
      <c r="G228" s="445"/>
      <c r="H228" s="445">
        <v>45678.0</v>
      </c>
      <c r="I228" s="838">
        <f>IF(ISBLANK(H228), NETWORKDAYS(F228, TODAY(),fESTIVOS!$A$1:$A$18), NETWORKDAYS(F228, H228, fESTIVOS!$A$1:$A$18))</f>
        <v>1</v>
      </c>
      <c r="J228" s="421">
        <v>45678.0</v>
      </c>
      <c r="K228" s="685">
        <v>45692.0</v>
      </c>
      <c r="L228" s="800" t="s">
        <v>3539</v>
      </c>
    </row>
    <row r="229" ht="15.75" customHeight="1">
      <c r="A229" s="426" t="s">
        <v>3089</v>
      </c>
      <c r="B229" s="419" t="s">
        <v>3540</v>
      </c>
      <c r="C229" s="444"/>
      <c r="D229" s="667" t="s">
        <v>11</v>
      </c>
      <c r="E229" s="445">
        <v>45687.0</v>
      </c>
      <c r="F229" s="445">
        <v>45688.0</v>
      </c>
      <c r="G229" s="445"/>
      <c r="H229" s="445">
        <v>45688.0</v>
      </c>
      <c r="I229" s="423">
        <f>IF(ISBLANK(H229), NETWORKDAYS(F229, TODAY(),fESTIVOS!$A$1:$A$18), NETWORKDAYS(F229, H229, fESTIVOS!$A$1:$A$18))</f>
        <v>1</v>
      </c>
      <c r="J229" s="445"/>
      <c r="K229" s="445"/>
      <c r="L229" s="668" t="s">
        <v>3541</v>
      </c>
      <c r="M229" s="638"/>
      <c r="N229" s="403"/>
      <c r="O229" s="403"/>
      <c r="P229" s="403"/>
      <c r="Q229" s="403"/>
      <c r="R229" s="403"/>
      <c r="S229" s="403"/>
      <c r="T229" s="403"/>
      <c r="U229" s="403"/>
      <c r="V229" s="403"/>
      <c r="W229" s="403"/>
      <c r="X229" s="403"/>
      <c r="Y229" s="403"/>
      <c r="Z229" s="403"/>
    </row>
    <row r="230" ht="15.75" customHeight="1">
      <c r="A230" s="441" t="s">
        <v>2841</v>
      </c>
      <c r="B230" s="669" t="s">
        <v>3542</v>
      </c>
      <c r="C230" s="443"/>
      <c r="D230" s="667" t="s">
        <v>76</v>
      </c>
      <c r="E230" s="445">
        <v>45692.0</v>
      </c>
      <c r="F230" s="446">
        <v>45693.0</v>
      </c>
      <c r="G230" s="812"/>
      <c r="H230" s="446">
        <v>45693.0</v>
      </c>
      <c r="I230" s="423">
        <f>IF(ISBLANK(H230), NETWORKDAYS(F230, TODAY(),fESTIVOS!$A$1:$A$18), NETWORKDAYS(F230, H230, fESTIVOS!$A$1:$A$18))</f>
        <v>1</v>
      </c>
      <c r="J230" s="443"/>
      <c r="K230" s="672"/>
      <c r="L230" s="632" t="s">
        <v>3543</v>
      </c>
      <c r="M230" s="448"/>
      <c r="N230" s="448"/>
      <c r="O230" s="448"/>
      <c r="P230" s="448"/>
      <c r="Q230" s="448"/>
      <c r="R230" s="448"/>
      <c r="S230" s="448"/>
      <c r="T230" s="448"/>
      <c r="U230" s="448"/>
      <c r="V230" s="448"/>
      <c r="W230" s="448"/>
      <c r="X230" s="448"/>
      <c r="Y230" s="448"/>
      <c r="Z230" s="448"/>
    </row>
    <row r="231" ht="15.75" customHeight="1">
      <c r="A231" s="426" t="s">
        <v>3089</v>
      </c>
      <c r="B231" s="419" t="s">
        <v>3544</v>
      </c>
      <c r="C231" s="444"/>
      <c r="D231" s="667" t="s">
        <v>76</v>
      </c>
      <c r="E231" s="445">
        <v>45692.0</v>
      </c>
      <c r="F231" s="445">
        <v>45693.0</v>
      </c>
      <c r="G231" s="445"/>
      <c r="H231" s="445">
        <v>45693.0</v>
      </c>
      <c r="I231" s="423">
        <f>IF(ISBLANK(H231), NETWORKDAYS(F231, TODAY(),fESTIVOS!$A$1:$A$18), NETWORKDAYS(F231, H231, fESTIVOS!$A$1:$A$18))</f>
        <v>1</v>
      </c>
      <c r="J231" s="445"/>
      <c r="K231" s="445">
        <v>45693.0</v>
      </c>
      <c r="L231" s="763" t="s">
        <v>3545</v>
      </c>
      <c r="M231" s="638"/>
      <c r="N231" s="403"/>
      <c r="O231" s="403"/>
      <c r="P231" s="403"/>
      <c r="Q231" s="403"/>
      <c r="R231" s="403"/>
      <c r="S231" s="403"/>
      <c r="T231" s="403"/>
      <c r="U231" s="403"/>
      <c r="V231" s="403"/>
      <c r="W231" s="403"/>
      <c r="X231" s="403"/>
      <c r="Y231" s="403"/>
      <c r="Z231" s="403"/>
    </row>
    <row r="232" ht="15.75" customHeight="1">
      <c r="A232" s="426" t="s">
        <v>3089</v>
      </c>
      <c r="B232" s="419" t="s">
        <v>3546</v>
      </c>
      <c r="C232" s="444"/>
      <c r="D232" s="667" t="s">
        <v>76</v>
      </c>
      <c r="E232" s="445">
        <v>45692.0</v>
      </c>
      <c r="F232" s="445">
        <v>45693.0</v>
      </c>
      <c r="G232" s="445"/>
      <c r="H232" s="445">
        <v>45693.0</v>
      </c>
      <c r="I232" s="423">
        <f>IF(ISBLANK(H232), NETWORKDAYS(F232, TODAY(),fESTIVOS!$A$1:$A$18), NETWORKDAYS(F232, H232, fESTIVOS!$A$1:$A$18))</f>
        <v>1</v>
      </c>
      <c r="J232" s="445"/>
      <c r="K232" s="445">
        <v>45693.0</v>
      </c>
      <c r="L232" s="763" t="s">
        <v>3545</v>
      </c>
      <c r="M232" s="638"/>
      <c r="N232" s="403"/>
      <c r="O232" s="403"/>
      <c r="P232" s="403"/>
      <c r="Q232" s="403"/>
      <c r="R232" s="403"/>
      <c r="S232" s="403"/>
      <c r="T232" s="403"/>
      <c r="U232" s="403"/>
      <c r="V232" s="403"/>
      <c r="W232" s="403"/>
      <c r="X232" s="403"/>
      <c r="Y232" s="403"/>
      <c r="Z232" s="403"/>
    </row>
    <row r="233" ht="15.75" customHeight="1">
      <c r="A233" s="441" t="s">
        <v>2841</v>
      </c>
      <c r="B233" s="669" t="s">
        <v>3547</v>
      </c>
      <c r="C233" s="800" t="s">
        <v>3548</v>
      </c>
      <c r="D233" s="420" t="s">
        <v>76</v>
      </c>
      <c r="E233" s="445">
        <v>45698.0</v>
      </c>
      <c r="F233" s="445">
        <v>45698.0</v>
      </c>
      <c r="G233" s="421"/>
      <c r="H233" s="667"/>
      <c r="I233" s="423">
        <f>IF(ISBLANK(H233), NETWORKDAYS(F233, TODAY(),fESTIVOS!$A$1:$A$18), NETWORKDAYS(F233, H233, fESTIVOS!$A$1:$A$18))</f>
        <v>352</v>
      </c>
      <c r="J233" s="443"/>
      <c r="K233" s="812"/>
      <c r="L233" s="839"/>
      <c r="M233" s="448"/>
      <c r="N233" s="448"/>
      <c r="O233" s="448"/>
      <c r="P233" s="448"/>
      <c r="Q233" s="448"/>
      <c r="R233" s="448"/>
      <c r="S233" s="448"/>
      <c r="T233" s="448"/>
      <c r="U233" s="448"/>
      <c r="V233" s="448"/>
      <c r="W233" s="448"/>
      <c r="X233" s="448"/>
      <c r="Y233" s="448"/>
      <c r="Z233" s="448"/>
    </row>
    <row r="234" ht="15.75" customHeight="1">
      <c r="A234" s="441" t="s">
        <v>2841</v>
      </c>
      <c r="B234" s="669" t="s">
        <v>3547</v>
      </c>
      <c r="C234" s="840" t="s">
        <v>3549</v>
      </c>
      <c r="D234" s="420" t="s">
        <v>76</v>
      </c>
      <c r="E234" s="445">
        <v>45698.0</v>
      </c>
      <c r="F234" s="445">
        <v>45698.0</v>
      </c>
      <c r="G234" s="421"/>
      <c r="H234" s="445">
        <v>45699.0</v>
      </c>
      <c r="I234" s="423">
        <f>IF(ISBLANK(H234), NETWORKDAYS(F234, TODAY(),fESTIVOS!$A$1:$A$18), NETWORKDAYS(F234, H234, fESTIVOS!$A$1:$A$18))</f>
        <v>2</v>
      </c>
      <c r="J234" s="443"/>
      <c r="K234" s="812"/>
      <c r="L234" s="839"/>
      <c r="M234" s="448"/>
      <c r="N234" s="448"/>
      <c r="O234" s="448"/>
      <c r="P234" s="448"/>
      <c r="Q234" s="448"/>
      <c r="R234" s="448"/>
      <c r="S234" s="448"/>
      <c r="T234" s="448"/>
      <c r="U234" s="448"/>
      <c r="V234" s="448"/>
      <c r="W234" s="448"/>
      <c r="X234" s="448"/>
      <c r="Y234" s="448"/>
      <c r="Z234" s="448"/>
    </row>
    <row r="235" ht="15.75" customHeight="1">
      <c r="A235" s="641" t="s">
        <v>2816</v>
      </c>
      <c r="B235" s="841" t="s">
        <v>3550</v>
      </c>
      <c r="C235" s="842" t="s">
        <v>3551</v>
      </c>
      <c r="D235" s="625" t="s">
        <v>3210</v>
      </c>
      <c r="E235" s="626">
        <v>45684.0</v>
      </c>
      <c r="F235" s="626">
        <v>45684.0</v>
      </c>
      <c r="G235" s="626"/>
      <c r="H235" s="626">
        <v>45700.0</v>
      </c>
      <c r="I235" s="647">
        <f>IF(ISBLANK(H235), NETWORKDAYS(F235, TODAY(),fESTIVOS!$A$1:$A$18), NETWORKDAYS(F235, H235, fESTIVOS!$A$1:$A$18))</f>
        <v>13</v>
      </c>
      <c r="J235" s="626"/>
      <c r="K235" s="626">
        <v>45700.0</v>
      </c>
      <c r="L235" s="629" t="s">
        <v>3552</v>
      </c>
      <c r="M235" s="403"/>
      <c r="N235" s="403"/>
      <c r="O235" s="403"/>
      <c r="P235" s="403"/>
      <c r="Q235" s="403"/>
      <c r="R235" s="403"/>
      <c r="S235" s="403"/>
      <c r="T235" s="403"/>
      <c r="U235" s="403"/>
      <c r="V235" s="403"/>
      <c r="W235" s="403"/>
      <c r="X235" s="403"/>
      <c r="Y235" s="403"/>
      <c r="Z235" s="403"/>
    </row>
    <row r="236" ht="15.75" customHeight="1">
      <c r="A236" s="441" t="s">
        <v>2841</v>
      </c>
      <c r="B236" s="669" t="s">
        <v>3553</v>
      </c>
      <c r="C236" s="443"/>
      <c r="D236" s="667" t="s">
        <v>76</v>
      </c>
      <c r="E236" s="445">
        <v>45700.0</v>
      </c>
      <c r="F236" s="445">
        <v>45700.0</v>
      </c>
      <c r="G236" s="421"/>
      <c r="H236" s="445">
        <v>45700.0</v>
      </c>
      <c r="I236" s="423">
        <f>IF(ISBLANK(H236), NETWORKDAYS(F236, TODAY(),fESTIVOS!$A$1:$A$18), NETWORKDAYS(F236, H236, fESTIVOS!$A$1:$A$18))</f>
        <v>1</v>
      </c>
      <c r="J236" s="443"/>
      <c r="K236" s="443"/>
      <c r="L236" s="763"/>
      <c r="M236" s="448"/>
      <c r="N236" s="448"/>
      <c r="O236" s="448"/>
      <c r="P236" s="448"/>
      <c r="Q236" s="448"/>
      <c r="R236" s="448"/>
      <c r="S236" s="448"/>
      <c r="T236" s="448"/>
      <c r="U236" s="448"/>
      <c r="V236" s="448"/>
      <c r="W236" s="448"/>
      <c r="X236" s="448"/>
      <c r="Y236" s="448"/>
      <c r="Z236" s="448"/>
    </row>
    <row r="237" ht="15.75" customHeight="1">
      <c r="A237" s="441" t="s">
        <v>2841</v>
      </c>
      <c r="B237" s="843" t="s">
        <v>3554</v>
      </c>
      <c r="C237" s="631" t="s">
        <v>2843</v>
      </c>
      <c r="D237" s="667" t="s">
        <v>3555</v>
      </c>
      <c r="E237" s="445">
        <v>45665.0</v>
      </c>
      <c r="F237" s="445">
        <v>45665.0</v>
      </c>
      <c r="G237" s="445">
        <v>45667.0</v>
      </c>
      <c r="H237" s="445">
        <v>45670.0</v>
      </c>
      <c r="I237" s="423">
        <f>IF(ISBLANK(H237), NETWORKDAYS(F237, TODAY(),fESTIVOS!$A$1:$A$18), NETWORKDAYS(F237, H237, fESTIVOS!$A$1:$A$18))</f>
        <v>4</v>
      </c>
      <c r="J237" s="445"/>
      <c r="K237" s="445"/>
      <c r="L237" s="763"/>
      <c r="M237" s="638"/>
      <c r="N237" s="403"/>
      <c r="O237" s="403"/>
      <c r="P237" s="403"/>
      <c r="Q237" s="403"/>
      <c r="R237" s="403"/>
      <c r="S237" s="403"/>
      <c r="T237" s="403"/>
      <c r="U237" s="403"/>
      <c r="V237" s="403"/>
      <c r="W237" s="403"/>
      <c r="X237" s="403"/>
      <c r="Y237" s="403"/>
      <c r="Z237" s="403"/>
    </row>
    <row r="238" ht="15.75" customHeight="1">
      <c r="A238" s="441" t="s">
        <v>2841</v>
      </c>
      <c r="B238" s="844"/>
      <c r="C238" s="631" t="s">
        <v>3556</v>
      </c>
      <c r="D238" s="420" t="s">
        <v>3210</v>
      </c>
      <c r="E238" s="445">
        <v>45665.0</v>
      </c>
      <c r="F238" s="445">
        <v>45666.0</v>
      </c>
      <c r="G238" s="445"/>
      <c r="H238" s="445">
        <v>45670.0</v>
      </c>
      <c r="I238" s="423">
        <f>IF(ISBLANK(H238), NETWORKDAYS(F238, TODAY(),fESTIVOS!$A$1:$A$18), NETWORKDAYS(F238, H238, fESTIVOS!$A$1:$A$18))</f>
        <v>3</v>
      </c>
      <c r="J238" s="445">
        <v>45670.0</v>
      </c>
      <c r="K238" s="445"/>
      <c r="L238" s="763" t="s">
        <v>3557</v>
      </c>
      <c r="M238" s="638"/>
      <c r="N238" s="403"/>
      <c r="O238" s="403"/>
      <c r="P238" s="403"/>
      <c r="Q238" s="403"/>
      <c r="R238" s="403"/>
      <c r="S238" s="403"/>
      <c r="T238" s="403"/>
      <c r="U238" s="403"/>
      <c r="V238" s="403"/>
      <c r="W238" s="403"/>
      <c r="X238" s="403"/>
      <c r="Y238" s="403"/>
      <c r="Z238" s="403"/>
    </row>
    <row r="239" ht="15.75" customHeight="1">
      <c r="A239" s="426" t="s">
        <v>2831</v>
      </c>
      <c r="B239" s="426" t="s">
        <v>3558</v>
      </c>
      <c r="C239" s="426" t="s">
        <v>3559</v>
      </c>
      <c r="D239" s="420" t="s">
        <v>76</v>
      </c>
      <c r="E239" s="445">
        <v>45692.0</v>
      </c>
      <c r="F239" s="427">
        <v>45701.0</v>
      </c>
      <c r="G239" s="420"/>
      <c r="H239" s="427">
        <v>45701.0</v>
      </c>
      <c r="I239" s="423">
        <f>IF(ISBLANK(H239), NETWORKDAYS(F239, TODAY(),fESTIVOS!$A$1:$A$18), NETWORKDAYS(F239, H239, fESTIVOS!$A$1:$A$18))</f>
        <v>1</v>
      </c>
      <c r="J239" s="441"/>
      <c r="K239" s="441"/>
      <c r="L239" s="845" t="s">
        <v>3560</v>
      </c>
      <c r="M239" s="638"/>
      <c r="N239" s="403"/>
      <c r="O239" s="403"/>
      <c r="P239" s="403"/>
      <c r="Q239" s="403"/>
      <c r="R239" s="403"/>
      <c r="S239" s="403"/>
      <c r="T239" s="403"/>
      <c r="U239" s="403"/>
      <c r="V239" s="403"/>
      <c r="W239" s="403"/>
      <c r="X239" s="403"/>
      <c r="Y239" s="403"/>
      <c r="Z239" s="403"/>
    </row>
    <row r="240" ht="15.75" customHeight="1">
      <c r="A240" s="640" t="s">
        <v>3089</v>
      </c>
      <c r="B240" s="649"/>
      <c r="C240" s="782" t="s">
        <v>3561</v>
      </c>
      <c r="D240" s="645" t="s">
        <v>76</v>
      </c>
      <c r="E240" s="714">
        <v>45588.0</v>
      </c>
      <c r="F240" s="646">
        <v>45631.0</v>
      </c>
      <c r="G240" s="646"/>
      <c r="H240" s="646">
        <v>45631.0</v>
      </c>
      <c r="I240" s="647">
        <f>IF(ISBLANK(H240), NETWORKDAYS(F240, TODAY(),fESTIVOS!$A$1:$A$18), NETWORKDAYS(F240, H240, fESTIVOS!$A$1:$A$18))</f>
        <v>1</v>
      </c>
      <c r="J240" s="646">
        <v>45631.0</v>
      </c>
      <c r="K240" s="646">
        <v>45631.0</v>
      </c>
      <c r="L240" s="674" t="s">
        <v>3562</v>
      </c>
      <c r="M240" s="673"/>
      <c r="N240" s="409"/>
      <c r="O240" s="409"/>
      <c r="P240" s="409"/>
      <c r="Q240" s="409"/>
      <c r="R240" s="409"/>
      <c r="S240" s="409"/>
      <c r="T240" s="409"/>
      <c r="U240" s="409"/>
      <c r="V240" s="409"/>
      <c r="W240" s="409"/>
      <c r="X240" s="409"/>
      <c r="Y240" s="409"/>
      <c r="Z240" s="409"/>
    </row>
    <row r="241" ht="15.75" customHeight="1">
      <c r="A241" s="640" t="s">
        <v>3089</v>
      </c>
      <c r="B241" s="649"/>
      <c r="C241" s="782" t="s">
        <v>3563</v>
      </c>
      <c r="D241" s="645" t="s">
        <v>76</v>
      </c>
      <c r="E241" s="714">
        <v>45643.0</v>
      </c>
      <c r="F241" s="646"/>
      <c r="G241" s="646"/>
      <c r="H241" s="646"/>
      <c r="I241" s="647">
        <f>IF(ISBLANK(H241), NETWORKDAYS(F241, TODAY(),fESTIVOS!$A$1:$A$18), NETWORKDAYS(F241, H241, fESTIVOS!$A$1:$A$18))</f>
        <v>32976</v>
      </c>
      <c r="J241" s="646"/>
      <c r="K241" s="646"/>
      <c r="L241" s="787" t="s">
        <v>3564</v>
      </c>
      <c r="M241" s="673"/>
      <c r="N241" s="409"/>
      <c r="O241" s="409"/>
      <c r="P241" s="409"/>
      <c r="Q241" s="409"/>
      <c r="R241" s="409"/>
      <c r="S241" s="409"/>
      <c r="T241" s="409"/>
      <c r="U241" s="409"/>
      <c r="V241" s="409"/>
      <c r="W241" s="409"/>
      <c r="X241" s="409"/>
      <c r="Y241" s="409"/>
      <c r="Z241" s="409"/>
    </row>
    <row r="242" ht="15.75" hidden="1" customHeight="1">
      <c r="D242" s="846"/>
    </row>
    <row r="243" ht="15.75" hidden="1" customHeight="1">
      <c r="A243" s="417" t="s">
        <v>2823</v>
      </c>
      <c r="B243" s="761" t="s">
        <v>3565</v>
      </c>
      <c r="C243" s="666"/>
      <c r="D243" s="667" t="s">
        <v>216</v>
      </c>
      <c r="E243" s="445">
        <v>45686.0</v>
      </c>
      <c r="F243" s="445">
        <v>45686.0</v>
      </c>
      <c r="G243" s="445"/>
      <c r="H243" s="445"/>
      <c r="I243" s="423">
        <f>IF(ISBLANK(H243), NETWORKDAYS(F243, TODAY(),fESTIVOS!$A$1:$A$18), NETWORKDAYS(F243, H243, fESTIVOS!$A$1:$A$18))</f>
        <v>360</v>
      </c>
      <c r="J243" s="445"/>
      <c r="K243" s="445"/>
      <c r="L243" s="668" t="s">
        <v>3566</v>
      </c>
    </row>
    <row r="244" ht="15.75" hidden="1" customHeight="1">
      <c r="A244" s="417" t="s">
        <v>2823</v>
      </c>
      <c r="B244" s="761" t="s">
        <v>3567</v>
      </c>
      <c r="C244" s="666"/>
      <c r="D244" s="667" t="s">
        <v>1053</v>
      </c>
      <c r="E244" s="445">
        <v>45593.0</v>
      </c>
      <c r="F244" s="445">
        <v>45593.0</v>
      </c>
      <c r="G244" s="445">
        <v>45596.0</v>
      </c>
      <c r="H244" s="445">
        <v>45601.0</v>
      </c>
      <c r="I244" s="423">
        <f>IF(ISBLANK(H244), NETWORKDAYS(F244, TODAY(),fESTIVOS!$A$1:$A$18), NETWORKDAYS(F244, H244, fESTIVOS!$A$1:$A$18))</f>
        <v>6</v>
      </c>
      <c r="J244" s="445">
        <v>45660.0</v>
      </c>
      <c r="K244" s="445"/>
      <c r="L244" s="668" t="s">
        <v>3568</v>
      </c>
      <c r="M244" s="403"/>
      <c r="N244" s="403"/>
      <c r="O244" s="403"/>
      <c r="P244" s="403"/>
      <c r="Q244" s="403"/>
      <c r="R244" s="403"/>
      <c r="S244" s="403"/>
      <c r="T244" s="403"/>
      <c r="U244" s="403"/>
      <c r="V244" s="403"/>
      <c r="W244" s="403"/>
      <c r="X244" s="403"/>
      <c r="Y244" s="403"/>
      <c r="Z244" s="403"/>
    </row>
    <row r="245" ht="15.75" hidden="1" customHeight="1">
      <c r="A245" s="426" t="s">
        <v>2823</v>
      </c>
      <c r="B245" s="843" t="s">
        <v>3569</v>
      </c>
      <c r="C245" s="666" t="s">
        <v>3570</v>
      </c>
      <c r="D245" s="667" t="s">
        <v>3571</v>
      </c>
      <c r="E245" s="445">
        <v>45615.0</v>
      </c>
      <c r="F245" s="445">
        <v>45615.0</v>
      </c>
      <c r="G245" s="445"/>
      <c r="H245" s="445">
        <v>45632.0</v>
      </c>
      <c r="I245" s="423">
        <f>IF(ISBLANK(H245), NETWORKDAYS(F245, TODAY(),fESTIVOS!$A$1:$A$18), NETWORKDAYS(F245, H245, fESTIVOS!$A$1:$A$18))</f>
        <v>14</v>
      </c>
      <c r="J245" s="445"/>
      <c r="K245" s="445"/>
      <c r="L245" s="668" t="s">
        <v>3572</v>
      </c>
      <c r="M245" s="403"/>
      <c r="N245" s="403"/>
      <c r="O245" s="403"/>
      <c r="P245" s="403"/>
      <c r="Q245" s="403"/>
      <c r="R245" s="403"/>
      <c r="S245" s="403"/>
      <c r="T245" s="403"/>
      <c r="U245" s="403"/>
      <c r="V245" s="403"/>
      <c r="W245" s="403"/>
      <c r="X245" s="403"/>
      <c r="Y245" s="403"/>
      <c r="Z245" s="403"/>
    </row>
    <row r="246" ht="15.75" hidden="1" customHeight="1">
      <c r="A246" s="426" t="s">
        <v>2823</v>
      </c>
      <c r="B246" s="844"/>
      <c r="C246" s="444" t="s">
        <v>3573</v>
      </c>
      <c r="D246" s="667" t="s">
        <v>76</v>
      </c>
      <c r="E246" s="445">
        <v>45636.0</v>
      </c>
      <c r="F246" s="445">
        <v>45637.0</v>
      </c>
      <c r="G246" s="445">
        <v>45638.0</v>
      </c>
      <c r="H246" s="445">
        <v>45642.0</v>
      </c>
      <c r="I246" s="423">
        <f>IF(ISBLANK(H246), NETWORKDAYS(F246, TODAY(),fESTIVOS!$A$1:$A$18), NETWORKDAYS(F246, H246, fESTIVOS!$A$1:$A$18))</f>
        <v>4</v>
      </c>
      <c r="J246" s="445"/>
      <c r="K246" s="445"/>
      <c r="L246" s="668" t="s">
        <v>3574</v>
      </c>
      <c r="M246" s="403"/>
      <c r="N246" s="403"/>
      <c r="O246" s="403"/>
      <c r="P246" s="403"/>
      <c r="Q246" s="403"/>
      <c r="R246" s="403"/>
      <c r="S246" s="403"/>
      <c r="T246" s="403"/>
      <c r="U246" s="403"/>
      <c r="V246" s="403"/>
      <c r="W246" s="403"/>
      <c r="X246" s="403"/>
      <c r="Y246" s="403"/>
      <c r="Z246" s="403"/>
    </row>
    <row r="247" ht="30.0" hidden="1" customHeight="1">
      <c r="A247" s="426" t="s">
        <v>2823</v>
      </c>
      <c r="B247" s="419" t="s">
        <v>3304</v>
      </c>
      <c r="C247" s="715" t="s">
        <v>3575</v>
      </c>
      <c r="D247" s="420" t="s">
        <v>229</v>
      </c>
      <c r="E247" s="445"/>
      <c r="F247" s="445"/>
      <c r="G247" s="445"/>
      <c r="H247" s="667">
        <v>0.0</v>
      </c>
      <c r="I247" s="423">
        <f>IF(ISBLANK(H247), NETWORKDAYS(F247, TODAY(),fESTIVOS!$A$1:$A$18), NETWORKDAYS(F247, H247, fESTIVOS!$A$1:$A$18))</f>
        <v>0</v>
      </c>
      <c r="J247" s="445"/>
      <c r="K247" s="445"/>
      <c r="L247" s="668"/>
      <c r="M247" s="403"/>
      <c r="N247" s="403"/>
      <c r="O247" s="403"/>
      <c r="P247" s="403"/>
      <c r="Q247" s="403"/>
      <c r="R247" s="403"/>
      <c r="S247" s="403"/>
      <c r="T247" s="403"/>
      <c r="U247" s="403"/>
      <c r="V247" s="403"/>
      <c r="W247" s="403"/>
      <c r="X247" s="403"/>
      <c r="Y247" s="403"/>
      <c r="Z247" s="403"/>
    </row>
    <row r="248" ht="15.75" hidden="1" customHeight="1">
      <c r="A248" s="847" t="s">
        <v>3576</v>
      </c>
      <c r="B248" s="624" t="s">
        <v>3577</v>
      </c>
      <c r="C248" s="704" t="s">
        <v>3578</v>
      </c>
      <c r="D248" s="625" t="s">
        <v>229</v>
      </c>
      <c r="E248" s="626"/>
      <c r="F248" s="626"/>
      <c r="G248" s="626"/>
      <c r="H248" s="625">
        <v>0.0</v>
      </c>
      <c r="I248" s="689">
        <f>IF(ISBLANK(H248), NETWORKDAYS(F248, TODAY(),fESTIVOS!$A$1:$A$18), NETWORKDAYS(F248, H248, fESTIVOS!$A$1:$A$18))</f>
        <v>0</v>
      </c>
      <c r="J248" s="626"/>
      <c r="K248" s="626"/>
      <c r="L248" s="629" t="s">
        <v>3579</v>
      </c>
      <c r="M248" s="638"/>
      <c r="N248" s="403"/>
      <c r="O248" s="403"/>
      <c r="P248" s="403"/>
      <c r="Q248" s="403"/>
      <c r="R248" s="403"/>
      <c r="S248" s="403"/>
      <c r="T248" s="403"/>
      <c r="U248" s="403"/>
      <c r="V248" s="403"/>
      <c r="W248" s="403"/>
      <c r="X248" s="403"/>
      <c r="Y248" s="403"/>
      <c r="Z248" s="403"/>
    </row>
    <row r="249" ht="15.75" customHeight="1">
      <c r="A249" s="637" t="s">
        <v>3089</v>
      </c>
      <c r="B249" s="631" t="s">
        <v>3580</v>
      </c>
      <c r="C249" s="621"/>
      <c r="D249" s="414" t="s">
        <v>76</v>
      </c>
      <c r="E249" s="413">
        <v>45664.0</v>
      </c>
      <c r="F249" s="413"/>
      <c r="G249" s="413"/>
      <c r="H249" s="413">
        <v>45674.0</v>
      </c>
      <c r="I249" s="415">
        <f>IF(ISBLANK(H249), NETWORKDAYS(F249, TODAY(),fESTIVOS!$A$1:$A$18), NETWORKDAYS(F249, H249, fESTIVOS!$A$1:$A$18))</f>
        <v>32609</v>
      </c>
      <c r="J249" s="413"/>
      <c r="K249" s="413"/>
      <c r="L249" s="416"/>
      <c r="M249" s="638"/>
      <c r="N249" s="403"/>
      <c r="O249" s="403"/>
      <c r="P249" s="403"/>
      <c r="Q249" s="403"/>
      <c r="R249" s="403"/>
      <c r="S249" s="403"/>
      <c r="T249" s="403"/>
      <c r="U249" s="403"/>
      <c r="V249" s="403"/>
      <c r="W249" s="403"/>
      <c r="X249" s="403"/>
      <c r="Y249" s="403"/>
      <c r="Z249" s="403"/>
    </row>
    <row r="250" ht="15.75" customHeight="1">
      <c r="A250" s="426" t="s">
        <v>2831</v>
      </c>
      <c r="B250" s="450" t="s">
        <v>3581</v>
      </c>
      <c r="C250" s="420" t="s">
        <v>3582</v>
      </c>
      <c r="D250" s="426" t="s">
        <v>76</v>
      </c>
      <c r="E250" s="445">
        <v>45664.0</v>
      </c>
      <c r="F250" s="445">
        <v>45667.0</v>
      </c>
      <c r="G250" s="445">
        <v>45670.0</v>
      </c>
      <c r="H250" s="445">
        <v>45670.0</v>
      </c>
      <c r="I250" s="423">
        <f>IF(ISBLANK(H250), NETWORKDAYS(F250, TODAY(),fESTIVOS!$A$1:$A$18), NETWORKDAYS(F250, H250, fESTIVOS!$A$1:$A$18))</f>
        <v>2</v>
      </c>
      <c r="J250" s="667"/>
      <c r="K250" s="667"/>
      <c r="L250" s="444" t="s">
        <v>3583</v>
      </c>
      <c r="M250" s="403"/>
      <c r="N250" s="403"/>
      <c r="O250" s="403"/>
      <c r="P250" s="403"/>
      <c r="Q250" s="403"/>
      <c r="R250" s="403"/>
      <c r="S250" s="403"/>
      <c r="T250" s="403"/>
      <c r="U250" s="403"/>
      <c r="V250" s="403"/>
      <c r="W250" s="403"/>
      <c r="X250" s="403"/>
      <c r="Y250" s="403"/>
      <c r="Z250" s="403"/>
    </row>
    <row r="251" ht="15.75" customHeight="1">
      <c r="A251" s="664" t="s">
        <v>2831</v>
      </c>
      <c r="B251" s="426" t="s">
        <v>3584</v>
      </c>
      <c r="C251" s="441"/>
      <c r="D251" s="768" t="s">
        <v>3210</v>
      </c>
      <c r="E251" s="427">
        <v>45665.0</v>
      </c>
      <c r="F251" s="427">
        <v>45670.0</v>
      </c>
      <c r="G251" s="445">
        <v>45325.0</v>
      </c>
      <c r="H251" s="427">
        <v>45672.0</v>
      </c>
      <c r="I251" s="423">
        <f>IF(ISBLANK(H251), NETWORKDAYS(F251, TODAY(),fESTIVOS!$A$1:$A$18), NETWORKDAYS(F251, H251, fESTIVOS!$A$1:$A$18))</f>
        <v>3</v>
      </c>
      <c r="J251" s="427">
        <v>45672.0</v>
      </c>
      <c r="K251" s="427">
        <v>45673.0</v>
      </c>
      <c r="L251" s="668" t="s">
        <v>3585</v>
      </c>
      <c r="M251" s="638"/>
      <c r="N251" s="403"/>
      <c r="O251" s="403"/>
      <c r="P251" s="403"/>
      <c r="Q251" s="403"/>
      <c r="R251" s="403"/>
      <c r="S251" s="403"/>
      <c r="T251" s="403"/>
      <c r="U251" s="403"/>
      <c r="V251" s="403"/>
      <c r="W251" s="403"/>
      <c r="X251" s="403"/>
      <c r="Y251" s="403"/>
      <c r="Z251" s="403"/>
    </row>
    <row r="252" ht="15.75" customHeight="1">
      <c r="A252" s="426" t="s">
        <v>3089</v>
      </c>
      <c r="B252" s="796" t="s">
        <v>3429</v>
      </c>
      <c r="C252" s="444" t="s">
        <v>3586</v>
      </c>
      <c r="D252" s="667" t="s">
        <v>76</v>
      </c>
      <c r="E252" s="445">
        <v>45693.0</v>
      </c>
      <c r="F252" s="445">
        <v>45693.0</v>
      </c>
      <c r="G252" s="445"/>
      <c r="H252" s="667"/>
      <c r="I252" s="423">
        <f>IF(ISBLANK(H252), NETWORKDAYS(F252, TODAY(),fESTIVOS!$A$1:$A$18), NETWORKDAYS(F252, H252, fESTIVOS!$A$1:$A$18))</f>
        <v>355</v>
      </c>
      <c r="J252" s="445"/>
      <c r="K252" s="445"/>
      <c r="L252" s="668" t="s">
        <v>3587</v>
      </c>
      <c r="M252" s="638"/>
      <c r="N252" s="403"/>
      <c r="O252" s="403"/>
      <c r="P252" s="403"/>
      <c r="Q252" s="403"/>
      <c r="R252" s="403"/>
      <c r="S252" s="403"/>
      <c r="T252" s="403"/>
      <c r="U252" s="403"/>
      <c r="V252" s="403"/>
      <c r="W252" s="403"/>
      <c r="X252" s="403"/>
      <c r="Y252" s="403"/>
      <c r="Z252" s="403"/>
    </row>
    <row r="253" ht="15.75" customHeight="1">
      <c r="A253" s="426" t="s">
        <v>2831</v>
      </c>
      <c r="B253" s="442" t="s">
        <v>3588</v>
      </c>
      <c r="C253" s="420" t="s">
        <v>3589</v>
      </c>
      <c r="D253" s="420" t="s">
        <v>76</v>
      </c>
      <c r="E253" s="445">
        <v>45636.0</v>
      </c>
      <c r="F253" s="445">
        <v>45637.0</v>
      </c>
      <c r="G253" s="667"/>
      <c r="H253" s="667"/>
      <c r="I253" s="423">
        <f>IF(ISBLANK(H253), NETWORKDAYS(F253, TODAY(),fESTIVOS!$A$1:$A$18), NETWORKDAYS(F253, H253, fESTIVOS!$A$1:$A$18))</f>
        <v>394</v>
      </c>
      <c r="J253" s="667"/>
      <c r="K253" s="667"/>
      <c r="L253" s="444" t="s">
        <v>3590</v>
      </c>
      <c r="M253" s="403"/>
      <c r="N253" s="403"/>
      <c r="O253" s="403"/>
      <c r="P253" s="403"/>
      <c r="Q253" s="403"/>
      <c r="R253" s="403"/>
      <c r="S253" s="403"/>
      <c r="T253" s="403"/>
      <c r="U253" s="403"/>
      <c r="V253" s="403"/>
      <c r="W253" s="403"/>
      <c r="X253" s="403"/>
      <c r="Y253" s="403"/>
      <c r="Z253" s="403"/>
    </row>
    <row r="254" ht="15.75" customHeight="1">
      <c r="A254" s="426" t="s">
        <v>2831</v>
      </c>
      <c r="B254" s="450"/>
      <c r="C254" s="420" t="s">
        <v>3591</v>
      </c>
      <c r="D254" s="426" t="s">
        <v>216</v>
      </c>
      <c r="E254" s="445">
        <v>45660.0</v>
      </c>
      <c r="F254" s="445">
        <v>45666.0</v>
      </c>
      <c r="G254" s="445">
        <v>45667.0</v>
      </c>
      <c r="H254" s="445">
        <v>45702.0</v>
      </c>
      <c r="I254" s="423">
        <f>IF(ISBLANK(H254), NETWORKDAYS(F254, TODAY(),fESTIVOS!$A$1:$A$18), NETWORKDAYS(F254, H254, fESTIVOS!$A$1:$A$18))</f>
        <v>27</v>
      </c>
      <c r="J254" s="667"/>
      <c r="K254" s="667"/>
      <c r="L254" s="444" t="s">
        <v>3592</v>
      </c>
      <c r="M254" s="403"/>
      <c r="N254" s="403"/>
      <c r="O254" s="403"/>
      <c r="P254" s="403"/>
      <c r="Q254" s="403"/>
      <c r="R254" s="403"/>
      <c r="S254" s="403"/>
      <c r="T254" s="403"/>
      <c r="U254" s="403"/>
      <c r="V254" s="403"/>
      <c r="W254" s="403"/>
      <c r="X254" s="403"/>
      <c r="Y254" s="403"/>
      <c r="Z254" s="403"/>
    </row>
    <row r="255" ht="15.75" customHeight="1">
      <c r="A255" s="820" t="s">
        <v>2816</v>
      </c>
      <c r="B255" s="848" t="s">
        <v>3593</v>
      </c>
      <c r="C255" s="677"/>
      <c r="D255" s="659" t="s">
        <v>3165</v>
      </c>
      <c r="E255" s="683">
        <v>45678.0</v>
      </c>
      <c r="F255" s="683">
        <v>45680.0</v>
      </c>
      <c r="G255" s="683"/>
      <c r="H255" s="683">
        <v>45680.0</v>
      </c>
      <c r="I255" s="628">
        <f>IF(ISBLANK(H255), NETWORKDAYS(F255, TODAY(),fESTIVOS!$A$1:$A$18), NETWORKDAYS(F255, H255, fESTIVOS!$A$1:$A$18))</f>
        <v>1</v>
      </c>
      <c r="J255" s="683">
        <v>45686.0</v>
      </c>
      <c r="K255" s="683">
        <v>45706.0</v>
      </c>
      <c r="L255" s="684" t="s">
        <v>3594</v>
      </c>
      <c r="M255" s="403"/>
      <c r="N255" s="403"/>
      <c r="O255" s="403"/>
      <c r="P255" s="403"/>
      <c r="Q255" s="403"/>
      <c r="R255" s="403"/>
      <c r="S255" s="403"/>
      <c r="T255" s="403"/>
      <c r="U255" s="403"/>
      <c r="V255" s="403"/>
      <c r="W255" s="403"/>
      <c r="X255" s="403"/>
      <c r="Y255" s="403"/>
      <c r="Z255" s="403"/>
    </row>
    <row r="256" ht="15.75" customHeight="1">
      <c r="A256" s="426" t="s">
        <v>3089</v>
      </c>
      <c r="B256" s="419" t="s">
        <v>3595</v>
      </c>
      <c r="C256" s="444"/>
      <c r="D256" s="667" t="s">
        <v>76</v>
      </c>
      <c r="E256" s="445">
        <v>45707.0</v>
      </c>
      <c r="F256" s="445">
        <v>45707.0</v>
      </c>
      <c r="G256" s="445"/>
      <c r="H256" s="445">
        <v>45708.0</v>
      </c>
      <c r="I256" s="423">
        <f>IF(ISBLANK(H256), NETWORKDAYS(F256, TODAY(),fESTIVOS!$A$1:$A$18), NETWORKDAYS(F256, H256, fESTIVOS!$A$1:$A$18))</f>
        <v>2</v>
      </c>
      <c r="J256" s="445"/>
      <c r="K256" s="445">
        <v>45708.0</v>
      </c>
      <c r="L256" s="668" t="s">
        <v>3596</v>
      </c>
      <c r="M256" s="638"/>
      <c r="N256" s="403"/>
      <c r="O256" s="403"/>
      <c r="P256" s="403"/>
      <c r="Q256" s="403"/>
      <c r="R256" s="403"/>
      <c r="S256" s="403"/>
      <c r="T256" s="403"/>
      <c r="U256" s="403"/>
      <c r="V256" s="403"/>
      <c r="W256" s="403"/>
      <c r="X256" s="403"/>
      <c r="Y256" s="403"/>
      <c r="Z256" s="403"/>
    </row>
    <row r="257" ht="15.75" customHeight="1">
      <c r="A257" s="426" t="s">
        <v>3089</v>
      </c>
      <c r="B257" s="419" t="s">
        <v>3597</v>
      </c>
      <c r="C257" s="444"/>
      <c r="D257" s="667" t="s">
        <v>76</v>
      </c>
      <c r="E257" s="445">
        <v>45707.0</v>
      </c>
      <c r="F257" s="445">
        <v>45707.0</v>
      </c>
      <c r="G257" s="445"/>
      <c r="H257" s="445">
        <v>45708.0</v>
      </c>
      <c r="I257" s="423">
        <f>IF(ISBLANK(H257), NETWORKDAYS(F257, TODAY(),fESTIVOS!$A$1:$A$18), NETWORKDAYS(F257, H257, fESTIVOS!$A$1:$A$18))</f>
        <v>2</v>
      </c>
      <c r="J257" s="445"/>
      <c r="K257" s="445">
        <v>45708.0</v>
      </c>
      <c r="L257" s="763" t="s">
        <v>3598</v>
      </c>
      <c r="M257" s="638"/>
      <c r="N257" s="403"/>
      <c r="O257" s="403"/>
      <c r="P257" s="403"/>
      <c r="Q257" s="403"/>
      <c r="R257" s="403"/>
      <c r="S257" s="403"/>
      <c r="T257" s="403"/>
      <c r="U257" s="403"/>
      <c r="V257" s="403"/>
      <c r="W257" s="403"/>
      <c r="X257" s="403"/>
      <c r="Y257" s="403"/>
      <c r="Z257" s="403"/>
    </row>
    <row r="258" ht="15.75" customHeight="1">
      <c r="A258" s="426" t="s">
        <v>3089</v>
      </c>
      <c r="B258" s="419" t="s">
        <v>3599</v>
      </c>
      <c r="C258" s="444"/>
      <c r="D258" s="667" t="s">
        <v>76</v>
      </c>
      <c r="E258" s="445">
        <v>45707.0</v>
      </c>
      <c r="F258" s="445">
        <v>45707.0</v>
      </c>
      <c r="G258" s="445"/>
      <c r="H258" s="445">
        <v>45708.0</v>
      </c>
      <c r="I258" s="423">
        <f>IF(ISBLANK(H258), NETWORKDAYS(F258, TODAY(),fESTIVOS!$A$1:$A$18), NETWORKDAYS(F258, H258, fESTIVOS!$A$1:$A$18))</f>
        <v>2</v>
      </c>
      <c r="J258" s="445"/>
      <c r="K258" s="445"/>
      <c r="L258" s="763" t="s">
        <v>3600</v>
      </c>
      <c r="M258" s="638"/>
      <c r="N258" s="403"/>
      <c r="O258" s="403"/>
      <c r="P258" s="403"/>
      <c r="Q258" s="403"/>
      <c r="R258" s="403"/>
      <c r="S258" s="403"/>
      <c r="T258" s="403"/>
      <c r="U258" s="403"/>
      <c r="V258" s="403"/>
      <c r="W258" s="403"/>
      <c r="X258" s="403"/>
      <c r="Y258" s="403"/>
      <c r="Z258" s="403"/>
    </row>
    <row r="259" ht="15.75" customHeight="1">
      <c r="A259" s="441" t="s">
        <v>2816</v>
      </c>
      <c r="B259" s="669" t="s">
        <v>3601</v>
      </c>
      <c r="C259" s="666"/>
      <c r="D259" s="667" t="s">
        <v>76</v>
      </c>
      <c r="E259" s="445">
        <v>45706.0</v>
      </c>
      <c r="F259" s="445">
        <v>45706.0</v>
      </c>
      <c r="G259" s="445"/>
      <c r="H259" s="445">
        <v>45707.0</v>
      </c>
      <c r="I259" s="423">
        <f>IF(ISBLANK(H259), NETWORKDAYS(F259, TODAY(),fESTIVOS!$A$1:$A$18), NETWORKDAYS(F259, H259, fESTIVOS!$A$1:$A$18))</f>
        <v>2</v>
      </c>
      <c r="J259" s="445"/>
      <c r="K259" s="445">
        <v>45707.0</v>
      </c>
      <c r="L259" s="668" t="s">
        <v>3602</v>
      </c>
      <c r="M259" s="403"/>
      <c r="N259" s="403"/>
      <c r="O259" s="403"/>
      <c r="P259" s="403"/>
      <c r="Q259" s="403"/>
      <c r="R259" s="403"/>
      <c r="S259" s="403"/>
      <c r="T259" s="403"/>
      <c r="U259" s="403"/>
      <c r="V259" s="403"/>
      <c r="W259" s="403"/>
      <c r="X259" s="403"/>
      <c r="Y259" s="403"/>
      <c r="Z259" s="403"/>
    </row>
    <row r="260" ht="15.75" customHeight="1">
      <c r="A260" s="441" t="s">
        <v>2841</v>
      </c>
      <c r="B260" s="796" t="s">
        <v>3463</v>
      </c>
      <c r="C260" s="444" t="s">
        <v>3603</v>
      </c>
      <c r="D260" s="420" t="s">
        <v>76</v>
      </c>
      <c r="E260" s="445">
        <v>45597.0</v>
      </c>
      <c r="F260" s="445"/>
      <c r="G260" s="445"/>
      <c r="H260" s="667">
        <v>0.0</v>
      </c>
      <c r="I260" s="423">
        <f>IF(ISBLANK(H260), NETWORKDAYS(F260, TODAY(),fESTIVOS!$A$1:$A$18), NETWORKDAYS(F260, H260, fESTIVOS!$A$1:$A$18))</f>
        <v>0</v>
      </c>
      <c r="J260" s="445"/>
      <c r="K260" s="445"/>
      <c r="L260" s="668"/>
      <c r="M260" s="638"/>
      <c r="N260" s="403"/>
      <c r="O260" s="403"/>
      <c r="P260" s="403"/>
      <c r="Q260" s="403"/>
      <c r="R260" s="403"/>
      <c r="S260" s="403"/>
      <c r="T260" s="403"/>
      <c r="U260" s="403"/>
      <c r="V260" s="403"/>
      <c r="W260" s="403"/>
      <c r="X260" s="403"/>
      <c r="Y260" s="403"/>
      <c r="Z260" s="403"/>
    </row>
    <row r="261" ht="15.75" customHeight="1">
      <c r="A261" s="441" t="s">
        <v>2841</v>
      </c>
      <c r="B261" s="669" t="s">
        <v>3547</v>
      </c>
      <c r="C261" s="840" t="s">
        <v>3604</v>
      </c>
      <c r="D261" s="420" t="s">
        <v>3165</v>
      </c>
      <c r="E261" s="445">
        <v>45698.0</v>
      </c>
      <c r="F261" s="445">
        <v>45698.0</v>
      </c>
      <c r="G261" s="421"/>
      <c r="H261" s="667"/>
      <c r="I261" s="423">
        <f>IF(ISBLANK(H261), NETWORKDAYS(F261, TODAY(),fESTIVOS!$A$1:$A$18), NETWORKDAYS(F261, H261, fESTIVOS!$A$1:$A$18))</f>
        <v>352</v>
      </c>
      <c r="J261" s="443"/>
      <c r="K261" s="812">
        <v>45698.0</v>
      </c>
      <c r="L261" s="839" t="s">
        <v>3605</v>
      </c>
      <c r="M261" s="448"/>
      <c r="N261" s="448"/>
      <c r="O261" s="448"/>
      <c r="P261" s="448"/>
      <c r="Q261" s="448"/>
      <c r="R261" s="448"/>
      <c r="S261" s="448"/>
      <c r="T261" s="448"/>
      <c r="U261" s="448"/>
      <c r="V261" s="448"/>
      <c r="W261" s="448"/>
      <c r="X261" s="448"/>
      <c r="Y261" s="448"/>
      <c r="Z261" s="448"/>
    </row>
    <row r="262" ht="15.75" customHeight="1">
      <c r="A262" s="441" t="s">
        <v>2841</v>
      </c>
      <c r="B262" s="669" t="s">
        <v>3547</v>
      </c>
      <c r="C262" s="633" t="s">
        <v>3606</v>
      </c>
      <c r="D262" s="420" t="s">
        <v>76</v>
      </c>
      <c r="E262" s="445">
        <v>45707.0</v>
      </c>
      <c r="F262" s="445">
        <v>45708.0</v>
      </c>
      <c r="G262" s="421"/>
      <c r="H262" s="445">
        <v>45709.0</v>
      </c>
      <c r="I262" s="423">
        <f>IF(ISBLANK(H262), NETWORKDAYS(F262, TODAY(),fESTIVOS!$A$1:$A$18), NETWORKDAYS(F262, H262, fESTIVOS!$A$1:$A$18))</f>
        <v>2</v>
      </c>
      <c r="J262" s="443"/>
      <c r="K262" s="812"/>
      <c r="L262" s="839" t="s">
        <v>3607</v>
      </c>
      <c r="M262" s="448"/>
      <c r="N262" s="448"/>
      <c r="O262" s="448"/>
      <c r="P262" s="448"/>
      <c r="Q262" s="448"/>
      <c r="R262" s="448"/>
      <c r="S262" s="448"/>
      <c r="T262" s="448"/>
      <c r="U262" s="448"/>
      <c r="V262" s="448"/>
      <c r="W262" s="448"/>
      <c r="X262" s="448"/>
      <c r="Y262" s="448"/>
      <c r="Z262" s="448"/>
    </row>
    <row r="263" ht="15.75" customHeight="1">
      <c r="A263" s="441" t="s">
        <v>2841</v>
      </c>
      <c r="B263" s="669" t="s">
        <v>3547</v>
      </c>
      <c r="C263" s="849" t="s">
        <v>3608</v>
      </c>
      <c r="D263" s="420" t="s">
        <v>216</v>
      </c>
      <c r="E263" s="445">
        <v>45698.0</v>
      </c>
      <c r="F263" s="445">
        <v>45698.0</v>
      </c>
      <c r="G263" s="421"/>
      <c r="H263" s="667"/>
      <c r="I263" s="423">
        <f>IF(ISBLANK(H263), NETWORKDAYS(F263, TODAY(),fESTIVOS!$A$1:$A$18), NETWORKDAYS(F263, H263, fESTIVOS!$A$1:$A$18))</f>
        <v>352</v>
      </c>
      <c r="J263" s="443"/>
      <c r="K263" s="812"/>
      <c r="L263" s="801" t="s">
        <v>3609</v>
      </c>
      <c r="M263" s="448"/>
      <c r="N263" s="448"/>
      <c r="O263" s="448"/>
      <c r="P263" s="448"/>
      <c r="Q263" s="448"/>
      <c r="R263" s="448"/>
      <c r="S263" s="448"/>
      <c r="T263" s="448"/>
      <c r="U263" s="448"/>
      <c r="V263" s="448"/>
      <c r="W263" s="448"/>
      <c r="X263" s="448"/>
      <c r="Y263" s="448"/>
      <c r="Z263" s="448"/>
    </row>
    <row r="264" ht="15.75" customHeight="1">
      <c r="A264" s="441" t="s">
        <v>2841</v>
      </c>
      <c r="B264" s="669" t="s">
        <v>3547</v>
      </c>
      <c r="C264" s="800" t="s">
        <v>3610</v>
      </c>
      <c r="D264" s="420" t="s">
        <v>76</v>
      </c>
      <c r="E264" s="445">
        <v>45700.0</v>
      </c>
      <c r="F264" s="445">
        <v>45701.0</v>
      </c>
      <c r="G264" s="421"/>
      <c r="H264" s="667"/>
      <c r="I264" s="423">
        <f>IF(ISBLANK(H264), NETWORKDAYS(F264, TODAY(),fESTIVOS!$A$1:$A$18), NETWORKDAYS(F264, H264, fESTIVOS!$A$1:$A$18))</f>
        <v>349</v>
      </c>
      <c r="J264" s="443"/>
      <c r="K264" s="812"/>
      <c r="L264" s="801"/>
      <c r="M264" s="448"/>
      <c r="N264" s="448"/>
      <c r="O264" s="448"/>
      <c r="P264" s="448"/>
      <c r="Q264" s="448"/>
      <c r="R264" s="448"/>
      <c r="S264" s="448"/>
      <c r="T264" s="448"/>
      <c r="U264" s="448"/>
      <c r="V264" s="448"/>
      <c r="W264" s="448"/>
      <c r="X264" s="448"/>
      <c r="Y264" s="448"/>
      <c r="Z264" s="448"/>
    </row>
    <row r="265" ht="15.75" customHeight="1">
      <c r="A265" s="441" t="s">
        <v>2841</v>
      </c>
      <c r="B265" s="669" t="s">
        <v>3547</v>
      </c>
      <c r="C265" s="800" t="s">
        <v>3611</v>
      </c>
      <c r="D265" s="420" t="s">
        <v>76</v>
      </c>
      <c r="E265" s="445">
        <v>45701.0</v>
      </c>
      <c r="F265" s="445">
        <v>45701.0</v>
      </c>
      <c r="G265" s="421"/>
      <c r="H265" s="445">
        <v>45707.0</v>
      </c>
      <c r="I265" s="423">
        <f>IF(ISBLANK(H265), NETWORKDAYS(F265, TODAY(),fESTIVOS!$A$1:$A$18), NETWORKDAYS(F265, H265, fESTIVOS!$A$1:$A$18))</f>
        <v>5</v>
      </c>
      <c r="J265" s="443"/>
      <c r="K265" s="812"/>
      <c r="L265" s="801" t="s">
        <v>3612</v>
      </c>
      <c r="M265" s="448"/>
      <c r="N265" s="448"/>
      <c r="O265" s="448"/>
      <c r="P265" s="448"/>
      <c r="Q265" s="448"/>
      <c r="R265" s="448"/>
      <c r="S265" s="448"/>
      <c r="T265" s="448"/>
      <c r="U265" s="448"/>
      <c r="V265" s="448"/>
      <c r="W265" s="448"/>
      <c r="X265" s="448"/>
      <c r="Y265" s="448"/>
      <c r="Z265" s="448"/>
    </row>
    <row r="266" ht="15.75" customHeight="1">
      <c r="A266" s="441" t="s">
        <v>2841</v>
      </c>
      <c r="B266" s="669" t="s">
        <v>3547</v>
      </c>
      <c r="C266" s="800" t="s">
        <v>3613</v>
      </c>
      <c r="D266" s="420" t="s">
        <v>76</v>
      </c>
      <c r="E266" s="445">
        <v>45700.0</v>
      </c>
      <c r="F266" s="445"/>
      <c r="G266" s="421"/>
      <c r="H266" s="667"/>
      <c r="I266" s="423">
        <f>IF(ISBLANK(H266), NETWORKDAYS(F266, TODAY(),fESTIVOS!$A$1:$A$18), NETWORKDAYS(F266, H266, fESTIVOS!$A$1:$A$18))</f>
        <v>32976</v>
      </c>
      <c r="J266" s="443"/>
      <c r="K266" s="812"/>
      <c r="L266" s="801"/>
      <c r="M266" s="448"/>
      <c r="N266" s="448"/>
      <c r="O266" s="448"/>
      <c r="P266" s="448"/>
      <c r="Q266" s="448"/>
      <c r="R266" s="448"/>
      <c r="S266" s="448"/>
      <c r="T266" s="448"/>
      <c r="U266" s="448"/>
      <c r="V266" s="448"/>
      <c r="W266" s="448"/>
      <c r="X266" s="448"/>
      <c r="Y266" s="448"/>
      <c r="Z266" s="448"/>
    </row>
    <row r="267" ht="15.75" customHeight="1">
      <c r="A267" s="441" t="s">
        <v>2841</v>
      </c>
      <c r="B267" s="669" t="s">
        <v>3547</v>
      </c>
      <c r="C267" s="800" t="s">
        <v>3614</v>
      </c>
      <c r="D267" s="420" t="s">
        <v>76</v>
      </c>
      <c r="E267" s="445">
        <v>45699.0</v>
      </c>
      <c r="F267" s="445">
        <v>45700.0</v>
      </c>
      <c r="G267" s="421"/>
      <c r="H267" s="445">
        <v>45701.0</v>
      </c>
      <c r="I267" s="423">
        <f>IF(ISBLANK(H267), NETWORKDAYS(F267, TODAY(),fESTIVOS!$A$1:$A$18), NETWORKDAYS(F267, H267, fESTIVOS!$A$1:$A$18))</f>
        <v>2</v>
      </c>
      <c r="J267" s="443"/>
      <c r="K267" s="812">
        <v>45701.0</v>
      </c>
      <c r="L267" s="801" t="s">
        <v>3615</v>
      </c>
      <c r="M267" s="448"/>
      <c r="N267" s="448"/>
      <c r="O267" s="448"/>
      <c r="P267" s="448"/>
      <c r="Q267" s="448"/>
      <c r="R267" s="448"/>
      <c r="S267" s="448"/>
      <c r="T267" s="448"/>
      <c r="U267" s="448"/>
      <c r="V267" s="448"/>
      <c r="W267" s="448"/>
      <c r="X267" s="448"/>
      <c r="Y267" s="448"/>
      <c r="Z267" s="448"/>
    </row>
    <row r="268" ht="15.75" customHeight="1">
      <c r="A268" s="441" t="s">
        <v>2841</v>
      </c>
      <c r="B268" s="669" t="s">
        <v>3547</v>
      </c>
      <c r="C268" s="800" t="s">
        <v>3616</v>
      </c>
      <c r="D268" s="420" t="s">
        <v>76</v>
      </c>
      <c r="E268" s="445">
        <v>45702.0</v>
      </c>
      <c r="F268" s="445">
        <v>45702.0</v>
      </c>
      <c r="G268" s="421"/>
      <c r="H268" s="445">
        <v>45702.0</v>
      </c>
      <c r="I268" s="423">
        <f>IF(ISBLANK(H268), NETWORKDAYS(F268, TODAY(),fESTIVOS!$A$1:$A$18), NETWORKDAYS(F268, H268, fESTIVOS!$A$1:$A$18))</f>
        <v>1</v>
      </c>
      <c r="J268" s="443"/>
      <c r="K268" s="445">
        <v>45702.0</v>
      </c>
      <c r="L268" s="801"/>
      <c r="M268" s="448"/>
      <c r="N268" s="448"/>
      <c r="O268" s="448"/>
      <c r="P268" s="448"/>
      <c r="Q268" s="448"/>
      <c r="R268" s="448"/>
      <c r="S268" s="448"/>
      <c r="T268" s="448"/>
      <c r="U268" s="448"/>
      <c r="V268" s="448"/>
      <c r="W268" s="448"/>
      <c r="X268" s="448"/>
      <c r="Y268" s="448"/>
      <c r="Z268" s="448"/>
    </row>
    <row r="269" ht="15.75" customHeight="1">
      <c r="A269" s="426" t="s">
        <v>2831</v>
      </c>
      <c r="B269" s="669" t="s">
        <v>3617</v>
      </c>
      <c r="C269" s="657"/>
      <c r="D269" s="441" t="s">
        <v>76</v>
      </c>
      <c r="E269" s="850">
        <v>45712.0</v>
      </c>
      <c r="F269" s="850">
        <v>45712.0</v>
      </c>
      <c r="G269" s="427"/>
      <c r="H269" s="850">
        <v>45712.0</v>
      </c>
      <c r="I269" s="423">
        <f>IF(ISBLANK(H269), NETWORKDAYS(F269, TODAY(),fESTIVOS!$A$1:$A$18), NETWORKDAYS(F269, H269, fESTIVOS!$A$1:$A$18))</f>
        <v>1</v>
      </c>
      <c r="J269" s="423"/>
      <c r="K269" s="441"/>
      <c r="L269" s="845" t="s">
        <v>3618</v>
      </c>
      <c r="M269" s="638"/>
      <c r="N269" s="403"/>
      <c r="O269" s="403"/>
      <c r="P269" s="403"/>
      <c r="Q269" s="403"/>
      <c r="R269" s="403"/>
      <c r="S269" s="403"/>
      <c r="T269" s="403"/>
      <c r="U269" s="403"/>
      <c r="V269" s="403"/>
      <c r="W269" s="403"/>
      <c r="X269" s="403"/>
      <c r="Y269" s="403"/>
      <c r="Z269" s="403"/>
    </row>
    <row r="270" ht="15.75" customHeight="1">
      <c r="A270" s="441" t="s">
        <v>2841</v>
      </c>
      <c r="B270" s="669" t="s">
        <v>3619</v>
      </c>
      <c r="C270" s="851"/>
      <c r="D270" s="667" t="s">
        <v>76</v>
      </c>
      <c r="E270" s="445">
        <v>45698.0</v>
      </c>
      <c r="F270" s="445">
        <v>45699.0</v>
      </c>
      <c r="G270" s="421"/>
      <c r="H270" s="445">
        <v>45713.0</v>
      </c>
      <c r="I270" s="423">
        <f>IF(ISBLANK(H270), NETWORKDAYS(F270, TODAY(),fESTIVOS!$A$1:$A$18), NETWORKDAYS(F270, H270, fESTIVOS!$A$1:$A$18))</f>
        <v>11</v>
      </c>
      <c r="J270" s="443"/>
      <c r="K270" s="443"/>
      <c r="L270" s="763" t="s">
        <v>3620</v>
      </c>
      <c r="M270" s="448"/>
      <c r="N270" s="448"/>
      <c r="O270" s="448"/>
      <c r="P270" s="448"/>
      <c r="Q270" s="448"/>
      <c r="R270" s="448"/>
      <c r="S270" s="448"/>
      <c r="T270" s="448"/>
      <c r="U270" s="448"/>
      <c r="V270" s="448"/>
      <c r="W270" s="448"/>
      <c r="X270" s="448"/>
      <c r="Y270" s="448"/>
      <c r="Z270" s="448"/>
    </row>
    <row r="271" ht="15.75" customHeight="1">
      <c r="A271" s="441" t="s">
        <v>2841</v>
      </c>
      <c r="B271" s="669" t="s">
        <v>3547</v>
      </c>
      <c r="C271" s="716" t="s">
        <v>3621</v>
      </c>
      <c r="D271" s="420" t="s">
        <v>3622</v>
      </c>
      <c r="E271" s="445">
        <v>45705.0</v>
      </c>
      <c r="F271" s="445">
        <v>45705.0</v>
      </c>
      <c r="G271" s="421">
        <v>45706.0</v>
      </c>
      <c r="H271" s="667"/>
      <c r="I271" s="423">
        <f>IF(ISBLANK(H271), NETWORKDAYS(F271, TODAY(),fESTIVOS!$A$1:$A$18), NETWORKDAYS(F271, H271, fESTIVOS!$A$1:$A$18))</f>
        <v>347</v>
      </c>
      <c r="J271" s="443"/>
      <c r="K271" s="812"/>
      <c r="L271" s="801" t="s">
        <v>3623</v>
      </c>
      <c r="M271" s="448"/>
      <c r="N271" s="448"/>
      <c r="O271" s="448"/>
      <c r="P271" s="448"/>
      <c r="Q271" s="448"/>
      <c r="R271" s="448"/>
      <c r="S271" s="448"/>
      <c r="T271" s="448"/>
      <c r="U271" s="448"/>
      <c r="V271" s="448"/>
      <c r="W271" s="448"/>
      <c r="X271" s="448"/>
      <c r="Y271" s="448"/>
      <c r="Z271" s="448"/>
    </row>
    <row r="272" ht="15.75" customHeight="1">
      <c r="A272" s="716" t="s">
        <v>2938</v>
      </c>
      <c r="B272" s="852" t="s">
        <v>3624</v>
      </c>
      <c r="C272" s="853"/>
      <c r="D272" s="635" t="s">
        <v>76</v>
      </c>
      <c r="E272" s="432">
        <v>45712.0</v>
      </c>
      <c r="F272" s="432">
        <v>45713.0</v>
      </c>
      <c r="G272" s="425"/>
      <c r="H272" s="432">
        <v>45713.0</v>
      </c>
      <c r="I272" s="415">
        <f>IF(ISBLANK(H272), NETWORKDAYS(F272, TODAY(),fESTIVOS!$A$1:$A$18), NETWORKDAYS(F272, H272, fESTIVOS!$A$1:$A$18))</f>
        <v>1</v>
      </c>
      <c r="J272" s="425"/>
      <c r="K272" s="425"/>
      <c r="L272" s="852" t="s">
        <v>3625</v>
      </c>
      <c r="M272" s="434"/>
      <c r="N272" s="434"/>
      <c r="O272" s="434"/>
      <c r="P272" s="434"/>
      <c r="Q272" s="434"/>
      <c r="R272" s="434"/>
      <c r="S272" s="434"/>
      <c r="T272" s="434"/>
      <c r="U272" s="434"/>
      <c r="V272" s="434"/>
      <c r="W272" s="434"/>
      <c r="X272" s="434"/>
      <c r="Y272" s="434"/>
      <c r="Z272" s="434"/>
      <c r="AA272" s="434"/>
      <c r="AB272" s="434"/>
      <c r="AC272" s="434"/>
      <c r="AD272" s="434"/>
      <c r="AE272" s="434"/>
      <c r="AF272" s="434"/>
      <c r="AG272" s="434"/>
    </row>
    <row r="273" ht="15.75" customHeight="1">
      <c r="A273" s="441" t="s">
        <v>2841</v>
      </c>
      <c r="B273" s="669" t="s">
        <v>3547</v>
      </c>
      <c r="C273" s="451" t="s">
        <v>3626</v>
      </c>
      <c r="D273" s="420" t="s">
        <v>3627</v>
      </c>
      <c r="E273" s="445">
        <v>45712.0</v>
      </c>
      <c r="F273" s="445">
        <v>45712.0</v>
      </c>
      <c r="G273" s="421"/>
      <c r="H273" s="445">
        <v>45713.0</v>
      </c>
      <c r="I273" s="423">
        <f>IF(ISBLANK(H273), NETWORKDAYS(F273, TODAY(),fESTIVOS!$A$1:$A$18), NETWORKDAYS(F273, H273, fESTIVOS!$A$1:$A$18))</f>
        <v>2</v>
      </c>
      <c r="J273" s="443"/>
      <c r="K273" s="443"/>
      <c r="L273" s="839" t="s">
        <v>3628</v>
      </c>
      <c r="M273" s="448"/>
      <c r="N273" s="448"/>
      <c r="O273" s="448"/>
      <c r="P273" s="448"/>
      <c r="Q273" s="448"/>
      <c r="R273" s="448"/>
      <c r="S273" s="448"/>
      <c r="T273" s="448"/>
      <c r="U273" s="448"/>
      <c r="V273" s="448"/>
      <c r="W273" s="448"/>
      <c r="X273" s="448"/>
      <c r="Y273" s="448"/>
      <c r="Z273" s="448"/>
    </row>
    <row r="274" ht="15.75" customHeight="1">
      <c r="A274" s="441" t="s">
        <v>2816</v>
      </c>
      <c r="B274" s="854" t="s">
        <v>3629</v>
      </c>
      <c r="C274" s="853"/>
      <c r="D274" s="791" t="s">
        <v>76</v>
      </c>
      <c r="E274" s="792">
        <v>45714.0</v>
      </c>
      <c r="F274" s="792">
        <v>45715.0</v>
      </c>
      <c r="G274" s="790"/>
      <c r="H274" s="792">
        <v>45715.0</v>
      </c>
      <c r="I274" s="423">
        <f>IF(ISBLANK(H274), NETWORKDAYS(F274, TODAY(),fESTIVOS!$A$1:$A$18), NETWORKDAYS(F274, H274, fESTIVOS!$A$1:$A$18))</f>
        <v>1</v>
      </c>
      <c r="J274" s="790"/>
      <c r="K274" s="792"/>
      <c r="L274" s="855" t="s">
        <v>3630</v>
      </c>
      <c r="M274" s="403"/>
      <c r="N274" s="403"/>
      <c r="O274" s="403"/>
      <c r="P274" s="403"/>
      <c r="Q274" s="403"/>
      <c r="R274" s="403"/>
      <c r="S274" s="403"/>
      <c r="T274" s="403"/>
      <c r="U274" s="403"/>
      <c r="V274" s="403"/>
      <c r="W274" s="403"/>
      <c r="X274" s="403"/>
      <c r="Y274" s="403"/>
      <c r="Z274" s="403"/>
    </row>
    <row r="275" ht="15.75" customHeight="1">
      <c r="A275" s="441" t="s">
        <v>2841</v>
      </c>
      <c r="B275" s="669" t="s">
        <v>3631</v>
      </c>
      <c r="C275" s="851"/>
      <c r="D275" s="667" t="s">
        <v>76</v>
      </c>
      <c r="E275" s="445">
        <v>45716.0</v>
      </c>
      <c r="F275" s="445">
        <v>45716.0</v>
      </c>
      <c r="G275" s="421"/>
      <c r="H275" s="445">
        <v>45716.0</v>
      </c>
      <c r="I275" s="423">
        <f>IF(ISBLANK(H275), NETWORKDAYS(F275, TODAY(),fESTIVOS!$A$1:$A$18), NETWORKDAYS(F275, H275, fESTIVOS!$A$1:$A$18))</f>
        <v>1</v>
      </c>
      <c r="J275" s="443"/>
      <c r="K275" s="443"/>
      <c r="L275" s="763" t="s">
        <v>3632</v>
      </c>
      <c r="M275" s="448"/>
      <c r="N275" s="448"/>
      <c r="O275" s="448"/>
      <c r="P275" s="448"/>
      <c r="Q275" s="448"/>
      <c r="R275" s="448"/>
      <c r="S275" s="448"/>
      <c r="T275" s="448"/>
      <c r="U275" s="448"/>
      <c r="V275" s="448"/>
      <c r="W275" s="448"/>
      <c r="X275" s="448"/>
      <c r="Y275" s="448"/>
      <c r="Z275" s="448"/>
    </row>
    <row r="276" ht="15.75" customHeight="1">
      <c r="A276" s="402" t="s">
        <v>2938</v>
      </c>
      <c r="B276" s="402" t="s">
        <v>3633</v>
      </c>
      <c r="C276" s="856"/>
      <c r="D276" s="414" t="s">
        <v>76</v>
      </c>
      <c r="E276" s="857">
        <v>45712.0</v>
      </c>
      <c r="F276" s="857">
        <v>45713.0</v>
      </c>
      <c r="G276" s="858"/>
      <c r="H276" s="857">
        <v>45715.0</v>
      </c>
      <c r="I276" s="415">
        <f>IF(ISBLANK(H276), NETWORKDAYS(F276, TODAY(),fESTIVOS!$A$1:$A$18), NETWORKDAYS(F276, H276, fESTIVOS!$A$1:$A$18))</f>
        <v>3</v>
      </c>
      <c r="J276" s="858"/>
      <c r="K276" s="858"/>
      <c r="L276" s="808" t="s">
        <v>3634</v>
      </c>
      <c r="M276" s="859"/>
      <c r="N276" s="859"/>
      <c r="O276" s="859"/>
      <c r="P276" s="859"/>
      <c r="Q276" s="859"/>
      <c r="R276" s="859"/>
      <c r="S276" s="859"/>
      <c r="T276" s="859"/>
      <c r="U276" s="859"/>
      <c r="V276" s="859"/>
      <c r="W276" s="859"/>
      <c r="X276" s="859"/>
      <c r="Y276" s="859"/>
      <c r="Z276" s="859"/>
      <c r="AA276" s="859"/>
      <c r="AB276" s="859"/>
      <c r="AC276" s="859"/>
      <c r="AD276" s="859"/>
      <c r="AE276" s="859"/>
      <c r="AF276" s="859"/>
      <c r="AG276" s="859"/>
    </row>
    <row r="277" ht="15.75" customHeight="1">
      <c r="A277" s="441" t="s">
        <v>2841</v>
      </c>
      <c r="B277" s="669" t="s">
        <v>3635</v>
      </c>
      <c r="C277" s="851"/>
      <c r="D277" s="667" t="s">
        <v>76</v>
      </c>
      <c r="E277" s="445">
        <v>45716.0</v>
      </c>
      <c r="F277" s="445">
        <v>45716.0</v>
      </c>
      <c r="G277" s="421"/>
      <c r="H277" s="445">
        <v>45716.0</v>
      </c>
      <c r="I277" s="423">
        <f>IF(ISBLANK(H277), NETWORKDAYS(F277, TODAY(),fESTIVOS!$A$1:$A$18), NETWORKDAYS(F277, H277, fESTIVOS!$A$1:$A$18))</f>
        <v>1</v>
      </c>
      <c r="J277" s="443"/>
      <c r="K277" s="443"/>
      <c r="L277" s="763" t="s">
        <v>3636</v>
      </c>
      <c r="M277" s="448"/>
      <c r="N277" s="448"/>
      <c r="O277" s="448"/>
      <c r="P277" s="448"/>
      <c r="Q277" s="448"/>
      <c r="R277" s="448"/>
      <c r="S277" s="448"/>
      <c r="T277" s="448"/>
      <c r="U277" s="448"/>
      <c r="V277" s="448"/>
      <c r="W277" s="448"/>
      <c r="X277" s="448"/>
      <c r="Y277" s="448"/>
      <c r="Z277" s="448"/>
    </row>
    <row r="278" ht="15.75" customHeight="1">
      <c r="A278" s="441" t="s">
        <v>2841</v>
      </c>
      <c r="B278" s="669" t="s">
        <v>3637</v>
      </c>
      <c r="C278" s="851"/>
      <c r="D278" s="667" t="s">
        <v>76</v>
      </c>
      <c r="E278" s="445">
        <v>45712.0</v>
      </c>
      <c r="F278" s="445">
        <v>45712.0</v>
      </c>
      <c r="G278" s="421"/>
      <c r="H278" s="445">
        <v>45719.0</v>
      </c>
      <c r="I278" s="423">
        <f>IF(ISBLANK(H278), NETWORKDAYS(F278, TODAY(),fESTIVOS!$A$1:$A$18), NETWORKDAYS(F278, H278, fESTIVOS!$A$1:$A$18))</f>
        <v>6</v>
      </c>
      <c r="J278" s="443"/>
      <c r="K278" s="443"/>
      <c r="L278" s="763" t="s">
        <v>3638</v>
      </c>
      <c r="M278" s="448"/>
      <c r="N278" s="448"/>
      <c r="O278" s="448"/>
      <c r="P278" s="448"/>
      <c r="Q278" s="448"/>
      <c r="R278" s="448"/>
      <c r="S278" s="448"/>
      <c r="T278" s="448"/>
      <c r="U278" s="448"/>
      <c r="V278" s="448"/>
      <c r="W278" s="448"/>
      <c r="X278" s="448"/>
      <c r="Y278" s="448"/>
      <c r="Z278" s="448"/>
    </row>
    <row r="279" ht="15.75" customHeight="1">
      <c r="A279" s="716" t="s">
        <v>2938</v>
      </c>
      <c r="B279" s="621" t="s">
        <v>3639</v>
      </c>
      <c r="C279" s="860"/>
      <c r="D279" s="414" t="s">
        <v>76</v>
      </c>
      <c r="E279" s="413">
        <v>45715.0</v>
      </c>
      <c r="F279" s="413">
        <v>45715.0</v>
      </c>
      <c r="G279" s="413"/>
      <c r="H279" s="413">
        <v>45719.0</v>
      </c>
      <c r="I279" s="415">
        <f>IF(ISBLANK(H279), NETWORKDAYS(F279, TODAY(),fESTIVOS!$A$1:$A$18), NETWORKDAYS(F279, H279, fESTIVOS!$A$1:$A$18))</f>
        <v>3</v>
      </c>
      <c r="J279" s="413"/>
      <c r="K279" s="413"/>
      <c r="L279" s="416" t="s">
        <v>3640</v>
      </c>
      <c r="M279" s="638"/>
      <c r="N279" s="403"/>
      <c r="O279" s="403"/>
      <c r="P279" s="403"/>
      <c r="Q279" s="403"/>
      <c r="R279" s="403"/>
      <c r="S279" s="403"/>
      <c r="T279" s="403"/>
      <c r="U279" s="403"/>
      <c r="V279" s="403"/>
      <c r="W279" s="403"/>
      <c r="X279" s="403"/>
      <c r="Y279" s="403"/>
      <c r="Z279" s="403"/>
    </row>
    <row r="280" ht="15.75" customHeight="1">
      <c r="A280" s="716" t="s">
        <v>2938</v>
      </c>
      <c r="B280" s="621" t="s">
        <v>3641</v>
      </c>
      <c r="C280" s="860"/>
      <c r="D280" s="414" t="s">
        <v>76</v>
      </c>
      <c r="E280" s="413">
        <v>45715.0</v>
      </c>
      <c r="F280" s="413">
        <v>45719.0</v>
      </c>
      <c r="G280" s="413"/>
      <c r="H280" s="413">
        <v>45719.0</v>
      </c>
      <c r="I280" s="415">
        <f>IF(ISBLANK(H280), NETWORKDAYS(F280, TODAY(),fESTIVOS!$A$1:$A$18), NETWORKDAYS(F280, H280, fESTIVOS!$A$1:$A$18))</f>
        <v>1</v>
      </c>
      <c r="J280" s="413"/>
      <c r="K280" s="413"/>
      <c r="L280" s="416" t="s">
        <v>3642</v>
      </c>
      <c r="M280" s="638"/>
      <c r="N280" s="403"/>
      <c r="O280" s="403"/>
      <c r="P280" s="403"/>
      <c r="Q280" s="403"/>
      <c r="R280" s="403"/>
      <c r="S280" s="403"/>
      <c r="T280" s="403"/>
      <c r="U280" s="403"/>
      <c r="V280" s="403"/>
      <c r="W280" s="403"/>
      <c r="X280" s="403"/>
      <c r="Y280" s="403"/>
      <c r="Z280" s="403"/>
    </row>
    <row r="281" ht="15.75" hidden="1" customHeight="1">
      <c r="A281" s="716" t="s">
        <v>2938</v>
      </c>
      <c r="B281" s="621" t="s">
        <v>3643</v>
      </c>
      <c r="C281" s="621"/>
      <c r="D281" s="414" t="s">
        <v>229</v>
      </c>
      <c r="E281" s="413">
        <v>45715.0</v>
      </c>
      <c r="F281" s="413"/>
      <c r="G281" s="413"/>
      <c r="H281" s="413"/>
      <c r="I281" s="414"/>
      <c r="J281" s="413"/>
      <c r="K281" s="413"/>
      <c r="L281" s="416"/>
      <c r="M281" s="638"/>
      <c r="N281" s="403"/>
      <c r="O281" s="403"/>
      <c r="P281" s="403"/>
      <c r="Q281" s="403"/>
      <c r="R281" s="403"/>
      <c r="S281" s="403"/>
      <c r="T281" s="403"/>
      <c r="U281" s="403"/>
      <c r="V281" s="403"/>
      <c r="W281" s="403"/>
      <c r="X281" s="403"/>
      <c r="Y281" s="403"/>
      <c r="Z281" s="403"/>
    </row>
    <row r="282" ht="15.75" customHeight="1">
      <c r="A282" s="716" t="s">
        <v>2938</v>
      </c>
      <c r="B282" s="412" t="s">
        <v>3644</v>
      </c>
      <c r="C282" s="860"/>
      <c r="D282" s="635" t="s">
        <v>76</v>
      </c>
      <c r="E282" s="413">
        <v>45719.0</v>
      </c>
      <c r="F282" s="413">
        <v>45719.0</v>
      </c>
      <c r="G282" s="413"/>
      <c r="H282" s="413"/>
      <c r="I282" s="415">
        <f>IF(ISBLANK(H282), NETWORKDAYS(F282, TODAY(),fESTIVOS!$A$1:$A$18), NETWORKDAYS(F282, H282, fESTIVOS!$A$1:$A$18))</f>
        <v>337</v>
      </c>
      <c r="J282" s="413"/>
      <c r="K282" s="413"/>
      <c r="L282" s="416" t="s">
        <v>3645</v>
      </c>
      <c r="M282" s="638"/>
      <c r="N282" s="403"/>
      <c r="O282" s="403"/>
      <c r="P282" s="403"/>
      <c r="Q282" s="403"/>
      <c r="R282" s="403"/>
      <c r="S282" s="403"/>
      <c r="T282" s="403"/>
      <c r="U282" s="403"/>
      <c r="V282" s="403"/>
      <c r="W282" s="403"/>
      <c r="X282" s="403"/>
      <c r="Y282" s="403"/>
      <c r="Z282" s="403"/>
    </row>
    <row r="283" ht="15.75" customHeight="1">
      <c r="A283" s="716" t="s">
        <v>2938</v>
      </c>
      <c r="B283" s="823" t="s">
        <v>3646</v>
      </c>
      <c r="C283" s="621"/>
      <c r="D283" s="414" t="s">
        <v>76</v>
      </c>
      <c r="E283" s="413">
        <v>45700.0</v>
      </c>
      <c r="F283" s="413">
        <v>45701.0</v>
      </c>
      <c r="G283" s="413">
        <v>45714.0</v>
      </c>
      <c r="H283" s="413">
        <v>45714.0</v>
      </c>
      <c r="I283" s="415">
        <f>IF(ISBLANK(H283), NETWORKDAYS(F283, TODAY(),fESTIVOS!$A$1:$A$18), NETWORKDAYS(F283, H283, fESTIVOS!$A$1:$A$18))</f>
        <v>10</v>
      </c>
      <c r="J283" s="413"/>
      <c r="K283" s="413"/>
      <c r="L283" s="416" t="s">
        <v>3647</v>
      </c>
      <c r="M283" s="638"/>
      <c r="N283" s="403"/>
      <c r="O283" s="403"/>
      <c r="P283" s="403"/>
      <c r="Q283" s="403"/>
      <c r="R283" s="403"/>
      <c r="S283" s="403"/>
      <c r="T283" s="403"/>
      <c r="U283" s="403"/>
      <c r="V283" s="403"/>
      <c r="W283" s="403"/>
      <c r="X283" s="403"/>
      <c r="Y283" s="403"/>
      <c r="Z283" s="403"/>
    </row>
    <row r="284" ht="15.75" customHeight="1">
      <c r="A284" s="716" t="s">
        <v>2938</v>
      </c>
      <c r="B284" s="411" t="s">
        <v>3648</v>
      </c>
      <c r="C284" s="731"/>
      <c r="D284" s="861" t="s">
        <v>76</v>
      </c>
      <c r="E284" s="732">
        <v>45712.0</v>
      </c>
      <c r="F284" s="732">
        <v>45712.0</v>
      </c>
      <c r="G284" s="731"/>
      <c r="H284" s="732">
        <v>45721.0</v>
      </c>
      <c r="I284" s="415">
        <f>IF(ISBLANK(H284), NETWORKDAYS(F284, TODAY(),fESTIVOS!$A$1:$A$18), NETWORKDAYS(F284, H284, fESTIVOS!$A$1:$A$18))</f>
        <v>8</v>
      </c>
      <c r="J284" s="731"/>
      <c r="K284" s="731"/>
      <c r="L284" s="862" t="s">
        <v>3649</v>
      </c>
    </row>
    <row r="285" ht="15.75" customHeight="1">
      <c r="A285" s="441" t="s">
        <v>2841</v>
      </c>
      <c r="B285" s="823" t="s">
        <v>3650</v>
      </c>
      <c r="C285" s="849" t="s">
        <v>3651</v>
      </c>
      <c r="D285" s="420" t="s">
        <v>76</v>
      </c>
      <c r="E285" s="445">
        <v>45687.0</v>
      </c>
      <c r="F285" s="446">
        <v>45687.0</v>
      </c>
      <c r="G285" s="443"/>
      <c r="H285" s="445">
        <v>45692.0</v>
      </c>
      <c r="I285" s="423">
        <f>IF(ISBLANK(H285), NETWORKDAYS(F285, TODAY(),fESTIVOS!$A$1:$A$18), NETWORKDAYS(F285, H285, fESTIVOS!$A$1:$A$18))</f>
        <v>4</v>
      </c>
      <c r="J285" s="445">
        <v>45692.0</v>
      </c>
      <c r="K285" s="443"/>
      <c r="L285" s="800" t="s">
        <v>3652</v>
      </c>
      <c r="M285" s="448"/>
      <c r="N285" s="448"/>
      <c r="O285" s="448"/>
      <c r="P285" s="448"/>
      <c r="Q285" s="448"/>
      <c r="R285" s="448"/>
      <c r="S285" s="448"/>
      <c r="T285" s="448"/>
      <c r="U285" s="448"/>
      <c r="V285" s="448"/>
      <c r="W285" s="448"/>
      <c r="X285" s="448"/>
      <c r="Y285" s="448"/>
      <c r="Z285" s="448"/>
    </row>
    <row r="286" ht="15.75" customHeight="1">
      <c r="A286" s="441" t="s">
        <v>2841</v>
      </c>
      <c r="B286" s="631" t="s">
        <v>3653</v>
      </c>
      <c r="C286" s="849"/>
      <c r="D286" s="420" t="s">
        <v>76</v>
      </c>
      <c r="E286" s="445">
        <v>45720.0</v>
      </c>
      <c r="F286" s="446">
        <v>45720.0</v>
      </c>
      <c r="G286" s="443"/>
      <c r="H286" s="445">
        <v>45721.0</v>
      </c>
      <c r="I286" s="423">
        <f>IF(ISBLANK(H286), NETWORKDAYS(F286, TODAY(),fESTIVOS!$A$1:$A$18), NETWORKDAYS(F286, H286, fESTIVOS!$A$1:$A$18))</f>
        <v>2</v>
      </c>
      <c r="J286" s="445"/>
      <c r="K286" s="443"/>
      <c r="L286" s="840" t="s">
        <v>3654</v>
      </c>
      <c r="M286" s="448"/>
      <c r="N286" s="448"/>
      <c r="O286" s="448"/>
      <c r="P286" s="448"/>
      <c r="Q286" s="448"/>
      <c r="R286" s="448"/>
      <c r="S286" s="448"/>
      <c r="T286" s="448"/>
      <c r="U286" s="448"/>
      <c r="V286" s="448"/>
      <c r="W286" s="448"/>
      <c r="X286" s="448"/>
      <c r="Y286" s="448"/>
      <c r="Z286" s="448"/>
    </row>
    <row r="287" ht="15.75" customHeight="1">
      <c r="A287" s="441" t="s">
        <v>2816</v>
      </c>
      <c r="B287" s="657" t="s">
        <v>3655</v>
      </c>
      <c r="C287" s="860"/>
      <c r="D287" s="667" t="s">
        <v>76</v>
      </c>
      <c r="E287" s="445">
        <v>45722.0</v>
      </c>
      <c r="F287" s="445">
        <v>45722.0</v>
      </c>
      <c r="G287" s="445"/>
      <c r="H287" s="445">
        <v>45722.0</v>
      </c>
      <c r="I287" s="423">
        <f>IF(ISBLANK(H287), NETWORKDAYS(F287, TODAY(),fESTIVOS!$A$1:$A$18), NETWORKDAYS(F287, H287, fESTIVOS!$A$1:$A$18))</f>
        <v>1</v>
      </c>
      <c r="J287" s="445"/>
      <c r="K287" s="445"/>
      <c r="L287" s="863" t="s">
        <v>3656</v>
      </c>
      <c r="M287" s="403"/>
      <c r="N287" s="403"/>
      <c r="O287" s="403"/>
      <c r="P287" s="403"/>
      <c r="Q287" s="403"/>
      <c r="R287" s="403"/>
      <c r="S287" s="403"/>
      <c r="T287" s="403"/>
      <c r="U287" s="403"/>
      <c r="V287" s="403"/>
      <c r="W287" s="403"/>
      <c r="X287" s="403"/>
      <c r="Y287" s="403"/>
      <c r="Z287" s="403"/>
    </row>
    <row r="288" ht="15.75" customHeight="1">
      <c r="A288" s="441" t="s">
        <v>2816</v>
      </c>
      <c r="B288" s="637" t="s">
        <v>3657</v>
      </c>
      <c r="C288" s="860"/>
      <c r="D288" s="667" t="s">
        <v>76</v>
      </c>
      <c r="E288" s="445">
        <v>45722.0</v>
      </c>
      <c r="F288" s="445">
        <v>45723.0</v>
      </c>
      <c r="G288" s="445"/>
      <c r="H288" s="445">
        <v>45723.0</v>
      </c>
      <c r="I288" s="423">
        <f>IF(ISBLANK(H288), NETWORKDAYS(F288, TODAY(),fESTIVOS!$A$1:$A$18), NETWORKDAYS(F288, H288, fESTIVOS!$A$1:$A$18))</f>
        <v>1</v>
      </c>
      <c r="J288" s="445"/>
      <c r="K288" s="445"/>
      <c r="L288" s="863" t="s">
        <v>3658</v>
      </c>
      <c r="M288" s="403"/>
      <c r="N288" s="403"/>
      <c r="O288" s="403"/>
      <c r="P288" s="403"/>
      <c r="Q288" s="403"/>
      <c r="R288" s="403"/>
      <c r="S288" s="403"/>
      <c r="T288" s="403"/>
      <c r="U288" s="403"/>
      <c r="V288" s="403"/>
      <c r="W288" s="403"/>
      <c r="X288" s="403"/>
      <c r="Y288" s="403"/>
      <c r="Z288" s="403"/>
    </row>
    <row r="289" ht="15.75" customHeight="1">
      <c r="A289" s="441" t="s">
        <v>2841</v>
      </c>
      <c r="B289" s="864" t="s">
        <v>3659</v>
      </c>
      <c r="C289" s="851"/>
      <c r="D289" s="414" t="s">
        <v>76</v>
      </c>
      <c r="E289" s="413">
        <v>45722.0</v>
      </c>
      <c r="F289" s="730">
        <v>45723.0</v>
      </c>
      <c r="G289" s="672"/>
      <c r="H289" s="730">
        <v>45723.0</v>
      </c>
      <c r="I289" s="423">
        <f>IF(ISBLANK(H289), NETWORKDAYS(F289, TODAY(),fESTIVOS!$A$1:$A$18), NETWORKDAYS(F289, H289, fESTIVOS!$A$1:$A$18))</f>
        <v>1</v>
      </c>
      <c r="J289" s="672"/>
      <c r="K289" s="672"/>
      <c r="L289" s="672" t="s">
        <v>3660</v>
      </c>
      <c r="M289" s="865" t="s">
        <v>3661</v>
      </c>
      <c r="N289" s="448"/>
      <c r="O289" s="448"/>
      <c r="P289" s="448"/>
      <c r="Q289" s="448"/>
      <c r="R289" s="448"/>
      <c r="S289" s="448"/>
      <c r="T289" s="448"/>
      <c r="U289" s="448"/>
      <c r="V289" s="448"/>
      <c r="W289" s="448"/>
      <c r="X289" s="448"/>
      <c r="Y289" s="448"/>
      <c r="Z289" s="448"/>
    </row>
    <row r="290" ht="15.75" hidden="1" customHeight="1">
      <c r="A290" s="441" t="s">
        <v>2841</v>
      </c>
      <c r="B290" s="864" t="s">
        <v>3662</v>
      </c>
      <c r="C290" s="672"/>
      <c r="D290" s="414" t="s">
        <v>229</v>
      </c>
      <c r="E290" s="413">
        <v>45722.0</v>
      </c>
      <c r="F290" s="866"/>
      <c r="G290" s="672"/>
      <c r="H290" s="414"/>
      <c r="I290" s="423">
        <f>IF(ISBLANK(H290), NETWORKDAYS(F290, TODAY(),fESTIVOS!$A$1:$A$18), NETWORKDAYS(F290, H290, fESTIVOS!$A$1:$A$18))</f>
        <v>32976</v>
      </c>
      <c r="J290" s="672"/>
      <c r="K290" s="672"/>
      <c r="L290" s="672" t="s">
        <v>3663</v>
      </c>
      <c r="M290" s="448"/>
      <c r="N290" s="448"/>
      <c r="O290" s="448"/>
      <c r="P290" s="448"/>
      <c r="Q290" s="448"/>
      <c r="R290" s="448"/>
      <c r="S290" s="448"/>
      <c r="T290" s="448"/>
      <c r="U290" s="448"/>
      <c r="V290" s="448"/>
      <c r="W290" s="448"/>
      <c r="X290" s="448"/>
      <c r="Y290" s="448"/>
      <c r="Z290" s="448"/>
    </row>
    <row r="291" ht="15.75" hidden="1" customHeight="1">
      <c r="A291" s="441" t="s">
        <v>2841</v>
      </c>
      <c r="B291" s="864" t="s">
        <v>3664</v>
      </c>
      <c r="C291" s="672"/>
      <c r="D291" s="414" t="s">
        <v>229</v>
      </c>
      <c r="E291" s="413">
        <v>45722.0</v>
      </c>
      <c r="F291" s="866"/>
      <c r="G291" s="672"/>
      <c r="H291" s="414"/>
      <c r="I291" s="423">
        <f>IF(ISBLANK(H291), NETWORKDAYS(F291, TODAY(),fESTIVOS!$A$1:$A$18), NETWORKDAYS(F291, H291, fESTIVOS!$A$1:$A$18))</f>
        <v>32976</v>
      </c>
      <c r="J291" s="672"/>
      <c r="K291" s="672"/>
      <c r="L291" s="672"/>
      <c r="M291" s="448"/>
      <c r="N291" s="448"/>
      <c r="O291" s="448"/>
      <c r="P291" s="448"/>
      <c r="Q291" s="448"/>
      <c r="R291" s="448"/>
      <c r="S291" s="448"/>
      <c r="T291" s="448"/>
      <c r="U291" s="448"/>
      <c r="V291" s="448"/>
      <c r="W291" s="448"/>
      <c r="X291" s="448"/>
      <c r="Y291" s="448"/>
      <c r="Z291" s="448"/>
    </row>
    <row r="292" ht="15.75" customHeight="1">
      <c r="A292" s="441" t="s">
        <v>2841</v>
      </c>
      <c r="B292" s="864" t="s">
        <v>3665</v>
      </c>
      <c r="C292" s="851"/>
      <c r="D292" s="414" t="s">
        <v>76</v>
      </c>
      <c r="E292" s="413">
        <v>45722.0</v>
      </c>
      <c r="F292" s="730">
        <v>45723.0</v>
      </c>
      <c r="G292" s="672"/>
      <c r="H292" s="730">
        <v>45723.0</v>
      </c>
      <c r="I292" s="423">
        <f>IF(ISBLANK(H292), NETWORKDAYS(F292, TODAY(),fESTIVOS!$A$1:$A$18), NETWORKDAYS(F292, H292, fESTIVOS!$A$1:$A$18))</f>
        <v>1</v>
      </c>
      <c r="J292" s="672"/>
      <c r="K292" s="632">
        <v>45723.0</v>
      </c>
      <c r="L292" s="672" t="s">
        <v>3666</v>
      </c>
      <c r="M292" s="448" t="s">
        <v>3667</v>
      </c>
      <c r="N292" s="448"/>
      <c r="O292" s="448"/>
      <c r="P292" s="448"/>
      <c r="Q292" s="448"/>
      <c r="R292" s="448"/>
      <c r="S292" s="448"/>
      <c r="T292" s="448"/>
      <c r="U292" s="448"/>
      <c r="V292" s="448"/>
      <c r="W292" s="448"/>
      <c r="X292" s="448"/>
      <c r="Y292" s="448"/>
      <c r="Z292" s="448"/>
    </row>
    <row r="293" ht="15.75" customHeight="1">
      <c r="A293" s="441" t="s">
        <v>2841</v>
      </c>
      <c r="B293" s="864" t="s">
        <v>3668</v>
      </c>
      <c r="C293" s="851"/>
      <c r="D293" s="414" t="s">
        <v>76</v>
      </c>
      <c r="E293" s="413">
        <v>45722.0</v>
      </c>
      <c r="F293" s="730">
        <v>45722.0</v>
      </c>
      <c r="G293" s="672"/>
      <c r="H293" s="730">
        <v>45723.0</v>
      </c>
      <c r="I293" s="423">
        <f>IF(ISBLANK(H293), NETWORKDAYS(F293, TODAY(),fESTIVOS!$A$1:$A$18), NETWORKDAYS(F293, H293, fESTIVOS!$A$1:$A$18))</f>
        <v>2</v>
      </c>
      <c r="J293" s="672"/>
      <c r="K293" s="632">
        <v>45723.0</v>
      </c>
      <c r="L293" s="672" t="s">
        <v>3669</v>
      </c>
      <c r="M293" s="448" t="s">
        <v>3667</v>
      </c>
      <c r="N293" s="448"/>
      <c r="O293" s="448"/>
      <c r="P293" s="448"/>
      <c r="Q293" s="448"/>
      <c r="R293" s="448"/>
      <c r="S293" s="448"/>
      <c r="T293" s="448"/>
      <c r="U293" s="448"/>
      <c r="V293" s="448"/>
      <c r="W293" s="448"/>
      <c r="X293" s="448"/>
      <c r="Y293" s="448"/>
      <c r="Z293" s="448"/>
    </row>
    <row r="294" ht="15.75" customHeight="1">
      <c r="A294" s="441" t="s">
        <v>2841</v>
      </c>
      <c r="B294" s="867" t="s">
        <v>3670</v>
      </c>
      <c r="C294" s="851"/>
      <c r="D294" s="667" t="s">
        <v>76</v>
      </c>
      <c r="E294" s="413">
        <v>45721.0</v>
      </c>
      <c r="F294" s="730">
        <v>45721.0</v>
      </c>
      <c r="G294" s="672"/>
      <c r="H294" s="413">
        <v>45722.0</v>
      </c>
      <c r="I294" s="423">
        <f>IF(ISBLANK(H294), NETWORKDAYS(F294, TODAY(),fESTIVOS!$A$1:$A$18), NETWORKDAYS(F294, H294, fESTIVOS!$A$1:$A$18))</f>
        <v>2</v>
      </c>
      <c r="J294" s="413">
        <v>45722.0</v>
      </c>
      <c r="K294" s="632">
        <v>45723.0</v>
      </c>
      <c r="L294" s="672" t="s">
        <v>3671</v>
      </c>
      <c r="M294" s="448" t="s">
        <v>3667</v>
      </c>
      <c r="N294" s="448"/>
      <c r="O294" s="448"/>
      <c r="P294" s="448"/>
      <c r="Q294" s="448"/>
      <c r="R294" s="448"/>
      <c r="S294" s="448"/>
      <c r="T294" s="448"/>
      <c r="U294" s="448"/>
      <c r="V294" s="448"/>
      <c r="W294" s="448"/>
      <c r="X294" s="448"/>
      <c r="Y294" s="448"/>
      <c r="Z294" s="448"/>
    </row>
    <row r="295" ht="15.75" customHeight="1">
      <c r="A295" s="441" t="s">
        <v>2841</v>
      </c>
      <c r="B295" s="868" t="s">
        <v>3672</v>
      </c>
      <c r="C295" s="851"/>
      <c r="D295" s="414" t="s">
        <v>76</v>
      </c>
      <c r="E295" s="413">
        <v>45726.0</v>
      </c>
      <c r="F295" s="730">
        <v>45727.0</v>
      </c>
      <c r="G295" s="672"/>
      <c r="H295" s="413">
        <v>45727.0</v>
      </c>
      <c r="I295" s="423">
        <f>IF(ISBLANK(H295), NETWORKDAYS(F295, TODAY(),fESTIVOS!$A$1:$A$18), NETWORKDAYS(F295, H295, fESTIVOS!$A$1:$A$18))</f>
        <v>1</v>
      </c>
      <c r="J295" s="672"/>
      <c r="K295" s="672"/>
      <c r="L295" s="672" t="s">
        <v>3673</v>
      </c>
      <c r="M295" s="448"/>
      <c r="N295" s="448"/>
      <c r="O295" s="448"/>
      <c r="P295" s="448"/>
      <c r="Q295" s="448"/>
      <c r="R295" s="448"/>
      <c r="S295" s="448"/>
      <c r="T295" s="448"/>
      <c r="U295" s="448"/>
      <c r="V295" s="448"/>
      <c r="W295" s="448"/>
      <c r="X295" s="448"/>
      <c r="Y295" s="448"/>
      <c r="Z295" s="448"/>
    </row>
    <row r="296" ht="15.75" customHeight="1">
      <c r="A296" s="441" t="s">
        <v>2841</v>
      </c>
      <c r="B296" s="807" t="s">
        <v>3674</v>
      </c>
      <c r="C296" s="869"/>
      <c r="D296" s="414" t="s">
        <v>76</v>
      </c>
      <c r="E296" s="413">
        <v>45726.0</v>
      </c>
      <c r="F296" s="413">
        <v>45726.0</v>
      </c>
      <c r="H296" s="870">
        <v>45727.0</v>
      </c>
      <c r="I296" s="423">
        <f>IF(ISBLANK(H296), NETWORKDAYS(F296, TODAY(),fESTIVOS!$A$1:$A$18), NETWORKDAYS(F296, H296, fESTIVOS!$A$1:$A$18))</f>
        <v>2</v>
      </c>
      <c r="K296" s="870">
        <v>45727.0</v>
      </c>
      <c r="L296" s="807" t="s">
        <v>3675</v>
      </c>
    </row>
    <row r="297" ht="15.75" customHeight="1">
      <c r="A297" s="441" t="s">
        <v>2841</v>
      </c>
      <c r="B297" s="716" t="s">
        <v>3676</v>
      </c>
      <c r="C297" s="715"/>
      <c r="D297" s="420" t="s">
        <v>76</v>
      </c>
      <c r="E297" s="445">
        <v>45722.0</v>
      </c>
      <c r="F297" s="445">
        <v>45722.0</v>
      </c>
      <c r="G297" s="445">
        <v>45694.0</v>
      </c>
      <c r="H297" s="445">
        <v>45727.0</v>
      </c>
      <c r="I297" s="423">
        <f>IF(ISBLANK(H297), NETWORKDAYS(F297, TODAY(),fESTIVOS!$A$1:$A$18), NETWORKDAYS(F297, H297, fESTIVOS!$A$1:$A$18))</f>
        <v>4</v>
      </c>
      <c r="J297" s="445">
        <v>45727.0</v>
      </c>
      <c r="K297" s="445">
        <v>45728.0</v>
      </c>
      <c r="L297" s="863" t="s">
        <v>3677</v>
      </c>
      <c r="M297" s="448"/>
      <c r="N297" s="448"/>
      <c r="O297" s="448"/>
      <c r="P297" s="448"/>
      <c r="Q297" s="448"/>
      <c r="R297" s="448"/>
      <c r="S297" s="448"/>
      <c r="T297" s="448"/>
      <c r="U297" s="448"/>
      <c r="V297" s="448"/>
      <c r="W297" s="448"/>
      <c r="X297" s="448"/>
      <c r="Y297" s="448"/>
      <c r="Z297" s="448"/>
    </row>
    <row r="298" ht="15.75" customHeight="1">
      <c r="A298" s="441" t="s">
        <v>2841</v>
      </c>
      <c r="B298" s="637" t="s">
        <v>3678</v>
      </c>
      <c r="C298" s="436"/>
      <c r="D298" s="420" t="s">
        <v>76</v>
      </c>
      <c r="E298" s="871">
        <v>45714.0</v>
      </c>
      <c r="F298" s="445">
        <v>45716.0</v>
      </c>
      <c r="G298" s="445"/>
      <c r="H298" s="421">
        <v>45722.0</v>
      </c>
      <c r="I298" s="423">
        <f>IF(ISBLANK(H298), NETWORKDAYS(F298, TODAY(),fESTIVOS!$A$1:$A$18), NETWORKDAYS(F298, H298, fESTIVOS!$A$1:$A$18))</f>
        <v>5</v>
      </c>
      <c r="J298" s="421">
        <v>45722.0</v>
      </c>
      <c r="K298" s="421">
        <v>45728.0</v>
      </c>
      <c r="L298" s="840" t="s">
        <v>3679</v>
      </c>
      <c r="M298" s="872" t="s">
        <v>3680</v>
      </c>
      <c r="N298" s="448"/>
      <c r="O298" s="448"/>
      <c r="P298" s="448"/>
      <c r="Q298" s="448"/>
      <c r="R298" s="448"/>
      <c r="S298" s="448"/>
      <c r="T298" s="448"/>
      <c r="U298" s="448"/>
      <c r="V298" s="448"/>
      <c r="W298" s="448"/>
      <c r="X298" s="448"/>
      <c r="Y298" s="448"/>
      <c r="Z298" s="448"/>
    </row>
    <row r="299" ht="15.75" customHeight="1">
      <c r="A299" s="441" t="s">
        <v>2816</v>
      </c>
      <c r="B299" s="873" t="s">
        <v>3681</v>
      </c>
      <c r="C299" s="853"/>
      <c r="D299" s="874" t="s">
        <v>76</v>
      </c>
      <c r="E299" s="792">
        <v>45694.0</v>
      </c>
      <c r="F299" s="792">
        <v>45695.0</v>
      </c>
      <c r="G299" s="790"/>
      <c r="H299" s="875">
        <v>45729.0</v>
      </c>
      <c r="I299" s="423">
        <f>IF(ISBLANK(H299), NETWORKDAYS(F299, TODAY(),fESTIVOS!$A$1:$A$18), NETWORKDAYS(F299, H299, fESTIVOS!$A$1:$A$18))</f>
        <v>25</v>
      </c>
      <c r="J299" s="792">
        <v>45715.0</v>
      </c>
      <c r="K299" s="875">
        <v>45729.0</v>
      </c>
      <c r="L299" s="876" t="s">
        <v>3682</v>
      </c>
      <c r="M299" s="403"/>
      <c r="N299" s="403"/>
      <c r="O299" s="403"/>
      <c r="P299" s="403"/>
      <c r="Q299" s="403"/>
      <c r="R299" s="403"/>
      <c r="S299" s="403"/>
      <c r="T299" s="403"/>
      <c r="U299" s="403"/>
      <c r="V299" s="403"/>
      <c r="W299" s="403"/>
      <c r="X299" s="403"/>
      <c r="Y299" s="403"/>
      <c r="Z299" s="403"/>
    </row>
    <row r="300" ht="15.75" customHeight="1">
      <c r="A300" s="441" t="s">
        <v>2816</v>
      </c>
      <c r="B300" s="877" t="s">
        <v>3683</v>
      </c>
      <c r="C300" s="869"/>
      <c r="D300" s="878" t="s">
        <v>76</v>
      </c>
      <c r="E300" s="870">
        <v>45726.0</v>
      </c>
      <c r="F300" s="870">
        <v>45726.0</v>
      </c>
      <c r="H300" s="870">
        <v>45733.0</v>
      </c>
      <c r="I300" s="423">
        <f>IF(ISBLANK(H300), NETWORKDAYS(F300, TODAY(),fESTIVOS!$A$1:$A$18), NETWORKDAYS(F300, H300, fESTIVOS!$A$1:$A$18))</f>
        <v>6</v>
      </c>
      <c r="L300" s="448" t="s">
        <v>3684</v>
      </c>
    </row>
    <row r="301" ht="15.75" customHeight="1">
      <c r="A301" s="441" t="s">
        <v>2816</v>
      </c>
      <c r="B301" s="879" t="s">
        <v>3685</v>
      </c>
      <c r="C301" s="880"/>
      <c r="D301" s="430" t="s">
        <v>76</v>
      </c>
      <c r="E301" s="799">
        <v>45730.0</v>
      </c>
      <c r="F301" s="799">
        <v>45733.0</v>
      </c>
      <c r="G301" s="799"/>
      <c r="H301" s="799">
        <v>45733.0</v>
      </c>
      <c r="I301" s="423">
        <f>IF(ISBLANK(H301), NETWORKDAYS(F301, TODAY(),fESTIVOS!$A$1:$A$18), NETWORKDAYS(F301, H301, fESTIVOS!$A$1:$A$18))</f>
        <v>1</v>
      </c>
      <c r="J301" s="799"/>
      <c r="K301" s="799"/>
      <c r="L301" s="881" t="s">
        <v>3686</v>
      </c>
      <c r="M301" s="403"/>
      <c r="N301" s="403"/>
      <c r="O301" s="403"/>
      <c r="P301" s="403"/>
      <c r="Q301" s="403"/>
      <c r="R301" s="403"/>
      <c r="S301" s="403"/>
      <c r="T301" s="403"/>
      <c r="U301" s="403"/>
      <c r="V301" s="403"/>
      <c r="W301" s="403"/>
      <c r="X301" s="403"/>
      <c r="Y301" s="403"/>
      <c r="Z301" s="403"/>
    </row>
    <row r="302" ht="15.75" customHeight="1">
      <c r="A302" s="441" t="s">
        <v>2841</v>
      </c>
      <c r="B302" s="862" t="s">
        <v>3687</v>
      </c>
      <c r="C302" s="882"/>
      <c r="D302" s="414" t="s">
        <v>76</v>
      </c>
      <c r="E302" s="732">
        <v>45730.0</v>
      </c>
      <c r="F302" s="732">
        <v>45730.0</v>
      </c>
      <c r="G302" s="731"/>
      <c r="H302" s="732">
        <v>45730.0</v>
      </c>
      <c r="I302" s="423">
        <f>IF(ISBLANK(H302), NETWORKDAYS(F302, TODAY(),fESTIVOS!$A$1:$A$18), NETWORKDAYS(F302, H302, fESTIVOS!$A$1:$A$18))</f>
        <v>1</v>
      </c>
      <c r="J302" s="731"/>
      <c r="K302" s="731"/>
      <c r="L302" s="731" t="s">
        <v>3688</v>
      </c>
    </row>
    <row r="303" ht="15.75" customHeight="1">
      <c r="A303" s="441" t="s">
        <v>2841</v>
      </c>
      <c r="B303" s="864" t="s">
        <v>3689</v>
      </c>
      <c r="C303" s="851"/>
      <c r="D303" s="414" t="s">
        <v>76</v>
      </c>
      <c r="E303" s="413">
        <v>45726.0</v>
      </c>
      <c r="F303" s="730">
        <v>45726.0</v>
      </c>
      <c r="G303" s="672"/>
      <c r="H303" s="413">
        <v>45727.0</v>
      </c>
      <c r="I303" s="423">
        <f>IF(ISBLANK(H303), NETWORKDAYS(F303, TODAY(),fESTIVOS!$A$1:$A$18), NETWORKDAYS(F303, H303, fESTIVOS!$A$1:$A$18))</f>
        <v>2</v>
      </c>
      <c r="J303" s="672"/>
      <c r="K303" s="672"/>
      <c r="L303" s="672" t="s">
        <v>3690</v>
      </c>
      <c r="M303" s="448"/>
      <c r="N303" s="448"/>
      <c r="O303" s="448"/>
      <c r="P303" s="448"/>
      <c r="Q303" s="448"/>
      <c r="R303" s="448"/>
      <c r="S303" s="448"/>
      <c r="T303" s="448"/>
      <c r="U303" s="448"/>
      <c r="V303" s="448"/>
      <c r="W303" s="448"/>
      <c r="X303" s="448"/>
      <c r="Y303" s="448"/>
      <c r="Z303" s="448"/>
    </row>
    <row r="304" ht="15.75" customHeight="1">
      <c r="A304" s="720" t="s">
        <v>2841</v>
      </c>
      <c r="B304" s="883" t="s">
        <v>3691</v>
      </c>
      <c r="C304" s="884"/>
      <c r="D304" s="645" t="s">
        <v>76</v>
      </c>
      <c r="E304" s="646">
        <v>45726.0</v>
      </c>
      <c r="F304" s="885">
        <v>45729.0</v>
      </c>
      <c r="G304" s="406"/>
      <c r="H304" s="646">
        <v>45736.0</v>
      </c>
      <c r="I304" s="886">
        <f>IF(ISBLANK(H304), NETWORKDAYS(F304, TODAY(),fESTIVOS!$A$1:$A$18), NETWORKDAYS(F304, H304, fESTIVOS!$A$1:$A$18))</f>
        <v>6</v>
      </c>
      <c r="J304" s="408">
        <v>45735.0</v>
      </c>
      <c r="K304" s="408">
        <v>45736.0</v>
      </c>
      <c r="L304" s="406" t="s">
        <v>3692</v>
      </c>
      <c r="M304" s="448"/>
      <c r="N304" s="448"/>
      <c r="O304" s="448"/>
      <c r="P304" s="448"/>
      <c r="Q304" s="448"/>
      <c r="R304" s="448"/>
      <c r="S304" s="448"/>
      <c r="T304" s="448"/>
      <c r="U304" s="448"/>
      <c r="V304" s="448"/>
      <c r="W304" s="448"/>
      <c r="X304" s="448"/>
      <c r="Y304" s="448"/>
      <c r="Z304" s="448"/>
    </row>
    <row r="305" ht="15.75" customHeight="1">
      <c r="A305" s="441" t="s">
        <v>2816</v>
      </c>
      <c r="B305" s="887" t="s">
        <v>3693</v>
      </c>
      <c r="C305" s="880"/>
      <c r="D305" s="430" t="s">
        <v>76</v>
      </c>
      <c r="E305" s="799">
        <v>45737.0</v>
      </c>
      <c r="F305" s="799">
        <v>45737.0</v>
      </c>
      <c r="G305" s="799"/>
      <c r="H305" s="799">
        <v>45737.0</v>
      </c>
      <c r="I305" s="423">
        <f>IF(ISBLANK(H305), NETWORKDAYS(F305, TODAY(),fESTIVOS!$A$1:$A$18), NETWORKDAYS(F305, H305, fESTIVOS!$A$1:$A$18))</f>
        <v>1</v>
      </c>
      <c r="J305" s="799"/>
      <c r="K305" s="799"/>
      <c r="L305" s="881" t="s">
        <v>3694</v>
      </c>
      <c r="M305" s="403"/>
      <c r="N305" s="403"/>
      <c r="O305" s="403"/>
      <c r="P305" s="403"/>
      <c r="Q305" s="403"/>
      <c r="R305" s="403"/>
      <c r="S305" s="403"/>
      <c r="T305" s="403"/>
      <c r="U305" s="403"/>
      <c r="V305" s="403"/>
      <c r="W305" s="403"/>
      <c r="X305" s="403"/>
      <c r="Y305" s="403"/>
      <c r="Z305" s="403"/>
    </row>
    <row r="306" ht="15.75" customHeight="1">
      <c r="A306" s="441" t="s">
        <v>2841</v>
      </c>
      <c r="B306" s="888" t="s">
        <v>3695</v>
      </c>
      <c r="C306" s="712"/>
      <c r="D306" s="414" t="s">
        <v>76</v>
      </c>
      <c r="E306" s="646">
        <v>45737.0</v>
      </c>
      <c r="F306" s="646">
        <v>45737.0</v>
      </c>
      <c r="G306" s="406"/>
      <c r="H306" s="646">
        <v>45737.0</v>
      </c>
      <c r="I306" s="423">
        <f>IF(ISBLANK(H306), NETWORKDAYS(F306, TODAY(),fESTIVOS!$A$1:$A$18), NETWORKDAYS(F306, H306, fESTIVOS!$A$1:$A$18))</f>
        <v>1</v>
      </c>
      <c r="J306" s="406"/>
      <c r="K306" s="406"/>
      <c r="L306" s="406" t="s">
        <v>3696</v>
      </c>
      <c r="M306" s="448"/>
      <c r="N306" s="448"/>
      <c r="O306" s="448"/>
      <c r="P306" s="448"/>
      <c r="Q306" s="448"/>
      <c r="R306" s="448"/>
      <c r="S306" s="448"/>
      <c r="T306" s="448"/>
      <c r="U306" s="448"/>
      <c r="V306" s="448"/>
      <c r="W306" s="448"/>
      <c r="X306" s="448"/>
      <c r="Y306" s="448"/>
      <c r="Z306" s="448"/>
    </row>
    <row r="307" ht="15.75" customHeight="1">
      <c r="A307" s="426" t="s">
        <v>2831</v>
      </c>
      <c r="B307" s="631" t="s">
        <v>3697</v>
      </c>
      <c r="C307" s="657"/>
      <c r="D307" s="441" t="s">
        <v>76</v>
      </c>
      <c r="E307" s="850">
        <v>45734.0</v>
      </c>
      <c r="F307" s="850">
        <v>45734.0</v>
      </c>
      <c r="G307" s="427"/>
      <c r="H307" s="850">
        <v>45741.0</v>
      </c>
      <c r="I307" s="415">
        <f>IF(ISBLANK(H307), NETWORKDAYS(F307, TODAY(),fESTIVOS!$A$1:$A$18), NETWORKDAYS(F307, H307, fESTIVOS!$A$1:$A$18))</f>
        <v>6</v>
      </c>
      <c r="J307" s="423"/>
      <c r="K307" s="850">
        <v>45741.0</v>
      </c>
      <c r="L307" s="889" t="s">
        <v>3698</v>
      </c>
      <c r="M307" s="890"/>
      <c r="N307" s="403"/>
      <c r="O307" s="403"/>
      <c r="P307" s="403"/>
      <c r="Q307" s="403"/>
      <c r="R307" s="403"/>
      <c r="S307" s="403"/>
      <c r="T307" s="403"/>
      <c r="U307" s="403"/>
      <c r="V307" s="403"/>
      <c r="W307" s="403"/>
      <c r="X307" s="403"/>
      <c r="Y307" s="403"/>
      <c r="Z307" s="403"/>
    </row>
    <row r="308" ht="15.75" customHeight="1">
      <c r="A308" s="441" t="s">
        <v>2841</v>
      </c>
      <c r="B308" s="888" t="s">
        <v>3699</v>
      </c>
      <c r="C308" s="712"/>
      <c r="D308" s="414" t="s">
        <v>76</v>
      </c>
      <c r="E308" s="646">
        <v>45741.0</v>
      </c>
      <c r="F308" s="646">
        <v>45741.0</v>
      </c>
      <c r="G308" s="406"/>
      <c r="H308" s="646">
        <v>45741.0</v>
      </c>
      <c r="I308" s="423">
        <f>IF(ISBLANK(H308), NETWORKDAYS(F308, TODAY(),fESTIVOS!$A$1:$A$18), NETWORKDAYS(F308, H308, fESTIVOS!$A$1:$A$18))</f>
        <v>1</v>
      </c>
      <c r="J308" s="406"/>
      <c r="K308" s="646">
        <v>45741.0</v>
      </c>
      <c r="L308" s="891" t="s">
        <v>3700</v>
      </c>
      <c r="M308" s="448"/>
      <c r="N308" s="448"/>
      <c r="O308" s="448"/>
      <c r="P308" s="448"/>
      <c r="Q308" s="448"/>
      <c r="R308" s="448"/>
      <c r="S308" s="448"/>
      <c r="T308" s="448"/>
      <c r="U308" s="448"/>
      <c r="V308" s="448"/>
      <c r="W308" s="448"/>
      <c r="X308" s="448"/>
      <c r="Y308" s="448"/>
      <c r="Z308" s="448"/>
    </row>
    <row r="309" ht="15.75" customHeight="1">
      <c r="A309" s="441" t="s">
        <v>2841</v>
      </c>
      <c r="B309" s="888" t="s">
        <v>3701</v>
      </c>
      <c r="C309" s="712"/>
      <c r="D309" s="414" t="s">
        <v>76</v>
      </c>
      <c r="E309" s="646">
        <v>45741.0</v>
      </c>
      <c r="F309" s="646">
        <v>45741.0</v>
      </c>
      <c r="G309" s="406"/>
      <c r="H309" s="646">
        <v>45741.0</v>
      </c>
      <c r="I309" s="423">
        <f>IF(ISBLANK(H309), NETWORKDAYS(F309, TODAY(),fESTIVOS!$A$1:$A$18), NETWORKDAYS(F309, H309, fESTIVOS!$A$1:$A$18))</f>
        <v>1</v>
      </c>
      <c r="J309" s="406"/>
      <c r="K309" s="406"/>
      <c r="L309" s="891" t="s">
        <v>3702</v>
      </c>
      <c r="M309" s="448"/>
      <c r="N309" s="448"/>
      <c r="O309" s="448"/>
      <c r="P309" s="448"/>
      <c r="Q309" s="448"/>
      <c r="R309" s="448"/>
      <c r="S309" s="448"/>
      <c r="T309" s="448"/>
      <c r="U309" s="448"/>
      <c r="V309" s="448"/>
      <c r="W309" s="448"/>
      <c r="X309" s="448"/>
      <c r="Y309" s="448"/>
      <c r="Z309" s="448"/>
    </row>
    <row r="310" ht="15.0" customHeight="1">
      <c r="A310" s="441" t="s">
        <v>2841</v>
      </c>
      <c r="B310" s="892" t="s">
        <v>3703</v>
      </c>
      <c r="C310" s="869"/>
      <c r="D310" s="846" t="s">
        <v>76</v>
      </c>
      <c r="E310" s="870">
        <v>45742.0</v>
      </c>
      <c r="F310" s="870">
        <v>45743.0</v>
      </c>
      <c r="I310" s="423">
        <f>IF(ISBLANK(H310), NETWORKDAYS(F310, TODAY(),fESTIVOS!$A$1:$A$18), NETWORKDAYS(F310, H310, fESTIVOS!$A$1:$A$18))</f>
        <v>319</v>
      </c>
      <c r="L310" s="448" t="s">
        <v>3704</v>
      </c>
    </row>
    <row r="311" ht="15.75" customHeight="1">
      <c r="A311" s="426" t="s">
        <v>2831</v>
      </c>
      <c r="B311" s="436" t="s">
        <v>3705</v>
      </c>
      <c r="C311" s="657"/>
      <c r="D311" s="441" t="s">
        <v>76</v>
      </c>
      <c r="E311" s="850">
        <v>45744.0</v>
      </c>
      <c r="F311" s="850">
        <v>45744.0</v>
      </c>
      <c r="G311" s="427"/>
      <c r="H311" s="850">
        <v>45744.0</v>
      </c>
      <c r="I311" s="415">
        <f>IF(ISBLANK(H311), NETWORKDAYS(F311, TODAY(),fESTIVOS!$A$1:$A$18), NETWORKDAYS(F311, H311, fESTIVOS!$A$1:$A$18))</f>
        <v>1</v>
      </c>
      <c r="J311" s="423"/>
      <c r="K311" s="850">
        <v>45744.0</v>
      </c>
      <c r="L311" s="889" t="s">
        <v>3706</v>
      </c>
      <c r="M311" s="890"/>
      <c r="N311" s="403"/>
      <c r="O311" s="403"/>
      <c r="P311" s="403"/>
      <c r="Q311" s="403"/>
      <c r="R311" s="403"/>
      <c r="S311" s="403"/>
      <c r="T311" s="403"/>
      <c r="U311" s="403"/>
      <c r="V311" s="403"/>
      <c r="W311" s="403"/>
      <c r="X311" s="403"/>
      <c r="Y311" s="403"/>
      <c r="Z311" s="403"/>
    </row>
    <row r="312" ht="15.0" customHeight="1">
      <c r="A312" s="785" t="s">
        <v>2841</v>
      </c>
      <c r="B312" s="892" t="s">
        <v>3707</v>
      </c>
      <c r="C312" s="882"/>
      <c r="D312" s="846" t="s">
        <v>76</v>
      </c>
      <c r="E312" s="870">
        <v>45743.0</v>
      </c>
      <c r="F312" s="870">
        <v>45744.0</v>
      </c>
      <c r="G312" s="448"/>
      <c r="H312" s="870">
        <v>45744.0</v>
      </c>
      <c r="I312" s="772">
        <f>IF(ISBLANK(H312), NETWORKDAYS(F312, TODAY(),fESTIVOS!$A$1:$A$18), NETWORKDAYS(F312, H312, fESTIVOS!$A$1:$A$18))</f>
        <v>1</v>
      </c>
      <c r="J312" s="448"/>
      <c r="K312" s="870">
        <v>45744.0</v>
      </c>
      <c r="L312" s="448" t="s">
        <v>3708</v>
      </c>
    </row>
    <row r="313" ht="15.75" customHeight="1">
      <c r="A313" s="441" t="s">
        <v>2841</v>
      </c>
      <c r="B313" s="692" t="s">
        <v>3709</v>
      </c>
      <c r="C313" s="851"/>
      <c r="D313" s="893" t="s">
        <v>76</v>
      </c>
      <c r="E313" s="445">
        <v>45744.0</v>
      </c>
      <c r="F313" s="445">
        <v>45744.0</v>
      </c>
      <c r="G313" s="443"/>
      <c r="H313" s="445">
        <v>45744.0</v>
      </c>
      <c r="I313" s="423">
        <f>IF(ISBLANK(H313), NETWORKDAYS(F313, TODAY(),fESTIVOS!$A$1:$A$18), NETWORKDAYS(F313, H313, fESTIVOS!$A$1:$A$18))</f>
        <v>1</v>
      </c>
      <c r="J313" s="445"/>
      <c r="K313" s="445">
        <v>45744.0</v>
      </c>
      <c r="L313" s="443" t="s">
        <v>3710</v>
      </c>
      <c r="M313" s="448"/>
      <c r="N313" s="448"/>
      <c r="O313" s="448"/>
      <c r="P313" s="448"/>
      <c r="Q313" s="448"/>
      <c r="R313" s="448"/>
      <c r="S313" s="448"/>
      <c r="T313" s="448"/>
      <c r="U313" s="448"/>
      <c r="V313" s="448"/>
      <c r="W313" s="448"/>
      <c r="X313" s="448"/>
      <c r="Y313" s="448"/>
      <c r="Z313" s="448"/>
    </row>
    <row r="314" ht="15.75" customHeight="1">
      <c r="A314" s="441" t="s">
        <v>2841</v>
      </c>
      <c r="B314" s="894" t="s">
        <v>2842</v>
      </c>
      <c r="C314" s="851"/>
      <c r="D314" s="893" t="s">
        <v>76</v>
      </c>
      <c r="E314" s="445">
        <v>45671.0</v>
      </c>
      <c r="F314" s="446">
        <v>45673.0</v>
      </c>
      <c r="G314" s="443" t="s">
        <v>2845</v>
      </c>
      <c r="H314" s="445">
        <v>45680.0</v>
      </c>
      <c r="I314" s="423">
        <f>IF(ISBLANK(H314), NETWORKDAYS(F314, TODAY(),fESTIVOS!$A$1:$A$18), NETWORKDAYS(F314, H314, fESTIVOS!$A$1:$A$18))</f>
        <v>6</v>
      </c>
      <c r="J314" s="445">
        <v>45680.0</v>
      </c>
      <c r="K314" s="443"/>
      <c r="L314" s="443" t="s">
        <v>3711</v>
      </c>
      <c r="M314" s="865" t="s">
        <v>3712</v>
      </c>
      <c r="N314" s="448"/>
      <c r="O314" s="448"/>
      <c r="P314" s="448"/>
      <c r="Q314" s="448"/>
      <c r="R314" s="448"/>
      <c r="S314" s="448"/>
      <c r="T314" s="448"/>
      <c r="U314" s="448"/>
      <c r="V314" s="448"/>
      <c r="W314" s="448"/>
      <c r="X314" s="448"/>
      <c r="Y314" s="448"/>
      <c r="Z314" s="448"/>
    </row>
    <row r="315" ht="15.75" customHeight="1">
      <c r="A315" s="720" t="s">
        <v>2841</v>
      </c>
      <c r="B315" s="895" t="s">
        <v>3713</v>
      </c>
      <c r="C315" s="451"/>
      <c r="D315" s="713" t="s">
        <v>76</v>
      </c>
      <c r="E315" s="646">
        <v>45736.0</v>
      </c>
      <c r="F315" s="646">
        <v>45736.0</v>
      </c>
      <c r="G315" s="406"/>
      <c r="H315" s="646">
        <v>45749.0</v>
      </c>
      <c r="I315" s="724">
        <f>IF(ISBLANK(H315), NETWORKDAYS(F315, TODAY(),fESTIVOS!$A$1:$A$18), NETWORKDAYS(F315, H315, fESTIVOS!$A$1:$A$18))</f>
        <v>10</v>
      </c>
      <c r="J315" s="408">
        <v>45749.0</v>
      </c>
      <c r="K315" s="408">
        <v>45755.0</v>
      </c>
      <c r="L315" s="891" t="s">
        <v>1797</v>
      </c>
      <c r="M315" s="448"/>
      <c r="N315" s="448"/>
      <c r="O315" s="448"/>
      <c r="P315" s="448"/>
      <c r="Q315" s="448"/>
      <c r="R315" s="448"/>
      <c r="S315" s="448"/>
      <c r="T315" s="448"/>
      <c r="U315" s="448"/>
      <c r="V315" s="448"/>
      <c r="W315" s="448"/>
      <c r="X315" s="448"/>
      <c r="Y315" s="448"/>
      <c r="Z315" s="448"/>
    </row>
    <row r="316" ht="15.75" customHeight="1">
      <c r="A316" s="426" t="s">
        <v>2831</v>
      </c>
      <c r="B316" s="436" t="s">
        <v>3714</v>
      </c>
      <c r="C316" s="657"/>
      <c r="D316" s="426" t="s">
        <v>76</v>
      </c>
      <c r="E316" s="850">
        <v>45741.0</v>
      </c>
      <c r="F316" s="850">
        <v>45741.0</v>
      </c>
      <c r="G316" s="427"/>
      <c r="H316" s="427">
        <v>45755.0</v>
      </c>
      <c r="I316" s="423">
        <f>IF(ISBLANK(H316), NETWORKDAYS(F316, TODAY(),fESTIVOS!$A$1:$A$18), NETWORKDAYS(F316, H316, fESTIVOS!$A$1:$A$18))</f>
        <v>11</v>
      </c>
      <c r="J316" s="850"/>
      <c r="K316" s="427">
        <v>45755.0</v>
      </c>
      <c r="L316" s="889" t="s">
        <v>3715</v>
      </c>
      <c r="M316" s="638"/>
      <c r="N316" s="403"/>
      <c r="O316" s="403"/>
      <c r="P316" s="403"/>
      <c r="Q316" s="403"/>
      <c r="R316" s="403"/>
      <c r="S316" s="403"/>
      <c r="T316" s="403"/>
      <c r="U316" s="403"/>
      <c r="V316" s="403"/>
      <c r="W316" s="403"/>
      <c r="X316" s="403"/>
      <c r="Y316" s="403"/>
      <c r="Z316" s="403"/>
    </row>
    <row r="317" ht="15.75" customHeight="1">
      <c r="A317" s="441" t="s">
        <v>2816</v>
      </c>
      <c r="B317" s="896" t="s">
        <v>3716</v>
      </c>
      <c r="C317" s="853"/>
      <c r="D317" s="635" t="s">
        <v>76</v>
      </c>
      <c r="E317" s="792">
        <v>45709.0</v>
      </c>
      <c r="F317" s="792">
        <v>45715.0</v>
      </c>
      <c r="G317" s="790"/>
      <c r="H317" s="792">
        <v>45757.0</v>
      </c>
      <c r="I317" s="897">
        <f>IF(ISBLANK(H317), NETWORKDAYS(F317, TODAY(),fESTIVOS!$A$1:$A$18), NETWORKDAYS(F317, H317, fESTIVOS!$A$1:$A$18))</f>
        <v>31</v>
      </c>
      <c r="J317" s="792">
        <v>45716.0</v>
      </c>
      <c r="K317" s="792">
        <v>45757.0</v>
      </c>
      <c r="L317" s="876" t="s">
        <v>3717</v>
      </c>
      <c r="M317" s="403"/>
      <c r="N317" s="403"/>
      <c r="O317" s="403"/>
      <c r="P317" s="403"/>
      <c r="Q317" s="403"/>
      <c r="R317" s="403"/>
      <c r="S317" s="403"/>
      <c r="T317" s="403"/>
      <c r="U317" s="403"/>
      <c r="V317" s="403"/>
      <c r="W317" s="403"/>
      <c r="X317" s="403"/>
      <c r="Y317" s="403"/>
      <c r="Z317" s="403"/>
    </row>
    <row r="318" ht="15.75" customHeight="1">
      <c r="A318" s="637" t="s">
        <v>2816</v>
      </c>
      <c r="B318" s="898" t="s">
        <v>3718</v>
      </c>
      <c r="C318" s="899"/>
      <c r="D318" s="635" t="s">
        <v>76</v>
      </c>
      <c r="E318" s="900">
        <v>45695.0</v>
      </c>
      <c r="F318" s="855">
        <v>45712.0</v>
      </c>
      <c r="G318" s="900">
        <v>45715.0</v>
      </c>
      <c r="H318" s="900">
        <v>45757.0</v>
      </c>
      <c r="I318" s="415">
        <f>IF(ISBLANK(H318), NETWORKDAYS(F318, TODAY(),fESTIVOS!$A$1:$A$18), NETWORKDAYS(F318, H318, fESTIVOS!$A$1:$A$18))</f>
        <v>34</v>
      </c>
      <c r="J318" s="900">
        <v>45715.0</v>
      </c>
      <c r="K318" s="900">
        <v>45757.0</v>
      </c>
      <c r="L318" s="425" t="s">
        <v>3719</v>
      </c>
      <c r="M318" s="901"/>
      <c r="N318" s="901"/>
      <c r="O318" s="901"/>
      <c r="P318" s="901"/>
      <c r="Q318" s="901"/>
      <c r="R318" s="901"/>
      <c r="S318" s="901"/>
      <c r="T318" s="901"/>
      <c r="U318" s="901"/>
      <c r="V318" s="901"/>
      <c r="W318" s="901"/>
      <c r="X318" s="901"/>
      <c r="Y318" s="901"/>
      <c r="Z318" s="901"/>
      <c r="AA318" s="901"/>
      <c r="AB318" s="901"/>
      <c r="AC318" s="901"/>
      <c r="AD318" s="901"/>
      <c r="AE318" s="901"/>
      <c r="AF318" s="901"/>
      <c r="AG318" s="901"/>
    </row>
    <row r="319" ht="15.75" customHeight="1">
      <c r="A319" s="441" t="s">
        <v>2816</v>
      </c>
      <c r="B319" s="631" t="s">
        <v>3720</v>
      </c>
      <c r="C319" s="860"/>
      <c r="D319" s="635" t="s">
        <v>76</v>
      </c>
      <c r="E319" s="445">
        <v>45755.0</v>
      </c>
      <c r="F319" s="445">
        <v>45755.0</v>
      </c>
      <c r="G319" s="445"/>
      <c r="H319" s="445">
        <v>45757.0</v>
      </c>
      <c r="I319" s="423">
        <f>IF(ISBLANK(H319), NETWORKDAYS(F319, TODAY(),fESTIVOS!$A$1:$A$18), NETWORKDAYS(F319, H319, fESTIVOS!$A$1:$A$18))</f>
        <v>3</v>
      </c>
      <c r="J319" s="445"/>
      <c r="K319" s="445">
        <v>45757.0</v>
      </c>
      <c r="L319" s="863" t="s">
        <v>3721</v>
      </c>
      <c r="M319" s="403"/>
      <c r="N319" s="403"/>
      <c r="O319" s="403"/>
      <c r="P319" s="403"/>
      <c r="Q319" s="403"/>
      <c r="R319" s="403"/>
      <c r="S319" s="403"/>
      <c r="T319" s="403"/>
      <c r="U319" s="403"/>
      <c r="V319" s="403"/>
      <c r="W319" s="403"/>
      <c r="X319" s="403"/>
      <c r="Y319" s="403"/>
      <c r="Z319" s="403"/>
    </row>
    <row r="320" ht="15.75" customHeight="1">
      <c r="A320" s="441" t="s">
        <v>2841</v>
      </c>
      <c r="B320" s="864" t="s">
        <v>3722</v>
      </c>
      <c r="C320" s="851"/>
      <c r="D320" s="414" t="s">
        <v>76</v>
      </c>
      <c r="E320" s="413">
        <v>45749.0</v>
      </c>
      <c r="F320" s="413">
        <v>45749.0</v>
      </c>
      <c r="G320" s="672"/>
      <c r="H320" s="413">
        <v>45757.0</v>
      </c>
      <c r="I320" s="423">
        <f>IF(ISBLANK(H320), NETWORKDAYS(F320, TODAY(),fESTIVOS!$A$1:$A$18), NETWORKDAYS(F320, H320, fESTIVOS!$A$1:$A$18))</f>
        <v>7</v>
      </c>
      <c r="J320" s="672"/>
      <c r="K320" s="413">
        <v>45757.0</v>
      </c>
      <c r="L320" s="902" t="s">
        <v>3723</v>
      </c>
      <c r="M320" s="448"/>
      <c r="N320" s="448"/>
      <c r="O320" s="448"/>
      <c r="P320" s="448"/>
      <c r="Q320" s="448"/>
      <c r="R320" s="448"/>
      <c r="S320" s="448"/>
      <c r="T320" s="448"/>
      <c r="U320" s="448"/>
      <c r="V320" s="448"/>
      <c r="W320" s="448"/>
      <c r="X320" s="448"/>
      <c r="Y320" s="448"/>
      <c r="Z320" s="448"/>
    </row>
    <row r="321" ht="29.25" customHeight="1">
      <c r="A321" s="745" t="s">
        <v>3089</v>
      </c>
      <c r="B321" s="520" t="s">
        <v>3724</v>
      </c>
      <c r="C321" s="903" t="s">
        <v>3725</v>
      </c>
      <c r="D321" s="477"/>
      <c r="E321" s="753" t="s">
        <v>3726</v>
      </c>
      <c r="F321" s="747">
        <v>45688.0</v>
      </c>
      <c r="G321" s="747">
        <v>45691.0</v>
      </c>
      <c r="H321" s="747">
        <v>45694.0</v>
      </c>
      <c r="I321" s="746"/>
      <c r="J321" s="742">
        <f>IF(ISBLANK(I321), NETWORKDAYS(G321, TODAY(),fESTIVOS!$A$1:$A$18), NETWORKDAYS(G321, I321, fESTIVOS!$A$1:$A$18))</f>
        <v>357</v>
      </c>
      <c r="K321" s="747"/>
      <c r="L321" s="747"/>
      <c r="M321" s="904" t="s">
        <v>3727</v>
      </c>
      <c r="N321" s="638"/>
      <c r="O321" s="403"/>
      <c r="P321" s="403"/>
      <c r="Q321" s="403"/>
      <c r="R321" s="403"/>
      <c r="S321" s="403"/>
      <c r="T321" s="403"/>
      <c r="U321" s="403"/>
      <c r="V321" s="403"/>
      <c r="W321" s="403"/>
      <c r="X321" s="403"/>
      <c r="Y321" s="403"/>
      <c r="Z321" s="403"/>
      <c r="AA321" s="403"/>
    </row>
    <row r="322" ht="15.75" customHeight="1">
      <c r="A322" s="495"/>
      <c r="B322" s="495"/>
      <c r="C322" s="495"/>
      <c r="D322" s="905"/>
      <c r="E322" s="495"/>
      <c r="F322" s="495"/>
      <c r="G322" s="495"/>
      <c r="H322" s="495"/>
      <c r="I322" s="495"/>
      <c r="J322" s="495"/>
      <c r="K322" s="495"/>
      <c r="L322" s="495"/>
      <c r="M322" s="495"/>
      <c r="N322" s="495"/>
      <c r="O322" s="495"/>
      <c r="P322" s="495"/>
      <c r="Q322" s="495"/>
      <c r="R322" s="495"/>
      <c r="S322" s="495"/>
      <c r="T322" s="495"/>
      <c r="U322" s="495"/>
      <c r="V322" s="495"/>
      <c r="W322" s="495"/>
      <c r="X322" s="495"/>
      <c r="Y322" s="495"/>
      <c r="Z322" s="495"/>
    </row>
    <row r="323" ht="15.75" customHeight="1">
      <c r="A323" s="495"/>
      <c r="B323" s="495"/>
      <c r="C323" s="495"/>
      <c r="D323" s="905"/>
      <c r="E323" s="495"/>
      <c r="F323" s="495"/>
      <c r="G323" s="495"/>
      <c r="H323" s="495"/>
      <c r="I323" s="495"/>
      <c r="J323" s="495"/>
      <c r="K323" s="495"/>
      <c r="L323" s="495"/>
      <c r="M323" s="495"/>
      <c r="N323" s="495"/>
      <c r="O323" s="495"/>
      <c r="P323" s="495"/>
      <c r="Q323" s="495"/>
      <c r="R323" s="495"/>
      <c r="S323" s="495"/>
      <c r="T323" s="495"/>
      <c r="U323" s="495"/>
      <c r="V323" s="495"/>
      <c r="W323" s="495"/>
      <c r="X323" s="495"/>
      <c r="Y323" s="495"/>
      <c r="Z323" s="495"/>
    </row>
    <row r="324" ht="15.75" customHeight="1">
      <c r="A324" s="495"/>
      <c r="B324" s="495"/>
      <c r="C324" s="495"/>
      <c r="D324" s="905"/>
      <c r="E324" s="495"/>
      <c r="F324" s="495"/>
      <c r="G324" s="495"/>
      <c r="H324" s="495"/>
      <c r="I324" s="495"/>
      <c r="J324" s="495"/>
      <c r="K324" s="495"/>
      <c r="L324" s="495"/>
      <c r="M324" s="495"/>
      <c r="N324" s="495"/>
      <c r="O324" s="495"/>
      <c r="P324" s="495"/>
      <c r="Q324" s="495"/>
      <c r="R324" s="495"/>
      <c r="S324" s="495"/>
      <c r="T324" s="495"/>
      <c r="U324" s="495"/>
      <c r="V324" s="495"/>
      <c r="W324" s="495"/>
      <c r="X324" s="495"/>
      <c r="Y324" s="495"/>
      <c r="Z324" s="495"/>
    </row>
    <row r="325" ht="15.75" customHeight="1">
      <c r="A325" s="495"/>
      <c r="B325" s="495"/>
      <c r="C325" s="495"/>
      <c r="D325" s="905"/>
      <c r="E325" s="495"/>
      <c r="F325" s="495"/>
      <c r="G325" s="495"/>
      <c r="H325" s="495"/>
      <c r="I325" s="495"/>
      <c r="J325" s="495"/>
      <c r="K325" s="495"/>
      <c r="L325" s="495"/>
      <c r="M325" s="495"/>
      <c r="N325" s="495"/>
      <c r="O325" s="495"/>
      <c r="P325" s="495"/>
      <c r="Q325" s="495"/>
      <c r="R325" s="495"/>
      <c r="S325" s="495"/>
      <c r="T325" s="495"/>
      <c r="U325" s="495"/>
      <c r="V325" s="495"/>
      <c r="W325" s="495"/>
      <c r="X325" s="495"/>
      <c r="Y325" s="495"/>
      <c r="Z325" s="495"/>
    </row>
    <row r="326" ht="15.75" customHeight="1">
      <c r="A326" s="495"/>
      <c r="B326" s="495"/>
      <c r="C326" s="495"/>
      <c r="D326" s="905"/>
      <c r="E326" s="495"/>
      <c r="F326" s="495"/>
      <c r="G326" s="495"/>
      <c r="H326" s="495"/>
      <c r="I326" s="495"/>
      <c r="J326" s="495"/>
      <c r="K326" s="495"/>
      <c r="L326" s="495"/>
      <c r="M326" s="495"/>
      <c r="N326" s="495"/>
      <c r="O326" s="495"/>
      <c r="P326" s="495"/>
      <c r="Q326" s="495"/>
      <c r="R326" s="495"/>
      <c r="S326" s="495"/>
      <c r="T326" s="495"/>
      <c r="U326" s="495"/>
      <c r="V326" s="495"/>
      <c r="W326" s="495"/>
      <c r="X326" s="495"/>
      <c r="Y326" s="495"/>
      <c r="Z326" s="495"/>
    </row>
    <row r="327" ht="15.75" customHeight="1">
      <c r="A327" s="495"/>
      <c r="B327" s="495"/>
      <c r="C327" s="495"/>
      <c r="D327" s="905"/>
      <c r="E327" s="495"/>
      <c r="F327" s="495"/>
      <c r="G327" s="495"/>
      <c r="H327" s="495"/>
      <c r="I327" s="495"/>
      <c r="J327" s="495"/>
      <c r="K327" s="495"/>
      <c r="L327" s="495"/>
      <c r="M327" s="495"/>
      <c r="N327" s="495"/>
      <c r="O327" s="495"/>
      <c r="P327" s="495"/>
      <c r="Q327" s="495"/>
      <c r="R327" s="495"/>
      <c r="S327" s="495"/>
      <c r="T327" s="495"/>
      <c r="U327" s="495"/>
      <c r="V327" s="495"/>
      <c r="W327" s="495"/>
      <c r="X327" s="495"/>
      <c r="Y327" s="495"/>
      <c r="Z327" s="495"/>
    </row>
    <row r="328" ht="15.75" customHeight="1">
      <c r="A328" s="495"/>
      <c r="B328" s="495"/>
      <c r="C328" s="495"/>
      <c r="D328" s="905"/>
      <c r="E328" s="495"/>
      <c r="F328" s="495"/>
      <c r="G328" s="495"/>
      <c r="H328" s="495"/>
      <c r="I328" s="495"/>
      <c r="J328" s="495"/>
      <c r="K328" s="495"/>
      <c r="L328" s="495"/>
      <c r="M328" s="495"/>
      <c r="N328" s="495"/>
      <c r="O328" s="495"/>
      <c r="P328" s="495"/>
      <c r="Q328" s="495"/>
      <c r="R328" s="495"/>
      <c r="S328" s="495"/>
      <c r="T328" s="495"/>
      <c r="U328" s="495"/>
      <c r="V328" s="495"/>
      <c r="W328" s="495"/>
      <c r="X328" s="495"/>
      <c r="Y328" s="495"/>
      <c r="Z328" s="495"/>
    </row>
    <row r="329" ht="15.75" customHeight="1">
      <c r="A329" s="495"/>
      <c r="B329" s="495"/>
      <c r="C329" s="495"/>
      <c r="D329" s="905"/>
      <c r="E329" s="495"/>
      <c r="F329" s="495"/>
      <c r="G329" s="495"/>
      <c r="H329" s="495"/>
      <c r="I329" s="495"/>
      <c r="J329" s="495"/>
      <c r="K329" s="495"/>
      <c r="L329" s="495"/>
      <c r="M329" s="495"/>
      <c r="N329" s="495"/>
      <c r="O329" s="495"/>
      <c r="P329" s="495"/>
      <c r="Q329" s="495"/>
      <c r="R329" s="495"/>
      <c r="S329" s="495"/>
      <c r="T329" s="495"/>
      <c r="U329" s="495"/>
      <c r="V329" s="495"/>
      <c r="W329" s="495"/>
      <c r="X329" s="495"/>
      <c r="Y329" s="495"/>
      <c r="Z329" s="495"/>
    </row>
    <row r="330" ht="15.75" customHeight="1">
      <c r="A330" s="495"/>
      <c r="B330" s="495"/>
      <c r="C330" s="495"/>
      <c r="D330" s="905"/>
      <c r="E330" s="495"/>
      <c r="F330" s="495"/>
      <c r="G330" s="495"/>
      <c r="H330" s="495"/>
      <c r="I330" s="495"/>
      <c r="J330" s="495"/>
      <c r="K330" s="495"/>
      <c r="L330" s="495"/>
      <c r="M330" s="495"/>
      <c r="N330" s="495"/>
      <c r="O330" s="495"/>
      <c r="P330" s="495"/>
      <c r="Q330" s="495"/>
      <c r="R330" s="495"/>
      <c r="S330" s="495"/>
      <c r="T330" s="495"/>
      <c r="U330" s="495"/>
      <c r="V330" s="495"/>
      <c r="W330" s="495"/>
      <c r="X330" s="495"/>
      <c r="Y330" s="495"/>
      <c r="Z330" s="495"/>
    </row>
    <row r="331" ht="15.75" customHeight="1">
      <c r="A331" s="495"/>
      <c r="B331" s="495"/>
      <c r="C331" s="495"/>
      <c r="D331" s="905"/>
      <c r="E331" s="495"/>
      <c r="F331" s="495"/>
      <c r="G331" s="495"/>
      <c r="H331" s="495"/>
      <c r="I331" s="495"/>
      <c r="J331" s="495"/>
      <c r="K331" s="495"/>
      <c r="L331" s="495"/>
      <c r="M331" s="495"/>
      <c r="N331" s="495"/>
      <c r="O331" s="495"/>
      <c r="P331" s="495"/>
      <c r="Q331" s="495"/>
      <c r="R331" s="495"/>
      <c r="S331" s="495"/>
      <c r="T331" s="495"/>
      <c r="U331" s="495"/>
      <c r="V331" s="495"/>
      <c r="W331" s="495"/>
      <c r="X331" s="495"/>
      <c r="Y331" s="495"/>
      <c r="Z331" s="495"/>
    </row>
    <row r="332" ht="15.75" customHeight="1">
      <c r="A332" s="495"/>
      <c r="B332" s="495"/>
      <c r="C332" s="495"/>
      <c r="D332" s="905"/>
      <c r="E332" s="495"/>
      <c r="F332" s="495"/>
      <c r="G332" s="495"/>
      <c r="H332" s="495"/>
      <c r="I332" s="495"/>
      <c r="J332" s="495"/>
      <c r="K332" s="495"/>
      <c r="L332" s="495"/>
      <c r="M332" s="495"/>
      <c r="N332" s="495"/>
      <c r="O332" s="495"/>
      <c r="P332" s="495"/>
      <c r="Q332" s="495"/>
      <c r="R332" s="495"/>
      <c r="S332" s="495"/>
      <c r="T332" s="495"/>
      <c r="U332" s="495"/>
      <c r="V332" s="495"/>
      <c r="W332" s="495"/>
      <c r="X332" s="495"/>
      <c r="Y332" s="495"/>
      <c r="Z332" s="495"/>
    </row>
    <row r="333" ht="15.75" customHeight="1">
      <c r="A333" s="495"/>
      <c r="B333" s="495"/>
      <c r="C333" s="495"/>
      <c r="D333" s="905"/>
      <c r="E333" s="495"/>
      <c r="F333" s="495"/>
      <c r="G333" s="495"/>
      <c r="H333" s="495"/>
      <c r="I333" s="495"/>
      <c r="J333" s="495"/>
      <c r="K333" s="495"/>
      <c r="L333" s="495"/>
      <c r="M333" s="495"/>
      <c r="N333" s="495"/>
      <c r="O333" s="495"/>
      <c r="P333" s="495"/>
      <c r="Q333" s="495"/>
      <c r="R333" s="495"/>
      <c r="S333" s="495"/>
      <c r="T333" s="495"/>
      <c r="U333" s="495"/>
      <c r="V333" s="495"/>
      <c r="W333" s="495"/>
      <c r="X333" s="495"/>
      <c r="Y333" s="495"/>
      <c r="Z333" s="495"/>
    </row>
    <row r="334" ht="15.75" customHeight="1">
      <c r="A334" s="495"/>
      <c r="B334" s="495"/>
      <c r="C334" s="495"/>
      <c r="D334" s="905"/>
      <c r="E334" s="495"/>
      <c r="F334" s="495"/>
      <c r="G334" s="495"/>
      <c r="H334" s="495"/>
      <c r="I334" s="495"/>
      <c r="J334" s="495"/>
      <c r="K334" s="495"/>
      <c r="L334" s="495"/>
      <c r="M334" s="495"/>
      <c r="N334" s="495"/>
      <c r="O334" s="495"/>
      <c r="P334" s="495"/>
      <c r="Q334" s="495"/>
      <c r="R334" s="495"/>
      <c r="S334" s="495"/>
      <c r="T334" s="495"/>
      <c r="U334" s="495"/>
      <c r="V334" s="495"/>
      <c r="W334" s="495"/>
      <c r="X334" s="495"/>
      <c r="Y334" s="495"/>
      <c r="Z334" s="495"/>
    </row>
    <row r="335" ht="15.75" customHeight="1">
      <c r="A335" s="495"/>
      <c r="B335" s="495"/>
      <c r="C335" s="495"/>
      <c r="D335" s="905"/>
      <c r="E335" s="495"/>
      <c r="F335" s="495"/>
      <c r="G335" s="495"/>
      <c r="H335" s="495"/>
      <c r="I335" s="495"/>
      <c r="J335" s="495"/>
      <c r="K335" s="495"/>
      <c r="L335" s="495"/>
      <c r="M335" s="495"/>
      <c r="N335" s="495"/>
      <c r="O335" s="495"/>
      <c r="P335" s="495"/>
      <c r="Q335" s="495"/>
      <c r="R335" s="495"/>
      <c r="S335" s="495"/>
      <c r="T335" s="495"/>
      <c r="U335" s="495"/>
      <c r="V335" s="495"/>
      <c r="W335" s="495"/>
      <c r="X335" s="495"/>
      <c r="Y335" s="495"/>
      <c r="Z335" s="495"/>
    </row>
    <row r="336" ht="15.75" customHeight="1">
      <c r="A336" s="495"/>
      <c r="B336" s="495"/>
      <c r="C336" s="495"/>
      <c r="D336" s="905"/>
      <c r="E336" s="495"/>
      <c r="F336" s="495"/>
      <c r="G336" s="495"/>
      <c r="H336" s="495"/>
      <c r="I336" s="495"/>
      <c r="J336" s="495"/>
      <c r="K336" s="495"/>
      <c r="L336" s="495"/>
      <c r="M336" s="495"/>
      <c r="N336" s="495"/>
      <c r="O336" s="495"/>
      <c r="P336" s="495"/>
      <c r="Q336" s="495"/>
      <c r="R336" s="495"/>
      <c r="S336" s="495"/>
      <c r="T336" s="495"/>
      <c r="U336" s="495"/>
      <c r="V336" s="495"/>
      <c r="W336" s="495"/>
      <c r="X336" s="495"/>
      <c r="Y336" s="495"/>
      <c r="Z336" s="495"/>
    </row>
    <row r="337" ht="15.75" customHeight="1">
      <c r="A337" s="495"/>
      <c r="B337" s="495"/>
      <c r="C337" s="495"/>
      <c r="D337" s="905"/>
      <c r="E337" s="495"/>
      <c r="F337" s="495"/>
      <c r="G337" s="495"/>
      <c r="H337" s="495"/>
      <c r="I337" s="495"/>
      <c r="J337" s="495"/>
      <c r="K337" s="495"/>
      <c r="L337" s="495"/>
      <c r="M337" s="495"/>
      <c r="N337" s="495"/>
      <c r="O337" s="495"/>
      <c r="P337" s="495"/>
      <c r="Q337" s="495"/>
      <c r="R337" s="495"/>
      <c r="S337" s="495"/>
      <c r="T337" s="495"/>
      <c r="U337" s="495"/>
      <c r="V337" s="495"/>
      <c r="W337" s="495"/>
      <c r="X337" s="495"/>
      <c r="Y337" s="495"/>
      <c r="Z337" s="495"/>
    </row>
    <row r="338" ht="15.75" customHeight="1">
      <c r="A338" s="495"/>
      <c r="B338" s="495"/>
      <c r="C338" s="495"/>
      <c r="D338" s="905"/>
      <c r="E338" s="495"/>
      <c r="F338" s="495"/>
      <c r="G338" s="495"/>
      <c r="H338" s="495"/>
      <c r="I338" s="495"/>
      <c r="J338" s="495"/>
      <c r="K338" s="495"/>
      <c r="L338" s="495"/>
      <c r="M338" s="495"/>
      <c r="N338" s="495"/>
      <c r="O338" s="495"/>
      <c r="P338" s="495"/>
      <c r="Q338" s="495"/>
      <c r="R338" s="495"/>
      <c r="S338" s="495"/>
      <c r="T338" s="495"/>
      <c r="U338" s="495"/>
      <c r="V338" s="495"/>
      <c r="W338" s="495"/>
      <c r="X338" s="495"/>
      <c r="Y338" s="495"/>
      <c r="Z338" s="495"/>
    </row>
    <row r="339" ht="15.75" customHeight="1">
      <c r="A339" s="495"/>
      <c r="B339" s="495"/>
      <c r="C339" s="495"/>
      <c r="D339" s="905"/>
      <c r="E339" s="495"/>
      <c r="F339" s="495"/>
      <c r="G339" s="495"/>
      <c r="H339" s="495"/>
      <c r="I339" s="495"/>
      <c r="J339" s="495"/>
      <c r="K339" s="495"/>
      <c r="L339" s="495"/>
      <c r="M339" s="495"/>
      <c r="N339" s="495"/>
      <c r="O339" s="495"/>
      <c r="P339" s="495"/>
      <c r="Q339" s="495"/>
      <c r="R339" s="495"/>
      <c r="S339" s="495"/>
      <c r="T339" s="495"/>
      <c r="U339" s="495"/>
      <c r="V339" s="495"/>
      <c r="W339" s="495"/>
      <c r="X339" s="495"/>
      <c r="Y339" s="495"/>
      <c r="Z339" s="495"/>
    </row>
    <row r="340" ht="15.75" customHeight="1">
      <c r="A340" s="495"/>
      <c r="B340" s="495"/>
      <c r="C340" s="495"/>
      <c r="D340" s="905"/>
      <c r="E340" s="495"/>
      <c r="F340" s="495"/>
      <c r="G340" s="495"/>
      <c r="H340" s="495"/>
      <c r="I340" s="495"/>
      <c r="J340" s="495"/>
      <c r="K340" s="495"/>
      <c r="L340" s="495"/>
      <c r="M340" s="495"/>
      <c r="N340" s="495"/>
      <c r="O340" s="495"/>
      <c r="P340" s="495"/>
      <c r="Q340" s="495"/>
      <c r="R340" s="495"/>
      <c r="S340" s="495"/>
      <c r="T340" s="495"/>
      <c r="U340" s="495"/>
      <c r="V340" s="495"/>
      <c r="W340" s="495"/>
      <c r="X340" s="495"/>
      <c r="Y340" s="495"/>
      <c r="Z340" s="495"/>
    </row>
    <row r="341" ht="15.75" customHeight="1">
      <c r="A341" s="495"/>
      <c r="B341" s="495"/>
      <c r="C341" s="495"/>
      <c r="D341" s="905"/>
      <c r="E341" s="495"/>
      <c r="F341" s="495"/>
      <c r="G341" s="495"/>
      <c r="H341" s="495"/>
      <c r="I341" s="495"/>
      <c r="J341" s="495"/>
      <c r="K341" s="495"/>
      <c r="L341" s="495"/>
      <c r="M341" s="495"/>
      <c r="N341" s="495"/>
      <c r="O341" s="495"/>
      <c r="P341" s="495"/>
      <c r="Q341" s="495"/>
      <c r="R341" s="495"/>
      <c r="S341" s="495"/>
      <c r="T341" s="495"/>
      <c r="U341" s="495"/>
      <c r="V341" s="495"/>
      <c r="W341" s="495"/>
      <c r="X341" s="495"/>
      <c r="Y341" s="495"/>
      <c r="Z341" s="495"/>
    </row>
    <row r="342" ht="15.75" customHeight="1">
      <c r="A342" s="495"/>
      <c r="B342" s="495"/>
      <c r="C342" s="495"/>
      <c r="D342" s="905"/>
      <c r="E342" s="495"/>
      <c r="F342" s="495"/>
      <c r="G342" s="495"/>
      <c r="H342" s="495"/>
      <c r="I342" s="495"/>
      <c r="J342" s="495"/>
      <c r="K342" s="495"/>
      <c r="L342" s="495"/>
      <c r="M342" s="495"/>
      <c r="N342" s="495"/>
      <c r="O342" s="495"/>
      <c r="P342" s="495"/>
      <c r="Q342" s="495"/>
      <c r="R342" s="495"/>
      <c r="S342" s="495"/>
      <c r="T342" s="495"/>
      <c r="U342" s="495"/>
      <c r="V342" s="495"/>
      <c r="W342" s="495"/>
      <c r="X342" s="495"/>
      <c r="Y342" s="495"/>
      <c r="Z342" s="495"/>
    </row>
    <row r="343" ht="15.75" customHeight="1">
      <c r="A343" s="495"/>
      <c r="B343" s="495"/>
      <c r="C343" s="495"/>
      <c r="D343" s="905"/>
      <c r="E343" s="495"/>
      <c r="F343" s="495"/>
      <c r="G343" s="495"/>
      <c r="H343" s="495"/>
      <c r="I343" s="495"/>
      <c r="J343" s="495"/>
      <c r="K343" s="495"/>
      <c r="L343" s="495"/>
      <c r="M343" s="495"/>
      <c r="N343" s="495"/>
      <c r="O343" s="495"/>
      <c r="P343" s="495"/>
      <c r="Q343" s="495"/>
      <c r="R343" s="495"/>
      <c r="S343" s="495"/>
      <c r="T343" s="495"/>
      <c r="U343" s="495"/>
      <c r="V343" s="495"/>
      <c r="W343" s="495"/>
      <c r="X343" s="495"/>
      <c r="Y343" s="495"/>
      <c r="Z343" s="495"/>
    </row>
    <row r="344" ht="15.75" customHeight="1">
      <c r="A344" s="495"/>
      <c r="B344" s="495"/>
      <c r="C344" s="495"/>
      <c r="D344" s="905"/>
      <c r="E344" s="495"/>
      <c r="F344" s="495"/>
      <c r="G344" s="495"/>
      <c r="H344" s="495"/>
      <c r="I344" s="495"/>
      <c r="J344" s="495"/>
      <c r="K344" s="495"/>
      <c r="L344" s="495"/>
      <c r="M344" s="495"/>
      <c r="N344" s="495"/>
      <c r="O344" s="495"/>
      <c r="P344" s="495"/>
      <c r="Q344" s="495"/>
      <c r="R344" s="495"/>
      <c r="S344" s="495"/>
      <c r="T344" s="495"/>
      <c r="U344" s="495"/>
      <c r="V344" s="495"/>
      <c r="W344" s="495"/>
      <c r="X344" s="495"/>
      <c r="Y344" s="495"/>
      <c r="Z344" s="495"/>
    </row>
    <row r="345" ht="15.75" customHeight="1">
      <c r="A345" s="495"/>
      <c r="B345" s="495"/>
      <c r="C345" s="495"/>
      <c r="D345" s="905"/>
      <c r="E345" s="495"/>
      <c r="F345" s="495"/>
      <c r="G345" s="495"/>
      <c r="H345" s="495"/>
      <c r="I345" s="495"/>
      <c r="J345" s="495"/>
      <c r="K345" s="495"/>
      <c r="L345" s="495"/>
      <c r="M345" s="495"/>
      <c r="N345" s="495"/>
      <c r="O345" s="495"/>
      <c r="P345" s="495"/>
      <c r="Q345" s="495"/>
      <c r="R345" s="495"/>
      <c r="S345" s="495"/>
      <c r="T345" s="495"/>
      <c r="U345" s="495"/>
      <c r="V345" s="495"/>
      <c r="W345" s="495"/>
      <c r="X345" s="495"/>
      <c r="Y345" s="495"/>
      <c r="Z345" s="495"/>
    </row>
    <row r="346" ht="15.75" customHeight="1">
      <c r="A346" s="495"/>
      <c r="B346" s="495"/>
      <c r="C346" s="495"/>
      <c r="D346" s="905"/>
      <c r="E346" s="495"/>
      <c r="F346" s="495"/>
      <c r="G346" s="495"/>
      <c r="H346" s="495"/>
      <c r="I346" s="495"/>
      <c r="J346" s="495"/>
      <c r="K346" s="495"/>
      <c r="L346" s="495"/>
      <c r="M346" s="495"/>
      <c r="N346" s="495"/>
      <c r="O346" s="495"/>
      <c r="P346" s="495"/>
      <c r="Q346" s="495"/>
      <c r="R346" s="495"/>
      <c r="S346" s="495"/>
      <c r="T346" s="495"/>
      <c r="U346" s="495"/>
      <c r="V346" s="495"/>
      <c r="W346" s="495"/>
      <c r="X346" s="495"/>
      <c r="Y346" s="495"/>
      <c r="Z346" s="495"/>
    </row>
    <row r="347" ht="15.75" customHeight="1">
      <c r="A347" s="495"/>
      <c r="B347" s="495"/>
      <c r="C347" s="495"/>
      <c r="D347" s="905"/>
      <c r="E347" s="495"/>
      <c r="F347" s="495"/>
      <c r="G347" s="495"/>
      <c r="H347" s="495"/>
      <c r="I347" s="495"/>
      <c r="J347" s="495"/>
      <c r="K347" s="495"/>
      <c r="L347" s="495"/>
      <c r="M347" s="495"/>
      <c r="N347" s="495"/>
      <c r="O347" s="495"/>
      <c r="P347" s="495"/>
      <c r="Q347" s="495"/>
      <c r="R347" s="495"/>
      <c r="S347" s="495"/>
      <c r="T347" s="495"/>
      <c r="U347" s="495"/>
      <c r="V347" s="495"/>
      <c r="W347" s="495"/>
      <c r="X347" s="495"/>
      <c r="Y347" s="495"/>
      <c r="Z347" s="495"/>
    </row>
    <row r="348" ht="15.75" customHeight="1">
      <c r="A348" s="495"/>
      <c r="B348" s="495"/>
      <c r="C348" s="495"/>
      <c r="D348" s="905"/>
      <c r="E348" s="495"/>
      <c r="F348" s="495"/>
      <c r="G348" s="495"/>
      <c r="H348" s="495"/>
      <c r="I348" s="495"/>
      <c r="J348" s="495"/>
      <c r="K348" s="495"/>
      <c r="L348" s="495"/>
      <c r="M348" s="495"/>
      <c r="N348" s="495"/>
      <c r="O348" s="495"/>
      <c r="P348" s="495"/>
      <c r="Q348" s="495"/>
      <c r="R348" s="495"/>
      <c r="S348" s="495"/>
      <c r="T348" s="495"/>
      <c r="U348" s="495"/>
      <c r="V348" s="495"/>
      <c r="W348" s="495"/>
      <c r="X348" s="495"/>
      <c r="Y348" s="495"/>
      <c r="Z348" s="495"/>
    </row>
    <row r="349" ht="15.75" customHeight="1">
      <c r="A349" s="495"/>
      <c r="B349" s="495"/>
      <c r="C349" s="495"/>
      <c r="D349" s="905"/>
      <c r="E349" s="495"/>
      <c r="F349" s="495"/>
      <c r="G349" s="495"/>
      <c r="H349" s="495"/>
      <c r="I349" s="495"/>
      <c r="J349" s="495"/>
      <c r="K349" s="495"/>
      <c r="L349" s="495"/>
      <c r="M349" s="495"/>
      <c r="N349" s="495"/>
      <c r="O349" s="495"/>
      <c r="P349" s="495"/>
      <c r="Q349" s="495"/>
      <c r="R349" s="495"/>
      <c r="S349" s="495"/>
      <c r="T349" s="495"/>
      <c r="U349" s="495"/>
      <c r="V349" s="495"/>
      <c r="W349" s="495"/>
      <c r="X349" s="495"/>
      <c r="Y349" s="495"/>
      <c r="Z349" s="495"/>
    </row>
    <row r="350" ht="15.75" customHeight="1">
      <c r="A350" s="495"/>
      <c r="B350" s="495"/>
      <c r="C350" s="495"/>
      <c r="D350" s="905"/>
      <c r="E350" s="495"/>
      <c r="F350" s="495"/>
      <c r="G350" s="495"/>
      <c r="H350" s="495"/>
      <c r="I350" s="495"/>
      <c r="J350" s="495"/>
      <c r="K350" s="495"/>
      <c r="L350" s="495"/>
      <c r="M350" s="495"/>
      <c r="N350" s="495"/>
      <c r="O350" s="495"/>
      <c r="P350" s="495"/>
      <c r="Q350" s="495"/>
      <c r="R350" s="495"/>
      <c r="S350" s="495"/>
      <c r="T350" s="495"/>
      <c r="U350" s="495"/>
      <c r="V350" s="495"/>
      <c r="W350" s="495"/>
      <c r="X350" s="495"/>
      <c r="Y350" s="495"/>
      <c r="Z350" s="495"/>
    </row>
    <row r="351" ht="15.75" customHeight="1">
      <c r="A351" s="495"/>
      <c r="B351" s="495"/>
      <c r="C351" s="495"/>
      <c r="D351" s="905"/>
      <c r="E351" s="495"/>
      <c r="F351" s="495"/>
      <c r="G351" s="495"/>
      <c r="H351" s="495"/>
      <c r="I351" s="495"/>
      <c r="J351" s="495"/>
      <c r="K351" s="495"/>
      <c r="L351" s="495"/>
      <c r="M351" s="495"/>
      <c r="N351" s="495"/>
      <c r="O351" s="495"/>
      <c r="P351" s="495"/>
      <c r="Q351" s="495"/>
      <c r="R351" s="495"/>
      <c r="S351" s="495"/>
      <c r="T351" s="495"/>
      <c r="U351" s="495"/>
      <c r="V351" s="495"/>
      <c r="W351" s="495"/>
      <c r="X351" s="495"/>
      <c r="Y351" s="495"/>
      <c r="Z351" s="495"/>
    </row>
    <row r="352" ht="15.75" customHeight="1">
      <c r="A352" s="495"/>
      <c r="B352" s="495"/>
      <c r="C352" s="495"/>
      <c r="D352" s="905"/>
      <c r="E352" s="495"/>
      <c r="F352" s="495"/>
      <c r="G352" s="495"/>
      <c r="H352" s="495"/>
      <c r="I352" s="495"/>
      <c r="J352" s="495"/>
      <c r="K352" s="495"/>
      <c r="L352" s="495"/>
      <c r="M352" s="495"/>
      <c r="N352" s="495"/>
      <c r="O352" s="495"/>
      <c r="P352" s="495"/>
      <c r="Q352" s="495"/>
      <c r="R352" s="495"/>
      <c r="S352" s="495"/>
      <c r="T352" s="495"/>
      <c r="U352" s="495"/>
      <c r="V352" s="495"/>
      <c r="W352" s="495"/>
      <c r="X352" s="495"/>
      <c r="Y352" s="495"/>
      <c r="Z352" s="495"/>
    </row>
    <row r="353" ht="15.75" customHeight="1">
      <c r="A353" s="495"/>
      <c r="B353" s="495"/>
      <c r="C353" s="495"/>
      <c r="D353" s="905"/>
      <c r="E353" s="495"/>
      <c r="F353" s="495"/>
      <c r="G353" s="495"/>
      <c r="H353" s="495"/>
      <c r="I353" s="495"/>
      <c r="J353" s="495"/>
      <c r="K353" s="495"/>
      <c r="L353" s="495"/>
      <c r="M353" s="495"/>
      <c r="N353" s="495"/>
      <c r="O353" s="495"/>
      <c r="P353" s="495"/>
      <c r="Q353" s="495"/>
      <c r="R353" s="495"/>
      <c r="S353" s="495"/>
      <c r="T353" s="495"/>
      <c r="U353" s="495"/>
      <c r="V353" s="495"/>
      <c r="W353" s="495"/>
      <c r="X353" s="495"/>
      <c r="Y353" s="495"/>
      <c r="Z353" s="495"/>
    </row>
    <row r="354" ht="15.75" customHeight="1">
      <c r="A354" s="495"/>
      <c r="B354" s="495"/>
      <c r="C354" s="495"/>
      <c r="D354" s="905"/>
      <c r="E354" s="495"/>
      <c r="F354" s="495"/>
      <c r="G354" s="495"/>
      <c r="H354" s="495"/>
      <c r="I354" s="495"/>
      <c r="J354" s="495"/>
      <c r="K354" s="495"/>
      <c r="L354" s="495"/>
      <c r="M354" s="495"/>
      <c r="N354" s="495"/>
      <c r="O354" s="495"/>
      <c r="P354" s="495"/>
      <c r="Q354" s="495"/>
      <c r="R354" s="495"/>
      <c r="S354" s="495"/>
      <c r="T354" s="495"/>
      <c r="U354" s="495"/>
      <c r="V354" s="495"/>
      <c r="W354" s="495"/>
      <c r="X354" s="495"/>
      <c r="Y354" s="495"/>
      <c r="Z354" s="495"/>
    </row>
    <row r="355" ht="15.75" customHeight="1">
      <c r="A355" s="495"/>
      <c r="B355" s="495"/>
      <c r="C355" s="495"/>
      <c r="D355" s="905"/>
      <c r="E355" s="495"/>
      <c r="F355" s="495"/>
      <c r="G355" s="495"/>
      <c r="H355" s="495"/>
      <c r="I355" s="495"/>
      <c r="J355" s="495"/>
      <c r="K355" s="495"/>
      <c r="L355" s="495"/>
      <c r="M355" s="495"/>
      <c r="N355" s="495"/>
      <c r="O355" s="495"/>
      <c r="P355" s="495"/>
      <c r="Q355" s="495"/>
      <c r="R355" s="495"/>
      <c r="S355" s="495"/>
      <c r="T355" s="495"/>
      <c r="U355" s="495"/>
      <c r="V355" s="495"/>
      <c r="W355" s="495"/>
      <c r="X355" s="495"/>
      <c r="Y355" s="495"/>
      <c r="Z355" s="495"/>
    </row>
    <row r="356" ht="15.75" customHeight="1">
      <c r="A356" s="495"/>
      <c r="B356" s="495"/>
      <c r="C356" s="495"/>
      <c r="D356" s="905"/>
      <c r="E356" s="495"/>
      <c r="F356" s="495"/>
      <c r="G356" s="495"/>
      <c r="H356" s="495"/>
      <c r="I356" s="495"/>
      <c r="J356" s="495"/>
      <c r="K356" s="495"/>
      <c r="L356" s="495"/>
      <c r="M356" s="495"/>
      <c r="N356" s="495"/>
      <c r="O356" s="495"/>
      <c r="P356" s="495"/>
      <c r="Q356" s="495"/>
      <c r="R356" s="495"/>
      <c r="S356" s="495"/>
      <c r="T356" s="495"/>
      <c r="U356" s="495"/>
      <c r="V356" s="495"/>
      <c r="W356" s="495"/>
      <c r="X356" s="495"/>
      <c r="Y356" s="495"/>
      <c r="Z356" s="495"/>
    </row>
    <row r="357" ht="15.75" customHeight="1">
      <c r="A357" s="495"/>
      <c r="B357" s="495"/>
      <c r="C357" s="495"/>
      <c r="D357" s="905"/>
      <c r="E357" s="495"/>
      <c r="F357" s="495"/>
      <c r="G357" s="495"/>
      <c r="H357" s="495"/>
      <c r="I357" s="495"/>
      <c r="J357" s="495"/>
      <c r="K357" s="495"/>
      <c r="L357" s="495"/>
      <c r="M357" s="495"/>
      <c r="N357" s="495"/>
      <c r="O357" s="495"/>
      <c r="P357" s="495"/>
      <c r="Q357" s="495"/>
      <c r="R357" s="495"/>
      <c r="S357" s="495"/>
      <c r="T357" s="495"/>
      <c r="U357" s="495"/>
      <c r="V357" s="495"/>
      <c r="W357" s="495"/>
      <c r="X357" s="495"/>
      <c r="Y357" s="495"/>
      <c r="Z357" s="495"/>
    </row>
    <row r="358" ht="15.75" customHeight="1">
      <c r="A358" s="495"/>
      <c r="B358" s="495"/>
      <c r="C358" s="495"/>
      <c r="D358" s="905"/>
      <c r="E358" s="495"/>
      <c r="F358" s="495"/>
      <c r="G358" s="495"/>
      <c r="H358" s="495"/>
      <c r="I358" s="495"/>
      <c r="J358" s="495"/>
      <c r="K358" s="495"/>
      <c r="L358" s="495"/>
      <c r="M358" s="495"/>
      <c r="N358" s="495"/>
      <c r="O358" s="495"/>
      <c r="P358" s="495"/>
      <c r="Q358" s="495"/>
      <c r="R358" s="495"/>
      <c r="S358" s="495"/>
      <c r="T358" s="495"/>
      <c r="U358" s="495"/>
      <c r="V358" s="495"/>
      <c r="W358" s="495"/>
      <c r="X358" s="495"/>
      <c r="Y358" s="495"/>
      <c r="Z358" s="495"/>
    </row>
    <row r="359" ht="15.75" customHeight="1">
      <c r="A359" s="495"/>
      <c r="B359" s="495"/>
      <c r="C359" s="495"/>
      <c r="D359" s="905"/>
      <c r="E359" s="495"/>
      <c r="F359" s="495"/>
      <c r="G359" s="495"/>
      <c r="H359" s="495"/>
      <c r="I359" s="495"/>
      <c r="J359" s="495"/>
      <c r="K359" s="495"/>
      <c r="L359" s="495"/>
      <c r="M359" s="495"/>
      <c r="N359" s="495"/>
      <c r="O359" s="495"/>
      <c r="P359" s="495"/>
      <c r="Q359" s="495"/>
      <c r="R359" s="495"/>
      <c r="S359" s="495"/>
      <c r="T359" s="495"/>
      <c r="U359" s="495"/>
      <c r="V359" s="495"/>
      <c r="W359" s="495"/>
      <c r="X359" s="495"/>
      <c r="Y359" s="495"/>
      <c r="Z359" s="495"/>
    </row>
    <row r="360" ht="15.75" customHeight="1">
      <c r="A360" s="495"/>
      <c r="B360" s="495"/>
      <c r="C360" s="495"/>
      <c r="D360" s="905"/>
      <c r="E360" s="495"/>
      <c r="F360" s="495"/>
      <c r="G360" s="495"/>
      <c r="H360" s="495"/>
      <c r="I360" s="495"/>
      <c r="J360" s="495"/>
      <c r="K360" s="495"/>
      <c r="L360" s="495"/>
      <c r="M360" s="495"/>
      <c r="N360" s="495"/>
      <c r="O360" s="495"/>
      <c r="P360" s="495"/>
      <c r="Q360" s="495"/>
      <c r="R360" s="495"/>
      <c r="S360" s="495"/>
      <c r="T360" s="495"/>
      <c r="U360" s="495"/>
      <c r="V360" s="495"/>
      <c r="W360" s="495"/>
      <c r="X360" s="495"/>
      <c r="Y360" s="495"/>
      <c r="Z360" s="495"/>
    </row>
    <row r="361" ht="15.75" customHeight="1">
      <c r="A361" s="495"/>
      <c r="B361" s="495"/>
      <c r="C361" s="495"/>
      <c r="D361" s="905"/>
      <c r="E361" s="495"/>
      <c r="F361" s="495"/>
      <c r="G361" s="495"/>
      <c r="H361" s="495"/>
      <c r="I361" s="495"/>
      <c r="J361" s="495"/>
      <c r="K361" s="495"/>
      <c r="L361" s="495"/>
      <c r="M361" s="495"/>
      <c r="N361" s="495"/>
      <c r="O361" s="495"/>
      <c r="P361" s="495"/>
      <c r="Q361" s="495"/>
      <c r="R361" s="495"/>
      <c r="S361" s="495"/>
      <c r="T361" s="495"/>
      <c r="U361" s="495"/>
      <c r="V361" s="495"/>
      <c r="W361" s="495"/>
      <c r="X361" s="495"/>
      <c r="Y361" s="495"/>
      <c r="Z361" s="495"/>
    </row>
    <row r="362" ht="15.75" customHeight="1">
      <c r="A362" s="495"/>
      <c r="B362" s="495"/>
      <c r="C362" s="495"/>
      <c r="D362" s="905"/>
      <c r="E362" s="495"/>
      <c r="F362" s="495"/>
      <c r="G362" s="495"/>
      <c r="H362" s="495"/>
      <c r="I362" s="495"/>
      <c r="J362" s="495"/>
      <c r="K362" s="495"/>
      <c r="L362" s="495"/>
      <c r="M362" s="495"/>
      <c r="N362" s="495"/>
      <c r="O362" s="495"/>
      <c r="P362" s="495"/>
      <c r="Q362" s="495"/>
      <c r="R362" s="495"/>
      <c r="S362" s="495"/>
      <c r="T362" s="495"/>
      <c r="U362" s="495"/>
      <c r="V362" s="495"/>
      <c r="W362" s="495"/>
      <c r="X362" s="495"/>
      <c r="Y362" s="495"/>
      <c r="Z362" s="495"/>
    </row>
    <row r="363" ht="15.75" customHeight="1">
      <c r="A363" s="495"/>
      <c r="B363" s="495"/>
      <c r="C363" s="495"/>
      <c r="D363" s="905"/>
      <c r="E363" s="495"/>
      <c r="F363" s="495"/>
      <c r="G363" s="495"/>
      <c r="H363" s="495"/>
      <c r="I363" s="495"/>
      <c r="J363" s="495"/>
      <c r="K363" s="495"/>
      <c r="L363" s="495"/>
      <c r="M363" s="495"/>
      <c r="N363" s="495"/>
      <c r="O363" s="495"/>
      <c r="P363" s="495"/>
      <c r="Q363" s="495"/>
      <c r="R363" s="495"/>
      <c r="S363" s="495"/>
      <c r="T363" s="495"/>
      <c r="U363" s="495"/>
      <c r="V363" s="495"/>
      <c r="W363" s="495"/>
      <c r="X363" s="495"/>
      <c r="Y363" s="495"/>
      <c r="Z363" s="495"/>
    </row>
    <row r="364" ht="15.75" customHeight="1">
      <c r="A364" s="495"/>
      <c r="B364" s="495"/>
      <c r="C364" s="495"/>
      <c r="D364" s="905"/>
      <c r="E364" s="495"/>
      <c r="F364" s="495"/>
      <c r="G364" s="495"/>
      <c r="H364" s="495"/>
      <c r="I364" s="495"/>
      <c r="J364" s="495"/>
      <c r="K364" s="495"/>
      <c r="L364" s="495"/>
      <c r="M364" s="495"/>
      <c r="N364" s="495"/>
      <c r="O364" s="495"/>
      <c r="P364" s="495"/>
      <c r="Q364" s="495"/>
      <c r="R364" s="495"/>
      <c r="S364" s="495"/>
      <c r="T364" s="495"/>
      <c r="U364" s="495"/>
      <c r="V364" s="495"/>
      <c r="W364" s="495"/>
      <c r="X364" s="495"/>
      <c r="Y364" s="495"/>
      <c r="Z364" s="495"/>
    </row>
    <row r="365" ht="15.75" customHeight="1">
      <c r="A365" s="495"/>
      <c r="B365" s="495"/>
      <c r="C365" s="495"/>
      <c r="D365" s="905"/>
      <c r="E365" s="495"/>
      <c r="F365" s="495"/>
      <c r="G365" s="495"/>
      <c r="H365" s="495"/>
      <c r="I365" s="495"/>
      <c r="J365" s="495"/>
      <c r="K365" s="495"/>
      <c r="L365" s="495"/>
      <c r="M365" s="495"/>
      <c r="N365" s="495"/>
      <c r="O365" s="495"/>
      <c r="P365" s="495"/>
      <c r="Q365" s="495"/>
      <c r="R365" s="495"/>
      <c r="S365" s="495"/>
      <c r="T365" s="495"/>
      <c r="U365" s="495"/>
      <c r="V365" s="495"/>
      <c r="W365" s="495"/>
      <c r="X365" s="495"/>
      <c r="Y365" s="495"/>
      <c r="Z365" s="495"/>
    </row>
    <row r="366" ht="15.75" customHeight="1">
      <c r="A366" s="495"/>
      <c r="B366" s="495"/>
      <c r="C366" s="495"/>
      <c r="D366" s="905"/>
      <c r="E366" s="495"/>
      <c r="F366" s="495"/>
      <c r="G366" s="495"/>
      <c r="H366" s="495"/>
      <c r="I366" s="495"/>
      <c r="J366" s="495"/>
      <c r="K366" s="495"/>
      <c r="L366" s="495"/>
      <c r="M366" s="495"/>
      <c r="N366" s="495"/>
      <c r="O366" s="495"/>
      <c r="P366" s="495"/>
      <c r="Q366" s="495"/>
      <c r="R366" s="495"/>
      <c r="S366" s="495"/>
      <c r="T366" s="495"/>
      <c r="U366" s="495"/>
      <c r="V366" s="495"/>
      <c r="W366" s="495"/>
      <c r="X366" s="495"/>
      <c r="Y366" s="495"/>
      <c r="Z366" s="495"/>
    </row>
    <row r="367" ht="15.75" customHeight="1">
      <c r="A367" s="495"/>
      <c r="B367" s="495"/>
      <c r="C367" s="495"/>
      <c r="D367" s="905"/>
      <c r="E367" s="495"/>
      <c r="F367" s="495"/>
      <c r="G367" s="495"/>
      <c r="H367" s="495"/>
      <c r="I367" s="495"/>
      <c r="J367" s="495"/>
      <c r="K367" s="495"/>
      <c r="L367" s="495"/>
      <c r="M367" s="495"/>
      <c r="N367" s="495"/>
      <c r="O367" s="495"/>
      <c r="P367" s="495"/>
      <c r="Q367" s="495"/>
      <c r="R367" s="495"/>
      <c r="S367" s="495"/>
      <c r="T367" s="495"/>
      <c r="U367" s="495"/>
      <c r="V367" s="495"/>
      <c r="W367" s="495"/>
      <c r="X367" s="495"/>
      <c r="Y367" s="495"/>
      <c r="Z367" s="495"/>
    </row>
    <row r="368" ht="15.75" customHeight="1">
      <c r="A368" s="495"/>
      <c r="B368" s="495"/>
      <c r="C368" s="495"/>
      <c r="D368" s="905"/>
      <c r="E368" s="495"/>
      <c r="F368" s="495"/>
      <c r="G368" s="495"/>
      <c r="H368" s="495"/>
      <c r="I368" s="495"/>
      <c r="J368" s="495"/>
      <c r="K368" s="495"/>
      <c r="L368" s="495"/>
      <c r="M368" s="495"/>
      <c r="N368" s="495"/>
      <c r="O368" s="495"/>
      <c r="P368" s="495"/>
      <c r="Q368" s="495"/>
      <c r="R368" s="495"/>
      <c r="S368" s="495"/>
      <c r="T368" s="495"/>
      <c r="U368" s="495"/>
      <c r="V368" s="495"/>
      <c r="W368" s="495"/>
      <c r="X368" s="495"/>
      <c r="Y368" s="495"/>
      <c r="Z368" s="495"/>
    </row>
    <row r="369" ht="15.75" customHeight="1">
      <c r="A369" s="495"/>
      <c r="B369" s="495"/>
      <c r="C369" s="495"/>
      <c r="D369" s="905"/>
      <c r="E369" s="495"/>
      <c r="F369" s="495"/>
      <c r="G369" s="495"/>
      <c r="H369" s="495"/>
      <c r="I369" s="495"/>
      <c r="J369" s="495"/>
      <c r="K369" s="495"/>
      <c r="L369" s="495"/>
      <c r="M369" s="495"/>
      <c r="N369" s="495"/>
      <c r="O369" s="495"/>
      <c r="P369" s="495"/>
      <c r="Q369" s="495"/>
      <c r="R369" s="495"/>
      <c r="S369" s="495"/>
      <c r="T369" s="495"/>
      <c r="U369" s="495"/>
      <c r="V369" s="495"/>
      <c r="W369" s="495"/>
      <c r="X369" s="495"/>
      <c r="Y369" s="495"/>
      <c r="Z369" s="495"/>
    </row>
    <row r="370" ht="15.75" customHeight="1">
      <c r="A370" s="495"/>
      <c r="B370" s="495"/>
      <c r="C370" s="495"/>
      <c r="D370" s="905"/>
      <c r="E370" s="495"/>
      <c r="F370" s="495"/>
      <c r="G370" s="495"/>
      <c r="H370" s="495"/>
      <c r="I370" s="495"/>
      <c r="J370" s="495"/>
      <c r="K370" s="495"/>
      <c r="L370" s="495"/>
      <c r="M370" s="495"/>
      <c r="N370" s="495"/>
      <c r="O370" s="495"/>
      <c r="P370" s="495"/>
      <c r="Q370" s="495"/>
      <c r="R370" s="495"/>
      <c r="S370" s="495"/>
      <c r="T370" s="495"/>
      <c r="U370" s="495"/>
      <c r="V370" s="495"/>
      <c r="W370" s="495"/>
      <c r="X370" s="495"/>
      <c r="Y370" s="495"/>
      <c r="Z370" s="495"/>
    </row>
    <row r="371" ht="15.75" customHeight="1">
      <c r="A371" s="495"/>
      <c r="B371" s="495"/>
      <c r="C371" s="495"/>
      <c r="D371" s="905"/>
      <c r="E371" s="495"/>
      <c r="F371" s="495"/>
      <c r="G371" s="495"/>
      <c r="H371" s="495"/>
      <c r="I371" s="495"/>
      <c r="J371" s="495"/>
      <c r="K371" s="495"/>
      <c r="L371" s="495"/>
      <c r="M371" s="495"/>
      <c r="N371" s="495"/>
      <c r="O371" s="495"/>
      <c r="P371" s="495"/>
      <c r="Q371" s="495"/>
      <c r="R371" s="495"/>
      <c r="S371" s="495"/>
      <c r="T371" s="495"/>
      <c r="U371" s="495"/>
      <c r="V371" s="495"/>
      <c r="W371" s="495"/>
      <c r="X371" s="495"/>
      <c r="Y371" s="495"/>
      <c r="Z371" s="495"/>
    </row>
    <row r="372" ht="15.75" customHeight="1">
      <c r="A372" s="495"/>
      <c r="B372" s="495"/>
      <c r="C372" s="495"/>
      <c r="D372" s="905"/>
      <c r="E372" s="495"/>
      <c r="F372" s="495"/>
      <c r="G372" s="495"/>
      <c r="H372" s="495"/>
      <c r="I372" s="495"/>
      <c r="J372" s="495"/>
      <c r="K372" s="495"/>
      <c r="L372" s="495"/>
      <c r="M372" s="495"/>
      <c r="N372" s="495"/>
      <c r="O372" s="495"/>
      <c r="P372" s="495"/>
      <c r="Q372" s="495"/>
      <c r="R372" s="495"/>
      <c r="S372" s="495"/>
      <c r="T372" s="495"/>
      <c r="U372" s="495"/>
      <c r="V372" s="495"/>
      <c r="W372" s="495"/>
      <c r="X372" s="495"/>
      <c r="Y372" s="495"/>
      <c r="Z372" s="495"/>
    </row>
    <row r="373" ht="15.75" customHeight="1">
      <c r="A373" s="495"/>
      <c r="B373" s="495"/>
      <c r="C373" s="495"/>
      <c r="D373" s="905"/>
      <c r="E373" s="495"/>
      <c r="F373" s="495"/>
      <c r="G373" s="495"/>
      <c r="H373" s="495"/>
      <c r="I373" s="495"/>
      <c r="J373" s="495"/>
      <c r="K373" s="495"/>
      <c r="L373" s="495"/>
      <c r="M373" s="495"/>
      <c r="N373" s="495"/>
      <c r="O373" s="495"/>
      <c r="P373" s="495"/>
      <c r="Q373" s="495"/>
      <c r="R373" s="495"/>
      <c r="S373" s="495"/>
      <c r="T373" s="495"/>
      <c r="U373" s="495"/>
      <c r="V373" s="495"/>
      <c r="W373" s="495"/>
      <c r="X373" s="495"/>
      <c r="Y373" s="495"/>
      <c r="Z373" s="495"/>
    </row>
    <row r="374" ht="15.75" customHeight="1">
      <c r="A374" s="495"/>
      <c r="B374" s="495"/>
      <c r="C374" s="495"/>
      <c r="D374" s="905"/>
      <c r="E374" s="495"/>
      <c r="F374" s="495"/>
      <c r="G374" s="495"/>
      <c r="H374" s="495"/>
      <c r="I374" s="495"/>
      <c r="J374" s="495"/>
      <c r="K374" s="495"/>
      <c r="L374" s="495"/>
      <c r="M374" s="495"/>
      <c r="N374" s="495"/>
      <c r="O374" s="495"/>
      <c r="P374" s="495"/>
      <c r="Q374" s="495"/>
      <c r="R374" s="495"/>
      <c r="S374" s="495"/>
      <c r="T374" s="495"/>
      <c r="U374" s="495"/>
      <c r="V374" s="495"/>
      <c r="W374" s="495"/>
      <c r="X374" s="495"/>
      <c r="Y374" s="495"/>
      <c r="Z374" s="495"/>
    </row>
    <row r="375" ht="15.75" customHeight="1">
      <c r="A375" s="495"/>
      <c r="B375" s="495"/>
      <c r="C375" s="495"/>
      <c r="D375" s="905"/>
      <c r="E375" s="495"/>
      <c r="F375" s="495"/>
      <c r="G375" s="495"/>
      <c r="H375" s="495"/>
      <c r="I375" s="495"/>
      <c r="J375" s="495"/>
      <c r="K375" s="495"/>
      <c r="L375" s="495"/>
      <c r="M375" s="495"/>
      <c r="N375" s="495"/>
      <c r="O375" s="495"/>
      <c r="P375" s="495"/>
      <c r="Q375" s="495"/>
      <c r="R375" s="495"/>
      <c r="S375" s="495"/>
      <c r="T375" s="495"/>
      <c r="U375" s="495"/>
      <c r="V375" s="495"/>
      <c r="W375" s="495"/>
      <c r="X375" s="495"/>
      <c r="Y375" s="495"/>
      <c r="Z375" s="495"/>
    </row>
    <row r="376" ht="15.75" customHeight="1">
      <c r="A376" s="495"/>
      <c r="B376" s="495"/>
      <c r="C376" s="495"/>
      <c r="D376" s="905"/>
      <c r="E376" s="495"/>
      <c r="F376" s="495"/>
      <c r="G376" s="495"/>
      <c r="H376" s="495"/>
      <c r="I376" s="495"/>
      <c r="J376" s="495"/>
      <c r="K376" s="495"/>
      <c r="L376" s="495"/>
      <c r="M376" s="495"/>
      <c r="N376" s="495"/>
      <c r="O376" s="495"/>
      <c r="P376" s="495"/>
      <c r="Q376" s="495"/>
      <c r="R376" s="495"/>
      <c r="S376" s="495"/>
      <c r="T376" s="495"/>
      <c r="U376" s="495"/>
      <c r="V376" s="495"/>
      <c r="W376" s="495"/>
      <c r="X376" s="495"/>
      <c r="Y376" s="495"/>
      <c r="Z376" s="495"/>
    </row>
    <row r="377" ht="15.75" customHeight="1">
      <c r="A377" s="495"/>
      <c r="B377" s="495"/>
      <c r="C377" s="495"/>
      <c r="D377" s="905"/>
      <c r="E377" s="495"/>
      <c r="F377" s="495"/>
      <c r="G377" s="495"/>
      <c r="H377" s="495"/>
      <c r="I377" s="495"/>
      <c r="J377" s="495"/>
      <c r="K377" s="495"/>
      <c r="L377" s="495"/>
      <c r="M377" s="495"/>
      <c r="N377" s="495"/>
      <c r="O377" s="495"/>
      <c r="P377" s="495"/>
      <c r="Q377" s="495"/>
      <c r="R377" s="495"/>
      <c r="S377" s="495"/>
      <c r="T377" s="495"/>
      <c r="U377" s="495"/>
      <c r="V377" s="495"/>
      <c r="W377" s="495"/>
      <c r="X377" s="495"/>
      <c r="Y377" s="495"/>
      <c r="Z377" s="495"/>
    </row>
    <row r="378" ht="15.75" customHeight="1">
      <c r="A378" s="495"/>
      <c r="B378" s="495"/>
      <c r="C378" s="495"/>
      <c r="D378" s="905"/>
      <c r="E378" s="495"/>
      <c r="F378" s="495"/>
      <c r="G378" s="495"/>
      <c r="H378" s="495"/>
      <c r="I378" s="495"/>
      <c r="J378" s="495"/>
      <c r="K378" s="495"/>
      <c r="L378" s="495"/>
      <c r="M378" s="495"/>
      <c r="N378" s="495"/>
      <c r="O378" s="495"/>
      <c r="P378" s="495"/>
      <c r="Q378" s="495"/>
      <c r="R378" s="495"/>
      <c r="S378" s="495"/>
      <c r="T378" s="495"/>
      <c r="U378" s="495"/>
      <c r="V378" s="495"/>
      <c r="W378" s="495"/>
      <c r="X378" s="495"/>
      <c r="Y378" s="495"/>
      <c r="Z378" s="495"/>
    </row>
    <row r="379" ht="15.75" customHeight="1">
      <c r="A379" s="495"/>
      <c r="B379" s="495"/>
      <c r="C379" s="495"/>
      <c r="D379" s="905"/>
      <c r="E379" s="495"/>
      <c r="F379" s="495"/>
      <c r="G379" s="495"/>
      <c r="H379" s="495"/>
      <c r="I379" s="495"/>
      <c r="J379" s="495"/>
      <c r="K379" s="495"/>
      <c r="L379" s="495"/>
      <c r="M379" s="495"/>
      <c r="N379" s="495"/>
      <c r="O379" s="495"/>
      <c r="P379" s="495"/>
      <c r="Q379" s="495"/>
      <c r="R379" s="495"/>
      <c r="S379" s="495"/>
      <c r="T379" s="495"/>
      <c r="U379" s="495"/>
      <c r="V379" s="495"/>
      <c r="W379" s="495"/>
      <c r="X379" s="495"/>
      <c r="Y379" s="495"/>
      <c r="Z379" s="495"/>
    </row>
    <row r="380" ht="15.75" customHeight="1">
      <c r="A380" s="495"/>
      <c r="B380" s="495"/>
      <c r="C380" s="495"/>
      <c r="D380" s="905"/>
      <c r="E380" s="495"/>
      <c r="F380" s="495"/>
      <c r="G380" s="495"/>
      <c r="H380" s="495"/>
      <c r="I380" s="495"/>
      <c r="J380" s="495"/>
      <c r="K380" s="495"/>
      <c r="L380" s="495"/>
      <c r="M380" s="495"/>
      <c r="N380" s="495"/>
      <c r="O380" s="495"/>
      <c r="P380" s="495"/>
      <c r="Q380" s="495"/>
      <c r="R380" s="495"/>
      <c r="S380" s="495"/>
      <c r="T380" s="495"/>
      <c r="U380" s="495"/>
      <c r="V380" s="495"/>
      <c r="W380" s="495"/>
      <c r="X380" s="495"/>
      <c r="Y380" s="495"/>
      <c r="Z380" s="495"/>
    </row>
    <row r="381" ht="15.75" customHeight="1">
      <c r="A381" s="495"/>
      <c r="B381" s="495"/>
      <c r="C381" s="495"/>
      <c r="D381" s="905"/>
      <c r="E381" s="495"/>
      <c r="F381" s="495"/>
      <c r="G381" s="495"/>
      <c r="H381" s="495"/>
      <c r="I381" s="495"/>
      <c r="J381" s="495"/>
      <c r="K381" s="495"/>
      <c r="L381" s="495"/>
      <c r="M381" s="495"/>
      <c r="N381" s="495"/>
      <c r="O381" s="495"/>
      <c r="P381" s="495"/>
      <c r="Q381" s="495"/>
      <c r="R381" s="495"/>
      <c r="S381" s="495"/>
      <c r="T381" s="495"/>
      <c r="U381" s="495"/>
      <c r="V381" s="495"/>
      <c r="W381" s="495"/>
      <c r="X381" s="495"/>
      <c r="Y381" s="495"/>
      <c r="Z381" s="495"/>
    </row>
    <row r="382" ht="15.75" customHeight="1">
      <c r="A382" s="495"/>
      <c r="B382" s="495"/>
      <c r="C382" s="495"/>
      <c r="D382" s="905"/>
      <c r="E382" s="495"/>
      <c r="F382" s="495"/>
      <c r="G382" s="495"/>
      <c r="H382" s="495"/>
      <c r="I382" s="495"/>
      <c r="J382" s="495"/>
      <c r="K382" s="495"/>
      <c r="L382" s="495"/>
      <c r="M382" s="495"/>
      <c r="N382" s="495"/>
      <c r="O382" s="495"/>
      <c r="P382" s="495"/>
      <c r="Q382" s="495"/>
      <c r="R382" s="495"/>
      <c r="S382" s="495"/>
      <c r="T382" s="495"/>
      <c r="U382" s="495"/>
      <c r="V382" s="495"/>
      <c r="W382" s="495"/>
      <c r="X382" s="495"/>
      <c r="Y382" s="495"/>
      <c r="Z382" s="495"/>
    </row>
    <row r="383" ht="15.75" customHeight="1">
      <c r="A383" s="495"/>
      <c r="B383" s="495"/>
      <c r="C383" s="495"/>
      <c r="D383" s="905"/>
      <c r="E383" s="495"/>
      <c r="F383" s="495"/>
      <c r="G383" s="495"/>
      <c r="H383" s="495"/>
      <c r="I383" s="495"/>
      <c r="J383" s="495"/>
      <c r="K383" s="495"/>
      <c r="L383" s="495"/>
      <c r="M383" s="495"/>
      <c r="N383" s="495"/>
      <c r="O383" s="495"/>
      <c r="P383" s="495"/>
      <c r="Q383" s="495"/>
      <c r="R383" s="495"/>
      <c r="S383" s="495"/>
      <c r="T383" s="495"/>
      <c r="U383" s="495"/>
      <c r="V383" s="495"/>
      <c r="W383" s="495"/>
      <c r="X383" s="495"/>
      <c r="Y383" s="495"/>
      <c r="Z383" s="495"/>
    </row>
    <row r="384" ht="15.75" customHeight="1">
      <c r="A384" s="495"/>
      <c r="B384" s="495"/>
      <c r="C384" s="495"/>
      <c r="D384" s="905"/>
      <c r="E384" s="495"/>
      <c r="F384" s="495"/>
      <c r="G384" s="495"/>
      <c r="H384" s="495"/>
      <c r="I384" s="495"/>
      <c r="J384" s="495"/>
      <c r="K384" s="495"/>
      <c r="L384" s="495"/>
      <c r="M384" s="495"/>
      <c r="N384" s="495"/>
      <c r="O384" s="495"/>
      <c r="P384" s="495"/>
      <c r="Q384" s="495"/>
      <c r="R384" s="495"/>
      <c r="S384" s="495"/>
      <c r="T384" s="495"/>
      <c r="U384" s="495"/>
      <c r="V384" s="495"/>
      <c r="W384" s="495"/>
      <c r="X384" s="495"/>
      <c r="Y384" s="495"/>
      <c r="Z384" s="495"/>
    </row>
    <row r="385" ht="15.75" customHeight="1">
      <c r="A385" s="495"/>
      <c r="B385" s="495"/>
      <c r="C385" s="495"/>
      <c r="D385" s="905"/>
      <c r="E385" s="495"/>
      <c r="F385" s="495"/>
      <c r="G385" s="495"/>
      <c r="H385" s="495"/>
      <c r="I385" s="495"/>
      <c r="J385" s="495"/>
      <c r="K385" s="495"/>
      <c r="L385" s="495"/>
      <c r="M385" s="495"/>
      <c r="N385" s="495"/>
      <c r="O385" s="495"/>
      <c r="P385" s="495"/>
      <c r="Q385" s="495"/>
      <c r="R385" s="495"/>
      <c r="S385" s="495"/>
      <c r="T385" s="495"/>
      <c r="U385" s="495"/>
      <c r="V385" s="495"/>
      <c r="W385" s="495"/>
      <c r="X385" s="495"/>
      <c r="Y385" s="495"/>
      <c r="Z385" s="495"/>
    </row>
    <row r="386" ht="15.75" customHeight="1">
      <c r="A386" s="495"/>
      <c r="B386" s="495"/>
      <c r="C386" s="495"/>
      <c r="D386" s="905"/>
      <c r="E386" s="495"/>
      <c r="F386" s="495"/>
      <c r="G386" s="495"/>
      <c r="H386" s="495"/>
      <c r="I386" s="495"/>
      <c r="J386" s="495"/>
      <c r="K386" s="495"/>
      <c r="L386" s="495"/>
      <c r="M386" s="495"/>
      <c r="N386" s="495"/>
      <c r="O386" s="495"/>
      <c r="P386" s="495"/>
      <c r="Q386" s="495"/>
      <c r="R386" s="495"/>
      <c r="S386" s="495"/>
      <c r="T386" s="495"/>
      <c r="U386" s="495"/>
      <c r="V386" s="495"/>
      <c r="W386" s="495"/>
      <c r="X386" s="495"/>
      <c r="Y386" s="495"/>
      <c r="Z386" s="495"/>
    </row>
    <row r="387" ht="15.75" customHeight="1">
      <c r="A387" s="495"/>
      <c r="B387" s="495"/>
      <c r="C387" s="495"/>
      <c r="D387" s="905"/>
      <c r="E387" s="495"/>
      <c r="F387" s="495"/>
      <c r="G387" s="495"/>
      <c r="H387" s="495"/>
      <c r="I387" s="495"/>
      <c r="J387" s="495"/>
      <c r="K387" s="495"/>
      <c r="L387" s="495"/>
      <c r="M387" s="495"/>
      <c r="N387" s="495"/>
      <c r="O387" s="495"/>
      <c r="P387" s="495"/>
      <c r="Q387" s="495"/>
      <c r="R387" s="495"/>
      <c r="S387" s="495"/>
      <c r="T387" s="495"/>
      <c r="U387" s="495"/>
      <c r="V387" s="495"/>
      <c r="W387" s="495"/>
      <c r="X387" s="495"/>
      <c r="Y387" s="495"/>
      <c r="Z387" s="495"/>
    </row>
    <row r="388" ht="15.75" customHeight="1">
      <c r="A388" s="495"/>
      <c r="B388" s="495"/>
      <c r="C388" s="495"/>
      <c r="D388" s="905"/>
      <c r="E388" s="495"/>
      <c r="F388" s="495"/>
      <c r="G388" s="495"/>
      <c r="H388" s="495"/>
      <c r="I388" s="495"/>
      <c r="J388" s="495"/>
      <c r="K388" s="495"/>
      <c r="L388" s="495"/>
      <c r="M388" s="495"/>
      <c r="N388" s="495"/>
      <c r="O388" s="495"/>
      <c r="P388" s="495"/>
      <c r="Q388" s="495"/>
      <c r="R388" s="495"/>
      <c r="S388" s="495"/>
      <c r="T388" s="495"/>
      <c r="U388" s="495"/>
      <c r="V388" s="495"/>
      <c r="W388" s="495"/>
      <c r="X388" s="495"/>
      <c r="Y388" s="495"/>
      <c r="Z388" s="495"/>
    </row>
    <row r="389" ht="15.75" customHeight="1">
      <c r="A389" s="495"/>
      <c r="B389" s="495"/>
      <c r="C389" s="495"/>
      <c r="D389" s="905"/>
      <c r="E389" s="495"/>
      <c r="F389" s="495"/>
      <c r="G389" s="495"/>
      <c r="H389" s="495"/>
      <c r="I389" s="495"/>
      <c r="J389" s="495"/>
      <c r="K389" s="495"/>
      <c r="L389" s="495"/>
      <c r="M389" s="495"/>
      <c r="N389" s="495"/>
      <c r="O389" s="495"/>
      <c r="P389" s="495"/>
      <c r="Q389" s="495"/>
      <c r="R389" s="495"/>
      <c r="S389" s="495"/>
      <c r="T389" s="495"/>
      <c r="U389" s="495"/>
      <c r="V389" s="495"/>
      <c r="W389" s="495"/>
      <c r="X389" s="495"/>
      <c r="Y389" s="495"/>
      <c r="Z389" s="495"/>
    </row>
    <row r="390" ht="15.75" customHeight="1">
      <c r="A390" s="495"/>
      <c r="B390" s="495"/>
      <c r="C390" s="495"/>
      <c r="D390" s="905"/>
      <c r="E390" s="495"/>
      <c r="F390" s="495"/>
      <c r="G390" s="495"/>
      <c r="H390" s="495"/>
      <c r="I390" s="495"/>
      <c r="J390" s="495"/>
      <c r="K390" s="495"/>
      <c r="L390" s="495"/>
      <c r="M390" s="495"/>
      <c r="N390" s="495"/>
      <c r="O390" s="495"/>
      <c r="P390" s="495"/>
      <c r="Q390" s="495"/>
      <c r="R390" s="495"/>
      <c r="S390" s="495"/>
      <c r="T390" s="495"/>
      <c r="U390" s="495"/>
      <c r="V390" s="495"/>
      <c r="W390" s="495"/>
      <c r="X390" s="495"/>
      <c r="Y390" s="495"/>
      <c r="Z390" s="495"/>
    </row>
    <row r="391" ht="15.75" customHeight="1">
      <c r="A391" s="495"/>
      <c r="B391" s="495"/>
      <c r="C391" s="495"/>
      <c r="D391" s="905"/>
      <c r="E391" s="495"/>
      <c r="F391" s="495"/>
      <c r="G391" s="495"/>
      <c r="H391" s="495"/>
      <c r="I391" s="495"/>
      <c r="J391" s="495"/>
      <c r="K391" s="495"/>
      <c r="L391" s="495"/>
      <c r="M391" s="495"/>
      <c r="N391" s="495"/>
      <c r="O391" s="495"/>
      <c r="P391" s="495"/>
      <c r="Q391" s="495"/>
      <c r="R391" s="495"/>
      <c r="S391" s="495"/>
      <c r="T391" s="495"/>
      <c r="U391" s="495"/>
      <c r="V391" s="495"/>
      <c r="W391" s="495"/>
      <c r="X391" s="495"/>
      <c r="Y391" s="495"/>
      <c r="Z391" s="495"/>
    </row>
    <row r="392" ht="15.75" customHeight="1">
      <c r="A392" s="495"/>
      <c r="B392" s="495"/>
      <c r="C392" s="495"/>
      <c r="D392" s="905"/>
      <c r="E392" s="495"/>
      <c r="F392" s="495"/>
      <c r="G392" s="495"/>
      <c r="H392" s="495"/>
      <c r="I392" s="495"/>
      <c r="J392" s="495"/>
      <c r="K392" s="495"/>
      <c r="L392" s="495"/>
      <c r="M392" s="495"/>
      <c r="N392" s="495"/>
      <c r="O392" s="495"/>
      <c r="P392" s="495"/>
      <c r="Q392" s="495"/>
      <c r="R392" s="495"/>
      <c r="S392" s="495"/>
      <c r="T392" s="495"/>
      <c r="U392" s="495"/>
      <c r="V392" s="495"/>
      <c r="W392" s="495"/>
      <c r="X392" s="495"/>
      <c r="Y392" s="495"/>
      <c r="Z392" s="495"/>
    </row>
    <row r="393" ht="15.75" customHeight="1">
      <c r="A393" s="495"/>
      <c r="B393" s="495"/>
      <c r="C393" s="495"/>
      <c r="D393" s="905"/>
      <c r="E393" s="495"/>
      <c r="F393" s="495"/>
      <c r="G393" s="495"/>
      <c r="H393" s="495"/>
      <c r="I393" s="495"/>
      <c r="J393" s="495"/>
      <c r="K393" s="495"/>
      <c r="L393" s="495"/>
      <c r="M393" s="495"/>
      <c r="N393" s="495"/>
      <c r="O393" s="495"/>
      <c r="P393" s="495"/>
      <c r="Q393" s="495"/>
      <c r="R393" s="495"/>
      <c r="S393" s="495"/>
      <c r="T393" s="495"/>
      <c r="U393" s="495"/>
      <c r="V393" s="495"/>
      <c r="W393" s="495"/>
      <c r="X393" s="495"/>
      <c r="Y393" s="495"/>
      <c r="Z393" s="495"/>
    </row>
    <row r="394" ht="15.75" customHeight="1">
      <c r="A394" s="495"/>
      <c r="B394" s="495"/>
      <c r="C394" s="495"/>
      <c r="D394" s="905"/>
      <c r="E394" s="495"/>
      <c r="F394" s="495"/>
      <c r="G394" s="495"/>
      <c r="H394" s="495"/>
      <c r="I394" s="495"/>
      <c r="J394" s="495"/>
      <c r="K394" s="495"/>
      <c r="L394" s="495"/>
      <c r="M394" s="495"/>
      <c r="N394" s="495"/>
      <c r="O394" s="495"/>
      <c r="P394" s="495"/>
      <c r="Q394" s="495"/>
      <c r="R394" s="495"/>
      <c r="S394" s="495"/>
      <c r="T394" s="495"/>
      <c r="U394" s="495"/>
      <c r="V394" s="495"/>
      <c r="W394" s="495"/>
      <c r="X394" s="495"/>
      <c r="Y394" s="495"/>
      <c r="Z394" s="495"/>
    </row>
    <row r="395" ht="15.75" customHeight="1">
      <c r="A395" s="495"/>
      <c r="B395" s="495"/>
      <c r="C395" s="495"/>
      <c r="D395" s="905"/>
      <c r="E395" s="495"/>
      <c r="F395" s="495"/>
      <c r="G395" s="495"/>
      <c r="H395" s="495"/>
      <c r="I395" s="495"/>
      <c r="J395" s="495"/>
      <c r="K395" s="495"/>
      <c r="L395" s="495"/>
      <c r="M395" s="495"/>
      <c r="N395" s="495"/>
      <c r="O395" s="495"/>
      <c r="P395" s="495"/>
      <c r="Q395" s="495"/>
      <c r="R395" s="495"/>
      <c r="S395" s="495"/>
      <c r="T395" s="495"/>
      <c r="U395" s="495"/>
      <c r="V395" s="495"/>
      <c r="W395" s="495"/>
      <c r="X395" s="495"/>
      <c r="Y395" s="495"/>
      <c r="Z395" s="495"/>
    </row>
    <row r="396" ht="15.75" customHeight="1">
      <c r="A396" s="495"/>
      <c r="B396" s="495"/>
      <c r="C396" s="495"/>
      <c r="D396" s="905"/>
      <c r="E396" s="495"/>
      <c r="F396" s="495"/>
      <c r="G396" s="495"/>
      <c r="H396" s="495"/>
      <c r="I396" s="495"/>
      <c r="J396" s="495"/>
      <c r="K396" s="495"/>
      <c r="L396" s="495"/>
      <c r="M396" s="495"/>
      <c r="N396" s="495"/>
      <c r="O396" s="495"/>
      <c r="P396" s="495"/>
      <c r="Q396" s="495"/>
      <c r="R396" s="495"/>
      <c r="S396" s="495"/>
      <c r="T396" s="495"/>
      <c r="U396" s="495"/>
      <c r="V396" s="495"/>
      <c r="W396" s="495"/>
      <c r="X396" s="495"/>
      <c r="Y396" s="495"/>
      <c r="Z396" s="495"/>
    </row>
    <row r="397" ht="15.75" customHeight="1">
      <c r="A397" s="495"/>
      <c r="B397" s="495"/>
      <c r="C397" s="495"/>
      <c r="D397" s="905"/>
      <c r="E397" s="495"/>
      <c r="F397" s="495"/>
      <c r="G397" s="495"/>
      <c r="H397" s="495"/>
      <c r="I397" s="495"/>
      <c r="J397" s="495"/>
      <c r="K397" s="495"/>
      <c r="L397" s="495"/>
      <c r="M397" s="495"/>
      <c r="N397" s="495"/>
      <c r="O397" s="495"/>
      <c r="P397" s="495"/>
      <c r="Q397" s="495"/>
      <c r="R397" s="495"/>
      <c r="S397" s="495"/>
      <c r="T397" s="495"/>
      <c r="U397" s="495"/>
      <c r="V397" s="495"/>
      <c r="W397" s="495"/>
      <c r="X397" s="495"/>
      <c r="Y397" s="495"/>
      <c r="Z397" s="495"/>
    </row>
    <row r="398" ht="15.75" customHeight="1">
      <c r="A398" s="495"/>
      <c r="B398" s="495"/>
      <c r="C398" s="495"/>
      <c r="D398" s="905"/>
      <c r="E398" s="495"/>
      <c r="F398" s="495"/>
      <c r="G398" s="495"/>
      <c r="H398" s="495"/>
      <c r="I398" s="495"/>
      <c r="J398" s="495"/>
      <c r="K398" s="495"/>
      <c r="L398" s="495"/>
      <c r="M398" s="495"/>
      <c r="N398" s="495"/>
      <c r="O398" s="495"/>
      <c r="P398" s="495"/>
      <c r="Q398" s="495"/>
      <c r="R398" s="495"/>
      <c r="S398" s="495"/>
      <c r="T398" s="495"/>
      <c r="U398" s="495"/>
      <c r="V398" s="495"/>
      <c r="W398" s="495"/>
      <c r="X398" s="495"/>
      <c r="Y398" s="495"/>
      <c r="Z398" s="495"/>
    </row>
    <row r="399" ht="15.75" customHeight="1">
      <c r="A399" s="495"/>
      <c r="B399" s="495"/>
      <c r="C399" s="495"/>
      <c r="D399" s="905"/>
      <c r="E399" s="495"/>
      <c r="F399" s="495"/>
      <c r="G399" s="495"/>
      <c r="H399" s="495"/>
      <c r="I399" s="495"/>
      <c r="J399" s="495"/>
      <c r="K399" s="495"/>
      <c r="L399" s="495"/>
      <c r="M399" s="495"/>
      <c r="N399" s="495"/>
      <c r="O399" s="495"/>
      <c r="P399" s="495"/>
      <c r="Q399" s="495"/>
      <c r="R399" s="495"/>
      <c r="S399" s="495"/>
      <c r="T399" s="495"/>
      <c r="U399" s="495"/>
      <c r="V399" s="495"/>
      <c r="W399" s="495"/>
      <c r="X399" s="495"/>
      <c r="Y399" s="495"/>
      <c r="Z399" s="495"/>
    </row>
    <row r="400" ht="15.75" customHeight="1">
      <c r="A400" s="495"/>
      <c r="B400" s="495"/>
      <c r="C400" s="495"/>
      <c r="D400" s="905"/>
      <c r="E400" s="495"/>
      <c r="F400" s="495"/>
      <c r="G400" s="495"/>
      <c r="H400" s="495"/>
      <c r="I400" s="495"/>
      <c r="J400" s="495"/>
      <c r="K400" s="495"/>
      <c r="L400" s="495"/>
      <c r="M400" s="495"/>
      <c r="N400" s="495"/>
      <c r="O400" s="495"/>
      <c r="P400" s="495"/>
      <c r="Q400" s="495"/>
      <c r="R400" s="495"/>
      <c r="S400" s="495"/>
      <c r="T400" s="495"/>
      <c r="U400" s="495"/>
      <c r="V400" s="495"/>
      <c r="W400" s="495"/>
      <c r="X400" s="495"/>
      <c r="Y400" s="495"/>
      <c r="Z400" s="495"/>
    </row>
    <row r="401" ht="15.75" customHeight="1">
      <c r="A401" s="495"/>
      <c r="B401" s="495"/>
      <c r="C401" s="495"/>
      <c r="D401" s="905"/>
      <c r="E401" s="495"/>
      <c r="F401" s="495"/>
      <c r="G401" s="495"/>
      <c r="H401" s="495"/>
      <c r="I401" s="495"/>
      <c r="J401" s="495"/>
      <c r="K401" s="495"/>
      <c r="L401" s="495"/>
      <c r="M401" s="495"/>
      <c r="N401" s="495"/>
      <c r="O401" s="495"/>
      <c r="P401" s="495"/>
      <c r="Q401" s="495"/>
      <c r="R401" s="495"/>
      <c r="S401" s="495"/>
      <c r="T401" s="495"/>
      <c r="U401" s="495"/>
      <c r="V401" s="495"/>
      <c r="W401" s="495"/>
      <c r="X401" s="495"/>
      <c r="Y401" s="495"/>
      <c r="Z401" s="495"/>
    </row>
    <row r="402" ht="15.75" customHeight="1">
      <c r="A402" s="495"/>
      <c r="B402" s="495"/>
      <c r="C402" s="495"/>
      <c r="D402" s="905"/>
      <c r="E402" s="495"/>
      <c r="F402" s="495"/>
      <c r="G402" s="495"/>
      <c r="H402" s="495"/>
      <c r="I402" s="495"/>
      <c r="J402" s="495"/>
      <c r="K402" s="495"/>
      <c r="L402" s="495"/>
      <c r="M402" s="495"/>
      <c r="N402" s="495"/>
      <c r="O402" s="495"/>
      <c r="P402" s="495"/>
      <c r="Q402" s="495"/>
      <c r="R402" s="495"/>
      <c r="S402" s="495"/>
      <c r="T402" s="495"/>
      <c r="U402" s="495"/>
      <c r="V402" s="495"/>
      <c r="W402" s="495"/>
      <c r="X402" s="495"/>
      <c r="Y402" s="495"/>
      <c r="Z402" s="495"/>
    </row>
    <row r="403" ht="15.75" customHeight="1">
      <c r="A403" s="495"/>
      <c r="B403" s="495"/>
      <c r="C403" s="495"/>
      <c r="D403" s="905"/>
      <c r="E403" s="495"/>
      <c r="F403" s="495"/>
      <c r="G403" s="495"/>
      <c r="H403" s="495"/>
      <c r="I403" s="495"/>
      <c r="J403" s="495"/>
      <c r="K403" s="495"/>
      <c r="L403" s="495"/>
      <c r="M403" s="495"/>
      <c r="N403" s="495"/>
      <c r="O403" s="495"/>
      <c r="P403" s="495"/>
      <c r="Q403" s="495"/>
      <c r="R403" s="495"/>
      <c r="S403" s="495"/>
      <c r="T403" s="495"/>
      <c r="U403" s="495"/>
      <c r="V403" s="495"/>
      <c r="W403" s="495"/>
      <c r="X403" s="495"/>
      <c r="Y403" s="495"/>
      <c r="Z403" s="495"/>
    </row>
    <row r="404" ht="15.75" customHeight="1">
      <c r="A404" s="495"/>
      <c r="B404" s="495"/>
      <c r="C404" s="495"/>
      <c r="D404" s="905"/>
      <c r="E404" s="495"/>
      <c r="F404" s="495"/>
      <c r="G404" s="495"/>
      <c r="H404" s="495"/>
      <c r="I404" s="495"/>
      <c r="J404" s="495"/>
      <c r="K404" s="495"/>
      <c r="L404" s="495"/>
      <c r="M404" s="495"/>
      <c r="N404" s="495"/>
      <c r="O404" s="495"/>
      <c r="P404" s="495"/>
      <c r="Q404" s="495"/>
      <c r="R404" s="495"/>
      <c r="S404" s="495"/>
      <c r="T404" s="495"/>
      <c r="U404" s="495"/>
      <c r="V404" s="495"/>
      <c r="W404" s="495"/>
      <c r="X404" s="495"/>
      <c r="Y404" s="495"/>
      <c r="Z404" s="495"/>
    </row>
    <row r="405" ht="15.75" customHeight="1">
      <c r="A405" s="495"/>
      <c r="B405" s="495"/>
      <c r="C405" s="495"/>
      <c r="D405" s="905"/>
      <c r="E405" s="495"/>
      <c r="F405" s="495"/>
      <c r="G405" s="495"/>
      <c r="H405" s="495"/>
      <c r="I405" s="495"/>
      <c r="J405" s="495"/>
      <c r="K405" s="495"/>
      <c r="L405" s="495"/>
      <c r="M405" s="495"/>
      <c r="N405" s="495"/>
      <c r="O405" s="495"/>
      <c r="P405" s="495"/>
      <c r="Q405" s="495"/>
      <c r="R405" s="495"/>
      <c r="S405" s="495"/>
      <c r="T405" s="495"/>
      <c r="U405" s="495"/>
      <c r="V405" s="495"/>
      <c r="W405" s="495"/>
      <c r="X405" s="495"/>
      <c r="Y405" s="495"/>
      <c r="Z405" s="495"/>
    </row>
    <row r="406" ht="15.75" customHeight="1">
      <c r="A406" s="495"/>
      <c r="B406" s="495"/>
      <c r="C406" s="495"/>
      <c r="D406" s="905"/>
      <c r="E406" s="495"/>
      <c r="F406" s="495"/>
      <c r="G406" s="495"/>
      <c r="H406" s="495"/>
      <c r="I406" s="495"/>
      <c r="J406" s="495"/>
      <c r="K406" s="495"/>
      <c r="L406" s="495"/>
      <c r="M406" s="495"/>
      <c r="N406" s="495"/>
      <c r="O406" s="495"/>
      <c r="P406" s="495"/>
      <c r="Q406" s="495"/>
      <c r="R406" s="495"/>
      <c r="S406" s="495"/>
      <c r="T406" s="495"/>
      <c r="U406" s="495"/>
      <c r="V406" s="495"/>
      <c r="W406" s="495"/>
      <c r="X406" s="495"/>
      <c r="Y406" s="495"/>
      <c r="Z406" s="495"/>
    </row>
    <row r="407" ht="15.75" customHeight="1">
      <c r="A407" s="495"/>
      <c r="B407" s="495"/>
      <c r="C407" s="495"/>
      <c r="D407" s="905"/>
      <c r="E407" s="495"/>
      <c r="F407" s="495"/>
      <c r="G407" s="495"/>
      <c r="H407" s="495"/>
      <c r="I407" s="495"/>
      <c r="J407" s="495"/>
      <c r="K407" s="495"/>
      <c r="L407" s="495"/>
      <c r="M407" s="495"/>
      <c r="N407" s="495"/>
      <c r="O407" s="495"/>
      <c r="P407" s="495"/>
      <c r="Q407" s="495"/>
      <c r="R407" s="495"/>
      <c r="S407" s="495"/>
      <c r="T407" s="495"/>
      <c r="U407" s="495"/>
      <c r="V407" s="495"/>
      <c r="W407" s="495"/>
      <c r="X407" s="495"/>
      <c r="Y407" s="495"/>
      <c r="Z407" s="495"/>
    </row>
    <row r="408" ht="15.75" customHeight="1">
      <c r="A408" s="495"/>
      <c r="B408" s="495"/>
      <c r="C408" s="495"/>
      <c r="D408" s="905"/>
      <c r="E408" s="495"/>
      <c r="F408" s="495"/>
      <c r="G408" s="495"/>
      <c r="H408" s="495"/>
      <c r="I408" s="495"/>
      <c r="J408" s="495"/>
      <c r="K408" s="495"/>
      <c r="L408" s="495"/>
      <c r="M408" s="495"/>
      <c r="N408" s="495"/>
      <c r="O408" s="495"/>
      <c r="P408" s="495"/>
      <c r="Q408" s="495"/>
      <c r="R408" s="495"/>
      <c r="S408" s="495"/>
      <c r="T408" s="495"/>
      <c r="U408" s="495"/>
      <c r="V408" s="495"/>
      <c r="W408" s="495"/>
      <c r="X408" s="495"/>
      <c r="Y408" s="495"/>
      <c r="Z408" s="495"/>
    </row>
    <row r="409" ht="15.75" customHeight="1">
      <c r="A409" s="495"/>
      <c r="B409" s="495"/>
      <c r="C409" s="495"/>
      <c r="D409" s="905"/>
      <c r="E409" s="495"/>
      <c r="F409" s="495"/>
      <c r="G409" s="495"/>
      <c r="H409" s="495"/>
      <c r="I409" s="495"/>
      <c r="J409" s="495"/>
      <c r="K409" s="495"/>
      <c r="L409" s="495"/>
      <c r="M409" s="495"/>
      <c r="N409" s="495"/>
      <c r="O409" s="495"/>
      <c r="P409" s="495"/>
      <c r="Q409" s="495"/>
      <c r="R409" s="495"/>
      <c r="S409" s="495"/>
      <c r="T409" s="495"/>
      <c r="U409" s="495"/>
      <c r="V409" s="495"/>
      <c r="W409" s="495"/>
      <c r="X409" s="495"/>
      <c r="Y409" s="495"/>
      <c r="Z409" s="495"/>
    </row>
    <row r="410" ht="15.75" customHeight="1">
      <c r="A410" s="495"/>
      <c r="B410" s="495"/>
      <c r="C410" s="495"/>
      <c r="D410" s="905"/>
      <c r="E410" s="495"/>
      <c r="F410" s="495"/>
      <c r="G410" s="495"/>
      <c r="H410" s="495"/>
      <c r="I410" s="495"/>
      <c r="J410" s="495"/>
      <c r="K410" s="495"/>
      <c r="L410" s="495"/>
      <c r="M410" s="495"/>
      <c r="N410" s="495"/>
      <c r="O410" s="495"/>
      <c r="P410" s="495"/>
      <c r="Q410" s="495"/>
      <c r="R410" s="495"/>
      <c r="S410" s="495"/>
      <c r="T410" s="495"/>
      <c r="U410" s="495"/>
      <c r="V410" s="495"/>
      <c r="W410" s="495"/>
      <c r="X410" s="495"/>
      <c r="Y410" s="495"/>
      <c r="Z410" s="495"/>
    </row>
    <row r="411" ht="15.75" customHeight="1">
      <c r="A411" s="495"/>
      <c r="B411" s="495"/>
      <c r="C411" s="495"/>
      <c r="D411" s="905"/>
      <c r="E411" s="495"/>
      <c r="F411" s="495"/>
      <c r="G411" s="495"/>
      <c r="H411" s="495"/>
      <c r="I411" s="495"/>
      <c r="J411" s="495"/>
      <c r="K411" s="495"/>
      <c r="L411" s="495"/>
      <c r="M411" s="495"/>
      <c r="N411" s="495"/>
      <c r="O411" s="495"/>
      <c r="P411" s="495"/>
      <c r="Q411" s="495"/>
      <c r="R411" s="495"/>
      <c r="S411" s="495"/>
      <c r="T411" s="495"/>
      <c r="U411" s="495"/>
      <c r="V411" s="495"/>
      <c r="W411" s="495"/>
      <c r="X411" s="495"/>
      <c r="Y411" s="495"/>
      <c r="Z411" s="495"/>
    </row>
    <row r="412" ht="15.75" customHeight="1">
      <c r="A412" s="495"/>
      <c r="B412" s="495"/>
      <c r="C412" s="495"/>
      <c r="D412" s="905"/>
      <c r="E412" s="495"/>
      <c r="F412" s="495"/>
      <c r="G412" s="495"/>
      <c r="H412" s="495"/>
      <c r="I412" s="495"/>
      <c r="J412" s="495"/>
      <c r="K412" s="495"/>
      <c r="L412" s="495"/>
      <c r="M412" s="495"/>
      <c r="N412" s="495"/>
      <c r="O412" s="495"/>
      <c r="P412" s="495"/>
      <c r="Q412" s="495"/>
      <c r="R412" s="495"/>
      <c r="S412" s="495"/>
      <c r="T412" s="495"/>
      <c r="U412" s="495"/>
      <c r="V412" s="495"/>
      <c r="W412" s="495"/>
      <c r="X412" s="495"/>
      <c r="Y412" s="495"/>
      <c r="Z412" s="495"/>
    </row>
    <row r="413" ht="15.75" customHeight="1">
      <c r="A413" s="495"/>
      <c r="B413" s="495"/>
      <c r="C413" s="495"/>
      <c r="D413" s="905"/>
      <c r="E413" s="495"/>
      <c r="F413" s="495"/>
      <c r="G413" s="495"/>
      <c r="H413" s="495"/>
      <c r="I413" s="495"/>
      <c r="J413" s="495"/>
      <c r="K413" s="495"/>
      <c r="L413" s="495"/>
      <c r="M413" s="495"/>
      <c r="N413" s="495"/>
      <c r="O413" s="495"/>
      <c r="P413" s="495"/>
      <c r="Q413" s="495"/>
      <c r="R413" s="495"/>
      <c r="S413" s="495"/>
      <c r="T413" s="495"/>
      <c r="U413" s="495"/>
      <c r="V413" s="495"/>
      <c r="W413" s="495"/>
      <c r="X413" s="495"/>
      <c r="Y413" s="495"/>
      <c r="Z413" s="495"/>
    </row>
    <row r="414" ht="15.75" customHeight="1">
      <c r="A414" s="495"/>
      <c r="B414" s="495"/>
      <c r="C414" s="495"/>
      <c r="D414" s="905"/>
      <c r="E414" s="495"/>
      <c r="F414" s="495"/>
      <c r="G414" s="495"/>
      <c r="H414" s="495"/>
      <c r="I414" s="495"/>
      <c r="J414" s="495"/>
      <c r="K414" s="495"/>
      <c r="L414" s="495"/>
      <c r="M414" s="495"/>
      <c r="N414" s="495"/>
      <c r="O414" s="495"/>
      <c r="P414" s="495"/>
      <c r="Q414" s="495"/>
      <c r="R414" s="495"/>
      <c r="S414" s="495"/>
      <c r="T414" s="495"/>
      <c r="U414" s="495"/>
      <c r="V414" s="495"/>
      <c r="W414" s="495"/>
      <c r="X414" s="495"/>
      <c r="Y414" s="495"/>
      <c r="Z414" s="495"/>
    </row>
    <row r="415" ht="15.75" customHeight="1">
      <c r="A415" s="495"/>
      <c r="B415" s="495"/>
      <c r="C415" s="495"/>
      <c r="D415" s="905"/>
      <c r="E415" s="495"/>
      <c r="F415" s="495"/>
      <c r="G415" s="495"/>
      <c r="H415" s="495"/>
      <c r="I415" s="495"/>
      <c r="J415" s="495"/>
      <c r="K415" s="495"/>
      <c r="L415" s="495"/>
      <c r="M415" s="495"/>
      <c r="N415" s="495"/>
      <c r="O415" s="495"/>
      <c r="P415" s="495"/>
      <c r="Q415" s="495"/>
      <c r="R415" s="495"/>
      <c r="S415" s="495"/>
      <c r="T415" s="495"/>
      <c r="U415" s="495"/>
      <c r="V415" s="495"/>
      <c r="W415" s="495"/>
      <c r="X415" s="495"/>
      <c r="Y415" s="495"/>
      <c r="Z415" s="495"/>
    </row>
    <row r="416" ht="15.75" customHeight="1">
      <c r="A416" s="495"/>
      <c r="B416" s="495"/>
      <c r="C416" s="495"/>
      <c r="D416" s="905"/>
      <c r="E416" s="495"/>
      <c r="F416" s="495"/>
      <c r="G416" s="495"/>
      <c r="H416" s="495"/>
      <c r="I416" s="495"/>
      <c r="J416" s="495"/>
      <c r="K416" s="495"/>
      <c r="L416" s="495"/>
      <c r="M416" s="495"/>
      <c r="N416" s="495"/>
      <c r="O416" s="495"/>
      <c r="P416" s="495"/>
      <c r="Q416" s="495"/>
      <c r="R416" s="495"/>
      <c r="S416" s="495"/>
      <c r="T416" s="495"/>
      <c r="U416" s="495"/>
      <c r="V416" s="495"/>
      <c r="W416" s="495"/>
      <c r="X416" s="495"/>
      <c r="Y416" s="495"/>
      <c r="Z416" s="495"/>
    </row>
    <row r="417" ht="15.75" customHeight="1">
      <c r="A417" s="495"/>
      <c r="B417" s="495"/>
      <c r="C417" s="495"/>
      <c r="D417" s="905"/>
      <c r="E417" s="495"/>
      <c r="F417" s="495"/>
      <c r="G417" s="495"/>
      <c r="H417" s="495"/>
      <c r="I417" s="495"/>
      <c r="J417" s="495"/>
      <c r="K417" s="495"/>
      <c r="L417" s="495"/>
      <c r="M417" s="495"/>
      <c r="N417" s="495"/>
      <c r="O417" s="495"/>
      <c r="P417" s="495"/>
      <c r="Q417" s="495"/>
      <c r="R417" s="495"/>
      <c r="S417" s="495"/>
      <c r="T417" s="495"/>
      <c r="U417" s="495"/>
      <c r="V417" s="495"/>
      <c r="W417" s="495"/>
      <c r="X417" s="495"/>
      <c r="Y417" s="495"/>
      <c r="Z417" s="495"/>
    </row>
    <row r="418" ht="15.75" customHeight="1">
      <c r="A418" s="495"/>
      <c r="B418" s="495"/>
      <c r="C418" s="495"/>
      <c r="D418" s="905"/>
      <c r="E418" s="495"/>
      <c r="F418" s="495"/>
      <c r="G418" s="495"/>
      <c r="H418" s="495"/>
      <c r="I418" s="495"/>
      <c r="J418" s="495"/>
      <c r="K418" s="495"/>
      <c r="L418" s="495"/>
      <c r="M418" s="495"/>
      <c r="N418" s="495"/>
      <c r="O418" s="495"/>
      <c r="P418" s="495"/>
      <c r="Q418" s="495"/>
      <c r="R418" s="495"/>
      <c r="S418" s="495"/>
      <c r="T418" s="495"/>
      <c r="U418" s="495"/>
      <c r="V418" s="495"/>
      <c r="W418" s="495"/>
      <c r="X418" s="495"/>
      <c r="Y418" s="495"/>
      <c r="Z418" s="495"/>
    </row>
    <row r="419" ht="15.75" customHeight="1">
      <c r="A419" s="495"/>
      <c r="B419" s="495"/>
      <c r="C419" s="495"/>
      <c r="D419" s="905"/>
      <c r="E419" s="495"/>
      <c r="F419" s="495"/>
      <c r="G419" s="495"/>
      <c r="H419" s="495"/>
      <c r="I419" s="495"/>
      <c r="J419" s="495"/>
      <c r="K419" s="495"/>
      <c r="L419" s="495"/>
      <c r="M419" s="495"/>
      <c r="N419" s="495"/>
      <c r="O419" s="495"/>
      <c r="P419" s="495"/>
      <c r="Q419" s="495"/>
      <c r="R419" s="495"/>
      <c r="S419" s="495"/>
      <c r="T419" s="495"/>
      <c r="U419" s="495"/>
      <c r="V419" s="495"/>
      <c r="W419" s="495"/>
      <c r="X419" s="495"/>
      <c r="Y419" s="495"/>
      <c r="Z419" s="495"/>
    </row>
    <row r="420" ht="15.75" customHeight="1">
      <c r="A420" s="495"/>
      <c r="B420" s="495"/>
      <c r="C420" s="495"/>
      <c r="D420" s="905"/>
      <c r="E420" s="495"/>
      <c r="F420" s="495"/>
      <c r="G420" s="495"/>
      <c r="H420" s="495"/>
      <c r="I420" s="495"/>
      <c r="J420" s="495"/>
      <c r="K420" s="495"/>
      <c r="L420" s="495"/>
      <c r="M420" s="495"/>
      <c r="N420" s="495"/>
      <c r="O420" s="495"/>
      <c r="P420" s="495"/>
      <c r="Q420" s="495"/>
      <c r="R420" s="495"/>
      <c r="S420" s="495"/>
      <c r="T420" s="495"/>
      <c r="U420" s="495"/>
      <c r="V420" s="495"/>
      <c r="W420" s="495"/>
      <c r="X420" s="495"/>
      <c r="Y420" s="495"/>
      <c r="Z420" s="495"/>
    </row>
    <row r="421" ht="15.75" customHeight="1">
      <c r="A421" s="495"/>
      <c r="B421" s="495"/>
      <c r="C421" s="495"/>
      <c r="D421" s="905"/>
      <c r="E421" s="495"/>
      <c r="F421" s="495"/>
      <c r="G421" s="495"/>
      <c r="H421" s="495"/>
      <c r="I421" s="495"/>
      <c r="J421" s="495"/>
      <c r="K421" s="495"/>
      <c r="L421" s="495"/>
      <c r="M421" s="495"/>
      <c r="N421" s="495"/>
      <c r="O421" s="495"/>
      <c r="P421" s="495"/>
      <c r="Q421" s="495"/>
      <c r="R421" s="495"/>
      <c r="S421" s="495"/>
      <c r="T421" s="495"/>
      <c r="U421" s="495"/>
      <c r="V421" s="495"/>
      <c r="W421" s="495"/>
      <c r="X421" s="495"/>
      <c r="Y421" s="495"/>
      <c r="Z421" s="495"/>
    </row>
    <row r="422" ht="15.75" customHeight="1">
      <c r="A422" s="495"/>
      <c r="B422" s="495"/>
      <c r="C422" s="495"/>
      <c r="D422" s="905"/>
      <c r="E422" s="495"/>
      <c r="F422" s="495"/>
      <c r="G422" s="495"/>
      <c r="H422" s="495"/>
      <c r="I422" s="495"/>
      <c r="J422" s="495"/>
      <c r="K422" s="495"/>
      <c r="L422" s="495"/>
      <c r="M422" s="495"/>
      <c r="N422" s="495"/>
      <c r="O422" s="495"/>
      <c r="P422" s="495"/>
      <c r="Q422" s="495"/>
      <c r="R422" s="495"/>
      <c r="S422" s="495"/>
      <c r="T422" s="495"/>
      <c r="U422" s="495"/>
      <c r="V422" s="495"/>
      <c r="W422" s="495"/>
      <c r="X422" s="495"/>
      <c r="Y422" s="495"/>
      <c r="Z422" s="495"/>
    </row>
    <row r="423" ht="15.75" customHeight="1">
      <c r="A423" s="495"/>
      <c r="B423" s="495"/>
      <c r="C423" s="495"/>
      <c r="D423" s="905"/>
      <c r="E423" s="495"/>
      <c r="F423" s="495"/>
      <c r="G423" s="495"/>
      <c r="H423" s="495"/>
      <c r="I423" s="495"/>
      <c r="J423" s="495"/>
      <c r="K423" s="495"/>
      <c r="L423" s="495"/>
      <c r="M423" s="495"/>
      <c r="N423" s="495"/>
      <c r="O423" s="495"/>
      <c r="P423" s="495"/>
      <c r="Q423" s="495"/>
      <c r="R423" s="495"/>
      <c r="S423" s="495"/>
      <c r="T423" s="495"/>
      <c r="U423" s="495"/>
      <c r="V423" s="495"/>
      <c r="W423" s="495"/>
      <c r="X423" s="495"/>
      <c r="Y423" s="495"/>
      <c r="Z423" s="495"/>
    </row>
    <row r="424" ht="15.75" customHeight="1">
      <c r="A424" s="495"/>
      <c r="B424" s="495"/>
      <c r="C424" s="495"/>
      <c r="D424" s="905"/>
      <c r="E424" s="495"/>
      <c r="F424" s="495"/>
      <c r="G424" s="495"/>
      <c r="H424" s="495"/>
      <c r="I424" s="495"/>
      <c r="J424" s="495"/>
      <c r="K424" s="495"/>
      <c r="L424" s="495"/>
      <c r="M424" s="495"/>
      <c r="N424" s="495"/>
      <c r="O424" s="495"/>
      <c r="P424" s="495"/>
      <c r="Q424" s="495"/>
      <c r="R424" s="495"/>
      <c r="S424" s="495"/>
      <c r="T424" s="495"/>
      <c r="U424" s="495"/>
      <c r="V424" s="495"/>
      <c r="W424" s="495"/>
      <c r="X424" s="495"/>
      <c r="Y424" s="495"/>
      <c r="Z424" s="495"/>
    </row>
    <row r="425" ht="15.75" customHeight="1">
      <c r="A425" s="495"/>
      <c r="B425" s="495"/>
      <c r="C425" s="495"/>
      <c r="D425" s="905"/>
      <c r="E425" s="495"/>
      <c r="F425" s="495"/>
      <c r="G425" s="495"/>
      <c r="H425" s="495"/>
      <c r="I425" s="495"/>
      <c r="J425" s="495"/>
      <c r="K425" s="495"/>
      <c r="L425" s="495"/>
      <c r="M425" s="495"/>
      <c r="N425" s="495"/>
      <c r="O425" s="495"/>
      <c r="P425" s="495"/>
      <c r="Q425" s="495"/>
      <c r="R425" s="495"/>
      <c r="S425" s="495"/>
      <c r="T425" s="495"/>
      <c r="U425" s="495"/>
      <c r="V425" s="495"/>
      <c r="W425" s="495"/>
      <c r="X425" s="495"/>
      <c r="Y425" s="495"/>
      <c r="Z425" s="495"/>
    </row>
    <row r="426" ht="15.75" customHeight="1">
      <c r="A426" s="495"/>
      <c r="B426" s="495"/>
      <c r="C426" s="495"/>
      <c r="D426" s="905"/>
      <c r="E426" s="495"/>
      <c r="F426" s="495"/>
      <c r="G426" s="495"/>
      <c r="H426" s="495"/>
      <c r="I426" s="495"/>
      <c r="J426" s="495"/>
      <c r="K426" s="495"/>
      <c r="L426" s="495"/>
      <c r="M426" s="495"/>
      <c r="N426" s="495"/>
      <c r="O426" s="495"/>
      <c r="P426" s="495"/>
      <c r="Q426" s="495"/>
      <c r="R426" s="495"/>
      <c r="S426" s="495"/>
      <c r="T426" s="495"/>
      <c r="U426" s="495"/>
      <c r="V426" s="495"/>
      <c r="W426" s="495"/>
      <c r="X426" s="495"/>
      <c r="Y426" s="495"/>
      <c r="Z426" s="495"/>
    </row>
    <row r="427" ht="15.75" customHeight="1">
      <c r="A427" s="495"/>
      <c r="B427" s="495"/>
      <c r="C427" s="495"/>
      <c r="D427" s="905"/>
      <c r="E427" s="495"/>
      <c r="F427" s="495"/>
      <c r="G427" s="495"/>
      <c r="H427" s="495"/>
      <c r="I427" s="495"/>
      <c r="J427" s="495"/>
      <c r="K427" s="495"/>
      <c r="L427" s="495"/>
      <c r="M427" s="495"/>
      <c r="N427" s="495"/>
      <c r="O427" s="495"/>
      <c r="P427" s="495"/>
      <c r="Q427" s="495"/>
      <c r="R427" s="495"/>
      <c r="S427" s="495"/>
      <c r="T427" s="495"/>
      <c r="U427" s="495"/>
      <c r="V427" s="495"/>
      <c r="W427" s="495"/>
      <c r="X427" s="495"/>
      <c r="Y427" s="495"/>
      <c r="Z427" s="495"/>
    </row>
    <row r="428" ht="15.75" customHeight="1">
      <c r="A428" s="495"/>
      <c r="B428" s="495"/>
      <c r="C428" s="495"/>
      <c r="D428" s="905"/>
      <c r="E428" s="495"/>
      <c r="F428" s="495"/>
      <c r="G428" s="495"/>
      <c r="H428" s="495"/>
      <c r="I428" s="495"/>
      <c r="J428" s="495"/>
      <c r="K428" s="495"/>
      <c r="L428" s="495"/>
      <c r="M428" s="495"/>
      <c r="N428" s="495"/>
      <c r="O428" s="495"/>
      <c r="P428" s="495"/>
      <c r="Q428" s="495"/>
      <c r="R428" s="495"/>
      <c r="S428" s="495"/>
      <c r="T428" s="495"/>
      <c r="U428" s="495"/>
      <c r="V428" s="495"/>
      <c r="W428" s="495"/>
      <c r="X428" s="495"/>
      <c r="Y428" s="495"/>
      <c r="Z428" s="495"/>
    </row>
    <row r="429" ht="15.75" customHeight="1">
      <c r="A429" s="495"/>
      <c r="B429" s="495"/>
      <c r="C429" s="495"/>
      <c r="D429" s="905"/>
      <c r="E429" s="495"/>
      <c r="F429" s="495"/>
      <c r="G429" s="495"/>
      <c r="H429" s="495"/>
      <c r="I429" s="495"/>
      <c r="J429" s="495"/>
      <c r="K429" s="495"/>
      <c r="L429" s="495"/>
      <c r="M429" s="495"/>
      <c r="N429" s="495"/>
      <c r="O429" s="495"/>
      <c r="P429" s="495"/>
      <c r="Q429" s="495"/>
      <c r="R429" s="495"/>
      <c r="S429" s="495"/>
      <c r="T429" s="495"/>
      <c r="U429" s="495"/>
      <c r="V429" s="495"/>
      <c r="W429" s="495"/>
      <c r="X429" s="495"/>
      <c r="Y429" s="495"/>
      <c r="Z429" s="495"/>
    </row>
    <row r="430" ht="15.75" customHeight="1">
      <c r="A430" s="495"/>
      <c r="B430" s="495"/>
      <c r="C430" s="495"/>
      <c r="D430" s="905"/>
      <c r="E430" s="495"/>
      <c r="F430" s="495"/>
      <c r="G430" s="495"/>
      <c r="H430" s="495"/>
      <c r="I430" s="495"/>
      <c r="J430" s="495"/>
      <c r="K430" s="495"/>
      <c r="L430" s="495"/>
      <c r="M430" s="495"/>
      <c r="N430" s="495"/>
      <c r="O430" s="495"/>
      <c r="P430" s="495"/>
      <c r="Q430" s="495"/>
      <c r="R430" s="495"/>
      <c r="S430" s="495"/>
      <c r="T430" s="495"/>
      <c r="U430" s="495"/>
      <c r="V430" s="495"/>
      <c r="W430" s="495"/>
      <c r="X430" s="495"/>
      <c r="Y430" s="495"/>
      <c r="Z430" s="495"/>
    </row>
    <row r="431" ht="15.75" customHeight="1">
      <c r="A431" s="495"/>
      <c r="B431" s="495"/>
      <c r="C431" s="495"/>
      <c r="D431" s="905"/>
      <c r="E431" s="495"/>
      <c r="F431" s="495"/>
      <c r="G431" s="495"/>
      <c r="H431" s="495"/>
      <c r="I431" s="495"/>
      <c r="J431" s="495"/>
      <c r="K431" s="495"/>
      <c r="L431" s="495"/>
      <c r="M431" s="495"/>
      <c r="N431" s="495"/>
      <c r="O431" s="495"/>
      <c r="P431" s="495"/>
      <c r="Q431" s="495"/>
      <c r="R431" s="495"/>
      <c r="S431" s="495"/>
      <c r="T431" s="495"/>
      <c r="U431" s="495"/>
      <c r="V431" s="495"/>
      <c r="W431" s="495"/>
      <c r="X431" s="495"/>
      <c r="Y431" s="495"/>
      <c r="Z431" s="495"/>
    </row>
    <row r="432" ht="15.75" customHeight="1">
      <c r="A432" s="495"/>
      <c r="B432" s="495"/>
      <c r="C432" s="495"/>
      <c r="D432" s="905"/>
      <c r="E432" s="495"/>
      <c r="F432" s="495"/>
      <c r="G432" s="495"/>
      <c r="H432" s="495"/>
      <c r="I432" s="495"/>
      <c r="J432" s="495"/>
      <c r="K432" s="495"/>
      <c r="L432" s="495"/>
      <c r="M432" s="495"/>
      <c r="N432" s="495"/>
      <c r="O432" s="495"/>
      <c r="P432" s="495"/>
      <c r="Q432" s="495"/>
      <c r="R432" s="495"/>
      <c r="S432" s="495"/>
      <c r="T432" s="495"/>
      <c r="U432" s="495"/>
      <c r="V432" s="495"/>
      <c r="W432" s="495"/>
      <c r="X432" s="495"/>
      <c r="Y432" s="495"/>
      <c r="Z432" s="495"/>
    </row>
    <row r="433" ht="15.75" customHeight="1">
      <c r="A433" s="495"/>
      <c r="B433" s="495"/>
      <c r="C433" s="495"/>
      <c r="D433" s="905"/>
      <c r="E433" s="495"/>
      <c r="F433" s="495"/>
      <c r="G433" s="495"/>
      <c r="H433" s="495"/>
      <c r="I433" s="495"/>
      <c r="J433" s="495"/>
      <c r="K433" s="495"/>
      <c r="L433" s="495"/>
      <c r="M433" s="495"/>
      <c r="N433" s="495"/>
      <c r="O433" s="495"/>
      <c r="P433" s="495"/>
      <c r="Q433" s="495"/>
      <c r="R433" s="495"/>
      <c r="S433" s="495"/>
      <c r="T433" s="495"/>
      <c r="U433" s="495"/>
      <c r="V433" s="495"/>
      <c r="W433" s="495"/>
      <c r="X433" s="495"/>
      <c r="Y433" s="495"/>
      <c r="Z433" s="495"/>
    </row>
    <row r="434" ht="15.75" customHeight="1">
      <c r="A434" s="495"/>
      <c r="B434" s="495"/>
      <c r="C434" s="495"/>
      <c r="D434" s="905"/>
      <c r="E434" s="495"/>
      <c r="F434" s="495"/>
      <c r="G434" s="495"/>
      <c r="H434" s="495"/>
      <c r="I434" s="495"/>
      <c r="J434" s="495"/>
      <c r="K434" s="495"/>
      <c r="L434" s="495"/>
      <c r="M434" s="495"/>
      <c r="N434" s="495"/>
      <c r="O434" s="495"/>
      <c r="P434" s="495"/>
      <c r="Q434" s="495"/>
      <c r="R434" s="495"/>
      <c r="S434" s="495"/>
      <c r="T434" s="495"/>
      <c r="U434" s="495"/>
      <c r="V434" s="495"/>
      <c r="W434" s="495"/>
      <c r="X434" s="495"/>
      <c r="Y434" s="495"/>
      <c r="Z434" s="495"/>
    </row>
    <row r="435" ht="15.75" customHeight="1">
      <c r="A435" s="495"/>
      <c r="B435" s="495"/>
      <c r="C435" s="495"/>
      <c r="D435" s="905"/>
      <c r="E435" s="495"/>
      <c r="F435" s="495"/>
      <c r="G435" s="495"/>
      <c r="H435" s="495"/>
      <c r="I435" s="495"/>
      <c r="J435" s="495"/>
      <c r="K435" s="495"/>
      <c r="L435" s="495"/>
      <c r="M435" s="495"/>
      <c r="N435" s="495"/>
      <c r="O435" s="495"/>
      <c r="P435" s="495"/>
      <c r="Q435" s="495"/>
      <c r="R435" s="495"/>
      <c r="S435" s="495"/>
      <c r="T435" s="495"/>
      <c r="U435" s="495"/>
      <c r="V435" s="495"/>
      <c r="W435" s="495"/>
      <c r="X435" s="495"/>
      <c r="Y435" s="495"/>
      <c r="Z435" s="495"/>
    </row>
    <row r="436" ht="15.75" customHeight="1">
      <c r="A436" s="495"/>
      <c r="B436" s="495"/>
      <c r="C436" s="495"/>
      <c r="D436" s="905"/>
      <c r="E436" s="495"/>
      <c r="F436" s="495"/>
      <c r="G436" s="495"/>
      <c r="H436" s="495"/>
      <c r="I436" s="495"/>
      <c r="J436" s="495"/>
      <c r="K436" s="495"/>
      <c r="L436" s="495"/>
      <c r="M436" s="495"/>
      <c r="N436" s="495"/>
      <c r="O436" s="495"/>
      <c r="P436" s="495"/>
      <c r="Q436" s="495"/>
      <c r="R436" s="495"/>
      <c r="S436" s="495"/>
      <c r="T436" s="495"/>
      <c r="U436" s="495"/>
      <c r="V436" s="495"/>
      <c r="W436" s="495"/>
      <c r="X436" s="495"/>
      <c r="Y436" s="495"/>
      <c r="Z436" s="495"/>
    </row>
    <row r="437" ht="15.75" customHeight="1">
      <c r="A437" s="495"/>
      <c r="B437" s="495"/>
      <c r="C437" s="495"/>
      <c r="D437" s="905"/>
      <c r="E437" s="495"/>
      <c r="F437" s="495"/>
      <c r="G437" s="495"/>
      <c r="H437" s="495"/>
      <c r="I437" s="495"/>
      <c r="J437" s="495"/>
      <c r="K437" s="495"/>
      <c r="L437" s="495"/>
      <c r="M437" s="495"/>
      <c r="N437" s="495"/>
      <c r="O437" s="495"/>
      <c r="P437" s="495"/>
      <c r="Q437" s="495"/>
      <c r="R437" s="495"/>
      <c r="S437" s="495"/>
      <c r="T437" s="495"/>
      <c r="U437" s="495"/>
      <c r="V437" s="495"/>
      <c r="W437" s="495"/>
      <c r="X437" s="495"/>
      <c r="Y437" s="495"/>
      <c r="Z437" s="495"/>
    </row>
    <row r="438" ht="15.75" customHeight="1">
      <c r="A438" s="495"/>
      <c r="B438" s="495"/>
      <c r="C438" s="495"/>
      <c r="D438" s="905"/>
      <c r="E438" s="495"/>
      <c r="F438" s="495"/>
      <c r="G438" s="495"/>
      <c r="H438" s="495"/>
      <c r="I438" s="495"/>
      <c r="J438" s="495"/>
      <c r="K438" s="495"/>
      <c r="L438" s="495"/>
      <c r="M438" s="495"/>
      <c r="N438" s="495"/>
      <c r="O438" s="495"/>
      <c r="P438" s="495"/>
      <c r="Q438" s="495"/>
      <c r="R438" s="495"/>
      <c r="S438" s="495"/>
      <c r="T438" s="495"/>
      <c r="U438" s="495"/>
      <c r="V438" s="495"/>
      <c r="W438" s="495"/>
      <c r="X438" s="495"/>
      <c r="Y438" s="495"/>
      <c r="Z438" s="495"/>
    </row>
    <row r="439" ht="15.75" customHeight="1">
      <c r="A439" s="495"/>
      <c r="B439" s="495"/>
      <c r="C439" s="495"/>
      <c r="D439" s="905"/>
      <c r="E439" s="495"/>
      <c r="F439" s="495"/>
      <c r="G439" s="495"/>
      <c r="H439" s="495"/>
      <c r="I439" s="495"/>
      <c r="J439" s="495"/>
      <c r="K439" s="495"/>
      <c r="L439" s="495"/>
      <c r="M439" s="495"/>
      <c r="N439" s="495"/>
      <c r="O439" s="495"/>
      <c r="P439" s="495"/>
      <c r="Q439" s="495"/>
      <c r="R439" s="495"/>
      <c r="S439" s="495"/>
      <c r="T439" s="495"/>
      <c r="U439" s="495"/>
      <c r="V439" s="495"/>
      <c r="W439" s="495"/>
      <c r="X439" s="495"/>
      <c r="Y439" s="495"/>
      <c r="Z439" s="495"/>
    </row>
    <row r="440" ht="15.75" customHeight="1">
      <c r="A440" s="495"/>
      <c r="B440" s="495"/>
      <c r="C440" s="495"/>
      <c r="D440" s="905"/>
      <c r="E440" s="495"/>
      <c r="F440" s="495"/>
      <c r="G440" s="495"/>
      <c r="H440" s="495"/>
      <c r="I440" s="495"/>
      <c r="J440" s="495"/>
      <c r="K440" s="495"/>
      <c r="L440" s="495"/>
      <c r="M440" s="495"/>
      <c r="N440" s="495"/>
      <c r="O440" s="495"/>
      <c r="P440" s="495"/>
      <c r="Q440" s="495"/>
      <c r="R440" s="495"/>
      <c r="S440" s="495"/>
      <c r="T440" s="495"/>
      <c r="U440" s="495"/>
      <c r="V440" s="495"/>
      <c r="W440" s="495"/>
      <c r="X440" s="495"/>
      <c r="Y440" s="495"/>
      <c r="Z440" s="495"/>
    </row>
    <row r="441" ht="15.75" customHeight="1">
      <c r="A441" s="495"/>
      <c r="B441" s="495"/>
      <c r="C441" s="495"/>
      <c r="D441" s="905"/>
      <c r="E441" s="495"/>
      <c r="F441" s="495"/>
      <c r="G441" s="495"/>
      <c r="H441" s="495"/>
      <c r="I441" s="495"/>
      <c r="J441" s="495"/>
      <c r="K441" s="495"/>
      <c r="L441" s="495"/>
      <c r="M441" s="495"/>
      <c r="N441" s="495"/>
      <c r="O441" s="495"/>
      <c r="P441" s="495"/>
      <c r="Q441" s="495"/>
      <c r="R441" s="495"/>
      <c r="S441" s="495"/>
      <c r="T441" s="495"/>
      <c r="U441" s="495"/>
      <c r="V441" s="495"/>
      <c r="W441" s="495"/>
      <c r="X441" s="495"/>
      <c r="Y441" s="495"/>
      <c r="Z441" s="495"/>
    </row>
    <row r="442" ht="15.75" customHeight="1">
      <c r="A442" s="495"/>
      <c r="B442" s="495"/>
      <c r="C442" s="495"/>
      <c r="D442" s="905"/>
      <c r="E442" s="495"/>
      <c r="F442" s="495"/>
      <c r="G442" s="495"/>
      <c r="H442" s="495"/>
      <c r="I442" s="495"/>
      <c r="J442" s="495"/>
      <c r="K442" s="495"/>
      <c r="L442" s="495"/>
      <c r="M442" s="495"/>
      <c r="N442" s="495"/>
      <c r="O442" s="495"/>
      <c r="P442" s="495"/>
      <c r="Q442" s="495"/>
      <c r="R442" s="495"/>
      <c r="S442" s="495"/>
      <c r="T442" s="495"/>
      <c r="U442" s="495"/>
      <c r="V442" s="495"/>
      <c r="W442" s="495"/>
      <c r="X442" s="495"/>
      <c r="Y442" s="495"/>
      <c r="Z442" s="495"/>
    </row>
    <row r="443" ht="15.75" customHeight="1">
      <c r="A443" s="495"/>
      <c r="B443" s="495"/>
      <c r="C443" s="495"/>
      <c r="D443" s="905"/>
      <c r="E443" s="495"/>
      <c r="F443" s="495"/>
      <c r="G443" s="495"/>
      <c r="H443" s="495"/>
      <c r="I443" s="495"/>
      <c r="J443" s="495"/>
      <c r="K443" s="495"/>
      <c r="L443" s="495"/>
      <c r="M443" s="495"/>
      <c r="N443" s="495"/>
      <c r="O443" s="495"/>
      <c r="P443" s="495"/>
      <c r="Q443" s="495"/>
      <c r="R443" s="495"/>
      <c r="S443" s="495"/>
      <c r="T443" s="495"/>
      <c r="U443" s="495"/>
      <c r="V443" s="495"/>
      <c r="W443" s="495"/>
      <c r="X443" s="495"/>
      <c r="Y443" s="495"/>
      <c r="Z443" s="495"/>
    </row>
    <row r="444" ht="15.75" customHeight="1">
      <c r="A444" s="495"/>
      <c r="B444" s="495"/>
      <c r="C444" s="495"/>
      <c r="D444" s="905"/>
      <c r="E444" s="495"/>
      <c r="F444" s="495"/>
      <c r="G444" s="495"/>
      <c r="H444" s="495"/>
      <c r="I444" s="495"/>
      <c r="J444" s="495"/>
      <c r="K444" s="495"/>
      <c r="L444" s="495"/>
      <c r="M444" s="495"/>
      <c r="N444" s="495"/>
      <c r="O444" s="495"/>
      <c r="P444" s="495"/>
      <c r="Q444" s="495"/>
      <c r="R444" s="495"/>
      <c r="S444" s="495"/>
      <c r="T444" s="495"/>
      <c r="U444" s="495"/>
      <c r="V444" s="495"/>
      <c r="W444" s="495"/>
      <c r="X444" s="495"/>
      <c r="Y444" s="495"/>
      <c r="Z444" s="495"/>
    </row>
    <row r="445" ht="15.75" customHeight="1">
      <c r="A445" s="495"/>
      <c r="B445" s="495"/>
      <c r="C445" s="495"/>
      <c r="D445" s="905"/>
      <c r="E445" s="495"/>
      <c r="F445" s="495"/>
      <c r="G445" s="495"/>
      <c r="H445" s="495"/>
      <c r="I445" s="495"/>
      <c r="J445" s="495"/>
      <c r="K445" s="495"/>
      <c r="L445" s="495"/>
      <c r="M445" s="495"/>
      <c r="N445" s="495"/>
      <c r="O445" s="495"/>
      <c r="P445" s="495"/>
      <c r="Q445" s="495"/>
      <c r="R445" s="495"/>
      <c r="S445" s="495"/>
      <c r="T445" s="495"/>
      <c r="U445" s="495"/>
      <c r="V445" s="495"/>
      <c r="W445" s="495"/>
      <c r="X445" s="495"/>
      <c r="Y445" s="495"/>
      <c r="Z445" s="495"/>
    </row>
    <row r="446" ht="15.75" customHeight="1">
      <c r="A446" s="495"/>
      <c r="B446" s="495"/>
      <c r="C446" s="495"/>
      <c r="D446" s="905"/>
      <c r="E446" s="495"/>
      <c r="F446" s="495"/>
      <c r="G446" s="495"/>
      <c r="H446" s="495"/>
      <c r="I446" s="495"/>
      <c r="J446" s="495"/>
      <c r="K446" s="495"/>
      <c r="L446" s="495"/>
      <c r="M446" s="495"/>
      <c r="N446" s="495"/>
      <c r="O446" s="495"/>
      <c r="P446" s="495"/>
      <c r="Q446" s="495"/>
      <c r="R446" s="495"/>
      <c r="S446" s="495"/>
      <c r="T446" s="495"/>
      <c r="U446" s="495"/>
      <c r="V446" s="495"/>
      <c r="W446" s="495"/>
      <c r="X446" s="495"/>
      <c r="Y446" s="495"/>
      <c r="Z446" s="495"/>
    </row>
    <row r="447" ht="15.75" customHeight="1">
      <c r="A447" s="495"/>
      <c r="B447" s="495"/>
      <c r="C447" s="495"/>
      <c r="D447" s="905"/>
      <c r="E447" s="495"/>
      <c r="F447" s="495"/>
      <c r="G447" s="495"/>
      <c r="H447" s="495"/>
      <c r="I447" s="495"/>
      <c r="J447" s="495"/>
      <c r="K447" s="495"/>
      <c r="L447" s="495"/>
      <c r="M447" s="495"/>
      <c r="N447" s="495"/>
      <c r="O447" s="495"/>
      <c r="P447" s="495"/>
      <c r="Q447" s="495"/>
      <c r="R447" s="495"/>
      <c r="S447" s="495"/>
      <c r="T447" s="495"/>
      <c r="U447" s="495"/>
      <c r="V447" s="495"/>
      <c r="W447" s="495"/>
      <c r="X447" s="495"/>
      <c r="Y447" s="495"/>
      <c r="Z447" s="495"/>
    </row>
    <row r="448" ht="15.75" customHeight="1">
      <c r="A448" s="495"/>
      <c r="B448" s="495"/>
      <c r="C448" s="495"/>
      <c r="D448" s="905"/>
      <c r="E448" s="495"/>
      <c r="F448" s="495"/>
      <c r="G448" s="495"/>
      <c r="H448" s="495"/>
      <c r="I448" s="495"/>
      <c r="J448" s="495"/>
      <c r="K448" s="495"/>
      <c r="L448" s="495"/>
      <c r="M448" s="495"/>
      <c r="N448" s="495"/>
      <c r="O448" s="495"/>
      <c r="P448" s="495"/>
      <c r="Q448" s="495"/>
      <c r="R448" s="495"/>
      <c r="S448" s="495"/>
      <c r="T448" s="495"/>
      <c r="U448" s="495"/>
      <c r="V448" s="495"/>
      <c r="W448" s="495"/>
      <c r="X448" s="495"/>
      <c r="Y448" s="495"/>
      <c r="Z448" s="495"/>
    </row>
    <row r="449" ht="15.75" customHeight="1">
      <c r="A449" s="495"/>
      <c r="B449" s="495"/>
      <c r="C449" s="495"/>
      <c r="D449" s="905"/>
      <c r="E449" s="495"/>
      <c r="F449" s="495"/>
      <c r="G449" s="495"/>
      <c r="H449" s="495"/>
      <c r="I449" s="495"/>
      <c r="J449" s="495"/>
      <c r="K449" s="495"/>
      <c r="L449" s="495"/>
      <c r="M449" s="495"/>
      <c r="N449" s="495"/>
      <c r="O449" s="495"/>
      <c r="P449" s="495"/>
      <c r="Q449" s="495"/>
      <c r="R449" s="495"/>
      <c r="S449" s="495"/>
      <c r="T449" s="495"/>
      <c r="U449" s="495"/>
      <c r="V449" s="495"/>
      <c r="W449" s="495"/>
      <c r="X449" s="495"/>
      <c r="Y449" s="495"/>
      <c r="Z449" s="495"/>
    </row>
    <row r="450" ht="15.75" customHeight="1">
      <c r="A450" s="495"/>
      <c r="B450" s="495"/>
      <c r="C450" s="495"/>
      <c r="D450" s="905"/>
      <c r="E450" s="495"/>
      <c r="F450" s="495"/>
      <c r="G450" s="495"/>
      <c r="H450" s="495"/>
      <c r="I450" s="495"/>
      <c r="J450" s="495"/>
      <c r="K450" s="495"/>
      <c r="L450" s="495"/>
      <c r="M450" s="495"/>
      <c r="N450" s="495"/>
      <c r="O450" s="495"/>
      <c r="P450" s="495"/>
      <c r="Q450" s="495"/>
      <c r="R450" s="495"/>
      <c r="S450" s="495"/>
      <c r="T450" s="495"/>
      <c r="U450" s="495"/>
      <c r="V450" s="495"/>
      <c r="W450" s="495"/>
      <c r="X450" s="495"/>
      <c r="Y450" s="495"/>
      <c r="Z450" s="495"/>
    </row>
    <row r="451" ht="15.75" customHeight="1">
      <c r="A451" s="495"/>
      <c r="B451" s="495"/>
      <c r="C451" s="495"/>
      <c r="D451" s="905"/>
      <c r="E451" s="495"/>
      <c r="F451" s="495"/>
      <c r="G451" s="495"/>
      <c r="H451" s="495"/>
      <c r="I451" s="495"/>
      <c r="J451" s="495"/>
      <c r="K451" s="495"/>
      <c r="L451" s="495"/>
      <c r="M451" s="495"/>
      <c r="N451" s="495"/>
      <c r="O451" s="495"/>
      <c r="P451" s="495"/>
      <c r="Q451" s="495"/>
      <c r="R451" s="495"/>
      <c r="S451" s="495"/>
      <c r="T451" s="495"/>
      <c r="U451" s="495"/>
      <c r="V451" s="495"/>
      <c r="W451" s="495"/>
      <c r="X451" s="495"/>
      <c r="Y451" s="495"/>
      <c r="Z451" s="495"/>
    </row>
    <row r="452" ht="15.75" customHeight="1">
      <c r="A452" s="495"/>
      <c r="B452" s="495"/>
      <c r="C452" s="495"/>
      <c r="D452" s="905"/>
      <c r="E452" s="495"/>
      <c r="F452" s="495"/>
      <c r="G452" s="495"/>
      <c r="H452" s="495"/>
      <c r="I452" s="495"/>
      <c r="J452" s="495"/>
      <c r="K452" s="495"/>
      <c r="L452" s="495"/>
      <c r="M452" s="495"/>
      <c r="N452" s="495"/>
      <c r="O452" s="495"/>
      <c r="P452" s="495"/>
      <c r="Q452" s="495"/>
      <c r="R452" s="495"/>
      <c r="S452" s="495"/>
      <c r="T452" s="495"/>
      <c r="U452" s="495"/>
      <c r="V452" s="495"/>
      <c r="W452" s="495"/>
      <c r="X452" s="495"/>
      <c r="Y452" s="495"/>
      <c r="Z452" s="495"/>
    </row>
    <row r="453" ht="15.75" customHeight="1">
      <c r="A453" s="495"/>
      <c r="B453" s="495"/>
      <c r="C453" s="495"/>
      <c r="D453" s="905"/>
      <c r="E453" s="495"/>
      <c r="F453" s="495"/>
      <c r="G453" s="495"/>
      <c r="H453" s="495"/>
      <c r="I453" s="495"/>
      <c r="J453" s="495"/>
      <c r="K453" s="495"/>
      <c r="L453" s="495"/>
      <c r="M453" s="495"/>
      <c r="N453" s="495"/>
      <c r="O453" s="495"/>
      <c r="P453" s="495"/>
      <c r="Q453" s="495"/>
      <c r="R453" s="495"/>
      <c r="S453" s="495"/>
      <c r="T453" s="495"/>
      <c r="U453" s="495"/>
      <c r="V453" s="495"/>
      <c r="W453" s="495"/>
      <c r="X453" s="495"/>
      <c r="Y453" s="495"/>
      <c r="Z453" s="495"/>
    </row>
    <row r="454" ht="15.75" customHeight="1">
      <c r="A454" s="495"/>
      <c r="B454" s="495"/>
      <c r="C454" s="495"/>
      <c r="D454" s="905"/>
      <c r="E454" s="495"/>
      <c r="F454" s="495"/>
      <c r="G454" s="495"/>
      <c r="H454" s="495"/>
      <c r="I454" s="495"/>
      <c r="J454" s="495"/>
      <c r="K454" s="495"/>
      <c r="L454" s="495"/>
      <c r="M454" s="495"/>
      <c r="N454" s="495"/>
      <c r="O454" s="495"/>
      <c r="P454" s="495"/>
      <c r="Q454" s="495"/>
      <c r="R454" s="495"/>
      <c r="S454" s="495"/>
      <c r="T454" s="495"/>
      <c r="U454" s="495"/>
      <c r="V454" s="495"/>
      <c r="W454" s="495"/>
      <c r="X454" s="495"/>
      <c r="Y454" s="495"/>
      <c r="Z454" s="495"/>
    </row>
    <row r="455" ht="15.75" customHeight="1">
      <c r="A455" s="495"/>
      <c r="B455" s="495"/>
      <c r="C455" s="495"/>
      <c r="D455" s="905"/>
      <c r="E455" s="495"/>
      <c r="F455" s="495"/>
      <c r="G455" s="495"/>
      <c r="H455" s="495"/>
      <c r="I455" s="495"/>
      <c r="J455" s="495"/>
      <c r="K455" s="495"/>
      <c r="L455" s="495"/>
      <c r="M455" s="495"/>
      <c r="N455" s="495"/>
      <c r="O455" s="495"/>
      <c r="P455" s="495"/>
      <c r="Q455" s="495"/>
      <c r="R455" s="495"/>
      <c r="S455" s="495"/>
      <c r="T455" s="495"/>
      <c r="U455" s="495"/>
      <c r="V455" s="495"/>
      <c r="W455" s="495"/>
      <c r="X455" s="495"/>
      <c r="Y455" s="495"/>
      <c r="Z455" s="495"/>
    </row>
    <row r="456" ht="15.75" customHeight="1">
      <c r="A456" s="495"/>
      <c r="B456" s="495"/>
      <c r="C456" s="495"/>
      <c r="D456" s="905"/>
      <c r="E456" s="495"/>
      <c r="F456" s="495"/>
      <c r="G456" s="495"/>
      <c r="H456" s="495"/>
      <c r="I456" s="495"/>
      <c r="J456" s="495"/>
      <c r="K456" s="495"/>
      <c r="L456" s="495"/>
      <c r="M456" s="495"/>
      <c r="N456" s="495"/>
      <c r="O456" s="495"/>
      <c r="P456" s="495"/>
      <c r="Q456" s="495"/>
      <c r="R456" s="495"/>
      <c r="S456" s="495"/>
      <c r="T456" s="495"/>
      <c r="U456" s="495"/>
      <c r="V456" s="495"/>
      <c r="W456" s="495"/>
      <c r="X456" s="495"/>
      <c r="Y456" s="495"/>
      <c r="Z456" s="495"/>
    </row>
    <row r="457" ht="15.75" customHeight="1">
      <c r="A457" s="495"/>
      <c r="B457" s="495"/>
      <c r="C457" s="495"/>
      <c r="D457" s="905"/>
      <c r="E457" s="495"/>
      <c r="F457" s="495"/>
      <c r="G457" s="495"/>
      <c r="H457" s="495"/>
      <c r="I457" s="495"/>
      <c r="J457" s="495"/>
      <c r="K457" s="495"/>
      <c r="L457" s="495"/>
      <c r="M457" s="495"/>
      <c r="N457" s="495"/>
      <c r="O457" s="495"/>
      <c r="P457" s="495"/>
      <c r="Q457" s="495"/>
      <c r="R457" s="495"/>
      <c r="S457" s="495"/>
      <c r="T457" s="495"/>
      <c r="U457" s="495"/>
      <c r="V457" s="495"/>
      <c r="W457" s="495"/>
      <c r="X457" s="495"/>
      <c r="Y457" s="495"/>
      <c r="Z457" s="495"/>
    </row>
    <row r="458" ht="15.75" customHeight="1">
      <c r="A458" s="495"/>
      <c r="B458" s="495"/>
      <c r="C458" s="495"/>
      <c r="D458" s="905"/>
      <c r="E458" s="495"/>
      <c r="F458" s="495"/>
      <c r="G458" s="495"/>
      <c r="H458" s="495"/>
      <c r="I458" s="495"/>
      <c r="J458" s="495"/>
      <c r="K458" s="495"/>
      <c r="L458" s="495"/>
      <c r="M458" s="495"/>
      <c r="N458" s="495"/>
      <c r="O458" s="495"/>
      <c r="P458" s="495"/>
      <c r="Q458" s="495"/>
      <c r="R458" s="495"/>
      <c r="S458" s="495"/>
      <c r="T458" s="495"/>
      <c r="U458" s="495"/>
      <c r="V458" s="495"/>
      <c r="W458" s="495"/>
      <c r="X458" s="495"/>
      <c r="Y458" s="495"/>
      <c r="Z458" s="495"/>
    </row>
    <row r="459" ht="15.75" customHeight="1">
      <c r="A459" s="495"/>
      <c r="B459" s="495"/>
      <c r="C459" s="495"/>
      <c r="D459" s="905"/>
      <c r="E459" s="495"/>
      <c r="F459" s="495"/>
      <c r="G459" s="495"/>
      <c r="H459" s="495"/>
      <c r="I459" s="495"/>
      <c r="J459" s="495"/>
      <c r="K459" s="495"/>
      <c r="L459" s="495"/>
      <c r="M459" s="495"/>
      <c r="N459" s="495"/>
      <c r="O459" s="495"/>
      <c r="P459" s="495"/>
      <c r="Q459" s="495"/>
      <c r="R459" s="495"/>
      <c r="S459" s="495"/>
      <c r="T459" s="495"/>
      <c r="U459" s="495"/>
      <c r="V459" s="495"/>
      <c r="W459" s="495"/>
      <c r="X459" s="495"/>
      <c r="Y459" s="495"/>
      <c r="Z459" s="495"/>
    </row>
    <row r="460" ht="15.75" customHeight="1">
      <c r="A460" s="495"/>
      <c r="B460" s="495"/>
      <c r="C460" s="495"/>
      <c r="D460" s="905"/>
      <c r="E460" s="495"/>
      <c r="F460" s="495"/>
      <c r="G460" s="495"/>
      <c r="H460" s="495"/>
      <c r="I460" s="495"/>
      <c r="J460" s="495"/>
      <c r="K460" s="495"/>
      <c r="L460" s="495"/>
      <c r="M460" s="495"/>
      <c r="N460" s="495"/>
      <c r="O460" s="495"/>
      <c r="P460" s="495"/>
      <c r="Q460" s="495"/>
      <c r="R460" s="495"/>
      <c r="S460" s="495"/>
      <c r="T460" s="495"/>
      <c r="U460" s="495"/>
      <c r="V460" s="495"/>
      <c r="W460" s="495"/>
      <c r="X460" s="495"/>
      <c r="Y460" s="495"/>
      <c r="Z460" s="495"/>
    </row>
    <row r="461" ht="15.75" customHeight="1">
      <c r="A461" s="495"/>
      <c r="B461" s="495"/>
      <c r="C461" s="495"/>
      <c r="D461" s="905"/>
      <c r="E461" s="495"/>
      <c r="F461" s="495"/>
      <c r="G461" s="495"/>
      <c r="H461" s="495"/>
      <c r="I461" s="495"/>
      <c r="J461" s="495"/>
      <c r="K461" s="495"/>
      <c r="L461" s="495"/>
      <c r="M461" s="495"/>
      <c r="N461" s="495"/>
      <c r="O461" s="495"/>
      <c r="P461" s="495"/>
      <c r="Q461" s="495"/>
      <c r="R461" s="495"/>
      <c r="S461" s="495"/>
      <c r="T461" s="495"/>
      <c r="U461" s="495"/>
      <c r="V461" s="495"/>
      <c r="W461" s="495"/>
      <c r="X461" s="495"/>
      <c r="Y461" s="495"/>
      <c r="Z461" s="495"/>
    </row>
    <row r="462" ht="15.75" customHeight="1">
      <c r="A462" s="495"/>
      <c r="B462" s="495"/>
      <c r="C462" s="495"/>
      <c r="D462" s="905"/>
      <c r="E462" s="495"/>
      <c r="F462" s="495"/>
      <c r="G462" s="495"/>
      <c r="H462" s="495"/>
      <c r="I462" s="495"/>
      <c r="J462" s="495"/>
      <c r="K462" s="495"/>
      <c r="L462" s="495"/>
      <c r="M462" s="495"/>
      <c r="N462" s="495"/>
      <c r="O462" s="495"/>
      <c r="P462" s="495"/>
      <c r="Q462" s="495"/>
      <c r="R462" s="495"/>
      <c r="S462" s="495"/>
      <c r="T462" s="495"/>
      <c r="U462" s="495"/>
      <c r="V462" s="495"/>
      <c r="W462" s="495"/>
      <c r="X462" s="495"/>
      <c r="Y462" s="495"/>
      <c r="Z462" s="495"/>
    </row>
    <row r="463" ht="15.75" customHeight="1">
      <c r="A463" s="495"/>
      <c r="B463" s="495"/>
      <c r="C463" s="495"/>
      <c r="D463" s="905"/>
      <c r="E463" s="495"/>
      <c r="F463" s="495"/>
      <c r="G463" s="495"/>
      <c r="H463" s="495"/>
      <c r="I463" s="495"/>
      <c r="J463" s="495"/>
      <c r="K463" s="495"/>
      <c r="L463" s="495"/>
      <c r="M463" s="495"/>
      <c r="N463" s="495"/>
      <c r="O463" s="495"/>
      <c r="P463" s="495"/>
      <c r="Q463" s="495"/>
      <c r="R463" s="495"/>
      <c r="S463" s="495"/>
      <c r="T463" s="495"/>
      <c r="U463" s="495"/>
      <c r="V463" s="495"/>
      <c r="W463" s="495"/>
      <c r="X463" s="495"/>
      <c r="Y463" s="495"/>
      <c r="Z463" s="495"/>
    </row>
    <row r="464" ht="15.75" customHeight="1">
      <c r="A464" s="495"/>
      <c r="B464" s="495"/>
      <c r="C464" s="495"/>
      <c r="D464" s="905"/>
      <c r="E464" s="495"/>
      <c r="F464" s="495"/>
      <c r="G464" s="495"/>
      <c r="H464" s="495"/>
      <c r="I464" s="495"/>
      <c r="J464" s="495"/>
      <c r="K464" s="495"/>
      <c r="L464" s="495"/>
      <c r="M464" s="495"/>
      <c r="N464" s="495"/>
      <c r="O464" s="495"/>
      <c r="P464" s="495"/>
      <c r="Q464" s="495"/>
      <c r="R464" s="495"/>
      <c r="S464" s="495"/>
      <c r="T464" s="495"/>
      <c r="U464" s="495"/>
      <c r="V464" s="495"/>
      <c r="W464" s="495"/>
      <c r="X464" s="495"/>
      <c r="Y464" s="495"/>
      <c r="Z464" s="495"/>
    </row>
    <row r="465" ht="15.75" customHeight="1">
      <c r="A465" s="495"/>
      <c r="B465" s="495"/>
      <c r="C465" s="495"/>
      <c r="D465" s="905"/>
      <c r="E465" s="495"/>
      <c r="F465" s="495"/>
      <c r="G465" s="495"/>
      <c r="H465" s="495"/>
      <c r="I465" s="495"/>
      <c r="J465" s="495"/>
      <c r="K465" s="495"/>
      <c r="L465" s="495"/>
      <c r="M465" s="495"/>
      <c r="N465" s="495"/>
      <c r="O465" s="495"/>
      <c r="P465" s="495"/>
      <c r="Q465" s="495"/>
      <c r="R465" s="495"/>
      <c r="S465" s="495"/>
      <c r="T465" s="495"/>
      <c r="U465" s="495"/>
      <c r="V465" s="495"/>
      <c r="W465" s="495"/>
      <c r="X465" s="495"/>
      <c r="Y465" s="495"/>
      <c r="Z465" s="495"/>
    </row>
    <row r="466" ht="15.75" customHeight="1">
      <c r="A466" s="495"/>
      <c r="B466" s="495"/>
      <c r="C466" s="495"/>
      <c r="D466" s="905"/>
      <c r="E466" s="495"/>
      <c r="F466" s="495"/>
      <c r="G466" s="495"/>
      <c r="H466" s="495"/>
      <c r="I466" s="495"/>
      <c r="J466" s="495"/>
      <c r="K466" s="495"/>
      <c r="L466" s="495"/>
      <c r="M466" s="495"/>
      <c r="N466" s="495"/>
      <c r="O466" s="495"/>
      <c r="P466" s="495"/>
      <c r="Q466" s="495"/>
      <c r="R466" s="495"/>
      <c r="S466" s="495"/>
      <c r="T466" s="495"/>
      <c r="U466" s="495"/>
      <c r="V466" s="495"/>
      <c r="W466" s="495"/>
      <c r="X466" s="495"/>
      <c r="Y466" s="495"/>
      <c r="Z466" s="495"/>
    </row>
    <row r="467" ht="15.75" customHeight="1">
      <c r="A467" s="495"/>
      <c r="B467" s="495"/>
      <c r="C467" s="495"/>
      <c r="D467" s="905"/>
      <c r="E467" s="495"/>
      <c r="F467" s="495"/>
      <c r="G467" s="495"/>
      <c r="H467" s="495"/>
      <c r="I467" s="495"/>
      <c r="J467" s="495"/>
      <c r="K467" s="495"/>
      <c r="L467" s="495"/>
      <c r="M467" s="495"/>
      <c r="N467" s="495"/>
      <c r="O467" s="495"/>
      <c r="P467" s="495"/>
      <c r="Q467" s="495"/>
      <c r="R467" s="495"/>
      <c r="S467" s="495"/>
      <c r="T467" s="495"/>
      <c r="U467" s="495"/>
      <c r="V467" s="495"/>
      <c r="W467" s="495"/>
      <c r="X467" s="495"/>
      <c r="Y467" s="495"/>
      <c r="Z467" s="495"/>
    </row>
    <row r="468" ht="15.75" customHeight="1">
      <c r="A468" s="495"/>
      <c r="B468" s="495"/>
      <c r="C468" s="495"/>
      <c r="D468" s="905"/>
      <c r="E468" s="495"/>
      <c r="F468" s="495"/>
      <c r="G468" s="495"/>
      <c r="H468" s="495"/>
      <c r="I468" s="495"/>
      <c r="J468" s="495"/>
      <c r="K468" s="495"/>
      <c r="L468" s="495"/>
      <c r="M468" s="495"/>
      <c r="N468" s="495"/>
      <c r="O468" s="495"/>
      <c r="P468" s="495"/>
      <c r="Q468" s="495"/>
      <c r="R468" s="495"/>
      <c r="S468" s="495"/>
      <c r="T468" s="495"/>
      <c r="U468" s="495"/>
      <c r="V468" s="495"/>
      <c r="W468" s="495"/>
      <c r="X468" s="495"/>
      <c r="Y468" s="495"/>
      <c r="Z468" s="495"/>
    </row>
    <row r="469" ht="15.75" customHeight="1">
      <c r="A469" s="495"/>
      <c r="B469" s="495"/>
      <c r="C469" s="495"/>
      <c r="D469" s="905"/>
      <c r="E469" s="495"/>
      <c r="F469" s="495"/>
      <c r="G469" s="495"/>
      <c r="H469" s="495"/>
      <c r="I469" s="495"/>
      <c r="J469" s="495"/>
      <c r="K469" s="495"/>
      <c r="L469" s="495"/>
      <c r="M469" s="495"/>
      <c r="N469" s="495"/>
      <c r="O469" s="495"/>
      <c r="P469" s="495"/>
      <c r="Q469" s="495"/>
      <c r="R469" s="495"/>
      <c r="S469" s="495"/>
      <c r="T469" s="495"/>
      <c r="U469" s="495"/>
      <c r="V469" s="495"/>
      <c r="W469" s="495"/>
      <c r="X469" s="495"/>
      <c r="Y469" s="495"/>
      <c r="Z469" s="495"/>
    </row>
    <row r="470" ht="15.75" customHeight="1">
      <c r="A470" s="495"/>
      <c r="B470" s="495"/>
      <c r="C470" s="495"/>
      <c r="D470" s="905"/>
      <c r="E470" s="495"/>
      <c r="F470" s="495"/>
      <c r="G470" s="495"/>
      <c r="H470" s="495"/>
      <c r="I470" s="495"/>
      <c r="J470" s="495"/>
      <c r="K470" s="495"/>
      <c r="L470" s="495"/>
      <c r="M470" s="495"/>
      <c r="N470" s="495"/>
      <c r="O470" s="495"/>
      <c r="P470" s="495"/>
      <c r="Q470" s="495"/>
      <c r="R470" s="495"/>
      <c r="S470" s="495"/>
      <c r="T470" s="495"/>
      <c r="U470" s="495"/>
      <c r="V470" s="495"/>
      <c r="W470" s="495"/>
      <c r="X470" s="495"/>
      <c r="Y470" s="495"/>
      <c r="Z470" s="495"/>
    </row>
    <row r="471" ht="15.75" customHeight="1">
      <c r="A471" s="495"/>
      <c r="B471" s="495"/>
      <c r="C471" s="495"/>
      <c r="D471" s="905"/>
      <c r="E471" s="495"/>
      <c r="F471" s="495"/>
      <c r="G471" s="495"/>
      <c r="H471" s="495"/>
      <c r="I471" s="495"/>
      <c r="J471" s="495"/>
      <c r="K471" s="495"/>
      <c r="L471" s="495"/>
      <c r="M471" s="495"/>
      <c r="N471" s="495"/>
      <c r="O471" s="495"/>
      <c r="P471" s="495"/>
      <c r="Q471" s="495"/>
      <c r="R471" s="495"/>
      <c r="S471" s="495"/>
      <c r="T471" s="495"/>
      <c r="U471" s="495"/>
      <c r="V471" s="495"/>
      <c r="W471" s="495"/>
      <c r="X471" s="495"/>
      <c r="Y471" s="495"/>
      <c r="Z471" s="495"/>
    </row>
    <row r="472" ht="15.75" customHeight="1">
      <c r="A472" s="495"/>
      <c r="B472" s="495"/>
      <c r="C472" s="495"/>
      <c r="D472" s="905"/>
      <c r="E472" s="495"/>
      <c r="F472" s="495"/>
      <c r="G472" s="495"/>
      <c r="H472" s="495"/>
      <c r="I472" s="495"/>
      <c r="J472" s="495"/>
      <c r="K472" s="495"/>
      <c r="L472" s="495"/>
      <c r="M472" s="495"/>
      <c r="N472" s="495"/>
      <c r="O472" s="495"/>
      <c r="P472" s="495"/>
      <c r="Q472" s="495"/>
      <c r="R472" s="495"/>
      <c r="S472" s="495"/>
      <c r="T472" s="495"/>
      <c r="U472" s="495"/>
      <c r="V472" s="495"/>
      <c r="W472" s="495"/>
      <c r="X472" s="495"/>
      <c r="Y472" s="495"/>
      <c r="Z472" s="495"/>
    </row>
    <row r="473" ht="15.75" customHeight="1">
      <c r="A473" s="495"/>
      <c r="B473" s="495"/>
      <c r="C473" s="495"/>
      <c r="D473" s="905"/>
      <c r="E473" s="495"/>
      <c r="F473" s="495"/>
      <c r="G473" s="495"/>
      <c r="H473" s="495"/>
      <c r="I473" s="495"/>
      <c r="J473" s="495"/>
      <c r="K473" s="495"/>
      <c r="L473" s="495"/>
      <c r="M473" s="495"/>
      <c r="N473" s="495"/>
      <c r="O473" s="495"/>
      <c r="P473" s="495"/>
      <c r="Q473" s="495"/>
      <c r="R473" s="495"/>
      <c r="S473" s="495"/>
      <c r="T473" s="495"/>
      <c r="U473" s="495"/>
      <c r="V473" s="495"/>
      <c r="W473" s="495"/>
      <c r="X473" s="495"/>
      <c r="Y473" s="495"/>
      <c r="Z473" s="495"/>
    </row>
    <row r="474" ht="15.75" customHeight="1">
      <c r="A474" s="495"/>
      <c r="B474" s="495"/>
      <c r="C474" s="495"/>
      <c r="D474" s="905"/>
      <c r="E474" s="495"/>
      <c r="F474" s="495"/>
      <c r="G474" s="495"/>
      <c r="H474" s="495"/>
      <c r="I474" s="495"/>
      <c r="J474" s="495"/>
      <c r="K474" s="495"/>
      <c r="L474" s="495"/>
      <c r="M474" s="495"/>
      <c r="N474" s="495"/>
      <c r="O474" s="495"/>
      <c r="P474" s="495"/>
      <c r="Q474" s="495"/>
      <c r="R474" s="495"/>
      <c r="S474" s="495"/>
      <c r="T474" s="495"/>
      <c r="U474" s="495"/>
      <c r="V474" s="495"/>
      <c r="W474" s="495"/>
      <c r="X474" s="495"/>
      <c r="Y474" s="495"/>
      <c r="Z474" s="495"/>
    </row>
    <row r="475" ht="15.75" customHeight="1">
      <c r="A475" s="495"/>
      <c r="B475" s="495"/>
      <c r="C475" s="495"/>
      <c r="D475" s="905"/>
      <c r="E475" s="495"/>
      <c r="F475" s="495"/>
      <c r="G475" s="495"/>
      <c r="H475" s="495"/>
      <c r="I475" s="495"/>
      <c r="J475" s="495"/>
      <c r="K475" s="495"/>
      <c r="L475" s="495"/>
      <c r="M475" s="495"/>
      <c r="N475" s="495"/>
      <c r="O475" s="495"/>
      <c r="P475" s="495"/>
      <c r="Q475" s="495"/>
      <c r="R475" s="495"/>
      <c r="S475" s="495"/>
      <c r="T475" s="495"/>
      <c r="U475" s="495"/>
      <c r="V475" s="495"/>
      <c r="W475" s="495"/>
      <c r="X475" s="495"/>
      <c r="Y475" s="495"/>
      <c r="Z475" s="495"/>
    </row>
    <row r="476" ht="15.75" customHeight="1">
      <c r="A476" s="495"/>
      <c r="B476" s="495"/>
      <c r="C476" s="495"/>
      <c r="D476" s="905"/>
      <c r="E476" s="495"/>
      <c r="F476" s="495"/>
      <c r="G476" s="495"/>
      <c r="H476" s="495"/>
      <c r="I476" s="495"/>
      <c r="J476" s="495"/>
      <c r="K476" s="495"/>
      <c r="L476" s="495"/>
      <c r="M476" s="495"/>
      <c r="N476" s="495"/>
      <c r="O476" s="495"/>
      <c r="P476" s="495"/>
      <c r="Q476" s="495"/>
      <c r="R476" s="495"/>
      <c r="S476" s="495"/>
      <c r="T476" s="495"/>
      <c r="U476" s="495"/>
      <c r="V476" s="495"/>
      <c r="W476" s="495"/>
      <c r="X476" s="495"/>
      <c r="Y476" s="495"/>
      <c r="Z476" s="495"/>
    </row>
    <row r="477" ht="15.75" customHeight="1">
      <c r="A477" s="495"/>
      <c r="B477" s="495"/>
      <c r="C477" s="495"/>
      <c r="D477" s="905"/>
      <c r="E477" s="495"/>
      <c r="F477" s="495"/>
      <c r="G477" s="495"/>
      <c r="H477" s="495"/>
      <c r="I477" s="495"/>
      <c r="J477" s="495"/>
      <c r="K477" s="495"/>
      <c r="L477" s="495"/>
      <c r="M477" s="495"/>
      <c r="N477" s="495"/>
      <c r="O477" s="495"/>
      <c r="P477" s="495"/>
      <c r="Q477" s="495"/>
      <c r="R477" s="495"/>
      <c r="S477" s="495"/>
      <c r="T477" s="495"/>
      <c r="U477" s="495"/>
      <c r="V477" s="495"/>
      <c r="W477" s="495"/>
      <c r="X477" s="495"/>
      <c r="Y477" s="495"/>
      <c r="Z477" s="495"/>
    </row>
    <row r="478" ht="15.75" customHeight="1">
      <c r="A478" s="495"/>
      <c r="B478" s="495"/>
      <c r="C478" s="495"/>
      <c r="D478" s="905"/>
      <c r="E478" s="495"/>
      <c r="F478" s="495"/>
      <c r="G478" s="495"/>
      <c r="H478" s="495"/>
      <c r="I478" s="495"/>
      <c r="J478" s="495"/>
      <c r="K478" s="495"/>
      <c r="L478" s="495"/>
      <c r="M478" s="495"/>
      <c r="N478" s="495"/>
      <c r="O478" s="495"/>
      <c r="P478" s="495"/>
      <c r="Q478" s="495"/>
      <c r="R478" s="495"/>
      <c r="S478" s="495"/>
      <c r="T478" s="495"/>
      <c r="U478" s="495"/>
      <c r="V478" s="495"/>
      <c r="W478" s="495"/>
      <c r="X478" s="495"/>
      <c r="Y478" s="495"/>
      <c r="Z478" s="495"/>
    </row>
    <row r="479" ht="15.75" customHeight="1">
      <c r="A479" s="495"/>
      <c r="B479" s="495"/>
      <c r="C479" s="495"/>
      <c r="D479" s="905"/>
      <c r="E479" s="495"/>
      <c r="F479" s="495"/>
      <c r="G479" s="495"/>
      <c r="H479" s="495"/>
      <c r="I479" s="495"/>
      <c r="J479" s="495"/>
      <c r="K479" s="495"/>
      <c r="L479" s="495"/>
      <c r="M479" s="495"/>
      <c r="N479" s="495"/>
      <c r="O479" s="495"/>
      <c r="P479" s="495"/>
      <c r="Q479" s="495"/>
      <c r="R479" s="495"/>
      <c r="S479" s="495"/>
      <c r="T479" s="495"/>
      <c r="U479" s="495"/>
      <c r="V479" s="495"/>
      <c r="W479" s="495"/>
      <c r="X479" s="495"/>
      <c r="Y479" s="495"/>
      <c r="Z479" s="495"/>
    </row>
    <row r="480" ht="15.75" customHeight="1">
      <c r="A480" s="495"/>
      <c r="B480" s="495"/>
      <c r="C480" s="495"/>
      <c r="D480" s="905"/>
      <c r="E480" s="495"/>
      <c r="F480" s="495"/>
      <c r="G480" s="495"/>
      <c r="H480" s="495"/>
      <c r="I480" s="495"/>
      <c r="J480" s="495"/>
      <c r="K480" s="495"/>
      <c r="L480" s="495"/>
      <c r="M480" s="495"/>
      <c r="N480" s="495"/>
      <c r="O480" s="495"/>
      <c r="P480" s="495"/>
      <c r="Q480" s="495"/>
      <c r="R480" s="495"/>
      <c r="S480" s="495"/>
      <c r="T480" s="495"/>
      <c r="U480" s="495"/>
      <c r="V480" s="495"/>
      <c r="W480" s="495"/>
      <c r="X480" s="495"/>
      <c r="Y480" s="495"/>
      <c r="Z480" s="495"/>
    </row>
    <row r="481" ht="15.75" customHeight="1">
      <c r="A481" s="495"/>
      <c r="B481" s="495"/>
      <c r="C481" s="495"/>
      <c r="D481" s="905"/>
      <c r="E481" s="495"/>
      <c r="F481" s="495"/>
      <c r="G481" s="495"/>
      <c r="H481" s="495"/>
      <c r="I481" s="495"/>
      <c r="J481" s="495"/>
      <c r="K481" s="495"/>
      <c r="L481" s="495"/>
      <c r="M481" s="495"/>
      <c r="N481" s="495"/>
      <c r="O481" s="495"/>
      <c r="P481" s="495"/>
      <c r="Q481" s="495"/>
      <c r="R481" s="495"/>
      <c r="S481" s="495"/>
      <c r="T481" s="495"/>
      <c r="U481" s="495"/>
      <c r="V481" s="495"/>
      <c r="W481" s="495"/>
      <c r="X481" s="495"/>
      <c r="Y481" s="495"/>
      <c r="Z481" s="495"/>
    </row>
    <row r="482" ht="15.75" customHeight="1">
      <c r="A482" s="495"/>
      <c r="B482" s="495"/>
      <c r="C482" s="495"/>
      <c r="D482" s="905"/>
      <c r="E482" s="495"/>
      <c r="F482" s="495"/>
      <c r="G482" s="495"/>
      <c r="H482" s="495"/>
      <c r="I482" s="495"/>
      <c r="J482" s="495"/>
      <c r="K482" s="495"/>
      <c r="L482" s="495"/>
      <c r="M482" s="495"/>
      <c r="N482" s="495"/>
      <c r="O482" s="495"/>
      <c r="P482" s="495"/>
      <c r="Q482" s="495"/>
      <c r="R482" s="495"/>
      <c r="S482" s="495"/>
      <c r="T482" s="495"/>
      <c r="U482" s="495"/>
      <c r="V482" s="495"/>
      <c r="W482" s="495"/>
      <c r="X482" s="495"/>
      <c r="Y482" s="495"/>
      <c r="Z482" s="495"/>
    </row>
    <row r="483" ht="15.75" customHeight="1">
      <c r="A483" s="495"/>
      <c r="B483" s="495"/>
      <c r="C483" s="495"/>
      <c r="D483" s="905"/>
      <c r="E483" s="495"/>
      <c r="F483" s="495"/>
      <c r="G483" s="495"/>
      <c r="H483" s="495"/>
      <c r="I483" s="495"/>
      <c r="J483" s="495"/>
      <c r="K483" s="495"/>
      <c r="L483" s="495"/>
      <c r="M483" s="495"/>
      <c r="N483" s="495"/>
      <c r="O483" s="495"/>
      <c r="P483" s="495"/>
      <c r="Q483" s="495"/>
      <c r="R483" s="495"/>
      <c r="S483" s="495"/>
      <c r="T483" s="495"/>
      <c r="U483" s="495"/>
      <c r="V483" s="495"/>
      <c r="W483" s="495"/>
      <c r="X483" s="495"/>
      <c r="Y483" s="495"/>
      <c r="Z483" s="495"/>
    </row>
    <row r="484" ht="15.75" customHeight="1">
      <c r="A484" s="495"/>
      <c r="B484" s="495"/>
      <c r="C484" s="495"/>
      <c r="D484" s="905"/>
      <c r="E484" s="495"/>
      <c r="F484" s="495"/>
      <c r="G484" s="495"/>
      <c r="H484" s="495"/>
      <c r="I484" s="495"/>
      <c r="J484" s="495"/>
      <c r="K484" s="495"/>
      <c r="L484" s="495"/>
      <c r="M484" s="495"/>
      <c r="N484" s="495"/>
      <c r="O484" s="495"/>
      <c r="P484" s="495"/>
      <c r="Q484" s="495"/>
      <c r="R484" s="495"/>
      <c r="S484" s="495"/>
      <c r="T484" s="495"/>
      <c r="U484" s="495"/>
      <c r="V484" s="495"/>
      <c r="W484" s="495"/>
      <c r="X484" s="495"/>
      <c r="Y484" s="495"/>
      <c r="Z484" s="495"/>
    </row>
    <row r="485" ht="15.75" customHeight="1">
      <c r="A485" s="495"/>
      <c r="B485" s="495"/>
      <c r="C485" s="495"/>
      <c r="D485" s="905"/>
      <c r="E485" s="495"/>
      <c r="F485" s="495"/>
      <c r="G485" s="495"/>
      <c r="H485" s="495"/>
      <c r="I485" s="495"/>
      <c r="J485" s="495"/>
      <c r="K485" s="495"/>
      <c r="L485" s="495"/>
      <c r="M485" s="495"/>
      <c r="N485" s="495"/>
      <c r="O485" s="495"/>
      <c r="P485" s="495"/>
      <c r="Q485" s="495"/>
      <c r="R485" s="495"/>
      <c r="S485" s="495"/>
      <c r="T485" s="495"/>
      <c r="U485" s="495"/>
      <c r="V485" s="495"/>
      <c r="W485" s="495"/>
      <c r="X485" s="495"/>
      <c r="Y485" s="495"/>
      <c r="Z485" s="495"/>
    </row>
    <row r="486" ht="15.75" customHeight="1">
      <c r="A486" s="495"/>
      <c r="B486" s="495"/>
      <c r="C486" s="495"/>
      <c r="D486" s="905"/>
      <c r="E486" s="495"/>
      <c r="F486" s="495"/>
      <c r="G486" s="495"/>
      <c r="H486" s="495"/>
      <c r="I486" s="495"/>
      <c r="J486" s="495"/>
      <c r="K486" s="495"/>
      <c r="L486" s="495"/>
      <c r="M486" s="495"/>
      <c r="N486" s="495"/>
      <c r="O486" s="495"/>
      <c r="P486" s="495"/>
      <c r="Q486" s="495"/>
      <c r="R486" s="495"/>
      <c r="S486" s="495"/>
      <c r="T486" s="495"/>
      <c r="U486" s="495"/>
      <c r="V486" s="495"/>
      <c r="W486" s="495"/>
      <c r="X486" s="495"/>
      <c r="Y486" s="495"/>
      <c r="Z486" s="495"/>
    </row>
    <row r="487" ht="15.75" customHeight="1">
      <c r="A487" s="495"/>
      <c r="B487" s="495"/>
      <c r="C487" s="495"/>
      <c r="D487" s="905"/>
      <c r="E487" s="495"/>
      <c r="F487" s="495"/>
      <c r="G487" s="495"/>
      <c r="H487" s="495"/>
      <c r="I487" s="495"/>
      <c r="J487" s="495"/>
      <c r="K487" s="495"/>
      <c r="L487" s="495"/>
      <c r="M487" s="495"/>
      <c r="N487" s="495"/>
      <c r="O487" s="495"/>
      <c r="P487" s="495"/>
      <c r="Q487" s="495"/>
      <c r="R487" s="495"/>
      <c r="S487" s="495"/>
      <c r="T487" s="495"/>
      <c r="U487" s="495"/>
      <c r="V487" s="495"/>
      <c r="W487" s="495"/>
      <c r="X487" s="495"/>
      <c r="Y487" s="495"/>
      <c r="Z487" s="495"/>
    </row>
    <row r="488" ht="15.75" customHeight="1">
      <c r="A488" s="495"/>
      <c r="B488" s="495"/>
      <c r="C488" s="495"/>
      <c r="D488" s="905"/>
      <c r="E488" s="495"/>
      <c r="F488" s="495"/>
      <c r="G488" s="495"/>
      <c r="H488" s="495"/>
      <c r="I488" s="495"/>
      <c r="J488" s="495"/>
      <c r="K488" s="495"/>
      <c r="L488" s="495"/>
      <c r="M488" s="495"/>
      <c r="N488" s="495"/>
      <c r="O488" s="495"/>
      <c r="P488" s="495"/>
      <c r="Q488" s="495"/>
      <c r="R488" s="495"/>
      <c r="S488" s="495"/>
      <c r="T488" s="495"/>
      <c r="U488" s="495"/>
      <c r="V488" s="495"/>
      <c r="W488" s="495"/>
      <c r="X488" s="495"/>
      <c r="Y488" s="495"/>
      <c r="Z488" s="495"/>
    </row>
    <row r="489" ht="15.75" customHeight="1">
      <c r="A489" s="495"/>
      <c r="B489" s="495"/>
      <c r="C489" s="495"/>
      <c r="D489" s="905"/>
      <c r="E489" s="495"/>
      <c r="F489" s="495"/>
      <c r="G489" s="495"/>
      <c r="H489" s="495"/>
      <c r="I489" s="495"/>
      <c r="J489" s="495"/>
      <c r="K489" s="495"/>
      <c r="L489" s="495"/>
      <c r="M489" s="495"/>
      <c r="N489" s="495"/>
      <c r="O489" s="495"/>
      <c r="P489" s="495"/>
      <c r="Q489" s="495"/>
      <c r="R489" s="495"/>
      <c r="S489" s="495"/>
      <c r="T489" s="495"/>
      <c r="U489" s="495"/>
      <c r="V489" s="495"/>
      <c r="W489" s="495"/>
      <c r="X489" s="495"/>
      <c r="Y489" s="495"/>
      <c r="Z489" s="495"/>
    </row>
    <row r="490" ht="15.75" customHeight="1">
      <c r="A490" s="495"/>
      <c r="B490" s="495"/>
      <c r="C490" s="495"/>
      <c r="D490" s="905"/>
      <c r="E490" s="495"/>
      <c r="F490" s="495"/>
      <c r="G490" s="495"/>
      <c r="H490" s="495"/>
      <c r="I490" s="495"/>
      <c r="J490" s="495"/>
      <c r="K490" s="495"/>
      <c r="L490" s="495"/>
      <c r="M490" s="495"/>
      <c r="N490" s="495"/>
      <c r="O490" s="495"/>
      <c r="P490" s="495"/>
      <c r="Q490" s="495"/>
      <c r="R490" s="495"/>
      <c r="S490" s="495"/>
      <c r="T490" s="495"/>
      <c r="U490" s="495"/>
      <c r="V490" s="495"/>
      <c r="W490" s="495"/>
      <c r="X490" s="495"/>
      <c r="Y490" s="495"/>
      <c r="Z490" s="495"/>
    </row>
    <row r="491" ht="15.75" customHeight="1">
      <c r="A491" s="495"/>
      <c r="B491" s="495"/>
      <c r="C491" s="495"/>
      <c r="D491" s="905"/>
      <c r="E491" s="495"/>
      <c r="F491" s="495"/>
      <c r="G491" s="495"/>
      <c r="H491" s="495"/>
      <c r="I491" s="495"/>
      <c r="J491" s="495"/>
      <c r="K491" s="495"/>
      <c r="L491" s="495"/>
      <c r="M491" s="495"/>
      <c r="N491" s="495"/>
      <c r="O491" s="495"/>
      <c r="P491" s="495"/>
      <c r="Q491" s="495"/>
      <c r="R491" s="495"/>
      <c r="S491" s="495"/>
      <c r="T491" s="495"/>
      <c r="U491" s="495"/>
      <c r="V491" s="495"/>
      <c r="W491" s="495"/>
      <c r="X491" s="495"/>
      <c r="Y491" s="495"/>
      <c r="Z491" s="495"/>
    </row>
    <row r="492" ht="15.75" customHeight="1">
      <c r="A492" s="495"/>
      <c r="B492" s="495"/>
      <c r="C492" s="495"/>
      <c r="D492" s="905"/>
      <c r="E492" s="495"/>
      <c r="F492" s="495"/>
      <c r="G492" s="495"/>
      <c r="H492" s="495"/>
      <c r="I492" s="495"/>
      <c r="J492" s="495"/>
      <c r="K492" s="495"/>
      <c r="L492" s="495"/>
      <c r="M492" s="495"/>
      <c r="N492" s="495"/>
      <c r="O492" s="495"/>
      <c r="P492" s="495"/>
      <c r="Q492" s="495"/>
      <c r="R492" s="495"/>
      <c r="S492" s="495"/>
      <c r="T492" s="495"/>
      <c r="U492" s="495"/>
      <c r="V492" s="495"/>
      <c r="W492" s="495"/>
      <c r="X492" s="495"/>
      <c r="Y492" s="495"/>
      <c r="Z492" s="495"/>
    </row>
    <row r="493" ht="15.75" customHeight="1">
      <c r="A493" s="495"/>
      <c r="B493" s="495"/>
      <c r="C493" s="495"/>
      <c r="D493" s="905"/>
      <c r="E493" s="495"/>
      <c r="F493" s="495"/>
      <c r="G493" s="495"/>
      <c r="H493" s="495"/>
      <c r="I493" s="495"/>
      <c r="J493" s="495"/>
      <c r="K493" s="495"/>
      <c r="L493" s="495"/>
      <c r="M493" s="495"/>
      <c r="N493" s="495"/>
      <c r="O493" s="495"/>
      <c r="P493" s="495"/>
      <c r="Q493" s="495"/>
      <c r="R493" s="495"/>
      <c r="S493" s="495"/>
      <c r="T493" s="495"/>
      <c r="U493" s="495"/>
      <c r="V493" s="495"/>
      <c r="W493" s="495"/>
      <c r="X493" s="495"/>
      <c r="Y493" s="495"/>
      <c r="Z493" s="495"/>
    </row>
    <row r="494" ht="15.75" customHeight="1">
      <c r="A494" s="495"/>
      <c r="B494" s="495"/>
      <c r="C494" s="495"/>
      <c r="D494" s="905"/>
      <c r="E494" s="495"/>
      <c r="F494" s="495"/>
      <c r="G494" s="495"/>
      <c r="H494" s="495"/>
      <c r="I494" s="495"/>
      <c r="J494" s="495"/>
      <c r="K494" s="495"/>
      <c r="L494" s="495"/>
      <c r="M494" s="495"/>
      <c r="N494" s="495"/>
      <c r="O494" s="495"/>
      <c r="P494" s="495"/>
      <c r="Q494" s="495"/>
      <c r="R494" s="495"/>
      <c r="S494" s="495"/>
      <c r="T494" s="495"/>
      <c r="U494" s="495"/>
      <c r="V494" s="495"/>
      <c r="W494" s="495"/>
      <c r="X494" s="495"/>
      <c r="Y494" s="495"/>
      <c r="Z494" s="495"/>
    </row>
    <row r="495" ht="15.75" customHeight="1">
      <c r="A495" s="495"/>
      <c r="B495" s="495"/>
      <c r="C495" s="495"/>
      <c r="D495" s="905"/>
      <c r="E495" s="495"/>
      <c r="F495" s="495"/>
      <c r="G495" s="495"/>
      <c r="H495" s="495"/>
      <c r="I495" s="495"/>
      <c r="J495" s="495"/>
      <c r="K495" s="495"/>
      <c r="L495" s="495"/>
      <c r="M495" s="495"/>
      <c r="N495" s="495"/>
      <c r="O495" s="495"/>
      <c r="P495" s="495"/>
      <c r="Q495" s="495"/>
      <c r="R495" s="495"/>
      <c r="S495" s="495"/>
      <c r="T495" s="495"/>
      <c r="U495" s="495"/>
      <c r="V495" s="495"/>
      <c r="W495" s="495"/>
      <c r="X495" s="495"/>
      <c r="Y495" s="495"/>
      <c r="Z495" s="495"/>
    </row>
    <row r="496" ht="15.75" customHeight="1">
      <c r="A496" s="495"/>
      <c r="B496" s="495"/>
      <c r="C496" s="495"/>
      <c r="D496" s="905"/>
      <c r="E496" s="495"/>
      <c r="F496" s="495"/>
      <c r="G496" s="495"/>
      <c r="H496" s="495"/>
      <c r="I496" s="495"/>
      <c r="J496" s="495"/>
      <c r="K496" s="495"/>
      <c r="L496" s="495"/>
      <c r="M496" s="495"/>
      <c r="N496" s="495"/>
      <c r="O496" s="495"/>
      <c r="P496" s="495"/>
      <c r="Q496" s="495"/>
      <c r="R496" s="495"/>
      <c r="S496" s="495"/>
      <c r="T496" s="495"/>
      <c r="U496" s="495"/>
      <c r="V496" s="495"/>
      <c r="W496" s="495"/>
      <c r="X496" s="495"/>
      <c r="Y496" s="495"/>
      <c r="Z496" s="495"/>
    </row>
    <row r="497" ht="15.75" customHeight="1">
      <c r="A497" s="495"/>
      <c r="B497" s="495"/>
      <c r="C497" s="495"/>
      <c r="D497" s="905"/>
      <c r="E497" s="495"/>
      <c r="F497" s="495"/>
      <c r="G497" s="495"/>
      <c r="H497" s="495"/>
      <c r="I497" s="495"/>
      <c r="J497" s="495"/>
      <c r="K497" s="495"/>
      <c r="L497" s="495"/>
      <c r="M497" s="495"/>
      <c r="N497" s="495"/>
      <c r="O497" s="495"/>
      <c r="P497" s="495"/>
      <c r="Q497" s="495"/>
      <c r="R497" s="495"/>
      <c r="S497" s="495"/>
      <c r="T497" s="495"/>
      <c r="U497" s="495"/>
      <c r="V497" s="495"/>
      <c r="W497" s="495"/>
      <c r="X497" s="495"/>
      <c r="Y497" s="495"/>
      <c r="Z497" s="495"/>
    </row>
    <row r="498" ht="15.75" customHeight="1">
      <c r="A498" s="495"/>
      <c r="B498" s="495"/>
      <c r="C498" s="495"/>
      <c r="D498" s="905"/>
      <c r="E498" s="495"/>
      <c r="F498" s="495"/>
      <c r="G498" s="495"/>
      <c r="H498" s="495"/>
      <c r="I498" s="495"/>
      <c r="J498" s="495"/>
      <c r="K498" s="495"/>
      <c r="L498" s="495"/>
      <c r="M498" s="495"/>
      <c r="N498" s="495"/>
      <c r="O498" s="495"/>
      <c r="P498" s="495"/>
      <c r="Q498" s="495"/>
      <c r="R498" s="495"/>
      <c r="S498" s="495"/>
      <c r="T498" s="495"/>
      <c r="U498" s="495"/>
      <c r="V498" s="495"/>
      <c r="W498" s="495"/>
      <c r="X498" s="495"/>
      <c r="Y498" s="495"/>
      <c r="Z498" s="495"/>
    </row>
    <row r="499" ht="15.75" customHeight="1">
      <c r="A499" s="495"/>
      <c r="B499" s="495"/>
      <c r="C499" s="495"/>
      <c r="D499" s="905"/>
      <c r="E499" s="495"/>
      <c r="F499" s="495"/>
      <c r="G499" s="495"/>
      <c r="H499" s="495"/>
      <c r="I499" s="495"/>
      <c r="J499" s="495"/>
      <c r="K499" s="495"/>
      <c r="L499" s="495"/>
      <c r="M499" s="495"/>
      <c r="N499" s="495"/>
      <c r="O499" s="495"/>
      <c r="P499" s="495"/>
      <c r="Q499" s="495"/>
      <c r="R499" s="495"/>
      <c r="S499" s="495"/>
      <c r="T499" s="495"/>
      <c r="U499" s="495"/>
      <c r="V499" s="495"/>
      <c r="W499" s="495"/>
      <c r="X499" s="495"/>
      <c r="Y499" s="495"/>
      <c r="Z499" s="495"/>
    </row>
    <row r="500" ht="15.75" customHeight="1">
      <c r="A500" s="495"/>
      <c r="B500" s="495"/>
      <c r="C500" s="495"/>
      <c r="D500" s="905"/>
      <c r="E500" s="495"/>
      <c r="F500" s="495"/>
      <c r="G500" s="495"/>
      <c r="H500" s="495"/>
      <c r="I500" s="495"/>
      <c r="J500" s="495"/>
      <c r="K500" s="495"/>
      <c r="L500" s="495"/>
      <c r="M500" s="495"/>
      <c r="N500" s="495"/>
      <c r="O500" s="495"/>
      <c r="P500" s="495"/>
      <c r="Q500" s="495"/>
      <c r="R500" s="495"/>
      <c r="S500" s="495"/>
      <c r="T500" s="495"/>
      <c r="U500" s="495"/>
      <c r="V500" s="495"/>
      <c r="W500" s="495"/>
      <c r="X500" s="495"/>
      <c r="Y500" s="495"/>
      <c r="Z500" s="495"/>
    </row>
    <row r="501" ht="15.75" customHeight="1">
      <c r="A501" s="495"/>
      <c r="B501" s="495"/>
      <c r="C501" s="495"/>
      <c r="D501" s="905"/>
      <c r="E501" s="495"/>
      <c r="F501" s="495"/>
      <c r="G501" s="495"/>
      <c r="H501" s="495"/>
      <c r="I501" s="495"/>
      <c r="J501" s="495"/>
      <c r="K501" s="495"/>
      <c r="L501" s="495"/>
      <c r="M501" s="495"/>
      <c r="N501" s="495"/>
      <c r="O501" s="495"/>
      <c r="P501" s="495"/>
      <c r="Q501" s="495"/>
      <c r="R501" s="495"/>
      <c r="S501" s="495"/>
      <c r="T501" s="495"/>
      <c r="U501" s="495"/>
      <c r="V501" s="495"/>
      <c r="W501" s="495"/>
      <c r="X501" s="495"/>
      <c r="Y501" s="495"/>
      <c r="Z501" s="495"/>
    </row>
    <row r="502" ht="15.75" customHeight="1">
      <c r="A502" s="495"/>
      <c r="B502" s="495"/>
      <c r="C502" s="495"/>
      <c r="D502" s="905"/>
      <c r="E502" s="495"/>
      <c r="F502" s="495"/>
      <c r="G502" s="495"/>
      <c r="H502" s="495"/>
      <c r="I502" s="495"/>
      <c r="J502" s="495"/>
      <c r="K502" s="495"/>
      <c r="L502" s="495"/>
      <c r="M502" s="495"/>
      <c r="N502" s="495"/>
      <c r="O502" s="495"/>
      <c r="P502" s="495"/>
      <c r="Q502" s="495"/>
      <c r="R502" s="495"/>
      <c r="S502" s="495"/>
      <c r="T502" s="495"/>
      <c r="U502" s="495"/>
      <c r="V502" s="495"/>
      <c r="W502" s="495"/>
      <c r="X502" s="495"/>
      <c r="Y502" s="495"/>
      <c r="Z502" s="495"/>
    </row>
    <row r="503" ht="15.75" customHeight="1">
      <c r="A503" s="495"/>
      <c r="B503" s="495"/>
      <c r="C503" s="495"/>
      <c r="D503" s="905"/>
      <c r="E503" s="495"/>
      <c r="F503" s="495"/>
      <c r="G503" s="495"/>
      <c r="H503" s="495"/>
      <c r="I503" s="495"/>
      <c r="J503" s="495"/>
      <c r="K503" s="495"/>
      <c r="L503" s="495"/>
      <c r="M503" s="495"/>
      <c r="N503" s="495"/>
      <c r="O503" s="495"/>
      <c r="P503" s="495"/>
      <c r="Q503" s="495"/>
      <c r="R503" s="495"/>
      <c r="S503" s="495"/>
      <c r="T503" s="495"/>
      <c r="U503" s="495"/>
      <c r="V503" s="495"/>
      <c r="W503" s="495"/>
      <c r="X503" s="495"/>
      <c r="Y503" s="495"/>
      <c r="Z503" s="495"/>
    </row>
    <row r="504" ht="15.75" customHeight="1">
      <c r="A504" s="495"/>
      <c r="B504" s="495"/>
      <c r="C504" s="495"/>
      <c r="D504" s="905"/>
      <c r="E504" s="495"/>
      <c r="F504" s="495"/>
      <c r="G504" s="495"/>
      <c r="H504" s="495"/>
      <c r="I504" s="495"/>
      <c r="J504" s="495"/>
      <c r="K504" s="495"/>
      <c r="L504" s="495"/>
      <c r="M504" s="495"/>
      <c r="N504" s="495"/>
      <c r="O504" s="495"/>
      <c r="P504" s="495"/>
      <c r="Q504" s="495"/>
      <c r="R504" s="495"/>
      <c r="S504" s="495"/>
      <c r="T504" s="495"/>
      <c r="U504" s="495"/>
      <c r="V504" s="495"/>
      <c r="W504" s="495"/>
      <c r="X504" s="495"/>
      <c r="Y504" s="495"/>
      <c r="Z504" s="495"/>
    </row>
    <row r="505" ht="15.75" customHeight="1">
      <c r="A505" s="495"/>
      <c r="B505" s="495"/>
      <c r="C505" s="495"/>
      <c r="D505" s="905"/>
      <c r="E505" s="495"/>
      <c r="F505" s="495"/>
      <c r="G505" s="495"/>
      <c r="H505" s="495"/>
      <c r="I505" s="495"/>
      <c r="J505" s="495"/>
      <c r="K505" s="495"/>
      <c r="L505" s="495"/>
      <c r="M505" s="495"/>
      <c r="N505" s="495"/>
      <c r="O505" s="495"/>
      <c r="P505" s="495"/>
      <c r="Q505" s="495"/>
      <c r="R505" s="495"/>
      <c r="S505" s="495"/>
      <c r="T505" s="495"/>
      <c r="U505" s="495"/>
      <c r="V505" s="495"/>
      <c r="W505" s="495"/>
      <c r="X505" s="495"/>
      <c r="Y505" s="495"/>
      <c r="Z505" s="495"/>
    </row>
    <row r="506" ht="15.75" customHeight="1">
      <c r="A506" s="495"/>
      <c r="B506" s="495"/>
      <c r="C506" s="495"/>
      <c r="D506" s="905"/>
      <c r="E506" s="495"/>
      <c r="F506" s="495"/>
      <c r="G506" s="495"/>
      <c r="H506" s="495"/>
      <c r="I506" s="495"/>
      <c r="J506" s="495"/>
      <c r="K506" s="495"/>
      <c r="L506" s="495"/>
      <c r="M506" s="495"/>
      <c r="N506" s="495"/>
      <c r="O506" s="495"/>
      <c r="P506" s="495"/>
      <c r="Q506" s="495"/>
      <c r="R506" s="495"/>
      <c r="S506" s="495"/>
      <c r="T506" s="495"/>
      <c r="U506" s="495"/>
      <c r="V506" s="495"/>
      <c r="W506" s="495"/>
      <c r="X506" s="495"/>
      <c r="Y506" s="495"/>
      <c r="Z506" s="495"/>
    </row>
    <row r="507" ht="15.75" customHeight="1">
      <c r="A507" s="495"/>
      <c r="B507" s="495"/>
      <c r="C507" s="495"/>
      <c r="D507" s="905"/>
      <c r="E507" s="495"/>
      <c r="F507" s="495"/>
      <c r="G507" s="495"/>
      <c r="H507" s="495"/>
      <c r="I507" s="495"/>
      <c r="J507" s="495"/>
      <c r="K507" s="495"/>
      <c r="L507" s="495"/>
      <c r="M507" s="495"/>
      <c r="N507" s="495"/>
      <c r="O507" s="495"/>
      <c r="P507" s="495"/>
      <c r="Q507" s="495"/>
      <c r="R507" s="495"/>
      <c r="S507" s="495"/>
      <c r="T507" s="495"/>
      <c r="U507" s="495"/>
      <c r="V507" s="495"/>
      <c r="W507" s="495"/>
      <c r="X507" s="495"/>
      <c r="Y507" s="495"/>
      <c r="Z507" s="495"/>
    </row>
    <row r="508" ht="15.75" customHeight="1">
      <c r="A508" s="495"/>
      <c r="B508" s="495"/>
      <c r="C508" s="495"/>
      <c r="D508" s="905"/>
      <c r="E508" s="495"/>
      <c r="F508" s="495"/>
      <c r="G508" s="495"/>
      <c r="H508" s="495"/>
      <c r="I508" s="495"/>
      <c r="J508" s="495"/>
      <c r="K508" s="495"/>
      <c r="L508" s="495"/>
      <c r="M508" s="495"/>
      <c r="N508" s="495"/>
      <c r="O508" s="495"/>
      <c r="P508" s="495"/>
      <c r="Q508" s="495"/>
      <c r="R508" s="495"/>
      <c r="S508" s="495"/>
      <c r="T508" s="495"/>
      <c r="U508" s="495"/>
      <c r="V508" s="495"/>
      <c r="W508" s="495"/>
      <c r="X508" s="495"/>
      <c r="Y508" s="495"/>
      <c r="Z508" s="495"/>
    </row>
    <row r="509" ht="15.75" customHeight="1">
      <c r="A509" s="495"/>
      <c r="B509" s="495"/>
      <c r="C509" s="495"/>
      <c r="D509" s="905"/>
      <c r="E509" s="495"/>
      <c r="F509" s="495"/>
      <c r="G509" s="495"/>
      <c r="H509" s="495"/>
      <c r="I509" s="495"/>
      <c r="J509" s="495"/>
      <c r="K509" s="495"/>
      <c r="L509" s="495"/>
      <c r="M509" s="495"/>
      <c r="N509" s="495"/>
      <c r="O509" s="495"/>
      <c r="P509" s="495"/>
      <c r="Q509" s="495"/>
      <c r="R509" s="495"/>
      <c r="S509" s="495"/>
      <c r="T509" s="495"/>
      <c r="U509" s="495"/>
      <c r="V509" s="495"/>
      <c r="W509" s="495"/>
      <c r="X509" s="495"/>
      <c r="Y509" s="495"/>
      <c r="Z509" s="495"/>
    </row>
    <row r="510" ht="15.75" customHeight="1">
      <c r="A510" s="495"/>
      <c r="B510" s="495"/>
      <c r="C510" s="495"/>
      <c r="D510" s="905"/>
      <c r="E510" s="495"/>
      <c r="F510" s="495"/>
      <c r="G510" s="495"/>
      <c r="H510" s="495"/>
      <c r="I510" s="495"/>
      <c r="J510" s="495"/>
      <c r="K510" s="495"/>
      <c r="L510" s="495"/>
      <c r="M510" s="495"/>
      <c r="N510" s="495"/>
      <c r="O510" s="495"/>
      <c r="P510" s="495"/>
      <c r="Q510" s="495"/>
      <c r="R510" s="495"/>
      <c r="S510" s="495"/>
      <c r="T510" s="495"/>
      <c r="U510" s="495"/>
      <c r="V510" s="495"/>
      <c r="W510" s="495"/>
      <c r="X510" s="495"/>
      <c r="Y510" s="495"/>
      <c r="Z510" s="495"/>
    </row>
    <row r="511" ht="15.75" customHeight="1">
      <c r="A511" s="495"/>
      <c r="B511" s="495"/>
      <c r="C511" s="495"/>
      <c r="D511" s="905"/>
      <c r="E511" s="495"/>
      <c r="F511" s="495"/>
      <c r="G511" s="495"/>
      <c r="H511" s="495"/>
      <c r="I511" s="495"/>
      <c r="J511" s="495"/>
      <c r="K511" s="495"/>
      <c r="L511" s="495"/>
      <c r="M511" s="495"/>
      <c r="N511" s="495"/>
      <c r="O511" s="495"/>
      <c r="P511" s="495"/>
      <c r="Q511" s="495"/>
      <c r="R511" s="495"/>
      <c r="S511" s="495"/>
      <c r="T511" s="495"/>
      <c r="U511" s="495"/>
      <c r="V511" s="495"/>
      <c r="W511" s="495"/>
      <c r="X511" s="495"/>
      <c r="Y511" s="495"/>
      <c r="Z511" s="495"/>
    </row>
    <row r="512" ht="15.75" customHeight="1">
      <c r="A512" s="495"/>
      <c r="B512" s="495"/>
      <c r="C512" s="495"/>
      <c r="D512" s="905"/>
      <c r="E512" s="495"/>
      <c r="F512" s="495"/>
      <c r="G512" s="495"/>
      <c r="H512" s="495"/>
      <c r="I512" s="495"/>
      <c r="J512" s="495"/>
      <c r="K512" s="495"/>
      <c r="L512" s="495"/>
      <c r="M512" s="495"/>
      <c r="N512" s="495"/>
      <c r="O512" s="495"/>
      <c r="P512" s="495"/>
      <c r="Q512" s="495"/>
      <c r="R512" s="495"/>
      <c r="S512" s="495"/>
      <c r="T512" s="495"/>
      <c r="U512" s="495"/>
      <c r="V512" s="495"/>
      <c r="W512" s="495"/>
      <c r="X512" s="495"/>
      <c r="Y512" s="495"/>
      <c r="Z512" s="495"/>
    </row>
    <row r="513" ht="15.75" customHeight="1">
      <c r="A513" s="495"/>
      <c r="B513" s="495"/>
      <c r="C513" s="495"/>
      <c r="D513" s="905"/>
      <c r="E513" s="495"/>
      <c r="F513" s="495"/>
      <c r="G513" s="495"/>
      <c r="H513" s="495"/>
      <c r="I513" s="495"/>
      <c r="J513" s="495"/>
      <c r="K513" s="495"/>
      <c r="L513" s="495"/>
      <c r="M513" s="495"/>
      <c r="N513" s="495"/>
      <c r="O513" s="495"/>
      <c r="P513" s="495"/>
      <c r="Q513" s="495"/>
      <c r="R513" s="495"/>
      <c r="S513" s="495"/>
      <c r="T513" s="495"/>
      <c r="U513" s="495"/>
      <c r="V513" s="495"/>
      <c r="W513" s="495"/>
      <c r="X513" s="495"/>
      <c r="Y513" s="495"/>
      <c r="Z513" s="495"/>
    </row>
    <row r="514" ht="15.75" customHeight="1">
      <c r="A514" s="495"/>
      <c r="B514" s="495"/>
      <c r="C514" s="495"/>
      <c r="D514" s="905"/>
      <c r="E514" s="495"/>
      <c r="F514" s="495"/>
      <c r="G514" s="495"/>
      <c r="H514" s="495"/>
      <c r="I514" s="495"/>
      <c r="J514" s="495"/>
      <c r="K514" s="495"/>
      <c r="L514" s="495"/>
      <c r="M514" s="495"/>
      <c r="N514" s="495"/>
      <c r="O514" s="495"/>
      <c r="P514" s="495"/>
      <c r="Q514" s="495"/>
      <c r="R514" s="495"/>
      <c r="S514" s="495"/>
      <c r="T514" s="495"/>
      <c r="U514" s="495"/>
      <c r="V514" s="495"/>
      <c r="W514" s="495"/>
      <c r="X514" s="495"/>
      <c r="Y514" s="495"/>
      <c r="Z514" s="495"/>
    </row>
    <row r="515" ht="15.75" customHeight="1">
      <c r="A515" s="495"/>
      <c r="B515" s="495"/>
      <c r="C515" s="495"/>
      <c r="D515" s="905"/>
      <c r="E515" s="495"/>
      <c r="F515" s="495"/>
      <c r="G515" s="495"/>
      <c r="H515" s="495"/>
      <c r="I515" s="495"/>
      <c r="J515" s="495"/>
      <c r="K515" s="495"/>
      <c r="L515" s="495"/>
      <c r="M515" s="495"/>
      <c r="N515" s="495"/>
      <c r="O515" s="495"/>
      <c r="P515" s="495"/>
      <c r="Q515" s="495"/>
      <c r="R515" s="495"/>
      <c r="S515" s="495"/>
      <c r="T515" s="495"/>
      <c r="U515" s="495"/>
      <c r="V515" s="495"/>
      <c r="W515" s="495"/>
      <c r="X515" s="495"/>
      <c r="Y515" s="495"/>
      <c r="Z515" s="495"/>
    </row>
    <row r="516" ht="15.75" customHeight="1">
      <c r="A516" s="495"/>
      <c r="B516" s="495"/>
      <c r="C516" s="495"/>
      <c r="D516" s="905"/>
      <c r="E516" s="495"/>
      <c r="F516" s="495"/>
      <c r="G516" s="495"/>
      <c r="H516" s="495"/>
      <c r="I516" s="495"/>
      <c r="J516" s="495"/>
      <c r="K516" s="495"/>
      <c r="L516" s="495"/>
      <c r="M516" s="495"/>
      <c r="N516" s="495"/>
      <c r="O516" s="495"/>
      <c r="P516" s="495"/>
      <c r="Q516" s="495"/>
      <c r="R516" s="495"/>
      <c r="S516" s="495"/>
      <c r="T516" s="495"/>
      <c r="U516" s="495"/>
      <c r="V516" s="495"/>
      <c r="W516" s="495"/>
      <c r="X516" s="495"/>
      <c r="Y516" s="495"/>
      <c r="Z516" s="495"/>
    </row>
    <row r="517" ht="15.75" customHeight="1">
      <c r="A517" s="495"/>
      <c r="B517" s="495"/>
      <c r="C517" s="495"/>
      <c r="D517" s="905"/>
      <c r="E517" s="495"/>
      <c r="F517" s="495"/>
      <c r="G517" s="495"/>
      <c r="H517" s="495"/>
      <c r="I517" s="495"/>
      <c r="J517" s="495"/>
      <c r="K517" s="495"/>
      <c r="L517" s="495"/>
      <c r="M517" s="495"/>
      <c r="N517" s="495"/>
      <c r="O517" s="495"/>
      <c r="P517" s="495"/>
      <c r="Q517" s="495"/>
      <c r="R517" s="495"/>
      <c r="S517" s="495"/>
      <c r="T517" s="495"/>
      <c r="U517" s="495"/>
      <c r="V517" s="495"/>
      <c r="W517" s="495"/>
      <c r="X517" s="495"/>
      <c r="Y517" s="495"/>
      <c r="Z517" s="495"/>
    </row>
    <row r="518" ht="15.75" customHeight="1">
      <c r="A518" s="495"/>
      <c r="B518" s="495"/>
      <c r="C518" s="495"/>
      <c r="D518" s="905"/>
      <c r="E518" s="495"/>
      <c r="F518" s="495"/>
      <c r="G518" s="495"/>
      <c r="H518" s="495"/>
      <c r="I518" s="495"/>
      <c r="J518" s="495"/>
      <c r="K518" s="495"/>
      <c r="L518" s="495"/>
      <c r="M518" s="495"/>
      <c r="N518" s="495"/>
      <c r="O518" s="495"/>
      <c r="P518" s="495"/>
      <c r="Q518" s="495"/>
      <c r="R518" s="495"/>
      <c r="S518" s="495"/>
      <c r="T518" s="495"/>
      <c r="U518" s="495"/>
      <c r="V518" s="495"/>
      <c r="W518" s="495"/>
      <c r="X518" s="495"/>
      <c r="Y518" s="495"/>
      <c r="Z518" s="495"/>
    </row>
    <row r="519" ht="15.75" customHeight="1">
      <c r="A519" s="495"/>
      <c r="B519" s="495"/>
      <c r="C519" s="495"/>
      <c r="D519" s="905"/>
      <c r="E519" s="495"/>
      <c r="F519" s="495"/>
      <c r="G519" s="495"/>
      <c r="H519" s="495"/>
      <c r="I519" s="495"/>
      <c r="J519" s="495"/>
      <c r="K519" s="495"/>
      <c r="L519" s="495"/>
      <c r="M519" s="495"/>
      <c r="N519" s="495"/>
      <c r="O519" s="495"/>
      <c r="P519" s="495"/>
      <c r="Q519" s="495"/>
      <c r="R519" s="495"/>
      <c r="S519" s="495"/>
      <c r="T519" s="495"/>
      <c r="U519" s="495"/>
      <c r="V519" s="495"/>
      <c r="W519" s="495"/>
      <c r="X519" s="495"/>
      <c r="Y519" s="495"/>
      <c r="Z519" s="495"/>
    </row>
    <row r="520" ht="15.75" customHeight="1">
      <c r="A520" s="495"/>
      <c r="B520" s="495"/>
      <c r="C520" s="495"/>
      <c r="D520" s="905"/>
      <c r="E520" s="495"/>
      <c r="F520" s="495"/>
      <c r="G520" s="495"/>
      <c r="H520" s="495"/>
      <c r="I520" s="495"/>
      <c r="J520" s="495"/>
      <c r="K520" s="495"/>
      <c r="L520" s="495"/>
      <c r="M520" s="495"/>
      <c r="N520" s="495"/>
      <c r="O520" s="495"/>
      <c r="P520" s="495"/>
      <c r="Q520" s="495"/>
      <c r="R520" s="495"/>
      <c r="S520" s="495"/>
      <c r="T520" s="495"/>
      <c r="U520" s="495"/>
      <c r="V520" s="495"/>
      <c r="W520" s="495"/>
      <c r="X520" s="495"/>
      <c r="Y520" s="495"/>
      <c r="Z520" s="495"/>
    </row>
    <row r="521" ht="15.75" customHeight="1">
      <c r="D521" s="906"/>
    </row>
    <row r="522" ht="15.75" customHeight="1">
      <c r="D522" s="906"/>
    </row>
    <row r="523" ht="15.75" customHeight="1">
      <c r="D523" s="906"/>
    </row>
    <row r="524" ht="15.75" customHeight="1">
      <c r="D524" s="906"/>
    </row>
    <row r="525" ht="15.75" customHeight="1">
      <c r="D525" s="906"/>
    </row>
    <row r="526" ht="15.75" customHeight="1">
      <c r="D526" s="906"/>
    </row>
    <row r="527" ht="15.75" customHeight="1">
      <c r="D527" s="906"/>
    </row>
    <row r="528" ht="15.75" customHeight="1">
      <c r="D528" s="906"/>
    </row>
    <row r="529" ht="15.75" customHeight="1">
      <c r="D529" s="906"/>
    </row>
    <row r="530" ht="15.75" customHeight="1">
      <c r="D530" s="906"/>
    </row>
    <row r="531" ht="15.75" customHeight="1">
      <c r="D531" s="906"/>
    </row>
    <row r="532" ht="15.75" customHeight="1">
      <c r="D532" s="906"/>
    </row>
    <row r="533" ht="15.75" customHeight="1">
      <c r="D533" s="906"/>
    </row>
    <row r="534" ht="15.75" customHeight="1">
      <c r="D534" s="906"/>
    </row>
    <row r="535" ht="15.75" customHeight="1">
      <c r="D535" s="906"/>
    </row>
    <row r="536" ht="15.75" customHeight="1">
      <c r="D536" s="906"/>
    </row>
    <row r="537" ht="15.75" customHeight="1">
      <c r="D537" s="906"/>
    </row>
    <row r="538" ht="15.75" customHeight="1">
      <c r="D538" s="906"/>
    </row>
    <row r="539" ht="15.75" customHeight="1">
      <c r="D539" s="906"/>
    </row>
    <row r="540" ht="15.75" customHeight="1">
      <c r="D540" s="906"/>
    </row>
    <row r="541" ht="15.75" customHeight="1">
      <c r="D541" s="906"/>
    </row>
    <row r="542" ht="15.75" customHeight="1">
      <c r="D542" s="906"/>
    </row>
    <row r="543" ht="15.75" customHeight="1">
      <c r="D543" s="906"/>
    </row>
    <row r="544" ht="15.75" customHeight="1">
      <c r="D544" s="906"/>
    </row>
    <row r="545" ht="15.75" customHeight="1">
      <c r="D545" s="906"/>
    </row>
    <row r="546" ht="15.75" customHeight="1">
      <c r="D546" s="906"/>
    </row>
    <row r="547" ht="15.75" customHeight="1">
      <c r="D547" s="906"/>
    </row>
    <row r="548" ht="15.75" customHeight="1">
      <c r="D548" s="906"/>
    </row>
    <row r="549" ht="15.75" customHeight="1">
      <c r="D549" s="906"/>
    </row>
    <row r="550" ht="15.75" customHeight="1">
      <c r="D550" s="906"/>
    </row>
    <row r="551" ht="15.75" customHeight="1">
      <c r="D551" s="906"/>
    </row>
    <row r="552" ht="15.75" customHeight="1">
      <c r="D552" s="906"/>
    </row>
    <row r="553" ht="15.75" customHeight="1">
      <c r="D553" s="906"/>
    </row>
    <row r="554" ht="15.75" customHeight="1">
      <c r="D554" s="906"/>
    </row>
    <row r="555" ht="15.75" customHeight="1">
      <c r="D555" s="906"/>
    </row>
    <row r="556" ht="15.75" customHeight="1">
      <c r="D556" s="906"/>
    </row>
    <row r="557" ht="15.75" customHeight="1">
      <c r="D557" s="906"/>
    </row>
    <row r="558" ht="15.75" customHeight="1">
      <c r="D558" s="906"/>
    </row>
    <row r="559" ht="15.75" customHeight="1">
      <c r="D559" s="906"/>
    </row>
    <row r="560" ht="15.75" customHeight="1">
      <c r="D560" s="906"/>
    </row>
    <row r="561" ht="15.75" customHeight="1">
      <c r="D561" s="906"/>
    </row>
    <row r="562" ht="15.75" customHeight="1">
      <c r="D562" s="906"/>
    </row>
    <row r="563" ht="15.75" customHeight="1">
      <c r="D563" s="906"/>
    </row>
    <row r="564" ht="15.75" customHeight="1">
      <c r="D564" s="906"/>
    </row>
    <row r="565" ht="15.75" customHeight="1">
      <c r="D565" s="906"/>
    </row>
    <row r="566" ht="15.75" customHeight="1">
      <c r="D566" s="906"/>
    </row>
    <row r="567" ht="15.75" customHeight="1">
      <c r="D567" s="906"/>
    </row>
    <row r="568" ht="15.75" customHeight="1">
      <c r="D568" s="906"/>
    </row>
    <row r="569" ht="15.75" customHeight="1">
      <c r="D569" s="906"/>
    </row>
    <row r="570" ht="15.75" customHeight="1">
      <c r="D570" s="906"/>
    </row>
    <row r="571" ht="15.75" customHeight="1">
      <c r="D571" s="906"/>
    </row>
    <row r="572" ht="15.75" customHeight="1">
      <c r="D572" s="906"/>
    </row>
    <row r="573" ht="15.75" customHeight="1">
      <c r="D573" s="906"/>
    </row>
    <row r="574" ht="15.75" customHeight="1">
      <c r="D574" s="906"/>
    </row>
    <row r="575" ht="15.75" customHeight="1">
      <c r="D575" s="906"/>
    </row>
    <row r="576" ht="15.75" customHeight="1">
      <c r="D576" s="906"/>
    </row>
    <row r="577" ht="15.75" customHeight="1">
      <c r="D577" s="906"/>
    </row>
    <row r="578" ht="15.75" customHeight="1">
      <c r="D578" s="906"/>
    </row>
    <row r="579" ht="15.75" customHeight="1">
      <c r="D579" s="906"/>
    </row>
    <row r="580" ht="15.75" customHeight="1">
      <c r="D580" s="906"/>
    </row>
    <row r="581" ht="15.75" customHeight="1">
      <c r="D581" s="906"/>
    </row>
    <row r="582" ht="15.75" customHeight="1">
      <c r="D582" s="906"/>
    </row>
    <row r="583" ht="15.75" customHeight="1">
      <c r="D583" s="906"/>
    </row>
    <row r="584" ht="15.75" customHeight="1">
      <c r="D584" s="906"/>
    </row>
    <row r="585" ht="15.75" customHeight="1">
      <c r="D585" s="906"/>
    </row>
    <row r="586" ht="15.75" customHeight="1">
      <c r="D586" s="906"/>
    </row>
    <row r="587" ht="15.75" customHeight="1">
      <c r="D587" s="906"/>
    </row>
    <row r="588" ht="15.75" customHeight="1">
      <c r="D588" s="906"/>
    </row>
    <row r="589" ht="15.75" customHeight="1">
      <c r="D589" s="906"/>
    </row>
    <row r="590" ht="15.75" customHeight="1">
      <c r="D590" s="906"/>
    </row>
    <row r="591" ht="15.75" customHeight="1">
      <c r="D591" s="906"/>
    </row>
    <row r="592" ht="15.75" customHeight="1">
      <c r="D592" s="906"/>
    </row>
    <row r="593" ht="15.75" customHeight="1">
      <c r="D593" s="906"/>
    </row>
    <row r="594" ht="15.75" customHeight="1">
      <c r="D594" s="906"/>
    </row>
    <row r="595" ht="15.75" customHeight="1">
      <c r="D595" s="906"/>
    </row>
    <row r="596" ht="15.75" customHeight="1">
      <c r="D596" s="906"/>
    </row>
    <row r="597" ht="15.75" customHeight="1">
      <c r="D597" s="906"/>
    </row>
    <row r="598" ht="15.75" customHeight="1">
      <c r="D598" s="906"/>
    </row>
    <row r="599" ht="15.75" customHeight="1">
      <c r="D599" s="906"/>
    </row>
    <row r="600" ht="15.75" customHeight="1">
      <c r="D600" s="906"/>
    </row>
    <row r="601" ht="15.75" customHeight="1">
      <c r="D601" s="906"/>
    </row>
    <row r="602" ht="15.75" customHeight="1">
      <c r="D602" s="906"/>
    </row>
    <row r="603" ht="15.75" customHeight="1">
      <c r="D603" s="906"/>
    </row>
    <row r="604" ht="15.75" customHeight="1">
      <c r="D604" s="906"/>
    </row>
    <row r="605" ht="15.75" customHeight="1">
      <c r="D605" s="906"/>
    </row>
    <row r="606" ht="15.75" customHeight="1">
      <c r="D606" s="906"/>
    </row>
    <row r="607" ht="15.75" customHeight="1">
      <c r="D607" s="906"/>
    </row>
    <row r="608" ht="15.75" customHeight="1">
      <c r="D608" s="906"/>
    </row>
    <row r="609" ht="15.75" customHeight="1">
      <c r="D609" s="906"/>
    </row>
    <row r="610" ht="15.75" customHeight="1">
      <c r="D610" s="906"/>
    </row>
    <row r="611" ht="15.75" customHeight="1">
      <c r="D611" s="906"/>
    </row>
    <row r="612" ht="15.75" customHeight="1">
      <c r="D612" s="906"/>
    </row>
    <row r="613" ht="15.75" customHeight="1">
      <c r="D613" s="906"/>
    </row>
    <row r="614" ht="15.75" customHeight="1">
      <c r="D614" s="906"/>
    </row>
    <row r="615" ht="15.75" customHeight="1">
      <c r="D615" s="906"/>
    </row>
    <row r="616" ht="15.75" customHeight="1">
      <c r="D616" s="906"/>
    </row>
    <row r="617" ht="15.75" customHeight="1">
      <c r="D617" s="906"/>
    </row>
    <row r="618" ht="15.75" customHeight="1">
      <c r="D618" s="906"/>
    </row>
    <row r="619" ht="15.75" customHeight="1">
      <c r="D619" s="906"/>
    </row>
    <row r="620" ht="15.75" customHeight="1">
      <c r="D620" s="906"/>
    </row>
    <row r="621" ht="15.75" customHeight="1">
      <c r="D621" s="906"/>
    </row>
    <row r="622" ht="15.75" customHeight="1">
      <c r="D622" s="906"/>
    </row>
    <row r="623" ht="15.75" customHeight="1">
      <c r="D623" s="906"/>
    </row>
    <row r="624" ht="15.75" customHeight="1">
      <c r="D624" s="906"/>
    </row>
    <row r="625" ht="15.75" customHeight="1">
      <c r="D625" s="906"/>
    </row>
    <row r="626" ht="15.75" customHeight="1">
      <c r="D626" s="906"/>
    </row>
    <row r="627" ht="15.75" customHeight="1">
      <c r="D627" s="906"/>
    </row>
    <row r="628" ht="15.75" customHeight="1">
      <c r="D628" s="906"/>
    </row>
    <row r="629" ht="15.75" customHeight="1">
      <c r="D629" s="906"/>
    </row>
    <row r="630" ht="15.75" customHeight="1">
      <c r="D630" s="906"/>
    </row>
    <row r="631" ht="15.75" customHeight="1">
      <c r="D631" s="906"/>
    </row>
    <row r="632" ht="15.75" customHeight="1">
      <c r="D632" s="906"/>
    </row>
    <row r="633" ht="15.75" customHeight="1">
      <c r="D633" s="906"/>
    </row>
    <row r="634" ht="15.75" customHeight="1">
      <c r="D634" s="906"/>
    </row>
    <row r="635" ht="15.75" customHeight="1">
      <c r="D635" s="906"/>
    </row>
    <row r="636" ht="15.75" customHeight="1">
      <c r="D636" s="906"/>
    </row>
    <row r="637" ht="15.75" customHeight="1">
      <c r="D637" s="906"/>
    </row>
    <row r="638" ht="15.75" customHeight="1">
      <c r="D638" s="906"/>
    </row>
    <row r="639" ht="15.75" customHeight="1">
      <c r="D639" s="906"/>
    </row>
    <row r="640" ht="15.75" customHeight="1">
      <c r="D640" s="906"/>
    </row>
    <row r="641" ht="15.75" customHeight="1">
      <c r="D641" s="906"/>
    </row>
    <row r="642" ht="15.75" customHeight="1">
      <c r="D642" s="906"/>
    </row>
    <row r="643" ht="15.75" customHeight="1">
      <c r="D643" s="906"/>
    </row>
    <row r="644" ht="15.75" customHeight="1">
      <c r="D644" s="906"/>
    </row>
    <row r="645" ht="15.75" customHeight="1">
      <c r="D645" s="906"/>
    </row>
    <row r="646" ht="15.75" customHeight="1">
      <c r="D646" s="906"/>
    </row>
    <row r="647" ht="15.75" customHeight="1">
      <c r="D647" s="906"/>
    </row>
    <row r="648" ht="15.75" customHeight="1">
      <c r="D648" s="906"/>
    </row>
    <row r="649" ht="15.75" customHeight="1">
      <c r="D649" s="906"/>
    </row>
    <row r="650" ht="15.75" customHeight="1">
      <c r="D650" s="906"/>
    </row>
    <row r="651" ht="15.75" customHeight="1">
      <c r="D651" s="906"/>
    </row>
    <row r="652" ht="15.75" customHeight="1">
      <c r="D652" s="906"/>
    </row>
    <row r="653" ht="15.75" customHeight="1">
      <c r="D653" s="906"/>
    </row>
    <row r="654" ht="15.75" customHeight="1">
      <c r="D654" s="906"/>
    </row>
    <row r="655" ht="15.75" customHeight="1">
      <c r="D655" s="906"/>
    </row>
    <row r="656" ht="15.75" customHeight="1">
      <c r="D656" s="906"/>
    </row>
    <row r="657" ht="15.75" customHeight="1">
      <c r="D657" s="906"/>
    </row>
    <row r="658" ht="15.75" customHeight="1">
      <c r="D658" s="906"/>
    </row>
    <row r="659" ht="15.75" customHeight="1">
      <c r="D659" s="906"/>
    </row>
    <row r="660" ht="15.75" customHeight="1">
      <c r="D660" s="906"/>
    </row>
    <row r="661" ht="15.75" customHeight="1">
      <c r="D661" s="906"/>
    </row>
    <row r="662" ht="15.75" customHeight="1">
      <c r="D662" s="906"/>
    </row>
    <row r="663" ht="15.75" customHeight="1">
      <c r="D663" s="906"/>
    </row>
    <row r="664" ht="15.75" customHeight="1">
      <c r="D664" s="906"/>
    </row>
    <row r="665" ht="15.75" customHeight="1">
      <c r="D665" s="906"/>
    </row>
    <row r="666" ht="15.75" customHeight="1">
      <c r="D666" s="906"/>
    </row>
    <row r="667" ht="15.75" customHeight="1">
      <c r="D667" s="906"/>
    </row>
    <row r="668" ht="15.75" customHeight="1">
      <c r="D668" s="906"/>
    </row>
    <row r="669" ht="15.75" customHeight="1">
      <c r="D669" s="906"/>
    </row>
    <row r="670" ht="15.75" customHeight="1">
      <c r="D670" s="906"/>
    </row>
    <row r="671" ht="15.75" customHeight="1">
      <c r="D671" s="906"/>
    </row>
    <row r="672" ht="15.75" customHeight="1">
      <c r="D672" s="906"/>
    </row>
    <row r="673" ht="15.75" customHeight="1">
      <c r="D673" s="906"/>
    </row>
    <row r="674" ht="15.75" customHeight="1">
      <c r="D674" s="906"/>
    </row>
    <row r="675" ht="15.75" customHeight="1">
      <c r="D675" s="906"/>
    </row>
    <row r="676" ht="15.75" customHeight="1">
      <c r="D676" s="906"/>
    </row>
    <row r="677" ht="15.75" customHeight="1">
      <c r="D677" s="906"/>
    </row>
    <row r="678" ht="15.75" customHeight="1">
      <c r="D678" s="906"/>
    </row>
    <row r="679" ht="15.75" customHeight="1">
      <c r="D679" s="906"/>
    </row>
    <row r="680" ht="15.75" customHeight="1">
      <c r="D680" s="906"/>
    </row>
    <row r="681" ht="15.75" customHeight="1">
      <c r="D681" s="906"/>
    </row>
    <row r="682" ht="15.75" customHeight="1">
      <c r="D682" s="906"/>
    </row>
    <row r="683" ht="15.75" customHeight="1">
      <c r="D683" s="906"/>
    </row>
    <row r="684" ht="15.75" customHeight="1">
      <c r="D684" s="906"/>
    </row>
    <row r="685" ht="15.75" customHeight="1">
      <c r="D685" s="906"/>
    </row>
    <row r="686" ht="15.75" customHeight="1">
      <c r="D686" s="906"/>
    </row>
    <row r="687" ht="15.75" customHeight="1">
      <c r="D687" s="906"/>
    </row>
    <row r="688" ht="15.75" customHeight="1">
      <c r="D688" s="906"/>
    </row>
    <row r="689" ht="15.75" customHeight="1">
      <c r="D689" s="906"/>
    </row>
    <row r="690" ht="15.75" customHeight="1">
      <c r="D690" s="906"/>
    </row>
    <row r="691" ht="15.75" customHeight="1">
      <c r="D691" s="906"/>
    </row>
    <row r="692" ht="15.75" customHeight="1">
      <c r="D692" s="906"/>
    </row>
    <row r="693" ht="15.75" customHeight="1">
      <c r="D693" s="906"/>
    </row>
    <row r="694" ht="15.75" customHeight="1">
      <c r="D694" s="906"/>
    </row>
    <row r="695" ht="15.75" customHeight="1">
      <c r="D695" s="906"/>
    </row>
    <row r="696" ht="15.75" customHeight="1">
      <c r="D696" s="906"/>
    </row>
    <row r="697" ht="15.75" customHeight="1">
      <c r="D697" s="906"/>
    </row>
    <row r="698" ht="15.75" customHeight="1">
      <c r="D698" s="906"/>
    </row>
    <row r="699" ht="15.75" customHeight="1">
      <c r="D699" s="906"/>
    </row>
    <row r="700" ht="15.75" customHeight="1">
      <c r="D700" s="906"/>
    </row>
    <row r="701" ht="15.75" customHeight="1">
      <c r="D701" s="906"/>
    </row>
    <row r="702" ht="15.75" customHeight="1">
      <c r="D702" s="906"/>
    </row>
    <row r="703" ht="15.75" customHeight="1">
      <c r="D703" s="906"/>
    </row>
    <row r="704" ht="15.75" customHeight="1">
      <c r="D704" s="906"/>
    </row>
    <row r="705" ht="15.75" customHeight="1">
      <c r="D705" s="906"/>
    </row>
    <row r="706" ht="15.75" customHeight="1">
      <c r="D706" s="906"/>
    </row>
    <row r="707" ht="15.75" customHeight="1">
      <c r="D707" s="906"/>
    </row>
    <row r="708" ht="15.75" customHeight="1">
      <c r="D708" s="906"/>
    </row>
    <row r="709" ht="15.75" customHeight="1">
      <c r="D709" s="906"/>
    </row>
    <row r="710" ht="15.75" customHeight="1">
      <c r="D710" s="906"/>
    </row>
    <row r="711" ht="15.75" customHeight="1">
      <c r="D711" s="906"/>
    </row>
    <row r="712" ht="15.75" customHeight="1">
      <c r="D712" s="906"/>
    </row>
    <row r="713" ht="15.75" customHeight="1">
      <c r="D713" s="906"/>
    </row>
    <row r="714" ht="15.75" customHeight="1">
      <c r="D714" s="906"/>
    </row>
    <row r="715" ht="15.75" customHeight="1">
      <c r="D715" s="906"/>
    </row>
    <row r="716" ht="15.75" customHeight="1">
      <c r="D716" s="906"/>
    </row>
    <row r="717" ht="15.75" customHeight="1">
      <c r="D717" s="906"/>
    </row>
    <row r="718" ht="15.75" customHeight="1">
      <c r="D718" s="906"/>
    </row>
    <row r="719" ht="15.75" customHeight="1">
      <c r="D719" s="906"/>
    </row>
    <row r="720" ht="15.75" customHeight="1">
      <c r="D720" s="906"/>
    </row>
    <row r="721" ht="15.75" customHeight="1">
      <c r="D721" s="906"/>
    </row>
    <row r="722" ht="15.75" customHeight="1">
      <c r="D722" s="906"/>
    </row>
    <row r="723" ht="15.75" customHeight="1">
      <c r="D723" s="906"/>
    </row>
    <row r="724" ht="15.75" customHeight="1">
      <c r="D724" s="906"/>
    </row>
    <row r="725" ht="15.75" customHeight="1">
      <c r="D725" s="906"/>
    </row>
    <row r="726" ht="15.75" customHeight="1">
      <c r="D726" s="906"/>
    </row>
    <row r="727" ht="15.75" customHeight="1">
      <c r="D727" s="906"/>
    </row>
    <row r="728" ht="15.75" customHeight="1">
      <c r="D728" s="906"/>
    </row>
    <row r="729" ht="15.75" customHeight="1">
      <c r="D729" s="906"/>
    </row>
    <row r="730" ht="15.75" customHeight="1">
      <c r="D730" s="906"/>
    </row>
    <row r="731" ht="15.75" customHeight="1">
      <c r="D731" s="906"/>
    </row>
    <row r="732" ht="15.75" customHeight="1">
      <c r="D732" s="906"/>
    </row>
    <row r="733" ht="15.75" customHeight="1">
      <c r="D733" s="906"/>
    </row>
    <row r="734" ht="15.75" customHeight="1">
      <c r="D734" s="906"/>
    </row>
    <row r="735" ht="15.75" customHeight="1">
      <c r="D735" s="906"/>
    </row>
    <row r="736" ht="15.75" customHeight="1">
      <c r="D736" s="906"/>
    </row>
    <row r="737" ht="15.75" customHeight="1">
      <c r="D737" s="906"/>
    </row>
    <row r="738" ht="15.75" customHeight="1">
      <c r="D738" s="906"/>
    </row>
    <row r="739" ht="15.75" customHeight="1">
      <c r="D739" s="906"/>
    </row>
    <row r="740" ht="15.75" customHeight="1">
      <c r="D740" s="906"/>
    </row>
    <row r="741" ht="15.75" customHeight="1">
      <c r="D741" s="906"/>
    </row>
    <row r="742" ht="15.75" customHeight="1">
      <c r="D742" s="906"/>
    </row>
    <row r="743" ht="15.75" customHeight="1">
      <c r="D743" s="906"/>
    </row>
    <row r="744" ht="15.75" customHeight="1">
      <c r="D744" s="906"/>
    </row>
    <row r="745" ht="15.75" customHeight="1">
      <c r="D745" s="906"/>
    </row>
    <row r="746" ht="15.75" customHeight="1">
      <c r="D746" s="906"/>
    </row>
    <row r="747" ht="15.75" customHeight="1">
      <c r="D747" s="906"/>
    </row>
    <row r="748" ht="15.75" customHeight="1">
      <c r="D748" s="906"/>
    </row>
    <row r="749" ht="15.75" customHeight="1">
      <c r="D749" s="906"/>
    </row>
    <row r="750" ht="15.75" customHeight="1">
      <c r="D750" s="906"/>
    </row>
    <row r="751" ht="15.75" customHeight="1">
      <c r="D751" s="906"/>
    </row>
    <row r="752" ht="15.75" customHeight="1">
      <c r="D752" s="906"/>
    </row>
    <row r="753" ht="15.75" customHeight="1">
      <c r="D753" s="906"/>
    </row>
    <row r="754" ht="15.75" customHeight="1">
      <c r="D754" s="906"/>
    </row>
    <row r="755" ht="15.75" customHeight="1">
      <c r="D755" s="906"/>
    </row>
    <row r="756" ht="15.75" customHeight="1">
      <c r="D756" s="906"/>
    </row>
    <row r="757" ht="15.75" customHeight="1">
      <c r="D757" s="906"/>
    </row>
    <row r="758" ht="15.75" customHeight="1">
      <c r="D758" s="906"/>
    </row>
    <row r="759" ht="15.75" customHeight="1">
      <c r="D759" s="906"/>
    </row>
    <row r="760" ht="15.75" customHeight="1">
      <c r="D760" s="906"/>
    </row>
    <row r="761" ht="15.75" customHeight="1">
      <c r="D761" s="906"/>
    </row>
    <row r="762" ht="15.75" customHeight="1">
      <c r="D762" s="906"/>
    </row>
    <row r="763" ht="15.75" customHeight="1">
      <c r="D763" s="906"/>
    </row>
    <row r="764" ht="15.75" customHeight="1">
      <c r="D764" s="906"/>
    </row>
    <row r="765" ht="15.75" customHeight="1">
      <c r="D765" s="906"/>
    </row>
    <row r="766" ht="15.75" customHeight="1">
      <c r="D766" s="906"/>
    </row>
    <row r="767" ht="15.75" customHeight="1">
      <c r="D767" s="906"/>
    </row>
    <row r="768" ht="15.75" customHeight="1">
      <c r="D768" s="906"/>
    </row>
    <row r="769" ht="15.75" customHeight="1">
      <c r="D769" s="906"/>
    </row>
    <row r="770" ht="15.75" customHeight="1">
      <c r="D770" s="906"/>
    </row>
    <row r="771" ht="15.75" customHeight="1">
      <c r="D771" s="906"/>
    </row>
    <row r="772" ht="15.75" customHeight="1">
      <c r="D772" s="906"/>
    </row>
    <row r="773" ht="15.75" customHeight="1">
      <c r="D773" s="906"/>
    </row>
    <row r="774" ht="15.75" customHeight="1">
      <c r="D774" s="906"/>
    </row>
    <row r="775" ht="15.75" customHeight="1">
      <c r="D775" s="906"/>
    </row>
    <row r="776" ht="15.75" customHeight="1">
      <c r="D776" s="906"/>
    </row>
    <row r="777" ht="15.75" customHeight="1">
      <c r="D777" s="906"/>
    </row>
    <row r="778" ht="15.75" customHeight="1">
      <c r="D778" s="906"/>
    </row>
    <row r="779" ht="15.75" customHeight="1">
      <c r="D779" s="906"/>
    </row>
    <row r="780" ht="15.75" customHeight="1">
      <c r="D780" s="906"/>
    </row>
    <row r="781" ht="15.75" customHeight="1">
      <c r="D781" s="906"/>
    </row>
    <row r="782" ht="15.75" customHeight="1">
      <c r="D782" s="906"/>
    </row>
    <row r="783" ht="15.75" customHeight="1">
      <c r="D783" s="906"/>
    </row>
    <row r="784" ht="15.75" customHeight="1">
      <c r="D784" s="906"/>
    </row>
    <row r="785" ht="15.75" customHeight="1">
      <c r="D785" s="906"/>
    </row>
    <row r="786" ht="15.75" customHeight="1">
      <c r="D786" s="906"/>
    </row>
    <row r="787" ht="15.75" customHeight="1">
      <c r="D787" s="906"/>
    </row>
    <row r="788" ht="15.75" customHeight="1">
      <c r="D788" s="906"/>
    </row>
    <row r="789" ht="15.75" customHeight="1">
      <c r="D789" s="906"/>
    </row>
    <row r="790" ht="15.75" customHeight="1">
      <c r="D790" s="906"/>
    </row>
    <row r="791" ht="15.75" customHeight="1">
      <c r="D791" s="906"/>
    </row>
    <row r="792" ht="15.75" customHeight="1">
      <c r="D792" s="906"/>
    </row>
    <row r="793" ht="15.75" customHeight="1">
      <c r="D793" s="906"/>
    </row>
    <row r="794" ht="15.75" customHeight="1">
      <c r="D794" s="906"/>
    </row>
    <row r="795" ht="15.75" customHeight="1">
      <c r="D795" s="906"/>
    </row>
    <row r="796" ht="15.75" customHeight="1">
      <c r="D796" s="906"/>
    </row>
    <row r="797" ht="15.75" customHeight="1">
      <c r="D797" s="906"/>
    </row>
    <row r="798" ht="15.75" customHeight="1">
      <c r="D798" s="906"/>
    </row>
    <row r="799" ht="15.75" customHeight="1">
      <c r="D799" s="906"/>
    </row>
    <row r="800" ht="15.75" customHeight="1">
      <c r="D800" s="906"/>
    </row>
    <row r="801" ht="15.75" customHeight="1">
      <c r="D801" s="906"/>
    </row>
    <row r="802" ht="15.75" customHeight="1">
      <c r="D802" s="906"/>
    </row>
    <row r="803" ht="15.75" customHeight="1">
      <c r="D803" s="906"/>
    </row>
    <row r="804" ht="15.75" customHeight="1">
      <c r="D804" s="906"/>
    </row>
    <row r="805" ht="15.75" customHeight="1">
      <c r="D805" s="906"/>
    </row>
    <row r="806" ht="15.75" customHeight="1">
      <c r="D806" s="906"/>
    </row>
    <row r="807" ht="15.75" customHeight="1">
      <c r="D807" s="906"/>
    </row>
    <row r="808" ht="15.75" customHeight="1">
      <c r="D808" s="906"/>
    </row>
    <row r="809" ht="15.75" customHeight="1">
      <c r="D809" s="906"/>
    </row>
    <row r="810" ht="15.75" customHeight="1">
      <c r="D810" s="906"/>
    </row>
    <row r="811" ht="15.75" customHeight="1">
      <c r="D811" s="906"/>
    </row>
    <row r="812" ht="15.75" customHeight="1">
      <c r="D812" s="906"/>
    </row>
    <row r="813" ht="15.75" customHeight="1">
      <c r="D813" s="906"/>
    </row>
    <row r="814" ht="15.75" customHeight="1">
      <c r="D814" s="906"/>
    </row>
    <row r="815" ht="15.75" customHeight="1">
      <c r="D815" s="906"/>
    </row>
    <row r="816" ht="15.75" customHeight="1">
      <c r="D816" s="906"/>
    </row>
    <row r="817" ht="15.75" customHeight="1">
      <c r="D817" s="906"/>
    </row>
    <row r="818" ht="15.75" customHeight="1">
      <c r="D818" s="906"/>
    </row>
    <row r="819" ht="15.75" customHeight="1">
      <c r="D819" s="906"/>
    </row>
    <row r="820" ht="15.75" customHeight="1">
      <c r="D820" s="906"/>
    </row>
    <row r="821" ht="15.75" customHeight="1">
      <c r="D821" s="906"/>
    </row>
    <row r="822" ht="15.75" customHeight="1">
      <c r="D822" s="906"/>
    </row>
    <row r="823" ht="15.75" customHeight="1">
      <c r="D823" s="906"/>
    </row>
    <row r="824" ht="15.75" customHeight="1">
      <c r="D824" s="906"/>
    </row>
    <row r="825" ht="15.75" customHeight="1">
      <c r="D825" s="906"/>
    </row>
    <row r="826" ht="15.75" customHeight="1">
      <c r="D826" s="906"/>
    </row>
    <row r="827" ht="15.75" customHeight="1">
      <c r="D827" s="906"/>
    </row>
    <row r="828" ht="15.75" customHeight="1">
      <c r="D828" s="906"/>
    </row>
    <row r="829" ht="15.75" customHeight="1">
      <c r="D829" s="906"/>
    </row>
    <row r="830" ht="15.75" customHeight="1">
      <c r="D830" s="906"/>
    </row>
    <row r="831" ht="15.75" customHeight="1">
      <c r="D831" s="906"/>
    </row>
    <row r="832" ht="15.75" customHeight="1">
      <c r="D832" s="906"/>
    </row>
    <row r="833" ht="15.75" customHeight="1">
      <c r="D833" s="906"/>
    </row>
    <row r="834" ht="15.75" customHeight="1">
      <c r="D834" s="906"/>
    </row>
    <row r="835" ht="15.75" customHeight="1">
      <c r="D835" s="906"/>
    </row>
    <row r="836" ht="15.75" customHeight="1">
      <c r="D836" s="906"/>
    </row>
    <row r="837" ht="15.75" customHeight="1">
      <c r="D837" s="906"/>
    </row>
    <row r="838" ht="15.75" customHeight="1">
      <c r="D838" s="906"/>
    </row>
    <row r="839" ht="15.75" customHeight="1">
      <c r="D839" s="906"/>
    </row>
    <row r="840" ht="15.75" customHeight="1">
      <c r="D840" s="906"/>
    </row>
    <row r="841" ht="15.75" customHeight="1">
      <c r="D841" s="906"/>
    </row>
    <row r="842" ht="15.75" customHeight="1">
      <c r="D842" s="906"/>
    </row>
    <row r="843" ht="15.75" customHeight="1">
      <c r="D843" s="906"/>
    </row>
    <row r="844" ht="15.75" customHeight="1">
      <c r="D844" s="906"/>
    </row>
    <row r="845" ht="15.75" customHeight="1">
      <c r="D845" s="906"/>
    </row>
    <row r="846" ht="15.75" customHeight="1">
      <c r="D846" s="906"/>
    </row>
    <row r="847" ht="15.75" customHeight="1">
      <c r="D847" s="906"/>
    </row>
    <row r="848" ht="15.75" customHeight="1">
      <c r="D848" s="906"/>
    </row>
    <row r="849" ht="15.75" customHeight="1">
      <c r="D849" s="906"/>
    </row>
    <row r="850" ht="15.75" customHeight="1">
      <c r="D850" s="906"/>
    </row>
    <row r="851" ht="15.75" customHeight="1">
      <c r="D851" s="906"/>
    </row>
    <row r="852" ht="15.75" customHeight="1">
      <c r="D852" s="906"/>
    </row>
    <row r="853" ht="15.75" customHeight="1">
      <c r="D853" s="906"/>
    </row>
    <row r="854" ht="15.75" customHeight="1">
      <c r="D854" s="906"/>
    </row>
    <row r="855" ht="15.75" customHeight="1">
      <c r="D855" s="906"/>
    </row>
    <row r="856" ht="15.75" customHeight="1">
      <c r="D856" s="906"/>
    </row>
    <row r="857" ht="15.75" customHeight="1">
      <c r="D857" s="906"/>
    </row>
    <row r="858" ht="15.75" customHeight="1">
      <c r="D858" s="906"/>
    </row>
    <row r="859" ht="15.75" customHeight="1">
      <c r="D859" s="906"/>
    </row>
    <row r="860" ht="15.75" customHeight="1">
      <c r="D860" s="906"/>
    </row>
    <row r="861" ht="15.75" customHeight="1">
      <c r="D861" s="906"/>
    </row>
    <row r="862" ht="15.75" customHeight="1">
      <c r="D862" s="906"/>
    </row>
    <row r="863" ht="15.75" customHeight="1">
      <c r="D863" s="906"/>
    </row>
    <row r="864" ht="15.75" customHeight="1">
      <c r="D864" s="906"/>
    </row>
    <row r="865" ht="15.75" customHeight="1">
      <c r="D865" s="906"/>
    </row>
    <row r="866" ht="15.75" customHeight="1">
      <c r="D866" s="906"/>
    </row>
    <row r="867" ht="15.75" customHeight="1">
      <c r="D867" s="906"/>
    </row>
    <row r="868" ht="15.75" customHeight="1">
      <c r="D868" s="906"/>
    </row>
    <row r="869" ht="15.75" customHeight="1">
      <c r="D869" s="906"/>
    </row>
    <row r="870" ht="15.75" customHeight="1">
      <c r="D870" s="906"/>
    </row>
    <row r="871" ht="15.75" customHeight="1">
      <c r="D871" s="906"/>
    </row>
    <row r="872" ht="15.75" customHeight="1">
      <c r="D872" s="906"/>
    </row>
    <row r="873" ht="15.75" customHeight="1">
      <c r="D873" s="906"/>
    </row>
    <row r="874" ht="15.75" customHeight="1">
      <c r="D874" s="906"/>
    </row>
    <row r="875" ht="15.75" customHeight="1">
      <c r="D875" s="906"/>
    </row>
    <row r="876" ht="15.75" customHeight="1">
      <c r="D876" s="906"/>
    </row>
    <row r="877" ht="15.75" customHeight="1">
      <c r="D877" s="906"/>
    </row>
    <row r="878" ht="15.75" customHeight="1">
      <c r="D878" s="906"/>
    </row>
    <row r="879" ht="15.75" customHeight="1">
      <c r="D879" s="906"/>
    </row>
    <row r="880" ht="15.75" customHeight="1">
      <c r="D880" s="906"/>
    </row>
    <row r="881" ht="15.75" customHeight="1">
      <c r="D881" s="906"/>
    </row>
    <row r="882" ht="15.75" customHeight="1">
      <c r="D882" s="906"/>
    </row>
    <row r="883" ht="15.75" customHeight="1">
      <c r="D883" s="906"/>
    </row>
    <row r="884" ht="15.75" customHeight="1">
      <c r="D884" s="906"/>
    </row>
    <row r="885" ht="15.75" customHeight="1">
      <c r="D885" s="906"/>
    </row>
    <row r="886" ht="15.75" customHeight="1">
      <c r="D886" s="906"/>
    </row>
    <row r="887" ht="15.75" customHeight="1">
      <c r="D887" s="906"/>
    </row>
    <row r="888" ht="15.75" customHeight="1">
      <c r="D888" s="906"/>
    </row>
    <row r="889" ht="15.75" customHeight="1">
      <c r="D889" s="906"/>
    </row>
    <row r="890" ht="15.75" customHeight="1">
      <c r="D890" s="906"/>
    </row>
    <row r="891" ht="15.75" customHeight="1">
      <c r="D891" s="906"/>
    </row>
    <row r="892" ht="15.75" customHeight="1">
      <c r="D892" s="906"/>
    </row>
    <row r="893" ht="15.75" customHeight="1">
      <c r="D893" s="906"/>
    </row>
    <row r="894" ht="15.75" customHeight="1">
      <c r="D894" s="906"/>
    </row>
    <row r="895" ht="15.75" customHeight="1">
      <c r="D895" s="906"/>
    </row>
    <row r="896" ht="15.75" customHeight="1">
      <c r="D896" s="906"/>
    </row>
    <row r="897" ht="15.75" customHeight="1">
      <c r="D897" s="906"/>
    </row>
    <row r="898" ht="15.75" customHeight="1">
      <c r="D898" s="906"/>
    </row>
    <row r="899" ht="15.75" customHeight="1">
      <c r="D899" s="906"/>
    </row>
    <row r="900" ht="15.75" customHeight="1">
      <c r="D900" s="906"/>
    </row>
    <row r="901" ht="15.75" customHeight="1">
      <c r="D901" s="906"/>
    </row>
    <row r="902" ht="15.75" customHeight="1">
      <c r="D902" s="906"/>
    </row>
    <row r="903" ht="15.75" customHeight="1">
      <c r="D903" s="906"/>
    </row>
    <row r="904" ht="15.75" customHeight="1">
      <c r="D904" s="906"/>
    </row>
    <row r="905" ht="15.75" customHeight="1">
      <c r="D905" s="906"/>
    </row>
    <row r="906" ht="15.75" customHeight="1">
      <c r="D906" s="906"/>
    </row>
    <row r="907" ht="15.75" customHeight="1">
      <c r="D907" s="906"/>
    </row>
    <row r="908" ht="15.75" customHeight="1">
      <c r="D908" s="906"/>
    </row>
    <row r="909" ht="15.75" customHeight="1">
      <c r="D909" s="906"/>
    </row>
    <row r="910" ht="15.75" customHeight="1">
      <c r="D910" s="906"/>
    </row>
    <row r="911" ht="15.75" customHeight="1">
      <c r="D911" s="906"/>
    </row>
    <row r="912" ht="15.75" customHeight="1">
      <c r="D912" s="906"/>
    </row>
    <row r="913" ht="15.75" customHeight="1">
      <c r="D913" s="906"/>
    </row>
    <row r="914" ht="15.75" customHeight="1">
      <c r="D914" s="906"/>
    </row>
    <row r="915" ht="15.75" customHeight="1">
      <c r="D915" s="906"/>
    </row>
    <row r="916" ht="15.75" customHeight="1">
      <c r="D916" s="906"/>
    </row>
    <row r="917" ht="15.75" customHeight="1">
      <c r="D917" s="906"/>
    </row>
    <row r="918" ht="15.75" customHeight="1">
      <c r="D918" s="906"/>
    </row>
    <row r="919" ht="15.75" customHeight="1">
      <c r="D919" s="906"/>
    </row>
    <row r="920" ht="15.75" customHeight="1">
      <c r="D920" s="906"/>
    </row>
    <row r="921" ht="15.75" customHeight="1">
      <c r="D921" s="906"/>
    </row>
    <row r="922" ht="15.75" customHeight="1">
      <c r="D922" s="906"/>
    </row>
    <row r="923" ht="15.75" customHeight="1">
      <c r="D923" s="906"/>
    </row>
    <row r="924" ht="15.75" customHeight="1">
      <c r="D924" s="906"/>
    </row>
    <row r="925" ht="15.75" customHeight="1">
      <c r="D925" s="906"/>
    </row>
    <row r="926" ht="15.75" customHeight="1">
      <c r="D926" s="906"/>
    </row>
    <row r="927" ht="15.75" customHeight="1">
      <c r="D927" s="906"/>
    </row>
    <row r="928" ht="15.75" customHeight="1">
      <c r="D928" s="906"/>
    </row>
    <row r="929" ht="15.75" customHeight="1">
      <c r="D929" s="906"/>
    </row>
    <row r="930" ht="15.75" customHeight="1">
      <c r="D930" s="906"/>
    </row>
    <row r="931" ht="15.75" customHeight="1">
      <c r="D931" s="906"/>
    </row>
    <row r="932" ht="15.75" customHeight="1">
      <c r="D932" s="906"/>
    </row>
    <row r="933" ht="15.75" customHeight="1">
      <c r="D933" s="906"/>
    </row>
    <row r="934" ht="15.75" customHeight="1">
      <c r="D934" s="906"/>
    </row>
    <row r="935" ht="15.75" customHeight="1">
      <c r="D935" s="906"/>
    </row>
    <row r="936" ht="15.75" customHeight="1">
      <c r="D936" s="906"/>
    </row>
    <row r="937" ht="15.75" customHeight="1">
      <c r="D937" s="906"/>
    </row>
    <row r="938" ht="15.75" customHeight="1">
      <c r="D938" s="906"/>
    </row>
    <row r="939" ht="15.75" customHeight="1">
      <c r="D939" s="906"/>
    </row>
    <row r="940" ht="15.75" customHeight="1">
      <c r="D940" s="906"/>
    </row>
    <row r="941" ht="15.75" customHeight="1">
      <c r="D941" s="906"/>
    </row>
    <row r="942" ht="15.75" customHeight="1">
      <c r="D942" s="906"/>
    </row>
    <row r="943" ht="15.75" customHeight="1">
      <c r="D943" s="906"/>
    </row>
    <row r="944" ht="15.75" customHeight="1">
      <c r="D944" s="906"/>
    </row>
    <row r="945" ht="15.75" customHeight="1">
      <c r="D945" s="906"/>
    </row>
    <row r="946" ht="15.75" customHeight="1">
      <c r="D946" s="906"/>
    </row>
    <row r="947" ht="15.75" customHeight="1">
      <c r="D947" s="906"/>
    </row>
    <row r="948" ht="15.75" customHeight="1">
      <c r="D948" s="906"/>
    </row>
    <row r="949" ht="15.75" customHeight="1">
      <c r="D949" s="906"/>
    </row>
    <row r="950" ht="15.75" customHeight="1">
      <c r="D950" s="906"/>
    </row>
    <row r="951" ht="15.75" customHeight="1">
      <c r="D951" s="906"/>
    </row>
    <row r="952" ht="15.75" customHeight="1">
      <c r="D952" s="906"/>
    </row>
    <row r="953" ht="15.75" customHeight="1">
      <c r="D953" s="906"/>
    </row>
    <row r="954" ht="15.75" customHeight="1">
      <c r="D954" s="906"/>
    </row>
    <row r="955" ht="15.75" customHeight="1">
      <c r="D955" s="906"/>
    </row>
    <row r="956" ht="15.75" customHeight="1">
      <c r="D956" s="906"/>
    </row>
    <row r="957" ht="15.75" customHeight="1">
      <c r="D957" s="906"/>
    </row>
    <row r="958" ht="15.75" customHeight="1">
      <c r="D958" s="906"/>
    </row>
    <row r="959" ht="15.75" customHeight="1">
      <c r="D959" s="906"/>
    </row>
    <row r="960" ht="15.75" customHeight="1">
      <c r="D960" s="906"/>
    </row>
    <row r="961" ht="15.75" customHeight="1">
      <c r="D961" s="906"/>
    </row>
    <row r="962" ht="15.75" customHeight="1">
      <c r="D962" s="906"/>
    </row>
    <row r="963" ht="15.75" customHeight="1">
      <c r="D963" s="906"/>
    </row>
    <row r="964" ht="15.75" customHeight="1">
      <c r="D964" s="906"/>
    </row>
    <row r="965" ht="15.75" customHeight="1">
      <c r="D965" s="906"/>
    </row>
    <row r="966" ht="15.75" customHeight="1">
      <c r="D966" s="906"/>
    </row>
    <row r="967" ht="15.75" customHeight="1">
      <c r="D967" s="906"/>
    </row>
    <row r="968" ht="15.75" customHeight="1">
      <c r="D968" s="906"/>
    </row>
    <row r="969" ht="15.75" customHeight="1">
      <c r="D969" s="906"/>
    </row>
    <row r="970" ht="15.75" customHeight="1">
      <c r="D970" s="906"/>
    </row>
    <row r="971" ht="15.75" customHeight="1">
      <c r="D971" s="906"/>
    </row>
    <row r="972" ht="15.75" customHeight="1">
      <c r="D972" s="906"/>
    </row>
    <row r="973" ht="15.75" customHeight="1">
      <c r="D973" s="906"/>
    </row>
    <row r="974" ht="15.75" customHeight="1">
      <c r="D974" s="906"/>
    </row>
    <row r="975" ht="15.75" customHeight="1">
      <c r="D975" s="906"/>
    </row>
    <row r="976" ht="15.75" customHeight="1">
      <c r="D976" s="906"/>
    </row>
    <row r="977" ht="15.75" customHeight="1">
      <c r="D977" s="906"/>
    </row>
    <row r="978" ht="15.75" customHeight="1">
      <c r="D978" s="906"/>
    </row>
    <row r="979" ht="15.75" customHeight="1">
      <c r="D979" s="906"/>
    </row>
    <row r="980" ht="15.75" customHeight="1">
      <c r="D980" s="906"/>
    </row>
    <row r="981" ht="15.75" customHeight="1">
      <c r="D981" s="906"/>
    </row>
    <row r="982" ht="15.75" customHeight="1">
      <c r="D982" s="906"/>
    </row>
    <row r="983" ht="15.75" customHeight="1">
      <c r="D983" s="906"/>
    </row>
    <row r="984" ht="15.75" customHeight="1">
      <c r="D984" s="906"/>
    </row>
    <row r="985" ht="15.75" customHeight="1">
      <c r="D985" s="906"/>
    </row>
    <row r="986" ht="15.75" customHeight="1">
      <c r="D986" s="906"/>
    </row>
    <row r="987" ht="15.75" customHeight="1">
      <c r="D987" s="906"/>
    </row>
    <row r="988" ht="15.75" customHeight="1">
      <c r="D988" s="906"/>
    </row>
    <row r="989" ht="15.75" customHeight="1">
      <c r="D989" s="906"/>
    </row>
    <row r="990" ht="15.75" customHeight="1">
      <c r="D990" s="906"/>
    </row>
    <row r="991" ht="15.75" customHeight="1">
      <c r="D991" s="906"/>
    </row>
    <row r="992" ht="15.75" customHeight="1">
      <c r="D992" s="906"/>
    </row>
    <row r="993" ht="15.75" customHeight="1">
      <c r="D993" s="906"/>
    </row>
    <row r="994" ht="15.75" customHeight="1">
      <c r="D994" s="906"/>
    </row>
    <row r="995" ht="15.75" customHeight="1">
      <c r="D995" s="906"/>
    </row>
    <row r="996" ht="15.75" customHeight="1">
      <c r="D996" s="906"/>
    </row>
    <row r="997" ht="15.75" customHeight="1">
      <c r="D997" s="906"/>
    </row>
    <row r="998" ht="15.75" customHeight="1">
      <c r="D998" s="906"/>
    </row>
    <row r="999" ht="15.75" customHeight="1">
      <c r="D999" s="906"/>
    </row>
    <row r="1000" ht="15.75" customHeight="1">
      <c r="D1000" s="906"/>
    </row>
  </sheetData>
  <autoFilter ref="$A$1:$M$219"/>
  <mergeCells count="2">
    <mergeCell ref="B237:B238"/>
    <mergeCell ref="B245:B246"/>
  </mergeCells>
  <hyperlinks>
    <hyperlink r:id="rId1" ref="M14"/>
    <hyperlink r:id="rId2" ref="M32"/>
    <hyperlink r:id="rId3" ref="M33"/>
    <hyperlink r:id="rId4" ref="C59"/>
    <hyperlink r:id="rId5" ref="M289"/>
    <hyperlink r:id="rId6" ref="M298"/>
    <hyperlink r:id="rId7" ref="M314"/>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56"/>
  </cols>
  <sheetData>
    <row r="1" ht="17.25" customHeight="1">
      <c r="A1" s="907">
        <v>45292.0</v>
      </c>
      <c r="B1" s="448" t="s">
        <v>3728</v>
      </c>
    </row>
    <row r="2" ht="17.25" customHeight="1">
      <c r="A2" s="907">
        <v>45299.0</v>
      </c>
      <c r="B2" s="448" t="s">
        <v>3729</v>
      </c>
    </row>
    <row r="3" ht="17.25" customHeight="1">
      <c r="A3" s="907">
        <v>45376.0</v>
      </c>
      <c r="B3" s="448" t="s">
        <v>3730</v>
      </c>
    </row>
    <row r="4" ht="17.25" customHeight="1">
      <c r="A4" s="907">
        <v>45379.0</v>
      </c>
      <c r="B4" s="448" t="s">
        <v>3731</v>
      </c>
    </row>
    <row r="5" ht="17.25" customHeight="1">
      <c r="A5" s="907">
        <v>45380.0</v>
      </c>
      <c r="B5" s="448" t="s">
        <v>3732</v>
      </c>
    </row>
    <row r="6" ht="17.25" customHeight="1">
      <c r="A6" s="907">
        <v>45413.0</v>
      </c>
      <c r="B6" s="448" t="s">
        <v>3733</v>
      </c>
    </row>
    <row r="7" ht="17.25" customHeight="1">
      <c r="A7" s="907">
        <v>45425.0</v>
      </c>
      <c r="B7" s="448" t="s">
        <v>3734</v>
      </c>
    </row>
    <row r="8" ht="17.25" customHeight="1">
      <c r="A8" s="907">
        <v>45446.0</v>
      </c>
      <c r="B8" s="448" t="s">
        <v>3735</v>
      </c>
    </row>
    <row r="9" ht="17.25" customHeight="1">
      <c r="A9" s="907">
        <v>45453.0</v>
      </c>
      <c r="B9" s="448" t="s">
        <v>3736</v>
      </c>
    </row>
    <row r="10" ht="17.25" customHeight="1">
      <c r="A10" s="907">
        <v>45474.0</v>
      </c>
      <c r="B10" s="448" t="s">
        <v>3737</v>
      </c>
    </row>
    <row r="11" ht="17.25" customHeight="1">
      <c r="A11" s="907">
        <v>45493.0</v>
      </c>
      <c r="B11" s="448" t="s">
        <v>3738</v>
      </c>
    </row>
    <row r="12" ht="17.25" customHeight="1">
      <c r="A12" s="907">
        <v>45511.0</v>
      </c>
      <c r="B12" s="448" t="s">
        <v>3739</v>
      </c>
    </row>
    <row r="13" ht="17.25" customHeight="1">
      <c r="A13" s="907">
        <v>45523.0</v>
      </c>
      <c r="B13" s="448" t="s">
        <v>3740</v>
      </c>
    </row>
    <row r="14" ht="17.25" customHeight="1">
      <c r="A14" s="907">
        <v>45579.0</v>
      </c>
      <c r="B14" s="448" t="s">
        <v>3741</v>
      </c>
    </row>
    <row r="15" ht="17.25" customHeight="1">
      <c r="A15" s="907">
        <v>45600.0</v>
      </c>
      <c r="B15" s="448" t="s">
        <v>3742</v>
      </c>
    </row>
    <row r="16" ht="17.25" customHeight="1">
      <c r="A16" s="907">
        <v>45607.0</v>
      </c>
      <c r="B16" s="448" t="s">
        <v>3743</v>
      </c>
    </row>
    <row r="17" ht="17.25" customHeight="1">
      <c r="A17" s="907">
        <v>45634.0</v>
      </c>
      <c r="B17" s="448" t="s">
        <v>3744</v>
      </c>
    </row>
    <row r="18">
      <c r="A18" s="907">
        <v>45651.0</v>
      </c>
      <c r="B18" s="448" t="s">
        <v>3745</v>
      </c>
    </row>
    <row r="19" ht="17.25" customHeight="1">
      <c r="A19" s="907">
        <v>45658.0</v>
      </c>
      <c r="B19" s="908" t="s">
        <v>3746</v>
      </c>
    </row>
    <row r="20" ht="17.25" customHeight="1">
      <c r="A20" s="907">
        <v>45663.0</v>
      </c>
      <c r="B20" s="908" t="s">
        <v>3747</v>
      </c>
    </row>
    <row r="21" ht="17.25" customHeight="1">
      <c r="A21" s="907">
        <v>45740.0</v>
      </c>
      <c r="B21" s="908" t="s">
        <v>3748</v>
      </c>
    </row>
    <row r="22" ht="17.25" customHeight="1">
      <c r="A22" s="907">
        <v>45764.0</v>
      </c>
      <c r="B22" s="908" t="s">
        <v>3749</v>
      </c>
    </row>
    <row r="23" ht="17.25" customHeight="1">
      <c r="A23" s="907">
        <v>45765.0</v>
      </c>
      <c r="B23" s="908" t="s">
        <v>3750</v>
      </c>
    </row>
    <row r="24" ht="17.25" customHeight="1">
      <c r="A24" s="907">
        <v>45778.0</v>
      </c>
      <c r="B24" s="908" t="s">
        <v>3751</v>
      </c>
    </row>
    <row r="25" ht="17.25" customHeight="1">
      <c r="A25" s="907">
        <v>45810.0</v>
      </c>
      <c r="B25" s="908" t="s">
        <v>3752</v>
      </c>
    </row>
    <row r="26" ht="17.25" customHeight="1">
      <c r="A26" s="907">
        <v>45831.0</v>
      </c>
      <c r="B26" s="908" t="s">
        <v>3753</v>
      </c>
    </row>
    <row r="27" ht="17.25" customHeight="1">
      <c r="A27" s="907">
        <v>45838.0</v>
      </c>
      <c r="B27" s="908" t="s">
        <v>3754</v>
      </c>
    </row>
    <row r="28" ht="17.25" customHeight="1">
      <c r="A28" s="907">
        <v>45858.0</v>
      </c>
      <c r="B28" s="908" t="s">
        <v>3755</v>
      </c>
    </row>
    <row r="29" ht="17.25" customHeight="1">
      <c r="A29" s="907">
        <v>45876.0</v>
      </c>
      <c r="B29" s="908" t="s">
        <v>3756</v>
      </c>
    </row>
    <row r="30" ht="17.25" customHeight="1">
      <c r="A30" s="907">
        <v>45887.0</v>
      </c>
      <c r="B30" s="908" t="s">
        <v>3757</v>
      </c>
    </row>
    <row r="31" ht="17.25" customHeight="1">
      <c r="A31" s="907">
        <v>45943.0</v>
      </c>
      <c r="B31" s="908" t="s">
        <v>3758</v>
      </c>
    </row>
    <row r="32" ht="17.25" customHeight="1">
      <c r="A32" s="907">
        <v>45964.0</v>
      </c>
      <c r="B32" s="908" t="s">
        <v>3759</v>
      </c>
    </row>
    <row r="33" ht="17.25" customHeight="1">
      <c r="A33" s="907">
        <v>45978.0</v>
      </c>
      <c r="B33" s="908" t="s">
        <v>3760</v>
      </c>
    </row>
    <row r="34" ht="17.25" customHeight="1">
      <c r="A34" s="907">
        <v>45999.0</v>
      </c>
      <c r="B34" s="908" t="s">
        <v>3761</v>
      </c>
    </row>
    <row r="35" ht="17.25" customHeight="1">
      <c r="A35" s="907">
        <v>46016.0</v>
      </c>
      <c r="B35" s="908" t="s">
        <v>3762</v>
      </c>
    </row>
    <row r="36" ht="17.25" customHeight="1">
      <c r="A36" s="909">
        <v>46023.0</v>
      </c>
      <c r="B36" s="908" t="s">
        <v>3746</v>
      </c>
    </row>
    <row r="37" ht="17.25" customHeight="1">
      <c r="A37" s="909">
        <v>46034.0</v>
      </c>
      <c r="B37" s="908" t="s">
        <v>3747</v>
      </c>
    </row>
    <row r="38" ht="17.25" customHeight="1">
      <c r="A38" s="909">
        <v>46104.0</v>
      </c>
      <c r="B38" s="908" t="s">
        <v>3748</v>
      </c>
    </row>
    <row r="39" ht="17.25" customHeight="1">
      <c r="A39" s="909">
        <v>46114.0</v>
      </c>
      <c r="B39" s="908" t="s">
        <v>3749</v>
      </c>
    </row>
    <row r="40" ht="17.25" customHeight="1">
      <c r="A40" s="909">
        <v>46115.0</v>
      </c>
      <c r="B40" s="908" t="s">
        <v>3750</v>
      </c>
    </row>
    <row r="41" ht="17.25" customHeight="1">
      <c r="A41" s="909">
        <v>46143.0</v>
      </c>
      <c r="B41" s="908" t="s">
        <v>3751</v>
      </c>
    </row>
    <row r="42" ht="17.25" customHeight="1">
      <c r="A42" s="909">
        <v>46160.0</v>
      </c>
      <c r="B42" s="908" t="s">
        <v>3752</v>
      </c>
    </row>
    <row r="43" ht="17.25" customHeight="1">
      <c r="A43" s="909">
        <v>46181.0</v>
      </c>
      <c r="B43" s="908" t="s">
        <v>3753</v>
      </c>
    </row>
    <row r="44" ht="17.25" customHeight="1">
      <c r="A44" s="909">
        <v>46188.0</v>
      </c>
      <c r="B44" s="908" t="s">
        <v>3763</v>
      </c>
    </row>
    <row r="45" ht="17.25" customHeight="1">
      <c r="A45" s="909">
        <v>46202.0</v>
      </c>
      <c r="B45" s="908" t="s">
        <v>3764</v>
      </c>
    </row>
    <row r="46" ht="17.25" customHeight="1">
      <c r="A46" s="909">
        <v>46223.0</v>
      </c>
      <c r="B46" s="908" t="s">
        <v>3755</v>
      </c>
    </row>
    <row r="47" ht="17.25" customHeight="1">
      <c r="A47" s="909">
        <v>46241.0</v>
      </c>
      <c r="B47" s="908" t="s">
        <v>3756</v>
      </c>
    </row>
    <row r="48" ht="17.25" customHeight="1">
      <c r="A48" s="909">
        <v>46251.0</v>
      </c>
      <c r="B48" s="908" t="s">
        <v>3757</v>
      </c>
    </row>
    <row r="49" ht="17.25" customHeight="1">
      <c r="A49" s="909">
        <v>46307.0</v>
      </c>
      <c r="B49" s="908" t="s">
        <v>3758</v>
      </c>
    </row>
    <row r="50" ht="17.25" customHeight="1">
      <c r="A50" s="909">
        <v>46328.0</v>
      </c>
      <c r="B50" s="908" t="s">
        <v>3759</v>
      </c>
    </row>
    <row r="51" ht="17.25" customHeight="1">
      <c r="A51" s="909">
        <v>46342.0</v>
      </c>
      <c r="B51" s="908" t="s">
        <v>3760</v>
      </c>
    </row>
    <row r="52" ht="17.25" customHeight="1">
      <c r="A52" s="909">
        <v>46364.0</v>
      </c>
      <c r="B52" s="908" t="s">
        <v>3761</v>
      </c>
    </row>
    <row r="53" ht="17.25" customHeight="1">
      <c r="A53" s="909">
        <v>46381.0</v>
      </c>
      <c r="B53" s="908" t="s">
        <v>3762</v>
      </c>
    </row>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8.0"/>
    <col customWidth="1" min="2" max="10" width="10.56"/>
    <col customWidth="1" min="11" max="12" width="13.56"/>
    <col customWidth="1" min="13" max="26" width="10.56"/>
  </cols>
  <sheetData>
    <row r="1">
      <c r="A1" s="892" t="s">
        <v>3765</v>
      </c>
      <c r="B1" s="448"/>
      <c r="C1" s="448"/>
      <c r="D1" s="448"/>
      <c r="E1" s="448"/>
      <c r="F1" s="448"/>
      <c r="G1" s="448"/>
      <c r="H1" s="448"/>
      <c r="I1" s="448"/>
      <c r="J1" s="448"/>
      <c r="K1" s="448"/>
      <c r="L1" s="448"/>
      <c r="M1" s="448"/>
      <c r="N1" s="448"/>
      <c r="O1" s="448"/>
      <c r="P1" s="448"/>
      <c r="Q1" s="448"/>
      <c r="R1" s="448"/>
      <c r="S1" s="448"/>
      <c r="T1" s="448"/>
      <c r="U1" s="448"/>
      <c r="V1" s="448"/>
      <c r="W1" s="448"/>
      <c r="X1" s="448"/>
      <c r="Y1" s="448"/>
      <c r="Z1" s="448"/>
    </row>
    <row r="2">
      <c r="A2" s="448"/>
      <c r="B2" s="448"/>
      <c r="C2" s="448"/>
      <c r="D2" s="448"/>
      <c r="E2" s="448"/>
      <c r="F2" s="448"/>
      <c r="G2" s="448"/>
      <c r="H2" s="448"/>
      <c r="I2" s="448"/>
      <c r="J2" s="448"/>
      <c r="K2" s="448"/>
      <c r="L2" s="448"/>
      <c r="M2" s="448"/>
      <c r="N2" s="448"/>
      <c r="O2" s="448"/>
      <c r="P2" s="448"/>
      <c r="Q2" s="448"/>
      <c r="R2" s="448"/>
      <c r="S2" s="448"/>
      <c r="T2" s="448"/>
      <c r="U2" s="448"/>
      <c r="V2" s="448"/>
      <c r="W2" s="448"/>
      <c r="X2" s="448"/>
      <c r="Y2" s="448"/>
      <c r="Z2" s="448"/>
    </row>
    <row r="3" ht="32.25" customHeight="1">
      <c r="A3" s="910" t="s">
        <v>3766</v>
      </c>
      <c r="B3" s="911">
        <v>45596.0</v>
      </c>
      <c r="C3" s="911">
        <v>45597.0</v>
      </c>
      <c r="D3" s="911">
        <v>45601.0</v>
      </c>
      <c r="E3" s="911">
        <v>45602.0</v>
      </c>
      <c r="F3" s="911">
        <v>45603.0</v>
      </c>
      <c r="G3" s="911">
        <v>45604.0</v>
      </c>
      <c r="H3" s="911">
        <v>45608.0</v>
      </c>
      <c r="I3" s="911">
        <v>45609.0</v>
      </c>
      <c r="J3" s="911">
        <v>45610.0</v>
      </c>
      <c r="K3" s="911">
        <v>45611.0</v>
      </c>
      <c r="L3" s="911">
        <v>45614.0</v>
      </c>
      <c r="M3" s="911">
        <v>45615.0</v>
      </c>
      <c r="N3" s="911">
        <v>45616.0</v>
      </c>
      <c r="O3" s="911">
        <v>45617.0</v>
      </c>
      <c r="P3" s="911">
        <v>45618.0</v>
      </c>
      <c r="Q3" s="912">
        <v>45621.0</v>
      </c>
      <c r="R3" s="912">
        <v>45622.0</v>
      </c>
      <c r="S3" s="912">
        <v>45623.0</v>
      </c>
      <c r="T3" s="912">
        <v>45624.0</v>
      </c>
      <c r="U3" s="912">
        <v>45625.0</v>
      </c>
      <c r="V3" s="912">
        <v>45628.0</v>
      </c>
      <c r="W3" s="912">
        <v>45629.0</v>
      </c>
      <c r="X3" s="912">
        <v>45630.0</v>
      </c>
      <c r="Y3" s="912">
        <v>45631.0</v>
      </c>
      <c r="Z3" s="912">
        <v>45632.0</v>
      </c>
      <c r="AA3" s="912">
        <v>45635.0</v>
      </c>
      <c r="AB3" s="912">
        <v>45636.0</v>
      </c>
      <c r="AC3" s="912">
        <v>45637.0</v>
      </c>
      <c r="AD3" s="912">
        <v>45638.0</v>
      </c>
      <c r="AE3" s="913">
        <v>45639.0</v>
      </c>
      <c r="AF3" s="911">
        <v>45642.0</v>
      </c>
      <c r="AG3" s="911">
        <v>45643.0</v>
      </c>
      <c r="AH3" s="911">
        <v>45644.0</v>
      </c>
      <c r="AI3" s="911">
        <v>45645.0</v>
      </c>
      <c r="AJ3" s="911">
        <v>45646.0</v>
      </c>
      <c r="AK3" s="911">
        <v>45649.0</v>
      </c>
      <c r="AL3" s="911">
        <v>45650.0</v>
      </c>
      <c r="AM3" s="911">
        <v>45652.0</v>
      </c>
      <c r="AN3" s="911">
        <v>45653.0</v>
      </c>
      <c r="AO3" s="911">
        <v>45656.0</v>
      </c>
      <c r="AP3" s="911">
        <v>45656.0</v>
      </c>
      <c r="AQ3" s="911">
        <v>45664.0</v>
      </c>
      <c r="AR3" s="911">
        <v>45665.0</v>
      </c>
      <c r="AS3" s="911">
        <v>45666.0</v>
      </c>
      <c r="AT3" s="911">
        <v>45667.0</v>
      </c>
      <c r="AU3" s="911">
        <v>45670.0</v>
      </c>
      <c r="AV3" s="911">
        <v>45671.0</v>
      </c>
      <c r="AW3" s="911">
        <v>45672.0</v>
      </c>
      <c r="AX3" s="911">
        <v>45673.0</v>
      </c>
      <c r="AY3" s="911">
        <v>45674.0</v>
      </c>
      <c r="AZ3" s="911">
        <v>45677.0</v>
      </c>
      <c r="BA3" s="911">
        <v>45678.0</v>
      </c>
      <c r="BB3" s="911">
        <v>45679.0</v>
      </c>
      <c r="BC3" s="911">
        <v>45680.0</v>
      </c>
      <c r="BD3" s="911">
        <v>45681.0</v>
      </c>
      <c r="BE3" s="911">
        <v>45684.0</v>
      </c>
      <c r="BF3" s="911">
        <v>45685.0</v>
      </c>
      <c r="BG3" s="911">
        <v>45686.0</v>
      </c>
      <c r="BH3" s="911">
        <v>45687.0</v>
      </c>
      <c r="BI3" s="911">
        <v>45688.0</v>
      </c>
      <c r="BJ3" s="912">
        <v>45691.0</v>
      </c>
      <c r="BK3" s="912">
        <v>45692.0</v>
      </c>
      <c r="BL3" s="912">
        <v>45693.0</v>
      </c>
      <c r="BM3" s="912">
        <v>45694.0</v>
      </c>
      <c r="BN3" s="912">
        <v>45695.0</v>
      </c>
      <c r="BO3" s="912">
        <v>45698.0</v>
      </c>
      <c r="BP3" s="912">
        <v>45699.0</v>
      </c>
      <c r="BQ3" s="912">
        <v>45700.0</v>
      </c>
      <c r="BR3" s="912">
        <v>45701.0</v>
      </c>
      <c r="BS3" s="912">
        <v>45702.0</v>
      </c>
      <c r="BT3" s="912">
        <v>45705.0</v>
      </c>
      <c r="BU3" s="912">
        <v>45706.0</v>
      </c>
      <c r="BV3" s="912">
        <v>45707.0</v>
      </c>
      <c r="BW3" s="912">
        <v>45708.0</v>
      </c>
      <c r="BX3" s="912">
        <v>45709.0</v>
      </c>
      <c r="BY3" s="912">
        <v>45712.0</v>
      </c>
      <c r="BZ3" s="912">
        <v>45713.0</v>
      </c>
      <c r="CA3" s="912">
        <v>45714.0</v>
      </c>
      <c r="CB3" s="912">
        <v>45715.0</v>
      </c>
      <c r="CC3" s="912">
        <v>45716.0</v>
      </c>
      <c r="CD3" s="912">
        <v>45719.0</v>
      </c>
      <c r="CE3" s="912">
        <v>45720.0</v>
      </c>
      <c r="CF3" s="912">
        <v>45721.0</v>
      </c>
      <c r="CG3" s="912">
        <v>45722.0</v>
      </c>
      <c r="CH3" s="912">
        <v>45723.0</v>
      </c>
      <c r="CI3" s="912">
        <v>45726.0</v>
      </c>
      <c r="CJ3" s="912">
        <v>45727.0</v>
      </c>
      <c r="CK3" s="912">
        <v>45728.0</v>
      </c>
      <c r="CL3" s="912">
        <v>45729.0</v>
      </c>
      <c r="CM3" s="912">
        <v>45730.0</v>
      </c>
      <c r="CN3" s="912">
        <v>45733.0</v>
      </c>
      <c r="CO3" s="912">
        <v>45734.0</v>
      </c>
      <c r="CP3" s="912">
        <v>45735.0</v>
      </c>
      <c r="CQ3" s="912">
        <v>45736.0</v>
      </c>
      <c r="CR3" s="912">
        <v>45737.0</v>
      </c>
      <c r="CS3" s="912">
        <v>45741.0</v>
      </c>
    </row>
    <row r="4" ht="30.75" customHeight="1">
      <c r="A4" s="914" t="s">
        <v>2831</v>
      </c>
      <c r="B4" s="915" t="s">
        <v>3767</v>
      </c>
      <c r="C4" s="916" t="s">
        <v>3768</v>
      </c>
      <c r="D4" s="731" t="s">
        <v>3767</v>
      </c>
      <c r="E4" s="731" t="s">
        <v>3767</v>
      </c>
      <c r="F4" s="731" t="s">
        <v>3767</v>
      </c>
      <c r="G4" s="731" t="s">
        <v>3767</v>
      </c>
      <c r="H4" s="731" t="s">
        <v>3767</v>
      </c>
      <c r="I4" s="731" t="s">
        <v>3767</v>
      </c>
      <c r="J4" s="731" t="s">
        <v>3767</v>
      </c>
      <c r="K4" s="731" t="s">
        <v>3767</v>
      </c>
      <c r="L4" s="731" t="s">
        <v>3767</v>
      </c>
      <c r="M4" s="731" t="s">
        <v>3767</v>
      </c>
      <c r="N4" s="731" t="s">
        <v>3767</v>
      </c>
      <c r="O4" s="731" t="s">
        <v>3769</v>
      </c>
      <c r="P4" s="917" t="s">
        <v>3767</v>
      </c>
      <c r="Q4" s="731" t="s">
        <v>3767</v>
      </c>
      <c r="R4" s="731" t="s">
        <v>3767</v>
      </c>
      <c r="S4" s="731" t="s">
        <v>3767</v>
      </c>
      <c r="T4" s="731" t="s">
        <v>3767</v>
      </c>
      <c r="U4" s="917" t="s">
        <v>3770</v>
      </c>
      <c r="V4" s="731" t="s">
        <v>3767</v>
      </c>
      <c r="W4" s="731" t="s">
        <v>3767</v>
      </c>
      <c r="X4" s="731" t="s">
        <v>3767</v>
      </c>
      <c r="Y4" s="731" t="s">
        <v>3767</v>
      </c>
      <c r="Z4" s="731" t="s">
        <v>3767</v>
      </c>
      <c r="AA4" s="731" t="s">
        <v>3767</v>
      </c>
      <c r="AB4" s="731" t="s">
        <v>3767</v>
      </c>
      <c r="AC4" s="731" t="s">
        <v>3767</v>
      </c>
      <c r="AD4" s="731" t="s">
        <v>3767</v>
      </c>
      <c r="AE4" s="918" t="s">
        <v>3771</v>
      </c>
      <c r="AF4" s="731" t="s">
        <v>3767</v>
      </c>
      <c r="AG4" s="731" t="s">
        <v>3767</v>
      </c>
      <c r="AH4" s="731" t="s">
        <v>3767</v>
      </c>
      <c r="AI4" s="731" t="s">
        <v>3767</v>
      </c>
      <c r="AJ4" s="731" t="s">
        <v>3767</v>
      </c>
      <c r="AK4" s="731" t="s">
        <v>3767</v>
      </c>
      <c r="AL4" s="918" t="s">
        <v>3772</v>
      </c>
      <c r="AM4" s="731" t="s">
        <v>3770</v>
      </c>
      <c r="AN4" s="731" t="s">
        <v>3770</v>
      </c>
      <c r="AO4" s="731" t="s">
        <v>3767</v>
      </c>
      <c r="AP4" s="918" t="s">
        <v>3773</v>
      </c>
      <c r="AQ4" s="731" t="s">
        <v>3767</v>
      </c>
      <c r="AR4" s="731" t="s">
        <v>3767</v>
      </c>
      <c r="AS4" s="918" t="s">
        <v>3773</v>
      </c>
      <c r="AT4" s="858" t="s">
        <v>3767</v>
      </c>
      <c r="AU4" s="731" t="s">
        <v>3767</v>
      </c>
      <c r="AV4" s="731" t="s">
        <v>3767</v>
      </c>
      <c r="AW4" s="731" t="s">
        <v>3767</v>
      </c>
      <c r="AX4" s="731" t="s">
        <v>3767</v>
      </c>
      <c r="AY4" s="918" t="s">
        <v>3773</v>
      </c>
      <c r="AZ4" s="731" t="s">
        <v>3767</v>
      </c>
      <c r="BA4" s="731" t="s">
        <v>3767</v>
      </c>
      <c r="BB4" s="731" t="s">
        <v>3767</v>
      </c>
      <c r="BC4" s="731" t="s">
        <v>3767</v>
      </c>
      <c r="BD4" s="731" t="s">
        <v>3767</v>
      </c>
      <c r="BE4" s="731" t="s">
        <v>3767</v>
      </c>
      <c r="BF4" s="731" t="s">
        <v>3767</v>
      </c>
      <c r="BG4" s="731" t="s">
        <v>3767</v>
      </c>
      <c r="BH4" s="731" t="s">
        <v>3767</v>
      </c>
      <c r="BI4" s="917" t="s">
        <v>3767</v>
      </c>
      <c r="BJ4" s="918" t="s">
        <v>3773</v>
      </c>
      <c r="BK4" s="917" t="s">
        <v>3774</v>
      </c>
      <c r="BL4" s="917" t="s">
        <v>3774</v>
      </c>
      <c r="BM4" s="917" t="s">
        <v>3774</v>
      </c>
      <c r="BN4" s="917" t="s">
        <v>3774</v>
      </c>
      <c r="BO4" s="917" t="s">
        <v>3774</v>
      </c>
      <c r="BP4" s="917" t="s">
        <v>3774</v>
      </c>
      <c r="BQ4" s="917" t="s">
        <v>3774</v>
      </c>
      <c r="BR4" s="731" t="s">
        <v>3767</v>
      </c>
      <c r="BS4" s="731" t="s">
        <v>3767</v>
      </c>
      <c r="BT4" s="731" t="s">
        <v>3767</v>
      </c>
      <c r="BU4" s="731" t="s">
        <v>3767</v>
      </c>
      <c r="BV4" s="731" t="s">
        <v>3767</v>
      </c>
      <c r="BW4" s="731" t="s">
        <v>3767</v>
      </c>
      <c r="BX4" s="731" t="s">
        <v>3767</v>
      </c>
      <c r="BY4" s="731" t="s">
        <v>3767</v>
      </c>
      <c r="BZ4" s="731" t="s">
        <v>3767</v>
      </c>
      <c r="CA4" s="731" t="s">
        <v>3767</v>
      </c>
      <c r="CB4" s="731" t="s">
        <v>3767</v>
      </c>
      <c r="CC4" s="731" t="s">
        <v>3767</v>
      </c>
      <c r="CD4" s="731" t="s">
        <v>3767</v>
      </c>
      <c r="CE4" s="731" t="s">
        <v>3767</v>
      </c>
      <c r="CF4" s="731" t="s">
        <v>3767</v>
      </c>
      <c r="CG4" s="731"/>
      <c r="CH4" s="731"/>
      <c r="CI4" s="918" t="s">
        <v>3775</v>
      </c>
      <c r="CJ4" s="731"/>
      <c r="CK4" s="731"/>
      <c r="CL4" s="731"/>
      <c r="CM4" s="731"/>
      <c r="CN4" s="731"/>
      <c r="CO4" s="731"/>
      <c r="CP4" s="731"/>
      <c r="CQ4" s="731"/>
      <c r="CR4" s="731"/>
      <c r="CS4" s="731" t="s">
        <v>3767</v>
      </c>
    </row>
    <row r="5" ht="15.75" customHeight="1">
      <c r="A5" s="914" t="s">
        <v>2816</v>
      </c>
      <c r="B5" s="915" t="s">
        <v>3767</v>
      </c>
      <c r="C5" s="731" t="s">
        <v>3767</v>
      </c>
      <c r="D5" s="731" t="s">
        <v>3767</v>
      </c>
      <c r="E5" s="731" t="s">
        <v>3767</v>
      </c>
      <c r="F5" s="731" t="s">
        <v>3767</v>
      </c>
      <c r="G5" s="731" t="s">
        <v>3767</v>
      </c>
      <c r="H5" s="731" t="s">
        <v>3767</v>
      </c>
      <c r="I5" s="731" t="s">
        <v>3767</v>
      </c>
      <c r="J5" s="731" t="s">
        <v>3767</v>
      </c>
      <c r="K5" s="731" t="s">
        <v>3767</v>
      </c>
      <c r="L5" s="731" t="s">
        <v>3774</v>
      </c>
      <c r="M5" s="731" t="s">
        <v>3774</v>
      </c>
      <c r="N5" s="731" t="s">
        <v>3774</v>
      </c>
      <c r="O5" s="731" t="s">
        <v>3774</v>
      </c>
      <c r="P5" s="917" t="s">
        <v>3774</v>
      </c>
      <c r="Q5" s="731" t="s">
        <v>3767</v>
      </c>
      <c r="R5" s="731" t="s">
        <v>3767</v>
      </c>
      <c r="S5" s="731" t="s">
        <v>3767</v>
      </c>
      <c r="T5" s="731" t="s">
        <v>3767</v>
      </c>
      <c r="U5" s="917" t="s">
        <v>3767</v>
      </c>
      <c r="V5" s="731" t="s">
        <v>3767</v>
      </c>
      <c r="W5" s="731" t="s">
        <v>3767</v>
      </c>
      <c r="X5" s="731" t="s">
        <v>3767</v>
      </c>
      <c r="Y5" s="731" t="s">
        <v>3767</v>
      </c>
      <c r="Z5" s="731" t="s">
        <v>3767</v>
      </c>
      <c r="AA5" s="731" t="s">
        <v>3767</v>
      </c>
      <c r="AB5" s="731" t="s">
        <v>3767</v>
      </c>
      <c r="AC5" s="731" t="s">
        <v>3767</v>
      </c>
      <c r="AD5" s="731" t="s">
        <v>3767</v>
      </c>
      <c r="AE5" s="919"/>
      <c r="AF5" s="731" t="s">
        <v>3767</v>
      </c>
      <c r="AG5" s="731" t="s">
        <v>3767</v>
      </c>
      <c r="AH5" s="731" t="s">
        <v>3767</v>
      </c>
      <c r="AI5" s="731" t="s">
        <v>3767</v>
      </c>
      <c r="AJ5" s="731" t="s">
        <v>3767</v>
      </c>
      <c r="AK5" s="731" t="s">
        <v>3767</v>
      </c>
      <c r="AL5" s="919"/>
      <c r="AM5" s="731" t="s">
        <v>3767</v>
      </c>
      <c r="AN5" s="731" t="s">
        <v>3767</v>
      </c>
      <c r="AO5" s="731" t="s">
        <v>3767</v>
      </c>
      <c r="AP5" s="919"/>
      <c r="AQ5" s="731" t="s">
        <v>3774</v>
      </c>
      <c r="AR5" s="731" t="s">
        <v>3774</v>
      </c>
      <c r="AS5" s="919"/>
      <c r="AT5" s="731" t="s">
        <v>3774</v>
      </c>
      <c r="AU5" s="731" t="s">
        <v>3774</v>
      </c>
      <c r="AV5" s="731" t="s">
        <v>3774</v>
      </c>
      <c r="AW5" s="731" t="s">
        <v>3774</v>
      </c>
      <c r="AX5" s="731" t="s">
        <v>3774</v>
      </c>
      <c r="AY5" s="919"/>
      <c r="AZ5" s="731" t="s">
        <v>3774</v>
      </c>
      <c r="BA5" s="731" t="s">
        <v>3767</v>
      </c>
      <c r="BB5" s="731" t="s">
        <v>3767</v>
      </c>
      <c r="BC5" s="731" t="s">
        <v>3767</v>
      </c>
      <c r="BD5" s="731" t="s">
        <v>3767</v>
      </c>
      <c r="BE5" s="731" t="s">
        <v>3767</v>
      </c>
      <c r="BF5" s="731" t="s">
        <v>3767</v>
      </c>
      <c r="BG5" s="731" t="s">
        <v>3767</v>
      </c>
      <c r="BH5" s="731" t="s">
        <v>3767</v>
      </c>
      <c r="BI5" s="917" t="s">
        <v>3767</v>
      </c>
      <c r="BJ5" s="919"/>
      <c r="BK5" s="917" t="s">
        <v>3767</v>
      </c>
      <c r="BL5" s="917" t="s">
        <v>3767</v>
      </c>
      <c r="BM5" s="731" t="s">
        <v>3767</v>
      </c>
      <c r="BN5" s="917" t="s">
        <v>3767</v>
      </c>
      <c r="BO5" s="731" t="s">
        <v>3767</v>
      </c>
      <c r="BP5" s="731" t="s">
        <v>3767</v>
      </c>
      <c r="BQ5" s="731" t="s">
        <v>3767</v>
      </c>
      <c r="BR5" s="731" t="s">
        <v>3767</v>
      </c>
      <c r="BS5" s="731" t="s">
        <v>3767</v>
      </c>
      <c r="BT5" s="731" t="s">
        <v>3767</v>
      </c>
      <c r="BU5" s="731" t="s">
        <v>3767</v>
      </c>
      <c r="BV5" s="731" t="s">
        <v>3767</v>
      </c>
      <c r="BW5" s="731" t="s">
        <v>3767</v>
      </c>
      <c r="BX5" s="731" t="s">
        <v>3767</v>
      </c>
      <c r="BY5" s="731" t="s">
        <v>3767</v>
      </c>
      <c r="BZ5" s="731" t="s">
        <v>3767</v>
      </c>
      <c r="CA5" s="731" t="s">
        <v>3767</v>
      </c>
      <c r="CB5" s="731" t="s">
        <v>3767</v>
      </c>
      <c r="CC5" s="731" t="s">
        <v>3767</v>
      </c>
      <c r="CD5" s="731" t="s">
        <v>3767</v>
      </c>
      <c r="CE5" s="731" t="s">
        <v>3767</v>
      </c>
      <c r="CF5" s="731" t="s">
        <v>3767</v>
      </c>
      <c r="CG5" s="731"/>
      <c r="CH5" s="731"/>
      <c r="CI5" s="919"/>
      <c r="CJ5" s="731"/>
      <c r="CK5" s="731"/>
      <c r="CL5" s="731"/>
      <c r="CM5" s="731"/>
      <c r="CN5" s="731"/>
      <c r="CO5" s="731"/>
      <c r="CP5" s="731"/>
      <c r="CQ5" s="731"/>
      <c r="CR5" s="731"/>
      <c r="CS5" s="731" t="s">
        <v>3767</v>
      </c>
    </row>
    <row r="6">
      <c r="A6" s="914" t="s">
        <v>2841</v>
      </c>
      <c r="B6" s="915" t="s">
        <v>3767</v>
      </c>
      <c r="C6" s="731" t="s">
        <v>3767</v>
      </c>
      <c r="D6" s="731" t="s">
        <v>3767</v>
      </c>
      <c r="E6" s="731" t="s">
        <v>3767</v>
      </c>
      <c r="F6" s="731" t="s">
        <v>3767</v>
      </c>
      <c r="G6" s="731" t="s">
        <v>3767</v>
      </c>
      <c r="H6" s="731" t="s">
        <v>3767</v>
      </c>
      <c r="I6" s="731" t="s">
        <v>3767</v>
      </c>
      <c r="J6" s="731" t="s">
        <v>3767</v>
      </c>
      <c r="K6" s="920" t="s">
        <v>3776</v>
      </c>
      <c r="L6" s="731" t="s">
        <v>3767</v>
      </c>
      <c r="M6" s="731" t="s">
        <v>3767</v>
      </c>
      <c r="N6" s="731" t="s">
        <v>3767</v>
      </c>
      <c r="O6" s="731" t="s">
        <v>3769</v>
      </c>
      <c r="P6" s="917" t="s">
        <v>3767</v>
      </c>
      <c r="Q6" s="731" t="s">
        <v>3767</v>
      </c>
      <c r="R6" s="731" t="s">
        <v>3767</v>
      </c>
      <c r="S6" s="731" t="s">
        <v>3767</v>
      </c>
      <c r="T6" s="731" t="s">
        <v>3767</v>
      </c>
      <c r="U6" s="917" t="s">
        <v>3767</v>
      </c>
      <c r="V6" s="731" t="s">
        <v>3767</v>
      </c>
      <c r="W6" s="731" t="s">
        <v>3767</v>
      </c>
      <c r="X6" s="731" t="s">
        <v>3767</v>
      </c>
      <c r="Y6" s="731" t="s">
        <v>3767</v>
      </c>
      <c r="Z6" s="731" t="s">
        <v>3767</v>
      </c>
      <c r="AA6" s="731" t="s">
        <v>3767</v>
      </c>
      <c r="AB6" s="731" t="s">
        <v>3767</v>
      </c>
      <c r="AC6" s="731" t="s">
        <v>3767</v>
      </c>
      <c r="AD6" s="731" t="s">
        <v>3767</v>
      </c>
      <c r="AE6" s="919"/>
      <c r="AF6" s="731" t="s">
        <v>3767</v>
      </c>
      <c r="AG6" s="731" t="s">
        <v>3767</v>
      </c>
      <c r="AH6" s="731" t="s">
        <v>3767</v>
      </c>
      <c r="AI6" s="731" t="s">
        <v>3767</v>
      </c>
      <c r="AJ6" s="731" t="s">
        <v>3767</v>
      </c>
      <c r="AK6" s="731" t="s">
        <v>3767</v>
      </c>
      <c r="AL6" s="919"/>
      <c r="AM6" s="731" t="s">
        <v>3767</v>
      </c>
      <c r="AN6" s="731" t="s">
        <v>3767</v>
      </c>
      <c r="AO6" s="731" t="s">
        <v>3767</v>
      </c>
      <c r="AP6" s="919"/>
      <c r="AQ6" s="731" t="s">
        <v>3767</v>
      </c>
      <c r="AR6" s="731" t="s">
        <v>3767</v>
      </c>
      <c r="AS6" s="919"/>
      <c r="AT6" s="731" t="s">
        <v>3767</v>
      </c>
      <c r="AU6" s="731" t="s">
        <v>3767</v>
      </c>
      <c r="AV6" s="731" t="s">
        <v>3767</v>
      </c>
      <c r="AW6" s="731" t="s">
        <v>3767</v>
      </c>
      <c r="AX6" s="731" t="s">
        <v>3767</v>
      </c>
      <c r="AY6" s="919"/>
      <c r="AZ6" s="731" t="s">
        <v>3767</v>
      </c>
      <c r="BA6" s="731" t="s">
        <v>3767</v>
      </c>
      <c r="BB6" s="731" t="s">
        <v>3767</v>
      </c>
      <c r="BC6" s="731" t="s">
        <v>3767</v>
      </c>
      <c r="BD6" s="731" t="s">
        <v>3767</v>
      </c>
      <c r="BE6" s="731" t="s">
        <v>3767</v>
      </c>
      <c r="BF6" s="731" t="s">
        <v>3767</v>
      </c>
      <c r="BG6" s="731" t="s">
        <v>3767</v>
      </c>
      <c r="BH6" s="731" t="s">
        <v>3767</v>
      </c>
      <c r="BI6" s="917" t="s">
        <v>3767</v>
      </c>
      <c r="BJ6" s="919"/>
      <c r="BK6" s="917" t="s">
        <v>3767</v>
      </c>
      <c r="BL6" s="917" t="s">
        <v>3767</v>
      </c>
      <c r="BM6" s="731" t="s">
        <v>3777</v>
      </c>
      <c r="BN6" s="917" t="s">
        <v>3767</v>
      </c>
      <c r="BO6" s="731" t="s">
        <v>3767</v>
      </c>
      <c r="BP6" s="731" t="s">
        <v>3767</v>
      </c>
      <c r="BQ6" s="731" t="s">
        <v>3767</v>
      </c>
      <c r="BR6" s="731" t="s">
        <v>3767</v>
      </c>
      <c r="BS6" s="731" t="s">
        <v>3767</v>
      </c>
      <c r="BT6" s="731" t="s">
        <v>3767</v>
      </c>
      <c r="BU6" s="731" t="s">
        <v>3767</v>
      </c>
      <c r="BV6" s="731" t="s">
        <v>3767</v>
      </c>
      <c r="BW6" s="731" t="s">
        <v>3767</v>
      </c>
      <c r="BX6" s="731" t="s">
        <v>3767</v>
      </c>
      <c r="BY6" s="731" t="s">
        <v>3767</v>
      </c>
      <c r="BZ6" s="731" t="s">
        <v>3767</v>
      </c>
      <c r="CA6" s="731" t="s">
        <v>3767</v>
      </c>
      <c r="CB6" s="731" t="s">
        <v>3767</v>
      </c>
      <c r="CC6" s="731" t="s">
        <v>3767</v>
      </c>
      <c r="CD6" s="731" t="s">
        <v>3767</v>
      </c>
      <c r="CE6" s="731" t="s">
        <v>3767</v>
      </c>
      <c r="CF6" s="731" t="s">
        <v>3767</v>
      </c>
      <c r="CG6" s="731"/>
      <c r="CH6" s="731"/>
      <c r="CI6" s="919"/>
      <c r="CJ6" s="731"/>
      <c r="CK6" s="731"/>
      <c r="CL6" s="731"/>
      <c r="CM6" s="731"/>
      <c r="CN6" s="731"/>
      <c r="CO6" s="731"/>
      <c r="CP6" s="731"/>
      <c r="CQ6" s="731"/>
      <c r="CR6" s="731"/>
      <c r="CS6" s="731" t="s">
        <v>3767</v>
      </c>
    </row>
    <row r="7" ht="15.75" hidden="1" customHeight="1">
      <c r="A7" s="914" t="s">
        <v>3778</v>
      </c>
      <c r="B7" s="915" t="s">
        <v>3767</v>
      </c>
      <c r="C7" s="731" t="s">
        <v>3767</v>
      </c>
      <c r="D7" s="731" t="s">
        <v>3767</v>
      </c>
      <c r="E7" s="731" t="s">
        <v>3767</v>
      </c>
      <c r="F7" s="731" t="s">
        <v>3767</v>
      </c>
      <c r="G7" s="731" t="s">
        <v>3767</v>
      </c>
      <c r="H7" s="731" t="s">
        <v>3767</v>
      </c>
      <c r="I7" s="731" t="s">
        <v>3767</v>
      </c>
      <c r="J7" s="731" t="s">
        <v>3767</v>
      </c>
      <c r="K7" s="731" t="s">
        <v>3767</v>
      </c>
      <c r="L7" s="920" t="s">
        <v>3776</v>
      </c>
      <c r="M7" s="731" t="s">
        <v>3767</v>
      </c>
      <c r="N7" s="731" t="s">
        <v>3767</v>
      </c>
      <c r="O7" s="731" t="s">
        <v>3769</v>
      </c>
      <c r="P7" s="917" t="s">
        <v>3767</v>
      </c>
      <c r="Q7" s="731" t="s">
        <v>3767</v>
      </c>
      <c r="R7" s="731" t="s">
        <v>3767</v>
      </c>
      <c r="S7" s="731" t="s">
        <v>3767</v>
      </c>
      <c r="T7" s="731" t="s">
        <v>3767</v>
      </c>
      <c r="U7" s="917" t="s">
        <v>3779</v>
      </c>
      <c r="V7" s="731" t="s">
        <v>3767</v>
      </c>
      <c r="W7" s="731" t="s">
        <v>3767</v>
      </c>
      <c r="X7" s="731" t="s">
        <v>3767</v>
      </c>
      <c r="Y7" s="731" t="s">
        <v>3767</v>
      </c>
      <c r="Z7" s="731" t="s">
        <v>3770</v>
      </c>
      <c r="AA7" s="731" t="s">
        <v>3767</v>
      </c>
      <c r="AB7" s="731" t="s">
        <v>3767</v>
      </c>
      <c r="AC7" s="731" t="s">
        <v>3767</v>
      </c>
      <c r="AD7" s="731" t="s">
        <v>3767</v>
      </c>
      <c r="AE7" s="919"/>
      <c r="AF7" s="731" t="s">
        <v>3767</v>
      </c>
      <c r="AG7" s="731" t="s">
        <v>3767</v>
      </c>
      <c r="AH7" s="731" t="s">
        <v>3767</v>
      </c>
      <c r="AI7" s="731" t="s">
        <v>3767</v>
      </c>
      <c r="AJ7" s="731" t="s">
        <v>3767</v>
      </c>
      <c r="AK7" s="731" t="s">
        <v>3767</v>
      </c>
      <c r="AL7" s="919"/>
      <c r="AM7" s="731" t="s">
        <v>3767</v>
      </c>
      <c r="AN7" s="731" t="s">
        <v>3767</v>
      </c>
      <c r="AO7" s="731" t="s">
        <v>3767</v>
      </c>
      <c r="AP7" s="919"/>
      <c r="AQ7" s="731" t="s">
        <v>3767</v>
      </c>
      <c r="AR7" s="731" t="s">
        <v>3767</v>
      </c>
      <c r="AS7" s="919"/>
      <c r="AT7" s="731" t="s">
        <v>3767</v>
      </c>
      <c r="AU7" s="731" t="s">
        <v>3770</v>
      </c>
      <c r="AV7" s="731" t="s">
        <v>3767</v>
      </c>
      <c r="AW7" s="731" t="s">
        <v>3767</v>
      </c>
      <c r="AX7" s="731" t="s">
        <v>3767</v>
      </c>
      <c r="AY7" s="919"/>
      <c r="AZ7" s="731" t="s">
        <v>3767</v>
      </c>
      <c r="BA7" s="731" t="s">
        <v>3767</v>
      </c>
      <c r="BB7" s="731" t="s">
        <v>3767</v>
      </c>
      <c r="BC7" s="731" t="s">
        <v>3767</v>
      </c>
      <c r="BD7" s="731" t="s">
        <v>3767</v>
      </c>
      <c r="BE7" s="731" t="s">
        <v>3767</v>
      </c>
      <c r="BF7" s="731" t="s">
        <v>3767</v>
      </c>
      <c r="BG7" s="731" t="s">
        <v>3767</v>
      </c>
      <c r="BH7" s="731" t="s">
        <v>3767</v>
      </c>
      <c r="BI7" s="917" t="s">
        <v>3767</v>
      </c>
      <c r="BJ7" s="919"/>
      <c r="BK7" s="917" t="s">
        <v>3767</v>
      </c>
      <c r="BL7" s="917" t="s">
        <v>3767</v>
      </c>
      <c r="BM7" s="731" t="s">
        <v>3767</v>
      </c>
      <c r="BN7" s="917" t="s">
        <v>3767</v>
      </c>
      <c r="BO7" s="731" t="s">
        <v>3770</v>
      </c>
      <c r="BP7" s="731"/>
      <c r="BQ7" s="731"/>
      <c r="BR7" s="731"/>
      <c r="BS7" s="731"/>
      <c r="BT7" s="731"/>
      <c r="BU7" s="731" t="s">
        <v>3767</v>
      </c>
      <c r="BV7" s="731" t="s">
        <v>3767</v>
      </c>
      <c r="BW7" s="731" t="s">
        <v>3767</v>
      </c>
      <c r="BX7" s="731" t="s">
        <v>3767</v>
      </c>
      <c r="BY7" s="731"/>
      <c r="BZ7" s="731"/>
      <c r="CA7" s="731"/>
      <c r="CB7" s="731"/>
      <c r="CC7" s="731"/>
      <c r="CD7" s="731"/>
      <c r="CE7" s="731"/>
      <c r="CF7" s="731"/>
      <c r="CG7" s="731"/>
      <c r="CH7" s="731"/>
      <c r="CI7" s="919"/>
      <c r="CJ7" s="731"/>
      <c r="CK7" s="731"/>
      <c r="CL7" s="731"/>
      <c r="CM7" s="731"/>
      <c r="CN7" s="731"/>
      <c r="CO7" s="731"/>
      <c r="CP7" s="731"/>
      <c r="CQ7" s="731"/>
      <c r="CR7" s="731"/>
      <c r="CS7" s="731"/>
    </row>
    <row r="8" ht="15.75" hidden="1" customHeight="1">
      <c r="A8" s="914" t="s">
        <v>3780</v>
      </c>
      <c r="B8" s="915" t="s">
        <v>3767</v>
      </c>
      <c r="C8" s="731" t="s">
        <v>3767</v>
      </c>
      <c r="D8" s="731" t="s">
        <v>3767</v>
      </c>
      <c r="E8" s="731" t="s">
        <v>3767</v>
      </c>
      <c r="F8" s="731" t="s">
        <v>3767</v>
      </c>
      <c r="G8" s="731" t="s">
        <v>3767</v>
      </c>
      <c r="H8" s="731" t="s">
        <v>3767</v>
      </c>
      <c r="I8" s="731" t="s">
        <v>3767</v>
      </c>
      <c r="J8" s="731" t="s">
        <v>3767</v>
      </c>
      <c r="K8" s="731" t="s">
        <v>3767</v>
      </c>
      <c r="L8" s="731" t="s">
        <v>3770</v>
      </c>
      <c r="M8" s="731" t="s">
        <v>3767</v>
      </c>
      <c r="N8" s="731" t="s">
        <v>3767</v>
      </c>
      <c r="O8" s="731" t="s">
        <v>3769</v>
      </c>
      <c r="P8" s="917" t="s">
        <v>3767</v>
      </c>
      <c r="Q8" s="731" t="s">
        <v>3767</v>
      </c>
      <c r="R8" s="731" t="s">
        <v>3767</v>
      </c>
      <c r="S8" s="731" t="s">
        <v>3767</v>
      </c>
      <c r="T8" s="731" t="s">
        <v>3767</v>
      </c>
      <c r="U8" s="917" t="s">
        <v>3767</v>
      </c>
      <c r="V8" s="731" t="s">
        <v>3767</v>
      </c>
      <c r="W8" s="731" t="s">
        <v>3781</v>
      </c>
      <c r="X8" s="731" t="s">
        <v>3767</v>
      </c>
      <c r="Y8" s="731" t="s">
        <v>3767</v>
      </c>
      <c r="Z8" s="731" t="s">
        <v>3767</v>
      </c>
      <c r="AA8" s="731" t="s">
        <v>3767</v>
      </c>
      <c r="AB8" s="731" t="s">
        <v>3770</v>
      </c>
      <c r="AC8" s="731" t="s">
        <v>3767</v>
      </c>
      <c r="AD8" s="731" t="s">
        <v>3767</v>
      </c>
      <c r="AE8" s="919"/>
      <c r="AF8" s="731" t="s">
        <v>3767</v>
      </c>
      <c r="AG8" s="731" t="s">
        <v>3767</v>
      </c>
      <c r="AH8" s="731" t="s">
        <v>3767</v>
      </c>
      <c r="AI8" s="731" t="s">
        <v>3767</v>
      </c>
      <c r="AJ8" s="731" t="s">
        <v>3767</v>
      </c>
      <c r="AK8" s="731" t="s">
        <v>3767</v>
      </c>
      <c r="AL8" s="919"/>
      <c r="AM8" s="731" t="s">
        <v>3767</v>
      </c>
      <c r="AN8" s="731" t="s">
        <v>3770</v>
      </c>
      <c r="AO8" s="731" t="s">
        <v>3767</v>
      </c>
      <c r="AP8" s="919"/>
      <c r="AQ8" s="731" t="s">
        <v>3767</v>
      </c>
      <c r="AR8" s="731" t="s">
        <v>3767</v>
      </c>
      <c r="AS8" s="919"/>
      <c r="AT8" s="731" t="s">
        <v>3767</v>
      </c>
      <c r="AU8" s="731" t="s">
        <v>3767</v>
      </c>
      <c r="AV8" s="731" t="s">
        <v>3767</v>
      </c>
      <c r="AW8" s="731" t="s">
        <v>3767</v>
      </c>
      <c r="AX8" s="731" t="s">
        <v>3767</v>
      </c>
      <c r="AY8" s="919"/>
      <c r="AZ8" s="731" t="s">
        <v>3767</v>
      </c>
      <c r="BA8" s="731" t="s">
        <v>3767</v>
      </c>
      <c r="BB8" s="731" t="s">
        <v>3767</v>
      </c>
      <c r="BC8" s="731" t="s">
        <v>3767</v>
      </c>
      <c r="BD8" s="731" t="s">
        <v>3767</v>
      </c>
      <c r="BE8" s="731" t="s">
        <v>3767</v>
      </c>
      <c r="BF8" s="731" t="s">
        <v>3767</v>
      </c>
      <c r="BG8" s="731" t="s">
        <v>3782</v>
      </c>
      <c r="BH8" s="731" t="s">
        <v>3767</v>
      </c>
      <c r="BI8" s="917" t="s">
        <v>3767</v>
      </c>
      <c r="BJ8" s="919"/>
      <c r="BK8" s="917" t="s">
        <v>3767</v>
      </c>
      <c r="BL8" s="917" t="s">
        <v>3767</v>
      </c>
      <c r="BM8" s="731" t="s">
        <v>3767</v>
      </c>
      <c r="BN8" s="917" t="s">
        <v>3767</v>
      </c>
      <c r="BO8" s="731" t="s">
        <v>3767</v>
      </c>
      <c r="BP8" s="731" t="s">
        <v>3767</v>
      </c>
      <c r="BQ8" s="731" t="s">
        <v>3767</v>
      </c>
      <c r="BR8" s="731" t="s">
        <v>3767</v>
      </c>
      <c r="BS8" s="731" t="s">
        <v>3767</v>
      </c>
      <c r="BT8" s="731" t="s">
        <v>3767</v>
      </c>
      <c r="BU8" s="731" t="s">
        <v>3767</v>
      </c>
      <c r="BV8" s="731" t="s">
        <v>3767</v>
      </c>
      <c r="BW8" s="731" t="s">
        <v>3767</v>
      </c>
      <c r="BX8" s="731" t="s">
        <v>3783</v>
      </c>
      <c r="BY8" s="731"/>
      <c r="BZ8" s="731"/>
      <c r="CA8" s="731"/>
      <c r="CB8" s="731"/>
      <c r="CC8" s="731"/>
      <c r="CD8" s="731"/>
      <c r="CE8" s="731"/>
      <c r="CF8" s="731"/>
      <c r="CG8" s="731"/>
      <c r="CH8" s="731"/>
      <c r="CI8" s="919"/>
      <c r="CJ8" s="731"/>
      <c r="CK8" s="731"/>
      <c r="CL8" s="731"/>
      <c r="CM8" s="731"/>
      <c r="CN8" s="731"/>
      <c r="CO8" s="731"/>
      <c r="CP8" s="731"/>
      <c r="CQ8" s="731"/>
      <c r="CR8" s="731"/>
      <c r="CS8" s="731"/>
    </row>
    <row r="9">
      <c r="A9" s="914" t="s">
        <v>2938</v>
      </c>
      <c r="B9" s="915" t="s">
        <v>3767</v>
      </c>
      <c r="C9" s="731" t="s">
        <v>3767</v>
      </c>
      <c r="D9" s="731" t="s">
        <v>3767</v>
      </c>
      <c r="E9" s="731" t="s">
        <v>3767</v>
      </c>
      <c r="F9" s="731" t="s">
        <v>3767</v>
      </c>
      <c r="G9" s="731" t="s">
        <v>3767</v>
      </c>
      <c r="H9" s="731" t="s">
        <v>3767</v>
      </c>
      <c r="I9" s="731" t="s">
        <v>3767</v>
      </c>
      <c r="J9" s="731" t="s">
        <v>3767</v>
      </c>
      <c r="K9" s="731" t="s">
        <v>3767</v>
      </c>
      <c r="L9" s="731" t="s">
        <v>3767</v>
      </c>
      <c r="M9" s="731" t="s">
        <v>3767</v>
      </c>
      <c r="N9" s="731" t="s">
        <v>3767</v>
      </c>
      <c r="O9" s="920" t="s">
        <v>3776</v>
      </c>
      <c r="P9" s="917" t="s">
        <v>3767</v>
      </c>
      <c r="Q9" s="731" t="s">
        <v>3767</v>
      </c>
      <c r="R9" s="731" t="s">
        <v>3767</v>
      </c>
      <c r="S9" s="731" t="s">
        <v>3767</v>
      </c>
      <c r="T9" s="731" t="s">
        <v>3767</v>
      </c>
      <c r="U9" s="917" t="s">
        <v>3767</v>
      </c>
      <c r="V9" s="731" t="s">
        <v>3767</v>
      </c>
      <c r="W9" s="731" t="s">
        <v>3767</v>
      </c>
      <c r="X9" s="731" t="s">
        <v>3767</v>
      </c>
      <c r="Y9" s="731" t="s">
        <v>3767</v>
      </c>
      <c r="Z9" s="731" t="s">
        <v>3767</v>
      </c>
      <c r="AA9" s="731" t="s">
        <v>3767</v>
      </c>
      <c r="AB9" s="731" t="s">
        <v>3767</v>
      </c>
      <c r="AC9" s="731" t="s">
        <v>3767</v>
      </c>
      <c r="AD9" s="731" t="s">
        <v>3767</v>
      </c>
      <c r="AE9" s="919"/>
      <c r="AF9" s="731" t="s">
        <v>3767</v>
      </c>
      <c r="AG9" s="731" t="s">
        <v>3767</v>
      </c>
      <c r="AH9" s="731" t="s">
        <v>3767</v>
      </c>
      <c r="AI9" s="731" t="s">
        <v>3767</v>
      </c>
      <c r="AJ9" s="731" t="s">
        <v>3767</v>
      </c>
      <c r="AK9" s="731" t="s">
        <v>3767</v>
      </c>
      <c r="AL9" s="919"/>
      <c r="AM9" s="731" t="s">
        <v>3767</v>
      </c>
      <c r="AN9" s="731" t="s">
        <v>3767</v>
      </c>
      <c r="AO9" s="731" t="s">
        <v>3767</v>
      </c>
      <c r="AP9" s="919"/>
      <c r="AQ9" s="731" t="s">
        <v>3767</v>
      </c>
      <c r="AR9" s="731" t="s">
        <v>3767</v>
      </c>
      <c r="AS9" s="919"/>
      <c r="AT9" s="731" t="s">
        <v>3767</v>
      </c>
      <c r="AU9" s="731" t="s">
        <v>3767</v>
      </c>
      <c r="AV9" s="731" t="s">
        <v>3767</v>
      </c>
      <c r="AW9" s="731" t="s">
        <v>3767</v>
      </c>
      <c r="AX9" s="731" t="s">
        <v>3767</v>
      </c>
      <c r="AY9" s="919"/>
      <c r="AZ9" s="731" t="s">
        <v>3767</v>
      </c>
      <c r="BA9" s="731" t="s">
        <v>3767</v>
      </c>
      <c r="BB9" s="731" t="s">
        <v>3767</v>
      </c>
      <c r="BC9" s="731" t="s">
        <v>3767</v>
      </c>
      <c r="BD9" s="731" t="s">
        <v>3767</v>
      </c>
      <c r="BE9" s="731" t="s">
        <v>3767</v>
      </c>
      <c r="BF9" s="731" t="s">
        <v>3767</v>
      </c>
      <c r="BG9" s="731" t="s">
        <v>3767</v>
      </c>
      <c r="BH9" s="731" t="s">
        <v>3767</v>
      </c>
      <c r="BI9" s="917" t="s">
        <v>3767</v>
      </c>
      <c r="BJ9" s="919"/>
      <c r="BK9" s="917" t="s">
        <v>3767</v>
      </c>
      <c r="BL9" s="917" t="s">
        <v>3767</v>
      </c>
      <c r="BM9" s="731" t="s">
        <v>3767</v>
      </c>
      <c r="BN9" s="917" t="s">
        <v>3767</v>
      </c>
      <c r="BO9" s="731" t="s">
        <v>3767</v>
      </c>
      <c r="BP9" s="731" t="s">
        <v>3767</v>
      </c>
      <c r="BQ9" s="731" t="s">
        <v>3767</v>
      </c>
      <c r="BR9" s="731" t="s">
        <v>3767</v>
      </c>
      <c r="BS9" s="731" t="s">
        <v>3767</v>
      </c>
      <c r="BT9" s="731" t="s">
        <v>3767</v>
      </c>
      <c r="BU9" s="731" t="s">
        <v>3767</v>
      </c>
      <c r="BV9" s="731" t="s">
        <v>3767</v>
      </c>
      <c r="BW9" s="731" t="s">
        <v>3767</v>
      </c>
      <c r="BX9" s="731" t="s">
        <v>3767</v>
      </c>
      <c r="BY9" s="731" t="s">
        <v>3767</v>
      </c>
      <c r="BZ9" s="731" t="s">
        <v>3767</v>
      </c>
      <c r="CA9" s="731" t="s">
        <v>3767</v>
      </c>
      <c r="CB9" s="731" t="s">
        <v>3767</v>
      </c>
      <c r="CC9" s="731" t="s">
        <v>3767</v>
      </c>
      <c r="CD9" s="731" t="s">
        <v>3767</v>
      </c>
      <c r="CE9" s="731" t="s">
        <v>3767</v>
      </c>
      <c r="CF9" s="731" t="s">
        <v>3767</v>
      </c>
      <c r="CG9" s="731"/>
      <c r="CH9" s="731"/>
      <c r="CI9" s="919"/>
      <c r="CJ9" s="731"/>
      <c r="CK9" s="731"/>
      <c r="CL9" s="731"/>
      <c r="CM9" s="731"/>
      <c r="CN9" s="731"/>
      <c r="CO9" s="731"/>
      <c r="CP9" s="731"/>
      <c r="CQ9" s="731"/>
      <c r="CR9" s="731"/>
      <c r="CS9" s="731" t="s">
        <v>3767</v>
      </c>
    </row>
    <row r="10">
      <c r="A10" s="914" t="s">
        <v>3784</v>
      </c>
      <c r="B10" s="915" t="s">
        <v>3767</v>
      </c>
      <c r="C10" s="731" t="s">
        <v>3767</v>
      </c>
      <c r="D10" s="731" t="s">
        <v>3767</v>
      </c>
      <c r="E10" s="731" t="s">
        <v>3767</v>
      </c>
      <c r="F10" s="731" t="s">
        <v>3767</v>
      </c>
      <c r="G10" s="731" t="s">
        <v>3767</v>
      </c>
      <c r="H10" s="731" t="s">
        <v>3767</v>
      </c>
      <c r="I10" s="731" t="s">
        <v>3770</v>
      </c>
      <c r="J10" s="731" t="s">
        <v>3767</v>
      </c>
      <c r="K10" s="731" t="s">
        <v>3770</v>
      </c>
      <c r="L10" s="731" t="s">
        <v>3767</v>
      </c>
      <c r="M10" s="731" t="s">
        <v>3767</v>
      </c>
      <c r="N10" s="731" t="s">
        <v>3770</v>
      </c>
      <c r="O10" s="731" t="s">
        <v>3769</v>
      </c>
      <c r="P10" s="917" t="s">
        <v>3770</v>
      </c>
      <c r="Q10" s="731" t="s">
        <v>3770</v>
      </c>
      <c r="R10" s="731" t="s">
        <v>3767</v>
      </c>
      <c r="S10" s="731" t="s">
        <v>3767</v>
      </c>
      <c r="T10" s="731" t="s">
        <v>3767</v>
      </c>
      <c r="U10" s="917" t="s">
        <v>3770</v>
      </c>
      <c r="V10" s="731" t="s">
        <v>3767</v>
      </c>
      <c r="W10" s="731" t="s">
        <v>3767</v>
      </c>
      <c r="X10" s="731" t="s">
        <v>3767</v>
      </c>
      <c r="Y10" s="731" t="s">
        <v>3767</v>
      </c>
      <c r="Z10" s="731" t="s">
        <v>3767</v>
      </c>
      <c r="AA10" s="731" t="s">
        <v>3767</v>
      </c>
      <c r="AB10" s="731" t="s">
        <v>3767</v>
      </c>
      <c r="AC10" s="731" t="s">
        <v>3767</v>
      </c>
      <c r="AD10" s="731" t="s">
        <v>3767</v>
      </c>
      <c r="AE10" s="919"/>
      <c r="AF10" s="731" t="s">
        <v>3767</v>
      </c>
      <c r="AG10" s="731" t="s">
        <v>3767</v>
      </c>
      <c r="AH10" s="731" t="s">
        <v>3767</v>
      </c>
      <c r="AI10" s="731" t="s">
        <v>3767</v>
      </c>
      <c r="AJ10" s="731" t="s">
        <v>3767</v>
      </c>
      <c r="AK10" s="731" t="s">
        <v>3770</v>
      </c>
      <c r="AL10" s="919"/>
      <c r="AM10" s="731" t="s">
        <v>3770</v>
      </c>
      <c r="AN10" s="731" t="s">
        <v>3767</v>
      </c>
      <c r="AO10" s="731" t="s">
        <v>3767</v>
      </c>
      <c r="AP10" s="919"/>
      <c r="AQ10" s="731" t="s">
        <v>3767</v>
      </c>
      <c r="AR10" s="731" t="s">
        <v>3767</v>
      </c>
      <c r="AS10" s="919"/>
      <c r="AT10" s="731" t="s">
        <v>3767</v>
      </c>
      <c r="AU10" s="731" t="s">
        <v>3767</v>
      </c>
      <c r="AV10" s="731" t="s">
        <v>3767</v>
      </c>
      <c r="AW10" s="731" t="s">
        <v>3767</v>
      </c>
      <c r="AX10" s="731" t="s">
        <v>3767</v>
      </c>
      <c r="AY10" s="919"/>
      <c r="AZ10" s="731" t="s">
        <v>3767</v>
      </c>
      <c r="BA10" s="731" t="s">
        <v>3770</v>
      </c>
      <c r="BB10" s="731" t="s">
        <v>3770</v>
      </c>
      <c r="BC10" s="731" t="s">
        <v>3770</v>
      </c>
      <c r="BD10" s="731" t="s">
        <v>3770</v>
      </c>
      <c r="BE10" s="731" t="s">
        <v>3770</v>
      </c>
      <c r="BF10" s="731" t="s">
        <v>3767</v>
      </c>
      <c r="BG10" s="731" t="s">
        <v>3767</v>
      </c>
      <c r="BH10" s="731" t="s">
        <v>3767</v>
      </c>
      <c r="BI10" s="917" t="s">
        <v>3767</v>
      </c>
      <c r="BJ10" s="919"/>
      <c r="BK10" s="917" t="s">
        <v>3767</v>
      </c>
      <c r="BL10" s="917" t="s">
        <v>3767</v>
      </c>
      <c r="BM10" s="731" t="s">
        <v>3767</v>
      </c>
      <c r="BN10" s="917" t="s">
        <v>3767</v>
      </c>
      <c r="BO10" s="731" t="s">
        <v>3767</v>
      </c>
      <c r="BP10" s="731" t="s">
        <v>3767</v>
      </c>
      <c r="BQ10" s="731" t="s">
        <v>3767</v>
      </c>
      <c r="BR10" s="731" t="s">
        <v>3767</v>
      </c>
      <c r="BS10" s="731" t="s">
        <v>3767</v>
      </c>
      <c r="BT10" s="731" t="s">
        <v>3767</v>
      </c>
      <c r="BU10" s="731" t="s">
        <v>3767</v>
      </c>
      <c r="BV10" s="731" t="s">
        <v>3767</v>
      </c>
      <c r="BW10" s="731" t="s">
        <v>3770</v>
      </c>
      <c r="BX10" s="731" t="s">
        <v>3767</v>
      </c>
      <c r="BY10" s="731" t="s">
        <v>3767</v>
      </c>
      <c r="BZ10" s="731" t="s">
        <v>3767</v>
      </c>
      <c r="CA10" s="731" t="s">
        <v>3767</v>
      </c>
      <c r="CB10" s="731" t="s">
        <v>3767</v>
      </c>
      <c r="CC10" s="731" t="s">
        <v>3767</v>
      </c>
      <c r="CD10" s="731" t="s">
        <v>3767</v>
      </c>
      <c r="CE10" s="731" t="s">
        <v>3767</v>
      </c>
      <c r="CF10" s="731" t="s">
        <v>3767</v>
      </c>
      <c r="CG10" s="731"/>
      <c r="CH10" s="731"/>
      <c r="CI10" s="919"/>
      <c r="CJ10" s="731"/>
      <c r="CK10" s="731"/>
      <c r="CL10" s="731"/>
      <c r="CM10" s="731"/>
      <c r="CN10" s="731"/>
      <c r="CO10" s="731"/>
      <c r="CP10" s="731"/>
      <c r="CQ10" s="731"/>
      <c r="CR10" s="731"/>
      <c r="CS10" s="731" t="s">
        <v>3767</v>
      </c>
    </row>
    <row r="11">
      <c r="A11" s="914" t="s">
        <v>3785</v>
      </c>
      <c r="B11" s="915" t="s">
        <v>3767</v>
      </c>
      <c r="C11" s="731" t="s">
        <v>3767</v>
      </c>
      <c r="D11" s="731" t="s">
        <v>3767</v>
      </c>
      <c r="E11" s="731" t="s">
        <v>3767</v>
      </c>
      <c r="F11" s="731" t="s">
        <v>3767</v>
      </c>
      <c r="G11" s="731" t="s">
        <v>3767</v>
      </c>
      <c r="H11" s="731" t="s">
        <v>3767</v>
      </c>
      <c r="I11" s="731" t="s">
        <v>3767</v>
      </c>
      <c r="J11" s="731" t="s">
        <v>3786</v>
      </c>
      <c r="K11" s="731" t="s">
        <v>3770</v>
      </c>
      <c r="L11" s="731" t="s">
        <v>3767</v>
      </c>
      <c r="M11" s="731" t="s">
        <v>3770</v>
      </c>
      <c r="N11" s="731" t="s">
        <v>3767</v>
      </c>
      <c r="O11" s="731" t="s">
        <v>3769</v>
      </c>
      <c r="P11" s="917" t="s">
        <v>3767</v>
      </c>
      <c r="Q11" s="731" t="s">
        <v>3767</v>
      </c>
      <c r="R11" s="731" t="s">
        <v>3767</v>
      </c>
      <c r="S11" s="731" t="s">
        <v>3770</v>
      </c>
      <c r="T11" s="731" t="s">
        <v>3770</v>
      </c>
      <c r="U11" s="917" t="s">
        <v>3770</v>
      </c>
      <c r="V11" s="731" t="s">
        <v>3767</v>
      </c>
      <c r="W11" s="731" t="s">
        <v>3767</v>
      </c>
      <c r="X11" s="731" t="s">
        <v>3767</v>
      </c>
      <c r="Y11" s="731" t="s">
        <v>3767</v>
      </c>
      <c r="Z11" s="731" t="s">
        <v>3767</v>
      </c>
      <c r="AA11" s="731" t="s">
        <v>3767</v>
      </c>
      <c r="AB11" s="731" t="s">
        <v>3767</v>
      </c>
      <c r="AC11" s="731" t="s">
        <v>3767</v>
      </c>
      <c r="AD11" s="731" t="s">
        <v>3770</v>
      </c>
      <c r="AE11" s="919"/>
      <c r="AF11" s="731" t="s">
        <v>3767</v>
      </c>
      <c r="AG11" s="731" t="s">
        <v>3767</v>
      </c>
      <c r="AH11" s="731" t="s">
        <v>3767</v>
      </c>
      <c r="AI11" s="731" t="s">
        <v>3767</v>
      </c>
      <c r="AJ11" s="731" t="s">
        <v>3767</v>
      </c>
      <c r="AK11" s="731" t="s">
        <v>3767</v>
      </c>
      <c r="AL11" s="919"/>
      <c r="AM11" s="731" t="s">
        <v>3767</v>
      </c>
      <c r="AN11" s="731" t="s">
        <v>3767</v>
      </c>
      <c r="AO11" s="731" t="s">
        <v>3767</v>
      </c>
      <c r="AP11" s="919"/>
      <c r="AQ11" s="731" t="s">
        <v>3767</v>
      </c>
      <c r="AR11" s="731" t="s">
        <v>3767</v>
      </c>
      <c r="AS11" s="919"/>
      <c r="AT11" s="731" t="s">
        <v>3767</v>
      </c>
      <c r="AU11" s="731" t="s">
        <v>3770</v>
      </c>
      <c r="AV11" s="731" t="s">
        <v>3770</v>
      </c>
      <c r="AW11" s="731" t="s">
        <v>3767</v>
      </c>
      <c r="AX11" s="731" t="s">
        <v>3767</v>
      </c>
      <c r="AY11" s="919"/>
      <c r="AZ11" s="731" t="s">
        <v>3770</v>
      </c>
      <c r="BA11" s="731" t="s">
        <v>3767</v>
      </c>
      <c r="BB11" s="731" t="s">
        <v>3767</v>
      </c>
      <c r="BC11" s="731" t="s">
        <v>3767</v>
      </c>
      <c r="BD11" s="731" t="s">
        <v>3767</v>
      </c>
      <c r="BE11" s="731" t="s">
        <v>3770</v>
      </c>
      <c r="BF11" s="731" t="s">
        <v>3770</v>
      </c>
      <c r="BG11" s="731" t="s">
        <v>3770</v>
      </c>
      <c r="BH11" s="731" t="s">
        <v>3767</v>
      </c>
      <c r="BI11" s="917" t="s">
        <v>3767</v>
      </c>
      <c r="BJ11" s="919"/>
      <c r="BK11" s="917" t="s">
        <v>3767</v>
      </c>
      <c r="BL11" s="917" t="s">
        <v>3767</v>
      </c>
      <c r="BM11" s="731" t="s">
        <v>3767</v>
      </c>
      <c r="BN11" s="917" t="s">
        <v>3767</v>
      </c>
      <c r="BO11" s="731" t="s">
        <v>3770</v>
      </c>
      <c r="BP11" s="731" t="s">
        <v>3767</v>
      </c>
      <c r="BQ11" s="731" t="s">
        <v>3767</v>
      </c>
      <c r="BR11" s="731" t="s">
        <v>3787</v>
      </c>
      <c r="BS11" s="731" t="s">
        <v>3767</v>
      </c>
      <c r="BT11" s="731" t="s">
        <v>3767</v>
      </c>
      <c r="BU11" s="731" t="s">
        <v>3767</v>
      </c>
      <c r="BV11" s="731" t="s">
        <v>3767</v>
      </c>
      <c r="BW11" s="731" t="s">
        <v>3767</v>
      </c>
      <c r="BX11" s="731" t="s">
        <v>3767</v>
      </c>
      <c r="BY11" s="731" t="s">
        <v>3767</v>
      </c>
      <c r="BZ11" s="731" t="s">
        <v>3767</v>
      </c>
      <c r="CA11" s="731" t="s">
        <v>3767</v>
      </c>
      <c r="CB11" s="731" t="s">
        <v>3770</v>
      </c>
      <c r="CC11" s="731" t="s">
        <v>3770</v>
      </c>
      <c r="CD11" s="731" t="s">
        <v>3767</v>
      </c>
      <c r="CE11" s="731" t="s">
        <v>3767</v>
      </c>
      <c r="CF11" s="731" t="s">
        <v>3767</v>
      </c>
      <c r="CG11" s="731"/>
      <c r="CH11" s="731"/>
      <c r="CI11" s="919"/>
      <c r="CJ11" s="731"/>
      <c r="CK11" s="731"/>
      <c r="CL11" s="731"/>
      <c r="CM11" s="731"/>
      <c r="CN11" s="731"/>
      <c r="CO11" s="731"/>
      <c r="CP11" s="731"/>
      <c r="CQ11" s="731"/>
      <c r="CR11" s="731"/>
      <c r="CS11" s="731" t="s">
        <v>3767</v>
      </c>
    </row>
    <row r="12">
      <c r="A12" s="914" t="s">
        <v>2931</v>
      </c>
      <c r="B12" s="915" t="s">
        <v>3767</v>
      </c>
      <c r="C12" s="731" t="s">
        <v>3770</v>
      </c>
      <c r="D12" s="731" t="s">
        <v>3767</v>
      </c>
      <c r="E12" s="731" t="s">
        <v>3767</v>
      </c>
      <c r="F12" s="731" t="s">
        <v>3770</v>
      </c>
      <c r="G12" s="731" t="s">
        <v>3770</v>
      </c>
      <c r="H12" s="731" t="s">
        <v>3767</v>
      </c>
      <c r="I12" s="731" t="s">
        <v>3770</v>
      </c>
      <c r="J12" s="731" t="s">
        <v>3767</v>
      </c>
      <c r="K12" s="731" t="s">
        <v>3770</v>
      </c>
      <c r="L12" s="731" t="s">
        <v>3767</v>
      </c>
      <c r="M12" s="731" t="s">
        <v>3770</v>
      </c>
      <c r="N12" s="731" t="s">
        <v>3770</v>
      </c>
      <c r="O12" s="731" t="s">
        <v>3769</v>
      </c>
      <c r="P12" s="917" t="s">
        <v>3767</v>
      </c>
      <c r="Q12" s="731" t="s">
        <v>3770</v>
      </c>
      <c r="R12" s="731" t="s">
        <v>3770</v>
      </c>
      <c r="S12" s="731" t="s">
        <v>3770</v>
      </c>
      <c r="T12" s="731" t="s">
        <v>3770</v>
      </c>
      <c r="U12" s="917" t="s">
        <v>3770</v>
      </c>
      <c r="V12" s="731" t="s">
        <v>3770</v>
      </c>
      <c r="W12" s="731" t="s">
        <v>3767</v>
      </c>
      <c r="X12" s="731" t="s">
        <v>3770</v>
      </c>
      <c r="Y12" s="731" t="s">
        <v>3770</v>
      </c>
      <c r="Z12" s="731" t="s">
        <v>3767</v>
      </c>
      <c r="AA12" s="731" t="s">
        <v>3770</v>
      </c>
      <c r="AB12" s="731" t="s">
        <v>3770</v>
      </c>
      <c r="AC12" s="731" t="s">
        <v>3767</v>
      </c>
      <c r="AD12" s="731" t="s">
        <v>3770</v>
      </c>
      <c r="AE12" s="919"/>
      <c r="AF12" s="731" t="s">
        <v>3770</v>
      </c>
      <c r="AG12" s="731" t="s">
        <v>3770</v>
      </c>
      <c r="AH12" s="731" t="s">
        <v>3770</v>
      </c>
      <c r="AI12" s="731" t="s">
        <v>3770</v>
      </c>
      <c r="AJ12" s="731" t="s">
        <v>3767</v>
      </c>
      <c r="AK12" s="731" t="s">
        <v>3767</v>
      </c>
      <c r="AL12" s="919"/>
      <c r="AM12" s="731" t="s">
        <v>3770</v>
      </c>
      <c r="AN12" s="731" t="s">
        <v>3770</v>
      </c>
      <c r="AO12" s="731" t="s">
        <v>3770</v>
      </c>
      <c r="AP12" s="919"/>
      <c r="AQ12" s="731" t="s">
        <v>3770</v>
      </c>
      <c r="AR12" s="731" t="s">
        <v>3770</v>
      </c>
      <c r="AS12" s="919"/>
      <c r="AT12" s="731" t="s">
        <v>3770</v>
      </c>
      <c r="AU12" s="731" t="s">
        <v>3770</v>
      </c>
      <c r="AV12" s="731" t="s">
        <v>3767</v>
      </c>
      <c r="AW12" s="731" t="s">
        <v>3767</v>
      </c>
      <c r="AX12" s="731" t="s">
        <v>3770</v>
      </c>
      <c r="AY12" s="919"/>
      <c r="AZ12" s="731" t="s">
        <v>3770</v>
      </c>
      <c r="BA12" s="731" t="s">
        <v>3770</v>
      </c>
      <c r="BB12" s="731" t="s">
        <v>3770</v>
      </c>
      <c r="BC12" s="731" t="s">
        <v>3767</v>
      </c>
      <c r="BD12" s="731" t="s">
        <v>3770</v>
      </c>
      <c r="BE12" s="731" t="s">
        <v>3767</v>
      </c>
      <c r="BF12" s="731" t="s">
        <v>3770</v>
      </c>
      <c r="BG12" s="731" t="s">
        <v>3770</v>
      </c>
      <c r="BH12" s="731" t="s">
        <v>3767</v>
      </c>
      <c r="BI12" s="917" t="s">
        <v>3770</v>
      </c>
      <c r="BJ12" s="919"/>
      <c r="BK12" s="917" t="s">
        <v>3770</v>
      </c>
      <c r="BL12" s="917" t="s">
        <v>3770</v>
      </c>
      <c r="BM12" s="731" t="s">
        <v>3767</v>
      </c>
      <c r="BN12" s="917" t="s">
        <v>3770</v>
      </c>
      <c r="BO12" s="731" t="s">
        <v>3770</v>
      </c>
      <c r="BP12" s="731" t="s">
        <v>3770</v>
      </c>
      <c r="BQ12" s="731" t="s">
        <v>3770</v>
      </c>
      <c r="BR12" s="731" t="s">
        <v>3767</v>
      </c>
      <c r="BS12" s="731" t="s">
        <v>3770</v>
      </c>
      <c r="BT12" s="731" t="s">
        <v>3770</v>
      </c>
      <c r="BU12" s="731" t="s">
        <v>3767</v>
      </c>
      <c r="BV12" s="731" t="s">
        <v>3767</v>
      </c>
      <c r="BW12" s="731" t="s">
        <v>3770</v>
      </c>
      <c r="BX12" s="731" t="s">
        <v>3770</v>
      </c>
      <c r="BY12" s="731" t="s">
        <v>3767</v>
      </c>
      <c r="BZ12" s="731" t="s">
        <v>3770</v>
      </c>
      <c r="CA12" s="731" t="s">
        <v>3770</v>
      </c>
      <c r="CB12" s="731" t="s">
        <v>3767</v>
      </c>
      <c r="CC12" s="731" t="s">
        <v>3770</v>
      </c>
      <c r="CD12" s="731" t="s">
        <v>3770</v>
      </c>
      <c r="CE12" s="731" t="s">
        <v>3767</v>
      </c>
      <c r="CF12" s="731" t="s">
        <v>3770</v>
      </c>
      <c r="CG12" s="731"/>
      <c r="CH12" s="731"/>
      <c r="CI12" s="919"/>
      <c r="CJ12" s="731"/>
      <c r="CK12" s="731"/>
      <c r="CL12" s="731"/>
      <c r="CM12" s="731"/>
      <c r="CN12" s="731"/>
      <c r="CO12" s="731"/>
      <c r="CP12" s="731"/>
      <c r="CQ12" s="731"/>
      <c r="CR12" s="731"/>
      <c r="CS12" s="731" t="s">
        <v>3770</v>
      </c>
    </row>
    <row r="13">
      <c r="A13" s="914" t="s">
        <v>3117</v>
      </c>
      <c r="B13" s="915" t="s">
        <v>3767</v>
      </c>
      <c r="C13" s="731" t="s">
        <v>3770</v>
      </c>
      <c r="D13" s="731" t="s">
        <v>3770</v>
      </c>
      <c r="E13" s="731" t="s">
        <v>3770</v>
      </c>
      <c r="F13" s="731" t="s">
        <v>3770</v>
      </c>
      <c r="G13" s="731" t="s">
        <v>3770</v>
      </c>
      <c r="H13" s="731" t="s">
        <v>3770</v>
      </c>
      <c r="I13" s="731" t="s">
        <v>3770</v>
      </c>
      <c r="J13" s="731" t="s">
        <v>3767</v>
      </c>
      <c r="K13" s="731" t="s">
        <v>3770</v>
      </c>
      <c r="L13" s="731" t="s">
        <v>3770</v>
      </c>
      <c r="M13" s="731" t="s">
        <v>3767</v>
      </c>
      <c r="N13" s="731" t="s">
        <v>3770</v>
      </c>
      <c r="O13" s="731" t="s">
        <v>3769</v>
      </c>
      <c r="P13" s="917" t="s">
        <v>3770</v>
      </c>
      <c r="Q13" s="731" t="s">
        <v>3770</v>
      </c>
      <c r="R13" s="731" t="s">
        <v>3770</v>
      </c>
      <c r="S13" s="731" t="s">
        <v>3770</v>
      </c>
      <c r="T13" s="731" t="s">
        <v>3770</v>
      </c>
      <c r="U13" s="917" t="s">
        <v>3770</v>
      </c>
      <c r="V13" s="731" t="s">
        <v>3767</v>
      </c>
      <c r="W13" s="731" t="s">
        <v>3770</v>
      </c>
      <c r="X13" s="731" t="s">
        <v>3770</v>
      </c>
      <c r="Y13" s="731" t="s">
        <v>3770</v>
      </c>
      <c r="Z13" s="731" t="s">
        <v>3770</v>
      </c>
      <c r="AA13" s="731" t="s">
        <v>3770</v>
      </c>
      <c r="AB13" s="731" t="s">
        <v>3770</v>
      </c>
      <c r="AC13" s="731" t="s">
        <v>3767</v>
      </c>
      <c r="AD13" s="731" t="s">
        <v>3770</v>
      </c>
      <c r="AE13" s="844"/>
      <c r="AF13" s="731" t="s">
        <v>3770</v>
      </c>
      <c r="AG13" s="731" t="s">
        <v>3770</v>
      </c>
      <c r="AH13" s="731" t="s">
        <v>3770</v>
      </c>
      <c r="AI13" s="731" t="s">
        <v>3767</v>
      </c>
      <c r="AJ13" s="731" t="s">
        <v>3770</v>
      </c>
      <c r="AK13" s="731" t="s">
        <v>3770</v>
      </c>
      <c r="AL13" s="844"/>
      <c r="AM13" s="731" t="s">
        <v>3770</v>
      </c>
      <c r="AN13" s="731" t="s">
        <v>3770</v>
      </c>
      <c r="AO13" s="731" t="s">
        <v>3770</v>
      </c>
      <c r="AP13" s="844"/>
      <c r="AQ13" s="731" t="s">
        <v>3770</v>
      </c>
      <c r="AR13" s="731" t="s">
        <v>3770</v>
      </c>
      <c r="AS13" s="844"/>
      <c r="AT13" s="731" t="s">
        <v>3770</v>
      </c>
      <c r="AU13" s="731" t="s">
        <v>3770</v>
      </c>
      <c r="AV13" s="731" t="s">
        <v>3770</v>
      </c>
      <c r="AW13" s="731" t="s">
        <v>3770</v>
      </c>
      <c r="AX13" s="731" t="s">
        <v>3770</v>
      </c>
      <c r="AY13" s="844"/>
      <c r="AZ13" s="731" t="s">
        <v>3770</v>
      </c>
      <c r="BA13" s="731" t="s">
        <v>3770</v>
      </c>
      <c r="BB13" s="731" t="s">
        <v>3770</v>
      </c>
      <c r="BC13" s="731" t="s">
        <v>3770</v>
      </c>
      <c r="BD13" s="731" t="s">
        <v>3770</v>
      </c>
      <c r="BE13" s="731" t="s">
        <v>3770</v>
      </c>
      <c r="BF13" s="731" t="s">
        <v>3770</v>
      </c>
      <c r="BG13" s="731" t="s">
        <v>3770</v>
      </c>
      <c r="BH13" s="731" t="s">
        <v>3770</v>
      </c>
      <c r="BI13" s="917" t="s">
        <v>3770</v>
      </c>
      <c r="BJ13" s="844"/>
      <c r="BK13" s="917" t="s">
        <v>3770</v>
      </c>
      <c r="BL13" s="917" t="s">
        <v>3770</v>
      </c>
      <c r="BM13" s="731" t="s">
        <v>3770</v>
      </c>
      <c r="BN13" s="917" t="s">
        <v>3770</v>
      </c>
      <c r="BO13" s="731" t="s">
        <v>3770</v>
      </c>
      <c r="BP13" s="731" t="s">
        <v>3770</v>
      </c>
      <c r="BQ13" s="731" t="s">
        <v>3770</v>
      </c>
      <c r="BR13" s="731" t="s">
        <v>3787</v>
      </c>
      <c r="BS13" s="731" t="s">
        <v>3770</v>
      </c>
      <c r="BT13" s="731" t="s">
        <v>3770</v>
      </c>
      <c r="BU13" s="731" t="s">
        <v>3770</v>
      </c>
      <c r="BV13" s="731" t="s">
        <v>3770</v>
      </c>
      <c r="BW13" s="731" t="s">
        <v>3770</v>
      </c>
      <c r="BX13" s="731" t="s">
        <v>3770</v>
      </c>
      <c r="BY13" s="731" t="s">
        <v>3770</v>
      </c>
      <c r="BZ13" s="731" t="s">
        <v>3770</v>
      </c>
      <c r="CA13" s="731" t="s">
        <v>3770</v>
      </c>
      <c r="CB13" s="731" t="s">
        <v>3770</v>
      </c>
      <c r="CC13" s="731" t="s">
        <v>3770</v>
      </c>
      <c r="CD13" s="731" t="s">
        <v>3767</v>
      </c>
      <c r="CE13" s="731" t="s">
        <v>3767</v>
      </c>
      <c r="CF13" s="731" t="s">
        <v>3767</v>
      </c>
      <c r="CG13" s="731"/>
      <c r="CH13" s="731"/>
      <c r="CI13" s="844"/>
      <c r="CJ13" s="731"/>
      <c r="CK13" s="731"/>
      <c r="CL13" s="731"/>
      <c r="CM13" s="731"/>
      <c r="CN13" s="731"/>
      <c r="CO13" s="731"/>
      <c r="CP13" s="731"/>
      <c r="CQ13" s="731"/>
      <c r="CR13" s="731"/>
      <c r="CS13" s="731" t="s">
        <v>3770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E4:AE13"/>
    <mergeCell ref="AL4:AL13"/>
    <mergeCell ref="AP4:AP13"/>
    <mergeCell ref="AS4:AS13"/>
    <mergeCell ref="AY4:AY13"/>
    <mergeCell ref="BJ4:BJ13"/>
    <mergeCell ref="CI4:CI1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9.22"/>
    <col customWidth="1" min="3" max="3" width="7.33"/>
    <col customWidth="1" min="4" max="4" width="12.11"/>
    <col customWidth="1" min="5" max="5" width="11.78"/>
    <col customWidth="1" min="6" max="6" width="61.56"/>
  </cols>
  <sheetData>
    <row r="1">
      <c r="A1" s="921" t="s">
        <v>3788</v>
      </c>
      <c r="B1" s="922" t="s">
        <v>3789</v>
      </c>
      <c r="C1" s="922" t="s">
        <v>3790</v>
      </c>
      <c r="D1" s="922" t="s">
        <v>3791</v>
      </c>
      <c r="E1" s="922" t="s">
        <v>3792</v>
      </c>
      <c r="F1" s="923" t="s">
        <v>3793</v>
      </c>
    </row>
    <row r="2">
      <c r="A2" s="924">
        <v>45793.0</v>
      </c>
      <c r="B2" s="925">
        <v>0.38333333333333336</v>
      </c>
      <c r="C2" s="925">
        <v>0.4652777777777778</v>
      </c>
      <c r="D2" s="925">
        <f t="shared" ref="D2:D4" si="1">C2-B2</f>
        <v>0.08194444444</v>
      </c>
      <c r="E2" s="926" t="s">
        <v>3794</v>
      </c>
      <c r="F2" s="927" t="s">
        <v>3795</v>
      </c>
      <c r="G2" s="928"/>
      <c r="H2" s="928"/>
      <c r="I2" s="928"/>
      <c r="J2" s="928"/>
      <c r="K2" s="928"/>
      <c r="L2" s="928"/>
      <c r="M2" s="928"/>
      <c r="N2" s="928"/>
      <c r="O2" s="928"/>
      <c r="P2" s="928"/>
      <c r="Q2" s="928"/>
      <c r="R2" s="928"/>
      <c r="S2" s="928"/>
      <c r="T2" s="928"/>
      <c r="U2" s="928"/>
      <c r="V2" s="928"/>
      <c r="W2" s="928"/>
      <c r="X2" s="928"/>
      <c r="Y2" s="928"/>
      <c r="Z2" s="928"/>
      <c r="AA2" s="928"/>
    </row>
    <row r="3">
      <c r="A3" s="924">
        <v>45817.0</v>
      </c>
      <c r="B3" s="929">
        <v>0.4423611111111111</v>
      </c>
      <c r="C3" s="929">
        <v>0.45069444444444445</v>
      </c>
      <c r="D3" s="925">
        <f t="shared" si="1"/>
        <v>0.008333333333</v>
      </c>
      <c r="E3" s="930" t="s">
        <v>3794</v>
      </c>
      <c r="F3" s="931" t="s">
        <v>3796</v>
      </c>
    </row>
    <row r="4">
      <c r="A4" s="932">
        <v>45817.0</v>
      </c>
      <c r="B4" s="933">
        <v>0.6326388888888889</v>
      </c>
      <c r="C4" s="933">
        <v>0.6479166666666667</v>
      </c>
      <c r="D4" s="934">
        <f t="shared" si="1"/>
        <v>0.01527777778</v>
      </c>
      <c r="E4" s="935" t="s">
        <v>3794</v>
      </c>
      <c r="F4" s="936" t="s">
        <v>3797</v>
      </c>
    </row>
    <row r="5">
      <c r="A5" s="937"/>
      <c r="B5" s="938"/>
      <c r="C5" s="938"/>
      <c r="D5" s="938"/>
      <c r="E5" s="938"/>
      <c r="F5" s="939"/>
    </row>
    <row r="6">
      <c r="A6" s="937"/>
      <c r="B6" s="938"/>
      <c r="C6" s="938"/>
      <c r="D6" s="938"/>
      <c r="E6" s="938"/>
      <c r="F6" s="939"/>
    </row>
    <row r="7">
      <c r="A7" s="937"/>
      <c r="B7" s="938"/>
      <c r="C7" s="938"/>
      <c r="D7" s="938"/>
      <c r="E7" s="938"/>
      <c r="F7" s="939"/>
    </row>
    <row r="8">
      <c r="A8" s="937"/>
      <c r="B8" s="938"/>
      <c r="C8" s="938"/>
      <c r="D8" s="938"/>
      <c r="E8" s="938"/>
      <c r="F8" s="939"/>
    </row>
    <row r="9">
      <c r="A9" s="937"/>
      <c r="B9" s="938"/>
      <c r="C9" s="938"/>
      <c r="D9" s="938"/>
      <c r="E9" s="938"/>
      <c r="F9" s="939"/>
    </row>
    <row r="10">
      <c r="A10" s="937"/>
      <c r="B10" s="938"/>
      <c r="C10" s="938"/>
      <c r="D10" s="938"/>
      <c r="E10" s="938"/>
      <c r="F10" s="939"/>
    </row>
    <row r="11">
      <c r="A11" s="937"/>
      <c r="B11" s="938"/>
      <c r="C11" s="938"/>
      <c r="D11" s="938"/>
      <c r="E11" s="938"/>
      <c r="F11" s="939"/>
    </row>
    <row r="12">
      <c r="A12" s="937"/>
      <c r="B12" s="938"/>
      <c r="C12" s="938"/>
      <c r="D12" s="938"/>
      <c r="E12" s="938"/>
      <c r="F12" s="939"/>
    </row>
    <row r="13">
      <c r="A13" s="937"/>
      <c r="B13" s="938"/>
      <c r="C13" s="938"/>
      <c r="D13" s="938"/>
      <c r="E13" s="938"/>
      <c r="F13" s="939"/>
    </row>
    <row r="14">
      <c r="A14" s="937"/>
      <c r="B14" s="938"/>
      <c r="C14" s="938"/>
      <c r="D14" s="938"/>
      <c r="E14" s="938"/>
      <c r="F14" s="939"/>
    </row>
    <row r="15">
      <c r="B15" s="906"/>
      <c r="C15" s="906"/>
      <c r="D15" s="906"/>
      <c r="E15" s="906"/>
      <c r="F15" s="940"/>
    </row>
    <row r="16">
      <c r="B16" s="906"/>
      <c r="C16" s="906"/>
      <c r="D16" s="906"/>
      <c r="E16" s="906"/>
      <c r="F16" s="940"/>
    </row>
    <row r="17">
      <c r="B17" s="906"/>
      <c r="C17" s="906"/>
      <c r="D17" s="906"/>
      <c r="E17" s="906"/>
      <c r="F17" s="940"/>
    </row>
    <row r="18">
      <c r="B18" s="906"/>
      <c r="C18" s="906"/>
      <c r="D18" s="906"/>
      <c r="E18" s="906"/>
      <c r="F18" s="940"/>
    </row>
    <row r="19">
      <c r="B19" s="906"/>
      <c r="C19" s="906"/>
      <c r="D19" s="906"/>
      <c r="E19" s="906"/>
      <c r="F19" s="940"/>
    </row>
    <row r="20">
      <c r="B20" s="906"/>
      <c r="C20" s="906"/>
      <c r="D20" s="906"/>
      <c r="E20" s="906"/>
      <c r="F20" s="940"/>
    </row>
    <row r="21">
      <c r="B21" s="906"/>
      <c r="C21" s="906"/>
      <c r="D21" s="906"/>
      <c r="E21" s="906"/>
      <c r="F21" s="940"/>
    </row>
    <row r="22">
      <c r="B22" s="906"/>
      <c r="C22" s="906"/>
      <c r="D22" s="906"/>
      <c r="E22" s="906"/>
      <c r="F22" s="940"/>
    </row>
    <row r="23">
      <c r="B23" s="906"/>
      <c r="C23" s="906"/>
      <c r="D23" s="906"/>
      <c r="E23" s="906"/>
      <c r="F23" s="940"/>
    </row>
    <row r="24">
      <c r="B24" s="906"/>
      <c r="C24" s="906"/>
      <c r="D24" s="906"/>
      <c r="E24" s="906"/>
      <c r="F24" s="940"/>
    </row>
    <row r="25">
      <c r="B25" s="906"/>
      <c r="C25" s="906"/>
      <c r="D25" s="906"/>
      <c r="E25" s="906"/>
      <c r="F25" s="940"/>
    </row>
    <row r="26">
      <c r="B26" s="906"/>
      <c r="C26" s="906"/>
      <c r="D26" s="906"/>
      <c r="E26" s="906"/>
      <c r="F26" s="940"/>
    </row>
    <row r="27">
      <c r="B27" s="906"/>
      <c r="C27" s="906"/>
      <c r="D27" s="906"/>
      <c r="E27" s="906"/>
      <c r="F27" s="940"/>
    </row>
    <row r="28">
      <c r="B28" s="906"/>
      <c r="C28" s="906"/>
      <c r="D28" s="906"/>
      <c r="E28" s="906"/>
      <c r="F28" s="940"/>
    </row>
    <row r="29">
      <c r="B29" s="906"/>
      <c r="C29" s="906"/>
      <c r="D29" s="906"/>
      <c r="E29" s="906"/>
      <c r="F29" s="940"/>
    </row>
    <row r="30">
      <c r="B30" s="906"/>
      <c r="C30" s="906"/>
      <c r="D30" s="906"/>
      <c r="E30" s="906"/>
      <c r="F30" s="940"/>
    </row>
    <row r="31">
      <c r="B31" s="906"/>
      <c r="C31" s="906"/>
      <c r="D31" s="906"/>
      <c r="E31" s="906"/>
      <c r="F31" s="940"/>
    </row>
    <row r="32">
      <c r="B32" s="906"/>
      <c r="C32" s="906"/>
      <c r="D32" s="906"/>
      <c r="E32" s="906"/>
      <c r="F32" s="940"/>
    </row>
    <row r="33">
      <c r="B33" s="906"/>
      <c r="C33" s="906"/>
      <c r="D33" s="906"/>
      <c r="E33" s="906"/>
      <c r="F33" s="940"/>
    </row>
    <row r="34">
      <c r="B34" s="906"/>
      <c r="C34" s="906"/>
      <c r="D34" s="906"/>
      <c r="E34" s="906"/>
      <c r="F34" s="940"/>
    </row>
    <row r="35">
      <c r="B35" s="906"/>
      <c r="C35" s="906"/>
      <c r="D35" s="906"/>
      <c r="E35" s="906"/>
      <c r="F35" s="940"/>
    </row>
    <row r="36">
      <c r="B36" s="906"/>
      <c r="C36" s="906"/>
      <c r="D36" s="906"/>
      <c r="E36" s="906"/>
      <c r="F36" s="940"/>
    </row>
    <row r="37">
      <c r="B37" s="906"/>
      <c r="C37" s="906"/>
      <c r="D37" s="906"/>
      <c r="E37" s="906"/>
      <c r="F37" s="940"/>
    </row>
    <row r="38">
      <c r="B38" s="906"/>
      <c r="C38" s="906"/>
      <c r="D38" s="906"/>
      <c r="E38" s="906"/>
      <c r="F38" s="940"/>
    </row>
    <row r="39">
      <c r="B39" s="906"/>
      <c r="C39" s="906"/>
      <c r="D39" s="906"/>
      <c r="E39" s="906"/>
      <c r="F39" s="940"/>
    </row>
    <row r="40">
      <c r="B40" s="906"/>
      <c r="C40" s="906"/>
      <c r="D40" s="906"/>
      <c r="E40" s="906"/>
      <c r="F40" s="940"/>
    </row>
    <row r="41">
      <c r="B41" s="906"/>
      <c r="C41" s="906"/>
      <c r="D41" s="906"/>
      <c r="E41" s="906"/>
      <c r="F41" s="940"/>
    </row>
    <row r="42">
      <c r="B42" s="906"/>
      <c r="C42" s="906"/>
      <c r="D42" s="906"/>
      <c r="E42" s="906"/>
      <c r="F42" s="940"/>
    </row>
    <row r="43">
      <c r="B43" s="906"/>
      <c r="C43" s="906"/>
      <c r="D43" s="906"/>
      <c r="E43" s="906"/>
      <c r="F43" s="940"/>
    </row>
    <row r="44">
      <c r="B44" s="906"/>
      <c r="C44" s="906"/>
      <c r="D44" s="906"/>
      <c r="E44" s="906"/>
      <c r="F44" s="940"/>
    </row>
    <row r="45">
      <c r="B45" s="906"/>
      <c r="C45" s="906"/>
      <c r="D45" s="906"/>
      <c r="E45" s="906"/>
      <c r="F45" s="940"/>
    </row>
    <row r="46">
      <c r="B46" s="906"/>
      <c r="C46" s="906"/>
      <c r="D46" s="906"/>
      <c r="E46" s="906"/>
      <c r="F46" s="940"/>
    </row>
    <row r="47">
      <c r="B47" s="906"/>
      <c r="C47" s="906"/>
      <c r="D47" s="906"/>
      <c r="E47" s="906"/>
      <c r="F47" s="940"/>
    </row>
    <row r="48">
      <c r="B48" s="906"/>
      <c r="C48" s="906"/>
      <c r="D48" s="906"/>
      <c r="E48" s="906"/>
      <c r="F48" s="940"/>
    </row>
    <row r="49">
      <c r="B49" s="906"/>
      <c r="C49" s="906"/>
      <c r="D49" s="906"/>
      <c r="E49" s="906"/>
      <c r="F49" s="940"/>
    </row>
    <row r="50">
      <c r="B50" s="906"/>
      <c r="C50" s="906"/>
      <c r="D50" s="906"/>
      <c r="E50" s="906"/>
      <c r="F50" s="940"/>
    </row>
    <row r="51">
      <c r="B51" s="906"/>
      <c r="C51" s="906"/>
      <c r="D51" s="906"/>
      <c r="E51" s="906"/>
      <c r="F51" s="940"/>
    </row>
    <row r="52">
      <c r="B52" s="906"/>
      <c r="C52" s="906"/>
      <c r="D52" s="906"/>
      <c r="E52" s="906"/>
      <c r="F52" s="940"/>
    </row>
    <row r="53">
      <c r="B53" s="906"/>
      <c r="C53" s="906"/>
      <c r="D53" s="906"/>
      <c r="E53" s="906"/>
      <c r="F53" s="940"/>
    </row>
    <row r="54">
      <c r="B54" s="906"/>
      <c r="C54" s="906"/>
      <c r="D54" s="906"/>
      <c r="E54" s="906"/>
      <c r="F54" s="940"/>
    </row>
    <row r="55">
      <c r="B55" s="906"/>
      <c r="C55" s="906"/>
      <c r="D55" s="906"/>
      <c r="E55" s="906"/>
      <c r="F55" s="940"/>
    </row>
    <row r="56">
      <c r="B56" s="906"/>
      <c r="C56" s="906"/>
      <c r="D56" s="906"/>
      <c r="E56" s="906"/>
      <c r="F56" s="940"/>
    </row>
    <row r="57">
      <c r="B57" s="906"/>
      <c r="C57" s="906"/>
      <c r="D57" s="906"/>
      <c r="E57" s="906"/>
      <c r="F57" s="940"/>
    </row>
    <row r="58">
      <c r="B58" s="906"/>
      <c r="C58" s="906"/>
      <c r="D58" s="906"/>
      <c r="E58" s="906"/>
      <c r="F58" s="940"/>
    </row>
    <row r="59">
      <c r="B59" s="906"/>
      <c r="C59" s="906"/>
      <c r="D59" s="906"/>
      <c r="E59" s="906"/>
      <c r="F59" s="940"/>
    </row>
    <row r="60">
      <c r="B60" s="906"/>
      <c r="C60" s="906"/>
      <c r="D60" s="906"/>
      <c r="E60" s="906"/>
      <c r="F60" s="940"/>
    </row>
    <row r="61">
      <c r="B61" s="906"/>
      <c r="C61" s="906"/>
      <c r="D61" s="906"/>
      <c r="E61" s="906"/>
      <c r="F61" s="940"/>
    </row>
    <row r="62">
      <c r="B62" s="906"/>
      <c r="C62" s="906"/>
      <c r="D62" s="906"/>
      <c r="E62" s="906"/>
      <c r="F62" s="940"/>
    </row>
    <row r="63">
      <c r="B63" s="906"/>
      <c r="C63" s="906"/>
      <c r="D63" s="906"/>
      <c r="E63" s="906"/>
      <c r="F63" s="940"/>
    </row>
    <row r="64">
      <c r="B64" s="906"/>
      <c r="C64" s="906"/>
      <c r="D64" s="906"/>
      <c r="E64" s="906"/>
      <c r="F64" s="940"/>
    </row>
    <row r="65">
      <c r="B65" s="906"/>
      <c r="C65" s="906"/>
      <c r="D65" s="906"/>
      <c r="E65" s="906"/>
      <c r="F65" s="940"/>
    </row>
    <row r="66">
      <c r="B66" s="906"/>
      <c r="C66" s="906"/>
      <c r="D66" s="906"/>
      <c r="E66" s="906"/>
      <c r="F66" s="940"/>
    </row>
    <row r="67">
      <c r="B67" s="906"/>
      <c r="C67" s="906"/>
      <c r="D67" s="906"/>
      <c r="E67" s="906"/>
      <c r="F67" s="940"/>
    </row>
    <row r="68">
      <c r="B68" s="906"/>
      <c r="C68" s="906"/>
      <c r="D68" s="906"/>
      <c r="E68" s="906"/>
      <c r="F68" s="940"/>
    </row>
    <row r="69">
      <c r="B69" s="906"/>
      <c r="C69" s="906"/>
      <c r="D69" s="906"/>
      <c r="E69" s="906"/>
      <c r="F69" s="940"/>
    </row>
    <row r="70">
      <c r="B70" s="906"/>
      <c r="C70" s="906"/>
      <c r="D70" s="906"/>
      <c r="E70" s="906"/>
      <c r="F70" s="940"/>
    </row>
    <row r="71">
      <c r="B71" s="906"/>
      <c r="C71" s="906"/>
      <c r="D71" s="906"/>
      <c r="E71" s="906"/>
      <c r="F71" s="940"/>
    </row>
    <row r="72">
      <c r="B72" s="906"/>
      <c r="C72" s="906"/>
      <c r="D72" s="906"/>
      <c r="E72" s="906"/>
      <c r="F72" s="940"/>
    </row>
    <row r="73">
      <c r="B73" s="906"/>
      <c r="C73" s="906"/>
      <c r="D73" s="906"/>
      <c r="E73" s="906"/>
      <c r="F73" s="940"/>
    </row>
    <row r="74">
      <c r="B74" s="906"/>
      <c r="C74" s="906"/>
      <c r="D74" s="906"/>
      <c r="E74" s="906"/>
      <c r="F74" s="940"/>
    </row>
    <row r="75">
      <c r="B75" s="906"/>
      <c r="C75" s="906"/>
      <c r="D75" s="906"/>
      <c r="E75" s="906"/>
      <c r="F75" s="940"/>
    </row>
    <row r="76">
      <c r="B76" s="906"/>
      <c r="C76" s="906"/>
      <c r="D76" s="906"/>
      <c r="E76" s="906"/>
      <c r="F76" s="940"/>
    </row>
    <row r="77">
      <c r="B77" s="906"/>
      <c r="C77" s="906"/>
      <c r="D77" s="906"/>
      <c r="E77" s="906"/>
      <c r="F77" s="940"/>
    </row>
    <row r="78">
      <c r="B78" s="906"/>
      <c r="C78" s="906"/>
      <c r="D78" s="906"/>
      <c r="E78" s="906"/>
      <c r="F78" s="940"/>
    </row>
    <row r="79">
      <c r="B79" s="906"/>
      <c r="C79" s="906"/>
      <c r="D79" s="906"/>
      <c r="E79" s="906"/>
      <c r="F79" s="940"/>
    </row>
    <row r="80">
      <c r="B80" s="906"/>
      <c r="C80" s="906"/>
      <c r="D80" s="906"/>
      <c r="E80" s="906"/>
      <c r="F80" s="940"/>
    </row>
    <row r="81">
      <c r="B81" s="906"/>
      <c r="C81" s="906"/>
      <c r="D81" s="906"/>
      <c r="E81" s="906"/>
      <c r="F81" s="940"/>
    </row>
    <row r="82">
      <c r="B82" s="906"/>
      <c r="C82" s="906"/>
      <c r="D82" s="906"/>
      <c r="E82" s="906"/>
      <c r="F82" s="940"/>
    </row>
    <row r="83">
      <c r="B83" s="906"/>
      <c r="C83" s="906"/>
      <c r="D83" s="906"/>
      <c r="E83" s="906"/>
      <c r="F83" s="940"/>
    </row>
    <row r="84">
      <c r="B84" s="906"/>
      <c r="C84" s="906"/>
      <c r="D84" s="906"/>
      <c r="E84" s="906"/>
      <c r="F84" s="940"/>
    </row>
    <row r="85">
      <c r="B85" s="906"/>
      <c r="C85" s="906"/>
      <c r="D85" s="906"/>
      <c r="E85" s="906"/>
      <c r="F85" s="940"/>
    </row>
    <row r="86">
      <c r="B86" s="906"/>
      <c r="C86" s="906"/>
      <c r="D86" s="906"/>
      <c r="E86" s="906"/>
      <c r="F86" s="940"/>
    </row>
    <row r="87">
      <c r="B87" s="906"/>
      <c r="C87" s="906"/>
      <c r="D87" s="906"/>
      <c r="E87" s="906"/>
      <c r="F87" s="940"/>
    </row>
    <row r="88">
      <c r="B88" s="906"/>
      <c r="C88" s="906"/>
      <c r="D88" s="906"/>
      <c r="E88" s="906"/>
      <c r="F88" s="940"/>
    </row>
    <row r="89">
      <c r="B89" s="906"/>
      <c r="C89" s="906"/>
      <c r="D89" s="906"/>
      <c r="E89" s="906"/>
      <c r="F89" s="940"/>
    </row>
    <row r="90">
      <c r="B90" s="906"/>
      <c r="C90" s="906"/>
      <c r="D90" s="906"/>
      <c r="E90" s="906"/>
      <c r="F90" s="940"/>
    </row>
    <row r="91">
      <c r="B91" s="906"/>
      <c r="C91" s="906"/>
      <c r="D91" s="906"/>
      <c r="E91" s="906"/>
      <c r="F91" s="940"/>
    </row>
    <row r="92">
      <c r="B92" s="906"/>
      <c r="C92" s="906"/>
      <c r="D92" s="906"/>
      <c r="E92" s="906"/>
      <c r="F92" s="940"/>
    </row>
    <row r="93">
      <c r="B93" s="906"/>
      <c r="C93" s="906"/>
      <c r="D93" s="906"/>
      <c r="E93" s="906"/>
      <c r="F93" s="940"/>
    </row>
    <row r="94">
      <c r="B94" s="906"/>
      <c r="C94" s="906"/>
      <c r="D94" s="906"/>
      <c r="E94" s="906"/>
      <c r="F94" s="940"/>
    </row>
    <row r="95">
      <c r="B95" s="906"/>
      <c r="C95" s="906"/>
      <c r="D95" s="906"/>
      <c r="E95" s="906"/>
      <c r="F95" s="940"/>
    </row>
    <row r="96">
      <c r="B96" s="906"/>
      <c r="C96" s="906"/>
      <c r="D96" s="906"/>
      <c r="E96" s="906"/>
      <c r="F96" s="940"/>
    </row>
    <row r="97">
      <c r="B97" s="906"/>
      <c r="C97" s="906"/>
      <c r="D97" s="906"/>
      <c r="E97" s="906"/>
      <c r="F97" s="940"/>
    </row>
    <row r="98">
      <c r="B98" s="906"/>
      <c r="C98" s="906"/>
      <c r="D98" s="906"/>
      <c r="E98" s="906"/>
      <c r="F98" s="940"/>
    </row>
    <row r="99">
      <c r="B99" s="906"/>
      <c r="C99" s="906"/>
      <c r="D99" s="906"/>
      <c r="E99" s="906"/>
      <c r="F99" s="940"/>
    </row>
    <row r="100">
      <c r="B100" s="906"/>
      <c r="C100" s="906"/>
      <c r="D100" s="906"/>
      <c r="E100" s="906"/>
      <c r="F100" s="940"/>
    </row>
    <row r="101">
      <c r="B101" s="906"/>
      <c r="C101" s="906"/>
      <c r="D101" s="906"/>
      <c r="E101" s="906"/>
      <c r="F101" s="940"/>
    </row>
    <row r="102">
      <c r="B102" s="906"/>
      <c r="C102" s="906"/>
      <c r="D102" s="906"/>
      <c r="E102" s="906"/>
      <c r="F102" s="940"/>
    </row>
    <row r="103">
      <c r="B103" s="906"/>
      <c r="C103" s="906"/>
      <c r="D103" s="906"/>
      <c r="E103" s="906"/>
      <c r="F103" s="940"/>
    </row>
    <row r="104">
      <c r="B104" s="906"/>
      <c r="C104" s="906"/>
      <c r="D104" s="906"/>
      <c r="E104" s="906"/>
      <c r="F104" s="940"/>
    </row>
    <row r="105">
      <c r="B105" s="906"/>
      <c r="C105" s="906"/>
      <c r="D105" s="906"/>
      <c r="E105" s="906"/>
      <c r="F105" s="940"/>
    </row>
    <row r="106">
      <c r="B106" s="906"/>
      <c r="C106" s="906"/>
      <c r="D106" s="906"/>
      <c r="E106" s="906"/>
      <c r="F106" s="940"/>
    </row>
    <row r="107">
      <c r="B107" s="906"/>
      <c r="C107" s="906"/>
      <c r="D107" s="906"/>
      <c r="E107" s="906"/>
      <c r="F107" s="940"/>
    </row>
    <row r="108">
      <c r="B108" s="906"/>
      <c r="C108" s="906"/>
      <c r="D108" s="906"/>
      <c r="E108" s="906"/>
      <c r="F108" s="940"/>
    </row>
    <row r="109">
      <c r="B109" s="906"/>
      <c r="C109" s="906"/>
      <c r="D109" s="906"/>
      <c r="E109" s="906"/>
      <c r="F109" s="940"/>
    </row>
    <row r="110">
      <c r="B110" s="906"/>
      <c r="C110" s="906"/>
      <c r="D110" s="906"/>
      <c r="E110" s="906"/>
      <c r="F110" s="940"/>
    </row>
    <row r="111">
      <c r="B111" s="906"/>
      <c r="C111" s="906"/>
      <c r="D111" s="906"/>
      <c r="E111" s="906"/>
      <c r="F111" s="940"/>
    </row>
    <row r="112">
      <c r="B112" s="906"/>
      <c r="C112" s="906"/>
      <c r="D112" s="906"/>
      <c r="E112" s="906"/>
      <c r="F112" s="940"/>
    </row>
    <row r="113">
      <c r="B113" s="906"/>
      <c r="C113" s="906"/>
      <c r="D113" s="906"/>
      <c r="E113" s="906"/>
      <c r="F113" s="940"/>
    </row>
    <row r="114">
      <c r="B114" s="906"/>
      <c r="C114" s="906"/>
      <c r="D114" s="906"/>
      <c r="E114" s="906"/>
      <c r="F114" s="940"/>
    </row>
    <row r="115">
      <c r="B115" s="906"/>
      <c r="C115" s="906"/>
      <c r="D115" s="906"/>
      <c r="E115" s="906"/>
      <c r="F115" s="940"/>
    </row>
    <row r="116">
      <c r="B116" s="906"/>
      <c r="C116" s="906"/>
      <c r="D116" s="906"/>
      <c r="E116" s="906"/>
      <c r="F116" s="940"/>
    </row>
    <row r="117">
      <c r="B117" s="906"/>
      <c r="C117" s="906"/>
      <c r="D117" s="906"/>
      <c r="E117" s="906"/>
      <c r="F117" s="940"/>
    </row>
    <row r="118">
      <c r="B118" s="906"/>
      <c r="C118" s="906"/>
      <c r="D118" s="906"/>
      <c r="E118" s="906"/>
      <c r="F118" s="940"/>
    </row>
    <row r="119">
      <c r="B119" s="906"/>
      <c r="C119" s="906"/>
      <c r="D119" s="906"/>
      <c r="E119" s="906"/>
      <c r="F119" s="940"/>
    </row>
    <row r="120">
      <c r="B120" s="906"/>
      <c r="C120" s="906"/>
      <c r="D120" s="906"/>
      <c r="E120" s="906"/>
      <c r="F120" s="940"/>
    </row>
    <row r="121">
      <c r="B121" s="906"/>
      <c r="C121" s="906"/>
      <c r="D121" s="906"/>
      <c r="E121" s="906"/>
      <c r="F121" s="940"/>
    </row>
    <row r="122">
      <c r="B122" s="906"/>
      <c r="C122" s="906"/>
      <c r="D122" s="906"/>
      <c r="E122" s="906"/>
      <c r="F122" s="940"/>
    </row>
    <row r="123">
      <c r="B123" s="906"/>
      <c r="C123" s="906"/>
      <c r="D123" s="906"/>
      <c r="E123" s="906"/>
      <c r="F123" s="940"/>
    </row>
    <row r="124">
      <c r="B124" s="906"/>
      <c r="C124" s="906"/>
      <c r="D124" s="906"/>
      <c r="E124" s="906"/>
      <c r="F124" s="940"/>
    </row>
    <row r="125">
      <c r="B125" s="906"/>
      <c r="C125" s="906"/>
      <c r="D125" s="906"/>
      <c r="E125" s="906"/>
      <c r="F125" s="940"/>
    </row>
    <row r="126">
      <c r="B126" s="906"/>
      <c r="C126" s="906"/>
      <c r="D126" s="906"/>
      <c r="E126" s="906"/>
      <c r="F126" s="940"/>
    </row>
    <row r="127">
      <c r="B127" s="906"/>
      <c r="C127" s="906"/>
      <c r="D127" s="906"/>
      <c r="E127" s="906"/>
      <c r="F127" s="940"/>
    </row>
    <row r="128">
      <c r="B128" s="906"/>
      <c r="C128" s="906"/>
      <c r="D128" s="906"/>
      <c r="E128" s="906"/>
      <c r="F128" s="940"/>
    </row>
    <row r="129">
      <c r="B129" s="906"/>
      <c r="C129" s="906"/>
      <c r="D129" s="906"/>
      <c r="E129" s="906"/>
      <c r="F129" s="940"/>
    </row>
    <row r="130">
      <c r="B130" s="906"/>
      <c r="C130" s="906"/>
      <c r="D130" s="906"/>
      <c r="E130" s="906"/>
      <c r="F130" s="940"/>
    </row>
    <row r="131">
      <c r="B131" s="906"/>
      <c r="C131" s="906"/>
      <c r="D131" s="906"/>
      <c r="E131" s="906"/>
      <c r="F131" s="940"/>
    </row>
    <row r="132">
      <c r="B132" s="906"/>
      <c r="C132" s="906"/>
      <c r="D132" s="906"/>
      <c r="E132" s="906"/>
      <c r="F132" s="940"/>
    </row>
    <row r="133">
      <c r="B133" s="906"/>
      <c r="C133" s="906"/>
      <c r="D133" s="906"/>
      <c r="E133" s="906"/>
      <c r="F133" s="940"/>
    </row>
    <row r="134">
      <c r="B134" s="906"/>
      <c r="C134" s="906"/>
      <c r="D134" s="906"/>
      <c r="E134" s="906"/>
      <c r="F134" s="940"/>
    </row>
    <row r="135">
      <c r="B135" s="906"/>
      <c r="C135" s="906"/>
      <c r="D135" s="906"/>
      <c r="E135" s="906"/>
      <c r="F135" s="940"/>
    </row>
    <row r="136">
      <c r="B136" s="906"/>
      <c r="C136" s="906"/>
      <c r="D136" s="906"/>
      <c r="E136" s="906"/>
      <c r="F136" s="940"/>
    </row>
    <row r="137">
      <c r="B137" s="906"/>
      <c r="C137" s="906"/>
      <c r="D137" s="906"/>
      <c r="E137" s="906"/>
      <c r="F137" s="940"/>
    </row>
    <row r="138">
      <c r="B138" s="906"/>
      <c r="C138" s="906"/>
      <c r="D138" s="906"/>
      <c r="E138" s="906"/>
      <c r="F138" s="940"/>
    </row>
    <row r="139">
      <c r="B139" s="906"/>
      <c r="C139" s="906"/>
      <c r="D139" s="906"/>
      <c r="E139" s="906"/>
      <c r="F139" s="940"/>
    </row>
    <row r="140">
      <c r="B140" s="906"/>
      <c r="C140" s="906"/>
      <c r="D140" s="906"/>
      <c r="E140" s="906"/>
      <c r="F140" s="940"/>
    </row>
    <row r="141">
      <c r="B141" s="906"/>
      <c r="C141" s="906"/>
      <c r="D141" s="906"/>
      <c r="E141" s="906"/>
      <c r="F141" s="940"/>
    </row>
    <row r="142">
      <c r="B142" s="906"/>
      <c r="C142" s="906"/>
      <c r="D142" s="906"/>
      <c r="E142" s="906"/>
      <c r="F142" s="940"/>
    </row>
    <row r="143">
      <c r="B143" s="906"/>
      <c r="C143" s="906"/>
      <c r="D143" s="906"/>
      <c r="E143" s="906"/>
      <c r="F143" s="940"/>
    </row>
    <row r="144">
      <c r="B144" s="906"/>
      <c r="C144" s="906"/>
      <c r="D144" s="906"/>
      <c r="E144" s="906"/>
      <c r="F144" s="940"/>
    </row>
    <row r="145">
      <c r="B145" s="906"/>
      <c r="C145" s="906"/>
      <c r="D145" s="906"/>
      <c r="E145" s="906"/>
      <c r="F145" s="940"/>
    </row>
    <row r="146">
      <c r="B146" s="906"/>
      <c r="C146" s="906"/>
      <c r="D146" s="906"/>
      <c r="E146" s="906"/>
      <c r="F146" s="940"/>
    </row>
    <row r="147">
      <c r="B147" s="906"/>
      <c r="C147" s="906"/>
      <c r="D147" s="906"/>
      <c r="E147" s="906"/>
      <c r="F147" s="940"/>
    </row>
    <row r="148">
      <c r="B148" s="906"/>
      <c r="C148" s="906"/>
      <c r="D148" s="906"/>
      <c r="E148" s="906"/>
      <c r="F148" s="940"/>
    </row>
    <row r="149">
      <c r="B149" s="906"/>
      <c r="C149" s="906"/>
      <c r="D149" s="906"/>
      <c r="E149" s="906"/>
      <c r="F149" s="940"/>
    </row>
    <row r="150">
      <c r="B150" s="906"/>
      <c r="C150" s="906"/>
      <c r="D150" s="906"/>
      <c r="E150" s="906"/>
      <c r="F150" s="940"/>
    </row>
    <row r="151">
      <c r="B151" s="906"/>
      <c r="C151" s="906"/>
      <c r="D151" s="906"/>
      <c r="E151" s="906"/>
      <c r="F151" s="940"/>
    </row>
    <row r="152">
      <c r="B152" s="906"/>
      <c r="C152" s="906"/>
      <c r="D152" s="906"/>
      <c r="E152" s="906"/>
      <c r="F152" s="940"/>
    </row>
    <row r="153">
      <c r="B153" s="906"/>
      <c r="C153" s="906"/>
      <c r="D153" s="906"/>
      <c r="E153" s="906"/>
      <c r="F153" s="940"/>
    </row>
    <row r="154">
      <c r="B154" s="906"/>
      <c r="C154" s="906"/>
      <c r="D154" s="906"/>
      <c r="E154" s="906"/>
      <c r="F154" s="940"/>
    </row>
    <row r="155">
      <c r="B155" s="906"/>
      <c r="C155" s="906"/>
      <c r="D155" s="906"/>
      <c r="E155" s="906"/>
      <c r="F155" s="940"/>
    </row>
    <row r="156">
      <c r="B156" s="906"/>
      <c r="C156" s="906"/>
      <c r="D156" s="906"/>
      <c r="E156" s="906"/>
      <c r="F156" s="940"/>
    </row>
    <row r="157">
      <c r="B157" s="906"/>
      <c r="C157" s="906"/>
      <c r="D157" s="906"/>
      <c r="E157" s="906"/>
      <c r="F157" s="940"/>
    </row>
    <row r="158">
      <c r="B158" s="906"/>
      <c r="C158" s="906"/>
      <c r="D158" s="906"/>
      <c r="E158" s="906"/>
      <c r="F158" s="940"/>
    </row>
    <row r="159">
      <c r="B159" s="906"/>
      <c r="C159" s="906"/>
      <c r="D159" s="906"/>
      <c r="E159" s="906"/>
      <c r="F159" s="940"/>
    </row>
    <row r="160">
      <c r="B160" s="906"/>
      <c r="C160" s="906"/>
      <c r="D160" s="906"/>
      <c r="E160" s="906"/>
      <c r="F160" s="940"/>
    </row>
    <row r="161">
      <c r="B161" s="906"/>
      <c r="C161" s="906"/>
      <c r="D161" s="906"/>
      <c r="E161" s="906"/>
      <c r="F161" s="940"/>
    </row>
    <row r="162">
      <c r="B162" s="906"/>
      <c r="C162" s="906"/>
      <c r="D162" s="906"/>
      <c r="E162" s="906"/>
      <c r="F162" s="940"/>
    </row>
    <row r="163">
      <c r="B163" s="906"/>
      <c r="C163" s="906"/>
      <c r="D163" s="906"/>
      <c r="E163" s="906"/>
      <c r="F163" s="940"/>
    </row>
    <row r="164">
      <c r="B164" s="906"/>
      <c r="C164" s="906"/>
      <c r="D164" s="906"/>
      <c r="E164" s="906"/>
      <c r="F164" s="940"/>
    </row>
    <row r="165">
      <c r="B165" s="906"/>
      <c r="C165" s="906"/>
      <c r="D165" s="906"/>
      <c r="E165" s="906"/>
      <c r="F165" s="940"/>
    </row>
    <row r="166">
      <c r="B166" s="906"/>
      <c r="C166" s="906"/>
      <c r="D166" s="906"/>
      <c r="E166" s="906"/>
      <c r="F166" s="940"/>
    </row>
    <row r="167">
      <c r="B167" s="906"/>
      <c r="C167" s="906"/>
      <c r="D167" s="906"/>
      <c r="E167" s="906"/>
      <c r="F167" s="940"/>
    </row>
    <row r="168">
      <c r="B168" s="906"/>
      <c r="C168" s="906"/>
      <c r="D168" s="906"/>
      <c r="E168" s="906"/>
      <c r="F168" s="940"/>
    </row>
    <row r="169">
      <c r="B169" s="906"/>
      <c r="C169" s="906"/>
      <c r="D169" s="906"/>
      <c r="E169" s="906"/>
      <c r="F169" s="940"/>
    </row>
    <row r="170">
      <c r="B170" s="906"/>
      <c r="C170" s="906"/>
      <c r="D170" s="906"/>
      <c r="E170" s="906"/>
      <c r="F170" s="940"/>
    </row>
    <row r="171">
      <c r="B171" s="906"/>
      <c r="C171" s="906"/>
      <c r="D171" s="906"/>
      <c r="E171" s="906"/>
      <c r="F171" s="940"/>
    </row>
    <row r="172">
      <c r="B172" s="906"/>
      <c r="C172" s="906"/>
      <c r="D172" s="906"/>
      <c r="E172" s="906"/>
      <c r="F172" s="940"/>
    </row>
    <row r="173">
      <c r="B173" s="906"/>
      <c r="C173" s="906"/>
      <c r="D173" s="906"/>
      <c r="E173" s="906"/>
      <c r="F173" s="940"/>
    </row>
    <row r="174">
      <c r="B174" s="906"/>
      <c r="C174" s="906"/>
      <c r="D174" s="906"/>
      <c r="E174" s="906"/>
      <c r="F174" s="940"/>
    </row>
    <row r="175">
      <c r="B175" s="906"/>
      <c r="C175" s="906"/>
      <c r="D175" s="906"/>
      <c r="E175" s="906"/>
      <c r="F175" s="940"/>
    </row>
    <row r="176">
      <c r="B176" s="906"/>
      <c r="C176" s="906"/>
      <c r="D176" s="906"/>
      <c r="E176" s="906"/>
      <c r="F176" s="940"/>
    </row>
    <row r="177">
      <c r="B177" s="906"/>
      <c r="C177" s="906"/>
      <c r="D177" s="906"/>
      <c r="E177" s="906"/>
      <c r="F177" s="940"/>
    </row>
    <row r="178">
      <c r="B178" s="906"/>
      <c r="C178" s="906"/>
      <c r="D178" s="906"/>
      <c r="E178" s="906"/>
      <c r="F178" s="940"/>
    </row>
    <row r="179">
      <c r="B179" s="906"/>
      <c r="C179" s="906"/>
      <c r="D179" s="906"/>
      <c r="E179" s="906"/>
      <c r="F179" s="940"/>
    </row>
    <row r="180">
      <c r="B180" s="906"/>
      <c r="C180" s="906"/>
      <c r="D180" s="906"/>
      <c r="E180" s="906"/>
      <c r="F180" s="940"/>
    </row>
    <row r="181">
      <c r="B181" s="906"/>
      <c r="C181" s="906"/>
      <c r="D181" s="906"/>
      <c r="E181" s="906"/>
      <c r="F181" s="940"/>
    </row>
    <row r="182">
      <c r="B182" s="906"/>
      <c r="C182" s="906"/>
      <c r="D182" s="906"/>
      <c r="E182" s="906"/>
      <c r="F182" s="940"/>
    </row>
    <row r="183">
      <c r="B183" s="906"/>
      <c r="C183" s="906"/>
      <c r="D183" s="906"/>
      <c r="E183" s="906"/>
      <c r="F183" s="940"/>
    </row>
    <row r="184">
      <c r="B184" s="906"/>
      <c r="C184" s="906"/>
      <c r="D184" s="906"/>
      <c r="E184" s="906"/>
      <c r="F184" s="940"/>
    </row>
    <row r="185">
      <c r="B185" s="906"/>
      <c r="C185" s="906"/>
      <c r="D185" s="906"/>
      <c r="E185" s="906"/>
      <c r="F185" s="940"/>
    </row>
    <row r="186">
      <c r="B186" s="906"/>
      <c r="C186" s="906"/>
      <c r="D186" s="906"/>
      <c r="E186" s="906"/>
      <c r="F186" s="940"/>
    </row>
    <row r="187">
      <c r="B187" s="906"/>
      <c r="C187" s="906"/>
      <c r="D187" s="906"/>
      <c r="E187" s="906"/>
      <c r="F187" s="940"/>
    </row>
    <row r="188">
      <c r="B188" s="906"/>
      <c r="C188" s="906"/>
      <c r="D188" s="906"/>
      <c r="E188" s="906"/>
      <c r="F188" s="940"/>
    </row>
    <row r="189">
      <c r="B189" s="906"/>
      <c r="C189" s="906"/>
      <c r="D189" s="906"/>
      <c r="E189" s="906"/>
      <c r="F189" s="940"/>
    </row>
    <row r="190">
      <c r="B190" s="906"/>
      <c r="C190" s="906"/>
      <c r="D190" s="906"/>
      <c r="E190" s="906"/>
      <c r="F190" s="940"/>
    </row>
    <row r="191">
      <c r="B191" s="906"/>
      <c r="C191" s="906"/>
      <c r="D191" s="906"/>
      <c r="E191" s="906"/>
      <c r="F191" s="940"/>
    </row>
    <row r="192">
      <c r="B192" s="906"/>
      <c r="C192" s="906"/>
      <c r="D192" s="906"/>
      <c r="E192" s="906"/>
      <c r="F192" s="940"/>
    </row>
    <row r="193">
      <c r="B193" s="906"/>
      <c r="C193" s="906"/>
      <c r="D193" s="906"/>
      <c r="E193" s="906"/>
      <c r="F193" s="940"/>
    </row>
    <row r="194">
      <c r="B194" s="906"/>
      <c r="C194" s="906"/>
      <c r="D194" s="906"/>
      <c r="E194" s="906"/>
      <c r="F194" s="940"/>
    </row>
    <row r="195">
      <c r="B195" s="906"/>
      <c r="C195" s="906"/>
      <c r="D195" s="906"/>
      <c r="E195" s="906"/>
      <c r="F195" s="940"/>
    </row>
    <row r="196">
      <c r="B196" s="906"/>
      <c r="C196" s="906"/>
      <c r="D196" s="906"/>
      <c r="E196" s="906"/>
      <c r="F196" s="940"/>
    </row>
    <row r="197">
      <c r="B197" s="906"/>
      <c r="C197" s="906"/>
      <c r="D197" s="906"/>
      <c r="E197" s="906"/>
      <c r="F197" s="940"/>
    </row>
    <row r="198">
      <c r="B198" s="906"/>
      <c r="C198" s="906"/>
      <c r="D198" s="906"/>
      <c r="E198" s="906"/>
      <c r="F198" s="940"/>
    </row>
    <row r="199">
      <c r="B199" s="906"/>
      <c r="C199" s="906"/>
      <c r="D199" s="906"/>
      <c r="E199" s="906"/>
      <c r="F199" s="940"/>
    </row>
    <row r="200">
      <c r="B200" s="906"/>
      <c r="C200" s="906"/>
      <c r="D200" s="906"/>
      <c r="E200" s="906"/>
      <c r="F200" s="940"/>
    </row>
    <row r="201">
      <c r="B201" s="906"/>
      <c r="C201" s="906"/>
      <c r="D201" s="906"/>
      <c r="E201" s="906"/>
      <c r="F201" s="940"/>
    </row>
    <row r="202">
      <c r="B202" s="906"/>
      <c r="C202" s="906"/>
      <c r="D202" s="906"/>
      <c r="E202" s="906"/>
      <c r="F202" s="940"/>
    </row>
    <row r="203">
      <c r="B203" s="906"/>
      <c r="C203" s="906"/>
      <c r="D203" s="906"/>
      <c r="E203" s="906"/>
      <c r="F203" s="940"/>
    </row>
    <row r="204">
      <c r="B204" s="906"/>
      <c r="C204" s="906"/>
      <c r="D204" s="906"/>
      <c r="E204" s="906"/>
      <c r="F204" s="940"/>
    </row>
    <row r="205">
      <c r="B205" s="906"/>
      <c r="C205" s="906"/>
      <c r="D205" s="906"/>
      <c r="E205" s="906"/>
      <c r="F205" s="940"/>
    </row>
    <row r="206">
      <c r="B206" s="906"/>
      <c r="C206" s="906"/>
      <c r="D206" s="906"/>
      <c r="E206" s="906"/>
      <c r="F206" s="940"/>
    </row>
    <row r="207">
      <c r="B207" s="906"/>
      <c r="C207" s="906"/>
      <c r="D207" s="906"/>
      <c r="E207" s="906"/>
      <c r="F207" s="940"/>
    </row>
    <row r="208">
      <c r="B208" s="906"/>
      <c r="C208" s="906"/>
      <c r="D208" s="906"/>
      <c r="E208" s="906"/>
      <c r="F208" s="940"/>
    </row>
    <row r="209">
      <c r="B209" s="906"/>
      <c r="C209" s="906"/>
      <c r="D209" s="906"/>
      <c r="E209" s="906"/>
      <c r="F209" s="940"/>
    </row>
    <row r="210">
      <c r="B210" s="906"/>
      <c r="C210" s="906"/>
      <c r="D210" s="906"/>
      <c r="E210" s="906"/>
      <c r="F210" s="940"/>
    </row>
    <row r="211">
      <c r="B211" s="906"/>
      <c r="C211" s="906"/>
      <c r="D211" s="906"/>
      <c r="E211" s="906"/>
      <c r="F211" s="940"/>
    </row>
    <row r="212">
      <c r="B212" s="906"/>
      <c r="C212" s="906"/>
      <c r="D212" s="906"/>
      <c r="E212" s="906"/>
      <c r="F212" s="940"/>
    </row>
    <row r="213">
      <c r="B213" s="906"/>
      <c r="C213" s="906"/>
      <c r="D213" s="906"/>
      <c r="E213" s="906"/>
      <c r="F213" s="940"/>
    </row>
    <row r="214">
      <c r="B214" s="906"/>
      <c r="C214" s="906"/>
      <c r="D214" s="906"/>
      <c r="E214" s="906"/>
      <c r="F214" s="940"/>
    </row>
    <row r="215">
      <c r="B215" s="906"/>
      <c r="C215" s="906"/>
      <c r="D215" s="906"/>
      <c r="E215" s="906"/>
      <c r="F215" s="940"/>
    </row>
    <row r="216">
      <c r="B216" s="906"/>
      <c r="C216" s="906"/>
      <c r="D216" s="906"/>
      <c r="E216" s="906"/>
      <c r="F216" s="940"/>
    </row>
    <row r="217">
      <c r="B217" s="906"/>
      <c r="C217" s="906"/>
      <c r="D217" s="906"/>
      <c r="E217" s="906"/>
      <c r="F217" s="940"/>
    </row>
    <row r="218">
      <c r="B218" s="906"/>
      <c r="C218" s="906"/>
      <c r="D218" s="906"/>
      <c r="E218" s="906"/>
      <c r="F218" s="940"/>
    </row>
    <row r="219">
      <c r="B219" s="906"/>
      <c r="C219" s="906"/>
      <c r="D219" s="906"/>
      <c r="E219" s="906"/>
      <c r="F219" s="940"/>
    </row>
    <row r="220">
      <c r="B220" s="906"/>
      <c r="C220" s="906"/>
      <c r="D220" s="906"/>
      <c r="E220" s="906"/>
      <c r="F220" s="940"/>
    </row>
    <row r="221">
      <c r="B221" s="906"/>
      <c r="C221" s="906"/>
      <c r="D221" s="906"/>
      <c r="E221" s="906"/>
      <c r="F221" s="940"/>
    </row>
    <row r="222">
      <c r="B222" s="906"/>
      <c r="C222" s="906"/>
      <c r="D222" s="906"/>
      <c r="E222" s="906"/>
      <c r="F222" s="940"/>
    </row>
    <row r="223">
      <c r="B223" s="906"/>
      <c r="C223" s="906"/>
      <c r="D223" s="906"/>
      <c r="E223" s="906"/>
      <c r="F223" s="940"/>
    </row>
    <row r="224">
      <c r="B224" s="906"/>
      <c r="C224" s="906"/>
      <c r="D224" s="906"/>
      <c r="E224" s="906"/>
      <c r="F224" s="940"/>
    </row>
    <row r="225">
      <c r="B225" s="906"/>
      <c r="C225" s="906"/>
      <c r="D225" s="906"/>
      <c r="E225" s="906"/>
      <c r="F225" s="940"/>
    </row>
    <row r="226">
      <c r="B226" s="906"/>
      <c r="C226" s="906"/>
      <c r="D226" s="906"/>
      <c r="E226" s="906"/>
      <c r="F226" s="940"/>
    </row>
    <row r="227">
      <c r="B227" s="906"/>
      <c r="C227" s="906"/>
      <c r="D227" s="906"/>
      <c r="E227" s="906"/>
      <c r="F227" s="940"/>
    </row>
    <row r="228">
      <c r="B228" s="906"/>
      <c r="C228" s="906"/>
      <c r="D228" s="906"/>
      <c r="E228" s="906"/>
      <c r="F228" s="940"/>
    </row>
    <row r="229">
      <c r="B229" s="906"/>
      <c r="C229" s="906"/>
      <c r="D229" s="906"/>
      <c r="E229" s="906"/>
      <c r="F229" s="940"/>
    </row>
    <row r="230">
      <c r="B230" s="906"/>
      <c r="C230" s="906"/>
      <c r="D230" s="906"/>
      <c r="E230" s="906"/>
      <c r="F230" s="940"/>
    </row>
    <row r="231">
      <c r="B231" s="906"/>
      <c r="C231" s="906"/>
      <c r="D231" s="906"/>
      <c r="E231" s="906"/>
      <c r="F231" s="940"/>
    </row>
    <row r="232">
      <c r="B232" s="906"/>
      <c r="C232" s="906"/>
      <c r="D232" s="906"/>
      <c r="E232" s="906"/>
      <c r="F232" s="940"/>
    </row>
    <row r="233">
      <c r="B233" s="906"/>
      <c r="C233" s="906"/>
      <c r="D233" s="906"/>
      <c r="E233" s="906"/>
      <c r="F233" s="940"/>
    </row>
    <row r="234">
      <c r="B234" s="906"/>
      <c r="C234" s="906"/>
      <c r="D234" s="906"/>
      <c r="E234" s="906"/>
      <c r="F234" s="940"/>
    </row>
    <row r="235">
      <c r="B235" s="906"/>
      <c r="C235" s="906"/>
      <c r="D235" s="906"/>
      <c r="E235" s="906"/>
      <c r="F235" s="940"/>
    </row>
    <row r="236">
      <c r="B236" s="906"/>
      <c r="C236" s="906"/>
      <c r="D236" s="906"/>
      <c r="E236" s="906"/>
      <c r="F236" s="940"/>
    </row>
    <row r="237">
      <c r="B237" s="906"/>
      <c r="C237" s="906"/>
      <c r="D237" s="906"/>
      <c r="E237" s="906"/>
      <c r="F237" s="940"/>
    </row>
    <row r="238">
      <c r="B238" s="906"/>
      <c r="C238" s="906"/>
      <c r="D238" s="906"/>
      <c r="E238" s="906"/>
      <c r="F238" s="940"/>
    </row>
    <row r="239">
      <c r="B239" s="906"/>
      <c r="C239" s="906"/>
      <c r="D239" s="906"/>
      <c r="E239" s="906"/>
      <c r="F239" s="940"/>
    </row>
    <row r="240">
      <c r="B240" s="906"/>
      <c r="C240" s="906"/>
      <c r="D240" s="906"/>
      <c r="E240" s="906"/>
      <c r="F240" s="940"/>
    </row>
    <row r="241">
      <c r="B241" s="906"/>
      <c r="C241" s="906"/>
      <c r="D241" s="906"/>
      <c r="E241" s="906"/>
      <c r="F241" s="940"/>
    </row>
    <row r="242">
      <c r="B242" s="906"/>
      <c r="C242" s="906"/>
      <c r="D242" s="906"/>
      <c r="E242" s="906"/>
      <c r="F242" s="940"/>
    </row>
    <row r="243">
      <c r="B243" s="906"/>
      <c r="C243" s="906"/>
      <c r="D243" s="906"/>
      <c r="E243" s="906"/>
      <c r="F243" s="940"/>
    </row>
    <row r="244">
      <c r="B244" s="906"/>
      <c r="C244" s="906"/>
      <c r="D244" s="906"/>
      <c r="E244" s="906"/>
      <c r="F244" s="940"/>
    </row>
    <row r="245">
      <c r="B245" s="906"/>
      <c r="C245" s="906"/>
      <c r="D245" s="906"/>
      <c r="E245" s="906"/>
      <c r="F245" s="940"/>
    </row>
    <row r="246">
      <c r="B246" s="906"/>
      <c r="C246" s="906"/>
      <c r="D246" s="906"/>
      <c r="E246" s="906"/>
      <c r="F246" s="940"/>
    </row>
    <row r="247">
      <c r="B247" s="906"/>
      <c r="C247" s="906"/>
      <c r="D247" s="906"/>
      <c r="E247" s="906"/>
      <c r="F247" s="940"/>
    </row>
    <row r="248">
      <c r="B248" s="906"/>
      <c r="C248" s="906"/>
      <c r="D248" s="906"/>
      <c r="E248" s="906"/>
      <c r="F248" s="940"/>
    </row>
    <row r="249">
      <c r="B249" s="906"/>
      <c r="C249" s="906"/>
      <c r="D249" s="906"/>
      <c r="E249" s="906"/>
      <c r="F249" s="940"/>
    </row>
    <row r="250">
      <c r="B250" s="906"/>
      <c r="C250" s="906"/>
      <c r="D250" s="906"/>
      <c r="E250" s="906"/>
      <c r="F250" s="940"/>
    </row>
    <row r="251">
      <c r="B251" s="906"/>
      <c r="C251" s="906"/>
      <c r="D251" s="906"/>
      <c r="E251" s="906"/>
      <c r="F251" s="940"/>
    </row>
    <row r="252">
      <c r="B252" s="906"/>
      <c r="C252" s="906"/>
      <c r="D252" s="906"/>
      <c r="E252" s="906"/>
      <c r="F252" s="940"/>
    </row>
    <row r="253">
      <c r="B253" s="906"/>
      <c r="C253" s="906"/>
      <c r="D253" s="906"/>
      <c r="E253" s="906"/>
      <c r="F253" s="940"/>
    </row>
    <row r="254">
      <c r="B254" s="906"/>
      <c r="C254" s="906"/>
      <c r="D254" s="906"/>
      <c r="E254" s="906"/>
      <c r="F254" s="940"/>
    </row>
    <row r="255">
      <c r="B255" s="906"/>
      <c r="C255" s="906"/>
      <c r="D255" s="906"/>
      <c r="E255" s="906"/>
      <c r="F255" s="940"/>
    </row>
    <row r="256">
      <c r="B256" s="906"/>
      <c r="C256" s="906"/>
      <c r="D256" s="906"/>
      <c r="E256" s="906"/>
      <c r="F256" s="940"/>
    </row>
    <row r="257">
      <c r="B257" s="906"/>
      <c r="C257" s="906"/>
      <c r="D257" s="906"/>
      <c r="E257" s="906"/>
      <c r="F257" s="940"/>
    </row>
    <row r="258">
      <c r="B258" s="906"/>
      <c r="C258" s="906"/>
      <c r="D258" s="906"/>
      <c r="E258" s="906"/>
      <c r="F258" s="940"/>
    </row>
    <row r="259">
      <c r="B259" s="906"/>
      <c r="C259" s="906"/>
      <c r="D259" s="906"/>
      <c r="E259" s="906"/>
      <c r="F259" s="940"/>
    </row>
    <row r="260">
      <c r="B260" s="906"/>
      <c r="C260" s="906"/>
      <c r="D260" s="906"/>
      <c r="E260" s="906"/>
      <c r="F260" s="940"/>
    </row>
    <row r="261">
      <c r="B261" s="906"/>
      <c r="C261" s="906"/>
      <c r="D261" s="906"/>
      <c r="E261" s="906"/>
      <c r="F261" s="940"/>
    </row>
    <row r="262">
      <c r="B262" s="906"/>
      <c r="C262" s="906"/>
      <c r="D262" s="906"/>
      <c r="E262" s="906"/>
      <c r="F262" s="940"/>
    </row>
    <row r="263">
      <c r="B263" s="906"/>
      <c r="C263" s="906"/>
      <c r="D263" s="906"/>
      <c r="E263" s="906"/>
      <c r="F263" s="940"/>
    </row>
    <row r="264">
      <c r="B264" s="906"/>
      <c r="C264" s="906"/>
      <c r="D264" s="906"/>
      <c r="E264" s="906"/>
      <c r="F264" s="940"/>
    </row>
    <row r="265">
      <c r="B265" s="906"/>
      <c r="C265" s="906"/>
      <c r="D265" s="906"/>
      <c r="E265" s="906"/>
      <c r="F265" s="940"/>
    </row>
    <row r="266">
      <c r="B266" s="906"/>
      <c r="C266" s="906"/>
      <c r="D266" s="906"/>
      <c r="E266" s="906"/>
      <c r="F266" s="940"/>
    </row>
    <row r="267">
      <c r="B267" s="906"/>
      <c r="C267" s="906"/>
      <c r="D267" s="906"/>
      <c r="E267" s="906"/>
      <c r="F267" s="940"/>
    </row>
    <row r="268">
      <c r="B268" s="906"/>
      <c r="C268" s="906"/>
      <c r="D268" s="906"/>
      <c r="E268" s="906"/>
      <c r="F268" s="940"/>
    </row>
    <row r="269">
      <c r="B269" s="906"/>
      <c r="C269" s="906"/>
      <c r="D269" s="906"/>
      <c r="E269" s="906"/>
      <c r="F269" s="940"/>
    </row>
    <row r="270">
      <c r="B270" s="906"/>
      <c r="C270" s="906"/>
      <c r="D270" s="906"/>
      <c r="E270" s="906"/>
      <c r="F270" s="940"/>
    </row>
    <row r="271">
      <c r="B271" s="906"/>
      <c r="C271" s="906"/>
      <c r="D271" s="906"/>
      <c r="E271" s="906"/>
      <c r="F271" s="940"/>
    </row>
    <row r="272">
      <c r="B272" s="906"/>
      <c r="C272" s="906"/>
      <c r="D272" s="906"/>
      <c r="E272" s="906"/>
      <c r="F272" s="940"/>
    </row>
    <row r="273">
      <c r="B273" s="906"/>
      <c r="C273" s="906"/>
      <c r="D273" s="906"/>
      <c r="E273" s="906"/>
      <c r="F273" s="940"/>
    </row>
    <row r="274">
      <c r="B274" s="906"/>
      <c r="C274" s="906"/>
      <c r="D274" s="906"/>
      <c r="E274" s="906"/>
      <c r="F274" s="940"/>
    </row>
    <row r="275">
      <c r="B275" s="906"/>
      <c r="C275" s="906"/>
      <c r="D275" s="906"/>
      <c r="E275" s="906"/>
      <c r="F275" s="940"/>
    </row>
    <row r="276">
      <c r="B276" s="906"/>
      <c r="C276" s="906"/>
      <c r="D276" s="906"/>
      <c r="E276" s="906"/>
      <c r="F276" s="940"/>
    </row>
    <row r="277">
      <c r="B277" s="906"/>
      <c r="C277" s="906"/>
      <c r="D277" s="906"/>
      <c r="E277" s="906"/>
      <c r="F277" s="940"/>
    </row>
    <row r="278">
      <c r="B278" s="906"/>
      <c r="C278" s="906"/>
      <c r="D278" s="906"/>
      <c r="E278" s="906"/>
      <c r="F278" s="940"/>
    </row>
    <row r="279">
      <c r="B279" s="906"/>
      <c r="C279" s="906"/>
      <c r="D279" s="906"/>
      <c r="E279" s="906"/>
      <c r="F279" s="940"/>
    </row>
    <row r="280">
      <c r="B280" s="906"/>
      <c r="C280" s="906"/>
      <c r="D280" s="906"/>
      <c r="E280" s="906"/>
      <c r="F280" s="940"/>
    </row>
    <row r="281">
      <c r="B281" s="906"/>
      <c r="C281" s="906"/>
      <c r="D281" s="906"/>
      <c r="E281" s="906"/>
      <c r="F281" s="940"/>
    </row>
    <row r="282">
      <c r="B282" s="906"/>
      <c r="C282" s="906"/>
      <c r="D282" s="906"/>
      <c r="E282" s="906"/>
      <c r="F282" s="940"/>
    </row>
    <row r="283">
      <c r="B283" s="906"/>
      <c r="C283" s="906"/>
      <c r="D283" s="906"/>
      <c r="E283" s="906"/>
      <c r="F283" s="940"/>
    </row>
    <row r="284">
      <c r="B284" s="906"/>
      <c r="C284" s="906"/>
      <c r="D284" s="906"/>
      <c r="E284" s="906"/>
      <c r="F284" s="940"/>
    </row>
    <row r="285">
      <c r="B285" s="906"/>
      <c r="C285" s="906"/>
      <c r="D285" s="906"/>
      <c r="E285" s="906"/>
      <c r="F285" s="940"/>
    </row>
    <row r="286">
      <c r="B286" s="906"/>
      <c r="C286" s="906"/>
      <c r="D286" s="906"/>
      <c r="E286" s="906"/>
      <c r="F286" s="940"/>
    </row>
    <row r="287">
      <c r="B287" s="906"/>
      <c r="C287" s="906"/>
      <c r="D287" s="906"/>
      <c r="E287" s="906"/>
      <c r="F287" s="940"/>
    </row>
    <row r="288">
      <c r="B288" s="906"/>
      <c r="C288" s="906"/>
      <c r="D288" s="906"/>
      <c r="E288" s="906"/>
      <c r="F288" s="940"/>
    </row>
    <row r="289">
      <c r="B289" s="906"/>
      <c r="C289" s="906"/>
      <c r="D289" s="906"/>
      <c r="E289" s="906"/>
      <c r="F289" s="940"/>
    </row>
    <row r="290">
      <c r="B290" s="906"/>
      <c r="C290" s="906"/>
      <c r="D290" s="906"/>
      <c r="E290" s="906"/>
      <c r="F290" s="940"/>
    </row>
    <row r="291">
      <c r="B291" s="906"/>
      <c r="C291" s="906"/>
      <c r="D291" s="906"/>
      <c r="E291" s="906"/>
      <c r="F291" s="940"/>
    </row>
    <row r="292">
      <c r="B292" s="906"/>
      <c r="C292" s="906"/>
      <c r="D292" s="906"/>
      <c r="E292" s="906"/>
      <c r="F292" s="940"/>
    </row>
    <row r="293">
      <c r="B293" s="906"/>
      <c r="C293" s="906"/>
      <c r="D293" s="906"/>
      <c r="E293" s="906"/>
      <c r="F293" s="940"/>
    </row>
    <row r="294">
      <c r="B294" s="906"/>
      <c r="C294" s="906"/>
      <c r="D294" s="906"/>
      <c r="E294" s="906"/>
      <c r="F294" s="940"/>
    </row>
    <row r="295">
      <c r="B295" s="906"/>
      <c r="C295" s="906"/>
      <c r="D295" s="906"/>
      <c r="E295" s="906"/>
      <c r="F295" s="940"/>
    </row>
    <row r="296">
      <c r="B296" s="906"/>
      <c r="C296" s="906"/>
      <c r="D296" s="906"/>
      <c r="E296" s="906"/>
      <c r="F296" s="940"/>
    </row>
    <row r="297">
      <c r="B297" s="906"/>
      <c r="C297" s="906"/>
      <c r="D297" s="906"/>
      <c r="E297" s="906"/>
      <c r="F297" s="940"/>
    </row>
    <row r="298">
      <c r="B298" s="906"/>
      <c r="C298" s="906"/>
      <c r="D298" s="906"/>
      <c r="E298" s="906"/>
      <c r="F298" s="940"/>
    </row>
    <row r="299">
      <c r="B299" s="906"/>
      <c r="C299" s="906"/>
      <c r="D299" s="906"/>
      <c r="E299" s="906"/>
      <c r="F299" s="940"/>
    </row>
    <row r="300">
      <c r="B300" s="906"/>
      <c r="C300" s="906"/>
      <c r="D300" s="906"/>
      <c r="E300" s="906"/>
      <c r="F300" s="940"/>
    </row>
    <row r="301">
      <c r="B301" s="906"/>
      <c r="C301" s="906"/>
      <c r="D301" s="906"/>
      <c r="E301" s="906"/>
      <c r="F301" s="940"/>
    </row>
    <row r="302">
      <c r="B302" s="906"/>
      <c r="C302" s="906"/>
      <c r="D302" s="906"/>
      <c r="E302" s="906"/>
      <c r="F302" s="940"/>
    </row>
    <row r="303">
      <c r="B303" s="906"/>
      <c r="C303" s="906"/>
      <c r="D303" s="906"/>
      <c r="E303" s="906"/>
      <c r="F303" s="940"/>
    </row>
    <row r="304">
      <c r="B304" s="906"/>
      <c r="C304" s="906"/>
      <c r="D304" s="906"/>
      <c r="E304" s="906"/>
      <c r="F304" s="940"/>
    </row>
    <row r="305">
      <c r="B305" s="906"/>
      <c r="C305" s="906"/>
      <c r="D305" s="906"/>
      <c r="E305" s="906"/>
      <c r="F305" s="940"/>
    </row>
    <row r="306">
      <c r="B306" s="906"/>
      <c r="C306" s="906"/>
      <c r="D306" s="906"/>
      <c r="E306" s="906"/>
      <c r="F306" s="940"/>
    </row>
    <row r="307">
      <c r="B307" s="906"/>
      <c r="C307" s="906"/>
      <c r="D307" s="906"/>
      <c r="E307" s="906"/>
      <c r="F307" s="940"/>
    </row>
    <row r="308">
      <c r="B308" s="906"/>
      <c r="C308" s="906"/>
      <c r="D308" s="906"/>
      <c r="E308" s="906"/>
      <c r="F308" s="940"/>
    </row>
    <row r="309">
      <c r="B309" s="906"/>
      <c r="C309" s="906"/>
      <c r="D309" s="906"/>
      <c r="E309" s="906"/>
      <c r="F309" s="940"/>
    </row>
    <row r="310">
      <c r="B310" s="906"/>
      <c r="C310" s="906"/>
      <c r="D310" s="906"/>
      <c r="E310" s="906"/>
      <c r="F310" s="940"/>
    </row>
    <row r="311">
      <c r="B311" s="906"/>
      <c r="C311" s="906"/>
      <c r="D311" s="906"/>
      <c r="E311" s="906"/>
      <c r="F311" s="940"/>
    </row>
    <row r="312">
      <c r="B312" s="906"/>
      <c r="C312" s="906"/>
      <c r="D312" s="906"/>
      <c r="E312" s="906"/>
      <c r="F312" s="940"/>
    </row>
    <row r="313">
      <c r="B313" s="906"/>
      <c r="C313" s="906"/>
      <c r="D313" s="906"/>
      <c r="E313" s="906"/>
      <c r="F313" s="940"/>
    </row>
    <row r="314">
      <c r="B314" s="906"/>
      <c r="C314" s="906"/>
      <c r="D314" s="906"/>
      <c r="E314" s="906"/>
      <c r="F314" s="940"/>
    </row>
    <row r="315">
      <c r="B315" s="906"/>
      <c r="C315" s="906"/>
      <c r="D315" s="906"/>
      <c r="E315" s="906"/>
      <c r="F315" s="940"/>
    </row>
    <row r="316">
      <c r="B316" s="906"/>
      <c r="C316" s="906"/>
      <c r="D316" s="906"/>
      <c r="E316" s="906"/>
      <c r="F316" s="940"/>
    </row>
    <row r="317">
      <c r="B317" s="906"/>
      <c r="C317" s="906"/>
      <c r="D317" s="906"/>
      <c r="E317" s="906"/>
      <c r="F317" s="940"/>
    </row>
    <row r="318">
      <c r="B318" s="906"/>
      <c r="C318" s="906"/>
      <c r="D318" s="906"/>
      <c r="E318" s="906"/>
      <c r="F318" s="940"/>
    </row>
    <row r="319">
      <c r="B319" s="906"/>
      <c r="C319" s="906"/>
      <c r="D319" s="906"/>
      <c r="E319" s="906"/>
      <c r="F319" s="940"/>
    </row>
    <row r="320">
      <c r="B320" s="906"/>
      <c r="C320" s="906"/>
      <c r="D320" s="906"/>
      <c r="E320" s="906"/>
      <c r="F320" s="940"/>
    </row>
    <row r="321">
      <c r="B321" s="906"/>
      <c r="C321" s="906"/>
      <c r="D321" s="906"/>
      <c r="E321" s="906"/>
      <c r="F321" s="940"/>
    </row>
    <row r="322">
      <c r="B322" s="906"/>
      <c r="C322" s="906"/>
      <c r="D322" s="906"/>
      <c r="E322" s="906"/>
      <c r="F322" s="940"/>
    </row>
    <row r="323">
      <c r="B323" s="906"/>
      <c r="C323" s="906"/>
      <c r="D323" s="906"/>
      <c r="E323" s="906"/>
      <c r="F323" s="940"/>
    </row>
    <row r="324">
      <c r="B324" s="906"/>
      <c r="C324" s="906"/>
      <c r="D324" s="906"/>
      <c r="E324" s="906"/>
      <c r="F324" s="940"/>
    </row>
    <row r="325">
      <c r="B325" s="906"/>
      <c r="C325" s="906"/>
      <c r="D325" s="906"/>
      <c r="E325" s="906"/>
      <c r="F325" s="940"/>
    </row>
    <row r="326">
      <c r="B326" s="906"/>
      <c r="C326" s="906"/>
      <c r="D326" s="906"/>
      <c r="E326" s="906"/>
      <c r="F326" s="940"/>
    </row>
    <row r="327">
      <c r="B327" s="906"/>
      <c r="C327" s="906"/>
      <c r="D327" s="906"/>
      <c r="E327" s="906"/>
      <c r="F327" s="940"/>
    </row>
    <row r="328">
      <c r="B328" s="906"/>
      <c r="C328" s="906"/>
      <c r="D328" s="906"/>
      <c r="E328" s="906"/>
      <c r="F328" s="940"/>
    </row>
    <row r="329">
      <c r="B329" s="906"/>
      <c r="C329" s="906"/>
      <c r="D329" s="906"/>
      <c r="E329" s="906"/>
      <c r="F329" s="940"/>
    </row>
    <row r="330">
      <c r="B330" s="906"/>
      <c r="C330" s="906"/>
      <c r="D330" s="906"/>
      <c r="E330" s="906"/>
      <c r="F330" s="940"/>
    </row>
    <row r="331">
      <c r="B331" s="906"/>
      <c r="C331" s="906"/>
      <c r="D331" s="906"/>
      <c r="E331" s="906"/>
      <c r="F331" s="940"/>
    </row>
    <row r="332">
      <c r="B332" s="906"/>
      <c r="C332" s="906"/>
      <c r="D332" s="906"/>
      <c r="E332" s="906"/>
      <c r="F332" s="940"/>
    </row>
    <row r="333">
      <c r="B333" s="906"/>
      <c r="C333" s="906"/>
      <c r="D333" s="906"/>
      <c r="E333" s="906"/>
      <c r="F333" s="940"/>
    </row>
    <row r="334">
      <c r="B334" s="906"/>
      <c r="C334" s="906"/>
      <c r="D334" s="906"/>
      <c r="E334" s="906"/>
      <c r="F334" s="940"/>
    </row>
    <row r="335">
      <c r="B335" s="906"/>
      <c r="C335" s="906"/>
      <c r="D335" s="906"/>
      <c r="E335" s="906"/>
      <c r="F335" s="940"/>
    </row>
    <row r="336">
      <c r="B336" s="906"/>
      <c r="C336" s="906"/>
      <c r="D336" s="906"/>
      <c r="E336" s="906"/>
      <c r="F336" s="940"/>
    </row>
    <row r="337">
      <c r="B337" s="906"/>
      <c r="C337" s="906"/>
      <c r="D337" s="906"/>
      <c r="E337" s="906"/>
      <c r="F337" s="940"/>
    </row>
    <row r="338">
      <c r="B338" s="906"/>
      <c r="C338" s="906"/>
      <c r="D338" s="906"/>
      <c r="E338" s="906"/>
      <c r="F338" s="940"/>
    </row>
    <row r="339">
      <c r="B339" s="906"/>
      <c r="C339" s="906"/>
      <c r="D339" s="906"/>
      <c r="E339" s="906"/>
      <c r="F339" s="940"/>
    </row>
    <row r="340">
      <c r="B340" s="906"/>
      <c r="C340" s="906"/>
      <c r="D340" s="906"/>
      <c r="E340" s="906"/>
      <c r="F340" s="940"/>
    </row>
    <row r="341">
      <c r="B341" s="906"/>
      <c r="C341" s="906"/>
      <c r="D341" s="906"/>
      <c r="E341" s="906"/>
      <c r="F341" s="940"/>
    </row>
    <row r="342">
      <c r="B342" s="906"/>
      <c r="C342" s="906"/>
      <c r="D342" s="906"/>
      <c r="E342" s="906"/>
      <c r="F342" s="940"/>
    </row>
    <row r="343">
      <c r="B343" s="906"/>
      <c r="C343" s="906"/>
      <c r="D343" s="906"/>
      <c r="E343" s="906"/>
      <c r="F343" s="940"/>
    </row>
    <row r="344">
      <c r="B344" s="906"/>
      <c r="C344" s="906"/>
      <c r="D344" s="906"/>
      <c r="E344" s="906"/>
      <c r="F344" s="940"/>
    </row>
    <row r="345">
      <c r="B345" s="906"/>
      <c r="C345" s="906"/>
      <c r="D345" s="906"/>
      <c r="E345" s="906"/>
      <c r="F345" s="940"/>
    </row>
    <row r="346">
      <c r="B346" s="906"/>
      <c r="C346" s="906"/>
      <c r="D346" s="906"/>
      <c r="E346" s="906"/>
      <c r="F346" s="940"/>
    </row>
    <row r="347">
      <c r="B347" s="906"/>
      <c r="C347" s="906"/>
      <c r="D347" s="906"/>
      <c r="E347" s="906"/>
      <c r="F347" s="940"/>
    </row>
    <row r="348">
      <c r="B348" s="906"/>
      <c r="C348" s="906"/>
      <c r="D348" s="906"/>
      <c r="E348" s="906"/>
      <c r="F348" s="940"/>
    </row>
    <row r="349">
      <c r="B349" s="906"/>
      <c r="C349" s="906"/>
      <c r="D349" s="906"/>
      <c r="E349" s="906"/>
      <c r="F349" s="940"/>
    </row>
    <row r="350">
      <c r="B350" s="906"/>
      <c r="C350" s="906"/>
      <c r="D350" s="906"/>
      <c r="E350" s="906"/>
      <c r="F350" s="940"/>
    </row>
    <row r="351">
      <c r="B351" s="906"/>
      <c r="C351" s="906"/>
      <c r="D351" s="906"/>
      <c r="E351" s="906"/>
      <c r="F351" s="940"/>
    </row>
    <row r="352">
      <c r="B352" s="906"/>
      <c r="C352" s="906"/>
      <c r="D352" s="906"/>
      <c r="E352" s="906"/>
      <c r="F352" s="940"/>
    </row>
    <row r="353">
      <c r="B353" s="906"/>
      <c r="C353" s="906"/>
      <c r="D353" s="906"/>
      <c r="E353" s="906"/>
      <c r="F353" s="940"/>
    </row>
    <row r="354">
      <c r="B354" s="906"/>
      <c r="C354" s="906"/>
      <c r="D354" s="906"/>
      <c r="E354" s="906"/>
      <c r="F354" s="940"/>
    </row>
    <row r="355">
      <c r="B355" s="906"/>
      <c r="C355" s="906"/>
      <c r="D355" s="906"/>
      <c r="E355" s="906"/>
      <c r="F355" s="940"/>
    </row>
    <row r="356">
      <c r="B356" s="906"/>
      <c r="C356" s="906"/>
      <c r="D356" s="906"/>
      <c r="E356" s="906"/>
      <c r="F356" s="940"/>
    </row>
    <row r="357">
      <c r="B357" s="906"/>
      <c r="C357" s="906"/>
      <c r="D357" s="906"/>
      <c r="E357" s="906"/>
      <c r="F357" s="940"/>
    </row>
    <row r="358">
      <c r="B358" s="906"/>
      <c r="C358" s="906"/>
      <c r="D358" s="906"/>
      <c r="E358" s="906"/>
      <c r="F358" s="940"/>
    </row>
    <row r="359">
      <c r="B359" s="906"/>
      <c r="C359" s="906"/>
      <c r="D359" s="906"/>
      <c r="E359" s="906"/>
      <c r="F359" s="940"/>
    </row>
    <row r="360">
      <c r="B360" s="906"/>
      <c r="C360" s="906"/>
      <c r="D360" s="906"/>
      <c r="E360" s="906"/>
      <c r="F360" s="940"/>
    </row>
    <row r="361">
      <c r="B361" s="906"/>
      <c r="C361" s="906"/>
      <c r="D361" s="906"/>
      <c r="E361" s="906"/>
      <c r="F361" s="940"/>
    </row>
    <row r="362">
      <c r="B362" s="906"/>
      <c r="C362" s="906"/>
      <c r="D362" s="906"/>
      <c r="E362" s="906"/>
      <c r="F362" s="940"/>
    </row>
    <row r="363">
      <c r="B363" s="906"/>
      <c r="C363" s="906"/>
      <c r="D363" s="906"/>
      <c r="E363" s="906"/>
      <c r="F363" s="940"/>
    </row>
    <row r="364">
      <c r="B364" s="906"/>
      <c r="C364" s="906"/>
      <c r="D364" s="906"/>
      <c r="E364" s="906"/>
      <c r="F364" s="940"/>
    </row>
    <row r="365">
      <c r="B365" s="906"/>
      <c r="C365" s="906"/>
      <c r="D365" s="906"/>
      <c r="E365" s="906"/>
      <c r="F365" s="940"/>
    </row>
    <row r="366">
      <c r="B366" s="906"/>
      <c r="C366" s="906"/>
      <c r="D366" s="906"/>
      <c r="E366" s="906"/>
      <c r="F366" s="940"/>
    </row>
    <row r="367">
      <c r="B367" s="906"/>
      <c r="C367" s="906"/>
      <c r="D367" s="906"/>
      <c r="E367" s="906"/>
      <c r="F367" s="940"/>
    </row>
    <row r="368">
      <c r="B368" s="906"/>
      <c r="C368" s="906"/>
      <c r="D368" s="906"/>
      <c r="E368" s="906"/>
      <c r="F368" s="940"/>
    </row>
    <row r="369">
      <c r="B369" s="906"/>
      <c r="C369" s="906"/>
      <c r="D369" s="906"/>
      <c r="E369" s="906"/>
      <c r="F369" s="940"/>
    </row>
    <row r="370">
      <c r="B370" s="906"/>
      <c r="C370" s="906"/>
      <c r="D370" s="906"/>
      <c r="E370" s="906"/>
      <c r="F370" s="940"/>
    </row>
    <row r="371">
      <c r="B371" s="906"/>
      <c r="C371" s="906"/>
      <c r="D371" s="906"/>
      <c r="E371" s="906"/>
      <c r="F371" s="940"/>
    </row>
    <row r="372">
      <c r="B372" s="906"/>
      <c r="C372" s="906"/>
      <c r="D372" s="906"/>
      <c r="E372" s="906"/>
      <c r="F372" s="940"/>
    </row>
    <row r="373">
      <c r="B373" s="906"/>
      <c r="C373" s="906"/>
      <c r="D373" s="906"/>
      <c r="E373" s="906"/>
      <c r="F373" s="940"/>
    </row>
    <row r="374">
      <c r="B374" s="906"/>
      <c r="C374" s="906"/>
      <c r="D374" s="906"/>
      <c r="E374" s="906"/>
      <c r="F374" s="940"/>
    </row>
    <row r="375">
      <c r="B375" s="906"/>
      <c r="C375" s="906"/>
      <c r="D375" s="906"/>
      <c r="E375" s="906"/>
      <c r="F375" s="940"/>
    </row>
    <row r="376">
      <c r="B376" s="906"/>
      <c r="C376" s="906"/>
      <c r="D376" s="906"/>
      <c r="E376" s="906"/>
      <c r="F376" s="940"/>
    </row>
    <row r="377">
      <c r="B377" s="906"/>
      <c r="C377" s="906"/>
      <c r="D377" s="906"/>
      <c r="E377" s="906"/>
      <c r="F377" s="940"/>
    </row>
    <row r="378">
      <c r="B378" s="906"/>
      <c r="C378" s="906"/>
      <c r="D378" s="906"/>
      <c r="E378" s="906"/>
      <c r="F378" s="940"/>
    </row>
    <row r="379">
      <c r="B379" s="906"/>
      <c r="C379" s="906"/>
      <c r="D379" s="906"/>
      <c r="E379" s="906"/>
      <c r="F379" s="940"/>
    </row>
    <row r="380">
      <c r="B380" s="906"/>
      <c r="C380" s="906"/>
      <c r="D380" s="906"/>
      <c r="E380" s="906"/>
      <c r="F380" s="940"/>
    </row>
    <row r="381">
      <c r="B381" s="906"/>
      <c r="C381" s="906"/>
      <c r="D381" s="906"/>
      <c r="E381" s="906"/>
      <c r="F381" s="940"/>
    </row>
    <row r="382">
      <c r="B382" s="906"/>
      <c r="C382" s="906"/>
      <c r="D382" s="906"/>
      <c r="E382" s="906"/>
      <c r="F382" s="940"/>
    </row>
    <row r="383">
      <c r="B383" s="906"/>
      <c r="C383" s="906"/>
      <c r="D383" s="906"/>
      <c r="E383" s="906"/>
      <c r="F383" s="940"/>
    </row>
    <row r="384">
      <c r="B384" s="906"/>
      <c r="C384" s="906"/>
      <c r="D384" s="906"/>
      <c r="E384" s="906"/>
      <c r="F384" s="940"/>
    </row>
    <row r="385">
      <c r="B385" s="906"/>
      <c r="C385" s="906"/>
      <c r="D385" s="906"/>
      <c r="E385" s="906"/>
      <c r="F385" s="940"/>
    </row>
    <row r="386">
      <c r="B386" s="906"/>
      <c r="C386" s="906"/>
      <c r="D386" s="906"/>
      <c r="E386" s="906"/>
      <c r="F386" s="940"/>
    </row>
    <row r="387">
      <c r="B387" s="906"/>
      <c r="C387" s="906"/>
      <c r="D387" s="906"/>
      <c r="E387" s="906"/>
      <c r="F387" s="940"/>
    </row>
    <row r="388">
      <c r="B388" s="906"/>
      <c r="C388" s="906"/>
      <c r="D388" s="906"/>
      <c r="E388" s="906"/>
      <c r="F388" s="940"/>
    </row>
    <row r="389">
      <c r="B389" s="906"/>
      <c r="C389" s="906"/>
      <c r="D389" s="906"/>
      <c r="E389" s="906"/>
      <c r="F389" s="940"/>
    </row>
    <row r="390">
      <c r="B390" s="906"/>
      <c r="C390" s="906"/>
      <c r="D390" s="906"/>
      <c r="E390" s="906"/>
      <c r="F390" s="940"/>
    </row>
    <row r="391">
      <c r="B391" s="906"/>
      <c r="C391" s="906"/>
      <c r="D391" s="906"/>
      <c r="E391" s="906"/>
      <c r="F391" s="940"/>
    </row>
    <row r="392">
      <c r="B392" s="906"/>
      <c r="C392" s="906"/>
      <c r="D392" s="906"/>
      <c r="E392" s="906"/>
      <c r="F392" s="940"/>
    </row>
    <row r="393">
      <c r="B393" s="906"/>
      <c r="C393" s="906"/>
      <c r="D393" s="906"/>
      <c r="E393" s="906"/>
      <c r="F393" s="940"/>
    </row>
    <row r="394">
      <c r="B394" s="906"/>
      <c r="C394" s="906"/>
      <c r="D394" s="906"/>
      <c r="E394" s="906"/>
      <c r="F394" s="940"/>
    </row>
    <row r="395">
      <c r="B395" s="906"/>
      <c r="C395" s="906"/>
      <c r="D395" s="906"/>
      <c r="E395" s="906"/>
      <c r="F395" s="940"/>
    </row>
    <row r="396">
      <c r="B396" s="906"/>
      <c r="C396" s="906"/>
      <c r="D396" s="906"/>
      <c r="E396" s="906"/>
      <c r="F396" s="940"/>
    </row>
    <row r="397">
      <c r="B397" s="906"/>
      <c r="C397" s="906"/>
      <c r="D397" s="906"/>
      <c r="E397" s="906"/>
      <c r="F397" s="940"/>
    </row>
    <row r="398">
      <c r="B398" s="906"/>
      <c r="C398" s="906"/>
      <c r="D398" s="906"/>
      <c r="E398" s="906"/>
      <c r="F398" s="940"/>
    </row>
    <row r="399">
      <c r="B399" s="906"/>
      <c r="C399" s="906"/>
      <c r="D399" s="906"/>
      <c r="E399" s="906"/>
      <c r="F399" s="940"/>
    </row>
    <row r="400">
      <c r="B400" s="906"/>
      <c r="C400" s="906"/>
      <c r="D400" s="906"/>
      <c r="E400" s="906"/>
      <c r="F400" s="940"/>
    </row>
    <row r="401">
      <c r="B401" s="906"/>
      <c r="C401" s="906"/>
      <c r="D401" s="906"/>
      <c r="E401" s="906"/>
      <c r="F401" s="940"/>
    </row>
    <row r="402">
      <c r="B402" s="906"/>
      <c r="C402" s="906"/>
      <c r="D402" s="906"/>
      <c r="E402" s="906"/>
      <c r="F402" s="940"/>
    </row>
    <row r="403">
      <c r="B403" s="906"/>
      <c r="C403" s="906"/>
      <c r="D403" s="906"/>
      <c r="E403" s="906"/>
      <c r="F403" s="940"/>
    </row>
    <row r="404">
      <c r="B404" s="906"/>
      <c r="C404" s="906"/>
      <c r="D404" s="906"/>
      <c r="E404" s="906"/>
      <c r="F404" s="940"/>
    </row>
    <row r="405">
      <c r="B405" s="906"/>
      <c r="C405" s="906"/>
      <c r="D405" s="906"/>
      <c r="E405" s="906"/>
      <c r="F405" s="940"/>
    </row>
    <row r="406">
      <c r="B406" s="906"/>
      <c r="C406" s="906"/>
      <c r="D406" s="906"/>
      <c r="E406" s="906"/>
      <c r="F406" s="940"/>
    </row>
    <row r="407">
      <c r="B407" s="906"/>
      <c r="C407" s="906"/>
      <c r="D407" s="906"/>
      <c r="E407" s="906"/>
      <c r="F407" s="940"/>
    </row>
    <row r="408">
      <c r="B408" s="906"/>
      <c r="C408" s="906"/>
      <c r="D408" s="906"/>
      <c r="E408" s="906"/>
      <c r="F408" s="940"/>
    </row>
    <row r="409">
      <c r="B409" s="906"/>
      <c r="C409" s="906"/>
      <c r="D409" s="906"/>
      <c r="E409" s="906"/>
      <c r="F409" s="940"/>
    </row>
    <row r="410">
      <c r="B410" s="906"/>
      <c r="C410" s="906"/>
      <c r="D410" s="906"/>
      <c r="E410" s="906"/>
      <c r="F410" s="940"/>
    </row>
    <row r="411">
      <c r="B411" s="906"/>
      <c r="C411" s="906"/>
      <c r="D411" s="906"/>
      <c r="E411" s="906"/>
      <c r="F411" s="940"/>
    </row>
    <row r="412">
      <c r="B412" s="906"/>
      <c r="C412" s="906"/>
      <c r="D412" s="906"/>
      <c r="E412" s="906"/>
      <c r="F412" s="940"/>
    </row>
    <row r="413">
      <c r="B413" s="906"/>
      <c r="C413" s="906"/>
      <c r="D413" s="906"/>
      <c r="E413" s="906"/>
      <c r="F413" s="940"/>
    </row>
    <row r="414">
      <c r="B414" s="906"/>
      <c r="C414" s="906"/>
      <c r="D414" s="906"/>
      <c r="E414" s="906"/>
      <c r="F414" s="940"/>
    </row>
    <row r="415">
      <c r="B415" s="906"/>
      <c r="C415" s="906"/>
      <c r="D415" s="906"/>
      <c r="E415" s="906"/>
      <c r="F415" s="940"/>
    </row>
    <row r="416">
      <c r="B416" s="906"/>
      <c r="C416" s="906"/>
      <c r="D416" s="906"/>
      <c r="E416" s="906"/>
      <c r="F416" s="940"/>
    </row>
    <row r="417">
      <c r="B417" s="906"/>
      <c r="C417" s="906"/>
      <c r="D417" s="906"/>
      <c r="E417" s="906"/>
      <c r="F417" s="940"/>
    </row>
    <row r="418">
      <c r="B418" s="906"/>
      <c r="C418" s="906"/>
      <c r="D418" s="906"/>
      <c r="E418" s="906"/>
      <c r="F418" s="940"/>
    </row>
    <row r="419">
      <c r="B419" s="906"/>
      <c r="C419" s="906"/>
      <c r="D419" s="906"/>
      <c r="E419" s="906"/>
      <c r="F419" s="940"/>
    </row>
    <row r="420">
      <c r="B420" s="906"/>
      <c r="C420" s="906"/>
      <c r="D420" s="906"/>
      <c r="E420" s="906"/>
      <c r="F420" s="940"/>
    </row>
    <row r="421">
      <c r="B421" s="906"/>
      <c r="C421" s="906"/>
      <c r="D421" s="906"/>
      <c r="E421" s="906"/>
      <c r="F421" s="940"/>
    </row>
    <row r="422">
      <c r="B422" s="906"/>
      <c r="C422" s="906"/>
      <c r="D422" s="906"/>
      <c r="E422" s="906"/>
      <c r="F422" s="940"/>
    </row>
    <row r="423">
      <c r="B423" s="906"/>
      <c r="C423" s="906"/>
      <c r="D423" s="906"/>
      <c r="E423" s="906"/>
      <c r="F423" s="940"/>
    </row>
    <row r="424">
      <c r="B424" s="906"/>
      <c r="C424" s="906"/>
      <c r="D424" s="906"/>
      <c r="E424" s="906"/>
      <c r="F424" s="940"/>
    </row>
    <row r="425">
      <c r="B425" s="906"/>
      <c r="C425" s="906"/>
      <c r="D425" s="906"/>
      <c r="E425" s="906"/>
      <c r="F425" s="940"/>
    </row>
    <row r="426">
      <c r="B426" s="906"/>
      <c r="C426" s="906"/>
      <c r="D426" s="906"/>
      <c r="E426" s="906"/>
      <c r="F426" s="940"/>
    </row>
    <row r="427">
      <c r="B427" s="906"/>
      <c r="C427" s="906"/>
      <c r="D427" s="906"/>
      <c r="E427" s="906"/>
      <c r="F427" s="940"/>
    </row>
    <row r="428">
      <c r="B428" s="906"/>
      <c r="C428" s="906"/>
      <c r="D428" s="906"/>
      <c r="E428" s="906"/>
      <c r="F428" s="940"/>
    </row>
    <row r="429">
      <c r="B429" s="906"/>
      <c r="C429" s="906"/>
      <c r="D429" s="906"/>
      <c r="E429" s="906"/>
      <c r="F429" s="940"/>
    </row>
    <row r="430">
      <c r="B430" s="906"/>
      <c r="C430" s="906"/>
      <c r="D430" s="906"/>
      <c r="E430" s="906"/>
      <c r="F430" s="940"/>
    </row>
    <row r="431">
      <c r="B431" s="906"/>
      <c r="C431" s="906"/>
      <c r="D431" s="906"/>
      <c r="E431" s="906"/>
      <c r="F431" s="940"/>
    </row>
    <row r="432">
      <c r="B432" s="906"/>
      <c r="C432" s="906"/>
      <c r="D432" s="906"/>
      <c r="E432" s="906"/>
      <c r="F432" s="940"/>
    </row>
    <row r="433">
      <c r="B433" s="906"/>
      <c r="C433" s="906"/>
      <c r="D433" s="906"/>
      <c r="E433" s="906"/>
      <c r="F433" s="940"/>
    </row>
    <row r="434">
      <c r="B434" s="906"/>
      <c r="C434" s="906"/>
      <c r="D434" s="906"/>
      <c r="E434" s="906"/>
      <c r="F434" s="940"/>
    </row>
    <row r="435">
      <c r="B435" s="906"/>
      <c r="C435" s="906"/>
      <c r="D435" s="906"/>
      <c r="E435" s="906"/>
      <c r="F435" s="940"/>
    </row>
    <row r="436">
      <c r="B436" s="906"/>
      <c r="C436" s="906"/>
      <c r="D436" s="906"/>
      <c r="E436" s="906"/>
      <c r="F436" s="940"/>
    </row>
    <row r="437">
      <c r="B437" s="906"/>
      <c r="C437" s="906"/>
      <c r="D437" s="906"/>
      <c r="E437" s="906"/>
      <c r="F437" s="940"/>
    </row>
    <row r="438">
      <c r="B438" s="906"/>
      <c r="C438" s="906"/>
      <c r="D438" s="906"/>
      <c r="E438" s="906"/>
      <c r="F438" s="940"/>
    </row>
    <row r="439">
      <c r="B439" s="906"/>
      <c r="C439" s="906"/>
      <c r="D439" s="906"/>
      <c r="E439" s="906"/>
      <c r="F439" s="940"/>
    </row>
    <row r="440">
      <c r="B440" s="906"/>
      <c r="C440" s="906"/>
      <c r="D440" s="906"/>
      <c r="E440" s="906"/>
      <c r="F440" s="940"/>
    </row>
    <row r="441">
      <c r="B441" s="906"/>
      <c r="C441" s="906"/>
      <c r="D441" s="906"/>
      <c r="E441" s="906"/>
      <c r="F441" s="940"/>
    </row>
    <row r="442">
      <c r="B442" s="906"/>
      <c r="C442" s="906"/>
      <c r="D442" s="906"/>
      <c r="E442" s="906"/>
      <c r="F442" s="940"/>
    </row>
    <row r="443">
      <c r="B443" s="906"/>
      <c r="C443" s="906"/>
      <c r="D443" s="906"/>
      <c r="E443" s="906"/>
      <c r="F443" s="940"/>
    </row>
    <row r="444">
      <c r="B444" s="906"/>
      <c r="C444" s="906"/>
      <c r="D444" s="906"/>
      <c r="E444" s="906"/>
      <c r="F444" s="940"/>
    </row>
    <row r="445">
      <c r="B445" s="906"/>
      <c r="C445" s="906"/>
      <c r="D445" s="906"/>
      <c r="E445" s="906"/>
      <c r="F445" s="940"/>
    </row>
    <row r="446">
      <c r="B446" s="906"/>
      <c r="C446" s="906"/>
      <c r="D446" s="906"/>
      <c r="E446" s="906"/>
      <c r="F446" s="940"/>
    </row>
    <row r="447">
      <c r="B447" s="906"/>
      <c r="C447" s="906"/>
      <c r="D447" s="906"/>
      <c r="E447" s="906"/>
      <c r="F447" s="940"/>
    </row>
    <row r="448">
      <c r="B448" s="906"/>
      <c r="C448" s="906"/>
      <c r="D448" s="906"/>
      <c r="E448" s="906"/>
      <c r="F448" s="940"/>
    </row>
    <row r="449">
      <c r="B449" s="906"/>
      <c r="C449" s="906"/>
      <c r="D449" s="906"/>
      <c r="E449" s="906"/>
      <c r="F449" s="940"/>
    </row>
    <row r="450">
      <c r="B450" s="906"/>
      <c r="C450" s="906"/>
      <c r="D450" s="906"/>
      <c r="E450" s="906"/>
      <c r="F450" s="940"/>
    </row>
    <row r="451">
      <c r="B451" s="906"/>
      <c r="C451" s="906"/>
      <c r="D451" s="906"/>
      <c r="E451" s="906"/>
      <c r="F451" s="940"/>
    </row>
    <row r="452">
      <c r="B452" s="906"/>
      <c r="C452" s="906"/>
      <c r="D452" s="906"/>
      <c r="E452" s="906"/>
      <c r="F452" s="940"/>
    </row>
    <row r="453">
      <c r="B453" s="906"/>
      <c r="C453" s="906"/>
      <c r="D453" s="906"/>
      <c r="E453" s="906"/>
      <c r="F453" s="940"/>
    </row>
    <row r="454">
      <c r="B454" s="906"/>
      <c r="C454" s="906"/>
      <c r="D454" s="906"/>
      <c r="E454" s="906"/>
      <c r="F454" s="940"/>
    </row>
    <row r="455">
      <c r="B455" s="906"/>
      <c r="C455" s="906"/>
      <c r="D455" s="906"/>
      <c r="E455" s="906"/>
      <c r="F455" s="940"/>
    </row>
    <row r="456">
      <c r="B456" s="906"/>
      <c r="C456" s="906"/>
      <c r="D456" s="906"/>
      <c r="E456" s="906"/>
      <c r="F456" s="940"/>
    </row>
    <row r="457">
      <c r="B457" s="906"/>
      <c r="C457" s="906"/>
      <c r="D457" s="906"/>
      <c r="E457" s="906"/>
      <c r="F457" s="940"/>
    </row>
    <row r="458">
      <c r="B458" s="906"/>
      <c r="C458" s="906"/>
      <c r="D458" s="906"/>
      <c r="E458" s="906"/>
      <c r="F458" s="940"/>
    </row>
    <row r="459">
      <c r="B459" s="906"/>
      <c r="C459" s="906"/>
      <c r="D459" s="906"/>
      <c r="E459" s="906"/>
      <c r="F459" s="940"/>
    </row>
    <row r="460">
      <c r="B460" s="906"/>
      <c r="C460" s="906"/>
      <c r="D460" s="906"/>
      <c r="E460" s="906"/>
      <c r="F460" s="940"/>
    </row>
    <row r="461">
      <c r="B461" s="906"/>
      <c r="C461" s="906"/>
      <c r="D461" s="906"/>
      <c r="E461" s="906"/>
      <c r="F461" s="940"/>
    </row>
    <row r="462">
      <c r="B462" s="906"/>
      <c r="C462" s="906"/>
      <c r="D462" s="906"/>
      <c r="E462" s="906"/>
      <c r="F462" s="940"/>
    </row>
    <row r="463">
      <c r="B463" s="906"/>
      <c r="C463" s="906"/>
      <c r="D463" s="906"/>
      <c r="E463" s="906"/>
      <c r="F463" s="940"/>
    </row>
    <row r="464">
      <c r="B464" s="906"/>
      <c r="C464" s="906"/>
      <c r="D464" s="906"/>
      <c r="E464" s="906"/>
      <c r="F464" s="940"/>
    </row>
    <row r="465">
      <c r="B465" s="906"/>
      <c r="C465" s="906"/>
      <c r="D465" s="906"/>
      <c r="E465" s="906"/>
      <c r="F465" s="940"/>
    </row>
    <row r="466">
      <c r="B466" s="906"/>
      <c r="C466" s="906"/>
      <c r="D466" s="906"/>
      <c r="E466" s="906"/>
      <c r="F466" s="940"/>
    </row>
    <row r="467">
      <c r="B467" s="906"/>
      <c r="C467" s="906"/>
      <c r="D467" s="906"/>
      <c r="E467" s="906"/>
      <c r="F467" s="940"/>
    </row>
    <row r="468">
      <c r="B468" s="906"/>
      <c r="C468" s="906"/>
      <c r="D468" s="906"/>
      <c r="E468" s="906"/>
      <c r="F468" s="940"/>
    </row>
    <row r="469">
      <c r="B469" s="906"/>
      <c r="C469" s="906"/>
      <c r="D469" s="906"/>
      <c r="E469" s="906"/>
      <c r="F469" s="940"/>
    </row>
    <row r="470">
      <c r="B470" s="906"/>
      <c r="C470" s="906"/>
      <c r="D470" s="906"/>
      <c r="E470" s="906"/>
      <c r="F470" s="940"/>
    </row>
    <row r="471">
      <c r="B471" s="906"/>
      <c r="C471" s="906"/>
      <c r="D471" s="906"/>
      <c r="E471" s="906"/>
      <c r="F471" s="940"/>
    </row>
    <row r="472">
      <c r="B472" s="906"/>
      <c r="C472" s="906"/>
      <c r="D472" s="906"/>
      <c r="E472" s="906"/>
      <c r="F472" s="940"/>
    </row>
    <row r="473">
      <c r="B473" s="906"/>
      <c r="C473" s="906"/>
      <c r="D473" s="906"/>
      <c r="E473" s="906"/>
      <c r="F473" s="940"/>
    </row>
    <row r="474">
      <c r="B474" s="906"/>
      <c r="C474" s="906"/>
      <c r="D474" s="906"/>
      <c r="E474" s="906"/>
      <c r="F474" s="940"/>
    </row>
    <row r="475">
      <c r="B475" s="906"/>
      <c r="C475" s="906"/>
      <c r="D475" s="906"/>
      <c r="E475" s="906"/>
      <c r="F475" s="940"/>
    </row>
    <row r="476">
      <c r="B476" s="906"/>
      <c r="C476" s="906"/>
      <c r="D476" s="906"/>
      <c r="E476" s="906"/>
      <c r="F476" s="940"/>
    </row>
    <row r="477">
      <c r="B477" s="906"/>
      <c r="C477" s="906"/>
      <c r="D477" s="906"/>
      <c r="E477" s="906"/>
      <c r="F477" s="940"/>
    </row>
    <row r="478">
      <c r="B478" s="906"/>
      <c r="C478" s="906"/>
      <c r="D478" s="906"/>
      <c r="E478" s="906"/>
      <c r="F478" s="940"/>
    </row>
    <row r="479">
      <c r="B479" s="906"/>
      <c r="C479" s="906"/>
      <c r="D479" s="906"/>
      <c r="E479" s="906"/>
      <c r="F479" s="940"/>
    </row>
    <row r="480">
      <c r="B480" s="906"/>
      <c r="C480" s="906"/>
      <c r="D480" s="906"/>
      <c r="E480" s="906"/>
      <c r="F480" s="940"/>
    </row>
    <row r="481">
      <c r="B481" s="906"/>
      <c r="C481" s="906"/>
      <c r="D481" s="906"/>
      <c r="E481" s="906"/>
      <c r="F481" s="940"/>
    </row>
    <row r="482">
      <c r="B482" s="906"/>
      <c r="C482" s="906"/>
      <c r="D482" s="906"/>
      <c r="E482" s="906"/>
      <c r="F482" s="940"/>
    </row>
    <row r="483">
      <c r="B483" s="906"/>
      <c r="C483" s="906"/>
      <c r="D483" s="906"/>
      <c r="E483" s="906"/>
      <c r="F483" s="940"/>
    </row>
    <row r="484">
      <c r="B484" s="906"/>
      <c r="C484" s="906"/>
      <c r="D484" s="906"/>
      <c r="E484" s="906"/>
      <c r="F484" s="940"/>
    </row>
    <row r="485">
      <c r="B485" s="906"/>
      <c r="C485" s="906"/>
      <c r="D485" s="906"/>
      <c r="E485" s="906"/>
      <c r="F485" s="940"/>
    </row>
    <row r="486">
      <c r="B486" s="906"/>
      <c r="C486" s="906"/>
      <c r="D486" s="906"/>
      <c r="E486" s="906"/>
      <c r="F486" s="940"/>
    </row>
    <row r="487">
      <c r="B487" s="906"/>
      <c r="C487" s="906"/>
      <c r="D487" s="906"/>
      <c r="E487" s="906"/>
      <c r="F487" s="940"/>
    </row>
    <row r="488">
      <c r="B488" s="906"/>
      <c r="C488" s="906"/>
      <c r="D488" s="906"/>
      <c r="E488" s="906"/>
      <c r="F488" s="940"/>
    </row>
    <row r="489">
      <c r="B489" s="906"/>
      <c r="C489" s="906"/>
      <c r="D489" s="906"/>
      <c r="E489" s="906"/>
      <c r="F489" s="940"/>
    </row>
    <row r="490">
      <c r="B490" s="906"/>
      <c r="C490" s="906"/>
      <c r="D490" s="906"/>
      <c r="E490" s="906"/>
      <c r="F490" s="940"/>
    </row>
    <row r="491">
      <c r="B491" s="906"/>
      <c r="C491" s="906"/>
      <c r="D491" s="906"/>
      <c r="E491" s="906"/>
      <c r="F491" s="940"/>
    </row>
    <row r="492">
      <c r="B492" s="906"/>
      <c r="C492" s="906"/>
      <c r="D492" s="906"/>
      <c r="E492" s="906"/>
      <c r="F492" s="940"/>
    </row>
    <row r="493">
      <c r="B493" s="906"/>
      <c r="C493" s="906"/>
      <c r="D493" s="906"/>
      <c r="E493" s="906"/>
      <c r="F493" s="940"/>
    </row>
    <row r="494">
      <c r="B494" s="906"/>
      <c r="C494" s="906"/>
      <c r="D494" s="906"/>
      <c r="E494" s="906"/>
      <c r="F494" s="940"/>
    </row>
    <row r="495">
      <c r="B495" s="906"/>
      <c r="C495" s="906"/>
      <c r="D495" s="906"/>
      <c r="E495" s="906"/>
      <c r="F495" s="940"/>
    </row>
    <row r="496">
      <c r="B496" s="906"/>
      <c r="C496" s="906"/>
      <c r="D496" s="906"/>
      <c r="E496" s="906"/>
      <c r="F496" s="940"/>
    </row>
    <row r="497">
      <c r="B497" s="906"/>
      <c r="C497" s="906"/>
      <c r="D497" s="906"/>
      <c r="E497" s="906"/>
      <c r="F497" s="940"/>
    </row>
    <row r="498">
      <c r="B498" s="906"/>
      <c r="C498" s="906"/>
      <c r="D498" s="906"/>
      <c r="E498" s="906"/>
      <c r="F498" s="940"/>
    </row>
    <row r="499">
      <c r="B499" s="906"/>
      <c r="C499" s="906"/>
      <c r="D499" s="906"/>
      <c r="E499" s="906"/>
      <c r="F499" s="940"/>
    </row>
    <row r="500">
      <c r="B500" s="906"/>
      <c r="C500" s="906"/>
      <c r="D500" s="906"/>
      <c r="E500" s="906"/>
      <c r="F500" s="940"/>
    </row>
    <row r="501">
      <c r="B501" s="906"/>
      <c r="C501" s="906"/>
      <c r="D501" s="906"/>
      <c r="E501" s="906"/>
      <c r="F501" s="940"/>
    </row>
    <row r="502">
      <c r="B502" s="906"/>
      <c r="C502" s="906"/>
      <c r="D502" s="906"/>
      <c r="E502" s="906"/>
      <c r="F502" s="940"/>
    </row>
    <row r="503">
      <c r="B503" s="906"/>
      <c r="C503" s="906"/>
      <c r="D503" s="906"/>
      <c r="E503" s="906"/>
      <c r="F503" s="940"/>
    </row>
    <row r="504">
      <c r="B504" s="906"/>
      <c r="C504" s="906"/>
      <c r="D504" s="906"/>
      <c r="E504" s="906"/>
      <c r="F504" s="940"/>
    </row>
    <row r="505">
      <c r="B505" s="906"/>
      <c r="C505" s="906"/>
      <c r="D505" s="906"/>
      <c r="E505" s="906"/>
      <c r="F505" s="940"/>
    </row>
    <row r="506">
      <c r="B506" s="906"/>
      <c r="C506" s="906"/>
      <c r="D506" s="906"/>
      <c r="E506" s="906"/>
      <c r="F506" s="940"/>
    </row>
    <row r="507">
      <c r="B507" s="906"/>
      <c r="C507" s="906"/>
      <c r="D507" s="906"/>
      <c r="E507" s="906"/>
      <c r="F507" s="940"/>
    </row>
    <row r="508">
      <c r="B508" s="906"/>
      <c r="C508" s="906"/>
      <c r="D508" s="906"/>
      <c r="E508" s="906"/>
      <c r="F508" s="940"/>
    </row>
    <row r="509">
      <c r="B509" s="906"/>
      <c r="C509" s="906"/>
      <c r="D509" s="906"/>
      <c r="E509" s="906"/>
      <c r="F509" s="940"/>
    </row>
    <row r="510">
      <c r="B510" s="906"/>
      <c r="C510" s="906"/>
      <c r="D510" s="906"/>
      <c r="E510" s="906"/>
      <c r="F510" s="940"/>
    </row>
    <row r="511">
      <c r="B511" s="906"/>
      <c r="C511" s="906"/>
      <c r="D511" s="906"/>
      <c r="E511" s="906"/>
      <c r="F511" s="940"/>
    </row>
    <row r="512">
      <c r="B512" s="906"/>
      <c r="C512" s="906"/>
      <c r="D512" s="906"/>
      <c r="E512" s="906"/>
      <c r="F512" s="940"/>
    </row>
    <row r="513">
      <c r="B513" s="906"/>
      <c r="C513" s="906"/>
      <c r="D513" s="906"/>
      <c r="E513" s="906"/>
      <c r="F513" s="940"/>
    </row>
    <row r="514">
      <c r="B514" s="906"/>
      <c r="C514" s="906"/>
      <c r="D514" s="906"/>
      <c r="E514" s="906"/>
      <c r="F514" s="940"/>
    </row>
    <row r="515">
      <c r="B515" s="906"/>
      <c r="C515" s="906"/>
      <c r="D515" s="906"/>
      <c r="E515" s="906"/>
      <c r="F515" s="940"/>
    </row>
    <row r="516">
      <c r="B516" s="906"/>
      <c r="C516" s="906"/>
      <c r="D516" s="906"/>
      <c r="E516" s="906"/>
      <c r="F516" s="940"/>
    </row>
    <row r="517">
      <c r="B517" s="906"/>
      <c r="C517" s="906"/>
      <c r="D517" s="906"/>
      <c r="E517" s="906"/>
      <c r="F517" s="940"/>
    </row>
    <row r="518">
      <c r="B518" s="906"/>
      <c r="C518" s="906"/>
      <c r="D518" s="906"/>
      <c r="E518" s="906"/>
      <c r="F518" s="940"/>
    </row>
    <row r="519">
      <c r="B519" s="906"/>
      <c r="C519" s="906"/>
      <c r="D519" s="906"/>
      <c r="E519" s="906"/>
      <c r="F519" s="940"/>
    </row>
    <row r="520">
      <c r="B520" s="906"/>
      <c r="C520" s="906"/>
      <c r="D520" s="906"/>
      <c r="E520" s="906"/>
      <c r="F520" s="940"/>
    </row>
    <row r="521">
      <c r="B521" s="906"/>
      <c r="C521" s="906"/>
      <c r="D521" s="906"/>
      <c r="E521" s="906"/>
      <c r="F521" s="940"/>
    </row>
    <row r="522">
      <c r="B522" s="906"/>
      <c r="C522" s="906"/>
      <c r="D522" s="906"/>
      <c r="E522" s="906"/>
      <c r="F522" s="940"/>
    </row>
    <row r="523">
      <c r="B523" s="906"/>
      <c r="C523" s="906"/>
      <c r="D523" s="906"/>
      <c r="E523" s="906"/>
      <c r="F523" s="940"/>
    </row>
    <row r="524">
      <c r="B524" s="906"/>
      <c r="C524" s="906"/>
      <c r="D524" s="906"/>
      <c r="E524" s="906"/>
      <c r="F524" s="940"/>
    </row>
    <row r="525">
      <c r="B525" s="906"/>
      <c r="C525" s="906"/>
      <c r="D525" s="906"/>
      <c r="E525" s="906"/>
      <c r="F525" s="940"/>
    </row>
    <row r="526">
      <c r="B526" s="906"/>
      <c r="C526" s="906"/>
      <c r="D526" s="906"/>
      <c r="E526" s="906"/>
      <c r="F526" s="940"/>
    </row>
    <row r="527">
      <c r="B527" s="906"/>
      <c r="C527" s="906"/>
      <c r="D527" s="906"/>
      <c r="E527" s="906"/>
      <c r="F527" s="940"/>
    </row>
    <row r="528">
      <c r="B528" s="906"/>
      <c r="C528" s="906"/>
      <c r="D528" s="906"/>
      <c r="E528" s="906"/>
      <c r="F528" s="940"/>
    </row>
    <row r="529">
      <c r="B529" s="906"/>
      <c r="C529" s="906"/>
      <c r="D529" s="906"/>
      <c r="E529" s="906"/>
      <c r="F529" s="940"/>
    </row>
    <row r="530">
      <c r="B530" s="906"/>
      <c r="C530" s="906"/>
      <c r="D530" s="906"/>
      <c r="E530" s="906"/>
      <c r="F530" s="940"/>
    </row>
    <row r="531">
      <c r="B531" s="906"/>
      <c r="C531" s="906"/>
      <c r="D531" s="906"/>
      <c r="E531" s="906"/>
      <c r="F531" s="940"/>
    </row>
    <row r="532">
      <c r="B532" s="906"/>
      <c r="C532" s="906"/>
      <c r="D532" s="906"/>
      <c r="E532" s="906"/>
      <c r="F532" s="940"/>
    </row>
    <row r="533">
      <c r="B533" s="906"/>
      <c r="C533" s="906"/>
      <c r="D533" s="906"/>
      <c r="E533" s="906"/>
      <c r="F533" s="940"/>
    </row>
    <row r="534">
      <c r="B534" s="906"/>
      <c r="C534" s="906"/>
      <c r="D534" s="906"/>
      <c r="E534" s="906"/>
      <c r="F534" s="940"/>
    </row>
    <row r="535">
      <c r="B535" s="906"/>
      <c r="C535" s="906"/>
      <c r="D535" s="906"/>
      <c r="E535" s="906"/>
      <c r="F535" s="940"/>
    </row>
    <row r="536">
      <c r="B536" s="906"/>
      <c r="C536" s="906"/>
      <c r="D536" s="906"/>
      <c r="E536" s="906"/>
      <c r="F536" s="940"/>
    </row>
    <row r="537">
      <c r="B537" s="906"/>
      <c r="C537" s="906"/>
      <c r="D537" s="906"/>
      <c r="E537" s="906"/>
      <c r="F537" s="940"/>
    </row>
    <row r="538">
      <c r="B538" s="906"/>
      <c r="C538" s="906"/>
      <c r="D538" s="906"/>
      <c r="E538" s="906"/>
      <c r="F538" s="940"/>
    </row>
    <row r="539">
      <c r="B539" s="906"/>
      <c r="C539" s="906"/>
      <c r="D539" s="906"/>
      <c r="E539" s="906"/>
      <c r="F539" s="940"/>
    </row>
    <row r="540">
      <c r="B540" s="906"/>
      <c r="C540" s="906"/>
      <c r="D540" s="906"/>
      <c r="E540" s="906"/>
      <c r="F540" s="940"/>
    </row>
    <row r="541">
      <c r="B541" s="906"/>
      <c r="C541" s="906"/>
      <c r="D541" s="906"/>
      <c r="E541" s="906"/>
      <c r="F541" s="940"/>
    </row>
    <row r="542">
      <c r="B542" s="906"/>
      <c r="C542" s="906"/>
      <c r="D542" s="906"/>
      <c r="E542" s="906"/>
      <c r="F542" s="940"/>
    </row>
    <row r="543">
      <c r="B543" s="906"/>
      <c r="C543" s="906"/>
      <c r="D543" s="906"/>
      <c r="E543" s="906"/>
      <c r="F543" s="940"/>
    </row>
    <row r="544">
      <c r="B544" s="906"/>
      <c r="C544" s="906"/>
      <c r="D544" s="906"/>
      <c r="E544" s="906"/>
      <c r="F544" s="940"/>
    </row>
    <row r="545">
      <c r="B545" s="906"/>
      <c r="C545" s="906"/>
      <c r="D545" s="906"/>
      <c r="E545" s="906"/>
      <c r="F545" s="940"/>
    </row>
    <row r="546">
      <c r="B546" s="906"/>
      <c r="C546" s="906"/>
      <c r="D546" s="906"/>
      <c r="E546" s="906"/>
      <c r="F546" s="940"/>
    </row>
    <row r="547">
      <c r="B547" s="906"/>
      <c r="C547" s="906"/>
      <c r="D547" s="906"/>
      <c r="E547" s="906"/>
      <c r="F547" s="940"/>
    </row>
    <row r="548">
      <c r="B548" s="906"/>
      <c r="C548" s="906"/>
      <c r="D548" s="906"/>
      <c r="E548" s="906"/>
      <c r="F548" s="940"/>
    </row>
    <row r="549">
      <c r="B549" s="906"/>
      <c r="C549" s="906"/>
      <c r="D549" s="906"/>
      <c r="E549" s="906"/>
      <c r="F549" s="940"/>
    </row>
    <row r="550">
      <c r="B550" s="906"/>
      <c r="C550" s="906"/>
      <c r="D550" s="906"/>
      <c r="E550" s="906"/>
      <c r="F550" s="940"/>
    </row>
    <row r="551">
      <c r="B551" s="906"/>
      <c r="C551" s="906"/>
      <c r="D551" s="906"/>
      <c r="E551" s="906"/>
      <c r="F551" s="940"/>
    </row>
    <row r="552">
      <c r="B552" s="906"/>
      <c r="C552" s="906"/>
      <c r="D552" s="906"/>
      <c r="E552" s="906"/>
      <c r="F552" s="940"/>
    </row>
    <row r="553">
      <c r="B553" s="906"/>
      <c r="C553" s="906"/>
      <c r="D553" s="906"/>
      <c r="E553" s="906"/>
      <c r="F553" s="940"/>
    </row>
    <row r="554">
      <c r="B554" s="906"/>
      <c r="C554" s="906"/>
      <c r="D554" s="906"/>
      <c r="E554" s="906"/>
      <c r="F554" s="940"/>
    </row>
    <row r="555">
      <c r="B555" s="906"/>
      <c r="C555" s="906"/>
      <c r="D555" s="906"/>
      <c r="E555" s="906"/>
      <c r="F555" s="940"/>
    </row>
    <row r="556">
      <c r="B556" s="906"/>
      <c r="C556" s="906"/>
      <c r="D556" s="906"/>
      <c r="E556" s="906"/>
      <c r="F556" s="940"/>
    </row>
    <row r="557">
      <c r="B557" s="906"/>
      <c r="C557" s="906"/>
      <c r="D557" s="906"/>
      <c r="E557" s="906"/>
      <c r="F557" s="940"/>
    </row>
    <row r="558">
      <c r="B558" s="906"/>
      <c r="C558" s="906"/>
      <c r="D558" s="906"/>
      <c r="E558" s="906"/>
      <c r="F558" s="940"/>
    </row>
    <row r="559">
      <c r="B559" s="906"/>
      <c r="C559" s="906"/>
      <c r="D559" s="906"/>
      <c r="E559" s="906"/>
      <c r="F559" s="940"/>
    </row>
    <row r="560">
      <c r="B560" s="906"/>
      <c r="C560" s="906"/>
      <c r="D560" s="906"/>
      <c r="E560" s="906"/>
      <c r="F560" s="940"/>
    </row>
    <row r="561">
      <c r="B561" s="906"/>
      <c r="C561" s="906"/>
      <c r="D561" s="906"/>
      <c r="E561" s="906"/>
      <c r="F561" s="940"/>
    </row>
    <row r="562">
      <c r="B562" s="906"/>
      <c r="C562" s="906"/>
      <c r="D562" s="906"/>
      <c r="E562" s="906"/>
      <c r="F562" s="940"/>
    </row>
    <row r="563">
      <c r="B563" s="906"/>
      <c r="C563" s="906"/>
      <c r="D563" s="906"/>
      <c r="E563" s="906"/>
      <c r="F563" s="940"/>
    </row>
    <row r="564">
      <c r="B564" s="906"/>
      <c r="C564" s="906"/>
      <c r="D564" s="906"/>
      <c r="E564" s="906"/>
      <c r="F564" s="940"/>
    </row>
    <row r="565">
      <c r="B565" s="906"/>
      <c r="C565" s="906"/>
      <c r="D565" s="906"/>
      <c r="E565" s="906"/>
      <c r="F565" s="940"/>
    </row>
    <row r="566">
      <c r="B566" s="906"/>
      <c r="C566" s="906"/>
      <c r="D566" s="906"/>
      <c r="E566" s="906"/>
      <c r="F566" s="940"/>
    </row>
    <row r="567">
      <c r="B567" s="906"/>
      <c r="C567" s="906"/>
      <c r="D567" s="906"/>
      <c r="E567" s="906"/>
      <c r="F567" s="940"/>
    </row>
    <row r="568">
      <c r="B568" s="906"/>
      <c r="C568" s="906"/>
      <c r="D568" s="906"/>
      <c r="E568" s="906"/>
      <c r="F568" s="940"/>
    </row>
    <row r="569">
      <c r="B569" s="906"/>
      <c r="C569" s="906"/>
      <c r="D569" s="906"/>
      <c r="E569" s="906"/>
      <c r="F569" s="940"/>
    </row>
    <row r="570">
      <c r="B570" s="906"/>
      <c r="C570" s="906"/>
      <c r="D570" s="906"/>
      <c r="E570" s="906"/>
      <c r="F570" s="940"/>
    </row>
    <row r="571">
      <c r="B571" s="906"/>
      <c r="C571" s="906"/>
      <c r="D571" s="906"/>
      <c r="E571" s="906"/>
      <c r="F571" s="940"/>
    </row>
    <row r="572">
      <c r="B572" s="906"/>
      <c r="C572" s="906"/>
      <c r="D572" s="906"/>
      <c r="E572" s="906"/>
      <c r="F572" s="940"/>
    </row>
    <row r="573">
      <c r="B573" s="906"/>
      <c r="C573" s="906"/>
      <c r="D573" s="906"/>
      <c r="E573" s="906"/>
      <c r="F573" s="940"/>
    </row>
    <row r="574">
      <c r="B574" s="906"/>
      <c r="C574" s="906"/>
      <c r="D574" s="906"/>
      <c r="E574" s="906"/>
      <c r="F574" s="940"/>
    </row>
    <row r="575">
      <c r="B575" s="906"/>
      <c r="C575" s="906"/>
      <c r="D575" s="906"/>
      <c r="E575" s="906"/>
      <c r="F575" s="940"/>
    </row>
    <row r="576">
      <c r="B576" s="906"/>
      <c r="C576" s="906"/>
      <c r="D576" s="906"/>
      <c r="E576" s="906"/>
      <c r="F576" s="940"/>
    </row>
    <row r="577">
      <c r="B577" s="906"/>
      <c r="C577" s="906"/>
      <c r="D577" s="906"/>
      <c r="E577" s="906"/>
      <c r="F577" s="940"/>
    </row>
    <row r="578">
      <c r="B578" s="906"/>
      <c r="C578" s="906"/>
      <c r="D578" s="906"/>
      <c r="E578" s="906"/>
      <c r="F578" s="940"/>
    </row>
    <row r="579">
      <c r="B579" s="906"/>
      <c r="C579" s="906"/>
      <c r="D579" s="906"/>
      <c r="E579" s="906"/>
      <c r="F579" s="940"/>
    </row>
    <row r="580">
      <c r="B580" s="906"/>
      <c r="C580" s="906"/>
      <c r="D580" s="906"/>
      <c r="E580" s="906"/>
      <c r="F580" s="940"/>
    </row>
    <row r="581">
      <c r="B581" s="906"/>
      <c r="C581" s="906"/>
      <c r="D581" s="906"/>
      <c r="E581" s="906"/>
      <c r="F581" s="940"/>
    </row>
    <row r="582">
      <c r="B582" s="906"/>
      <c r="C582" s="906"/>
      <c r="D582" s="906"/>
      <c r="E582" s="906"/>
      <c r="F582" s="940"/>
    </row>
    <row r="583">
      <c r="B583" s="906"/>
      <c r="C583" s="906"/>
      <c r="D583" s="906"/>
      <c r="E583" s="906"/>
      <c r="F583" s="940"/>
    </row>
    <row r="584">
      <c r="B584" s="906"/>
      <c r="C584" s="906"/>
      <c r="D584" s="906"/>
      <c r="E584" s="906"/>
      <c r="F584" s="940"/>
    </row>
    <row r="585">
      <c r="B585" s="906"/>
      <c r="C585" s="906"/>
      <c r="D585" s="906"/>
      <c r="E585" s="906"/>
      <c r="F585" s="940"/>
    </row>
    <row r="586">
      <c r="B586" s="906"/>
      <c r="C586" s="906"/>
      <c r="D586" s="906"/>
      <c r="E586" s="906"/>
      <c r="F586" s="940"/>
    </row>
    <row r="587">
      <c r="B587" s="906"/>
      <c r="C587" s="906"/>
      <c r="D587" s="906"/>
      <c r="E587" s="906"/>
      <c r="F587" s="940"/>
    </row>
    <row r="588">
      <c r="B588" s="906"/>
      <c r="C588" s="906"/>
      <c r="D588" s="906"/>
      <c r="E588" s="906"/>
      <c r="F588" s="940"/>
    </row>
    <row r="589">
      <c r="B589" s="906"/>
      <c r="C589" s="906"/>
      <c r="D589" s="906"/>
      <c r="E589" s="906"/>
      <c r="F589" s="940"/>
    </row>
    <row r="590">
      <c r="B590" s="906"/>
      <c r="C590" s="906"/>
      <c r="D590" s="906"/>
      <c r="E590" s="906"/>
      <c r="F590" s="940"/>
    </row>
    <row r="591">
      <c r="B591" s="906"/>
      <c r="C591" s="906"/>
      <c r="D591" s="906"/>
      <c r="E591" s="906"/>
      <c r="F591" s="940"/>
    </row>
    <row r="592">
      <c r="B592" s="906"/>
      <c r="C592" s="906"/>
      <c r="D592" s="906"/>
      <c r="E592" s="906"/>
      <c r="F592" s="940"/>
    </row>
    <row r="593">
      <c r="B593" s="906"/>
      <c r="C593" s="906"/>
      <c r="D593" s="906"/>
      <c r="E593" s="906"/>
      <c r="F593" s="940"/>
    </row>
    <row r="594">
      <c r="B594" s="906"/>
      <c r="C594" s="906"/>
      <c r="D594" s="906"/>
      <c r="E594" s="906"/>
      <c r="F594" s="940"/>
    </row>
    <row r="595">
      <c r="B595" s="906"/>
      <c r="C595" s="906"/>
      <c r="D595" s="906"/>
      <c r="E595" s="906"/>
      <c r="F595" s="940"/>
    </row>
    <row r="596">
      <c r="B596" s="906"/>
      <c r="C596" s="906"/>
      <c r="D596" s="906"/>
      <c r="E596" s="906"/>
      <c r="F596" s="940"/>
    </row>
    <row r="597">
      <c r="B597" s="906"/>
      <c r="C597" s="906"/>
      <c r="D597" s="906"/>
      <c r="E597" s="906"/>
      <c r="F597" s="940"/>
    </row>
    <row r="598">
      <c r="B598" s="906"/>
      <c r="C598" s="906"/>
      <c r="D598" s="906"/>
      <c r="E598" s="906"/>
      <c r="F598" s="940"/>
    </row>
    <row r="599">
      <c r="B599" s="906"/>
      <c r="C599" s="906"/>
      <c r="D599" s="906"/>
      <c r="E599" s="906"/>
      <c r="F599" s="940"/>
    </row>
    <row r="600">
      <c r="B600" s="906"/>
      <c r="C600" s="906"/>
      <c r="D600" s="906"/>
      <c r="E600" s="906"/>
      <c r="F600" s="940"/>
    </row>
    <row r="601">
      <c r="B601" s="906"/>
      <c r="C601" s="906"/>
      <c r="D601" s="906"/>
      <c r="E601" s="906"/>
      <c r="F601" s="940"/>
    </row>
    <row r="602">
      <c r="B602" s="906"/>
      <c r="C602" s="906"/>
      <c r="D602" s="906"/>
      <c r="E602" s="906"/>
      <c r="F602" s="940"/>
    </row>
    <row r="603">
      <c r="B603" s="906"/>
      <c r="C603" s="906"/>
      <c r="D603" s="906"/>
      <c r="E603" s="906"/>
      <c r="F603" s="940"/>
    </row>
    <row r="604">
      <c r="B604" s="906"/>
      <c r="C604" s="906"/>
      <c r="D604" s="906"/>
      <c r="E604" s="906"/>
      <c r="F604" s="940"/>
    </row>
    <row r="605">
      <c r="B605" s="906"/>
      <c r="C605" s="906"/>
      <c r="D605" s="906"/>
      <c r="E605" s="906"/>
      <c r="F605" s="940"/>
    </row>
    <row r="606">
      <c r="B606" s="906"/>
      <c r="C606" s="906"/>
      <c r="D606" s="906"/>
      <c r="E606" s="906"/>
      <c r="F606" s="940"/>
    </row>
    <row r="607">
      <c r="B607" s="906"/>
      <c r="C607" s="906"/>
      <c r="D607" s="906"/>
      <c r="E607" s="906"/>
      <c r="F607" s="940"/>
    </row>
    <row r="608">
      <c r="B608" s="906"/>
      <c r="C608" s="906"/>
      <c r="D608" s="906"/>
      <c r="E608" s="906"/>
      <c r="F608" s="940"/>
    </row>
    <row r="609">
      <c r="B609" s="906"/>
      <c r="C609" s="906"/>
      <c r="D609" s="906"/>
      <c r="E609" s="906"/>
      <c r="F609" s="940"/>
    </row>
    <row r="610">
      <c r="B610" s="906"/>
      <c r="C610" s="906"/>
      <c r="D610" s="906"/>
      <c r="E610" s="906"/>
      <c r="F610" s="940"/>
    </row>
    <row r="611">
      <c r="B611" s="906"/>
      <c r="C611" s="906"/>
      <c r="D611" s="906"/>
      <c r="E611" s="906"/>
      <c r="F611" s="940"/>
    </row>
    <row r="612">
      <c r="B612" s="906"/>
      <c r="C612" s="906"/>
      <c r="D612" s="906"/>
      <c r="E612" s="906"/>
      <c r="F612" s="940"/>
    </row>
    <row r="613">
      <c r="B613" s="906"/>
      <c r="C613" s="906"/>
      <c r="D613" s="906"/>
      <c r="E613" s="906"/>
      <c r="F613" s="940"/>
    </row>
    <row r="614">
      <c r="B614" s="906"/>
      <c r="C614" s="906"/>
      <c r="D614" s="906"/>
      <c r="E614" s="906"/>
      <c r="F614" s="940"/>
    </row>
    <row r="615">
      <c r="B615" s="906"/>
      <c r="C615" s="906"/>
      <c r="D615" s="906"/>
      <c r="E615" s="906"/>
      <c r="F615" s="940"/>
    </row>
    <row r="616">
      <c r="B616" s="906"/>
      <c r="C616" s="906"/>
      <c r="D616" s="906"/>
      <c r="E616" s="906"/>
      <c r="F616" s="940"/>
    </row>
    <row r="617">
      <c r="B617" s="906"/>
      <c r="C617" s="906"/>
      <c r="D617" s="906"/>
      <c r="E617" s="906"/>
      <c r="F617" s="940"/>
    </row>
    <row r="618">
      <c r="B618" s="906"/>
      <c r="C618" s="906"/>
      <c r="D618" s="906"/>
      <c r="E618" s="906"/>
      <c r="F618" s="940"/>
    </row>
    <row r="619">
      <c r="B619" s="906"/>
      <c r="C619" s="906"/>
      <c r="D619" s="906"/>
      <c r="E619" s="906"/>
      <c r="F619" s="940"/>
    </row>
    <row r="620">
      <c r="B620" s="906"/>
      <c r="C620" s="906"/>
      <c r="D620" s="906"/>
      <c r="E620" s="906"/>
      <c r="F620" s="940"/>
    </row>
    <row r="621">
      <c r="B621" s="906"/>
      <c r="C621" s="906"/>
      <c r="D621" s="906"/>
      <c r="E621" s="906"/>
      <c r="F621" s="940"/>
    </row>
    <row r="622">
      <c r="B622" s="906"/>
      <c r="C622" s="906"/>
      <c r="D622" s="906"/>
      <c r="E622" s="906"/>
      <c r="F622" s="940"/>
    </row>
    <row r="623">
      <c r="B623" s="906"/>
      <c r="C623" s="906"/>
      <c r="D623" s="906"/>
      <c r="E623" s="906"/>
      <c r="F623" s="940"/>
    </row>
    <row r="624">
      <c r="B624" s="906"/>
      <c r="C624" s="906"/>
      <c r="D624" s="906"/>
      <c r="E624" s="906"/>
      <c r="F624" s="940"/>
    </row>
    <row r="625">
      <c r="B625" s="906"/>
      <c r="C625" s="906"/>
      <c r="D625" s="906"/>
      <c r="E625" s="906"/>
      <c r="F625" s="940"/>
    </row>
    <row r="626">
      <c r="B626" s="906"/>
      <c r="C626" s="906"/>
      <c r="D626" s="906"/>
      <c r="E626" s="906"/>
      <c r="F626" s="940"/>
    </row>
    <row r="627">
      <c r="B627" s="906"/>
      <c r="C627" s="906"/>
      <c r="D627" s="906"/>
      <c r="E627" s="906"/>
      <c r="F627" s="940"/>
    </row>
    <row r="628">
      <c r="B628" s="906"/>
      <c r="C628" s="906"/>
      <c r="D628" s="906"/>
      <c r="E628" s="906"/>
      <c r="F628" s="940"/>
    </row>
    <row r="629">
      <c r="B629" s="906"/>
      <c r="C629" s="906"/>
      <c r="D629" s="906"/>
      <c r="E629" s="906"/>
      <c r="F629" s="940"/>
    </row>
    <row r="630">
      <c r="B630" s="906"/>
      <c r="C630" s="906"/>
      <c r="D630" s="906"/>
      <c r="E630" s="906"/>
      <c r="F630" s="940"/>
    </row>
    <row r="631">
      <c r="B631" s="906"/>
      <c r="C631" s="906"/>
      <c r="D631" s="906"/>
      <c r="E631" s="906"/>
      <c r="F631" s="940"/>
    </row>
    <row r="632">
      <c r="B632" s="906"/>
      <c r="C632" s="906"/>
      <c r="D632" s="906"/>
      <c r="E632" s="906"/>
      <c r="F632" s="940"/>
    </row>
    <row r="633">
      <c r="B633" s="906"/>
      <c r="C633" s="906"/>
      <c r="D633" s="906"/>
      <c r="E633" s="906"/>
      <c r="F633" s="940"/>
    </row>
    <row r="634">
      <c r="B634" s="906"/>
      <c r="C634" s="906"/>
      <c r="D634" s="906"/>
      <c r="E634" s="906"/>
      <c r="F634" s="940"/>
    </row>
    <row r="635">
      <c r="B635" s="906"/>
      <c r="C635" s="906"/>
      <c r="D635" s="906"/>
      <c r="E635" s="906"/>
      <c r="F635" s="940"/>
    </row>
    <row r="636">
      <c r="B636" s="906"/>
      <c r="C636" s="906"/>
      <c r="D636" s="906"/>
      <c r="E636" s="906"/>
      <c r="F636" s="940"/>
    </row>
    <row r="637">
      <c r="B637" s="906"/>
      <c r="C637" s="906"/>
      <c r="D637" s="906"/>
      <c r="E637" s="906"/>
      <c r="F637" s="940"/>
    </row>
    <row r="638">
      <c r="B638" s="906"/>
      <c r="C638" s="906"/>
      <c r="D638" s="906"/>
      <c r="E638" s="906"/>
      <c r="F638" s="940"/>
    </row>
    <row r="639">
      <c r="B639" s="906"/>
      <c r="C639" s="906"/>
      <c r="D639" s="906"/>
      <c r="E639" s="906"/>
      <c r="F639" s="940"/>
    </row>
    <row r="640">
      <c r="B640" s="906"/>
      <c r="C640" s="906"/>
      <c r="D640" s="906"/>
      <c r="E640" s="906"/>
      <c r="F640" s="940"/>
    </row>
    <row r="641">
      <c r="B641" s="906"/>
      <c r="C641" s="906"/>
      <c r="D641" s="906"/>
      <c r="E641" s="906"/>
      <c r="F641" s="940"/>
    </row>
    <row r="642">
      <c r="B642" s="906"/>
      <c r="C642" s="906"/>
      <c r="D642" s="906"/>
      <c r="E642" s="906"/>
      <c r="F642" s="940"/>
    </row>
    <row r="643">
      <c r="B643" s="906"/>
      <c r="C643" s="906"/>
      <c r="D643" s="906"/>
      <c r="E643" s="906"/>
      <c r="F643" s="940"/>
    </row>
    <row r="644">
      <c r="B644" s="906"/>
      <c r="C644" s="906"/>
      <c r="D644" s="906"/>
      <c r="E644" s="906"/>
      <c r="F644" s="940"/>
    </row>
    <row r="645">
      <c r="B645" s="906"/>
      <c r="C645" s="906"/>
      <c r="D645" s="906"/>
      <c r="E645" s="906"/>
      <c r="F645" s="940"/>
    </row>
    <row r="646">
      <c r="B646" s="906"/>
      <c r="C646" s="906"/>
      <c r="D646" s="906"/>
      <c r="E646" s="906"/>
      <c r="F646" s="940"/>
    </row>
    <row r="647">
      <c r="B647" s="906"/>
      <c r="C647" s="906"/>
      <c r="D647" s="906"/>
      <c r="E647" s="906"/>
      <c r="F647" s="940"/>
    </row>
    <row r="648">
      <c r="B648" s="906"/>
      <c r="C648" s="906"/>
      <c r="D648" s="906"/>
      <c r="E648" s="906"/>
      <c r="F648" s="940"/>
    </row>
    <row r="649">
      <c r="B649" s="906"/>
      <c r="C649" s="906"/>
      <c r="D649" s="906"/>
      <c r="E649" s="906"/>
      <c r="F649" s="940"/>
    </row>
    <row r="650">
      <c r="B650" s="906"/>
      <c r="C650" s="906"/>
      <c r="D650" s="906"/>
      <c r="E650" s="906"/>
      <c r="F650" s="940"/>
    </row>
    <row r="651">
      <c r="B651" s="906"/>
      <c r="C651" s="906"/>
      <c r="D651" s="906"/>
      <c r="E651" s="906"/>
      <c r="F651" s="940"/>
    </row>
    <row r="652">
      <c r="B652" s="906"/>
      <c r="C652" s="906"/>
      <c r="D652" s="906"/>
      <c r="E652" s="906"/>
      <c r="F652" s="940"/>
    </row>
    <row r="653">
      <c r="B653" s="906"/>
      <c r="C653" s="906"/>
      <c r="D653" s="906"/>
      <c r="E653" s="906"/>
      <c r="F653" s="940"/>
    </row>
    <row r="654">
      <c r="B654" s="906"/>
      <c r="C654" s="906"/>
      <c r="D654" s="906"/>
      <c r="E654" s="906"/>
      <c r="F654" s="940"/>
    </row>
    <row r="655">
      <c r="B655" s="906"/>
      <c r="C655" s="906"/>
      <c r="D655" s="906"/>
      <c r="E655" s="906"/>
      <c r="F655" s="940"/>
    </row>
    <row r="656">
      <c r="B656" s="906"/>
      <c r="C656" s="906"/>
      <c r="D656" s="906"/>
      <c r="E656" s="906"/>
      <c r="F656" s="940"/>
    </row>
    <row r="657">
      <c r="B657" s="906"/>
      <c r="C657" s="906"/>
      <c r="D657" s="906"/>
      <c r="E657" s="906"/>
      <c r="F657" s="940"/>
    </row>
    <row r="658">
      <c r="B658" s="906"/>
      <c r="C658" s="906"/>
      <c r="D658" s="906"/>
      <c r="E658" s="906"/>
      <c r="F658" s="940"/>
    </row>
    <row r="659">
      <c r="B659" s="906"/>
      <c r="C659" s="906"/>
      <c r="D659" s="906"/>
      <c r="E659" s="906"/>
      <c r="F659" s="940"/>
    </row>
    <row r="660">
      <c r="B660" s="906"/>
      <c r="C660" s="906"/>
      <c r="D660" s="906"/>
      <c r="E660" s="906"/>
      <c r="F660" s="940"/>
    </row>
    <row r="661">
      <c r="B661" s="906"/>
      <c r="C661" s="906"/>
      <c r="D661" s="906"/>
      <c r="E661" s="906"/>
      <c r="F661" s="940"/>
    </row>
    <row r="662">
      <c r="B662" s="906"/>
      <c r="C662" s="906"/>
      <c r="D662" s="906"/>
      <c r="E662" s="906"/>
      <c r="F662" s="940"/>
    </row>
    <row r="663">
      <c r="B663" s="906"/>
      <c r="C663" s="906"/>
      <c r="D663" s="906"/>
      <c r="E663" s="906"/>
      <c r="F663" s="940"/>
    </row>
    <row r="664">
      <c r="B664" s="906"/>
      <c r="C664" s="906"/>
      <c r="D664" s="906"/>
      <c r="E664" s="906"/>
      <c r="F664" s="940"/>
    </row>
    <row r="665">
      <c r="B665" s="906"/>
      <c r="C665" s="906"/>
      <c r="D665" s="906"/>
      <c r="E665" s="906"/>
      <c r="F665" s="940"/>
    </row>
    <row r="666">
      <c r="B666" s="906"/>
      <c r="C666" s="906"/>
      <c r="D666" s="906"/>
      <c r="E666" s="906"/>
      <c r="F666" s="940"/>
    </row>
    <row r="667">
      <c r="B667" s="906"/>
      <c r="C667" s="906"/>
      <c r="D667" s="906"/>
      <c r="E667" s="906"/>
      <c r="F667" s="940"/>
    </row>
    <row r="668">
      <c r="B668" s="906"/>
      <c r="C668" s="906"/>
      <c r="D668" s="906"/>
      <c r="E668" s="906"/>
      <c r="F668" s="940"/>
    </row>
    <row r="669">
      <c r="B669" s="906"/>
      <c r="C669" s="906"/>
      <c r="D669" s="906"/>
      <c r="E669" s="906"/>
      <c r="F669" s="940"/>
    </row>
    <row r="670">
      <c r="B670" s="906"/>
      <c r="C670" s="906"/>
      <c r="D670" s="906"/>
      <c r="E670" s="906"/>
      <c r="F670" s="940"/>
    </row>
    <row r="671">
      <c r="B671" s="906"/>
      <c r="C671" s="906"/>
      <c r="D671" s="906"/>
      <c r="E671" s="906"/>
      <c r="F671" s="940"/>
    </row>
    <row r="672">
      <c r="B672" s="906"/>
      <c r="C672" s="906"/>
      <c r="D672" s="906"/>
      <c r="E672" s="906"/>
      <c r="F672" s="940"/>
    </row>
    <row r="673">
      <c r="B673" s="906"/>
      <c r="C673" s="906"/>
      <c r="D673" s="906"/>
      <c r="E673" s="906"/>
      <c r="F673" s="940"/>
    </row>
    <row r="674">
      <c r="B674" s="906"/>
      <c r="C674" s="906"/>
      <c r="D674" s="906"/>
      <c r="E674" s="906"/>
      <c r="F674" s="940"/>
    </row>
    <row r="675">
      <c r="B675" s="906"/>
      <c r="C675" s="906"/>
      <c r="D675" s="906"/>
      <c r="E675" s="906"/>
      <c r="F675" s="940"/>
    </row>
    <row r="676">
      <c r="B676" s="906"/>
      <c r="C676" s="906"/>
      <c r="D676" s="906"/>
      <c r="E676" s="906"/>
      <c r="F676" s="940"/>
    </row>
    <row r="677">
      <c r="B677" s="906"/>
      <c r="C677" s="906"/>
      <c r="D677" s="906"/>
      <c r="E677" s="906"/>
      <c r="F677" s="940"/>
    </row>
    <row r="678">
      <c r="B678" s="906"/>
      <c r="C678" s="906"/>
      <c r="D678" s="906"/>
      <c r="E678" s="906"/>
      <c r="F678" s="940"/>
    </row>
    <row r="679">
      <c r="B679" s="906"/>
      <c r="C679" s="906"/>
      <c r="D679" s="906"/>
      <c r="E679" s="906"/>
      <c r="F679" s="940"/>
    </row>
    <row r="680">
      <c r="B680" s="906"/>
      <c r="C680" s="906"/>
      <c r="D680" s="906"/>
      <c r="E680" s="906"/>
      <c r="F680" s="940"/>
    </row>
    <row r="681">
      <c r="B681" s="906"/>
      <c r="C681" s="906"/>
      <c r="D681" s="906"/>
      <c r="E681" s="906"/>
      <c r="F681" s="940"/>
    </row>
    <row r="682">
      <c r="B682" s="906"/>
      <c r="C682" s="906"/>
      <c r="D682" s="906"/>
      <c r="E682" s="906"/>
      <c r="F682" s="940"/>
    </row>
    <row r="683">
      <c r="B683" s="906"/>
      <c r="C683" s="906"/>
      <c r="D683" s="906"/>
      <c r="E683" s="906"/>
      <c r="F683" s="940"/>
    </row>
    <row r="684">
      <c r="B684" s="906"/>
      <c r="C684" s="906"/>
      <c r="D684" s="906"/>
      <c r="E684" s="906"/>
      <c r="F684" s="940"/>
    </row>
    <row r="685">
      <c r="B685" s="906"/>
      <c r="C685" s="906"/>
      <c r="D685" s="906"/>
      <c r="E685" s="906"/>
      <c r="F685" s="940"/>
    </row>
    <row r="686">
      <c r="B686" s="906"/>
      <c r="C686" s="906"/>
      <c r="D686" s="906"/>
      <c r="E686" s="906"/>
      <c r="F686" s="940"/>
    </row>
    <row r="687">
      <c r="B687" s="906"/>
      <c r="C687" s="906"/>
      <c r="D687" s="906"/>
      <c r="E687" s="906"/>
      <c r="F687" s="940"/>
    </row>
    <row r="688">
      <c r="B688" s="906"/>
      <c r="C688" s="906"/>
      <c r="D688" s="906"/>
      <c r="E688" s="906"/>
      <c r="F688" s="940"/>
    </row>
    <row r="689">
      <c r="B689" s="906"/>
      <c r="C689" s="906"/>
      <c r="D689" s="906"/>
      <c r="E689" s="906"/>
      <c r="F689" s="940"/>
    </row>
    <row r="690">
      <c r="B690" s="906"/>
      <c r="C690" s="906"/>
      <c r="D690" s="906"/>
      <c r="E690" s="906"/>
      <c r="F690" s="940"/>
    </row>
    <row r="691">
      <c r="B691" s="906"/>
      <c r="C691" s="906"/>
      <c r="D691" s="906"/>
      <c r="E691" s="906"/>
      <c r="F691" s="940"/>
    </row>
    <row r="692">
      <c r="B692" s="906"/>
      <c r="C692" s="906"/>
      <c r="D692" s="906"/>
      <c r="E692" s="906"/>
      <c r="F692" s="940"/>
    </row>
    <row r="693">
      <c r="B693" s="906"/>
      <c r="C693" s="906"/>
      <c r="D693" s="906"/>
      <c r="E693" s="906"/>
      <c r="F693" s="940"/>
    </row>
    <row r="694">
      <c r="B694" s="906"/>
      <c r="C694" s="906"/>
      <c r="D694" s="906"/>
      <c r="E694" s="906"/>
      <c r="F694" s="940"/>
    </row>
    <row r="695">
      <c r="B695" s="906"/>
      <c r="C695" s="906"/>
      <c r="D695" s="906"/>
      <c r="E695" s="906"/>
      <c r="F695" s="940"/>
    </row>
    <row r="696">
      <c r="B696" s="906"/>
      <c r="C696" s="906"/>
      <c r="D696" s="906"/>
      <c r="E696" s="906"/>
      <c r="F696" s="940"/>
    </row>
    <row r="697">
      <c r="B697" s="906"/>
      <c r="C697" s="906"/>
      <c r="D697" s="906"/>
      <c r="E697" s="906"/>
      <c r="F697" s="940"/>
    </row>
    <row r="698">
      <c r="B698" s="906"/>
      <c r="C698" s="906"/>
      <c r="D698" s="906"/>
      <c r="E698" s="906"/>
      <c r="F698" s="940"/>
    </row>
    <row r="699">
      <c r="B699" s="906"/>
      <c r="C699" s="906"/>
      <c r="D699" s="906"/>
      <c r="E699" s="906"/>
      <c r="F699" s="940"/>
    </row>
    <row r="700">
      <c r="B700" s="906"/>
      <c r="C700" s="906"/>
      <c r="D700" s="906"/>
      <c r="E700" s="906"/>
      <c r="F700" s="940"/>
    </row>
    <row r="701">
      <c r="B701" s="906"/>
      <c r="C701" s="906"/>
      <c r="D701" s="906"/>
      <c r="E701" s="906"/>
      <c r="F701" s="940"/>
    </row>
    <row r="702">
      <c r="B702" s="906"/>
      <c r="C702" s="906"/>
      <c r="D702" s="906"/>
      <c r="E702" s="906"/>
      <c r="F702" s="940"/>
    </row>
    <row r="703">
      <c r="B703" s="906"/>
      <c r="C703" s="906"/>
      <c r="D703" s="906"/>
      <c r="E703" s="906"/>
      <c r="F703" s="940"/>
    </row>
    <row r="704">
      <c r="B704" s="906"/>
      <c r="C704" s="906"/>
      <c r="D704" s="906"/>
      <c r="E704" s="906"/>
      <c r="F704" s="940"/>
    </row>
    <row r="705">
      <c r="B705" s="906"/>
      <c r="C705" s="906"/>
      <c r="D705" s="906"/>
      <c r="E705" s="906"/>
      <c r="F705" s="940"/>
    </row>
    <row r="706">
      <c r="B706" s="906"/>
      <c r="C706" s="906"/>
      <c r="D706" s="906"/>
      <c r="E706" s="906"/>
      <c r="F706" s="940"/>
    </row>
    <row r="707">
      <c r="B707" s="906"/>
      <c r="C707" s="906"/>
      <c r="D707" s="906"/>
      <c r="E707" s="906"/>
      <c r="F707" s="940"/>
    </row>
    <row r="708">
      <c r="B708" s="906"/>
      <c r="C708" s="906"/>
      <c r="D708" s="906"/>
      <c r="E708" s="906"/>
      <c r="F708" s="940"/>
    </row>
    <row r="709">
      <c r="B709" s="906"/>
      <c r="C709" s="906"/>
      <c r="D709" s="906"/>
      <c r="E709" s="906"/>
      <c r="F709" s="940"/>
    </row>
    <row r="710">
      <c r="B710" s="906"/>
      <c r="C710" s="906"/>
      <c r="D710" s="906"/>
      <c r="E710" s="906"/>
      <c r="F710" s="940"/>
    </row>
    <row r="711">
      <c r="B711" s="906"/>
      <c r="C711" s="906"/>
      <c r="D711" s="906"/>
      <c r="E711" s="906"/>
      <c r="F711" s="940"/>
    </row>
    <row r="712">
      <c r="B712" s="906"/>
      <c r="C712" s="906"/>
      <c r="D712" s="906"/>
      <c r="E712" s="906"/>
      <c r="F712" s="940"/>
    </row>
    <row r="713">
      <c r="B713" s="906"/>
      <c r="C713" s="906"/>
      <c r="D713" s="906"/>
      <c r="E713" s="906"/>
      <c r="F713" s="940"/>
    </row>
    <row r="714">
      <c r="B714" s="906"/>
      <c r="C714" s="906"/>
      <c r="D714" s="906"/>
      <c r="E714" s="906"/>
      <c r="F714" s="940"/>
    </row>
    <row r="715">
      <c r="B715" s="906"/>
      <c r="C715" s="906"/>
      <c r="D715" s="906"/>
      <c r="E715" s="906"/>
      <c r="F715" s="940"/>
    </row>
    <row r="716">
      <c r="B716" s="906"/>
      <c r="C716" s="906"/>
      <c r="D716" s="906"/>
      <c r="E716" s="906"/>
      <c r="F716" s="940"/>
    </row>
    <row r="717">
      <c r="B717" s="906"/>
      <c r="C717" s="906"/>
      <c r="D717" s="906"/>
      <c r="E717" s="906"/>
      <c r="F717" s="940"/>
    </row>
    <row r="718">
      <c r="B718" s="906"/>
      <c r="C718" s="906"/>
      <c r="D718" s="906"/>
      <c r="E718" s="906"/>
      <c r="F718" s="940"/>
    </row>
    <row r="719">
      <c r="B719" s="906"/>
      <c r="C719" s="906"/>
      <c r="D719" s="906"/>
      <c r="E719" s="906"/>
      <c r="F719" s="940"/>
    </row>
    <row r="720">
      <c r="B720" s="906"/>
      <c r="C720" s="906"/>
      <c r="D720" s="906"/>
      <c r="E720" s="906"/>
      <c r="F720" s="940"/>
    </row>
    <row r="721">
      <c r="B721" s="906"/>
      <c r="C721" s="906"/>
      <c r="D721" s="906"/>
      <c r="E721" s="906"/>
      <c r="F721" s="940"/>
    </row>
    <row r="722">
      <c r="B722" s="906"/>
      <c r="C722" s="906"/>
      <c r="D722" s="906"/>
      <c r="E722" s="906"/>
      <c r="F722" s="940"/>
    </row>
    <row r="723">
      <c r="B723" s="906"/>
      <c r="C723" s="906"/>
      <c r="D723" s="906"/>
      <c r="E723" s="906"/>
      <c r="F723" s="940"/>
    </row>
    <row r="724">
      <c r="B724" s="906"/>
      <c r="C724" s="906"/>
      <c r="D724" s="906"/>
      <c r="E724" s="906"/>
      <c r="F724" s="940"/>
    </row>
    <row r="725">
      <c r="B725" s="906"/>
      <c r="C725" s="906"/>
      <c r="D725" s="906"/>
      <c r="E725" s="906"/>
      <c r="F725" s="940"/>
    </row>
    <row r="726">
      <c r="B726" s="906"/>
      <c r="C726" s="906"/>
      <c r="D726" s="906"/>
      <c r="E726" s="906"/>
      <c r="F726" s="940"/>
    </row>
    <row r="727">
      <c r="B727" s="906"/>
      <c r="C727" s="906"/>
      <c r="D727" s="906"/>
      <c r="E727" s="906"/>
      <c r="F727" s="940"/>
    </row>
    <row r="728">
      <c r="B728" s="906"/>
      <c r="C728" s="906"/>
      <c r="D728" s="906"/>
      <c r="E728" s="906"/>
      <c r="F728" s="940"/>
    </row>
    <row r="729">
      <c r="B729" s="906"/>
      <c r="C729" s="906"/>
      <c r="D729" s="906"/>
      <c r="E729" s="906"/>
      <c r="F729" s="940"/>
    </row>
    <row r="730">
      <c r="B730" s="906"/>
      <c r="C730" s="906"/>
      <c r="D730" s="906"/>
      <c r="E730" s="906"/>
      <c r="F730" s="940"/>
    </row>
    <row r="731">
      <c r="B731" s="906"/>
      <c r="C731" s="906"/>
      <c r="D731" s="906"/>
      <c r="E731" s="906"/>
      <c r="F731" s="940"/>
    </row>
    <row r="732">
      <c r="B732" s="906"/>
      <c r="C732" s="906"/>
      <c r="D732" s="906"/>
      <c r="E732" s="906"/>
      <c r="F732" s="940"/>
    </row>
    <row r="733">
      <c r="B733" s="906"/>
      <c r="C733" s="906"/>
      <c r="D733" s="906"/>
      <c r="E733" s="906"/>
      <c r="F733" s="940"/>
    </row>
    <row r="734">
      <c r="B734" s="906"/>
      <c r="C734" s="906"/>
      <c r="D734" s="906"/>
      <c r="E734" s="906"/>
      <c r="F734" s="940"/>
    </row>
    <row r="735">
      <c r="B735" s="906"/>
      <c r="C735" s="906"/>
      <c r="D735" s="906"/>
      <c r="E735" s="906"/>
      <c r="F735" s="940"/>
    </row>
    <row r="736">
      <c r="B736" s="906"/>
      <c r="C736" s="906"/>
      <c r="D736" s="906"/>
      <c r="E736" s="906"/>
      <c r="F736" s="940"/>
    </row>
    <row r="737">
      <c r="B737" s="906"/>
      <c r="C737" s="906"/>
      <c r="D737" s="906"/>
      <c r="E737" s="906"/>
      <c r="F737" s="940"/>
    </row>
    <row r="738">
      <c r="B738" s="906"/>
      <c r="C738" s="906"/>
      <c r="D738" s="906"/>
      <c r="E738" s="906"/>
      <c r="F738" s="940"/>
    </row>
    <row r="739">
      <c r="B739" s="906"/>
      <c r="C739" s="906"/>
      <c r="D739" s="906"/>
      <c r="E739" s="906"/>
      <c r="F739" s="940"/>
    </row>
    <row r="740">
      <c r="B740" s="906"/>
      <c r="C740" s="906"/>
      <c r="D740" s="906"/>
      <c r="E740" s="906"/>
      <c r="F740" s="940"/>
    </row>
    <row r="741">
      <c r="B741" s="906"/>
      <c r="C741" s="906"/>
      <c r="D741" s="906"/>
      <c r="E741" s="906"/>
      <c r="F741" s="940"/>
    </row>
    <row r="742">
      <c r="B742" s="906"/>
      <c r="C742" s="906"/>
      <c r="D742" s="906"/>
      <c r="E742" s="906"/>
      <c r="F742" s="940"/>
    </row>
    <row r="743">
      <c r="B743" s="906"/>
      <c r="C743" s="906"/>
      <c r="D743" s="906"/>
      <c r="E743" s="906"/>
      <c r="F743" s="940"/>
    </row>
    <row r="744">
      <c r="B744" s="906"/>
      <c r="C744" s="906"/>
      <c r="D744" s="906"/>
      <c r="E744" s="906"/>
      <c r="F744" s="940"/>
    </row>
    <row r="745">
      <c r="B745" s="906"/>
      <c r="C745" s="906"/>
      <c r="D745" s="906"/>
      <c r="E745" s="906"/>
      <c r="F745" s="940"/>
    </row>
    <row r="746">
      <c r="B746" s="906"/>
      <c r="C746" s="906"/>
      <c r="D746" s="906"/>
      <c r="E746" s="906"/>
      <c r="F746" s="940"/>
    </row>
    <row r="747">
      <c r="B747" s="906"/>
      <c r="C747" s="906"/>
      <c r="D747" s="906"/>
      <c r="E747" s="906"/>
      <c r="F747" s="940"/>
    </row>
    <row r="748">
      <c r="B748" s="906"/>
      <c r="C748" s="906"/>
      <c r="D748" s="906"/>
      <c r="E748" s="906"/>
      <c r="F748" s="940"/>
    </row>
    <row r="749">
      <c r="B749" s="906"/>
      <c r="C749" s="906"/>
      <c r="D749" s="906"/>
      <c r="E749" s="906"/>
      <c r="F749" s="940"/>
    </row>
    <row r="750">
      <c r="B750" s="906"/>
      <c r="C750" s="906"/>
      <c r="D750" s="906"/>
      <c r="E750" s="906"/>
      <c r="F750" s="940"/>
    </row>
    <row r="751">
      <c r="B751" s="906"/>
      <c r="C751" s="906"/>
      <c r="D751" s="906"/>
      <c r="E751" s="906"/>
      <c r="F751" s="940"/>
    </row>
    <row r="752">
      <c r="B752" s="906"/>
      <c r="C752" s="906"/>
      <c r="D752" s="906"/>
      <c r="E752" s="906"/>
      <c r="F752" s="940"/>
    </row>
    <row r="753">
      <c r="B753" s="906"/>
      <c r="C753" s="906"/>
      <c r="D753" s="906"/>
      <c r="E753" s="906"/>
      <c r="F753" s="940"/>
    </row>
    <row r="754">
      <c r="B754" s="906"/>
      <c r="C754" s="906"/>
      <c r="D754" s="906"/>
      <c r="E754" s="906"/>
      <c r="F754" s="940"/>
    </row>
    <row r="755">
      <c r="B755" s="906"/>
      <c r="C755" s="906"/>
      <c r="D755" s="906"/>
      <c r="E755" s="906"/>
      <c r="F755" s="940"/>
    </row>
    <row r="756">
      <c r="B756" s="906"/>
      <c r="C756" s="906"/>
      <c r="D756" s="906"/>
      <c r="E756" s="906"/>
      <c r="F756" s="940"/>
    </row>
    <row r="757">
      <c r="B757" s="906"/>
      <c r="C757" s="906"/>
      <c r="D757" s="906"/>
      <c r="E757" s="906"/>
      <c r="F757" s="940"/>
    </row>
    <row r="758">
      <c r="B758" s="906"/>
      <c r="C758" s="906"/>
      <c r="D758" s="906"/>
      <c r="E758" s="906"/>
      <c r="F758" s="940"/>
    </row>
    <row r="759">
      <c r="B759" s="906"/>
      <c r="C759" s="906"/>
      <c r="D759" s="906"/>
      <c r="E759" s="906"/>
      <c r="F759" s="940"/>
    </row>
    <row r="760">
      <c r="B760" s="906"/>
      <c r="C760" s="906"/>
      <c r="D760" s="906"/>
      <c r="E760" s="906"/>
      <c r="F760" s="940"/>
    </row>
    <row r="761">
      <c r="B761" s="906"/>
      <c r="C761" s="906"/>
      <c r="D761" s="906"/>
      <c r="E761" s="906"/>
      <c r="F761" s="940"/>
    </row>
    <row r="762">
      <c r="B762" s="906"/>
      <c r="C762" s="906"/>
      <c r="D762" s="906"/>
      <c r="E762" s="906"/>
      <c r="F762" s="940"/>
    </row>
    <row r="763">
      <c r="B763" s="906"/>
      <c r="C763" s="906"/>
      <c r="D763" s="906"/>
      <c r="E763" s="906"/>
      <c r="F763" s="940"/>
    </row>
    <row r="764">
      <c r="B764" s="906"/>
      <c r="C764" s="906"/>
      <c r="D764" s="906"/>
      <c r="E764" s="906"/>
      <c r="F764" s="940"/>
    </row>
    <row r="765">
      <c r="B765" s="906"/>
      <c r="C765" s="906"/>
      <c r="D765" s="906"/>
      <c r="E765" s="906"/>
      <c r="F765" s="940"/>
    </row>
    <row r="766">
      <c r="B766" s="906"/>
      <c r="C766" s="906"/>
      <c r="D766" s="906"/>
      <c r="E766" s="906"/>
      <c r="F766" s="940"/>
    </row>
    <row r="767">
      <c r="B767" s="906"/>
      <c r="C767" s="906"/>
      <c r="D767" s="906"/>
      <c r="E767" s="906"/>
      <c r="F767" s="940"/>
    </row>
    <row r="768">
      <c r="B768" s="906"/>
      <c r="C768" s="906"/>
      <c r="D768" s="906"/>
      <c r="E768" s="906"/>
      <c r="F768" s="940"/>
    </row>
    <row r="769">
      <c r="B769" s="906"/>
      <c r="C769" s="906"/>
      <c r="D769" s="906"/>
      <c r="E769" s="906"/>
      <c r="F769" s="940"/>
    </row>
    <row r="770">
      <c r="B770" s="906"/>
      <c r="C770" s="906"/>
      <c r="D770" s="906"/>
      <c r="E770" s="906"/>
      <c r="F770" s="940"/>
    </row>
    <row r="771">
      <c r="B771" s="906"/>
      <c r="C771" s="906"/>
      <c r="D771" s="906"/>
      <c r="E771" s="906"/>
      <c r="F771" s="940"/>
    </row>
    <row r="772">
      <c r="B772" s="906"/>
      <c r="C772" s="906"/>
      <c r="D772" s="906"/>
      <c r="E772" s="906"/>
      <c r="F772" s="940"/>
    </row>
    <row r="773">
      <c r="B773" s="906"/>
      <c r="C773" s="906"/>
      <c r="D773" s="906"/>
      <c r="E773" s="906"/>
      <c r="F773" s="940"/>
    </row>
    <row r="774">
      <c r="B774" s="906"/>
      <c r="C774" s="906"/>
      <c r="D774" s="906"/>
      <c r="E774" s="906"/>
      <c r="F774" s="940"/>
    </row>
    <row r="775">
      <c r="B775" s="906"/>
      <c r="C775" s="906"/>
      <c r="D775" s="906"/>
      <c r="E775" s="906"/>
      <c r="F775" s="940"/>
    </row>
    <row r="776">
      <c r="B776" s="906"/>
      <c r="C776" s="906"/>
      <c r="D776" s="906"/>
      <c r="E776" s="906"/>
      <c r="F776" s="940"/>
    </row>
    <row r="777">
      <c r="B777" s="906"/>
      <c r="C777" s="906"/>
      <c r="D777" s="906"/>
      <c r="E777" s="906"/>
      <c r="F777" s="940"/>
    </row>
    <row r="778">
      <c r="B778" s="906"/>
      <c r="C778" s="906"/>
      <c r="D778" s="906"/>
      <c r="E778" s="906"/>
      <c r="F778" s="940"/>
    </row>
    <row r="779">
      <c r="B779" s="906"/>
      <c r="C779" s="906"/>
      <c r="D779" s="906"/>
      <c r="E779" s="906"/>
      <c r="F779" s="940"/>
    </row>
    <row r="780">
      <c r="B780" s="906"/>
      <c r="C780" s="906"/>
      <c r="D780" s="906"/>
      <c r="E780" s="906"/>
      <c r="F780" s="940"/>
    </row>
    <row r="781">
      <c r="B781" s="906"/>
      <c r="C781" s="906"/>
      <c r="D781" s="906"/>
      <c r="E781" s="906"/>
      <c r="F781" s="940"/>
    </row>
    <row r="782">
      <c r="B782" s="906"/>
      <c r="C782" s="906"/>
      <c r="D782" s="906"/>
      <c r="E782" s="906"/>
      <c r="F782" s="940"/>
    </row>
    <row r="783">
      <c r="B783" s="906"/>
      <c r="C783" s="906"/>
      <c r="D783" s="906"/>
      <c r="E783" s="906"/>
      <c r="F783" s="940"/>
    </row>
    <row r="784">
      <c r="B784" s="906"/>
      <c r="C784" s="906"/>
      <c r="D784" s="906"/>
      <c r="E784" s="906"/>
      <c r="F784" s="940"/>
    </row>
    <row r="785">
      <c r="B785" s="906"/>
      <c r="C785" s="906"/>
      <c r="D785" s="906"/>
      <c r="E785" s="906"/>
      <c r="F785" s="940"/>
    </row>
    <row r="786">
      <c r="B786" s="906"/>
      <c r="C786" s="906"/>
      <c r="D786" s="906"/>
      <c r="E786" s="906"/>
      <c r="F786" s="940"/>
    </row>
    <row r="787">
      <c r="B787" s="906"/>
      <c r="C787" s="906"/>
      <c r="D787" s="906"/>
      <c r="E787" s="906"/>
      <c r="F787" s="940"/>
    </row>
    <row r="788">
      <c r="B788" s="906"/>
      <c r="C788" s="906"/>
      <c r="D788" s="906"/>
      <c r="E788" s="906"/>
      <c r="F788" s="940"/>
    </row>
    <row r="789">
      <c r="B789" s="906"/>
      <c r="C789" s="906"/>
      <c r="D789" s="906"/>
      <c r="E789" s="906"/>
      <c r="F789" s="940"/>
    </row>
    <row r="790">
      <c r="B790" s="906"/>
      <c r="C790" s="906"/>
      <c r="D790" s="906"/>
      <c r="E790" s="906"/>
      <c r="F790" s="940"/>
    </row>
    <row r="791">
      <c r="B791" s="906"/>
      <c r="C791" s="906"/>
      <c r="D791" s="906"/>
      <c r="E791" s="906"/>
      <c r="F791" s="940"/>
    </row>
    <row r="792">
      <c r="B792" s="906"/>
      <c r="C792" s="906"/>
      <c r="D792" s="906"/>
      <c r="E792" s="906"/>
      <c r="F792" s="940"/>
    </row>
    <row r="793">
      <c r="B793" s="906"/>
      <c r="C793" s="906"/>
      <c r="D793" s="906"/>
      <c r="E793" s="906"/>
      <c r="F793" s="940"/>
    </row>
    <row r="794">
      <c r="B794" s="906"/>
      <c r="C794" s="906"/>
      <c r="D794" s="906"/>
      <c r="E794" s="906"/>
      <c r="F794" s="940"/>
    </row>
    <row r="795">
      <c r="B795" s="906"/>
      <c r="C795" s="906"/>
      <c r="D795" s="906"/>
      <c r="E795" s="906"/>
      <c r="F795" s="940"/>
    </row>
    <row r="796">
      <c r="B796" s="906"/>
      <c r="C796" s="906"/>
      <c r="D796" s="906"/>
      <c r="E796" s="906"/>
      <c r="F796" s="940"/>
    </row>
    <row r="797">
      <c r="B797" s="906"/>
      <c r="C797" s="906"/>
      <c r="D797" s="906"/>
      <c r="E797" s="906"/>
      <c r="F797" s="940"/>
    </row>
    <row r="798">
      <c r="B798" s="906"/>
      <c r="C798" s="906"/>
      <c r="D798" s="906"/>
      <c r="E798" s="906"/>
      <c r="F798" s="940"/>
    </row>
    <row r="799">
      <c r="B799" s="906"/>
      <c r="C799" s="906"/>
      <c r="D799" s="906"/>
      <c r="E799" s="906"/>
      <c r="F799" s="940"/>
    </row>
    <row r="800">
      <c r="B800" s="906"/>
      <c r="C800" s="906"/>
      <c r="D800" s="906"/>
      <c r="E800" s="906"/>
      <c r="F800" s="940"/>
    </row>
    <row r="801">
      <c r="B801" s="906"/>
      <c r="C801" s="906"/>
      <c r="D801" s="906"/>
      <c r="E801" s="906"/>
      <c r="F801" s="940"/>
    </row>
    <row r="802">
      <c r="B802" s="906"/>
      <c r="C802" s="906"/>
      <c r="D802" s="906"/>
      <c r="E802" s="906"/>
      <c r="F802" s="940"/>
    </row>
    <row r="803">
      <c r="B803" s="906"/>
      <c r="C803" s="906"/>
      <c r="D803" s="906"/>
      <c r="E803" s="906"/>
      <c r="F803" s="940"/>
    </row>
    <row r="804">
      <c r="B804" s="906"/>
      <c r="C804" s="906"/>
      <c r="D804" s="906"/>
      <c r="E804" s="906"/>
      <c r="F804" s="940"/>
    </row>
    <row r="805">
      <c r="B805" s="906"/>
      <c r="C805" s="906"/>
      <c r="D805" s="906"/>
      <c r="E805" s="906"/>
      <c r="F805" s="940"/>
    </row>
    <row r="806">
      <c r="B806" s="906"/>
      <c r="C806" s="906"/>
      <c r="D806" s="906"/>
      <c r="E806" s="906"/>
      <c r="F806" s="940"/>
    </row>
    <row r="807">
      <c r="B807" s="906"/>
      <c r="C807" s="906"/>
      <c r="D807" s="906"/>
      <c r="E807" s="906"/>
      <c r="F807" s="940"/>
    </row>
    <row r="808">
      <c r="B808" s="906"/>
      <c r="C808" s="906"/>
      <c r="D808" s="906"/>
      <c r="E808" s="906"/>
      <c r="F808" s="940"/>
    </row>
    <row r="809">
      <c r="B809" s="906"/>
      <c r="C809" s="906"/>
      <c r="D809" s="906"/>
      <c r="E809" s="906"/>
      <c r="F809" s="940"/>
    </row>
    <row r="810">
      <c r="B810" s="906"/>
      <c r="C810" s="906"/>
      <c r="D810" s="906"/>
      <c r="E810" s="906"/>
      <c r="F810" s="940"/>
    </row>
    <row r="811">
      <c r="B811" s="906"/>
      <c r="C811" s="906"/>
      <c r="D811" s="906"/>
      <c r="E811" s="906"/>
      <c r="F811" s="940"/>
    </row>
    <row r="812">
      <c r="B812" s="906"/>
      <c r="C812" s="906"/>
      <c r="D812" s="906"/>
      <c r="E812" s="906"/>
      <c r="F812" s="940"/>
    </row>
    <row r="813">
      <c r="B813" s="906"/>
      <c r="C813" s="906"/>
      <c r="D813" s="906"/>
      <c r="E813" s="906"/>
      <c r="F813" s="940"/>
    </row>
    <row r="814">
      <c r="B814" s="906"/>
      <c r="C814" s="906"/>
      <c r="D814" s="906"/>
      <c r="E814" s="906"/>
      <c r="F814" s="940"/>
    </row>
    <row r="815">
      <c r="B815" s="906"/>
      <c r="C815" s="906"/>
      <c r="D815" s="906"/>
      <c r="E815" s="906"/>
      <c r="F815" s="940"/>
    </row>
    <row r="816">
      <c r="B816" s="906"/>
      <c r="C816" s="906"/>
      <c r="D816" s="906"/>
      <c r="E816" s="906"/>
      <c r="F816" s="940"/>
    </row>
    <row r="817">
      <c r="B817" s="906"/>
      <c r="C817" s="906"/>
      <c r="D817" s="906"/>
      <c r="E817" s="906"/>
      <c r="F817" s="940"/>
    </row>
    <row r="818">
      <c r="B818" s="906"/>
      <c r="C818" s="906"/>
      <c r="D818" s="906"/>
      <c r="E818" s="906"/>
      <c r="F818" s="940"/>
    </row>
    <row r="819">
      <c r="B819" s="906"/>
      <c r="C819" s="906"/>
      <c r="D819" s="906"/>
      <c r="E819" s="906"/>
      <c r="F819" s="940"/>
    </row>
    <row r="820">
      <c r="B820" s="906"/>
      <c r="C820" s="906"/>
      <c r="D820" s="906"/>
      <c r="E820" s="906"/>
      <c r="F820" s="940"/>
    </row>
    <row r="821">
      <c r="B821" s="906"/>
      <c r="C821" s="906"/>
      <c r="D821" s="906"/>
      <c r="E821" s="906"/>
      <c r="F821" s="940"/>
    </row>
    <row r="822">
      <c r="B822" s="906"/>
      <c r="C822" s="906"/>
      <c r="D822" s="906"/>
      <c r="E822" s="906"/>
      <c r="F822" s="940"/>
    </row>
    <row r="823">
      <c r="B823" s="906"/>
      <c r="C823" s="906"/>
      <c r="D823" s="906"/>
      <c r="E823" s="906"/>
      <c r="F823" s="940"/>
    </row>
    <row r="824">
      <c r="B824" s="906"/>
      <c r="C824" s="906"/>
      <c r="D824" s="906"/>
      <c r="E824" s="906"/>
      <c r="F824" s="940"/>
    </row>
    <row r="825">
      <c r="B825" s="906"/>
      <c r="C825" s="906"/>
      <c r="D825" s="906"/>
      <c r="E825" s="906"/>
      <c r="F825" s="940"/>
    </row>
    <row r="826">
      <c r="B826" s="906"/>
      <c r="C826" s="906"/>
      <c r="D826" s="906"/>
      <c r="E826" s="906"/>
      <c r="F826" s="940"/>
    </row>
    <row r="827">
      <c r="B827" s="906"/>
      <c r="C827" s="906"/>
      <c r="D827" s="906"/>
      <c r="E827" s="906"/>
      <c r="F827" s="940"/>
    </row>
    <row r="828">
      <c r="B828" s="906"/>
      <c r="C828" s="906"/>
      <c r="D828" s="906"/>
      <c r="E828" s="906"/>
      <c r="F828" s="940"/>
    </row>
    <row r="829">
      <c r="B829" s="906"/>
      <c r="C829" s="906"/>
      <c r="D829" s="906"/>
      <c r="E829" s="906"/>
      <c r="F829" s="940"/>
    </row>
    <row r="830">
      <c r="B830" s="906"/>
      <c r="C830" s="906"/>
      <c r="D830" s="906"/>
      <c r="E830" s="906"/>
      <c r="F830" s="940"/>
    </row>
    <row r="831">
      <c r="B831" s="906"/>
      <c r="C831" s="906"/>
      <c r="D831" s="906"/>
      <c r="E831" s="906"/>
      <c r="F831" s="940"/>
    </row>
    <row r="832">
      <c r="B832" s="906"/>
      <c r="C832" s="906"/>
      <c r="D832" s="906"/>
      <c r="E832" s="906"/>
      <c r="F832" s="940"/>
    </row>
    <row r="833">
      <c r="B833" s="906"/>
      <c r="C833" s="906"/>
      <c r="D833" s="906"/>
      <c r="E833" s="906"/>
      <c r="F833" s="940"/>
    </row>
    <row r="834">
      <c r="B834" s="906"/>
      <c r="C834" s="906"/>
      <c r="D834" s="906"/>
      <c r="E834" s="906"/>
      <c r="F834" s="940"/>
    </row>
    <row r="835">
      <c r="B835" s="906"/>
      <c r="C835" s="906"/>
      <c r="D835" s="906"/>
      <c r="E835" s="906"/>
      <c r="F835" s="940"/>
    </row>
    <row r="836">
      <c r="B836" s="906"/>
      <c r="C836" s="906"/>
      <c r="D836" s="906"/>
      <c r="E836" s="906"/>
      <c r="F836" s="940"/>
    </row>
    <row r="837">
      <c r="B837" s="906"/>
      <c r="C837" s="906"/>
      <c r="D837" s="906"/>
      <c r="E837" s="906"/>
      <c r="F837" s="940"/>
    </row>
    <row r="838">
      <c r="B838" s="906"/>
      <c r="C838" s="906"/>
      <c r="D838" s="906"/>
      <c r="E838" s="906"/>
      <c r="F838" s="940"/>
    </row>
    <row r="839">
      <c r="B839" s="906"/>
      <c r="C839" s="906"/>
      <c r="D839" s="906"/>
      <c r="E839" s="906"/>
      <c r="F839" s="940"/>
    </row>
    <row r="840">
      <c r="B840" s="906"/>
      <c r="C840" s="906"/>
      <c r="D840" s="906"/>
      <c r="E840" s="906"/>
      <c r="F840" s="940"/>
    </row>
    <row r="841">
      <c r="B841" s="906"/>
      <c r="C841" s="906"/>
      <c r="D841" s="906"/>
      <c r="E841" s="906"/>
      <c r="F841" s="940"/>
    </row>
    <row r="842">
      <c r="B842" s="906"/>
      <c r="C842" s="906"/>
      <c r="D842" s="906"/>
      <c r="E842" s="906"/>
      <c r="F842" s="940"/>
    </row>
    <row r="843">
      <c r="B843" s="906"/>
      <c r="C843" s="906"/>
      <c r="D843" s="906"/>
      <c r="E843" s="906"/>
      <c r="F843" s="940"/>
    </row>
    <row r="844">
      <c r="B844" s="906"/>
      <c r="C844" s="906"/>
      <c r="D844" s="906"/>
      <c r="E844" s="906"/>
      <c r="F844" s="940"/>
    </row>
    <row r="845">
      <c r="B845" s="906"/>
      <c r="C845" s="906"/>
      <c r="D845" s="906"/>
      <c r="E845" s="906"/>
      <c r="F845" s="940"/>
    </row>
    <row r="846">
      <c r="B846" s="906"/>
      <c r="C846" s="906"/>
      <c r="D846" s="906"/>
      <c r="E846" s="906"/>
      <c r="F846" s="940"/>
    </row>
    <row r="847">
      <c r="B847" s="906"/>
      <c r="C847" s="906"/>
      <c r="D847" s="906"/>
      <c r="E847" s="906"/>
      <c r="F847" s="940"/>
    </row>
    <row r="848">
      <c r="B848" s="906"/>
      <c r="C848" s="906"/>
      <c r="D848" s="906"/>
      <c r="E848" s="906"/>
      <c r="F848" s="940"/>
    </row>
    <row r="849">
      <c r="B849" s="906"/>
      <c r="C849" s="906"/>
      <c r="D849" s="906"/>
      <c r="E849" s="906"/>
      <c r="F849" s="940"/>
    </row>
    <row r="850">
      <c r="B850" s="906"/>
      <c r="C850" s="906"/>
      <c r="D850" s="906"/>
      <c r="E850" s="906"/>
      <c r="F850" s="940"/>
    </row>
    <row r="851">
      <c r="B851" s="906"/>
      <c r="C851" s="906"/>
      <c r="D851" s="906"/>
      <c r="E851" s="906"/>
      <c r="F851" s="940"/>
    </row>
    <row r="852">
      <c r="B852" s="906"/>
      <c r="C852" s="906"/>
      <c r="D852" s="906"/>
      <c r="E852" s="906"/>
      <c r="F852" s="940"/>
    </row>
    <row r="853">
      <c r="B853" s="906"/>
      <c r="C853" s="906"/>
      <c r="D853" s="906"/>
      <c r="E853" s="906"/>
      <c r="F853" s="940"/>
    </row>
    <row r="854">
      <c r="B854" s="906"/>
      <c r="C854" s="906"/>
      <c r="D854" s="906"/>
      <c r="E854" s="906"/>
      <c r="F854" s="940"/>
    </row>
    <row r="855">
      <c r="B855" s="906"/>
      <c r="C855" s="906"/>
      <c r="D855" s="906"/>
      <c r="E855" s="906"/>
      <c r="F855" s="940"/>
    </row>
    <row r="856">
      <c r="B856" s="906"/>
      <c r="C856" s="906"/>
      <c r="D856" s="906"/>
      <c r="E856" s="906"/>
      <c r="F856" s="940"/>
    </row>
    <row r="857">
      <c r="B857" s="906"/>
      <c r="C857" s="906"/>
      <c r="D857" s="906"/>
      <c r="E857" s="906"/>
      <c r="F857" s="940"/>
    </row>
    <row r="858">
      <c r="B858" s="906"/>
      <c r="C858" s="906"/>
      <c r="D858" s="906"/>
      <c r="E858" s="906"/>
      <c r="F858" s="940"/>
    </row>
    <row r="859">
      <c r="B859" s="906"/>
      <c r="C859" s="906"/>
      <c r="D859" s="906"/>
      <c r="E859" s="906"/>
      <c r="F859" s="940"/>
    </row>
    <row r="860">
      <c r="B860" s="906"/>
      <c r="C860" s="906"/>
      <c r="D860" s="906"/>
      <c r="E860" s="906"/>
      <c r="F860" s="940"/>
    </row>
    <row r="861">
      <c r="B861" s="906"/>
      <c r="C861" s="906"/>
      <c r="D861" s="906"/>
      <c r="E861" s="906"/>
      <c r="F861" s="940"/>
    </row>
    <row r="862">
      <c r="B862" s="906"/>
      <c r="C862" s="906"/>
      <c r="D862" s="906"/>
      <c r="E862" s="906"/>
      <c r="F862" s="940"/>
    </row>
    <row r="863">
      <c r="B863" s="906"/>
      <c r="C863" s="906"/>
      <c r="D863" s="906"/>
      <c r="E863" s="906"/>
      <c r="F863" s="940"/>
    </row>
    <row r="864">
      <c r="B864" s="906"/>
      <c r="C864" s="906"/>
      <c r="D864" s="906"/>
      <c r="E864" s="906"/>
      <c r="F864" s="940"/>
    </row>
    <row r="865">
      <c r="B865" s="906"/>
      <c r="C865" s="906"/>
      <c r="D865" s="906"/>
      <c r="E865" s="906"/>
      <c r="F865" s="940"/>
    </row>
    <row r="866">
      <c r="B866" s="906"/>
      <c r="C866" s="906"/>
      <c r="D866" s="906"/>
      <c r="E866" s="906"/>
      <c r="F866" s="940"/>
    </row>
    <row r="867">
      <c r="B867" s="906"/>
      <c r="C867" s="906"/>
      <c r="D867" s="906"/>
      <c r="E867" s="906"/>
      <c r="F867" s="940"/>
    </row>
    <row r="868">
      <c r="B868" s="906"/>
      <c r="C868" s="906"/>
      <c r="D868" s="906"/>
      <c r="E868" s="906"/>
      <c r="F868" s="940"/>
    </row>
    <row r="869">
      <c r="B869" s="906"/>
      <c r="C869" s="906"/>
      <c r="D869" s="906"/>
      <c r="E869" s="906"/>
      <c r="F869" s="940"/>
    </row>
    <row r="870">
      <c r="B870" s="906"/>
      <c r="C870" s="906"/>
      <c r="D870" s="906"/>
      <c r="E870" s="906"/>
      <c r="F870" s="940"/>
    </row>
    <row r="871">
      <c r="B871" s="906"/>
      <c r="C871" s="906"/>
      <c r="D871" s="906"/>
      <c r="E871" s="906"/>
      <c r="F871" s="940"/>
    </row>
    <row r="872">
      <c r="B872" s="906"/>
      <c r="C872" s="906"/>
      <c r="D872" s="906"/>
      <c r="E872" s="906"/>
      <c r="F872" s="940"/>
    </row>
    <row r="873">
      <c r="B873" s="906"/>
      <c r="C873" s="906"/>
      <c r="D873" s="906"/>
      <c r="E873" s="906"/>
      <c r="F873" s="940"/>
    </row>
    <row r="874">
      <c r="B874" s="906"/>
      <c r="C874" s="906"/>
      <c r="D874" s="906"/>
      <c r="E874" s="906"/>
      <c r="F874" s="940"/>
    </row>
    <row r="875">
      <c r="B875" s="906"/>
      <c r="C875" s="906"/>
      <c r="D875" s="906"/>
      <c r="E875" s="906"/>
      <c r="F875" s="940"/>
    </row>
    <row r="876">
      <c r="B876" s="906"/>
      <c r="C876" s="906"/>
      <c r="D876" s="906"/>
      <c r="E876" s="906"/>
      <c r="F876" s="940"/>
    </row>
    <row r="877">
      <c r="B877" s="906"/>
      <c r="C877" s="906"/>
      <c r="D877" s="906"/>
      <c r="E877" s="906"/>
      <c r="F877" s="940"/>
    </row>
    <row r="878">
      <c r="B878" s="906"/>
      <c r="C878" s="906"/>
      <c r="D878" s="906"/>
      <c r="E878" s="906"/>
      <c r="F878" s="940"/>
    </row>
    <row r="879">
      <c r="B879" s="906"/>
      <c r="C879" s="906"/>
      <c r="D879" s="906"/>
      <c r="E879" s="906"/>
      <c r="F879" s="940"/>
    </row>
    <row r="880">
      <c r="B880" s="906"/>
      <c r="C880" s="906"/>
      <c r="D880" s="906"/>
      <c r="E880" s="906"/>
      <c r="F880" s="940"/>
    </row>
    <row r="881">
      <c r="B881" s="906"/>
      <c r="C881" s="906"/>
      <c r="D881" s="906"/>
      <c r="E881" s="906"/>
      <c r="F881" s="940"/>
    </row>
    <row r="882">
      <c r="B882" s="906"/>
      <c r="C882" s="906"/>
      <c r="D882" s="906"/>
      <c r="E882" s="906"/>
      <c r="F882" s="940"/>
    </row>
    <row r="883">
      <c r="B883" s="906"/>
      <c r="C883" s="906"/>
      <c r="D883" s="906"/>
      <c r="E883" s="906"/>
      <c r="F883" s="940"/>
    </row>
    <row r="884">
      <c r="B884" s="906"/>
      <c r="C884" s="906"/>
      <c r="D884" s="906"/>
      <c r="E884" s="906"/>
      <c r="F884" s="940"/>
    </row>
    <row r="885">
      <c r="B885" s="906"/>
      <c r="C885" s="906"/>
      <c r="D885" s="906"/>
      <c r="E885" s="906"/>
      <c r="F885" s="940"/>
    </row>
    <row r="886">
      <c r="B886" s="906"/>
      <c r="C886" s="906"/>
      <c r="D886" s="906"/>
      <c r="E886" s="906"/>
      <c r="F886" s="940"/>
    </row>
    <row r="887">
      <c r="B887" s="906"/>
      <c r="C887" s="906"/>
      <c r="D887" s="906"/>
      <c r="E887" s="906"/>
      <c r="F887" s="940"/>
    </row>
    <row r="888">
      <c r="B888" s="906"/>
      <c r="C888" s="906"/>
      <c r="D888" s="906"/>
      <c r="E888" s="906"/>
      <c r="F888" s="940"/>
    </row>
    <row r="889">
      <c r="B889" s="906"/>
      <c r="C889" s="906"/>
      <c r="D889" s="906"/>
      <c r="E889" s="906"/>
      <c r="F889" s="940"/>
    </row>
    <row r="890">
      <c r="B890" s="906"/>
      <c r="C890" s="906"/>
      <c r="D890" s="906"/>
      <c r="E890" s="906"/>
      <c r="F890" s="940"/>
    </row>
    <row r="891">
      <c r="B891" s="906"/>
      <c r="C891" s="906"/>
      <c r="D891" s="906"/>
      <c r="E891" s="906"/>
      <c r="F891" s="940"/>
    </row>
    <row r="892">
      <c r="B892" s="906"/>
      <c r="C892" s="906"/>
      <c r="D892" s="906"/>
      <c r="E892" s="906"/>
      <c r="F892" s="940"/>
    </row>
    <row r="893">
      <c r="B893" s="906"/>
      <c r="C893" s="906"/>
      <c r="D893" s="906"/>
      <c r="E893" s="906"/>
      <c r="F893" s="940"/>
    </row>
    <row r="894">
      <c r="B894" s="906"/>
      <c r="C894" s="906"/>
      <c r="D894" s="906"/>
      <c r="E894" s="906"/>
      <c r="F894" s="940"/>
    </row>
    <row r="895">
      <c r="B895" s="906"/>
      <c r="C895" s="906"/>
      <c r="D895" s="906"/>
      <c r="E895" s="906"/>
      <c r="F895" s="940"/>
    </row>
    <row r="896">
      <c r="B896" s="906"/>
      <c r="C896" s="906"/>
      <c r="D896" s="906"/>
      <c r="E896" s="906"/>
      <c r="F896" s="940"/>
    </row>
    <row r="897">
      <c r="B897" s="906"/>
      <c r="C897" s="906"/>
      <c r="D897" s="906"/>
      <c r="E897" s="906"/>
      <c r="F897" s="940"/>
    </row>
    <row r="898">
      <c r="B898" s="906"/>
      <c r="C898" s="906"/>
      <c r="D898" s="906"/>
      <c r="E898" s="906"/>
      <c r="F898" s="940"/>
    </row>
    <row r="899">
      <c r="B899" s="906"/>
      <c r="C899" s="906"/>
      <c r="D899" s="906"/>
      <c r="E899" s="906"/>
      <c r="F899" s="940"/>
    </row>
    <row r="900">
      <c r="B900" s="906"/>
      <c r="C900" s="906"/>
      <c r="D900" s="906"/>
      <c r="E900" s="906"/>
      <c r="F900" s="940"/>
    </row>
    <row r="901">
      <c r="B901" s="906"/>
      <c r="C901" s="906"/>
      <c r="D901" s="906"/>
      <c r="E901" s="906"/>
      <c r="F901" s="940"/>
    </row>
    <row r="902">
      <c r="B902" s="906"/>
      <c r="C902" s="906"/>
      <c r="D902" s="906"/>
      <c r="E902" s="906"/>
      <c r="F902" s="940"/>
    </row>
    <row r="903">
      <c r="B903" s="906"/>
      <c r="C903" s="906"/>
      <c r="D903" s="906"/>
      <c r="E903" s="906"/>
      <c r="F903" s="940"/>
    </row>
    <row r="904">
      <c r="B904" s="906"/>
      <c r="C904" s="906"/>
      <c r="D904" s="906"/>
      <c r="E904" s="906"/>
      <c r="F904" s="940"/>
    </row>
    <row r="905">
      <c r="B905" s="906"/>
      <c r="C905" s="906"/>
      <c r="D905" s="906"/>
      <c r="E905" s="906"/>
      <c r="F905" s="940"/>
    </row>
    <row r="906">
      <c r="B906" s="906"/>
      <c r="C906" s="906"/>
      <c r="D906" s="906"/>
      <c r="E906" s="906"/>
      <c r="F906" s="940"/>
    </row>
    <row r="907">
      <c r="B907" s="906"/>
      <c r="C907" s="906"/>
      <c r="D907" s="906"/>
      <c r="E907" s="906"/>
      <c r="F907" s="940"/>
    </row>
    <row r="908">
      <c r="B908" s="906"/>
      <c r="C908" s="906"/>
      <c r="D908" s="906"/>
      <c r="E908" s="906"/>
      <c r="F908" s="940"/>
    </row>
    <row r="909">
      <c r="B909" s="906"/>
      <c r="C909" s="906"/>
      <c r="D909" s="906"/>
      <c r="E909" s="906"/>
      <c r="F909" s="940"/>
    </row>
    <row r="910">
      <c r="B910" s="906"/>
      <c r="C910" s="906"/>
      <c r="D910" s="906"/>
      <c r="E910" s="906"/>
      <c r="F910" s="940"/>
    </row>
    <row r="911">
      <c r="B911" s="906"/>
      <c r="C911" s="906"/>
      <c r="D911" s="906"/>
      <c r="E911" s="906"/>
      <c r="F911" s="940"/>
    </row>
    <row r="912">
      <c r="B912" s="906"/>
      <c r="C912" s="906"/>
      <c r="D912" s="906"/>
      <c r="E912" s="906"/>
      <c r="F912" s="940"/>
    </row>
    <row r="913">
      <c r="B913" s="906"/>
      <c r="C913" s="906"/>
      <c r="D913" s="906"/>
      <c r="E913" s="906"/>
      <c r="F913" s="940"/>
    </row>
    <row r="914">
      <c r="B914" s="906"/>
      <c r="C914" s="906"/>
      <c r="D914" s="906"/>
      <c r="E914" s="906"/>
      <c r="F914" s="940"/>
    </row>
    <row r="915">
      <c r="B915" s="906"/>
      <c r="C915" s="906"/>
      <c r="D915" s="906"/>
      <c r="E915" s="906"/>
      <c r="F915" s="940"/>
    </row>
    <row r="916">
      <c r="B916" s="906"/>
      <c r="C916" s="906"/>
      <c r="D916" s="906"/>
      <c r="E916" s="906"/>
      <c r="F916" s="940"/>
    </row>
    <row r="917">
      <c r="B917" s="906"/>
      <c r="C917" s="906"/>
      <c r="D917" s="906"/>
      <c r="E917" s="906"/>
      <c r="F917" s="940"/>
    </row>
    <row r="918">
      <c r="B918" s="906"/>
      <c r="C918" s="906"/>
      <c r="D918" s="906"/>
      <c r="E918" s="906"/>
      <c r="F918" s="940"/>
    </row>
    <row r="919">
      <c r="B919" s="906"/>
      <c r="C919" s="906"/>
      <c r="D919" s="906"/>
      <c r="E919" s="906"/>
      <c r="F919" s="940"/>
    </row>
    <row r="920">
      <c r="B920" s="906"/>
      <c r="C920" s="906"/>
      <c r="D920" s="906"/>
      <c r="E920" s="906"/>
      <c r="F920" s="940"/>
    </row>
    <row r="921">
      <c r="B921" s="906"/>
      <c r="C921" s="906"/>
      <c r="D921" s="906"/>
      <c r="E921" s="906"/>
      <c r="F921" s="940"/>
    </row>
    <row r="922">
      <c r="B922" s="906"/>
      <c r="C922" s="906"/>
      <c r="D922" s="906"/>
      <c r="E922" s="906"/>
      <c r="F922" s="940"/>
    </row>
    <row r="923">
      <c r="B923" s="906"/>
      <c r="C923" s="906"/>
      <c r="D923" s="906"/>
      <c r="E923" s="906"/>
      <c r="F923" s="940"/>
    </row>
    <row r="924">
      <c r="B924" s="906"/>
      <c r="C924" s="906"/>
      <c r="D924" s="906"/>
      <c r="E924" s="906"/>
      <c r="F924" s="940"/>
    </row>
    <row r="925">
      <c r="B925" s="906"/>
      <c r="C925" s="906"/>
      <c r="D925" s="906"/>
      <c r="E925" s="906"/>
      <c r="F925" s="940"/>
    </row>
    <row r="926">
      <c r="B926" s="906"/>
      <c r="C926" s="906"/>
      <c r="D926" s="906"/>
      <c r="E926" s="906"/>
      <c r="F926" s="940"/>
    </row>
    <row r="927">
      <c r="B927" s="906"/>
      <c r="C927" s="906"/>
      <c r="D927" s="906"/>
      <c r="E927" s="906"/>
      <c r="F927" s="940"/>
    </row>
    <row r="928">
      <c r="B928" s="906"/>
      <c r="C928" s="906"/>
      <c r="D928" s="906"/>
      <c r="E928" s="906"/>
      <c r="F928" s="940"/>
    </row>
    <row r="929">
      <c r="B929" s="906"/>
      <c r="C929" s="906"/>
      <c r="D929" s="906"/>
      <c r="E929" s="906"/>
      <c r="F929" s="940"/>
    </row>
    <row r="930">
      <c r="B930" s="906"/>
      <c r="C930" s="906"/>
      <c r="D930" s="906"/>
      <c r="E930" s="906"/>
      <c r="F930" s="940"/>
    </row>
    <row r="931">
      <c r="B931" s="906"/>
      <c r="C931" s="906"/>
      <c r="D931" s="906"/>
      <c r="E931" s="906"/>
      <c r="F931" s="940"/>
    </row>
    <row r="932">
      <c r="B932" s="906"/>
      <c r="C932" s="906"/>
      <c r="D932" s="906"/>
      <c r="E932" s="906"/>
      <c r="F932" s="940"/>
    </row>
    <row r="933">
      <c r="B933" s="906"/>
      <c r="C933" s="906"/>
      <c r="D933" s="906"/>
      <c r="E933" s="906"/>
      <c r="F933" s="940"/>
    </row>
    <row r="934">
      <c r="B934" s="906"/>
      <c r="C934" s="906"/>
      <c r="D934" s="906"/>
      <c r="E934" s="906"/>
      <c r="F934" s="940"/>
    </row>
    <row r="935">
      <c r="B935" s="906"/>
      <c r="C935" s="906"/>
      <c r="D935" s="906"/>
      <c r="E935" s="906"/>
      <c r="F935" s="940"/>
    </row>
    <row r="936">
      <c r="B936" s="906"/>
      <c r="C936" s="906"/>
      <c r="D936" s="906"/>
      <c r="E936" s="906"/>
      <c r="F936" s="940"/>
    </row>
    <row r="937">
      <c r="B937" s="906"/>
      <c r="C937" s="906"/>
      <c r="D937" s="906"/>
      <c r="E937" s="906"/>
      <c r="F937" s="940"/>
    </row>
    <row r="938">
      <c r="B938" s="906"/>
      <c r="C938" s="906"/>
      <c r="D938" s="906"/>
      <c r="E938" s="906"/>
      <c r="F938" s="940"/>
    </row>
    <row r="939">
      <c r="B939" s="906"/>
      <c r="C939" s="906"/>
      <c r="D939" s="906"/>
      <c r="E939" s="906"/>
      <c r="F939" s="940"/>
    </row>
    <row r="940">
      <c r="B940" s="906"/>
      <c r="C940" s="906"/>
      <c r="D940" s="906"/>
      <c r="E940" s="906"/>
      <c r="F940" s="940"/>
    </row>
    <row r="941">
      <c r="B941" s="906"/>
      <c r="C941" s="906"/>
      <c r="D941" s="906"/>
      <c r="E941" s="906"/>
      <c r="F941" s="940"/>
    </row>
    <row r="942">
      <c r="B942" s="906"/>
      <c r="C942" s="906"/>
      <c r="D942" s="906"/>
      <c r="E942" s="906"/>
      <c r="F942" s="940"/>
    </row>
    <row r="943">
      <c r="B943" s="906"/>
      <c r="C943" s="906"/>
      <c r="D943" s="906"/>
      <c r="E943" s="906"/>
      <c r="F943" s="940"/>
    </row>
    <row r="944">
      <c r="B944" s="906"/>
      <c r="C944" s="906"/>
      <c r="D944" s="906"/>
      <c r="E944" s="906"/>
      <c r="F944" s="940"/>
    </row>
    <row r="945">
      <c r="B945" s="906"/>
      <c r="C945" s="906"/>
      <c r="D945" s="906"/>
      <c r="E945" s="906"/>
      <c r="F945" s="940"/>
    </row>
    <row r="946">
      <c r="B946" s="906"/>
      <c r="C946" s="906"/>
      <c r="D946" s="906"/>
      <c r="E946" s="906"/>
      <c r="F946" s="940"/>
    </row>
    <row r="947">
      <c r="B947" s="906"/>
      <c r="C947" s="906"/>
      <c r="D947" s="906"/>
      <c r="E947" s="906"/>
      <c r="F947" s="940"/>
    </row>
    <row r="948">
      <c r="B948" s="906"/>
      <c r="C948" s="906"/>
      <c r="D948" s="906"/>
      <c r="E948" s="906"/>
      <c r="F948" s="940"/>
    </row>
    <row r="949">
      <c r="B949" s="906"/>
      <c r="C949" s="906"/>
      <c r="D949" s="906"/>
      <c r="E949" s="906"/>
      <c r="F949" s="940"/>
    </row>
    <row r="950">
      <c r="B950" s="906"/>
      <c r="C950" s="906"/>
      <c r="D950" s="906"/>
      <c r="E950" s="906"/>
      <c r="F950" s="940"/>
    </row>
    <row r="951">
      <c r="B951" s="906"/>
      <c r="C951" s="906"/>
      <c r="D951" s="906"/>
      <c r="E951" s="906"/>
      <c r="F951" s="940"/>
    </row>
    <row r="952">
      <c r="B952" s="906"/>
      <c r="C952" s="906"/>
      <c r="D952" s="906"/>
      <c r="E952" s="906"/>
      <c r="F952" s="940"/>
    </row>
    <row r="953">
      <c r="B953" s="906"/>
      <c r="C953" s="906"/>
      <c r="D953" s="906"/>
      <c r="E953" s="906"/>
      <c r="F953" s="940"/>
    </row>
    <row r="954">
      <c r="B954" s="906"/>
      <c r="C954" s="906"/>
      <c r="D954" s="906"/>
      <c r="E954" s="906"/>
      <c r="F954" s="940"/>
    </row>
    <row r="955">
      <c r="B955" s="906"/>
      <c r="C955" s="906"/>
      <c r="D955" s="906"/>
      <c r="E955" s="906"/>
      <c r="F955" s="940"/>
    </row>
    <row r="956">
      <c r="B956" s="906"/>
      <c r="C956" s="906"/>
      <c r="D956" s="906"/>
      <c r="E956" s="906"/>
      <c r="F956" s="940"/>
    </row>
    <row r="957">
      <c r="B957" s="906"/>
      <c r="C957" s="906"/>
      <c r="D957" s="906"/>
      <c r="E957" s="906"/>
      <c r="F957" s="940"/>
    </row>
    <row r="958">
      <c r="B958" s="906"/>
      <c r="C958" s="906"/>
      <c r="D958" s="906"/>
      <c r="E958" s="906"/>
      <c r="F958" s="940"/>
    </row>
    <row r="959">
      <c r="B959" s="906"/>
      <c r="C959" s="906"/>
      <c r="D959" s="906"/>
      <c r="E959" s="906"/>
      <c r="F959" s="940"/>
    </row>
    <row r="960">
      <c r="B960" s="906"/>
      <c r="C960" s="906"/>
      <c r="D960" s="906"/>
      <c r="E960" s="906"/>
      <c r="F960" s="940"/>
    </row>
    <row r="961">
      <c r="B961" s="906"/>
      <c r="C961" s="906"/>
      <c r="D961" s="906"/>
      <c r="E961" s="906"/>
      <c r="F961" s="940"/>
    </row>
    <row r="962">
      <c r="B962" s="906"/>
      <c r="C962" s="906"/>
      <c r="D962" s="906"/>
      <c r="E962" s="906"/>
      <c r="F962" s="940"/>
    </row>
    <row r="963">
      <c r="B963" s="906"/>
      <c r="C963" s="906"/>
      <c r="D963" s="906"/>
      <c r="E963" s="906"/>
      <c r="F963" s="940"/>
    </row>
    <row r="964">
      <c r="B964" s="906"/>
      <c r="C964" s="906"/>
      <c r="D964" s="906"/>
      <c r="E964" s="906"/>
      <c r="F964" s="940"/>
    </row>
    <row r="965">
      <c r="B965" s="906"/>
      <c r="C965" s="906"/>
      <c r="D965" s="906"/>
      <c r="E965" s="906"/>
      <c r="F965" s="940"/>
    </row>
    <row r="966">
      <c r="B966" s="906"/>
      <c r="C966" s="906"/>
      <c r="D966" s="906"/>
      <c r="E966" s="906"/>
      <c r="F966" s="940"/>
    </row>
    <row r="967">
      <c r="B967" s="906"/>
      <c r="C967" s="906"/>
      <c r="D967" s="906"/>
      <c r="E967" s="906"/>
      <c r="F967" s="940"/>
    </row>
    <row r="968">
      <c r="B968" s="906"/>
      <c r="C968" s="906"/>
      <c r="D968" s="906"/>
      <c r="E968" s="906"/>
      <c r="F968" s="940"/>
    </row>
    <row r="969">
      <c r="B969" s="906"/>
      <c r="C969" s="906"/>
      <c r="D969" s="906"/>
      <c r="E969" s="906"/>
      <c r="F969" s="940"/>
    </row>
    <row r="970">
      <c r="B970" s="906"/>
      <c r="C970" s="906"/>
      <c r="D970" s="906"/>
      <c r="E970" s="906"/>
      <c r="F970" s="940"/>
    </row>
    <row r="971">
      <c r="B971" s="906"/>
      <c r="C971" s="906"/>
      <c r="D971" s="906"/>
      <c r="E971" s="906"/>
      <c r="F971" s="940"/>
    </row>
    <row r="972">
      <c r="B972" s="906"/>
      <c r="C972" s="906"/>
      <c r="D972" s="906"/>
      <c r="E972" s="906"/>
      <c r="F972" s="940"/>
    </row>
    <row r="973">
      <c r="B973" s="906"/>
      <c r="C973" s="906"/>
      <c r="D973" s="906"/>
      <c r="E973" s="906"/>
      <c r="F973" s="940"/>
    </row>
    <row r="974">
      <c r="B974" s="906"/>
      <c r="C974" s="906"/>
      <c r="D974" s="906"/>
      <c r="E974" s="906"/>
      <c r="F974" s="940"/>
    </row>
    <row r="975">
      <c r="B975" s="906"/>
      <c r="C975" s="906"/>
      <c r="D975" s="906"/>
      <c r="E975" s="906"/>
      <c r="F975" s="940"/>
    </row>
    <row r="976">
      <c r="B976" s="906"/>
      <c r="C976" s="906"/>
      <c r="D976" s="906"/>
      <c r="E976" s="906"/>
      <c r="F976" s="940"/>
    </row>
    <row r="977">
      <c r="B977" s="906"/>
      <c r="C977" s="906"/>
      <c r="D977" s="906"/>
      <c r="E977" s="906"/>
      <c r="F977" s="940"/>
    </row>
    <row r="978">
      <c r="B978" s="906"/>
      <c r="C978" s="906"/>
      <c r="D978" s="906"/>
      <c r="E978" s="906"/>
      <c r="F978" s="940"/>
    </row>
    <row r="979">
      <c r="B979" s="906"/>
      <c r="C979" s="906"/>
      <c r="D979" s="906"/>
      <c r="E979" s="906"/>
      <c r="F979" s="940"/>
    </row>
    <row r="980">
      <c r="B980" s="906"/>
      <c r="C980" s="906"/>
      <c r="D980" s="906"/>
      <c r="E980" s="906"/>
      <c r="F980" s="940"/>
    </row>
    <row r="981">
      <c r="B981" s="906"/>
      <c r="C981" s="906"/>
      <c r="D981" s="906"/>
      <c r="E981" s="906"/>
      <c r="F981" s="940"/>
    </row>
    <row r="982">
      <c r="B982" s="906"/>
      <c r="C982" s="906"/>
      <c r="D982" s="906"/>
      <c r="E982" s="906"/>
      <c r="F982" s="940"/>
    </row>
    <row r="983">
      <c r="B983" s="906"/>
      <c r="C983" s="906"/>
      <c r="D983" s="906"/>
      <c r="E983" s="906"/>
      <c r="F983" s="940"/>
    </row>
    <row r="984">
      <c r="B984" s="906"/>
      <c r="C984" s="906"/>
      <c r="D984" s="906"/>
      <c r="E984" s="906"/>
      <c r="F984" s="940"/>
    </row>
    <row r="985">
      <c r="B985" s="906"/>
      <c r="C985" s="906"/>
      <c r="D985" s="906"/>
      <c r="E985" s="906"/>
      <c r="F985" s="940"/>
    </row>
    <row r="986">
      <c r="B986" s="906"/>
      <c r="C986" s="906"/>
      <c r="D986" s="906"/>
      <c r="E986" s="906"/>
      <c r="F986" s="940"/>
    </row>
    <row r="987">
      <c r="B987" s="906"/>
      <c r="C987" s="906"/>
      <c r="D987" s="906"/>
      <c r="E987" s="906"/>
      <c r="F987" s="940"/>
    </row>
    <row r="988">
      <c r="B988" s="906"/>
      <c r="C988" s="906"/>
      <c r="D988" s="906"/>
      <c r="E988" s="906"/>
      <c r="F988" s="940"/>
    </row>
    <row r="989">
      <c r="B989" s="906"/>
      <c r="C989" s="906"/>
      <c r="D989" s="906"/>
      <c r="E989" s="906"/>
      <c r="F989" s="940"/>
    </row>
    <row r="990">
      <c r="B990" s="906"/>
      <c r="C990" s="906"/>
      <c r="D990" s="906"/>
      <c r="E990" s="906"/>
      <c r="F990" s="940"/>
    </row>
    <row r="991">
      <c r="B991" s="906"/>
      <c r="C991" s="906"/>
      <c r="D991" s="906"/>
      <c r="E991" s="906"/>
      <c r="F991" s="940"/>
    </row>
    <row r="992">
      <c r="B992" s="906"/>
      <c r="C992" s="906"/>
      <c r="D992" s="906"/>
      <c r="E992" s="906"/>
      <c r="F992" s="940"/>
    </row>
    <row r="993">
      <c r="B993" s="906"/>
      <c r="C993" s="906"/>
      <c r="D993" s="906"/>
      <c r="E993" s="906"/>
      <c r="F993" s="940"/>
    </row>
    <row r="994">
      <c r="B994" s="906"/>
      <c r="C994" s="906"/>
      <c r="D994" s="906"/>
      <c r="E994" s="906"/>
      <c r="F994" s="940"/>
    </row>
    <row r="995">
      <c r="B995" s="906"/>
      <c r="C995" s="906"/>
      <c r="D995" s="906"/>
      <c r="E995" s="906"/>
      <c r="F995" s="940"/>
    </row>
    <row r="996">
      <c r="B996" s="906"/>
      <c r="C996" s="906"/>
      <c r="D996" s="906"/>
      <c r="E996" s="906"/>
      <c r="F996" s="940"/>
    </row>
    <row r="997">
      <c r="B997" s="906"/>
      <c r="C997" s="906"/>
      <c r="D997" s="906"/>
      <c r="E997" s="906"/>
      <c r="F997" s="940"/>
    </row>
    <row r="998">
      <c r="B998" s="906"/>
      <c r="C998" s="906"/>
      <c r="D998" s="906"/>
      <c r="E998" s="906"/>
      <c r="F998" s="940"/>
    </row>
    <row r="999">
      <c r="B999" s="906"/>
      <c r="C999" s="906"/>
      <c r="D999" s="906"/>
      <c r="E999" s="906"/>
      <c r="F999" s="940"/>
    </row>
    <row r="1000">
      <c r="B1000" s="906"/>
      <c r="C1000" s="906"/>
      <c r="D1000" s="906"/>
      <c r="E1000" s="906"/>
      <c r="F1000" s="94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11"/>
    <col customWidth="1" min="2" max="2" width="35.78"/>
    <col customWidth="1" min="3" max="3" width="17.11"/>
    <col customWidth="1" min="4" max="4" width="11.11"/>
    <col customWidth="1" min="5" max="5" width="10.67"/>
    <col customWidth="1" min="7" max="7" width="10.0"/>
    <col customWidth="1" min="8" max="8" width="9.89"/>
    <col customWidth="1" min="9" max="9" width="4.78"/>
    <col customWidth="1" min="10" max="10" width="9.89"/>
    <col customWidth="1" min="11" max="11" width="13.33"/>
    <col customWidth="1" min="12" max="12" width="66.67"/>
    <col customWidth="1" min="13" max="26" width="10.56"/>
  </cols>
  <sheetData>
    <row r="1">
      <c r="A1" s="941" t="s">
        <v>2812</v>
      </c>
      <c r="B1" s="941" t="s">
        <v>2</v>
      </c>
      <c r="C1" s="941" t="s">
        <v>4</v>
      </c>
      <c r="D1" s="941" t="s">
        <v>5</v>
      </c>
      <c r="E1" s="574" t="s">
        <v>8</v>
      </c>
      <c r="F1" s="574" t="s">
        <v>9</v>
      </c>
      <c r="G1" s="575" t="s">
        <v>2813</v>
      </c>
      <c r="H1" s="574" t="s">
        <v>11</v>
      </c>
      <c r="I1" s="578" t="s">
        <v>2814</v>
      </c>
      <c r="J1" s="576" t="s">
        <v>14</v>
      </c>
      <c r="K1" s="577" t="s">
        <v>15</v>
      </c>
      <c r="L1" s="578" t="s">
        <v>2815</v>
      </c>
      <c r="M1" s="485"/>
      <c r="N1" s="485"/>
      <c r="O1" s="485"/>
      <c r="P1" s="485"/>
      <c r="Q1" s="485"/>
      <c r="R1" s="485"/>
      <c r="S1" s="485"/>
      <c r="T1" s="485"/>
      <c r="U1" s="485"/>
      <c r="V1" s="485"/>
      <c r="W1" s="485"/>
      <c r="X1" s="485"/>
      <c r="Y1" s="485"/>
      <c r="Z1" s="485"/>
    </row>
    <row r="2">
      <c r="A2" s="614" t="s">
        <v>2823</v>
      </c>
      <c r="B2" s="594" t="s">
        <v>3798</v>
      </c>
      <c r="C2" s="581"/>
      <c r="D2" s="581" t="s">
        <v>76</v>
      </c>
      <c r="E2" s="583">
        <v>45567.0</v>
      </c>
      <c r="F2" s="583">
        <v>45567.0</v>
      </c>
      <c r="G2" s="583">
        <v>45568.0</v>
      </c>
      <c r="H2" s="583">
        <v>45569.0</v>
      </c>
      <c r="I2" s="585">
        <f>IF(ISBLANK(H2), NETWORKDAYS(F2, TODAY(),fESTIVOS!$A$1:$A$18), NETWORKDAYS(F2, H2, fESTIVOS!$A$1:$A$18))</f>
        <v>3</v>
      </c>
      <c r="J2" s="583">
        <v>45572.0</v>
      </c>
      <c r="K2" s="582"/>
      <c r="L2" s="586" t="s">
        <v>3799</v>
      </c>
      <c r="M2" s="485"/>
      <c r="N2" s="485"/>
      <c r="O2" s="485"/>
      <c r="P2" s="485"/>
      <c r="Q2" s="485"/>
      <c r="R2" s="485"/>
      <c r="S2" s="485"/>
      <c r="T2" s="485"/>
      <c r="U2" s="485"/>
      <c r="V2" s="485"/>
      <c r="W2" s="485"/>
      <c r="X2" s="485"/>
      <c r="Y2" s="485"/>
      <c r="Z2" s="485"/>
    </row>
    <row r="3">
      <c r="A3" s="614" t="s">
        <v>2938</v>
      </c>
      <c r="B3" s="942" t="s">
        <v>3146</v>
      </c>
      <c r="C3" s="590" t="s">
        <v>3147</v>
      </c>
      <c r="D3" s="581" t="s">
        <v>229</v>
      </c>
      <c r="E3" s="583">
        <v>45575.0</v>
      </c>
      <c r="F3" s="583"/>
      <c r="G3" s="583"/>
      <c r="H3" s="582">
        <v>0.0</v>
      </c>
      <c r="I3" s="585">
        <f>IF(ISBLANK(H3), NETWORKDAYS(F3, TODAY(),fESTIVOS!$A$1:$A$18), NETWORKDAYS(F3, H3, fESTIVOS!$A$1:$A$18))</f>
        <v>0</v>
      </c>
      <c r="J3" s="583">
        <v>45569.0</v>
      </c>
      <c r="K3" s="583"/>
      <c r="L3" s="586" t="s">
        <v>3800</v>
      </c>
      <c r="M3" s="943"/>
      <c r="N3" s="485"/>
      <c r="O3" s="485"/>
      <c r="P3" s="485"/>
      <c r="Q3" s="485"/>
      <c r="R3" s="485"/>
      <c r="S3" s="485"/>
      <c r="T3" s="485"/>
      <c r="U3" s="485"/>
      <c r="V3" s="485"/>
      <c r="W3" s="485"/>
      <c r="X3" s="485"/>
      <c r="Y3" s="485"/>
      <c r="Z3" s="485"/>
    </row>
    <row r="4">
      <c r="A4" s="614" t="s">
        <v>2938</v>
      </c>
      <c r="B4" s="919"/>
      <c r="C4" s="618" t="s">
        <v>3801</v>
      </c>
      <c r="D4" s="581" t="s">
        <v>229</v>
      </c>
      <c r="E4" s="583">
        <v>45575.0</v>
      </c>
      <c r="F4" s="607"/>
      <c r="G4" s="607"/>
      <c r="H4" s="609">
        <v>0.0</v>
      </c>
      <c r="I4" s="608">
        <f>IF(ISBLANK(H4), NETWORKDAYS(F4, TODAY(),fESTIVOS!$A$1:$A$18), NETWORKDAYS(F4, H4, fESTIVOS!$A$1:$A$18))</f>
        <v>0</v>
      </c>
      <c r="J4" s="607">
        <v>45569.0</v>
      </c>
      <c r="K4" s="607"/>
      <c r="L4" s="610" t="s">
        <v>3150</v>
      </c>
      <c r="M4" s="943"/>
      <c r="N4" s="485"/>
      <c r="O4" s="485"/>
      <c r="P4" s="485"/>
      <c r="Q4" s="485"/>
      <c r="R4" s="485"/>
      <c r="S4" s="485"/>
      <c r="T4" s="485"/>
      <c r="U4" s="485"/>
      <c r="V4" s="485"/>
      <c r="W4" s="485"/>
      <c r="X4" s="485"/>
      <c r="Y4" s="485"/>
      <c r="Z4" s="485"/>
    </row>
    <row r="5">
      <c r="A5" s="614" t="s">
        <v>2938</v>
      </c>
      <c r="B5" s="578" t="s">
        <v>3077</v>
      </c>
      <c r="C5" s="581" t="s">
        <v>3151</v>
      </c>
      <c r="D5" s="581" t="s">
        <v>229</v>
      </c>
      <c r="E5" s="583">
        <v>45575.0</v>
      </c>
      <c r="F5" s="583"/>
      <c r="G5" s="583"/>
      <c r="H5" s="582">
        <v>0.0</v>
      </c>
      <c r="I5" s="585">
        <f>IF(ISBLANK(H5), NETWORKDAYS(F5, TODAY(),fESTIVOS!$A$1:$A$18), NETWORKDAYS(F5, H5, fESTIVOS!$A$1:$A$18))</f>
        <v>0</v>
      </c>
      <c r="J5" s="583">
        <v>45569.0</v>
      </c>
      <c r="K5" s="583"/>
      <c r="L5" s="586" t="s">
        <v>3150</v>
      </c>
      <c r="M5" s="943"/>
      <c r="N5" s="485"/>
      <c r="O5" s="485"/>
      <c r="P5" s="485"/>
      <c r="Q5" s="485"/>
      <c r="R5" s="485"/>
      <c r="S5" s="485"/>
      <c r="T5" s="485"/>
      <c r="U5" s="485"/>
      <c r="V5" s="485"/>
      <c r="W5" s="485"/>
      <c r="X5" s="485"/>
      <c r="Y5" s="485"/>
      <c r="Z5" s="485"/>
    </row>
    <row r="6">
      <c r="A6" s="495"/>
      <c r="B6" s="495"/>
      <c r="C6" s="495"/>
      <c r="D6" s="495"/>
      <c r="E6" s="495"/>
      <c r="F6" s="495"/>
      <c r="G6" s="495"/>
      <c r="H6" s="495"/>
      <c r="I6" s="495"/>
      <c r="J6" s="495"/>
      <c r="K6" s="495"/>
      <c r="L6" s="495"/>
      <c r="M6" s="495"/>
      <c r="N6" s="495"/>
      <c r="O6" s="495"/>
      <c r="P6" s="495"/>
      <c r="Q6" s="495"/>
      <c r="R6" s="495"/>
      <c r="S6" s="495"/>
      <c r="T6" s="495"/>
      <c r="U6" s="495"/>
      <c r="V6" s="495"/>
      <c r="W6" s="495"/>
      <c r="X6" s="495"/>
      <c r="Y6" s="495"/>
      <c r="Z6" s="495"/>
    </row>
    <row r="7">
      <c r="A7" s="495"/>
      <c r="B7" s="495"/>
      <c r="C7" s="495"/>
      <c r="D7" s="495"/>
      <c r="E7" s="495"/>
      <c r="F7" s="495"/>
      <c r="G7" s="495"/>
      <c r="H7" s="495"/>
      <c r="I7" s="495"/>
      <c r="J7" s="495"/>
      <c r="K7" s="495"/>
      <c r="L7" s="495"/>
      <c r="M7" s="495"/>
      <c r="N7" s="495"/>
      <c r="O7" s="495"/>
      <c r="P7" s="495"/>
      <c r="Q7" s="495"/>
      <c r="R7" s="495"/>
      <c r="S7" s="495"/>
      <c r="T7" s="495"/>
      <c r="U7" s="495"/>
      <c r="V7" s="495"/>
      <c r="W7" s="495"/>
      <c r="X7" s="495"/>
      <c r="Y7" s="495"/>
      <c r="Z7" s="495"/>
    </row>
    <row r="8">
      <c r="A8" s="495"/>
      <c r="B8" s="495"/>
      <c r="C8" s="495"/>
      <c r="D8" s="495"/>
      <c r="E8" s="495"/>
      <c r="F8" s="495"/>
      <c r="G8" s="495"/>
      <c r="H8" s="495"/>
      <c r="I8" s="495"/>
      <c r="J8" s="495"/>
      <c r="K8" s="495"/>
      <c r="L8" s="495"/>
      <c r="M8" s="495"/>
      <c r="N8" s="495"/>
      <c r="O8" s="495"/>
      <c r="P8" s="495"/>
      <c r="Q8" s="495"/>
      <c r="R8" s="495"/>
      <c r="S8" s="495"/>
      <c r="T8" s="495"/>
      <c r="U8" s="495"/>
      <c r="V8" s="495"/>
      <c r="W8" s="495"/>
      <c r="X8" s="495"/>
      <c r="Y8" s="495"/>
      <c r="Z8" s="495"/>
    </row>
    <row r="9">
      <c r="A9" s="495"/>
      <c r="B9" s="495"/>
      <c r="C9" s="495"/>
      <c r="D9" s="495"/>
      <c r="E9" s="495"/>
      <c r="F9" s="495"/>
      <c r="G9" s="495"/>
      <c r="H9" s="495"/>
      <c r="I9" s="495"/>
      <c r="J9" s="495"/>
      <c r="K9" s="495"/>
      <c r="L9" s="495"/>
      <c r="M9" s="495"/>
      <c r="N9" s="495"/>
      <c r="O9" s="495"/>
      <c r="P9" s="495"/>
      <c r="Q9" s="495"/>
      <c r="R9" s="495"/>
      <c r="S9" s="495"/>
      <c r="T9" s="495"/>
      <c r="U9" s="495"/>
      <c r="V9" s="495"/>
      <c r="W9" s="495"/>
      <c r="X9" s="495"/>
      <c r="Y9" s="495"/>
      <c r="Z9" s="495"/>
    </row>
    <row r="10">
      <c r="A10" s="495"/>
      <c r="B10" s="495"/>
      <c r="C10" s="495"/>
      <c r="D10" s="495"/>
      <c r="E10" s="495"/>
      <c r="F10" s="495"/>
      <c r="G10" s="495"/>
      <c r="H10" s="495"/>
      <c r="I10" s="495"/>
      <c r="J10" s="495"/>
      <c r="K10" s="495"/>
      <c r="L10" s="495"/>
      <c r="M10" s="495"/>
      <c r="N10" s="495"/>
      <c r="O10" s="495"/>
      <c r="P10" s="495"/>
      <c r="Q10" s="495"/>
      <c r="R10" s="495"/>
      <c r="S10" s="495"/>
      <c r="T10" s="495"/>
      <c r="U10" s="495"/>
      <c r="V10" s="495"/>
      <c r="W10" s="495"/>
      <c r="X10" s="495"/>
      <c r="Y10" s="495"/>
      <c r="Z10" s="495"/>
    </row>
    <row r="11">
      <c r="A11" s="495"/>
      <c r="B11" s="495"/>
      <c r="C11" s="495"/>
      <c r="D11" s="495"/>
      <c r="E11" s="495"/>
      <c r="F11" s="495"/>
      <c r="G11" s="495"/>
      <c r="H11" s="495"/>
      <c r="I11" s="495"/>
      <c r="J11" s="495"/>
      <c r="K11" s="495"/>
      <c r="L11" s="495"/>
      <c r="M11" s="495"/>
      <c r="N11" s="495"/>
      <c r="O11" s="495"/>
      <c r="P11" s="495"/>
      <c r="Q11" s="495"/>
      <c r="R11" s="495"/>
      <c r="S11" s="495"/>
      <c r="T11" s="495"/>
      <c r="U11" s="495"/>
      <c r="V11" s="495"/>
      <c r="W11" s="495"/>
      <c r="X11" s="495"/>
      <c r="Y11" s="495"/>
      <c r="Z11" s="495"/>
    </row>
    <row r="12">
      <c r="A12" s="495"/>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row>
    <row r="13">
      <c r="A13" s="495"/>
      <c r="B13" s="495"/>
      <c r="C13" s="495"/>
      <c r="D13" s="495"/>
      <c r="E13" s="495"/>
      <c r="F13" s="495"/>
      <c r="G13" s="495"/>
      <c r="H13" s="495"/>
      <c r="I13" s="495"/>
      <c r="J13" s="495"/>
      <c r="K13" s="495"/>
      <c r="L13" s="495"/>
      <c r="M13" s="495"/>
      <c r="N13" s="495"/>
      <c r="O13" s="495"/>
      <c r="P13" s="495"/>
      <c r="Q13" s="495"/>
      <c r="R13" s="495"/>
      <c r="S13" s="495"/>
      <c r="T13" s="495"/>
      <c r="U13" s="495"/>
      <c r="V13" s="495"/>
      <c r="W13" s="495"/>
      <c r="X13" s="495"/>
      <c r="Y13" s="495"/>
      <c r="Z13" s="495"/>
    </row>
    <row r="14">
      <c r="A14" s="495"/>
      <c r="B14" s="495"/>
      <c r="C14" s="495"/>
      <c r="D14" s="495"/>
      <c r="E14" s="495"/>
      <c r="F14" s="495"/>
      <c r="G14" s="495"/>
      <c r="H14" s="495"/>
      <c r="I14" s="495"/>
      <c r="J14" s="495"/>
      <c r="K14" s="495"/>
      <c r="L14" s="495"/>
      <c r="M14" s="495"/>
      <c r="N14" s="495"/>
      <c r="O14" s="495"/>
      <c r="P14" s="495"/>
      <c r="Q14" s="495"/>
      <c r="R14" s="495"/>
      <c r="S14" s="495"/>
      <c r="T14" s="495"/>
      <c r="U14" s="495"/>
      <c r="V14" s="495"/>
      <c r="W14" s="495"/>
      <c r="X14" s="495"/>
      <c r="Y14" s="495"/>
      <c r="Z14" s="495"/>
    </row>
    <row r="15">
      <c r="A15" s="495"/>
      <c r="B15" s="495"/>
      <c r="C15" s="495"/>
      <c r="D15" s="495"/>
      <c r="E15" s="495"/>
      <c r="F15" s="495"/>
      <c r="G15" s="495"/>
      <c r="H15" s="495"/>
      <c r="I15" s="495"/>
      <c r="J15" s="495"/>
      <c r="K15" s="495"/>
      <c r="L15" s="495"/>
      <c r="M15" s="495"/>
      <c r="N15" s="495"/>
      <c r="O15" s="495"/>
      <c r="P15" s="495"/>
      <c r="Q15" s="495"/>
      <c r="R15" s="495"/>
      <c r="S15" s="495"/>
      <c r="T15" s="495"/>
      <c r="U15" s="495"/>
      <c r="V15" s="495"/>
      <c r="W15" s="495"/>
      <c r="X15" s="495"/>
      <c r="Y15" s="495"/>
      <c r="Z15" s="495"/>
    </row>
    <row r="16">
      <c r="A16" s="495"/>
      <c r="B16" s="495"/>
      <c r="C16" s="495"/>
      <c r="D16" s="495"/>
      <c r="E16" s="495"/>
      <c r="F16" s="495"/>
      <c r="G16" s="495"/>
      <c r="H16" s="495"/>
      <c r="I16" s="495"/>
      <c r="J16" s="495"/>
      <c r="K16" s="495"/>
      <c r="L16" s="495"/>
      <c r="M16" s="495"/>
      <c r="N16" s="495"/>
      <c r="O16" s="495"/>
      <c r="P16" s="495"/>
      <c r="Q16" s="495"/>
      <c r="R16" s="495"/>
      <c r="S16" s="495"/>
      <c r="T16" s="495"/>
      <c r="U16" s="495"/>
      <c r="V16" s="495"/>
      <c r="W16" s="495"/>
      <c r="X16" s="495"/>
      <c r="Y16" s="495"/>
      <c r="Z16" s="495"/>
    </row>
    <row r="17">
      <c r="A17" s="495"/>
      <c r="B17" s="495"/>
      <c r="C17" s="495"/>
      <c r="D17" s="495"/>
      <c r="E17" s="495"/>
      <c r="F17" s="495"/>
      <c r="G17" s="495"/>
      <c r="H17" s="495"/>
      <c r="I17" s="495"/>
      <c r="J17" s="495"/>
      <c r="K17" s="495"/>
      <c r="L17" s="495"/>
      <c r="M17" s="495"/>
      <c r="N17" s="495"/>
      <c r="O17" s="495"/>
      <c r="P17" s="495"/>
      <c r="Q17" s="495"/>
      <c r="R17" s="495"/>
      <c r="S17" s="495"/>
      <c r="T17" s="495"/>
      <c r="U17" s="495"/>
      <c r="V17" s="495"/>
      <c r="W17" s="495"/>
      <c r="X17" s="495"/>
      <c r="Y17" s="495"/>
      <c r="Z17" s="495"/>
    </row>
    <row r="18">
      <c r="A18" s="495"/>
      <c r="B18" s="495"/>
      <c r="C18" s="495"/>
      <c r="D18" s="495"/>
      <c r="E18" s="495"/>
      <c r="F18" s="495"/>
      <c r="G18" s="495"/>
      <c r="H18" s="495"/>
      <c r="I18" s="495"/>
      <c r="J18" s="495"/>
      <c r="K18" s="495"/>
      <c r="L18" s="495"/>
      <c r="M18" s="495"/>
      <c r="N18" s="495"/>
      <c r="O18" s="495"/>
      <c r="P18" s="495"/>
      <c r="Q18" s="495"/>
      <c r="R18" s="495"/>
      <c r="S18" s="495"/>
      <c r="T18" s="495"/>
      <c r="U18" s="495"/>
      <c r="V18" s="495"/>
      <c r="W18" s="495"/>
      <c r="X18" s="495"/>
      <c r="Y18" s="495"/>
      <c r="Z18" s="495"/>
    </row>
    <row r="19">
      <c r="A19" s="495"/>
      <c r="B19" s="495"/>
      <c r="C19" s="495"/>
      <c r="D19" s="495"/>
      <c r="E19" s="495"/>
      <c r="F19" s="495"/>
      <c r="G19" s="495"/>
      <c r="H19" s="495"/>
      <c r="I19" s="495"/>
      <c r="J19" s="495"/>
      <c r="K19" s="495"/>
      <c r="L19" s="495"/>
      <c r="M19" s="495"/>
      <c r="N19" s="495"/>
      <c r="O19" s="495"/>
      <c r="P19" s="495"/>
      <c r="Q19" s="495"/>
      <c r="R19" s="495"/>
      <c r="S19" s="495"/>
      <c r="T19" s="495"/>
      <c r="U19" s="495"/>
      <c r="V19" s="495"/>
      <c r="W19" s="495"/>
      <c r="X19" s="495"/>
      <c r="Y19" s="495"/>
      <c r="Z19" s="495"/>
    </row>
    <row r="20">
      <c r="A20" s="495"/>
      <c r="B20" s="495"/>
      <c r="C20" s="495"/>
      <c r="D20" s="495"/>
      <c r="E20" s="495"/>
      <c r="F20" s="495"/>
      <c r="G20" s="495"/>
      <c r="H20" s="495"/>
      <c r="I20" s="495"/>
      <c r="J20" s="495"/>
      <c r="K20" s="495"/>
      <c r="L20" s="495"/>
      <c r="M20" s="495"/>
      <c r="N20" s="495"/>
      <c r="O20" s="495"/>
      <c r="P20" s="495"/>
      <c r="Q20" s="495"/>
      <c r="R20" s="495"/>
      <c r="S20" s="495"/>
      <c r="T20" s="495"/>
      <c r="U20" s="495"/>
      <c r="V20" s="495"/>
      <c r="W20" s="495"/>
      <c r="X20" s="495"/>
      <c r="Y20" s="495"/>
      <c r="Z20" s="495"/>
    </row>
    <row r="21" ht="15.75" customHeight="1">
      <c r="A21" s="495"/>
      <c r="B21" s="495"/>
      <c r="C21" s="495"/>
      <c r="D21" s="495"/>
      <c r="E21" s="495"/>
      <c r="F21" s="495"/>
      <c r="G21" s="495"/>
      <c r="H21" s="495"/>
      <c r="I21" s="495"/>
      <c r="J21" s="495"/>
      <c r="K21" s="495"/>
      <c r="L21" s="495"/>
      <c r="M21" s="495"/>
      <c r="N21" s="495"/>
      <c r="O21" s="495"/>
      <c r="P21" s="495"/>
      <c r="Q21" s="495"/>
      <c r="R21" s="495"/>
      <c r="S21" s="495"/>
      <c r="T21" s="495"/>
      <c r="U21" s="495"/>
      <c r="V21" s="495"/>
      <c r="W21" s="495"/>
      <c r="X21" s="495"/>
      <c r="Y21" s="495"/>
      <c r="Z21" s="495"/>
    </row>
    <row r="22" ht="15.75" customHeight="1">
      <c r="A22" s="495"/>
      <c r="B22" s="495"/>
      <c r="C22" s="495"/>
      <c r="D22" s="495"/>
      <c r="E22" s="495"/>
      <c r="F22" s="495"/>
      <c r="G22" s="495"/>
      <c r="H22" s="495"/>
      <c r="I22" s="495"/>
      <c r="J22" s="495"/>
      <c r="K22" s="495"/>
      <c r="L22" s="495"/>
      <c r="M22" s="495"/>
      <c r="N22" s="495"/>
      <c r="O22" s="495"/>
      <c r="P22" s="495"/>
      <c r="Q22" s="495"/>
      <c r="R22" s="495"/>
      <c r="S22" s="495"/>
      <c r="T22" s="495"/>
      <c r="U22" s="495"/>
      <c r="V22" s="495"/>
      <c r="W22" s="495"/>
      <c r="X22" s="495"/>
      <c r="Y22" s="495"/>
      <c r="Z22" s="495"/>
    </row>
    <row r="23" ht="15.75" customHeight="1">
      <c r="A23" s="495"/>
      <c r="B23" s="495"/>
      <c r="C23" s="495"/>
      <c r="D23" s="495"/>
      <c r="E23" s="495"/>
      <c r="F23" s="495"/>
      <c r="G23" s="495"/>
      <c r="H23" s="495"/>
      <c r="I23" s="495"/>
      <c r="J23" s="495"/>
      <c r="K23" s="495"/>
      <c r="L23" s="495"/>
      <c r="M23" s="495"/>
      <c r="N23" s="495"/>
      <c r="O23" s="495"/>
      <c r="P23" s="495"/>
      <c r="Q23" s="495"/>
      <c r="R23" s="495"/>
      <c r="S23" s="495"/>
      <c r="T23" s="495"/>
      <c r="U23" s="495"/>
      <c r="V23" s="495"/>
      <c r="W23" s="495"/>
      <c r="X23" s="495"/>
      <c r="Y23" s="495"/>
      <c r="Z23" s="495"/>
    </row>
    <row r="24" ht="15.75" customHeight="1">
      <c r="A24" s="495"/>
      <c r="B24" s="495"/>
      <c r="C24" s="495"/>
      <c r="D24" s="495"/>
      <c r="E24" s="495"/>
      <c r="F24" s="495"/>
      <c r="G24" s="495"/>
      <c r="H24" s="495"/>
      <c r="I24" s="495"/>
      <c r="J24" s="495"/>
      <c r="K24" s="495"/>
      <c r="L24" s="495"/>
      <c r="M24" s="495"/>
      <c r="N24" s="495"/>
      <c r="O24" s="495"/>
      <c r="P24" s="495"/>
      <c r="Q24" s="495"/>
      <c r="R24" s="495"/>
      <c r="S24" s="495"/>
      <c r="T24" s="495"/>
      <c r="U24" s="495"/>
      <c r="V24" s="495"/>
      <c r="W24" s="495"/>
      <c r="X24" s="495"/>
      <c r="Y24" s="495"/>
      <c r="Z24" s="495"/>
    </row>
    <row r="25" ht="15.75" customHeight="1">
      <c r="A25" s="495"/>
      <c r="B25" s="495"/>
      <c r="C25" s="495"/>
      <c r="D25" s="495"/>
      <c r="E25" s="495"/>
      <c r="F25" s="495"/>
      <c r="G25" s="495"/>
      <c r="H25" s="495"/>
      <c r="I25" s="495"/>
      <c r="J25" s="495"/>
      <c r="K25" s="495"/>
      <c r="L25" s="495"/>
      <c r="M25" s="495"/>
      <c r="N25" s="495"/>
      <c r="O25" s="495"/>
      <c r="P25" s="495"/>
      <c r="Q25" s="495"/>
      <c r="R25" s="495"/>
      <c r="S25" s="495"/>
      <c r="T25" s="495"/>
      <c r="U25" s="495"/>
      <c r="V25" s="495"/>
      <c r="W25" s="495"/>
      <c r="X25" s="495"/>
      <c r="Y25" s="495"/>
      <c r="Z25" s="495"/>
    </row>
    <row r="26" ht="15.75" customHeight="1">
      <c r="A26" s="495"/>
      <c r="B26" s="495"/>
      <c r="C26" s="495"/>
      <c r="D26" s="495"/>
      <c r="E26" s="495"/>
      <c r="F26" s="495"/>
      <c r="G26" s="495"/>
      <c r="H26" s="495"/>
      <c r="I26" s="495"/>
      <c r="J26" s="495"/>
      <c r="K26" s="495"/>
      <c r="L26" s="495"/>
      <c r="M26" s="495"/>
      <c r="N26" s="495"/>
      <c r="O26" s="495"/>
      <c r="P26" s="495"/>
      <c r="Q26" s="495"/>
      <c r="R26" s="495"/>
      <c r="S26" s="495"/>
      <c r="T26" s="495"/>
      <c r="U26" s="495"/>
      <c r="V26" s="495"/>
      <c r="W26" s="495"/>
      <c r="X26" s="495"/>
      <c r="Y26" s="495"/>
      <c r="Z26" s="495"/>
    </row>
    <row r="27" ht="15.75" customHeight="1">
      <c r="A27" s="495"/>
      <c r="B27" s="495"/>
      <c r="C27" s="495"/>
      <c r="D27" s="495"/>
      <c r="E27" s="495"/>
      <c r="F27" s="495"/>
      <c r="G27" s="495"/>
      <c r="H27" s="495"/>
      <c r="I27" s="495"/>
      <c r="J27" s="495"/>
      <c r="K27" s="495"/>
      <c r="L27" s="495"/>
      <c r="M27" s="495"/>
      <c r="N27" s="495"/>
      <c r="O27" s="495"/>
      <c r="P27" s="495"/>
      <c r="Q27" s="495"/>
      <c r="R27" s="495"/>
      <c r="S27" s="495"/>
      <c r="T27" s="495"/>
      <c r="U27" s="495"/>
      <c r="V27" s="495"/>
      <c r="W27" s="495"/>
      <c r="X27" s="495"/>
      <c r="Y27" s="495"/>
      <c r="Z27" s="495"/>
    </row>
    <row r="28" ht="15.75" customHeight="1">
      <c r="A28" s="495"/>
      <c r="B28" s="495"/>
      <c r="C28" s="495"/>
      <c r="D28" s="495"/>
      <c r="E28" s="495"/>
      <c r="F28" s="495"/>
      <c r="G28" s="495"/>
      <c r="H28" s="495"/>
      <c r="I28" s="495"/>
      <c r="J28" s="495"/>
      <c r="K28" s="495"/>
      <c r="L28" s="495"/>
      <c r="M28" s="495"/>
      <c r="N28" s="495"/>
      <c r="O28" s="495"/>
      <c r="P28" s="495"/>
      <c r="Q28" s="495"/>
      <c r="R28" s="495"/>
      <c r="S28" s="495"/>
      <c r="T28" s="495"/>
      <c r="U28" s="495"/>
      <c r="V28" s="495"/>
      <c r="W28" s="495"/>
      <c r="X28" s="495"/>
      <c r="Y28" s="495"/>
      <c r="Z28" s="495"/>
    </row>
    <row r="29" ht="15.75" customHeight="1">
      <c r="A29" s="495"/>
      <c r="B29" s="495"/>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row>
    <row r="30" ht="15.75" customHeight="1">
      <c r="A30" s="495"/>
      <c r="B30" s="495"/>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row>
    <row r="31" ht="15.75" customHeight="1">
      <c r="A31" s="495"/>
      <c r="B31" s="495"/>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row>
    <row r="32" ht="15.75" customHeight="1">
      <c r="A32" s="495"/>
      <c r="B32" s="495"/>
      <c r="C32" s="495"/>
      <c r="D32" s="495"/>
      <c r="E32" s="495"/>
      <c r="F32" s="495"/>
      <c r="G32" s="495"/>
      <c r="H32" s="495"/>
      <c r="I32" s="495"/>
      <c r="J32" s="495"/>
      <c r="K32" s="495"/>
      <c r="L32" s="495"/>
      <c r="M32" s="495"/>
      <c r="N32" s="495"/>
      <c r="O32" s="495"/>
      <c r="P32" s="495"/>
      <c r="Q32" s="495"/>
      <c r="R32" s="495"/>
      <c r="S32" s="495"/>
      <c r="T32" s="495"/>
      <c r="U32" s="495"/>
      <c r="V32" s="495"/>
      <c r="W32" s="495"/>
      <c r="X32" s="495"/>
      <c r="Y32" s="495"/>
      <c r="Z32" s="495"/>
    </row>
    <row r="33" ht="15.75" customHeight="1">
      <c r="A33" s="495"/>
      <c r="B33" s="495"/>
      <c r="C33" s="495"/>
      <c r="D33" s="495"/>
      <c r="E33" s="495"/>
      <c r="F33" s="495"/>
      <c r="G33" s="495"/>
      <c r="H33" s="495"/>
      <c r="I33" s="495"/>
      <c r="J33" s="495"/>
      <c r="K33" s="495"/>
      <c r="L33" s="495"/>
      <c r="M33" s="495"/>
      <c r="N33" s="495"/>
      <c r="O33" s="495"/>
      <c r="P33" s="495"/>
      <c r="Q33" s="495"/>
      <c r="R33" s="495"/>
      <c r="S33" s="495"/>
      <c r="T33" s="495"/>
      <c r="U33" s="495"/>
      <c r="V33" s="495"/>
      <c r="W33" s="495"/>
      <c r="X33" s="495"/>
      <c r="Y33" s="495"/>
      <c r="Z33" s="495"/>
    </row>
    <row r="34" ht="15.75" customHeight="1">
      <c r="A34" s="495"/>
      <c r="B34" s="495"/>
      <c r="C34" s="495"/>
      <c r="D34" s="495"/>
      <c r="E34" s="495"/>
      <c r="F34" s="495"/>
      <c r="G34" s="495"/>
      <c r="H34" s="495"/>
      <c r="I34" s="495"/>
      <c r="J34" s="495"/>
      <c r="K34" s="495"/>
      <c r="L34" s="495"/>
      <c r="M34" s="495"/>
      <c r="N34" s="495"/>
      <c r="O34" s="495"/>
      <c r="P34" s="495"/>
      <c r="Q34" s="495"/>
      <c r="R34" s="495"/>
      <c r="S34" s="495"/>
      <c r="T34" s="495"/>
      <c r="U34" s="495"/>
      <c r="V34" s="495"/>
      <c r="W34" s="495"/>
      <c r="X34" s="495"/>
      <c r="Y34" s="495"/>
      <c r="Z34" s="495"/>
    </row>
    <row r="35" ht="15.75" customHeight="1">
      <c r="A35" s="495"/>
      <c r="B35" s="495"/>
      <c r="C35" s="495"/>
      <c r="D35" s="495"/>
      <c r="E35" s="495"/>
      <c r="F35" s="495"/>
      <c r="G35" s="495"/>
      <c r="H35" s="495"/>
      <c r="I35" s="495"/>
      <c r="J35" s="495"/>
      <c r="K35" s="495"/>
      <c r="L35" s="495"/>
      <c r="M35" s="495"/>
      <c r="N35" s="495"/>
      <c r="O35" s="495"/>
      <c r="P35" s="495"/>
      <c r="Q35" s="495"/>
      <c r="R35" s="495"/>
      <c r="S35" s="495"/>
      <c r="T35" s="495"/>
      <c r="U35" s="495"/>
      <c r="V35" s="495"/>
      <c r="W35" s="495"/>
      <c r="X35" s="495"/>
      <c r="Y35" s="495"/>
      <c r="Z35" s="495"/>
    </row>
    <row r="36" ht="15.75" customHeight="1">
      <c r="A36" s="495"/>
      <c r="B36" s="495"/>
      <c r="C36" s="495"/>
      <c r="D36" s="495"/>
      <c r="E36" s="495"/>
      <c r="F36" s="495"/>
      <c r="G36" s="495"/>
      <c r="H36" s="495"/>
      <c r="I36" s="495"/>
      <c r="J36" s="495"/>
      <c r="K36" s="495"/>
      <c r="L36" s="495"/>
      <c r="M36" s="495"/>
      <c r="N36" s="495"/>
      <c r="O36" s="495"/>
      <c r="P36" s="495"/>
      <c r="Q36" s="495"/>
      <c r="R36" s="495"/>
      <c r="S36" s="495"/>
      <c r="T36" s="495"/>
      <c r="U36" s="495"/>
      <c r="V36" s="495"/>
      <c r="W36" s="495"/>
      <c r="X36" s="495"/>
      <c r="Y36" s="495"/>
      <c r="Z36" s="495"/>
    </row>
    <row r="37" ht="15.75" customHeight="1">
      <c r="A37" s="495"/>
      <c r="B37" s="495"/>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row>
    <row r="38" ht="15.75" customHeight="1">
      <c r="A38" s="495"/>
      <c r="B38" s="495"/>
      <c r="C38" s="495"/>
      <c r="D38" s="495"/>
      <c r="E38" s="495"/>
      <c r="F38" s="495"/>
      <c r="G38" s="495"/>
      <c r="H38" s="495"/>
      <c r="I38" s="495"/>
      <c r="J38" s="495"/>
      <c r="K38" s="495"/>
      <c r="L38" s="495"/>
      <c r="M38" s="495"/>
      <c r="N38" s="495"/>
      <c r="O38" s="495"/>
      <c r="P38" s="495"/>
      <c r="Q38" s="495"/>
      <c r="R38" s="495"/>
      <c r="S38" s="495"/>
      <c r="T38" s="495"/>
      <c r="U38" s="495"/>
      <c r="V38" s="495"/>
      <c r="W38" s="495"/>
      <c r="X38" s="495"/>
      <c r="Y38" s="495"/>
      <c r="Z38" s="495"/>
    </row>
    <row r="39" ht="15.75" customHeight="1">
      <c r="A39" s="495"/>
      <c r="B39" s="495"/>
      <c r="C39" s="495"/>
      <c r="D39" s="495"/>
      <c r="E39" s="495"/>
      <c r="F39" s="495"/>
      <c r="G39" s="495"/>
      <c r="H39" s="495"/>
      <c r="I39" s="495"/>
      <c r="J39" s="495"/>
      <c r="K39" s="495"/>
      <c r="L39" s="495"/>
      <c r="M39" s="495"/>
      <c r="N39" s="495"/>
      <c r="O39" s="495"/>
      <c r="P39" s="495"/>
      <c r="Q39" s="495"/>
      <c r="R39" s="495"/>
      <c r="S39" s="495"/>
      <c r="T39" s="495"/>
      <c r="U39" s="495"/>
      <c r="V39" s="495"/>
      <c r="W39" s="495"/>
      <c r="X39" s="495"/>
      <c r="Y39" s="495"/>
      <c r="Z39" s="495"/>
    </row>
    <row r="40" ht="15.75" customHeight="1">
      <c r="A40" s="495"/>
      <c r="B40" s="495"/>
      <c r="C40" s="495"/>
      <c r="D40" s="495"/>
      <c r="E40" s="495"/>
      <c r="F40" s="495"/>
      <c r="G40" s="495"/>
      <c r="H40" s="495"/>
      <c r="I40" s="495"/>
      <c r="J40" s="495"/>
      <c r="K40" s="495"/>
      <c r="L40" s="495"/>
      <c r="M40" s="495"/>
      <c r="N40" s="495"/>
      <c r="O40" s="495"/>
      <c r="P40" s="495"/>
      <c r="Q40" s="495"/>
      <c r="R40" s="495"/>
      <c r="S40" s="495"/>
      <c r="T40" s="495"/>
      <c r="U40" s="495"/>
      <c r="V40" s="495"/>
      <c r="W40" s="495"/>
      <c r="X40" s="495"/>
      <c r="Y40" s="495"/>
      <c r="Z40" s="495"/>
    </row>
    <row r="41" ht="15.75" customHeight="1">
      <c r="A41" s="495"/>
      <c r="B41" s="495"/>
      <c r="C41" s="495"/>
      <c r="D41" s="495"/>
      <c r="E41" s="495"/>
      <c r="F41" s="495"/>
      <c r="G41" s="495"/>
      <c r="H41" s="495"/>
      <c r="I41" s="495"/>
      <c r="J41" s="495"/>
      <c r="K41" s="495"/>
      <c r="L41" s="495"/>
      <c r="M41" s="495"/>
      <c r="N41" s="495"/>
      <c r="O41" s="495"/>
      <c r="P41" s="495"/>
      <c r="Q41" s="495"/>
      <c r="R41" s="495"/>
      <c r="S41" s="495"/>
      <c r="T41" s="495"/>
      <c r="U41" s="495"/>
      <c r="V41" s="495"/>
      <c r="W41" s="495"/>
      <c r="X41" s="495"/>
      <c r="Y41" s="495"/>
      <c r="Z41" s="495"/>
    </row>
    <row r="42" ht="15.75" customHeight="1">
      <c r="A42" s="495"/>
      <c r="B42" s="495"/>
      <c r="C42" s="495"/>
      <c r="D42" s="495"/>
      <c r="E42" s="495"/>
      <c r="F42" s="495"/>
      <c r="G42" s="495"/>
      <c r="H42" s="495"/>
      <c r="I42" s="495"/>
      <c r="J42" s="495"/>
      <c r="K42" s="495"/>
      <c r="L42" s="495"/>
      <c r="M42" s="495"/>
      <c r="N42" s="495"/>
      <c r="O42" s="495"/>
      <c r="P42" s="495"/>
      <c r="Q42" s="495"/>
      <c r="R42" s="495"/>
      <c r="S42" s="495"/>
      <c r="T42" s="495"/>
      <c r="U42" s="495"/>
      <c r="V42" s="495"/>
      <c r="W42" s="495"/>
      <c r="X42" s="495"/>
      <c r="Y42" s="495"/>
      <c r="Z42" s="495"/>
    </row>
    <row r="43" ht="15.75" customHeight="1">
      <c r="A43" s="495"/>
      <c r="B43" s="495"/>
      <c r="C43" s="495"/>
      <c r="D43" s="495"/>
      <c r="E43" s="495"/>
      <c r="F43" s="495"/>
      <c r="G43" s="495"/>
      <c r="H43" s="495"/>
      <c r="I43" s="495"/>
      <c r="J43" s="495"/>
      <c r="K43" s="495"/>
      <c r="L43" s="495"/>
      <c r="M43" s="495"/>
      <c r="N43" s="495"/>
      <c r="O43" s="495"/>
      <c r="P43" s="495"/>
      <c r="Q43" s="495"/>
      <c r="R43" s="495"/>
      <c r="S43" s="495"/>
      <c r="T43" s="495"/>
      <c r="U43" s="495"/>
      <c r="V43" s="495"/>
      <c r="W43" s="495"/>
      <c r="X43" s="495"/>
      <c r="Y43" s="495"/>
      <c r="Z43" s="495"/>
    </row>
    <row r="44" ht="15.75" customHeight="1">
      <c r="A44" s="495"/>
      <c r="B44" s="495"/>
      <c r="C44" s="495"/>
      <c r="D44" s="495"/>
      <c r="E44" s="495"/>
      <c r="F44" s="495"/>
      <c r="G44" s="495"/>
      <c r="H44" s="495"/>
      <c r="I44" s="495"/>
      <c r="J44" s="495"/>
      <c r="K44" s="495"/>
      <c r="L44" s="495"/>
      <c r="M44" s="495"/>
      <c r="N44" s="495"/>
      <c r="O44" s="495"/>
      <c r="P44" s="495"/>
      <c r="Q44" s="495"/>
      <c r="R44" s="495"/>
      <c r="S44" s="495"/>
      <c r="T44" s="495"/>
      <c r="U44" s="495"/>
      <c r="V44" s="495"/>
      <c r="W44" s="495"/>
      <c r="X44" s="495"/>
      <c r="Y44" s="495"/>
      <c r="Z44" s="495"/>
    </row>
    <row r="45" ht="15.75" customHeight="1">
      <c r="A45" s="495"/>
      <c r="B45" s="495"/>
      <c r="C45" s="495"/>
      <c r="D45" s="495"/>
      <c r="E45" s="495"/>
      <c r="F45" s="495"/>
      <c r="G45" s="495"/>
      <c r="H45" s="495"/>
      <c r="I45" s="495"/>
      <c r="J45" s="495"/>
      <c r="K45" s="495"/>
      <c r="L45" s="495"/>
      <c r="M45" s="495"/>
      <c r="N45" s="495"/>
      <c r="O45" s="495"/>
      <c r="P45" s="495"/>
      <c r="Q45" s="495"/>
      <c r="R45" s="495"/>
      <c r="S45" s="495"/>
      <c r="T45" s="495"/>
      <c r="U45" s="495"/>
      <c r="V45" s="495"/>
      <c r="W45" s="495"/>
      <c r="X45" s="495"/>
      <c r="Y45" s="495"/>
      <c r="Z45" s="495"/>
    </row>
    <row r="46" ht="15.75" customHeight="1">
      <c r="A46" s="495"/>
      <c r="B46" s="495"/>
      <c r="C46" s="495"/>
      <c r="D46" s="495"/>
      <c r="E46" s="495"/>
      <c r="F46" s="495"/>
      <c r="G46" s="495"/>
      <c r="H46" s="495"/>
      <c r="I46" s="495"/>
      <c r="J46" s="495"/>
      <c r="K46" s="495"/>
      <c r="L46" s="495"/>
      <c r="M46" s="495"/>
      <c r="N46" s="495"/>
      <c r="O46" s="495"/>
      <c r="P46" s="495"/>
      <c r="Q46" s="495"/>
      <c r="R46" s="495"/>
      <c r="S46" s="495"/>
      <c r="T46" s="495"/>
      <c r="U46" s="495"/>
      <c r="V46" s="495"/>
      <c r="W46" s="495"/>
      <c r="X46" s="495"/>
      <c r="Y46" s="495"/>
      <c r="Z46" s="495"/>
    </row>
    <row r="47" ht="15.75" customHeight="1">
      <c r="A47" s="495"/>
      <c r="B47" s="495"/>
      <c r="C47" s="495"/>
      <c r="D47" s="495"/>
      <c r="E47" s="495"/>
      <c r="F47" s="495"/>
      <c r="G47" s="495"/>
      <c r="H47" s="495"/>
      <c r="I47" s="495"/>
      <c r="J47" s="495"/>
      <c r="K47" s="495"/>
      <c r="L47" s="495"/>
      <c r="M47" s="495"/>
      <c r="N47" s="495"/>
      <c r="O47" s="495"/>
      <c r="P47" s="495"/>
      <c r="Q47" s="495"/>
      <c r="R47" s="495"/>
      <c r="S47" s="495"/>
      <c r="T47" s="495"/>
      <c r="U47" s="495"/>
      <c r="V47" s="495"/>
      <c r="W47" s="495"/>
      <c r="X47" s="495"/>
      <c r="Y47" s="495"/>
      <c r="Z47" s="495"/>
    </row>
    <row r="48" ht="15.75" customHeight="1">
      <c r="A48" s="495"/>
      <c r="B48" s="495"/>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row>
    <row r="49" ht="15.75" customHeight="1">
      <c r="A49" s="495"/>
      <c r="B49" s="495"/>
      <c r="C49" s="495"/>
      <c r="D49" s="495"/>
      <c r="E49" s="495"/>
      <c r="F49" s="495"/>
      <c r="G49" s="495"/>
      <c r="H49" s="495"/>
      <c r="I49" s="495"/>
      <c r="J49" s="495"/>
      <c r="K49" s="495"/>
      <c r="L49" s="495"/>
      <c r="M49" s="495"/>
      <c r="N49" s="495"/>
      <c r="O49" s="495"/>
      <c r="P49" s="495"/>
      <c r="Q49" s="495"/>
      <c r="R49" s="495"/>
      <c r="S49" s="495"/>
      <c r="T49" s="495"/>
      <c r="U49" s="495"/>
      <c r="V49" s="495"/>
      <c r="W49" s="495"/>
      <c r="X49" s="495"/>
      <c r="Y49" s="495"/>
      <c r="Z49" s="495"/>
    </row>
    <row r="50" ht="15.75" customHeight="1">
      <c r="A50" s="495"/>
      <c r="B50" s="495"/>
      <c r="C50" s="495"/>
      <c r="D50" s="495"/>
      <c r="E50" s="495"/>
      <c r="F50" s="495"/>
      <c r="G50" s="495"/>
      <c r="H50" s="495"/>
      <c r="I50" s="495"/>
      <c r="J50" s="495"/>
      <c r="K50" s="495"/>
      <c r="L50" s="495"/>
      <c r="M50" s="495"/>
      <c r="N50" s="495"/>
      <c r="O50" s="495"/>
      <c r="P50" s="495"/>
      <c r="Q50" s="495"/>
      <c r="R50" s="495"/>
      <c r="S50" s="495"/>
      <c r="T50" s="495"/>
      <c r="U50" s="495"/>
      <c r="V50" s="495"/>
      <c r="W50" s="495"/>
      <c r="X50" s="495"/>
      <c r="Y50" s="495"/>
      <c r="Z50" s="495"/>
    </row>
    <row r="51" ht="15.75" customHeight="1">
      <c r="A51" s="495"/>
      <c r="B51" s="495"/>
      <c r="C51" s="495"/>
      <c r="D51" s="495"/>
      <c r="E51" s="495"/>
      <c r="F51" s="495"/>
      <c r="G51" s="495"/>
      <c r="H51" s="495"/>
      <c r="I51" s="495"/>
      <c r="J51" s="495"/>
      <c r="K51" s="495"/>
      <c r="L51" s="495"/>
      <c r="M51" s="495"/>
      <c r="N51" s="495"/>
      <c r="O51" s="495"/>
      <c r="P51" s="495"/>
      <c r="Q51" s="495"/>
      <c r="R51" s="495"/>
      <c r="S51" s="495"/>
      <c r="T51" s="495"/>
      <c r="U51" s="495"/>
      <c r="V51" s="495"/>
      <c r="W51" s="495"/>
      <c r="X51" s="495"/>
      <c r="Y51" s="495"/>
      <c r="Z51" s="495"/>
    </row>
    <row r="52" ht="15.75" customHeight="1">
      <c r="A52" s="495"/>
      <c r="B52" s="495"/>
      <c r="C52" s="495"/>
      <c r="D52" s="495"/>
      <c r="E52" s="495"/>
      <c r="F52" s="495"/>
      <c r="G52" s="495"/>
      <c r="H52" s="495"/>
      <c r="I52" s="495"/>
      <c r="J52" s="495"/>
      <c r="K52" s="495"/>
      <c r="L52" s="495"/>
      <c r="M52" s="495"/>
      <c r="N52" s="495"/>
      <c r="O52" s="495"/>
      <c r="P52" s="495"/>
      <c r="Q52" s="495"/>
      <c r="R52" s="495"/>
      <c r="S52" s="495"/>
      <c r="T52" s="495"/>
      <c r="U52" s="495"/>
      <c r="V52" s="495"/>
      <c r="W52" s="495"/>
      <c r="X52" s="495"/>
      <c r="Y52" s="495"/>
      <c r="Z52" s="495"/>
    </row>
    <row r="53" ht="15.75" customHeight="1">
      <c r="A53" s="495"/>
      <c r="B53" s="495"/>
      <c r="C53" s="495"/>
      <c r="D53" s="495"/>
      <c r="E53" s="495"/>
      <c r="F53" s="495"/>
      <c r="G53" s="495"/>
      <c r="H53" s="495"/>
      <c r="I53" s="495"/>
      <c r="J53" s="495"/>
      <c r="K53" s="495"/>
      <c r="L53" s="495"/>
      <c r="M53" s="495"/>
      <c r="N53" s="495"/>
      <c r="O53" s="495"/>
      <c r="P53" s="495"/>
      <c r="Q53" s="495"/>
      <c r="R53" s="495"/>
      <c r="S53" s="495"/>
      <c r="T53" s="495"/>
      <c r="U53" s="495"/>
      <c r="V53" s="495"/>
      <c r="W53" s="495"/>
      <c r="X53" s="495"/>
      <c r="Y53" s="495"/>
      <c r="Z53" s="495"/>
    </row>
    <row r="54" ht="15.75" customHeight="1">
      <c r="A54" s="495"/>
      <c r="B54" s="495"/>
      <c r="C54" s="495"/>
      <c r="D54" s="495"/>
      <c r="E54" s="495"/>
      <c r="F54" s="495"/>
      <c r="G54" s="495"/>
      <c r="H54" s="495"/>
      <c r="I54" s="495"/>
      <c r="J54" s="495"/>
      <c r="K54" s="495"/>
      <c r="L54" s="495"/>
      <c r="M54" s="495"/>
      <c r="N54" s="495"/>
      <c r="O54" s="495"/>
      <c r="P54" s="495"/>
      <c r="Q54" s="495"/>
      <c r="R54" s="495"/>
      <c r="S54" s="495"/>
      <c r="T54" s="495"/>
      <c r="U54" s="495"/>
      <c r="V54" s="495"/>
      <c r="W54" s="495"/>
      <c r="X54" s="495"/>
      <c r="Y54" s="495"/>
      <c r="Z54" s="495"/>
    </row>
    <row r="55" ht="15.75" customHeight="1">
      <c r="A55" s="495"/>
      <c r="B55" s="495"/>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row>
    <row r="56" ht="15.75" customHeight="1">
      <c r="A56" s="495"/>
      <c r="B56" s="495"/>
      <c r="C56" s="495"/>
      <c r="D56" s="495"/>
      <c r="E56" s="495"/>
      <c r="F56" s="495"/>
      <c r="G56" s="495"/>
      <c r="H56" s="495"/>
      <c r="I56" s="495"/>
      <c r="J56" s="495"/>
      <c r="K56" s="495"/>
      <c r="L56" s="495"/>
      <c r="M56" s="495"/>
      <c r="N56" s="495"/>
      <c r="O56" s="495"/>
      <c r="P56" s="495"/>
      <c r="Q56" s="495"/>
      <c r="R56" s="495"/>
      <c r="S56" s="495"/>
      <c r="T56" s="495"/>
      <c r="U56" s="495"/>
      <c r="V56" s="495"/>
      <c r="W56" s="495"/>
      <c r="X56" s="495"/>
      <c r="Y56" s="495"/>
      <c r="Z56" s="495"/>
    </row>
    <row r="57" ht="15.75" customHeight="1">
      <c r="A57" s="495"/>
      <c r="B57" s="495"/>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row>
    <row r="58" ht="15.75" customHeight="1">
      <c r="A58" s="495"/>
      <c r="B58" s="495"/>
      <c r="C58" s="495"/>
      <c r="D58" s="495"/>
      <c r="E58" s="495"/>
      <c r="F58" s="495"/>
      <c r="G58" s="495"/>
      <c r="H58" s="495"/>
      <c r="I58" s="495"/>
      <c r="J58" s="495"/>
      <c r="K58" s="495"/>
      <c r="L58" s="495"/>
      <c r="M58" s="495"/>
      <c r="N58" s="495"/>
      <c r="O58" s="495"/>
      <c r="P58" s="495"/>
      <c r="Q58" s="495"/>
      <c r="R58" s="495"/>
      <c r="S58" s="495"/>
      <c r="T58" s="495"/>
      <c r="U58" s="495"/>
      <c r="V58" s="495"/>
      <c r="W58" s="495"/>
      <c r="X58" s="495"/>
      <c r="Y58" s="495"/>
      <c r="Z58" s="495"/>
    </row>
    <row r="59" ht="15.75" customHeight="1">
      <c r="A59" s="495"/>
      <c r="B59" s="495"/>
      <c r="C59" s="495"/>
      <c r="D59" s="495"/>
      <c r="E59" s="495"/>
      <c r="F59" s="495"/>
      <c r="G59" s="495"/>
      <c r="H59" s="495"/>
      <c r="I59" s="495"/>
      <c r="J59" s="495"/>
      <c r="K59" s="495"/>
      <c r="L59" s="495"/>
      <c r="M59" s="495"/>
      <c r="N59" s="495"/>
      <c r="O59" s="495"/>
      <c r="P59" s="495"/>
      <c r="Q59" s="495"/>
      <c r="R59" s="495"/>
      <c r="S59" s="495"/>
      <c r="T59" s="495"/>
      <c r="U59" s="495"/>
      <c r="V59" s="495"/>
      <c r="W59" s="495"/>
      <c r="X59" s="495"/>
      <c r="Y59" s="495"/>
      <c r="Z59" s="495"/>
    </row>
    <row r="60" ht="15.75" customHeight="1">
      <c r="A60" s="495"/>
      <c r="B60" s="495"/>
      <c r="C60" s="495"/>
      <c r="D60" s="495"/>
      <c r="E60" s="495"/>
      <c r="F60" s="495"/>
      <c r="G60" s="495"/>
      <c r="H60" s="495"/>
      <c r="I60" s="495"/>
      <c r="J60" s="495"/>
      <c r="K60" s="495"/>
      <c r="L60" s="495"/>
      <c r="M60" s="495"/>
      <c r="N60" s="495"/>
      <c r="O60" s="495"/>
      <c r="P60" s="495"/>
      <c r="Q60" s="495"/>
      <c r="R60" s="495"/>
      <c r="S60" s="495"/>
      <c r="T60" s="495"/>
      <c r="U60" s="495"/>
      <c r="V60" s="495"/>
      <c r="W60" s="495"/>
      <c r="X60" s="495"/>
      <c r="Y60" s="495"/>
      <c r="Z60" s="495"/>
    </row>
    <row r="61" ht="15.75" customHeight="1">
      <c r="A61" s="495"/>
      <c r="B61" s="495"/>
      <c r="C61" s="495"/>
      <c r="D61" s="495"/>
      <c r="E61" s="495"/>
      <c r="F61" s="495"/>
      <c r="G61" s="495"/>
      <c r="H61" s="495"/>
      <c r="I61" s="495"/>
      <c r="J61" s="495"/>
      <c r="K61" s="495"/>
      <c r="L61" s="495"/>
      <c r="M61" s="495"/>
      <c r="N61" s="495"/>
      <c r="O61" s="495"/>
      <c r="P61" s="495"/>
      <c r="Q61" s="495"/>
      <c r="R61" s="495"/>
      <c r="S61" s="495"/>
      <c r="T61" s="495"/>
      <c r="U61" s="495"/>
      <c r="V61" s="495"/>
      <c r="W61" s="495"/>
      <c r="X61" s="495"/>
      <c r="Y61" s="495"/>
      <c r="Z61" s="495"/>
    </row>
    <row r="62" ht="15.75" customHeight="1">
      <c r="A62" s="495"/>
      <c r="B62" s="495"/>
      <c r="C62" s="495"/>
      <c r="D62" s="495"/>
      <c r="E62" s="495"/>
      <c r="F62" s="495"/>
      <c r="G62" s="495"/>
      <c r="H62" s="495"/>
      <c r="I62" s="495"/>
      <c r="J62" s="495"/>
      <c r="K62" s="495"/>
      <c r="L62" s="495"/>
      <c r="M62" s="495"/>
      <c r="N62" s="495"/>
      <c r="O62" s="495"/>
      <c r="P62" s="495"/>
      <c r="Q62" s="495"/>
      <c r="R62" s="495"/>
      <c r="S62" s="495"/>
      <c r="T62" s="495"/>
      <c r="U62" s="495"/>
      <c r="V62" s="495"/>
      <c r="W62" s="495"/>
      <c r="X62" s="495"/>
      <c r="Y62" s="495"/>
      <c r="Z62" s="495"/>
    </row>
    <row r="63" ht="15.75" customHeight="1">
      <c r="A63" s="495"/>
      <c r="B63" s="495"/>
      <c r="C63" s="495"/>
      <c r="D63" s="495"/>
      <c r="E63" s="495"/>
      <c r="F63" s="495"/>
      <c r="G63" s="495"/>
      <c r="H63" s="495"/>
      <c r="I63" s="495"/>
      <c r="J63" s="495"/>
      <c r="K63" s="495"/>
      <c r="L63" s="495"/>
      <c r="M63" s="495"/>
      <c r="N63" s="495"/>
      <c r="O63" s="495"/>
      <c r="P63" s="495"/>
      <c r="Q63" s="495"/>
      <c r="R63" s="495"/>
      <c r="S63" s="495"/>
      <c r="T63" s="495"/>
      <c r="U63" s="495"/>
      <c r="V63" s="495"/>
      <c r="W63" s="495"/>
      <c r="X63" s="495"/>
      <c r="Y63" s="495"/>
      <c r="Z63" s="495"/>
    </row>
    <row r="64" ht="15.75" customHeight="1">
      <c r="A64" s="495"/>
      <c r="B64" s="495"/>
      <c r="C64" s="495"/>
      <c r="D64" s="495"/>
      <c r="E64" s="495"/>
      <c r="F64" s="495"/>
      <c r="G64" s="495"/>
      <c r="H64" s="495"/>
      <c r="I64" s="495"/>
      <c r="J64" s="495"/>
      <c r="K64" s="495"/>
      <c r="L64" s="495"/>
      <c r="M64" s="495"/>
      <c r="N64" s="495"/>
      <c r="O64" s="495"/>
      <c r="P64" s="495"/>
      <c r="Q64" s="495"/>
      <c r="R64" s="495"/>
      <c r="S64" s="495"/>
      <c r="T64" s="495"/>
      <c r="U64" s="495"/>
      <c r="V64" s="495"/>
      <c r="W64" s="495"/>
      <c r="X64" s="495"/>
      <c r="Y64" s="495"/>
      <c r="Z64" s="495"/>
    </row>
    <row r="65" ht="15.75" customHeight="1">
      <c r="A65" s="495"/>
      <c r="B65" s="495"/>
      <c r="C65" s="495"/>
      <c r="D65" s="495"/>
      <c r="E65" s="495"/>
      <c r="F65" s="495"/>
      <c r="G65" s="495"/>
      <c r="H65" s="495"/>
      <c r="I65" s="495"/>
      <c r="J65" s="495"/>
      <c r="K65" s="495"/>
      <c r="L65" s="495"/>
      <c r="M65" s="495"/>
      <c r="N65" s="495"/>
      <c r="O65" s="495"/>
      <c r="P65" s="495"/>
      <c r="Q65" s="495"/>
      <c r="R65" s="495"/>
      <c r="S65" s="495"/>
      <c r="T65" s="495"/>
      <c r="U65" s="495"/>
      <c r="V65" s="495"/>
      <c r="W65" s="495"/>
      <c r="X65" s="495"/>
      <c r="Y65" s="495"/>
      <c r="Z65" s="495"/>
    </row>
    <row r="66" ht="15.75" customHeight="1">
      <c r="A66" s="495"/>
      <c r="B66" s="495"/>
      <c r="C66" s="495"/>
      <c r="D66" s="495"/>
      <c r="E66" s="495"/>
      <c r="F66" s="495"/>
      <c r="G66" s="495"/>
      <c r="H66" s="495"/>
      <c r="I66" s="495"/>
      <c r="J66" s="495"/>
      <c r="K66" s="495"/>
      <c r="L66" s="495"/>
      <c r="M66" s="495"/>
      <c r="N66" s="495"/>
      <c r="O66" s="495"/>
      <c r="P66" s="495"/>
      <c r="Q66" s="495"/>
      <c r="R66" s="495"/>
      <c r="S66" s="495"/>
      <c r="T66" s="495"/>
      <c r="U66" s="495"/>
      <c r="V66" s="495"/>
      <c r="W66" s="495"/>
      <c r="X66" s="495"/>
      <c r="Y66" s="495"/>
      <c r="Z66" s="495"/>
    </row>
    <row r="67" ht="15.75" customHeight="1">
      <c r="A67" s="495"/>
      <c r="B67" s="495"/>
      <c r="C67" s="495"/>
      <c r="D67" s="495"/>
      <c r="E67" s="495"/>
      <c r="F67" s="495"/>
      <c r="G67" s="495"/>
      <c r="H67" s="495"/>
      <c r="I67" s="495"/>
      <c r="J67" s="495"/>
      <c r="K67" s="495"/>
      <c r="L67" s="495"/>
      <c r="M67" s="495"/>
      <c r="N67" s="495"/>
      <c r="O67" s="495"/>
      <c r="P67" s="495"/>
      <c r="Q67" s="495"/>
      <c r="R67" s="495"/>
      <c r="S67" s="495"/>
      <c r="T67" s="495"/>
      <c r="U67" s="495"/>
      <c r="V67" s="495"/>
      <c r="W67" s="495"/>
      <c r="X67" s="495"/>
      <c r="Y67" s="495"/>
      <c r="Z67" s="495"/>
    </row>
    <row r="68" ht="15.75" customHeight="1">
      <c r="A68" s="495"/>
      <c r="B68" s="495"/>
      <c r="C68" s="495"/>
      <c r="D68" s="495"/>
      <c r="E68" s="495"/>
      <c r="F68" s="495"/>
      <c r="G68" s="495"/>
      <c r="H68" s="495"/>
      <c r="I68" s="495"/>
      <c r="J68" s="495"/>
      <c r="K68" s="495"/>
      <c r="L68" s="495"/>
      <c r="M68" s="495"/>
      <c r="N68" s="495"/>
      <c r="O68" s="495"/>
      <c r="P68" s="495"/>
      <c r="Q68" s="495"/>
      <c r="R68" s="495"/>
      <c r="S68" s="495"/>
      <c r="T68" s="495"/>
      <c r="U68" s="495"/>
      <c r="V68" s="495"/>
      <c r="W68" s="495"/>
      <c r="X68" s="495"/>
      <c r="Y68" s="495"/>
      <c r="Z68" s="495"/>
    </row>
    <row r="69" ht="15.75" customHeight="1">
      <c r="A69" s="495"/>
      <c r="B69" s="495"/>
      <c r="C69" s="495"/>
      <c r="D69" s="495"/>
      <c r="E69" s="495"/>
      <c r="F69" s="495"/>
      <c r="G69" s="495"/>
      <c r="H69" s="495"/>
      <c r="I69" s="495"/>
      <c r="J69" s="495"/>
      <c r="K69" s="495"/>
      <c r="L69" s="495"/>
      <c r="M69" s="495"/>
      <c r="N69" s="495"/>
      <c r="O69" s="495"/>
      <c r="P69" s="495"/>
      <c r="Q69" s="495"/>
      <c r="R69" s="495"/>
      <c r="S69" s="495"/>
      <c r="T69" s="495"/>
      <c r="U69" s="495"/>
      <c r="V69" s="495"/>
      <c r="W69" s="495"/>
      <c r="X69" s="495"/>
      <c r="Y69" s="495"/>
      <c r="Z69" s="495"/>
    </row>
    <row r="70" ht="15.75" customHeight="1">
      <c r="A70" s="495"/>
      <c r="B70" s="495"/>
      <c r="C70" s="495"/>
      <c r="D70" s="495"/>
      <c r="E70" s="495"/>
      <c r="F70" s="495"/>
      <c r="G70" s="495"/>
      <c r="H70" s="495"/>
      <c r="I70" s="495"/>
      <c r="J70" s="495"/>
      <c r="K70" s="495"/>
      <c r="L70" s="495"/>
      <c r="M70" s="495"/>
      <c r="N70" s="495"/>
      <c r="O70" s="495"/>
      <c r="P70" s="495"/>
      <c r="Q70" s="495"/>
      <c r="R70" s="495"/>
      <c r="S70" s="495"/>
      <c r="T70" s="495"/>
      <c r="U70" s="495"/>
      <c r="V70" s="495"/>
      <c r="W70" s="495"/>
      <c r="X70" s="495"/>
      <c r="Y70" s="495"/>
      <c r="Z70" s="495"/>
    </row>
    <row r="71" ht="15.75" customHeight="1">
      <c r="A71" s="495"/>
      <c r="B71" s="495"/>
      <c r="C71" s="495"/>
      <c r="D71" s="495"/>
      <c r="E71" s="495"/>
      <c r="F71" s="495"/>
      <c r="G71" s="495"/>
      <c r="H71" s="495"/>
      <c r="I71" s="495"/>
      <c r="J71" s="495"/>
      <c r="K71" s="495"/>
      <c r="L71" s="495"/>
      <c r="M71" s="495"/>
      <c r="N71" s="495"/>
      <c r="O71" s="495"/>
      <c r="P71" s="495"/>
      <c r="Q71" s="495"/>
      <c r="R71" s="495"/>
      <c r="S71" s="495"/>
      <c r="T71" s="495"/>
      <c r="U71" s="495"/>
      <c r="V71" s="495"/>
      <c r="W71" s="495"/>
      <c r="X71" s="495"/>
      <c r="Y71" s="495"/>
      <c r="Z71" s="495"/>
    </row>
    <row r="72" ht="15.75" customHeight="1">
      <c r="A72" s="495"/>
      <c r="B72" s="495"/>
      <c r="C72" s="495"/>
      <c r="D72" s="495"/>
      <c r="E72" s="495"/>
      <c r="F72" s="495"/>
      <c r="G72" s="495"/>
      <c r="H72" s="495"/>
      <c r="I72" s="495"/>
      <c r="J72" s="495"/>
      <c r="K72" s="495"/>
      <c r="L72" s="495"/>
      <c r="M72" s="495"/>
      <c r="N72" s="495"/>
      <c r="O72" s="495"/>
      <c r="P72" s="495"/>
      <c r="Q72" s="495"/>
      <c r="R72" s="495"/>
      <c r="S72" s="495"/>
      <c r="T72" s="495"/>
      <c r="U72" s="495"/>
      <c r="V72" s="495"/>
      <c r="W72" s="495"/>
      <c r="X72" s="495"/>
      <c r="Y72" s="495"/>
      <c r="Z72" s="495"/>
    </row>
    <row r="73" ht="15.75" customHeight="1">
      <c r="A73" s="495"/>
      <c r="B73" s="495"/>
      <c r="C73" s="495"/>
      <c r="D73" s="495"/>
      <c r="E73" s="495"/>
      <c r="F73" s="495"/>
      <c r="G73" s="495"/>
      <c r="H73" s="495"/>
      <c r="I73" s="495"/>
      <c r="J73" s="495"/>
      <c r="K73" s="495"/>
      <c r="L73" s="495"/>
      <c r="M73" s="495"/>
      <c r="N73" s="495"/>
      <c r="O73" s="495"/>
      <c r="P73" s="495"/>
      <c r="Q73" s="495"/>
      <c r="R73" s="495"/>
      <c r="S73" s="495"/>
      <c r="T73" s="495"/>
      <c r="U73" s="495"/>
      <c r="V73" s="495"/>
      <c r="W73" s="495"/>
      <c r="X73" s="495"/>
      <c r="Y73" s="495"/>
      <c r="Z73" s="495"/>
    </row>
    <row r="74" ht="15.75" customHeight="1">
      <c r="A74" s="495"/>
      <c r="B74" s="495"/>
      <c r="C74" s="495"/>
      <c r="D74" s="495"/>
      <c r="E74" s="495"/>
      <c r="F74" s="495"/>
      <c r="G74" s="495"/>
      <c r="H74" s="495"/>
      <c r="I74" s="495"/>
      <c r="J74" s="495"/>
      <c r="K74" s="495"/>
      <c r="L74" s="495"/>
      <c r="M74" s="495"/>
      <c r="N74" s="495"/>
      <c r="O74" s="495"/>
      <c r="P74" s="495"/>
      <c r="Q74" s="495"/>
      <c r="R74" s="495"/>
      <c r="S74" s="495"/>
      <c r="T74" s="495"/>
      <c r="U74" s="495"/>
      <c r="V74" s="495"/>
      <c r="W74" s="495"/>
      <c r="X74" s="495"/>
      <c r="Y74" s="495"/>
      <c r="Z74" s="495"/>
    </row>
    <row r="75" ht="15.75" customHeight="1">
      <c r="A75" s="495"/>
      <c r="B75" s="495"/>
      <c r="C75" s="495"/>
      <c r="D75" s="495"/>
      <c r="E75" s="495"/>
      <c r="F75" s="495"/>
      <c r="G75" s="495"/>
      <c r="H75" s="495"/>
      <c r="I75" s="495"/>
      <c r="J75" s="495"/>
      <c r="K75" s="495"/>
      <c r="L75" s="495"/>
      <c r="M75" s="495"/>
      <c r="N75" s="495"/>
      <c r="O75" s="495"/>
      <c r="P75" s="495"/>
      <c r="Q75" s="495"/>
      <c r="R75" s="495"/>
      <c r="S75" s="495"/>
      <c r="T75" s="495"/>
      <c r="U75" s="495"/>
      <c r="V75" s="495"/>
      <c r="W75" s="495"/>
      <c r="X75" s="495"/>
      <c r="Y75" s="495"/>
      <c r="Z75" s="495"/>
    </row>
    <row r="76" ht="15.75" customHeight="1">
      <c r="A76" s="495"/>
      <c r="B76" s="495"/>
      <c r="C76" s="495"/>
      <c r="D76" s="495"/>
      <c r="E76" s="495"/>
      <c r="F76" s="495"/>
      <c r="G76" s="495"/>
      <c r="H76" s="495"/>
      <c r="I76" s="495"/>
      <c r="J76" s="495"/>
      <c r="K76" s="495"/>
      <c r="L76" s="495"/>
      <c r="M76" s="495"/>
      <c r="N76" s="495"/>
      <c r="O76" s="495"/>
      <c r="P76" s="495"/>
      <c r="Q76" s="495"/>
      <c r="R76" s="495"/>
      <c r="S76" s="495"/>
      <c r="T76" s="495"/>
      <c r="U76" s="495"/>
      <c r="V76" s="495"/>
      <c r="W76" s="495"/>
      <c r="X76" s="495"/>
      <c r="Y76" s="495"/>
      <c r="Z76" s="495"/>
    </row>
    <row r="77" ht="15.75" customHeight="1">
      <c r="A77" s="495"/>
      <c r="B77" s="495"/>
      <c r="C77" s="495"/>
      <c r="D77" s="495"/>
      <c r="E77" s="495"/>
      <c r="F77" s="495"/>
      <c r="G77" s="495"/>
      <c r="H77" s="495"/>
      <c r="I77" s="495"/>
      <c r="J77" s="495"/>
      <c r="K77" s="495"/>
      <c r="L77" s="495"/>
      <c r="M77" s="495"/>
      <c r="N77" s="495"/>
      <c r="O77" s="495"/>
      <c r="P77" s="495"/>
      <c r="Q77" s="495"/>
      <c r="R77" s="495"/>
      <c r="S77" s="495"/>
      <c r="T77" s="495"/>
      <c r="U77" s="495"/>
      <c r="V77" s="495"/>
      <c r="W77" s="495"/>
      <c r="X77" s="495"/>
      <c r="Y77" s="495"/>
      <c r="Z77" s="495"/>
    </row>
    <row r="78" ht="15.75" customHeight="1">
      <c r="A78" s="495"/>
      <c r="B78" s="495"/>
      <c r="C78" s="495"/>
      <c r="D78" s="495"/>
      <c r="E78" s="495"/>
      <c r="F78" s="495"/>
      <c r="G78" s="495"/>
      <c r="H78" s="495"/>
      <c r="I78" s="495"/>
      <c r="J78" s="495"/>
      <c r="K78" s="495"/>
      <c r="L78" s="495"/>
      <c r="M78" s="495"/>
      <c r="N78" s="495"/>
      <c r="O78" s="495"/>
      <c r="P78" s="495"/>
      <c r="Q78" s="495"/>
      <c r="R78" s="495"/>
      <c r="S78" s="495"/>
      <c r="T78" s="495"/>
      <c r="U78" s="495"/>
      <c r="V78" s="495"/>
      <c r="W78" s="495"/>
      <c r="X78" s="495"/>
      <c r="Y78" s="495"/>
      <c r="Z78" s="495"/>
    </row>
    <row r="79" ht="15.75" customHeight="1">
      <c r="A79" s="495"/>
      <c r="B79" s="495"/>
      <c r="C79" s="495"/>
      <c r="D79" s="495"/>
      <c r="E79" s="495"/>
      <c r="F79" s="495"/>
      <c r="G79" s="495"/>
      <c r="H79" s="495"/>
      <c r="I79" s="495"/>
      <c r="J79" s="495"/>
      <c r="K79" s="495"/>
      <c r="L79" s="495"/>
      <c r="M79" s="495"/>
      <c r="N79" s="495"/>
      <c r="O79" s="495"/>
      <c r="P79" s="495"/>
      <c r="Q79" s="495"/>
      <c r="R79" s="495"/>
      <c r="S79" s="495"/>
      <c r="T79" s="495"/>
      <c r="U79" s="495"/>
      <c r="V79" s="495"/>
      <c r="W79" s="495"/>
      <c r="X79" s="495"/>
      <c r="Y79" s="495"/>
      <c r="Z79" s="495"/>
    </row>
    <row r="80" ht="15.75" customHeight="1">
      <c r="A80" s="495"/>
      <c r="B80" s="495"/>
      <c r="C80" s="495"/>
      <c r="D80" s="495"/>
      <c r="E80" s="495"/>
      <c r="F80" s="495"/>
      <c r="G80" s="495"/>
      <c r="H80" s="495"/>
      <c r="I80" s="495"/>
      <c r="J80" s="495"/>
      <c r="K80" s="495"/>
      <c r="L80" s="495"/>
      <c r="M80" s="495"/>
      <c r="N80" s="495"/>
      <c r="O80" s="495"/>
      <c r="P80" s="495"/>
      <c r="Q80" s="495"/>
      <c r="R80" s="495"/>
      <c r="S80" s="495"/>
      <c r="T80" s="495"/>
      <c r="U80" s="495"/>
      <c r="V80" s="495"/>
      <c r="W80" s="495"/>
      <c r="X80" s="495"/>
      <c r="Y80" s="495"/>
      <c r="Z80" s="495"/>
    </row>
    <row r="81" ht="15.75" customHeight="1">
      <c r="A81" s="495"/>
      <c r="B81" s="495"/>
      <c r="C81" s="495"/>
      <c r="D81" s="495"/>
      <c r="E81" s="495"/>
      <c r="F81" s="495"/>
      <c r="G81" s="495"/>
      <c r="H81" s="495"/>
      <c r="I81" s="495"/>
      <c r="J81" s="495"/>
      <c r="K81" s="495"/>
      <c r="L81" s="495"/>
      <c r="M81" s="495"/>
      <c r="N81" s="495"/>
      <c r="O81" s="495"/>
      <c r="P81" s="495"/>
      <c r="Q81" s="495"/>
      <c r="R81" s="495"/>
      <c r="S81" s="495"/>
      <c r="T81" s="495"/>
      <c r="U81" s="495"/>
      <c r="V81" s="495"/>
      <c r="W81" s="495"/>
      <c r="X81" s="495"/>
      <c r="Y81" s="495"/>
      <c r="Z81" s="495"/>
    </row>
    <row r="82" ht="15.75" customHeight="1">
      <c r="A82" s="495"/>
      <c r="B82" s="495"/>
      <c r="C82" s="495"/>
      <c r="D82" s="495"/>
      <c r="E82" s="495"/>
      <c r="F82" s="495"/>
      <c r="G82" s="495"/>
      <c r="H82" s="495"/>
      <c r="I82" s="495"/>
      <c r="J82" s="495"/>
      <c r="K82" s="495"/>
      <c r="L82" s="495"/>
      <c r="M82" s="495"/>
      <c r="N82" s="495"/>
      <c r="O82" s="495"/>
      <c r="P82" s="495"/>
      <c r="Q82" s="495"/>
      <c r="R82" s="495"/>
      <c r="S82" s="495"/>
      <c r="T82" s="495"/>
      <c r="U82" s="495"/>
      <c r="V82" s="495"/>
      <c r="W82" s="495"/>
      <c r="X82" s="495"/>
      <c r="Y82" s="495"/>
      <c r="Z82" s="495"/>
    </row>
    <row r="83" ht="15.75" customHeight="1">
      <c r="A83" s="495"/>
      <c r="B83" s="495"/>
      <c r="C83" s="495"/>
      <c r="D83" s="495"/>
      <c r="E83" s="495"/>
      <c r="F83" s="495"/>
      <c r="G83" s="495"/>
      <c r="H83" s="495"/>
      <c r="I83" s="495"/>
      <c r="J83" s="495"/>
      <c r="K83" s="495"/>
      <c r="L83" s="495"/>
      <c r="M83" s="495"/>
      <c r="N83" s="495"/>
      <c r="O83" s="495"/>
      <c r="P83" s="495"/>
      <c r="Q83" s="495"/>
      <c r="R83" s="495"/>
      <c r="S83" s="495"/>
      <c r="T83" s="495"/>
      <c r="U83" s="495"/>
      <c r="V83" s="495"/>
      <c r="W83" s="495"/>
      <c r="X83" s="495"/>
      <c r="Y83" s="495"/>
      <c r="Z83" s="495"/>
    </row>
    <row r="84" ht="15.75" customHeight="1">
      <c r="A84" s="495"/>
      <c r="B84" s="495"/>
      <c r="C84" s="495"/>
      <c r="D84" s="495"/>
      <c r="E84" s="495"/>
      <c r="F84" s="495"/>
      <c r="G84" s="495"/>
      <c r="H84" s="495"/>
      <c r="I84" s="495"/>
      <c r="J84" s="495"/>
      <c r="K84" s="495"/>
      <c r="L84" s="495"/>
      <c r="M84" s="495"/>
      <c r="N84" s="495"/>
      <c r="O84" s="495"/>
      <c r="P84" s="495"/>
      <c r="Q84" s="495"/>
      <c r="R84" s="495"/>
      <c r="S84" s="495"/>
      <c r="T84" s="495"/>
      <c r="U84" s="495"/>
      <c r="V84" s="495"/>
      <c r="W84" s="495"/>
      <c r="X84" s="495"/>
      <c r="Y84" s="495"/>
      <c r="Z84" s="495"/>
    </row>
    <row r="85" ht="15.75" customHeight="1">
      <c r="A85" s="495"/>
      <c r="B85" s="495"/>
      <c r="C85" s="495"/>
      <c r="D85" s="495"/>
      <c r="E85" s="495"/>
      <c r="F85" s="495"/>
      <c r="G85" s="495"/>
      <c r="H85" s="495"/>
      <c r="I85" s="495"/>
      <c r="J85" s="495"/>
      <c r="K85" s="495"/>
      <c r="L85" s="495"/>
      <c r="M85" s="495"/>
      <c r="N85" s="495"/>
      <c r="O85" s="495"/>
      <c r="P85" s="495"/>
      <c r="Q85" s="495"/>
      <c r="R85" s="495"/>
      <c r="S85" s="495"/>
      <c r="T85" s="495"/>
      <c r="U85" s="495"/>
      <c r="V85" s="495"/>
      <c r="W85" s="495"/>
      <c r="X85" s="495"/>
      <c r="Y85" s="495"/>
      <c r="Z85" s="495"/>
    </row>
    <row r="86" ht="15.75" customHeight="1">
      <c r="A86" s="495"/>
      <c r="B86" s="495"/>
      <c r="C86" s="495"/>
      <c r="D86" s="495"/>
      <c r="E86" s="495"/>
      <c r="F86" s="495"/>
      <c r="G86" s="495"/>
      <c r="H86" s="495"/>
      <c r="I86" s="495"/>
      <c r="J86" s="495"/>
      <c r="K86" s="495"/>
      <c r="L86" s="495"/>
      <c r="M86" s="495"/>
      <c r="N86" s="495"/>
      <c r="O86" s="495"/>
      <c r="P86" s="495"/>
      <c r="Q86" s="495"/>
      <c r="R86" s="495"/>
      <c r="S86" s="495"/>
      <c r="T86" s="495"/>
      <c r="U86" s="495"/>
      <c r="V86" s="495"/>
      <c r="W86" s="495"/>
      <c r="X86" s="495"/>
      <c r="Y86" s="495"/>
      <c r="Z86" s="495"/>
    </row>
    <row r="87" ht="15.75" customHeight="1">
      <c r="A87" s="495"/>
      <c r="B87" s="495"/>
      <c r="C87" s="495"/>
      <c r="D87" s="495"/>
      <c r="E87" s="495"/>
      <c r="F87" s="495"/>
      <c r="G87" s="495"/>
      <c r="H87" s="495"/>
      <c r="I87" s="495"/>
      <c r="J87" s="495"/>
      <c r="K87" s="495"/>
      <c r="L87" s="495"/>
      <c r="M87" s="495"/>
      <c r="N87" s="495"/>
      <c r="O87" s="495"/>
      <c r="P87" s="495"/>
      <c r="Q87" s="495"/>
      <c r="R87" s="495"/>
      <c r="S87" s="495"/>
      <c r="T87" s="495"/>
      <c r="U87" s="495"/>
      <c r="V87" s="495"/>
      <c r="W87" s="495"/>
      <c r="X87" s="495"/>
      <c r="Y87" s="495"/>
      <c r="Z87" s="495"/>
    </row>
    <row r="88" ht="15.75" customHeight="1">
      <c r="A88" s="495"/>
      <c r="B88" s="495"/>
      <c r="C88" s="495"/>
      <c r="D88" s="495"/>
      <c r="E88" s="495"/>
      <c r="F88" s="495"/>
      <c r="G88" s="495"/>
      <c r="H88" s="495"/>
      <c r="I88" s="495"/>
      <c r="J88" s="495"/>
      <c r="K88" s="495"/>
      <c r="L88" s="495"/>
      <c r="M88" s="495"/>
      <c r="N88" s="495"/>
      <c r="O88" s="495"/>
      <c r="P88" s="495"/>
      <c r="Q88" s="495"/>
      <c r="R88" s="495"/>
      <c r="S88" s="495"/>
      <c r="T88" s="495"/>
      <c r="U88" s="495"/>
      <c r="V88" s="495"/>
      <c r="W88" s="495"/>
      <c r="X88" s="495"/>
      <c r="Y88" s="495"/>
      <c r="Z88" s="495"/>
    </row>
    <row r="89" ht="15.75" customHeight="1">
      <c r="A89" s="495"/>
      <c r="B89" s="495"/>
      <c r="C89" s="495"/>
      <c r="D89" s="495"/>
      <c r="E89" s="495"/>
      <c r="F89" s="495"/>
      <c r="G89" s="495"/>
      <c r="H89" s="495"/>
      <c r="I89" s="495"/>
      <c r="J89" s="495"/>
      <c r="K89" s="495"/>
      <c r="L89" s="495"/>
      <c r="M89" s="495"/>
      <c r="N89" s="495"/>
      <c r="O89" s="495"/>
      <c r="P89" s="495"/>
      <c r="Q89" s="495"/>
      <c r="R89" s="495"/>
      <c r="S89" s="495"/>
      <c r="T89" s="495"/>
      <c r="U89" s="495"/>
      <c r="V89" s="495"/>
      <c r="W89" s="495"/>
      <c r="X89" s="495"/>
      <c r="Y89" s="495"/>
      <c r="Z89" s="495"/>
    </row>
    <row r="90" ht="15.75" customHeight="1">
      <c r="A90" s="495"/>
      <c r="B90" s="495"/>
      <c r="C90" s="495"/>
      <c r="D90" s="495"/>
      <c r="E90" s="495"/>
      <c r="F90" s="495"/>
      <c r="G90" s="495"/>
      <c r="H90" s="495"/>
      <c r="I90" s="495"/>
      <c r="J90" s="495"/>
      <c r="K90" s="495"/>
      <c r="L90" s="495"/>
      <c r="M90" s="495"/>
      <c r="N90" s="495"/>
      <c r="O90" s="495"/>
      <c r="P90" s="495"/>
      <c r="Q90" s="495"/>
      <c r="R90" s="495"/>
      <c r="S90" s="495"/>
      <c r="T90" s="495"/>
      <c r="U90" s="495"/>
      <c r="V90" s="495"/>
      <c r="W90" s="495"/>
      <c r="X90" s="495"/>
      <c r="Y90" s="495"/>
      <c r="Z90" s="495"/>
    </row>
    <row r="91" ht="15.75" customHeight="1">
      <c r="A91" s="495"/>
      <c r="B91" s="495"/>
      <c r="C91" s="495"/>
      <c r="D91" s="495"/>
      <c r="E91" s="495"/>
      <c r="F91" s="495"/>
      <c r="G91" s="495"/>
      <c r="H91" s="495"/>
      <c r="I91" s="495"/>
      <c r="J91" s="495"/>
      <c r="K91" s="495"/>
      <c r="L91" s="495"/>
      <c r="M91" s="495"/>
      <c r="N91" s="495"/>
      <c r="O91" s="495"/>
      <c r="P91" s="495"/>
      <c r="Q91" s="495"/>
      <c r="R91" s="495"/>
      <c r="S91" s="495"/>
      <c r="T91" s="495"/>
      <c r="U91" s="495"/>
      <c r="V91" s="495"/>
      <c r="W91" s="495"/>
      <c r="X91" s="495"/>
      <c r="Y91" s="495"/>
      <c r="Z91" s="495"/>
    </row>
    <row r="92" ht="15.75" customHeight="1">
      <c r="A92" s="495"/>
      <c r="B92" s="495"/>
      <c r="C92" s="495"/>
      <c r="D92" s="495"/>
      <c r="E92" s="495"/>
      <c r="F92" s="495"/>
      <c r="G92" s="495"/>
      <c r="H92" s="495"/>
      <c r="I92" s="495"/>
      <c r="J92" s="495"/>
      <c r="K92" s="495"/>
      <c r="L92" s="495"/>
      <c r="M92" s="495"/>
      <c r="N92" s="495"/>
      <c r="O92" s="495"/>
      <c r="P92" s="495"/>
      <c r="Q92" s="495"/>
      <c r="R92" s="495"/>
      <c r="S92" s="495"/>
      <c r="T92" s="495"/>
      <c r="U92" s="495"/>
      <c r="V92" s="495"/>
      <c r="W92" s="495"/>
      <c r="X92" s="495"/>
      <c r="Y92" s="495"/>
      <c r="Z92" s="495"/>
    </row>
    <row r="93" ht="15.75" customHeight="1">
      <c r="A93" s="495"/>
      <c r="B93" s="495"/>
      <c r="C93" s="495"/>
      <c r="D93" s="495"/>
      <c r="E93" s="495"/>
      <c r="F93" s="495"/>
      <c r="G93" s="495"/>
      <c r="H93" s="495"/>
      <c r="I93" s="495"/>
      <c r="J93" s="495"/>
      <c r="K93" s="495"/>
      <c r="L93" s="495"/>
      <c r="M93" s="495"/>
      <c r="N93" s="495"/>
      <c r="O93" s="495"/>
      <c r="P93" s="495"/>
      <c r="Q93" s="495"/>
      <c r="R93" s="495"/>
      <c r="S93" s="495"/>
      <c r="T93" s="495"/>
      <c r="U93" s="495"/>
      <c r="V93" s="495"/>
      <c r="W93" s="495"/>
      <c r="X93" s="495"/>
      <c r="Y93" s="495"/>
      <c r="Z93" s="495"/>
    </row>
    <row r="94" ht="15.75" customHeight="1">
      <c r="A94" s="495"/>
      <c r="B94" s="495"/>
      <c r="C94" s="495"/>
      <c r="D94" s="495"/>
      <c r="E94" s="495"/>
      <c r="F94" s="495"/>
      <c r="G94" s="495"/>
      <c r="H94" s="495"/>
      <c r="I94" s="495"/>
      <c r="J94" s="495"/>
      <c r="K94" s="495"/>
      <c r="L94" s="495"/>
      <c r="M94" s="495"/>
      <c r="N94" s="495"/>
      <c r="O94" s="495"/>
      <c r="P94" s="495"/>
      <c r="Q94" s="495"/>
      <c r="R94" s="495"/>
      <c r="S94" s="495"/>
      <c r="T94" s="495"/>
      <c r="U94" s="495"/>
      <c r="V94" s="495"/>
      <c r="W94" s="495"/>
      <c r="X94" s="495"/>
      <c r="Y94" s="495"/>
      <c r="Z94" s="495"/>
    </row>
    <row r="95" ht="15.75" customHeight="1">
      <c r="A95" s="495"/>
      <c r="B95" s="495"/>
      <c r="C95" s="495"/>
      <c r="D95" s="495"/>
      <c r="E95" s="495"/>
      <c r="F95" s="495"/>
      <c r="G95" s="495"/>
      <c r="H95" s="495"/>
      <c r="I95" s="495"/>
      <c r="J95" s="495"/>
      <c r="K95" s="495"/>
      <c r="L95" s="495"/>
      <c r="M95" s="495"/>
      <c r="N95" s="495"/>
      <c r="O95" s="495"/>
      <c r="P95" s="495"/>
      <c r="Q95" s="495"/>
      <c r="R95" s="495"/>
      <c r="S95" s="495"/>
      <c r="T95" s="495"/>
      <c r="U95" s="495"/>
      <c r="V95" s="495"/>
      <c r="W95" s="495"/>
      <c r="X95" s="495"/>
      <c r="Y95" s="495"/>
      <c r="Z95" s="495"/>
    </row>
    <row r="96" ht="15.75" customHeight="1">
      <c r="A96" s="495"/>
      <c r="B96" s="495"/>
      <c r="C96" s="495"/>
      <c r="D96" s="495"/>
      <c r="E96" s="495"/>
      <c r="F96" s="495"/>
      <c r="G96" s="495"/>
      <c r="H96" s="495"/>
      <c r="I96" s="495"/>
      <c r="J96" s="495"/>
      <c r="K96" s="495"/>
      <c r="L96" s="495"/>
      <c r="M96" s="495"/>
      <c r="N96" s="495"/>
      <c r="O96" s="495"/>
      <c r="P96" s="495"/>
      <c r="Q96" s="495"/>
      <c r="R96" s="495"/>
      <c r="S96" s="495"/>
      <c r="T96" s="495"/>
      <c r="U96" s="495"/>
      <c r="V96" s="495"/>
      <c r="W96" s="495"/>
      <c r="X96" s="495"/>
      <c r="Y96" s="495"/>
      <c r="Z96" s="495"/>
    </row>
    <row r="97" ht="15.75" customHeight="1">
      <c r="A97" s="495"/>
      <c r="B97" s="495"/>
      <c r="C97" s="495"/>
      <c r="D97" s="495"/>
      <c r="E97" s="495"/>
      <c r="F97" s="495"/>
      <c r="G97" s="495"/>
      <c r="H97" s="495"/>
      <c r="I97" s="495"/>
      <c r="J97" s="495"/>
      <c r="K97" s="495"/>
      <c r="L97" s="495"/>
      <c r="M97" s="495"/>
      <c r="N97" s="495"/>
      <c r="O97" s="495"/>
      <c r="P97" s="495"/>
      <c r="Q97" s="495"/>
      <c r="R97" s="495"/>
      <c r="S97" s="495"/>
      <c r="T97" s="495"/>
      <c r="U97" s="495"/>
      <c r="V97" s="495"/>
      <c r="W97" s="495"/>
      <c r="X97" s="495"/>
      <c r="Y97" s="495"/>
      <c r="Z97" s="495"/>
    </row>
    <row r="98" ht="15.75" customHeight="1">
      <c r="A98" s="495"/>
      <c r="B98" s="495"/>
      <c r="C98" s="495"/>
      <c r="D98" s="495"/>
      <c r="E98" s="495"/>
      <c r="F98" s="495"/>
      <c r="G98" s="495"/>
      <c r="H98" s="495"/>
      <c r="I98" s="495"/>
      <c r="J98" s="495"/>
      <c r="K98" s="495"/>
      <c r="L98" s="495"/>
      <c r="M98" s="495"/>
      <c r="N98" s="495"/>
      <c r="O98" s="495"/>
      <c r="P98" s="495"/>
      <c r="Q98" s="495"/>
      <c r="R98" s="495"/>
      <c r="S98" s="495"/>
      <c r="T98" s="495"/>
      <c r="U98" s="495"/>
      <c r="V98" s="495"/>
      <c r="W98" s="495"/>
      <c r="X98" s="495"/>
      <c r="Y98" s="495"/>
      <c r="Z98" s="495"/>
    </row>
    <row r="99" ht="15.75" customHeight="1">
      <c r="A99" s="495"/>
      <c r="B99" s="495"/>
      <c r="C99" s="495"/>
      <c r="D99" s="495"/>
      <c r="E99" s="495"/>
      <c r="F99" s="495"/>
      <c r="G99" s="495"/>
      <c r="H99" s="495"/>
      <c r="I99" s="495"/>
      <c r="J99" s="495"/>
      <c r="K99" s="495"/>
      <c r="L99" s="495"/>
      <c r="M99" s="495"/>
      <c r="N99" s="495"/>
      <c r="O99" s="495"/>
      <c r="P99" s="495"/>
      <c r="Q99" s="495"/>
      <c r="R99" s="495"/>
      <c r="S99" s="495"/>
      <c r="T99" s="495"/>
      <c r="U99" s="495"/>
      <c r="V99" s="495"/>
      <c r="W99" s="495"/>
      <c r="X99" s="495"/>
      <c r="Y99" s="495"/>
      <c r="Z99" s="495"/>
    </row>
    <row r="100" ht="15.75" customHeight="1">
      <c r="A100" s="495"/>
      <c r="B100" s="495"/>
      <c r="C100" s="495"/>
      <c r="D100" s="495"/>
      <c r="E100" s="495"/>
      <c r="F100" s="495"/>
      <c r="G100" s="495"/>
      <c r="H100" s="495"/>
      <c r="I100" s="495"/>
      <c r="J100" s="495"/>
      <c r="K100" s="495"/>
      <c r="L100" s="495"/>
      <c r="M100" s="495"/>
      <c r="N100" s="495"/>
      <c r="O100" s="495"/>
      <c r="P100" s="495"/>
      <c r="Q100" s="495"/>
      <c r="R100" s="495"/>
      <c r="S100" s="495"/>
      <c r="T100" s="495"/>
      <c r="U100" s="495"/>
      <c r="V100" s="495"/>
      <c r="W100" s="495"/>
      <c r="X100" s="495"/>
      <c r="Y100" s="495"/>
      <c r="Z100" s="495"/>
    </row>
    <row r="101" ht="15.75" customHeight="1">
      <c r="A101" s="495"/>
      <c r="B101" s="495"/>
      <c r="C101" s="495"/>
      <c r="D101" s="495"/>
      <c r="E101" s="495"/>
      <c r="F101" s="495"/>
      <c r="G101" s="495"/>
      <c r="H101" s="495"/>
      <c r="I101" s="495"/>
      <c r="J101" s="495"/>
      <c r="K101" s="495"/>
      <c r="L101" s="495"/>
      <c r="M101" s="495"/>
      <c r="N101" s="495"/>
      <c r="O101" s="495"/>
      <c r="P101" s="495"/>
      <c r="Q101" s="495"/>
      <c r="R101" s="495"/>
      <c r="S101" s="495"/>
      <c r="T101" s="495"/>
      <c r="U101" s="495"/>
      <c r="V101" s="495"/>
      <c r="W101" s="495"/>
      <c r="X101" s="495"/>
      <c r="Y101" s="495"/>
      <c r="Z101" s="495"/>
    </row>
    <row r="102" ht="15.75" customHeight="1">
      <c r="A102" s="495"/>
      <c r="B102" s="495"/>
      <c r="C102" s="495"/>
      <c r="D102" s="495"/>
      <c r="E102" s="495"/>
      <c r="F102" s="495"/>
      <c r="G102" s="495"/>
      <c r="H102" s="495"/>
      <c r="I102" s="495"/>
      <c r="J102" s="495"/>
      <c r="K102" s="495"/>
      <c r="L102" s="495"/>
      <c r="M102" s="495"/>
      <c r="N102" s="495"/>
      <c r="O102" s="495"/>
      <c r="P102" s="495"/>
      <c r="Q102" s="495"/>
      <c r="R102" s="495"/>
      <c r="S102" s="495"/>
      <c r="T102" s="495"/>
      <c r="U102" s="495"/>
      <c r="V102" s="495"/>
      <c r="W102" s="495"/>
      <c r="X102" s="495"/>
      <c r="Y102" s="495"/>
      <c r="Z102" s="495"/>
    </row>
    <row r="103" ht="15.75" customHeight="1">
      <c r="A103" s="495"/>
      <c r="B103" s="495"/>
      <c r="C103" s="495"/>
      <c r="D103" s="495"/>
      <c r="E103" s="495"/>
      <c r="F103" s="495"/>
      <c r="G103" s="495"/>
      <c r="H103" s="495"/>
      <c r="I103" s="495"/>
      <c r="J103" s="495"/>
      <c r="K103" s="495"/>
      <c r="L103" s="495"/>
      <c r="M103" s="495"/>
      <c r="N103" s="495"/>
      <c r="O103" s="495"/>
      <c r="P103" s="495"/>
      <c r="Q103" s="495"/>
      <c r="R103" s="495"/>
      <c r="S103" s="495"/>
      <c r="T103" s="495"/>
      <c r="U103" s="495"/>
      <c r="V103" s="495"/>
      <c r="W103" s="495"/>
      <c r="X103" s="495"/>
      <c r="Y103" s="495"/>
      <c r="Z103" s="495"/>
    </row>
    <row r="104" ht="15.75" customHeight="1">
      <c r="A104" s="495"/>
      <c r="B104" s="495"/>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c r="Z104" s="495"/>
    </row>
    <row r="105" ht="15.75" customHeight="1">
      <c r="A105" s="495"/>
      <c r="B105" s="495"/>
      <c r="C105" s="495"/>
      <c r="D105" s="495"/>
      <c r="E105" s="495"/>
      <c r="F105" s="495"/>
      <c r="G105" s="495"/>
      <c r="H105" s="495"/>
      <c r="I105" s="495"/>
      <c r="J105" s="495"/>
      <c r="K105" s="495"/>
      <c r="L105" s="495"/>
      <c r="M105" s="495"/>
      <c r="N105" s="495"/>
      <c r="O105" s="495"/>
      <c r="P105" s="495"/>
      <c r="Q105" s="495"/>
      <c r="R105" s="495"/>
      <c r="S105" s="495"/>
      <c r="T105" s="495"/>
      <c r="U105" s="495"/>
      <c r="V105" s="495"/>
      <c r="W105" s="495"/>
      <c r="X105" s="495"/>
      <c r="Y105" s="495"/>
      <c r="Z105" s="495"/>
    </row>
    <row r="106" ht="15.75" customHeight="1">
      <c r="A106" s="495"/>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row>
    <row r="107" ht="15.75" customHeight="1">
      <c r="A107" s="495"/>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row>
    <row r="108" ht="15.75" customHeight="1">
      <c r="A108" s="495"/>
      <c r="B108" s="495"/>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c r="Z108" s="495"/>
    </row>
    <row r="109" ht="15.75" customHeight="1">
      <c r="A109" s="495"/>
      <c r="B109" s="495"/>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c r="Z109" s="495"/>
    </row>
    <row r="110" ht="15.75" customHeight="1">
      <c r="A110" s="495"/>
      <c r="B110" s="495"/>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c r="Z110" s="495"/>
    </row>
    <row r="111" ht="15.75" customHeight="1">
      <c r="A111" s="495"/>
      <c r="B111" s="495"/>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c r="Z111" s="495"/>
    </row>
    <row r="112" ht="15.75" customHeight="1">
      <c r="A112" s="495"/>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row>
    <row r="113" ht="15.75" customHeight="1">
      <c r="A113" s="495"/>
      <c r="B113" s="495"/>
      <c r="C113" s="495"/>
      <c r="D113" s="495"/>
      <c r="E113" s="495"/>
      <c r="F113" s="495"/>
      <c r="G113" s="495"/>
      <c r="H113" s="495"/>
      <c r="I113" s="495"/>
      <c r="J113" s="495"/>
      <c r="K113" s="495"/>
      <c r="L113" s="495"/>
      <c r="M113" s="495"/>
      <c r="N113" s="495"/>
      <c r="O113" s="495"/>
      <c r="P113" s="495"/>
      <c r="Q113" s="495"/>
      <c r="R113" s="495"/>
      <c r="S113" s="495"/>
      <c r="T113" s="495"/>
      <c r="U113" s="495"/>
      <c r="V113" s="495"/>
      <c r="W113" s="495"/>
      <c r="X113" s="495"/>
      <c r="Y113" s="495"/>
      <c r="Z113" s="495"/>
    </row>
    <row r="114" ht="15.75" customHeight="1">
      <c r="A114" s="495"/>
      <c r="B114" s="495"/>
      <c r="C114" s="495"/>
      <c r="D114" s="495"/>
      <c r="E114" s="495"/>
      <c r="F114" s="495"/>
      <c r="G114" s="495"/>
      <c r="H114" s="495"/>
      <c r="I114" s="495"/>
      <c r="J114" s="495"/>
      <c r="K114" s="495"/>
      <c r="L114" s="495"/>
      <c r="M114" s="495"/>
      <c r="N114" s="495"/>
      <c r="O114" s="495"/>
      <c r="P114" s="495"/>
      <c r="Q114" s="495"/>
      <c r="R114" s="495"/>
      <c r="S114" s="495"/>
      <c r="T114" s="495"/>
      <c r="U114" s="495"/>
      <c r="V114" s="495"/>
      <c r="W114" s="495"/>
      <c r="X114" s="495"/>
      <c r="Y114" s="495"/>
      <c r="Z114" s="495"/>
    </row>
    <row r="115" ht="15.75" customHeight="1">
      <c r="A115" s="495"/>
      <c r="B115" s="495"/>
      <c r="C115" s="495"/>
      <c r="D115" s="495"/>
      <c r="E115" s="495"/>
      <c r="F115" s="495"/>
      <c r="G115" s="495"/>
      <c r="H115" s="495"/>
      <c r="I115" s="495"/>
      <c r="J115" s="495"/>
      <c r="K115" s="495"/>
      <c r="L115" s="495"/>
      <c r="M115" s="495"/>
      <c r="N115" s="495"/>
      <c r="O115" s="495"/>
      <c r="P115" s="495"/>
      <c r="Q115" s="495"/>
      <c r="R115" s="495"/>
      <c r="S115" s="495"/>
      <c r="T115" s="495"/>
      <c r="U115" s="495"/>
      <c r="V115" s="495"/>
      <c r="W115" s="495"/>
      <c r="X115" s="495"/>
      <c r="Y115" s="495"/>
      <c r="Z115" s="495"/>
    </row>
    <row r="116" ht="15.75" customHeight="1">
      <c r="A116" s="495"/>
      <c r="B116" s="495"/>
      <c r="C116" s="495"/>
      <c r="D116" s="495"/>
      <c r="E116" s="495"/>
      <c r="F116" s="495"/>
      <c r="G116" s="495"/>
      <c r="H116" s="495"/>
      <c r="I116" s="495"/>
      <c r="J116" s="495"/>
      <c r="K116" s="495"/>
      <c r="L116" s="495"/>
      <c r="M116" s="495"/>
      <c r="N116" s="495"/>
      <c r="O116" s="495"/>
      <c r="P116" s="495"/>
      <c r="Q116" s="495"/>
      <c r="R116" s="495"/>
      <c r="S116" s="495"/>
      <c r="T116" s="495"/>
      <c r="U116" s="495"/>
      <c r="V116" s="495"/>
      <c r="W116" s="495"/>
      <c r="X116" s="495"/>
      <c r="Y116" s="495"/>
      <c r="Z116" s="495"/>
    </row>
    <row r="117" ht="15.75" customHeight="1">
      <c r="A117" s="495"/>
      <c r="B117" s="495"/>
      <c r="C117" s="495"/>
      <c r="D117" s="495"/>
      <c r="E117" s="495"/>
      <c r="F117" s="495"/>
      <c r="G117" s="495"/>
      <c r="H117" s="495"/>
      <c r="I117" s="495"/>
      <c r="J117" s="495"/>
      <c r="K117" s="495"/>
      <c r="L117" s="495"/>
      <c r="M117" s="495"/>
      <c r="N117" s="495"/>
      <c r="O117" s="495"/>
      <c r="P117" s="495"/>
      <c r="Q117" s="495"/>
      <c r="R117" s="495"/>
      <c r="S117" s="495"/>
      <c r="T117" s="495"/>
      <c r="U117" s="495"/>
      <c r="V117" s="495"/>
      <c r="W117" s="495"/>
      <c r="X117" s="495"/>
      <c r="Y117" s="495"/>
      <c r="Z117" s="495"/>
    </row>
    <row r="118" ht="15.75" customHeight="1">
      <c r="A118" s="495"/>
      <c r="B118" s="495"/>
      <c r="C118" s="495"/>
      <c r="D118" s="495"/>
      <c r="E118" s="495"/>
      <c r="F118" s="495"/>
      <c r="G118" s="495"/>
      <c r="H118" s="495"/>
      <c r="I118" s="495"/>
      <c r="J118" s="495"/>
      <c r="K118" s="495"/>
      <c r="L118" s="495"/>
      <c r="M118" s="495"/>
      <c r="N118" s="495"/>
      <c r="O118" s="495"/>
      <c r="P118" s="495"/>
      <c r="Q118" s="495"/>
      <c r="R118" s="495"/>
      <c r="S118" s="495"/>
      <c r="T118" s="495"/>
      <c r="U118" s="495"/>
      <c r="V118" s="495"/>
      <c r="W118" s="495"/>
      <c r="X118" s="495"/>
      <c r="Y118" s="495"/>
      <c r="Z118" s="495"/>
    </row>
    <row r="119" ht="15.75" customHeight="1">
      <c r="A119" s="495"/>
      <c r="B119" s="495"/>
      <c r="C119" s="495"/>
      <c r="D119" s="495"/>
      <c r="E119" s="495"/>
      <c r="F119" s="495"/>
      <c r="G119" s="495"/>
      <c r="H119" s="495"/>
      <c r="I119" s="495"/>
      <c r="J119" s="495"/>
      <c r="K119" s="495"/>
      <c r="L119" s="495"/>
      <c r="M119" s="495"/>
      <c r="N119" s="495"/>
      <c r="O119" s="495"/>
      <c r="P119" s="495"/>
      <c r="Q119" s="495"/>
      <c r="R119" s="495"/>
      <c r="S119" s="495"/>
      <c r="T119" s="495"/>
      <c r="U119" s="495"/>
      <c r="V119" s="495"/>
      <c r="W119" s="495"/>
      <c r="X119" s="495"/>
      <c r="Y119" s="495"/>
      <c r="Z119" s="495"/>
    </row>
    <row r="120" ht="15.75" customHeight="1">
      <c r="A120" s="495"/>
      <c r="B120" s="495"/>
      <c r="C120" s="495"/>
      <c r="D120" s="495"/>
      <c r="E120" s="495"/>
      <c r="F120" s="495"/>
      <c r="G120" s="495"/>
      <c r="H120" s="495"/>
      <c r="I120" s="495"/>
      <c r="J120" s="495"/>
      <c r="K120" s="495"/>
      <c r="L120" s="495"/>
      <c r="M120" s="495"/>
      <c r="N120" s="495"/>
      <c r="O120" s="495"/>
      <c r="P120" s="495"/>
      <c r="Q120" s="495"/>
      <c r="R120" s="495"/>
      <c r="S120" s="495"/>
      <c r="T120" s="495"/>
      <c r="U120" s="495"/>
      <c r="V120" s="495"/>
      <c r="W120" s="495"/>
      <c r="X120" s="495"/>
      <c r="Y120" s="495"/>
      <c r="Z120" s="495"/>
    </row>
    <row r="121" ht="15.75" customHeight="1">
      <c r="A121" s="495"/>
      <c r="B121" s="495"/>
      <c r="C121" s="495"/>
      <c r="D121" s="495"/>
      <c r="E121" s="495"/>
      <c r="F121" s="495"/>
      <c r="G121" s="495"/>
      <c r="H121" s="495"/>
      <c r="I121" s="495"/>
      <c r="J121" s="495"/>
      <c r="K121" s="495"/>
      <c r="L121" s="495"/>
      <c r="M121" s="495"/>
      <c r="N121" s="495"/>
      <c r="O121" s="495"/>
      <c r="P121" s="495"/>
      <c r="Q121" s="495"/>
      <c r="R121" s="495"/>
      <c r="S121" s="495"/>
      <c r="T121" s="495"/>
      <c r="U121" s="495"/>
      <c r="V121" s="495"/>
      <c r="W121" s="495"/>
      <c r="X121" s="495"/>
      <c r="Y121" s="495"/>
      <c r="Z121" s="495"/>
    </row>
    <row r="122" ht="15.75" customHeight="1">
      <c r="A122" s="495"/>
      <c r="B122" s="495"/>
      <c r="C122" s="495"/>
      <c r="D122" s="495"/>
      <c r="E122" s="495"/>
      <c r="F122" s="495"/>
      <c r="G122" s="495"/>
      <c r="H122" s="495"/>
      <c r="I122" s="495"/>
      <c r="J122" s="495"/>
      <c r="K122" s="495"/>
      <c r="L122" s="495"/>
      <c r="M122" s="495"/>
      <c r="N122" s="495"/>
      <c r="O122" s="495"/>
      <c r="P122" s="495"/>
      <c r="Q122" s="495"/>
      <c r="R122" s="495"/>
      <c r="S122" s="495"/>
      <c r="T122" s="495"/>
      <c r="U122" s="495"/>
      <c r="V122" s="495"/>
      <c r="W122" s="495"/>
      <c r="X122" s="495"/>
      <c r="Y122" s="495"/>
      <c r="Z122" s="495"/>
    </row>
    <row r="123" ht="15.75" customHeight="1">
      <c r="A123" s="495"/>
      <c r="B123" s="495"/>
      <c r="C123" s="495"/>
      <c r="D123" s="495"/>
      <c r="E123" s="495"/>
      <c r="F123" s="495"/>
      <c r="G123" s="495"/>
      <c r="H123" s="495"/>
      <c r="I123" s="495"/>
      <c r="J123" s="495"/>
      <c r="K123" s="495"/>
      <c r="L123" s="495"/>
      <c r="M123" s="495"/>
      <c r="N123" s="495"/>
      <c r="O123" s="495"/>
      <c r="P123" s="495"/>
      <c r="Q123" s="495"/>
      <c r="R123" s="495"/>
      <c r="S123" s="495"/>
      <c r="T123" s="495"/>
      <c r="U123" s="495"/>
      <c r="V123" s="495"/>
      <c r="W123" s="495"/>
      <c r="X123" s="495"/>
      <c r="Y123" s="495"/>
      <c r="Z123" s="495"/>
    </row>
    <row r="124" ht="15.75" customHeight="1">
      <c r="A124" s="495"/>
      <c r="B124" s="495"/>
      <c r="C124" s="495"/>
      <c r="D124" s="495"/>
      <c r="E124" s="495"/>
      <c r="F124" s="495"/>
      <c r="G124" s="495"/>
      <c r="H124" s="495"/>
      <c r="I124" s="495"/>
      <c r="J124" s="495"/>
      <c r="K124" s="495"/>
      <c r="L124" s="495"/>
      <c r="M124" s="495"/>
      <c r="N124" s="495"/>
      <c r="O124" s="495"/>
      <c r="P124" s="495"/>
      <c r="Q124" s="495"/>
      <c r="R124" s="495"/>
      <c r="S124" s="495"/>
      <c r="T124" s="495"/>
      <c r="U124" s="495"/>
      <c r="V124" s="495"/>
      <c r="W124" s="495"/>
      <c r="X124" s="495"/>
      <c r="Y124" s="495"/>
      <c r="Z124" s="495"/>
    </row>
    <row r="125" ht="15.75" customHeight="1">
      <c r="A125" s="495"/>
      <c r="B125" s="495"/>
      <c r="C125" s="495"/>
      <c r="D125" s="495"/>
      <c r="E125" s="495"/>
      <c r="F125" s="495"/>
      <c r="G125" s="495"/>
      <c r="H125" s="495"/>
      <c r="I125" s="495"/>
      <c r="J125" s="495"/>
      <c r="K125" s="495"/>
      <c r="L125" s="495"/>
      <c r="M125" s="495"/>
      <c r="N125" s="495"/>
      <c r="O125" s="495"/>
      <c r="P125" s="495"/>
      <c r="Q125" s="495"/>
      <c r="R125" s="495"/>
      <c r="S125" s="495"/>
      <c r="T125" s="495"/>
      <c r="U125" s="495"/>
      <c r="V125" s="495"/>
      <c r="W125" s="495"/>
      <c r="X125" s="495"/>
      <c r="Y125" s="495"/>
      <c r="Z125" s="495"/>
    </row>
    <row r="126" ht="15.75" customHeight="1">
      <c r="A126" s="495"/>
      <c r="B126" s="495"/>
      <c r="C126" s="495"/>
      <c r="D126" s="495"/>
      <c r="E126" s="495"/>
      <c r="F126" s="495"/>
      <c r="G126" s="495"/>
      <c r="H126" s="495"/>
      <c r="I126" s="495"/>
      <c r="J126" s="495"/>
      <c r="K126" s="495"/>
      <c r="L126" s="495"/>
      <c r="M126" s="495"/>
      <c r="N126" s="495"/>
      <c r="O126" s="495"/>
      <c r="P126" s="495"/>
      <c r="Q126" s="495"/>
      <c r="R126" s="495"/>
      <c r="S126" s="495"/>
      <c r="T126" s="495"/>
      <c r="U126" s="495"/>
      <c r="V126" s="495"/>
      <c r="W126" s="495"/>
      <c r="X126" s="495"/>
      <c r="Y126" s="495"/>
      <c r="Z126" s="495"/>
    </row>
    <row r="127" ht="15.75" customHeight="1">
      <c r="A127" s="495"/>
      <c r="B127" s="495"/>
      <c r="C127" s="495"/>
      <c r="D127" s="495"/>
      <c r="E127" s="495"/>
      <c r="F127" s="495"/>
      <c r="G127" s="495"/>
      <c r="H127" s="495"/>
      <c r="I127" s="495"/>
      <c r="J127" s="495"/>
      <c r="K127" s="495"/>
      <c r="L127" s="495"/>
      <c r="M127" s="495"/>
      <c r="N127" s="495"/>
      <c r="O127" s="495"/>
      <c r="P127" s="495"/>
      <c r="Q127" s="495"/>
      <c r="R127" s="495"/>
      <c r="S127" s="495"/>
      <c r="T127" s="495"/>
      <c r="U127" s="495"/>
      <c r="V127" s="495"/>
      <c r="W127" s="495"/>
      <c r="X127" s="495"/>
      <c r="Y127" s="495"/>
      <c r="Z127" s="495"/>
    </row>
    <row r="128" ht="15.75" customHeight="1">
      <c r="A128" s="495"/>
      <c r="B128" s="495"/>
      <c r="C128" s="495"/>
      <c r="D128" s="495"/>
      <c r="E128" s="495"/>
      <c r="F128" s="495"/>
      <c r="G128" s="495"/>
      <c r="H128" s="495"/>
      <c r="I128" s="495"/>
      <c r="J128" s="495"/>
      <c r="K128" s="495"/>
      <c r="L128" s="495"/>
      <c r="M128" s="495"/>
      <c r="N128" s="495"/>
      <c r="O128" s="495"/>
      <c r="P128" s="495"/>
      <c r="Q128" s="495"/>
      <c r="R128" s="495"/>
      <c r="S128" s="495"/>
      <c r="T128" s="495"/>
      <c r="U128" s="495"/>
      <c r="V128" s="495"/>
      <c r="W128" s="495"/>
      <c r="X128" s="495"/>
      <c r="Y128" s="495"/>
      <c r="Z128" s="495"/>
    </row>
    <row r="129" ht="15.75" customHeight="1">
      <c r="A129" s="495"/>
      <c r="B129" s="495"/>
      <c r="C129" s="495"/>
      <c r="D129" s="495"/>
      <c r="E129" s="495"/>
      <c r="F129" s="495"/>
      <c r="G129" s="495"/>
      <c r="H129" s="495"/>
      <c r="I129" s="495"/>
      <c r="J129" s="495"/>
      <c r="K129" s="495"/>
      <c r="L129" s="495"/>
      <c r="M129" s="495"/>
      <c r="N129" s="495"/>
      <c r="O129" s="495"/>
      <c r="P129" s="495"/>
      <c r="Q129" s="495"/>
      <c r="R129" s="495"/>
      <c r="S129" s="495"/>
      <c r="T129" s="495"/>
      <c r="U129" s="495"/>
      <c r="V129" s="495"/>
      <c r="W129" s="495"/>
      <c r="X129" s="495"/>
      <c r="Y129" s="495"/>
      <c r="Z129" s="495"/>
    </row>
    <row r="130" ht="15.75" customHeight="1">
      <c r="A130" s="495"/>
      <c r="B130" s="495"/>
      <c r="C130" s="495"/>
      <c r="D130" s="495"/>
      <c r="E130" s="495"/>
      <c r="F130" s="495"/>
      <c r="G130" s="495"/>
      <c r="H130" s="495"/>
      <c r="I130" s="495"/>
      <c r="J130" s="495"/>
      <c r="K130" s="495"/>
      <c r="L130" s="495"/>
      <c r="M130" s="495"/>
      <c r="N130" s="495"/>
      <c r="O130" s="495"/>
      <c r="P130" s="495"/>
      <c r="Q130" s="495"/>
      <c r="R130" s="495"/>
      <c r="S130" s="495"/>
      <c r="T130" s="495"/>
      <c r="U130" s="495"/>
      <c r="V130" s="495"/>
      <c r="W130" s="495"/>
      <c r="X130" s="495"/>
      <c r="Y130" s="495"/>
      <c r="Z130" s="495"/>
    </row>
    <row r="131" ht="15.75" customHeight="1">
      <c r="A131" s="495"/>
      <c r="B131" s="495"/>
      <c r="C131" s="495"/>
      <c r="D131" s="495"/>
      <c r="E131" s="495"/>
      <c r="F131" s="495"/>
      <c r="G131" s="495"/>
      <c r="H131" s="495"/>
      <c r="I131" s="495"/>
      <c r="J131" s="495"/>
      <c r="K131" s="495"/>
      <c r="L131" s="495"/>
      <c r="M131" s="495"/>
      <c r="N131" s="495"/>
      <c r="O131" s="495"/>
      <c r="P131" s="495"/>
      <c r="Q131" s="495"/>
      <c r="R131" s="495"/>
      <c r="S131" s="495"/>
      <c r="T131" s="495"/>
      <c r="U131" s="495"/>
      <c r="V131" s="495"/>
      <c r="W131" s="495"/>
      <c r="X131" s="495"/>
      <c r="Y131" s="495"/>
      <c r="Z131" s="495"/>
    </row>
    <row r="132" ht="15.75" customHeight="1">
      <c r="A132" s="495"/>
      <c r="B132" s="495"/>
      <c r="C132" s="495"/>
      <c r="D132" s="495"/>
      <c r="E132" s="495"/>
      <c r="F132" s="495"/>
      <c r="G132" s="495"/>
      <c r="H132" s="495"/>
      <c r="I132" s="495"/>
      <c r="J132" s="495"/>
      <c r="K132" s="495"/>
      <c r="L132" s="495"/>
      <c r="M132" s="495"/>
      <c r="N132" s="495"/>
      <c r="O132" s="495"/>
      <c r="P132" s="495"/>
      <c r="Q132" s="495"/>
      <c r="R132" s="495"/>
      <c r="S132" s="495"/>
      <c r="T132" s="495"/>
      <c r="U132" s="495"/>
      <c r="V132" s="495"/>
      <c r="W132" s="495"/>
      <c r="X132" s="495"/>
      <c r="Y132" s="495"/>
      <c r="Z132" s="495"/>
    </row>
    <row r="133" ht="15.75" customHeight="1">
      <c r="A133" s="495"/>
      <c r="B133" s="495"/>
      <c r="C133" s="495"/>
      <c r="D133" s="495"/>
      <c r="E133" s="495"/>
      <c r="F133" s="495"/>
      <c r="G133" s="495"/>
      <c r="H133" s="495"/>
      <c r="I133" s="495"/>
      <c r="J133" s="495"/>
      <c r="K133" s="495"/>
      <c r="L133" s="495"/>
      <c r="M133" s="495"/>
      <c r="N133" s="495"/>
      <c r="O133" s="495"/>
      <c r="P133" s="495"/>
      <c r="Q133" s="495"/>
      <c r="R133" s="495"/>
      <c r="S133" s="495"/>
      <c r="T133" s="495"/>
      <c r="U133" s="495"/>
      <c r="V133" s="495"/>
      <c r="W133" s="495"/>
      <c r="X133" s="495"/>
      <c r="Y133" s="495"/>
      <c r="Z133" s="495"/>
    </row>
    <row r="134" ht="15.75" customHeight="1">
      <c r="A134" s="495"/>
      <c r="B134" s="495"/>
      <c r="C134" s="495"/>
      <c r="D134" s="495"/>
      <c r="E134" s="495"/>
      <c r="F134" s="495"/>
      <c r="G134" s="495"/>
      <c r="H134" s="495"/>
      <c r="I134" s="495"/>
      <c r="J134" s="495"/>
      <c r="K134" s="495"/>
      <c r="L134" s="495"/>
      <c r="M134" s="495"/>
      <c r="N134" s="495"/>
      <c r="O134" s="495"/>
      <c r="P134" s="495"/>
      <c r="Q134" s="495"/>
      <c r="R134" s="495"/>
      <c r="S134" s="495"/>
      <c r="T134" s="495"/>
      <c r="U134" s="495"/>
      <c r="V134" s="495"/>
      <c r="W134" s="495"/>
      <c r="X134" s="495"/>
      <c r="Y134" s="495"/>
      <c r="Z134" s="495"/>
    </row>
    <row r="135" ht="15.75" customHeight="1">
      <c r="A135" s="495"/>
      <c r="B135" s="495"/>
      <c r="C135" s="495"/>
      <c r="D135" s="495"/>
      <c r="E135" s="495"/>
      <c r="F135" s="495"/>
      <c r="G135" s="495"/>
      <c r="H135" s="495"/>
      <c r="I135" s="495"/>
      <c r="J135" s="495"/>
      <c r="K135" s="495"/>
      <c r="L135" s="495"/>
      <c r="M135" s="495"/>
      <c r="N135" s="495"/>
      <c r="O135" s="495"/>
      <c r="P135" s="495"/>
      <c r="Q135" s="495"/>
      <c r="R135" s="495"/>
      <c r="S135" s="495"/>
      <c r="T135" s="495"/>
      <c r="U135" s="495"/>
      <c r="V135" s="495"/>
      <c r="W135" s="495"/>
      <c r="X135" s="495"/>
      <c r="Y135" s="495"/>
      <c r="Z135" s="495"/>
    </row>
    <row r="136" ht="15.75" customHeight="1">
      <c r="A136" s="495"/>
      <c r="B136" s="495"/>
      <c r="C136" s="495"/>
      <c r="D136" s="495"/>
      <c r="E136" s="495"/>
      <c r="F136" s="495"/>
      <c r="G136" s="495"/>
      <c r="H136" s="495"/>
      <c r="I136" s="495"/>
      <c r="J136" s="495"/>
      <c r="K136" s="495"/>
      <c r="L136" s="495"/>
      <c r="M136" s="495"/>
      <c r="N136" s="495"/>
      <c r="O136" s="495"/>
      <c r="P136" s="495"/>
      <c r="Q136" s="495"/>
      <c r="R136" s="495"/>
      <c r="S136" s="495"/>
      <c r="T136" s="495"/>
      <c r="U136" s="495"/>
      <c r="V136" s="495"/>
      <c r="W136" s="495"/>
      <c r="X136" s="495"/>
      <c r="Y136" s="495"/>
      <c r="Z136" s="495"/>
    </row>
    <row r="137" ht="15.75" customHeight="1">
      <c r="A137" s="495"/>
      <c r="B137" s="495"/>
      <c r="C137" s="495"/>
      <c r="D137" s="495"/>
      <c r="E137" s="495"/>
      <c r="F137" s="495"/>
      <c r="G137" s="495"/>
      <c r="H137" s="495"/>
      <c r="I137" s="495"/>
      <c r="J137" s="495"/>
      <c r="K137" s="495"/>
      <c r="L137" s="495"/>
      <c r="M137" s="495"/>
      <c r="N137" s="495"/>
      <c r="O137" s="495"/>
      <c r="P137" s="495"/>
      <c r="Q137" s="495"/>
      <c r="R137" s="495"/>
      <c r="S137" s="495"/>
      <c r="T137" s="495"/>
      <c r="U137" s="495"/>
      <c r="V137" s="495"/>
      <c r="W137" s="495"/>
      <c r="X137" s="495"/>
      <c r="Y137" s="495"/>
      <c r="Z137" s="495"/>
    </row>
    <row r="138" ht="15.75" customHeight="1">
      <c r="A138" s="495"/>
      <c r="B138" s="495"/>
      <c r="C138" s="495"/>
      <c r="D138" s="495"/>
      <c r="E138" s="495"/>
      <c r="F138" s="495"/>
      <c r="G138" s="495"/>
      <c r="H138" s="495"/>
      <c r="I138" s="495"/>
      <c r="J138" s="495"/>
      <c r="K138" s="495"/>
      <c r="L138" s="495"/>
      <c r="M138" s="495"/>
      <c r="N138" s="495"/>
      <c r="O138" s="495"/>
      <c r="P138" s="495"/>
      <c r="Q138" s="495"/>
      <c r="R138" s="495"/>
      <c r="S138" s="495"/>
      <c r="T138" s="495"/>
      <c r="U138" s="495"/>
      <c r="V138" s="495"/>
      <c r="W138" s="495"/>
      <c r="X138" s="495"/>
      <c r="Y138" s="495"/>
      <c r="Z138" s="495"/>
    </row>
    <row r="139" ht="15.75" customHeight="1">
      <c r="A139" s="495"/>
      <c r="B139" s="495"/>
      <c r="C139" s="495"/>
      <c r="D139" s="495"/>
      <c r="E139" s="495"/>
      <c r="F139" s="495"/>
      <c r="G139" s="495"/>
      <c r="H139" s="495"/>
      <c r="I139" s="495"/>
      <c r="J139" s="495"/>
      <c r="K139" s="495"/>
      <c r="L139" s="495"/>
      <c r="M139" s="495"/>
      <c r="N139" s="495"/>
      <c r="O139" s="495"/>
      <c r="P139" s="495"/>
      <c r="Q139" s="495"/>
      <c r="R139" s="495"/>
      <c r="S139" s="495"/>
      <c r="T139" s="495"/>
      <c r="U139" s="495"/>
      <c r="V139" s="495"/>
      <c r="W139" s="495"/>
      <c r="X139" s="495"/>
      <c r="Y139" s="495"/>
      <c r="Z139" s="495"/>
    </row>
    <row r="140" ht="15.75" customHeight="1">
      <c r="A140" s="495"/>
      <c r="B140" s="495"/>
      <c r="C140" s="495"/>
      <c r="D140" s="495"/>
      <c r="E140" s="495"/>
      <c r="F140" s="495"/>
      <c r="G140" s="495"/>
      <c r="H140" s="495"/>
      <c r="I140" s="495"/>
      <c r="J140" s="495"/>
      <c r="K140" s="495"/>
      <c r="L140" s="495"/>
      <c r="M140" s="495"/>
      <c r="N140" s="495"/>
      <c r="O140" s="495"/>
      <c r="P140" s="495"/>
      <c r="Q140" s="495"/>
      <c r="R140" s="495"/>
      <c r="S140" s="495"/>
      <c r="T140" s="495"/>
      <c r="U140" s="495"/>
      <c r="V140" s="495"/>
      <c r="W140" s="495"/>
      <c r="X140" s="495"/>
      <c r="Y140" s="495"/>
      <c r="Z140" s="495"/>
    </row>
    <row r="141" ht="15.75" customHeight="1">
      <c r="A141" s="495"/>
      <c r="B141" s="495"/>
      <c r="C141" s="495"/>
      <c r="D141" s="495"/>
      <c r="E141" s="495"/>
      <c r="F141" s="495"/>
      <c r="G141" s="495"/>
      <c r="H141" s="495"/>
      <c r="I141" s="495"/>
      <c r="J141" s="495"/>
      <c r="K141" s="495"/>
      <c r="L141" s="495"/>
      <c r="M141" s="495"/>
      <c r="N141" s="495"/>
      <c r="O141" s="495"/>
      <c r="P141" s="495"/>
      <c r="Q141" s="495"/>
      <c r="R141" s="495"/>
      <c r="S141" s="495"/>
      <c r="T141" s="495"/>
      <c r="U141" s="495"/>
      <c r="V141" s="495"/>
      <c r="W141" s="495"/>
      <c r="X141" s="495"/>
      <c r="Y141" s="495"/>
      <c r="Z141" s="495"/>
    </row>
    <row r="142" ht="15.75" customHeight="1">
      <c r="A142" s="495"/>
      <c r="B142" s="495"/>
      <c r="C142" s="495"/>
      <c r="D142" s="495"/>
      <c r="E142" s="495"/>
      <c r="F142" s="495"/>
      <c r="G142" s="495"/>
      <c r="H142" s="495"/>
      <c r="I142" s="495"/>
      <c r="J142" s="495"/>
      <c r="K142" s="495"/>
      <c r="L142" s="495"/>
      <c r="M142" s="495"/>
      <c r="N142" s="495"/>
      <c r="O142" s="495"/>
      <c r="P142" s="495"/>
      <c r="Q142" s="495"/>
      <c r="R142" s="495"/>
      <c r="S142" s="495"/>
      <c r="T142" s="495"/>
      <c r="U142" s="495"/>
      <c r="V142" s="495"/>
      <c r="W142" s="495"/>
      <c r="X142" s="495"/>
      <c r="Y142" s="495"/>
      <c r="Z142" s="495"/>
    </row>
    <row r="143" ht="15.75" customHeight="1">
      <c r="A143" s="495"/>
      <c r="B143" s="495"/>
      <c r="C143" s="495"/>
      <c r="D143" s="495"/>
      <c r="E143" s="495"/>
      <c r="F143" s="495"/>
      <c r="G143" s="495"/>
      <c r="H143" s="495"/>
      <c r="I143" s="495"/>
      <c r="J143" s="495"/>
      <c r="K143" s="495"/>
      <c r="L143" s="495"/>
      <c r="M143" s="495"/>
      <c r="N143" s="495"/>
      <c r="O143" s="495"/>
      <c r="P143" s="495"/>
      <c r="Q143" s="495"/>
      <c r="R143" s="495"/>
      <c r="S143" s="495"/>
      <c r="T143" s="495"/>
      <c r="U143" s="495"/>
      <c r="V143" s="495"/>
      <c r="W143" s="495"/>
      <c r="X143" s="495"/>
      <c r="Y143" s="495"/>
      <c r="Z143" s="495"/>
    </row>
    <row r="144" ht="15.75" customHeight="1">
      <c r="A144" s="495"/>
      <c r="B144" s="495"/>
      <c r="C144" s="495"/>
      <c r="D144" s="495"/>
      <c r="E144" s="495"/>
      <c r="F144" s="495"/>
      <c r="G144" s="495"/>
      <c r="H144" s="495"/>
      <c r="I144" s="495"/>
      <c r="J144" s="495"/>
      <c r="K144" s="495"/>
      <c r="L144" s="495"/>
      <c r="M144" s="495"/>
      <c r="N144" s="495"/>
      <c r="O144" s="495"/>
      <c r="P144" s="495"/>
      <c r="Q144" s="495"/>
      <c r="R144" s="495"/>
      <c r="S144" s="495"/>
      <c r="T144" s="495"/>
      <c r="U144" s="495"/>
      <c r="V144" s="495"/>
      <c r="W144" s="495"/>
      <c r="X144" s="495"/>
      <c r="Y144" s="495"/>
      <c r="Z144" s="495"/>
    </row>
    <row r="145" ht="15.75" customHeight="1">
      <c r="A145" s="495"/>
      <c r="B145" s="495"/>
      <c r="C145" s="495"/>
      <c r="D145" s="495"/>
      <c r="E145" s="495"/>
      <c r="F145" s="495"/>
      <c r="G145" s="495"/>
      <c r="H145" s="495"/>
      <c r="I145" s="495"/>
      <c r="J145" s="495"/>
      <c r="K145" s="495"/>
      <c r="L145" s="495"/>
      <c r="M145" s="495"/>
      <c r="N145" s="495"/>
      <c r="O145" s="495"/>
      <c r="P145" s="495"/>
      <c r="Q145" s="495"/>
      <c r="R145" s="495"/>
      <c r="S145" s="495"/>
      <c r="T145" s="495"/>
      <c r="U145" s="495"/>
      <c r="V145" s="495"/>
      <c r="W145" s="495"/>
      <c r="X145" s="495"/>
      <c r="Y145" s="495"/>
      <c r="Z145" s="495"/>
    </row>
    <row r="146" ht="15.75" customHeight="1">
      <c r="A146" s="495"/>
      <c r="B146" s="495"/>
      <c r="C146" s="495"/>
      <c r="D146" s="495"/>
      <c r="E146" s="495"/>
      <c r="F146" s="495"/>
      <c r="G146" s="495"/>
      <c r="H146" s="495"/>
      <c r="I146" s="495"/>
      <c r="J146" s="495"/>
      <c r="K146" s="495"/>
      <c r="L146" s="495"/>
      <c r="M146" s="495"/>
      <c r="N146" s="495"/>
      <c r="O146" s="495"/>
      <c r="P146" s="495"/>
      <c r="Q146" s="495"/>
      <c r="R146" s="495"/>
      <c r="S146" s="495"/>
      <c r="T146" s="495"/>
      <c r="U146" s="495"/>
      <c r="V146" s="495"/>
      <c r="W146" s="495"/>
      <c r="X146" s="495"/>
      <c r="Y146" s="495"/>
      <c r="Z146" s="495"/>
    </row>
    <row r="147" ht="15.75" customHeight="1">
      <c r="A147" s="495"/>
      <c r="B147" s="495"/>
      <c r="C147" s="495"/>
      <c r="D147" s="495"/>
      <c r="E147" s="495"/>
      <c r="F147" s="495"/>
      <c r="G147" s="495"/>
      <c r="H147" s="495"/>
      <c r="I147" s="495"/>
      <c r="J147" s="495"/>
      <c r="K147" s="495"/>
      <c r="L147" s="495"/>
      <c r="M147" s="495"/>
      <c r="N147" s="495"/>
      <c r="O147" s="495"/>
      <c r="P147" s="495"/>
      <c r="Q147" s="495"/>
      <c r="R147" s="495"/>
      <c r="S147" s="495"/>
      <c r="T147" s="495"/>
      <c r="U147" s="495"/>
      <c r="V147" s="495"/>
      <c r="W147" s="495"/>
      <c r="X147" s="495"/>
      <c r="Y147" s="495"/>
      <c r="Z147" s="495"/>
    </row>
    <row r="148" ht="15.75" customHeight="1">
      <c r="A148" s="495"/>
      <c r="B148" s="495"/>
      <c r="C148" s="495"/>
      <c r="D148" s="495"/>
      <c r="E148" s="495"/>
      <c r="F148" s="495"/>
      <c r="G148" s="495"/>
      <c r="H148" s="495"/>
      <c r="I148" s="495"/>
      <c r="J148" s="495"/>
      <c r="K148" s="495"/>
      <c r="L148" s="495"/>
      <c r="M148" s="495"/>
      <c r="N148" s="495"/>
      <c r="O148" s="495"/>
      <c r="P148" s="495"/>
      <c r="Q148" s="495"/>
      <c r="R148" s="495"/>
      <c r="S148" s="495"/>
      <c r="T148" s="495"/>
      <c r="U148" s="495"/>
      <c r="V148" s="495"/>
      <c r="W148" s="495"/>
      <c r="X148" s="495"/>
      <c r="Y148" s="495"/>
      <c r="Z148" s="495"/>
    </row>
    <row r="149" ht="15.75" customHeight="1">
      <c r="A149" s="495"/>
      <c r="B149" s="495"/>
      <c r="C149" s="495"/>
      <c r="D149" s="495"/>
      <c r="E149" s="495"/>
      <c r="F149" s="495"/>
      <c r="G149" s="495"/>
      <c r="H149" s="495"/>
      <c r="I149" s="495"/>
      <c r="J149" s="495"/>
      <c r="K149" s="495"/>
      <c r="L149" s="495"/>
      <c r="M149" s="495"/>
      <c r="N149" s="495"/>
      <c r="O149" s="495"/>
      <c r="P149" s="495"/>
      <c r="Q149" s="495"/>
      <c r="R149" s="495"/>
      <c r="S149" s="495"/>
      <c r="T149" s="495"/>
      <c r="U149" s="495"/>
      <c r="V149" s="495"/>
      <c r="W149" s="495"/>
      <c r="X149" s="495"/>
      <c r="Y149" s="495"/>
      <c r="Z149" s="495"/>
    </row>
    <row r="150" ht="15.75" customHeight="1">
      <c r="A150" s="495"/>
      <c r="B150" s="495"/>
      <c r="C150" s="495"/>
      <c r="D150" s="495"/>
      <c r="E150" s="495"/>
      <c r="F150" s="495"/>
      <c r="G150" s="495"/>
      <c r="H150" s="495"/>
      <c r="I150" s="495"/>
      <c r="J150" s="495"/>
      <c r="K150" s="495"/>
      <c r="L150" s="495"/>
      <c r="M150" s="495"/>
      <c r="N150" s="495"/>
      <c r="O150" s="495"/>
      <c r="P150" s="495"/>
      <c r="Q150" s="495"/>
      <c r="R150" s="495"/>
      <c r="S150" s="495"/>
      <c r="T150" s="495"/>
      <c r="U150" s="495"/>
      <c r="V150" s="495"/>
      <c r="W150" s="495"/>
      <c r="X150" s="495"/>
      <c r="Y150" s="495"/>
      <c r="Z150" s="495"/>
    </row>
    <row r="151" ht="15.75" customHeight="1">
      <c r="A151" s="495"/>
      <c r="B151" s="495"/>
      <c r="C151" s="495"/>
      <c r="D151" s="495"/>
      <c r="E151" s="495"/>
      <c r="F151" s="495"/>
      <c r="G151" s="495"/>
      <c r="H151" s="495"/>
      <c r="I151" s="495"/>
      <c r="J151" s="495"/>
      <c r="K151" s="495"/>
      <c r="L151" s="495"/>
      <c r="M151" s="495"/>
      <c r="N151" s="495"/>
      <c r="O151" s="495"/>
      <c r="P151" s="495"/>
      <c r="Q151" s="495"/>
      <c r="R151" s="495"/>
      <c r="S151" s="495"/>
      <c r="T151" s="495"/>
      <c r="U151" s="495"/>
      <c r="V151" s="495"/>
      <c r="W151" s="495"/>
      <c r="X151" s="495"/>
      <c r="Y151" s="495"/>
      <c r="Z151" s="495"/>
    </row>
    <row r="152" ht="15.75" customHeight="1">
      <c r="A152" s="495"/>
      <c r="B152" s="495"/>
      <c r="C152" s="495"/>
      <c r="D152" s="495"/>
      <c r="E152" s="495"/>
      <c r="F152" s="495"/>
      <c r="G152" s="495"/>
      <c r="H152" s="495"/>
      <c r="I152" s="495"/>
      <c r="J152" s="495"/>
      <c r="K152" s="495"/>
      <c r="L152" s="495"/>
      <c r="M152" s="495"/>
      <c r="N152" s="495"/>
      <c r="O152" s="495"/>
      <c r="P152" s="495"/>
      <c r="Q152" s="495"/>
      <c r="R152" s="495"/>
      <c r="S152" s="495"/>
      <c r="T152" s="495"/>
      <c r="U152" s="495"/>
      <c r="V152" s="495"/>
      <c r="W152" s="495"/>
      <c r="X152" s="495"/>
      <c r="Y152" s="495"/>
      <c r="Z152" s="495"/>
    </row>
    <row r="153" ht="15.75" customHeight="1">
      <c r="A153" s="495"/>
      <c r="B153" s="495"/>
      <c r="C153" s="495"/>
      <c r="D153" s="495"/>
      <c r="E153" s="495"/>
      <c r="F153" s="495"/>
      <c r="G153" s="495"/>
      <c r="H153" s="495"/>
      <c r="I153" s="495"/>
      <c r="J153" s="495"/>
      <c r="K153" s="495"/>
      <c r="L153" s="495"/>
      <c r="M153" s="495"/>
      <c r="N153" s="495"/>
      <c r="O153" s="495"/>
      <c r="P153" s="495"/>
      <c r="Q153" s="495"/>
      <c r="R153" s="495"/>
      <c r="S153" s="495"/>
      <c r="T153" s="495"/>
      <c r="U153" s="495"/>
      <c r="V153" s="495"/>
      <c r="W153" s="495"/>
      <c r="X153" s="495"/>
      <c r="Y153" s="495"/>
      <c r="Z153" s="495"/>
    </row>
    <row r="154" ht="15.75" customHeight="1">
      <c r="A154" s="495"/>
      <c r="B154" s="495"/>
      <c r="C154" s="495"/>
      <c r="D154" s="495"/>
      <c r="E154" s="495"/>
      <c r="F154" s="495"/>
      <c r="G154" s="495"/>
      <c r="H154" s="495"/>
      <c r="I154" s="495"/>
      <c r="J154" s="495"/>
      <c r="K154" s="495"/>
      <c r="L154" s="495"/>
      <c r="M154" s="495"/>
      <c r="N154" s="495"/>
      <c r="O154" s="495"/>
      <c r="P154" s="495"/>
      <c r="Q154" s="495"/>
      <c r="R154" s="495"/>
      <c r="S154" s="495"/>
      <c r="T154" s="495"/>
      <c r="U154" s="495"/>
      <c r="V154" s="495"/>
      <c r="W154" s="495"/>
      <c r="X154" s="495"/>
      <c r="Y154" s="495"/>
      <c r="Z154" s="495"/>
    </row>
    <row r="155" ht="15.75" customHeight="1">
      <c r="A155" s="495"/>
      <c r="B155" s="495"/>
      <c r="C155" s="495"/>
      <c r="D155" s="495"/>
      <c r="E155" s="495"/>
      <c r="F155" s="495"/>
      <c r="G155" s="495"/>
      <c r="H155" s="495"/>
      <c r="I155" s="495"/>
      <c r="J155" s="495"/>
      <c r="K155" s="495"/>
      <c r="L155" s="495"/>
      <c r="M155" s="495"/>
      <c r="N155" s="495"/>
      <c r="O155" s="495"/>
      <c r="P155" s="495"/>
      <c r="Q155" s="495"/>
      <c r="R155" s="495"/>
      <c r="S155" s="495"/>
      <c r="T155" s="495"/>
      <c r="U155" s="495"/>
      <c r="V155" s="495"/>
      <c r="W155" s="495"/>
      <c r="X155" s="495"/>
      <c r="Y155" s="495"/>
      <c r="Z155" s="495"/>
    </row>
    <row r="156" ht="15.75" customHeight="1">
      <c r="A156" s="495"/>
      <c r="B156" s="495"/>
      <c r="C156" s="495"/>
      <c r="D156" s="495"/>
      <c r="E156" s="495"/>
      <c r="F156" s="495"/>
      <c r="G156" s="495"/>
      <c r="H156" s="495"/>
      <c r="I156" s="495"/>
      <c r="J156" s="495"/>
      <c r="K156" s="495"/>
      <c r="L156" s="495"/>
      <c r="M156" s="495"/>
      <c r="N156" s="495"/>
      <c r="O156" s="495"/>
      <c r="P156" s="495"/>
      <c r="Q156" s="495"/>
      <c r="R156" s="495"/>
      <c r="S156" s="495"/>
      <c r="T156" s="495"/>
      <c r="U156" s="495"/>
      <c r="V156" s="495"/>
      <c r="W156" s="495"/>
      <c r="X156" s="495"/>
      <c r="Y156" s="495"/>
      <c r="Z156" s="495"/>
    </row>
    <row r="157" ht="15.75" customHeight="1">
      <c r="A157" s="495"/>
      <c r="B157" s="495"/>
      <c r="C157" s="495"/>
      <c r="D157" s="495"/>
      <c r="E157" s="495"/>
      <c r="F157" s="495"/>
      <c r="G157" s="495"/>
      <c r="H157" s="495"/>
      <c r="I157" s="495"/>
      <c r="J157" s="495"/>
      <c r="K157" s="495"/>
      <c r="L157" s="495"/>
      <c r="M157" s="495"/>
      <c r="N157" s="495"/>
      <c r="O157" s="495"/>
      <c r="P157" s="495"/>
      <c r="Q157" s="495"/>
      <c r="R157" s="495"/>
      <c r="S157" s="495"/>
      <c r="T157" s="495"/>
      <c r="U157" s="495"/>
      <c r="V157" s="495"/>
      <c r="W157" s="495"/>
      <c r="X157" s="495"/>
      <c r="Y157" s="495"/>
      <c r="Z157" s="495"/>
    </row>
    <row r="158" ht="15.75" customHeight="1">
      <c r="A158" s="495"/>
      <c r="B158" s="495"/>
      <c r="C158" s="495"/>
      <c r="D158" s="495"/>
      <c r="E158" s="495"/>
      <c r="F158" s="495"/>
      <c r="G158" s="495"/>
      <c r="H158" s="495"/>
      <c r="I158" s="495"/>
      <c r="J158" s="495"/>
      <c r="K158" s="495"/>
      <c r="L158" s="495"/>
      <c r="M158" s="495"/>
      <c r="N158" s="495"/>
      <c r="O158" s="495"/>
      <c r="P158" s="495"/>
      <c r="Q158" s="495"/>
      <c r="R158" s="495"/>
      <c r="S158" s="495"/>
      <c r="T158" s="495"/>
      <c r="U158" s="495"/>
      <c r="V158" s="495"/>
      <c r="W158" s="495"/>
      <c r="X158" s="495"/>
      <c r="Y158" s="495"/>
      <c r="Z158" s="495"/>
    </row>
    <row r="159" ht="15.75" customHeight="1">
      <c r="A159" s="495"/>
      <c r="B159" s="495"/>
      <c r="C159" s="495"/>
      <c r="D159" s="495"/>
      <c r="E159" s="495"/>
      <c r="F159" s="495"/>
      <c r="G159" s="495"/>
      <c r="H159" s="495"/>
      <c r="I159" s="495"/>
      <c r="J159" s="495"/>
      <c r="K159" s="495"/>
      <c r="L159" s="495"/>
      <c r="M159" s="495"/>
      <c r="N159" s="495"/>
      <c r="O159" s="495"/>
      <c r="P159" s="495"/>
      <c r="Q159" s="495"/>
      <c r="R159" s="495"/>
      <c r="S159" s="495"/>
      <c r="T159" s="495"/>
      <c r="U159" s="495"/>
      <c r="V159" s="495"/>
      <c r="W159" s="495"/>
      <c r="X159" s="495"/>
      <c r="Y159" s="495"/>
      <c r="Z159" s="495"/>
    </row>
    <row r="160" ht="15.75" customHeight="1">
      <c r="A160" s="495"/>
      <c r="B160" s="495"/>
      <c r="C160" s="495"/>
      <c r="D160" s="495"/>
      <c r="E160" s="495"/>
      <c r="F160" s="495"/>
      <c r="G160" s="495"/>
      <c r="H160" s="495"/>
      <c r="I160" s="495"/>
      <c r="J160" s="495"/>
      <c r="K160" s="495"/>
      <c r="L160" s="495"/>
      <c r="M160" s="495"/>
      <c r="N160" s="495"/>
      <c r="O160" s="495"/>
      <c r="P160" s="495"/>
      <c r="Q160" s="495"/>
      <c r="R160" s="495"/>
      <c r="S160" s="495"/>
      <c r="T160" s="495"/>
      <c r="U160" s="495"/>
      <c r="V160" s="495"/>
      <c r="W160" s="495"/>
      <c r="X160" s="495"/>
      <c r="Y160" s="495"/>
      <c r="Z160" s="495"/>
    </row>
    <row r="161" ht="15.75" customHeight="1">
      <c r="A161" s="495"/>
      <c r="B161" s="495"/>
      <c r="C161" s="495"/>
      <c r="D161" s="495"/>
      <c r="E161" s="495"/>
      <c r="F161" s="495"/>
      <c r="G161" s="495"/>
      <c r="H161" s="495"/>
      <c r="I161" s="495"/>
      <c r="J161" s="495"/>
      <c r="K161" s="495"/>
      <c r="L161" s="495"/>
      <c r="M161" s="495"/>
      <c r="N161" s="495"/>
      <c r="O161" s="495"/>
      <c r="P161" s="495"/>
      <c r="Q161" s="495"/>
      <c r="R161" s="495"/>
      <c r="S161" s="495"/>
      <c r="T161" s="495"/>
      <c r="U161" s="495"/>
      <c r="V161" s="495"/>
      <c r="W161" s="495"/>
      <c r="X161" s="495"/>
      <c r="Y161" s="495"/>
      <c r="Z161" s="495"/>
    </row>
    <row r="162" ht="15.75" customHeight="1">
      <c r="A162" s="495"/>
      <c r="B162" s="495"/>
      <c r="C162" s="495"/>
      <c r="D162" s="495"/>
      <c r="E162" s="495"/>
      <c r="F162" s="495"/>
      <c r="G162" s="495"/>
      <c r="H162" s="495"/>
      <c r="I162" s="495"/>
      <c r="J162" s="495"/>
      <c r="K162" s="495"/>
      <c r="L162" s="495"/>
      <c r="M162" s="495"/>
      <c r="N162" s="495"/>
      <c r="O162" s="495"/>
      <c r="P162" s="495"/>
      <c r="Q162" s="495"/>
      <c r="R162" s="495"/>
      <c r="S162" s="495"/>
      <c r="T162" s="495"/>
      <c r="U162" s="495"/>
      <c r="V162" s="495"/>
      <c r="W162" s="495"/>
      <c r="X162" s="495"/>
      <c r="Y162" s="495"/>
      <c r="Z162" s="495"/>
    </row>
    <row r="163" ht="15.75" customHeight="1">
      <c r="A163" s="495"/>
      <c r="B163" s="495"/>
      <c r="C163" s="495"/>
      <c r="D163" s="495"/>
      <c r="E163" s="495"/>
      <c r="F163" s="495"/>
      <c r="G163" s="495"/>
      <c r="H163" s="495"/>
      <c r="I163" s="495"/>
      <c r="J163" s="495"/>
      <c r="K163" s="495"/>
      <c r="L163" s="495"/>
      <c r="M163" s="495"/>
      <c r="N163" s="495"/>
      <c r="O163" s="495"/>
      <c r="P163" s="495"/>
      <c r="Q163" s="495"/>
      <c r="R163" s="495"/>
      <c r="S163" s="495"/>
      <c r="T163" s="495"/>
      <c r="U163" s="495"/>
      <c r="V163" s="495"/>
      <c r="W163" s="495"/>
      <c r="X163" s="495"/>
      <c r="Y163" s="495"/>
      <c r="Z163" s="495"/>
    </row>
    <row r="164" ht="15.75" customHeight="1">
      <c r="A164" s="495"/>
      <c r="B164" s="495"/>
      <c r="C164" s="495"/>
      <c r="D164" s="495"/>
      <c r="E164" s="495"/>
      <c r="F164" s="495"/>
      <c r="G164" s="495"/>
      <c r="H164" s="495"/>
      <c r="I164" s="495"/>
      <c r="J164" s="495"/>
      <c r="K164" s="495"/>
      <c r="L164" s="495"/>
      <c r="M164" s="495"/>
      <c r="N164" s="495"/>
      <c r="O164" s="495"/>
      <c r="P164" s="495"/>
      <c r="Q164" s="495"/>
      <c r="R164" s="495"/>
      <c r="S164" s="495"/>
      <c r="T164" s="495"/>
      <c r="U164" s="495"/>
      <c r="V164" s="495"/>
      <c r="W164" s="495"/>
      <c r="X164" s="495"/>
      <c r="Y164" s="495"/>
      <c r="Z164" s="495"/>
    </row>
    <row r="165" ht="15.75" customHeight="1">
      <c r="A165" s="495"/>
      <c r="B165" s="495"/>
      <c r="C165" s="495"/>
      <c r="D165" s="495"/>
      <c r="E165" s="495"/>
      <c r="F165" s="495"/>
      <c r="G165" s="495"/>
      <c r="H165" s="495"/>
      <c r="I165" s="495"/>
      <c r="J165" s="495"/>
      <c r="K165" s="495"/>
      <c r="L165" s="495"/>
      <c r="M165" s="495"/>
      <c r="N165" s="495"/>
      <c r="O165" s="495"/>
      <c r="P165" s="495"/>
      <c r="Q165" s="495"/>
      <c r="R165" s="495"/>
      <c r="S165" s="495"/>
      <c r="T165" s="495"/>
      <c r="U165" s="495"/>
      <c r="V165" s="495"/>
      <c r="W165" s="495"/>
      <c r="X165" s="495"/>
      <c r="Y165" s="495"/>
      <c r="Z165" s="495"/>
    </row>
    <row r="166" ht="15.75" customHeight="1">
      <c r="A166" s="495"/>
      <c r="B166" s="495"/>
      <c r="C166" s="495"/>
      <c r="D166" s="495"/>
      <c r="E166" s="495"/>
      <c r="F166" s="495"/>
      <c r="G166" s="495"/>
      <c r="H166" s="495"/>
      <c r="I166" s="495"/>
      <c r="J166" s="495"/>
      <c r="K166" s="495"/>
      <c r="L166" s="495"/>
      <c r="M166" s="495"/>
      <c r="N166" s="495"/>
      <c r="O166" s="495"/>
      <c r="P166" s="495"/>
      <c r="Q166" s="495"/>
      <c r="R166" s="495"/>
      <c r="S166" s="495"/>
      <c r="T166" s="495"/>
      <c r="U166" s="495"/>
      <c r="V166" s="495"/>
      <c r="W166" s="495"/>
      <c r="X166" s="495"/>
      <c r="Y166" s="495"/>
      <c r="Z166" s="495"/>
    </row>
    <row r="167" ht="15.75" customHeight="1">
      <c r="A167" s="495"/>
      <c r="B167" s="495"/>
      <c r="C167" s="495"/>
      <c r="D167" s="495"/>
      <c r="E167" s="495"/>
      <c r="F167" s="495"/>
      <c r="G167" s="495"/>
      <c r="H167" s="495"/>
      <c r="I167" s="495"/>
      <c r="J167" s="495"/>
      <c r="K167" s="495"/>
      <c r="L167" s="495"/>
      <c r="M167" s="495"/>
      <c r="N167" s="495"/>
      <c r="O167" s="495"/>
      <c r="P167" s="495"/>
      <c r="Q167" s="495"/>
      <c r="R167" s="495"/>
      <c r="S167" s="495"/>
      <c r="T167" s="495"/>
      <c r="U167" s="495"/>
      <c r="V167" s="495"/>
      <c r="W167" s="495"/>
      <c r="X167" s="495"/>
      <c r="Y167" s="495"/>
      <c r="Z167" s="495"/>
    </row>
    <row r="168" ht="15.75" customHeight="1">
      <c r="A168" s="495"/>
      <c r="B168" s="495"/>
      <c r="C168" s="495"/>
      <c r="D168" s="495"/>
      <c r="E168" s="495"/>
      <c r="F168" s="495"/>
      <c r="G168" s="495"/>
      <c r="H168" s="495"/>
      <c r="I168" s="495"/>
      <c r="J168" s="495"/>
      <c r="K168" s="495"/>
      <c r="L168" s="495"/>
      <c r="M168" s="495"/>
      <c r="N168" s="495"/>
      <c r="O168" s="495"/>
      <c r="P168" s="495"/>
      <c r="Q168" s="495"/>
      <c r="R168" s="495"/>
      <c r="S168" s="495"/>
      <c r="T168" s="495"/>
      <c r="U168" s="495"/>
      <c r="V168" s="495"/>
      <c r="W168" s="495"/>
      <c r="X168" s="495"/>
      <c r="Y168" s="495"/>
      <c r="Z168" s="495"/>
    </row>
    <row r="169" ht="15.75" customHeight="1">
      <c r="A169" s="495"/>
      <c r="B169" s="495"/>
      <c r="C169" s="495"/>
      <c r="D169" s="495"/>
      <c r="E169" s="495"/>
      <c r="F169" s="495"/>
      <c r="G169" s="495"/>
      <c r="H169" s="495"/>
      <c r="I169" s="495"/>
      <c r="J169" s="495"/>
      <c r="K169" s="495"/>
      <c r="L169" s="495"/>
      <c r="M169" s="495"/>
      <c r="N169" s="495"/>
      <c r="O169" s="495"/>
      <c r="P169" s="495"/>
      <c r="Q169" s="495"/>
      <c r="R169" s="495"/>
      <c r="S169" s="495"/>
      <c r="T169" s="495"/>
      <c r="U169" s="495"/>
      <c r="V169" s="495"/>
      <c r="W169" s="495"/>
      <c r="X169" s="495"/>
      <c r="Y169" s="495"/>
      <c r="Z169" s="495"/>
    </row>
    <row r="170" ht="15.75" customHeight="1">
      <c r="A170" s="495"/>
      <c r="B170" s="495"/>
      <c r="C170" s="495"/>
      <c r="D170" s="495"/>
      <c r="E170" s="495"/>
      <c r="F170" s="495"/>
      <c r="G170" s="495"/>
      <c r="H170" s="495"/>
      <c r="I170" s="495"/>
      <c r="J170" s="495"/>
      <c r="K170" s="495"/>
      <c r="L170" s="495"/>
      <c r="M170" s="495"/>
      <c r="N170" s="495"/>
      <c r="O170" s="495"/>
      <c r="P170" s="495"/>
      <c r="Q170" s="495"/>
      <c r="R170" s="495"/>
      <c r="S170" s="495"/>
      <c r="T170" s="495"/>
      <c r="U170" s="495"/>
      <c r="V170" s="495"/>
      <c r="W170" s="495"/>
      <c r="X170" s="495"/>
      <c r="Y170" s="495"/>
      <c r="Z170" s="495"/>
    </row>
    <row r="171" ht="15.75" customHeight="1">
      <c r="A171" s="495"/>
      <c r="B171" s="495"/>
      <c r="C171" s="495"/>
      <c r="D171" s="495"/>
      <c r="E171" s="495"/>
      <c r="F171" s="495"/>
      <c r="G171" s="495"/>
      <c r="H171" s="495"/>
      <c r="I171" s="495"/>
      <c r="J171" s="495"/>
      <c r="K171" s="495"/>
      <c r="L171" s="495"/>
      <c r="M171" s="495"/>
      <c r="N171" s="495"/>
      <c r="O171" s="495"/>
      <c r="P171" s="495"/>
      <c r="Q171" s="495"/>
      <c r="R171" s="495"/>
      <c r="S171" s="495"/>
      <c r="T171" s="495"/>
      <c r="U171" s="495"/>
      <c r="V171" s="495"/>
      <c r="W171" s="495"/>
      <c r="X171" s="495"/>
      <c r="Y171" s="495"/>
      <c r="Z171" s="495"/>
    </row>
    <row r="172" ht="15.75" customHeight="1">
      <c r="A172" s="495"/>
      <c r="B172" s="495"/>
      <c r="C172" s="495"/>
      <c r="D172" s="495"/>
      <c r="E172" s="495"/>
      <c r="F172" s="495"/>
      <c r="G172" s="495"/>
      <c r="H172" s="495"/>
      <c r="I172" s="495"/>
      <c r="J172" s="495"/>
      <c r="K172" s="495"/>
      <c r="L172" s="495"/>
      <c r="M172" s="495"/>
      <c r="N172" s="495"/>
      <c r="O172" s="495"/>
      <c r="P172" s="495"/>
      <c r="Q172" s="495"/>
      <c r="R172" s="495"/>
      <c r="S172" s="495"/>
      <c r="T172" s="495"/>
      <c r="U172" s="495"/>
      <c r="V172" s="495"/>
      <c r="W172" s="495"/>
      <c r="X172" s="495"/>
      <c r="Y172" s="495"/>
      <c r="Z172" s="495"/>
    </row>
    <row r="173" ht="15.75" customHeight="1">
      <c r="A173" s="495"/>
      <c r="B173" s="495"/>
      <c r="C173" s="495"/>
      <c r="D173" s="495"/>
      <c r="E173" s="495"/>
      <c r="F173" s="495"/>
      <c r="G173" s="495"/>
      <c r="H173" s="495"/>
      <c r="I173" s="495"/>
      <c r="J173" s="495"/>
      <c r="K173" s="495"/>
      <c r="L173" s="495"/>
      <c r="M173" s="495"/>
      <c r="N173" s="495"/>
      <c r="O173" s="495"/>
      <c r="P173" s="495"/>
      <c r="Q173" s="495"/>
      <c r="R173" s="495"/>
      <c r="S173" s="495"/>
      <c r="T173" s="495"/>
      <c r="U173" s="495"/>
      <c r="V173" s="495"/>
      <c r="W173" s="495"/>
      <c r="X173" s="495"/>
      <c r="Y173" s="495"/>
      <c r="Z173" s="495"/>
    </row>
    <row r="174" ht="15.75" customHeight="1">
      <c r="A174" s="495"/>
      <c r="B174" s="495"/>
      <c r="C174" s="495"/>
      <c r="D174" s="495"/>
      <c r="E174" s="495"/>
      <c r="F174" s="495"/>
      <c r="G174" s="495"/>
      <c r="H174" s="495"/>
      <c r="I174" s="495"/>
      <c r="J174" s="495"/>
      <c r="K174" s="495"/>
      <c r="L174" s="495"/>
      <c r="M174" s="495"/>
      <c r="N174" s="495"/>
      <c r="O174" s="495"/>
      <c r="P174" s="495"/>
      <c r="Q174" s="495"/>
      <c r="R174" s="495"/>
      <c r="S174" s="495"/>
      <c r="T174" s="495"/>
      <c r="U174" s="495"/>
      <c r="V174" s="495"/>
      <c r="W174" s="495"/>
      <c r="X174" s="495"/>
      <c r="Y174" s="495"/>
      <c r="Z174" s="495"/>
    </row>
    <row r="175" ht="15.75" customHeight="1">
      <c r="A175" s="495"/>
      <c r="B175" s="495"/>
      <c r="C175" s="495"/>
      <c r="D175" s="495"/>
      <c r="E175" s="495"/>
      <c r="F175" s="495"/>
      <c r="G175" s="495"/>
      <c r="H175" s="495"/>
      <c r="I175" s="495"/>
      <c r="J175" s="495"/>
      <c r="K175" s="495"/>
      <c r="L175" s="495"/>
      <c r="M175" s="495"/>
      <c r="N175" s="495"/>
      <c r="O175" s="495"/>
      <c r="P175" s="495"/>
      <c r="Q175" s="495"/>
      <c r="R175" s="495"/>
      <c r="S175" s="495"/>
      <c r="T175" s="495"/>
      <c r="U175" s="495"/>
      <c r="V175" s="495"/>
      <c r="W175" s="495"/>
      <c r="X175" s="495"/>
      <c r="Y175" s="495"/>
      <c r="Z175" s="495"/>
    </row>
    <row r="176" ht="15.75" customHeight="1">
      <c r="A176" s="495"/>
      <c r="B176" s="495"/>
      <c r="C176" s="495"/>
      <c r="D176" s="495"/>
      <c r="E176" s="495"/>
      <c r="F176" s="495"/>
      <c r="G176" s="495"/>
      <c r="H176" s="495"/>
      <c r="I176" s="495"/>
      <c r="J176" s="495"/>
      <c r="K176" s="495"/>
      <c r="L176" s="495"/>
      <c r="M176" s="495"/>
      <c r="N176" s="495"/>
      <c r="O176" s="495"/>
      <c r="P176" s="495"/>
      <c r="Q176" s="495"/>
      <c r="R176" s="495"/>
      <c r="S176" s="495"/>
      <c r="T176" s="495"/>
      <c r="U176" s="495"/>
      <c r="V176" s="495"/>
      <c r="W176" s="495"/>
      <c r="X176" s="495"/>
      <c r="Y176" s="495"/>
      <c r="Z176" s="495"/>
    </row>
    <row r="177" ht="15.75" customHeight="1">
      <c r="A177" s="495"/>
      <c r="B177" s="495"/>
      <c r="C177" s="495"/>
      <c r="D177" s="495"/>
      <c r="E177" s="495"/>
      <c r="F177" s="495"/>
      <c r="G177" s="495"/>
      <c r="H177" s="495"/>
      <c r="I177" s="495"/>
      <c r="J177" s="495"/>
      <c r="K177" s="495"/>
      <c r="L177" s="495"/>
      <c r="M177" s="495"/>
      <c r="N177" s="495"/>
      <c r="O177" s="495"/>
      <c r="P177" s="495"/>
      <c r="Q177" s="495"/>
      <c r="R177" s="495"/>
      <c r="S177" s="495"/>
      <c r="T177" s="495"/>
      <c r="U177" s="495"/>
      <c r="V177" s="495"/>
      <c r="W177" s="495"/>
      <c r="X177" s="495"/>
      <c r="Y177" s="495"/>
      <c r="Z177" s="495"/>
    </row>
    <row r="178" ht="15.75" customHeight="1">
      <c r="A178" s="495"/>
      <c r="B178" s="495"/>
      <c r="C178" s="495"/>
      <c r="D178" s="495"/>
      <c r="E178" s="495"/>
      <c r="F178" s="495"/>
      <c r="G178" s="495"/>
      <c r="H178" s="495"/>
      <c r="I178" s="495"/>
      <c r="J178" s="495"/>
      <c r="K178" s="495"/>
      <c r="L178" s="495"/>
      <c r="M178" s="495"/>
      <c r="N178" s="495"/>
      <c r="O178" s="495"/>
      <c r="P178" s="495"/>
      <c r="Q178" s="495"/>
      <c r="R178" s="495"/>
      <c r="S178" s="495"/>
      <c r="T178" s="495"/>
      <c r="U178" s="495"/>
      <c r="V178" s="495"/>
      <c r="W178" s="495"/>
      <c r="X178" s="495"/>
      <c r="Y178" s="495"/>
      <c r="Z178" s="495"/>
    </row>
    <row r="179" ht="15.75" customHeight="1">
      <c r="A179" s="495"/>
      <c r="B179" s="495"/>
      <c r="C179" s="495"/>
      <c r="D179" s="495"/>
      <c r="E179" s="495"/>
      <c r="F179" s="495"/>
      <c r="G179" s="495"/>
      <c r="H179" s="495"/>
      <c r="I179" s="495"/>
      <c r="J179" s="495"/>
      <c r="K179" s="495"/>
      <c r="L179" s="495"/>
      <c r="M179" s="495"/>
      <c r="N179" s="495"/>
      <c r="O179" s="495"/>
      <c r="P179" s="495"/>
      <c r="Q179" s="495"/>
      <c r="R179" s="495"/>
      <c r="S179" s="495"/>
      <c r="T179" s="495"/>
      <c r="U179" s="495"/>
      <c r="V179" s="495"/>
      <c r="W179" s="495"/>
      <c r="X179" s="495"/>
      <c r="Y179" s="495"/>
      <c r="Z179" s="495"/>
    </row>
    <row r="180" ht="15.75" customHeight="1">
      <c r="A180" s="495"/>
      <c r="B180" s="495"/>
      <c r="C180" s="495"/>
      <c r="D180" s="495"/>
      <c r="E180" s="495"/>
      <c r="F180" s="495"/>
      <c r="G180" s="495"/>
      <c r="H180" s="495"/>
      <c r="I180" s="495"/>
      <c r="J180" s="495"/>
      <c r="K180" s="495"/>
      <c r="L180" s="495"/>
      <c r="M180" s="495"/>
      <c r="N180" s="495"/>
      <c r="O180" s="495"/>
      <c r="P180" s="495"/>
      <c r="Q180" s="495"/>
      <c r="R180" s="495"/>
      <c r="S180" s="495"/>
      <c r="T180" s="495"/>
      <c r="U180" s="495"/>
      <c r="V180" s="495"/>
      <c r="W180" s="495"/>
      <c r="X180" s="495"/>
      <c r="Y180" s="495"/>
      <c r="Z180" s="495"/>
    </row>
    <row r="181" ht="15.75" customHeight="1">
      <c r="A181" s="495"/>
      <c r="B181" s="495"/>
      <c r="C181" s="495"/>
      <c r="D181" s="495"/>
      <c r="E181" s="495"/>
      <c r="F181" s="495"/>
      <c r="G181" s="495"/>
      <c r="H181" s="495"/>
      <c r="I181" s="495"/>
      <c r="J181" s="495"/>
      <c r="K181" s="495"/>
      <c r="L181" s="495"/>
      <c r="M181" s="495"/>
      <c r="N181" s="495"/>
      <c r="O181" s="495"/>
      <c r="P181" s="495"/>
      <c r="Q181" s="495"/>
      <c r="R181" s="495"/>
      <c r="S181" s="495"/>
      <c r="T181" s="495"/>
      <c r="U181" s="495"/>
      <c r="V181" s="495"/>
      <c r="W181" s="495"/>
      <c r="X181" s="495"/>
      <c r="Y181" s="495"/>
      <c r="Z181" s="495"/>
    </row>
    <row r="182" ht="15.75" customHeight="1">
      <c r="A182" s="495"/>
      <c r="B182" s="495"/>
      <c r="C182" s="495"/>
      <c r="D182" s="495"/>
      <c r="E182" s="495"/>
      <c r="F182" s="495"/>
      <c r="G182" s="495"/>
      <c r="H182" s="495"/>
      <c r="I182" s="495"/>
      <c r="J182" s="495"/>
      <c r="K182" s="495"/>
      <c r="L182" s="495"/>
      <c r="M182" s="495"/>
      <c r="N182" s="495"/>
      <c r="O182" s="495"/>
      <c r="P182" s="495"/>
      <c r="Q182" s="495"/>
      <c r="R182" s="495"/>
      <c r="S182" s="495"/>
      <c r="T182" s="495"/>
      <c r="U182" s="495"/>
      <c r="V182" s="495"/>
      <c r="W182" s="495"/>
      <c r="X182" s="495"/>
      <c r="Y182" s="495"/>
      <c r="Z182" s="495"/>
    </row>
    <row r="183" ht="15.75" customHeight="1">
      <c r="A183" s="495"/>
      <c r="B183" s="495"/>
      <c r="C183" s="495"/>
      <c r="D183" s="495"/>
      <c r="E183" s="495"/>
      <c r="F183" s="495"/>
      <c r="G183" s="495"/>
      <c r="H183" s="495"/>
      <c r="I183" s="495"/>
      <c r="J183" s="495"/>
      <c r="K183" s="495"/>
      <c r="L183" s="495"/>
      <c r="M183" s="495"/>
      <c r="N183" s="495"/>
      <c r="O183" s="495"/>
      <c r="P183" s="495"/>
      <c r="Q183" s="495"/>
      <c r="R183" s="495"/>
      <c r="S183" s="495"/>
      <c r="T183" s="495"/>
      <c r="U183" s="495"/>
      <c r="V183" s="495"/>
      <c r="W183" s="495"/>
      <c r="X183" s="495"/>
      <c r="Y183" s="495"/>
      <c r="Z183" s="495"/>
    </row>
    <row r="184" ht="15.75" customHeight="1">
      <c r="A184" s="495"/>
      <c r="B184" s="495"/>
      <c r="C184" s="495"/>
      <c r="D184" s="495"/>
      <c r="E184" s="495"/>
      <c r="F184" s="495"/>
      <c r="G184" s="495"/>
      <c r="H184" s="495"/>
      <c r="I184" s="495"/>
      <c r="J184" s="495"/>
      <c r="K184" s="495"/>
      <c r="L184" s="495"/>
      <c r="M184" s="495"/>
      <c r="N184" s="495"/>
      <c r="O184" s="495"/>
      <c r="P184" s="495"/>
      <c r="Q184" s="495"/>
      <c r="R184" s="495"/>
      <c r="S184" s="495"/>
      <c r="T184" s="495"/>
      <c r="U184" s="495"/>
      <c r="V184" s="495"/>
      <c r="W184" s="495"/>
      <c r="X184" s="495"/>
      <c r="Y184" s="495"/>
      <c r="Z184" s="495"/>
    </row>
    <row r="185" ht="15.75" customHeight="1">
      <c r="A185" s="495"/>
      <c r="B185" s="495"/>
      <c r="C185" s="495"/>
      <c r="D185" s="495"/>
      <c r="E185" s="495"/>
      <c r="F185" s="495"/>
      <c r="G185" s="495"/>
      <c r="H185" s="495"/>
      <c r="I185" s="495"/>
      <c r="J185" s="495"/>
      <c r="K185" s="495"/>
      <c r="L185" s="495"/>
      <c r="M185" s="495"/>
      <c r="N185" s="495"/>
      <c r="O185" s="495"/>
      <c r="P185" s="495"/>
      <c r="Q185" s="495"/>
      <c r="R185" s="495"/>
      <c r="S185" s="495"/>
      <c r="T185" s="495"/>
      <c r="U185" s="495"/>
      <c r="V185" s="495"/>
      <c r="W185" s="495"/>
      <c r="X185" s="495"/>
      <c r="Y185" s="495"/>
      <c r="Z185" s="495"/>
    </row>
    <row r="186" ht="15.75" customHeight="1">
      <c r="A186" s="495"/>
      <c r="B186" s="495"/>
      <c r="C186" s="495"/>
      <c r="D186" s="495"/>
      <c r="E186" s="495"/>
      <c r="F186" s="495"/>
      <c r="G186" s="495"/>
      <c r="H186" s="495"/>
      <c r="I186" s="495"/>
      <c r="J186" s="495"/>
      <c r="K186" s="495"/>
      <c r="L186" s="495"/>
      <c r="M186" s="495"/>
      <c r="N186" s="495"/>
      <c r="O186" s="495"/>
      <c r="P186" s="495"/>
      <c r="Q186" s="495"/>
      <c r="R186" s="495"/>
      <c r="S186" s="495"/>
      <c r="T186" s="495"/>
      <c r="U186" s="495"/>
      <c r="V186" s="495"/>
      <c r="W186" s="495"/>
      <c r="X186" s="495"/>
      <c r="Y186" s="495"/>
      <c r="Z186" s="495"/>
    </row>
    <row r="187" ht="15.75" customHeight="1">
      <c r="A187" s="495"/>
      <c r="B187" s="495"/>
      <c r="C187" s="495"/>
      <c r="D187" s="495"/>
      <c r="E187" s="495"/>
      <c r="F187" s="495"/>
      <c r="G187" s="495"/>
      <c r="H187" s="495"/>
      <c r="I187" s="495"/>
      <c r="J187" s="495"/>
      <c r="K187" s="495"/>
      <c r="L187" s="495"/>
      <c r="M187" s="495"/>
      <c r="N187" s="495"/>
      <c r="O187" s="495"/>
      <c r="P187" s="495"/>
      <c r="Q187" s="495"/>
      <c r="R187" s="495"/>
      <c r="S187" s="495"/>
      <c r="T187" s="495"/>
      <c r="U187" s="495"/>
      <c r="V187" s="495"/>
      <c r="W187" s="495"/>
      <c r="X187" s="495"/>
      <c r="Y187" s="495"/>
      <c r="Z187" s="495"/>
    </row>
    <row r="188" ht="15.75" customHeight="1">
      <c r="A188" s="495"/>
      <c r="B188" s="495"/>
      <c r="C188" s="495"/>
      <c r="D188" s="495"/>
      <c r="E188" s="495"/>
      <c r="F188" s="495"/>
      <c r="G188" s="495"/>
      <c r="H188" s="495"/>
      <c r="I188" s="495"/>
      <c r="J188" s="495"/>
      <c r="K188" s="495"/>
      <c r="L188" s="495"/>
      <c r="M188" s="495"/>
      <c r="N188" s="495"/>
      <c r="O188" s="495"/>
      <c r="P188" s="495"/>
      <c r="Q188" s="495"/>
      <c r="R188" s="495"/>
      <c r="S188" s="495"/>
      <c r="T188" s="495"/>
      <c r="U188" s="495"/>
      <c r="V188" s="495"/>
      <c r="W188" s="495"/>
      <c r="X188" s="495"/>
      <c r="Y188" s="495"/>
      <c r="Z188" s="495"/>
    </row>
    <row r="189" ht="15.75" customHeight="1">
      <c r="A189" s="495"/>
      <c r="B189" s="495"/>
      <c r="C189" s="495"/>
      <c r="D189" s="495"/>
      <c r="E189" s="495"/>
      <c r="F189" s="495"/>
      <c r="G189" s="495"/>
      <c r="H189" s="495"/>
      <c r="I189" s="495"/>
      <c r="J189" s="495"/>
      <c r="K189" s="495"/>
      <c r="L189" s="495"/>
      <c r="M189" s="495"/>
      <c r="N189" s="495"/>
      <c r="O189" s="495"/>
      <c r="P189" s="495"/>
      <c r="Q189" s="495"/>
      <c r="R189" s="495"/>
      <c r="S189" s="495"/>
      <c r="T189" s="495"/>
      <c r="U189" s="495"/>
      <c r="V189" s="495"/>
      <c r="W189" s="495"/>
      <c r="X189" s="495"/>
      <c r="Y189" s="495"/>
      <c r="Z189" s="495"/>
    </row>
    <row r="190" ht="15.75" customHeight="1">
      <c r="A190" s="495"/>
      <c r="B190" s="495"/>
      <c r="C190" s="495"/>
      <c r="D190" s="495"/>
      <c r="E190" s="495"/>
      <c r="F190" s="495"/>
      <c r="G190" s="495"/>
      <c r="H190" s="495"/>
      <c r="I190" s="495"/>
      <c r="J190" s="495"/>
      <c r="K190" s="495"/>
      <c r="L190" s="495"/>
      <c r="M190" s="495"/>
      <c r="N190" s="495"/>
      <c r="O190" s="495"/>
      <c r="P190" s="495"/>
      <c r="Q190" s="495"/>
      <c r="R190" s="495"/>
      <c r="S190" s="495"/>
      <c r="T190" s="495"/>
      <c r="U190" s="495"/>
      <c r="V190" s="495"/>
      <c r="W190" s="495"/>
      <c r="X190" s="495"/>
      <c r="Y190" s="495"/>
      <c r="Z190" s="495"/>
    </row>
    <row r="191" ht="15.75" customHeight="1">
      <c r="A191" s="495"/>
      <c r="B191" s="495"/>
      <c r="C191" s="495"/>
      <c r="D191" s="495"/>
      <c r="E191" s="495"/>
      <c r="F191" s="495"/>
      <c r="G191" s="495"/>
      <c r="H191" s="495"/>
      <c r="I191" s="495"/>
      <c r="J191" s="495"/>
      <c r="K191" s="495"/>
      <c r="L191" s="495"/>
      <c r="M191" s="495"/>
      <c r="N191" s="495"/>
      <c r="O191" s="495"/>
      <c r="P191" s="495"/>
      <c r="Q191" s="495"/>
      <c r="R191" s="495"/>
      <c r="S191" s="495"/>
      <c r="T191" s="495"/>
      <c r="U191" s="495"/>
      <c r="V191" s="495"/>
      <c r="W191" s="495"/>
      <c r="X191" s="495"/>
      <c r="Y191" s="495"/>
      <c r="Z191" s="495"/>
    </row>
    <row r="192" ht="15.75" customHeight="1">
      <c r="A192" s="495"/>
      <c r="B192" s="495"/>
      <c r="C192" s="495"/>
      <c r="D192" s="495"/>
      <c r="E192" s="495"/>
      <c r="F192" s="495"/>
      <c r="G192" s="495"/>
      <c r="H192" s="495"/>
      <c r="I192" s="495"/>
      <c r="J192" s="495"/>
      <c r="K192" s="495"/>
      <c r="L192" s="495"/>
      <c r="M192" s="495"/>
      <c r="N192" s="495"/>
      <c r="O192" s="495"/>
      <c r="P192" s="495"/>
      <c r="Q192" s="495"/>
      <c r="R192" s="495"/>
      <c r="S192" s="495"/>
      <c r="T192" s="495"/>
      <c r="U192" s="495"/>
      <c r="V192" s="495"/>
      <c r="W192" s="495"/>
      <c r="X192" s="495"/>
      <c r="Y192" s="495"/>
      <c r="Z192" s="495"/>
    </row>
    <row r="193" ht="15.75" customHeight="1">
      <c r="A193" s="495"/>
      <c r="B193" s="495"/>
      <c r="C193" s="495"/>
      <c r="D193" s="495"/>
      <c r="E193" s="495"/>
      <c r="F193" s="495"/>
      <c r="G193" s="495"/>
      <c r="H193" s="495"/>
      <c r="I193" s="495"/>
      <c r="J193" s="495"/>
      <c r="K193" s="495"/>
      <c r="L193" s="495"/>
      <c r="M193" s="495"/>
      <c r="N193" s="495"/>
      <c r="O193" s="495"/>
      <c r="P193" s="495"/>
      <c r="Q193" s="495"/>
      <c r="R193" s="495"/>
      <c r="S193" s="495"/>
      <c r="T193" s="495"/>
      <c r="U193" s="495"/>
      <c r="V193" s="495"/>
      <c r="W193" s="495"/>
      <c r="X193" s="495"/>
      <c r="Y193" s="495"/>
      <c r="Z193" s="495"/>
    </row>
    <row r="194" ht="15.75" customHeight="1">
      <c r="A194" s="495"/>
      <c r="B194" s="495"/>
      <c r="C194" s="495"/>
      <c r="D194" s="495"/>
      <c r="E194" s="495"/>
      <c r="F194" s="495"/>
      <c r="G194" s="495"/>
      <c r="H194" s="495"/>
      <c r="I194" s="495"/>
      <c r="J194" s="495"/>
      <c r="K194" s="495"/>
      <c r="L194" s="495"/>
      <c r="M194" s="495"/>
      <c r="N194" s="495"/>
      <c r="O194" s="495"/>
      <c r="P194" s="495"/>
      <c r="Q194" s="495"/>
      <c r="R194" s="495"/>
      <c r="S194" s="495"/>
      <c r="T194" s="495"/>
      <c r="U194" s="495"/>
      <c r="V194" s="495"/>
      <c r="W194" s="495"/>
      <c r="X194" s="495"/>
      <c r="Y194" s="495"/>
      <c r="Z194" s="495"/>
    </row>
    <row r="195" ht="15.75" customHeight="1">
      <c r="A195" s="495"/>
      <c r="B195" s="495"/>
      <c r="C195" s="495"/>
      <c r="D195" s="495"/>
      <c r="E195" s="495"/>
      <c r="F195" s="495"/>
      <c r="G195" s="495"/>
      <c r="H195" s="495"/>
      <c r="I195" s="495"/>
      <c r="J195" s="495"/>
      <c r="K195" s="495"/>
      <c r="L195" s="495"/>
      <c r="M195" s="495"/>
      <c r="N195" s="495"/>
      <c r="O195" s="495"/>
      <c r="P195" s="495"/>
      <c r="Q195" s="495"/>
      <c r="R195" s="495"/>
      <c r="S195" s="495"/>
      <c r="T195" s="495"/>
      <c r="U195" s="495"/>
      <c r="V195" s="495"/>
      <c r="W195" s="495"/>
      <c r="X195" s="495"/>
      <c r="Y195" s="495"/>
      <c r="Z195" s="495"/>
    </row>
    <row r="196" ht="15.75" customHeight="1">
      <c r="A196" s="495"/>
      <c r="B196" s="495"/>
      <c r="C196" s="495"/>
      <c r="D196" s="495"/>
      <c r="E196" s="495"/>
      <c r="F196" s="495"/>
      <c r="G196" s="495"/>
      <c r="H196" s="495"/>
      <c r="I196" s="495"/>
      <c r="J196" s="495"/>
      <c r="K196" s="495"/>
      <c r="L196" s="495"/>
      <c r="M196" s="495"/>
      <c r="N196" s="495"/>
      <c r="O196" s="495"/>
      <c r="P196" s="495"/>
      <c r="Q196" s="495"/>
      <c r="R196" s="495"/>
      <c r="S196" s="495"/>
      <c r="T196" s="495"/>
      <c r="U196" s="495"/>
      <c r="V196" s="495"/>
      <c r="W196" s="495"/>
      <c r="X196" s="495"/>
      <c r="Y196" s="495"/>
      <c r="Z196" s="495"/>
    </row>
    <row r="197" ht="15.75" customHeight="1">
      <c r="A197" s="495"/>
      <c r="B197" s="495"/>
      <c r="C197" s="495"/>
      <c r="D197" s="495"/>
      <c r="E197" s="495"/>
      <c r="F197" s="495"/>
      <c r="G197" s="495"/>
      <c r="H197" s="495"/>
      <c r="I197" s="495"/>
      <c r="J197" s="495"/>
      <c r="K197" s="495"/>
      <c r="L197" s="495"/>
      <c r="M197" s="495"/>
      <c r="N197" s="495"/>
      <c r="O197" s="495"/>
      <c r="P197" s="495"/>
      <c r="Q197" s="495"/>
      <c r="R197" s="495"/>
      <c r="S197" s="495"/>
      <c r="T197" s="495"/>
      <c r="U197" s="495"/>
      <c r="V197" s="495"/>
      <c r="W197" s="495"/>
      <c r="X197" s="495"/>
      <c r="Y197" s="495"/>
      <c r="Z197" s="495"/>
    </row>
    <row r="198" ht="15.75" customHeight="1">
      <c r="A198" s="495"/>
      <c r="B198" s="495"/>
      <c r="C198" s="495"/>
      <c r="D198" s="495"/>
      <c r="E198" s="495"/>
      <c r="F198" s="495"/>
      <c r="G198" s="495"/>
      <c r="H198" s="495"/>
      <c r="I198" s="495"/>
      <c r="J198" s="495"/>
      <c r="K198" s="495"/>
      <c r="L198" s="495"/>
      <c r="M198" s="495"/>
      <c r="N198" s="495"/>
      <c r="O198" s="495"/>
      <c r="P198" s="495"/>
      <c r="Q198" s="495"/>
      <c r="R198" s="495"/>
      <c r="S198" s="495"/>
      <c r="T198" s="495"/>
      <c r="U198" s="495"/>
      <c r="V198" s="495"/>
      <c r="W198" s="495"/>
      <c r="X198" s="495"/>
      <c r="Y198" s="495"/>
      <c r="Z198" s="495"/>
    </row>
    <row r="199" ht="15.75" customHeight="1">
      <c r="A199" s="495"/>
      <c r="B199" s="495"/>
      <c r="C199" s="495"/>
      <c r="D199" s="495"/>
      <c r="E199" s="495"/>
      <c r="F199" s="495"/>
      <c r="G199" s="495"/>
      <c r="H199" s="495"/>
      <c r="I199" s="495"/>
      <c r="J199" s="495"/>
      <c r="K199" s="495"/>
      <c r="L199" s="495"/>
      <c r="M199" s="495"/>
      <c r="N199" s="495"/>
      <c r="O199" s="495"/>
      <c r="P199" s="495"/>
      <c r="Q199" s="495"/>
      <c r="R199" s="495"/>
      <c r="S199" s="495"/>
      <c r="T199" s="495"/>
      <c r="U199" s="495"/>
      <c r="V199" s="495"/>
      <c r="W199" s="495"/>
      <c r="X199" s="495"/>
      <c r="Y199" s="495"/>
      <c r="Z199" s="495"/>
    </row>
    <row r="200" ht="15.75" customHeight="1">
      <c r="A200" s="495"/>
      <c r="B200" s="495"/>
      <c r="C200" s="495"/>
      <c r="D200" s="495"/>
      <c r="E200" s="495"/>
      <c r="F200" s="495"/>
      <c r="G200" s="495"/>
      <c r="H200" s="495"/>
      <c r="I200" s="495"/>
      <c r="J200" s="495"/>
      <c r="K200" s="495"/>
      <c r="L200" s="495"/>
      <c r="M200" s="495"/>
      <c r="N200" s="495"/>
      <c r="O200" s="495"/>
      <c r="P200" s="495"/>
      <c r="Q200" s="495"/>
      <c r="R200" s="495"/>
      <c r="S200" s="495"/>
      <c r="T200" s="495"/>
      <c r="U200" s="495"/>
      <c r="V200" s="495"/>
      <c r="W200" s="495"/>
      <c r="X200" s="495"/>
      <c r="Y200" s="495"/>
      <c r="Z200" s="495"/>
    </row>
    <row r="201" ht="15.75" customHeight="1">
      <c r="A201" s="495"/>
      <c r="B201" s="495"/>
      <c r="C201" s="495"/>
      <c r="D201" s="495"/>
      <c r="E201" s="495"/>
      <c r="F201" s="495"/>
      <c r="G201" s="495"/>
      <c r="H201" s="495"/>
      <c r="I201" s="495"/>
      <c r="J201" s="495"/>
      <c r="K201" s="495"/>
      <c r="L201" s="495"/>
      <c r="M201" s="495"/>
      <c r="N201" s="495"/>
      <c r="O201" s="495"/>
      <c r="P201" s="495"/>
      <c r="Q201" s="495"/>
      <c r="R201" s="495"/>
      <c r="S201" s="495"/>
      <c r="T201" s="495"/>
      <c r="U201" s="495"/>
      <c r="V201" s="495"/>
      <c r="W201" s="495"/>
      <c r="X201" s="495"/>
      <c r="Y201" s="495"/>
      <c r="Z201" s="495"/>
    </row>
    <row r="202" ht="15.75" customHeight="1">
      <c r="A202" s="495"/>
      <c r="B202" s="495"/>
      <c r="C202" s="495"/>
      <c r="D202" s="495"/>
      <c r="E202" s="495"/>
      <c r="F202" s="495"/>
      <c r="G202" s="495"/>
      <c r="H202" s="495"/>
      <c r="I202" s="495"/>
      <c r="J202" s="495"/>
      <c r="K202" s="495"/>
      <c r="L202" s="495"/>
      <c r="M202" s="495"/>
      <c r="N202" s="495"/>
      <c r="O202" s="495"/>
      <c r="P202" s="495"/>
      <c r="Q202" s="495"/>
      <c r="R202" s="495"/>
      <c r="S202" s="495"/>
      <c r="T202" s="495"/>
      <c r="U202" s="495"/>
      <c r="V202" s="495"/>
      <c r="W202" s="495"/>
      <c r="X202" s="495"/>
      <c r="Y202" s="495"/>
      <c r="Z202" s="495"/>
    </row>
    <row r="203" ht="15.75" customHeight="1">
      <c r="A203" s="495"/>
      <c r="B203" s="495"/>
      <c r="C203" s="495"/>
      <c r="D203" s="495"/>
      <c r="E203" s="495"/>
      <c r="F203" s="495"/>
      <c r="G203" s="495"/>
      <c r="H203" s="495"/>
      <c r="I203" s="495"/>
      <c r="J203" s="495"/>
      <c r="K203" s="495"/>
      <c r="L203" s="495"/>
      <c r="M203" s="495"/>
      <c r="N203" s="495"/>
      <c r="O203" s="495"/>
      <c r="P203" s="495"/>
      <c r="Q203" s="495"/>
      <c r="R203" s="495"/>
      <c r="S203" s="495"/>
      <c r="T203" s="495"/>
      <c r="U203" s="495"/>
      <c r="V203" s="495"/>
      <c r="W203" s="495"/>
      <c r="X203" s="495"/>
      <c r="Y203" s="495"/>
      <c r="Z203" s="495"/>
    </row>
    <row r="204" ht="15.75" customHeight="1">
      <c r="A204" s="495"/>
      <c r="B204" s="495"/>
      <c r="C204" s="495"/>
      <c r="D204" s="495"/>
      <c r="E204" s="495"/>
      <c r="F204" s="495"/>
      <c r="G204" s="495"/>
      <c r="H204" s="495"/>
      <c r="I204" s="495"/>
      <c r="J204" s="495"/>
      <c r="K204" s="495"/>
      <c r="L204" s="495"/>
      <c r="M204" s="495"/>
      <c r="N204" s="495"/>
      <c r="O204" s="495"/>
      <c r="P204" s="495"/>
      <c r="Q204" s="495"/>
      <c r="R204" s="495"/>
      <c r="S204" s="495"/>
      <c r="T204" s="495"/>
      <c r="U204" s="495"/>
      <c r="V204" s="495"/>
      <c r="W204" s="495"/>
      <c r="X204" s="495"/>
      <c r="Y204" s="495"/>
      <c r="Z204" s="495"/>
    </row>
    <row r="205" ht="15.75" customHeight="1">
      <c r="A205" s="495"/>
      <c r="B205" s="495"/>
      <c r="C205" s="495"/>
      <c r="D205" s="495"/>
      <c r="E205" s="495"/>
      <c r="F205" s="495"/>
      <c r="G205" s="495"/>
      <c r="H205" s="495"/>
      <c r="I205" s="495"/>
      <c r="J205" s="495"/>
      <c r="K205" s="495"/>
      <c r="L205" s="495"/>
      <c r="M205" s="495"/>
      <c r="N205" s="495"/>
      <c r="O205" s="495"/>
      <c r="P205" s="495"/>
      <c r="Q205" s="495"/>
      <c r="R205" s="495"/>
      <c r="S205" s="495"/>
      <c r="T205" s="495"/>
      <c r="U205" s="495"/>
      <c r="V205" s="495"/>
      <c r="W205" s="495"/>
      <c r="X205" s="495"/>
      <c r="Y205" s="495"/>
      <c r="Z205" s="495"/>
    </row>
    <row r="206" ht="15.75" customHeight="1">
      <c r="A206" s="495"/>
      <c r="B206" s="495"/>
      <c r="C206" s="495"/>
      <c r="D206" s="495"/>
      <c r="E206" s="495"/>
      <c r="F206" s="495"/>
      <c r="G206" s="495"/>
      <c r="H206" s="495"/>
      <c r="I206" s="495"/>
      <c r="J206" s="495"/>
      <c r="K206" s="495"/>
      <c r="L206" s="495"/>
      <c r="M206" s="495"/>
      <c r="N206" s="495"/>
      <c r="O206" s="495"/>
      <c r="P206" s="495"/>
      <c r="Q206" s="495"/>
      <c r="R206" s="495"/>
      <c r="S206" s="495"/>
      <c r="T206" s="495"/>
      <c r="U206" s="495"/>
      <c r="V206" s="495"/>
      <c r="W206" s="495"/>
      <c r="X206" s="495"/>
      <c r="Y206" s="495"/>
      <c r="Z206" s="495"/>
    </row>
    <row r="207" ht="15.75" customHeight="1">
      <c r="A207" s="495"/>
      <c r="B207" s="495"/>
      <c r="C207" s="495"/>
      <c r="D207" s="495"/>
      <c r="E207" s="495"/>
      <c r="F207" s="495"/>
      <c r="G207" s="495"/>
      <c r="H207" s="495"/>
      <c r="I207" s="495"/>
      <c r="J207" s="495"/>
      <c r="K207" s="495"/>
      <c r="L207" s="495"/>
      <c r="M207" s="495"/>
      <c r="N207" s="495"/>
      <c r="O207" s="495"/>
      <c r="P207" s="495"/>
      <c r="Q207" s="495"/>
      <c r="R207" s="495"/>
      <c r="S207" s="495"/>
      <c r="T207" s="495"/>
      <c r="U207" s="495"/>
      <c r="V207" s="495"/>
      <c r="W207" s="495"/>
      <c r="X207" s="495"/>
      <c r="Y207" s="495"/>
      <c r="Z207" s="495"/>
    </row>
    <row r="208" ht="15.75" customHeight="1">
      <c r="A208" s="495"/>
      <c r="B208" s="495"/>
      <c r="C208" s="495"/>
      <c r="D208" s="495"/>
      <c r="E208" s="495"/>
      <c r="F208" s="495"/>
      <c r="G208" s="495"/>
      <c r="H208" s="495"/>
      <c r="I208" s="495"/>
      <c r="J208" s="495"/>
      <c r="K208" s="495"/>
      <c r="L208" s="495"/>
      <c r="M208" s="495"/>
      <c r="N208" s="495"/>
      <c r="O208" s="495"/>
      <c r="P208" s="495"/>
      <c r="Q208" s="495"/>
      <c r="R208" s="495"/>
      <c r="S208" s="495"/>
      <c r="T208" s="495"/>
      <c r="U208" s="495"/>
      <c r="V208" s="495"/>
      <c r="W208" s="495"/>
      <c r="X208" s="495"/>
      <c r="Y208" s="495"/>
      <c r="Z208" s="495"/>
    </row>
    <row r="209" ht="15.75" customHeight="1">
      <c r="A209" s="495"/>
      <c r="B209" s="495"/>
      <c r="C209" s="495"/>
      <c r="D209" s="495"/>
      <c r="E209" s="495"/>
      <c r="F209" s="495"/>
      <c r="G209" s="495"/>
      <c r="H209" s="495"/>
      <c r="I209" s="495"/>
      <c r="J209" s="495"/>
      <c r="K209" s="495"/>
      <c r="L209" s="495"/>
      <c r="M209" s="495"/>
      <c r="N209" s="495"/>
      <c r="O209" s="495"/>
      <c r="P209" s="495"/>
      <c r="Q209" s="495"/>
      <c r="R209" s="495"/>
      <c r="S209" s="495"/>
      <c r="T209" s="495"/>
      <c r="U209" s="495"/>
      <c r="V209" s="495"/>
      <c r="W209" s="495"/>
      <c r="X209" s="495"/>
      <c r="Y209" s="495"/>
      <c r="Z209" s="495"/>
    </row>
    <row r="210" ht="15.75" customHeight="1">
      <c r="A210" s="495"/>
      <c r="B210" s="495"/>
      <c r="C210" s="495"/>
      <c r="D210" s="495"/>
      <c r="E210" s="495"/>
      <c r="F210" s="495"/>
      <c r="G210" s="495"/>
      <c r="H210" s="495"/>
      <c r="I210" s="495"/>
      <c r="J210" s="495"/>
      <c r="K210" s="495"/>
      <c r="L210" s="495"/>
      <c r="M210" s="495"/>
      <c r="N210" s="495"/>
      <c r="O210" s="495"/>
      <c r="P210" s="495"/>
      <c r="Q210" s="495"/>
      <c r="R210" s="495"/>
      <c r="S210" s="495"/>
      <c r="T210" s="495"/>
      <c r="U210" s="495"/>
      <c r="V210" s="495"/>
      <c r="W210" s="495"/>
      <c r="X210" s="495"/>
      <c r="Y210" s="495"/>
      <c r="Z210" s="495"/>
    </row>
    <row r="211" ht="15.75" customHeight="1">
      <c r="A211" s="495"/>
      <c r="B211" s="495"/>
      <c r="C211" s="495"/>
      <c r="D211" s="495"/>
      <c r="E211" s="495"/>
      <c r="F211" s="495"/>
      <c r="G211" s="495"/>
      <c r="H211" s="495"/>
      <c r="I211" s="495"/>
      <c r="J211" s="495"/>
      <c r="K211" s="495"/>
      <c r="L211" s="495"/>
      <c r="M211" s="495"/>
      <c r="N211" s="495"/>
      <c r="O211" s="495"/>
      <c r="P211" s="495"/>
      <c r="Q211" s="495"/>
      <c r="R211" s="495"/>
      <c r="S211" s="495"/>
      <c r="T211" s="495"/>
      <c r="U211" s="495"/>
      <c r="V211" s="495"/>
      <c r="W211" s="495"/>
      <c r="X211" s="495"/>
      <c r="Y211" s="495"/>
      <c r="Z211" s="495"/>
    </row>
    <row r="212" ht="15.75" customHeight="1">
      <c r="A212" s="495"/>
      <c r="B212" s="495"/>
      <c r="C212" s="495"/>
      <c r="D212" s="495"/>
      <c r="E212" s="495"/>
      <c r="F212" s="495"/>
      <c r="G212" s="495"/>
      <c r="H212" s="495"/>
      <c r="I212" s="495"/>
      <c r="J212" s="495"/>
      <c r="K212" s="495"/>
      <c r="L212" s="495"/>
      <c r="M212" s="495"/>
      <c r="N212" s="495"/>
      <c r="O212" s="495"/>
      <c r="P212" s="495"/>
      <c r="Q212" s="495"/>
      <c r="R212" s="495"/>
      <c r="S212" s="495"/>
      <c r="T212" s="495"/>
      <c r="U212" s="495"/>
      <c r="V212" s="495"/>
      <c r="W212" s="495"/>
      <c r="X212" s="495"/>
      <c r="Y212" s="495"/>
      <c r="Z212" s="495"/>
    </row>
    <row r="213" ht="15.75" customHeight="1">
      <c r="A213" s="495"/>
      <c r="B213" s="495"/>
      <c r="C213" s="495"/>
      <c r="D213" s="495"/>
      <c r="E213" s="495"/>
      <c r="F213" s="495"/>
      <c r="G213" s="495"/>
      <c r="H213" s="495"/>
      <c r="I213" s="495"/>
      <c r="J213" s="495"/>
      <c r="K213" s="495"/>
      <c r="L213" s="495"/>
      <c r="M213" s="495"/>
      <c r="N213" s="495"/>
      <c r="O213" s="495"/>
      <c r="P213" s="495"/>
      <c r="Q213" s="495"/>
      <c r="R213" s="495"/>
      <c r="S213" s="495"/>
      <c r="T213" s="495"/>
      <c r="U213" s="495"/>
      <c r="V213" s="495"/>
      <c r="W213" s="495"/>
      <c r="X213" s="495"/>
      <c r="Y213" s="495"/>
      <c r="Z213" s="495"/>
    </row>
    <row r="214" ht="15.75" customHeight="1">
      <c r="A214" s="495"/>
      <c r="B214" s="495"/>
      <c r="C214" s="495"/>
      <c r="D214" s="495"/>
      <c r="E214" s="495"/>
      <c r="F214" s="495"/>
      <c r="G214" s="495"/>
      <c r="H214" s="495"/>
      <c r="I214" s="495"/>
      <c r="J214" s="495"/>
      <c r="K214" s="495"/>
      <c r="L214" s="495"/>
      <c r="M214" s="495"/>
      <c r="N214" s="495"/>
      <c r="O214" s="495"/>
      <c r="P214" s="495"/>
      <c r="Q214" s="495"/>
      <c r="R214" s="495"/>
      <c r="S214" s="495"/>
      <c r="T214" s="495"/>
      <c r="U214" s="495"/>
      <c r="V214" s="495"/>
      <c r="W214" s="495"/>
      <c r="X214" s="495"/>
      <c r="Y214" s="495"/>
      <c r="Z214" s="495"/>
    </row>
    <row r="215" ht="15.75" customHeight="1">
      <c r="A215" s="495"/>
      <c r="B215" s="495"/>
      <c r="C215" s="495"/>
      <c r="D215" s="495"/>
      <c r="E215" s="495"/>
      <c r="F215" s="495"/>
      <c r="G215" s="495"/>
      <c r="H215" s="495"/>
      <c r="I215" s="495"/>
      <c r="J215" s="495"/>
      <c r="K215" s="495"/>
      <c r="L215" s="495"/>
      <c r="M215" s="495"/>
      <c r="N215" s="495"/>
      <c r="O215" s="495"/>
      <c r="P215" s="495"/>
      <c r="Q215" s="495"/>
      <c r="R215" s="495"/>
      <c r="S215" s="495"/>
      <c r="T215" s="495"/>
      <c r="U215" s="495"/>
      <c r="V215" s="495"/>
      <c r="W215" s="495"/>
      <c r="X215" s="495"/>
      <c r="Y215" s="495"/>
      <c r="Z215" s="495"/>
    </row>
    <row r="216" ht="15.75" customHeight="1">
      <c r="A216" s="495"/>
      <c r="B216" s="495"/>
      <c r="C216" s="495"/>
      <c r="D216" s="495"/>
      <c r="E216" s="495"/>
      <c r="F216" s="495"/>
      <c r="G216" s="495"/>
      <c r="H216" s="495"/>
      <c r="I216" s="495"/>
      <c r="J216" s="495"/>
      <c r="K216" s="495"/>
      <c r="L216" s="495"/>
      <c r="M216" s="495"/>
      <c r="N216" s="495"/>
      <c r="O216" s="495"/>
      <c r="P216" s="495"/>
      <c r="Q216" s="495"/>
      <c r="R216" s="495"/>
      <c r="S216" s="495"/>
      <c r="T216" s="495"/>
      <c r="U216" s="495"/>
      <c r="V216" s="495"/>
      <c r="W216" s="495"/>
      <c r="X216" s="495"/>
      <c r="Y216" s="495"/>
      <c r="Z216" s="495"/>
    </row>
    <row r="217" ht="15.75" customHeight="1">
      <c r="A217" s="495"/>
      <c r="B217" s="495"/>
      <c r="C217" s="495"/>
      <c r="D217" s="495"/>
      <c r="E217" s="495"/>
      <c r="F217" s="495"/>
      <c r="G217" s="495"/>
      <c r="H217" s="495"/>
      <c r="I217" s="495"/>
      <c r="J217" s="495"/>
      <c r="K217" s="495"/>
      <c r="L217" s="495"/>
      <c r="M217" s="495"/>
      <c r="N217" s="495"/>
      <c r="O217" s="495"/>
      <c r="P217" s="495"/>
      <c r="Q217" s="495"/>
      <c r="R217" s="495"/>
      <c r="S217" s="495"/>
      <c r="T217" s="495"/>
      <c r="U217" s="495"/>
      <c r="V217" s="495"/>
      <c r="W217" s="495"/>
      <c r="X217" s="495"/>
      <c r="Y217" s="495"/>
      <c r="Z217" s="495"/>
    </row>
    <row r="218" ht="15.75" customHeight="1">
      <c r="A218" s="495"/>
      <c r="B218" s="495"/>
      <c r="C218" s="495"/>
      <c r="D218" s="495"/>
      <c r="E218" s="495"/>
      <c r="F218" s="495"/>
      <c r="G218" s="495"/>
      <c r="H218" s="495"/>
      <c r="I218" s="495"/>
      <c r="J218" s="495"/>
      <c r="K218" s="495"/>
      <c r="L218" s="495"/>
      <c r="M218" s="495"/>
      <c r="N218" s="495"/>
      <c r="O218" s="495"/>
      <c r="P218" s="495"/>
      <c r="Q218" s="495"/>
      <c r="R218" s="495"/>
      <c r="S218" s="495"/>
      <c r="T218" s="495"/>
      <c r="U218" s="495"/>
      <c r="V218" s="495"/>
      <c r="W218" s="495"/>
      <c r="X218" s="495"/>
      <c r="Y218" s="495"/>
      <c r="Z218" s="495"/>
    </row>
    <row r="219" ht="15.75" customHeight="1">
      <c r="A219" s="495"/>
      <c r="B219" s="495"/>
      <c r="C219" s="495"/>
      <c r="D219" s="495"/>
      <c r="E219" s="495"/>
      <c r="F219" s="495"/>
      <c r="G219" s="495"/>
      <c r="H219" s="495"/>
      <c r="I219" s="495"/>
      <c r="J219" s="495"/>
      <c r="K219" s="495"/>
      <c r="L219" s="495"/>
      <c r="M219" s="495"/>
      <c r="N219" s="495"/>
      <c r="O219" s="495"/>
      <c r="P219" s="495"/>
      <c r="Q219" s="495"/>
      <c r="R219" s="495"/>
      <c r="S219" s="495"/>
      <c r="T219" s="495"/>
      <c r="U219" s="495"/>
      <c r="V219" s="495"/>
      <c r="W219" s="495"/>
      <c r="X219" s="495"/>
      <c r="Y219" s="495"/>
      <c r="Z219" s="495"/>
    </row>
    <row r="220" ht="15.75" customHeight="1">
      <c r="A220" s="495"/>
      <c r="B220" s="495"/>
      <c r="C220" s="495"/>
      <c r="D220" s="495"/>
      <c r="E220" s="495"/>
      <c r="F220" s="495"/>
      <c r="G220" s="495"/>
      <c r="H220" s="495"/>
      <c r="I220" s="495"/>
      <c r="J220" s="495"/>
      <c r="K220" s="495"/>
      <c r="L220" s="495"/>
      <c r="M220" s="495"/>
      <c r="N220" s="495"/>
      <c r="O220" s="495"/>
      <c r="P220" s="495"/>
      <c r="Q220" s="495"/>
      <c r="R220" s="495"/>
      <c r="S220" s="495"/>
      <c r="T220" s="495"/>
      <c r="U220" s="495"/>
      <c r="V220" s="495"/>
      <c r="W220" s="495"/>
      <c r="X220" s="495"/>
      <c r="Y220" s="495"/>
      <c r="Z220" s="49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2024-10-01T20:42:53Z</dcterms:created>
  <dc:creator>FABIO HERNAN FORERO GARZON</dc:creator>
</cp:coreProperties>
</file>